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8_{D2CC022F-6F29-43B5-94B8-9ABD44F85D91}" xr6:coauthVersionLast="47" xr6:coauthVersionMax="47" xr10:uidLastSave="{00000000-0000-0000-0000-000000000000}"/>
  <bookViews>
    <workbookView xWindow="28680" yWindow="-120" windowWidth="29040" windowHeight="15720" tabRatio="924" activeTab="7" xr2:uid="{53B45F25-DE62-4CF4-9112-6C1FE027FBBC}"/>
  </bookViews>
  <sheets>
    <sheet name="Dealer Dashboard" sheetId="82" r:id="rId1"/>
    <sheet name="UC BMW 2026" sheetId="70" r:id="rId2"/>
    <sheet name="WHOLESALE BMW 2026" sheetId="72" r:id="rId3"/>
    <sheet name="UC BMW 2026 BPS" sheetId="73" r:id="rId4"/>
    <sheet name="UC BMW 2026 (Grp. Propietar" sheetId="71" r:id="rId5"/>
    <sheet name="BEV BMW 2026" sheetId="78" r:id="rId6"/>
    <sheet name="PENETRACION MERCADO VO BMW" sheetId="87" r:id="rId7"/>
    <sheet name="UC MINI 2026" sheetId="74" r:id="rId8"/>
    <sheet name="UC MINI 2026 (Grp. Propieta" sheetId="75" r:id="rId9"/>
    <sheet name="UC MINI 2026 MINI NEXT" sheetId="77" r:id="rId10"/>
    <sheet name="WHOLESALE MINI 2026" sheetId="76" r:id="rId11"/>
    <sheet name="PENETRACION MCDO VO MINI" sheetId="88" r:id="rId12"/>
    <sheet name="BEV MINI 2026" sheetId="79" r:id="rId13"/>
    <sheet name="MAESTRO" sheetId="36" r:id="rId14"/>
    <sheet name="MYS 2026" sheetId="83" r:id="rId15"/>
    <sheet name="Dealer Dashboard (2)" sheetId="84" state="hidden" r:id="rId16"/>
    <sheet name="Instrucciones" sheetId="62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5" hidden="1">'BEV BMW 2026'!$A$6:$AX$70</definedName>
    <definedName name="_xlnm._FilterDatabase" localSheetId="12" hidden="1">'BEV MINI 2026'!$A$6:$AX$66</definedName>
    <definedName name="_xlnm._FilterDatabase" localSheetId="13" hidden="1">MAESTRO!$D$2:$D$4</definedName>
    <definedName name="_xlnm._FilterDatabase" localSheetId="14" hidden="1">'MYS 2026'!$A$3:$Z$66</definedName>
    <definedName name="_xlnm._FilterDatabase" localSheetId="11" hidden="1">'PENETRACION MCDO VO MINI'!$A$6:$AX$66</definedName>
    <definedName name="_xlnm._FilterDatabase" localSheetId="1" hidden="1">'UC BMW 2026'!$A$3:$BO$78</definedName>
    <definedName name="_xlnm._FilterDatabase" localSheetId="4" hidden="1">'UC BMW 2026 (Grp. Propietar'!$B$3:$C$35</definedName>
    <definedName name="_xlnm._FilterDatabase" localSheetId="3" hidden="1">'UC BMW 2026 BPS'!$A$6:$CP$70</definedName>
    <definedName name="_xlnm._FilterDatabase" localSheetId="7" hidden="1">'UC MINI 2026'!$A$4:$AN$64</definedName>
    <definedName name="_xlnm._FilterDatabase" localSheetId="8" hidden="1">'UC MINI 2026 (Grp. Propieta'!$A$4:$AJ$32</definedName>
    <definedName name="_xlnm._FilterDatabase" localSheetId="9" hidden="1">'UC MINI 2026 MINI NEXT'!$A$6:$DB$66</definedName>
    <definedName name="_xlnm._FilterDatabase" localSheetId="2" hidden="1">'WHOLESALE BMW 2026'!$A$6:$BL$70</definedName>
    <definedName name="_xlnm._FilterDatabase" localSheetId="10" hidden="1">'WHOLESALE MINI 2026'!$A$6:$AN$67</definedName>
    <definedName name="a" localSheetId="0">#REF!</definedName>
    <definedName name="a" localSheetId="15">#REF!</definedName>
    <definedName name="a">#REF!</definedName>
    <definedName name="AGOSTO" localSheetId="0">#REF!</definedName>
    <definedName name="AGOSTO" localSheetId="15">#REF!</definedName>
    <definedName name="AGOSTO">#REF!</definedName>
    <definedName name="_xlnm.Print_Area" localSheetId="5">'BEV BMW 2026'!$B$3:$AU$70</definedName>
    <definedName name="_xlnm.Print_Area" localSheetId="12">'BEV MINI 2026'!$B$3:$AU$66</definedName>
    <definedName name="_xlnm.Print_Area" localSheetId="0">'Dealer Dashboard'!$A$1:$T$39</definedName>
    <definedName name="_xlnm.Print_Area" localSheetId="15">'Dealer Dashboard (2)'!$C$2:$M$55</definedName>
    <definedName name="_xlnm.Print_Area" localSheetId="14">'MYS 2026'!$B$1:$Q$2</definedName>
    <definedName name="_xlnm.Print_Area" localSheetId="11">'PENETRACION MCDO VO MINI'!$B$3:$AU$66</definedName>
    <definedName name="_xlnm.Print_Area" localSheetId="1">'UC BMW 2026'!$B$1:$AI$78</definedName>
    <definedName name="_xlnm.Print_Area" localSheetId="4">'UC BMW 2026 (Grp. Propietar'!$B$1:$AG$35</definedName>
    <definedName name="_xlnm.Print_Area" localSheetId="3">'UC BMW 2026 BPS'!$B$3:$CI$70</definedName>
    <definedName name="_xlnm.Print_Area" localSheetId="7">'UC MINI 2026'!$B$1:$AI$64</definedName>
    <definedName name="_xlnm.Print_Area" localSheetId="8">'UC MINI 2026 (Grp. Propieta'!$B$1:$AG$32</definedName>
    <definedName name="_xlnm.Print_Area" localSheetId="9">'UC MINI 2026 MINI NEXT'!$B$3:$CW$66</definedName>
    <definedName name="_xlnm.Print_Area" localSheetId="2">'WHOLESALE BMW 2026'!$B$3:$AM$70</definedName>
    <definedName name="_xlnm.Print_Area" localSheetId="10">'WHOLESALE MINI 2026'!$B$3:$AJ$67</definedName>
    <definedName name="d" localSheetId="0">#REF!</definedName>
    <definedName name="d" localSheetId="15">#REF!</definedName>
    <definedName name="d">#REF!</definedName>
    <definedName name="DEALER" localSheetId="0">[1]MAESTRO!$N$3:$N$63</definedName>
    <definedName name="DEALER" localSheetId="15">[1]MAESTRO!$N$3:$N$63</definedName>
    <definedName name="DEALER" localSheetId="2">MAESTRO!$N$3:$N$55</definedName>
    <definedName name="DEALER">MAESTRO!$N$3:$N$55</definedName>
    <definedName name="febrero" localSheetId="0">#REF!</definedName>
    <definedName name="febrero" localSheetId="15">#REF!</definedName>
    <definedName name="febrero">#REF!</definedName>
    <definedName name="JKH" localSheetId="0">#REF!</definedName>
    <definedName name="JKH" localSheetId="15">#REF!</definedName>
    <definedName name="JKH">#REF!</definedName>
    <definedName name="JUNIO" localSheetId="0">#REF!</definedName>
    <definedName name="JUNIO" localSheetId="15">#REF!</definedName>
    <definedName name="JUNIO">#REF!</definedName>
    <definedName name="ListaMeses">[1]MAESTRO!$H$3:$H$14</definedName>
    <definedName name="MES" localSheetId="5">#REF!</definedName>
    <definedName name="MES" localSheetId="12">#REF!</definedName>
    <definedName name="MES" localSheetId="0">#REF!</definedName>
    <definedName name="MES" localSheetId="15">#REF!</definedName>
    <definedName name="MES" localSheetId="14">#REF!</definedName>
    <definedName name="MES" localSheetId="11">#REF!</definedName>
    <definedName name="MES" localSheetId="1">#REF!</definedName>
    <definedName name="MES" localSheetId="4">#REF!</definedName>
    <definedName name="MES" localSheetId="3">#REF!</definedName>
    <definedName name="MES" localSheetId="7">#REF!</definedName>
    <definedName name="MES" localSheetId="8">#REF!</definedName>
    <definedName name="MES" localSheetId="9">#REF!</definedName>
    <definedName name="MES" localSheetId="2">#REF!</definedName>
    <definedName name="MES" localSheetId="10">#REF!</definedName>
    <definedName name="MES">#REF!</definedName>
    <definedName name="MES_DASHBOARD" localSheetId="5">Tabla6[MES]</definedName>
    <definedName name="MES_DASHBOARD" localSheetId="12">Tabla6[MES]</definedName>
    <definedName name="MES_DASHBOARD" localSheetId="0">Tabla6[MES]</definedName>
    <definedName name="MES_DASHBOARD" localSheetId="15">Tabla6[MES]</definedName>
    <definedName name="MES_DASHBOARD" localSheetId="14">Tabla6[MES]</definedName>
    <definedName name="MES_DASHBOARD" localSheetId="11">Tabla6[MES]</definedName>
    <definedName name="MES_DASHBOARD" localSheetId="2">Tabla6[MES]</definedName>
    <definedName name="MES_DASHBOARD">Tabla6[MES]</definedName>
    <definedName name="PRUEBA" localSheetId="5">#REF!</definedName>
    <definedName name="PRUEBA" localSheetId="12">#REF!</definedName>
    <definedName name="PRUEBA" localSheetId="14">#REF!</definedName>
    <definedName name="PRUEBA" localSheetId="11">#REF!</definedName>
    <definedName name="PRUEBA" localSheetId="1">#REF!</definedName>
    <definedName name="PRUEBA" localSheetId="4">#REF!</definedName>
    <definedName name="PRUEBA" localSheetId="3">#REF!</definedName>
    <definedName name="PRUEBA" localSheetId="7">#REF!</definedName>
    <definedName name="PRUEBA" localSheetId="8">#REF!</definedName>
    <definedName name="PRUEBA" localSheetId="9">#REF!</definedName>
    <definedName name="PRUEBA" localSheetId="2">#REF!</definedName>
    <definedName name="PRUEBA" localSheetId="10">#REF!</definedName>
    <definedName name="PRUEBA">#REF!</definedName>
    <definedName name="Q" localSheetId="5">Tabla7[Q]</definedName>
    <definedName name="Q" localSheetId="12">Tabla7[Q]</definedName>
    <definedName name="Q" localSheetId="0">Tabla7[Q]</definedName>
    <definedName name="Q" localSheetId="15">Tabla7[Q]</definedName>
    <definedName name="Q" localSheetId="14">Tabla7[Q]</definedName>
    <definedName name="Q" localSheetId="11">Tabla7[Q]</definedName>
    <definedName name="Q" localSheetId="2">Tabla7[Q]</definedName>
    <definedName name="Q">Tabla7[Q]</definedName>
    <definedName name="ros" localSheetId="0">#REF!</definedName>
    <definedName name="ros" localSheetId="15">#REF!</definedName>
    <definedName name="ros">#REF!</definedName>
    <definedName name="s" localSheetId="0">#REF!</definedName>
    <definedName name="s" localSheetId="15">#REF!</definedName>
    <definedName name="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5" i="88" l="1"/>
  <c r="AO65" i="88" s="1"/>
  <c r="AK65" i="88"/>
  <c r="AL65" i="88" s="1"/>
  <c r="AH65" i="88"/>
  <c r="AI65" i="88" s="1"/>
  <c r="AE65" i="88"/>
  <c r="AF65" i="88" s="1"/>
  <c r="AB65" i="88"/>
  <c r="AC65" i="88" s="1"/>
  <c r="Y65" i="88"/>
  <c r="AN65" i="79"/>
  <c r="AK65" i="79"/>
  <c r="AH65" i="79"/>
  <c r="AE65" i="79"/>
  <c r="AB65" i="79"/>
  <c r="Y65" i="79"/>
  <c r="V65" i="79"/>
  <c r="S65" i="79"/>
  <c r="P65" i="79"/>
  <c r="M65" i="79"/>
  <c r="J65" i="79"/>
  <c r="G65" i="79"/>
  <c r="AN63" i="79"/>
  <c r="AM63" i="79"/>
  <c r="AK63" i="79"/>
  <c r="AJ63" i="79"/>
  <c r="AH63" i="79"/>
  <c r="AG63" i="79"/>
  <c r="AE63" i="79"/>
  <c r="AD63" i="79"/>
  <c r="AB63" i="79"/>
  <c r="AA63" i="79"/>
  <c r="Y63" i="79"/>
  <c r="X63" i="79"/>
  <c r="V63" i="79"/>
  <c r="U63" i="79"/>
  <c r="S63" i="79"/>
  <c r="T63" i="79" s="1"/>
  <c r="R63" i="79"/>
  <c r="P63" i="79"/>
  <c r="O63" i="79"/>
  <c r="M63" i="79"/>
  <c r="AN62" i="79"/>
  <c r="AM62" i="79"/>
  <c r="AK62" i="79"/>
  <c r="AJ62" i="79"/>
  <c r="AH62" i="79"/>
  <c r="AG62" i="79"/>
  <c r="AE62" i="79"/>
  <c r="AD62" i="79"/>
  <c r="AB62" i="79"/>
  <c r="AA62" i="79"/>
  <c r="Y62" i="79"/>
  <c r="X62" i="79"/>
  <c r="V62" i="79"/>
  <c r="W62" i="79" s="1"/>
  <c r="U62" i="79"/>
  <c r="S62" i="79"/>
  <c r="R62" i="79"/>
  <c r="P62" i="79"/>
  <c r="O62" i="79"/>
  <c r="M62" i="79"/>
  <c r="AN61" i="79"/>
  <c r="AM61" i="79"/>
  <c r="AK61" i="79"/>
  <c r="AJ61" i="79"/>
  <c r="AL61" i="79" s="1"/>
  <c r="AH61" i="79"/>
  <c r="AG61" i="79"/>
  <c r="AE61" i="79"/>
  <c r="AD61" i="79"/>
  <c r="AF61" i="79" s="1"/>
  <c r="AB61" i="79"/>
  <c r="AA61" i="79"/>
  <c r="Y61" i="79"/>
  <c r="X61" i="79"/>
  <c r="V61" i="79"/>
  <c r="U61" i="79"/>
  <c r="T61" i="79"/>
  <c r="S61" i="79"/>
  <c r="R61" i="79"/>
  <c r="P61" i="79"/>
  <c r="Q61" i="79" s="1"/>
  <c r="O61" i="79"/>
  <c r="M61" i="79"/>
  <c r="AN60" i="79"/>
  <c r="AM60" i="79"/>
  <c r="AK60" i="79"/>
  <c r="AJ60" i="79"/>
  <c r="AH60" i="79"/>
  <c r="AG60" i="79"/>
  <c r="AE60" i="79"/>
  <c r="AD60" i="79"/>
  <c r="AF60" i="79" s="1"/>
  <c r="AB60" i="79"/>
  <c r="AA60" i="79"/>
  <c r="Y60" i="79"/>
  <c r="X60" i="79"/>
  <c r="V60" i="79"/>
  <c r="W60" i="79" s="1"/>
  <c r="U60" i="79"/>
  <c r="S60" i="79"/>
  <c r="R60" i="79"/>
  <c r="T60" i="79" s="1"/>
  <c r="P60" i="79"/>
  <c r="O60" i="79"/>
  <c r="M60" i="79"/>
  <c r="AN59" i="79"/>
  <c r="AM59" i="79"/>
  <c r="AK59" i="79"/>
  <c r="AJ59" i="79"/>
  <c r="AH59" i="79"/>
  <c r="AG59" i="79"/>
  <c r="AE59" i="79"/>
  <c r="AD59" i="79"/>
  <c r="AB59" i="79"/>
  <c r="AA59" i="79"/>
  <c r="Y59" i="79"/>
  <c r="X59" i="79"/>
  <c r="Z59" i="79" s="1"/>
  <c r="V59" i="79"/>
  <c r="U59" i="79"/>
  <c r="S59" i="79"/>
  <c r="T59" i="79" s="1"/>
  <c r="R59" i="79"/>
  <c r="P59" i="79"/>
  <c r="O59" i="79"/>
  <c r="M59" i="79"/>
  <c r="AN58" i="79"/>
  <c r="AM58" i="79"/>
  <c r="AO58" i="79" s="1"/>
  <c r="AK58" i="79"/>
  <c r="AJ58" i="79"/>
  <c r="AH58" i="79"/>
  <c r="AG58" i="79"/>
  <c r="AE58" i="79"/>
  <c r="AD58" i="79"/>
  <c r="AB58" i="79"/>
  <c r="AA58" i="79"/>
  <c r="AC58" i="79" s="1"/>
  <c r="Y58" i="79"/>
  <c r="X58" i="79"/>
  <c r="V58" i="79"/>
  <c r="W58" i="79" s="1"/>
  <c r="U58" i="79"/>
  <c r="S58" i="79"/>
  <c r="R58" i="79"/>
  <c r="P58" i="79"/>
  <c r="O58" i="79"/>
  <c r="M58" i="79"/>
  <c r="AN56" i="79"/>
  <c r="AM56" i="79"/>
  <c r="AK56" i="79"/>
  <c r="AJ56" i="79"/>
  <c r="AH56" i="79"/>
  <c r="AG56" i="79"/>
  <c r="AE56" i="79"/>
  <c r="AD56" i="79"/>
  <c r="AB56" i="79"/>
  <c r="AA56" i="79"/>
  <c r="Y56" i="79"/>
  <c r="X56" i="79"/>
  <c r="V56" i="79"/>
  <c r="U56" i="79"/>
  <c r="S56" i="79"/>
  <c r="T56" i="79" s="1"/>
  <c r="R56" i="79"/>
  <c r="P56" i="79"/>
  <c r="O56" i="79"/>
  <c r="M56" i="79"/>
  <c r="AN55" i="79"/>
  <c r="AM55" i="79"/>
  <c r="AK55" i="79"/>
  <c r="AJ55" i="79"/>
  <c r="AH55" i="79"/>
  <c r="AG55" i="79"/>
  <c r="AE55" i="79"/>
  <c r="AD55" i="79"/>
  <c r="AB55" i="79"/>
  <c r="AA55" i="79"/>
  <c r="AC55" i="79" s="1"/>
  <c r="Y55" i="79"/>
  <c r="X55" i="79"/>
  <c r="W55" i="79"/>
  <c r="V55" i="79"/>
  <c r="U55" i="79"/>
  <c r="S55" i="79"/>
  <c r="T55" i="79" s="1"/>
  <c r="R55" i="79"/>
  <c r="P55" i="79"/>
  <c r="O55" i="79"/>
  <c r="Q55" i="79" s="1"/>
  <c r="M55" i="79"/>
  <c r="AN54" i="79"/>
  <c r="AM54" i="79"/>
  <c r="AK54" i="79"/>
  <c r="AJ54" i="79"/>
  <c r="AH54" i="79"/>
  <c r="AG54" i="79"/>
  <c r="AE54" i="79"/>
  <c r="AD54" i="79"/>
  <c r="AF54" i="79" s="1"/>
  <c r="AB54" i="79"/>
  <c r="AA54" i="79"/>
  <c r="Y54" i="79"/>
  <c r="X54" i="79"/>
  <c r="V54" i="79"/>
  <c r="U54" i="79"/>
  <c r="S54" i="79"/>
  <c r="R54" i="79"/>
  <c r="P54" i="79"/>
  <c r="O54" i="79"/>
  <c r="M54" i="79"/>
  <c r="AN53" i="79"/>
  <c r="AM53" i="79"/>
  <c r="AK53" i="79"/>
  <c r="AJ53" i="79"/>
  <c r="AH53" i="79"/>
  <c r="AG53" i="79"/>
  <c r="AE53" i="79"/>
  <c r="AD53" i="79"/>
  <c r="AF53" i="79" s="1"/>
  <c r="AB53" i="79"/>
  <c r="AA53" i="79"/>
  <c r="Y53" i="79"/>
  <c r="X53" i="79"/>
  <c r="V53" i="79"/>
  <c r="W53" i="79" s="1"/>
  <c r="U53" i="79"/>
  <c r="S53" i="79"/>
  <c r="R53" i="79"/>
  <c r="T53" i="79" s="1"/>
  <c r="P53" i="79"/>
  <c r="O53" i="79"/>
  <c r="M53" i="79"/>
  <c r="AN52" i="79"/>
  <c r="AM52" i="79"/>
  <c r="AK52" i="79"/>
  <c r="AJ52" i="79"/>
  <c r="AH52" i="79"/>
  <c r="AG52" i="79"/>
  <c r="AE52" i="79"/>
  <c r="AD52" i="79"/>
  <c r="AF52" i="79" s="1"/>
  <c r="AB52" i="79"/>
  <c r="AA52" i="79"/>
  <c r="Y52" i="79"/>
  <c r="X52" i="79"/>
  <c r="Z52" i="79" s="1"/>
  <c r="V52" i="79"/>
  <c r="W52" i="79" s="1"/>
  <c r="U52" i="79"/>
  <c r="S52" i="79"/>
  <c r="T52" i="79" s="1"/>
  <c r="R52" i="79"/>
  <c r="P52" i="79"/>
  <c r="O52" i="79"/>
  <c r="M52" i="79"/>
  <c r="AN50" i="79"/>
  <c r="AM50" i="79"/>
  <c r="AK50" i="79"/>
  <c r="AJ50" i="79"/>
  <c r="AH50" i="79"/>
  <c r="AG50" i="79"/>
  <c r="AE50" i="79"/>
  <c r="AD50" i="79"/>
  <c r="AB50" i="79"/>
  <c r="AA50" i="79"/>
  <c r="Y50" i="79"/>
  <c r="X50" i="79"/>
  <c r="V50" i="79"/>
  <c r="U50" i="79"/>
  <c r="S50" i="79"/>
  <c r="R50" i="79"/>
  <c r="P50" i="79"/>
  <c r="O50" i="79"/>
  <c r="M50" i="79"/>
  <c r="AN49" i="79"/>
  <c r="AM49" i="79"/>
  <c r="AK49" i="79"/>
  <c r="AJ49" i="79"/>
  <c r="AH49" i="79"/>
  <c r="AG49" i="79"/>
  <c r="AI49" i="79" s="1"/>
  <c r="AE49" i="79"/>
  <c r="AD49" i="79"/>
  <c r="AB49" i="79"/>
  <c r="AA49" i="79"/>
  <c r="Y49" i="79"/>
  <c r="X49" i="79"/>
  <c r="Z49" i="79" s="1"/>
  <c r="W49" i="79"/>
  <c r="V49" i="79"/>
  <c r="U49" i="79"/>
  <c r="S49" i="79"/>
  <c r="T49" i="79" s="1"/>
  <c r="R49" i="79"/>
  <c r="P49" i="79"/>
  <c r="O49" i="79"/>
  <c r="M49" i="79"/>
  <c r="AN48" i="79"/>
  <c r="AM48" i="79"/>
  <c r="AK48" i="79"/>
  <c r="AJ48" i="79"/>
  <c r="AH48" i="79"/>
  <c r="AG48" i="79"/>
  <c r="AE48" i="79"/>
  <c r="AD48" i="79"/>
  <c r="AB48" i="79"/>
  <c r="AA48" i="79"/>
  <c r="Y48" i="79"/>
  <c r="X48" i="79"/>
  <c r="V48" i="79"/>
  <c r="W48" i="79" s="1"/>
  <c r="U48" i="79"/>
  <c r="T48" i="79"/>
  <c r="S48" i="79"/>
  <c r="R48" i="79"/>
  <c r="P48" i="79"/>
  <c r="O48" i="79"/>
  <c r="M48" i="79"/>
  <c r="AN47" i="79"/>
  <c r="AM47" i="79"/>
  <c r="AO47" i="79" s="1"/>
  <c r="AK47" i="79"/>
  <c r="AJ47" i="79"/>
  <c r="AH47" i="79"/>
  <c r="AG47" i="79"/>
  <c r="AE47" i="79"/>
  <c r="AD47" i="79"/>
  <c r="AB47" i="79"/>
  <c r="AA47" i="79"/>
  <c r="AC47" i="79" s="1"/>
  <c r="Y47" i="79"/>
  <c r="X47" i="79"/>
  <c r="V47" i="79"/>
  <c r="U47" i="79"/>
  <c r="S47" i="79"/>
  <c r="R47" i="79"/>
  <c r="P47" i="79"/>
  <c r="O47" i="79"/>
  <c r="Q47" i="79" s="1"/>
  <c r="M47" i="79"/>
  <c r="AN46" i="79"/>
  <c r="AM46" i="79"/>
  <c r="AK46" i="79"/>
  <c r="AJ46" i="79"/>
  <c r="AH46" i="79"/>
  <c r="AG46" i="79"/>
  <c r="AI46" i="79" s="1"/>
  <c r="AE46" i="79"/>
  <c r="AD46" i="79"/>
  <c r="AB46" i="79"/>
  <c r="AA46" i="79"/>
  <c r="AC46" i="79" s="1"/>
  <c r="Y46" i="79"/>
  <c r="X46" i="79"/>
  <c r="Z46" i="79" s="1"/>
  <c r="V46" i="79"/>
  <c r="U46" i="79"/>
  <c r="S46" i="79"/>
  <c r="T46" i="79" s="1"/>
  <c r="R46" i="79"/>
  <c r="P46" i="79"/>
  <c r="O46" i="79"/>
  <c r="Q46" i="79" s="1"/>
  <c r="M46" i="79"/>
  <c r="AN44" i="79"/>
  <c r="AM44" i="79"/>
  <c r="AK44" i="79"/>
  <c r="AJ44" i="79"/>
  <c r="AH44" i="79"/>
  <c r="AG44" i="79"/>
  <c r="AE44" i="79"/>
  <c r="AD44" i="79"/>
  <c r="AB44" i="79"/>
  <c r="AA44" i="79"/>
  <c r="Y44" i="79"/>
  <c r="X44" i="79"/>
  <c r="V44" i="79"/>
  <c r="W44" i="79" s="1"/>
  <c r="U44" i="79"/>
  <c r="S44" i="79"/>
  <c r="R44" i="79"/>
  <c r="P44" i="79"/>
  <c r="O44" i="79"/>
  <c r="M44" i="79"/>
  <c r="AN43" i="79"/>
  <c r="AM43" i="79"/>
  <c r="AK43" i="79"/>
  <c r="AJ43" i="79"/>
  <c r="AI43" i="79"/>
  <c r="AH43" i="79"/>
  <c r="AG43" i="79"/>
  <c r="AE43" i="79"/>
  <c r="AD43" i="79"/>
  <c r="AB43" i="79"/>
  <c r="AA43" i="79"/>
  <c r="Y43" i="79"/>
  <c r="X43" i="79"/>
  <c r="V43" i="79"/>
  <c r="W43" i="79" s="1"/>
  <c r="U43" i="79"/>
  <c r="S43" i="79"/>
  <c r="T43" i="79" s="1"/>
  <c r="R43" i="79"/>
  <c r="P43" i="79"/>
  <c r="O43" i="79"/>
  <c r="M43" i="79"/>
  <c r="AN41" i="79"/>
  <c r="AM41" i="79"/>
  <c r="AK41" i="79"/>
  <c r="AJ41" i="79"/>
  <c r="AH41" i="79"/>
  <c r="AG41" i="79"/>
  <c r="AE41" i="79"/>
  <c r="AD41" i="79"/>
  <c r="AB41" i="79"/>
  <c r="AA41" i="79"/>
  <c r="Y41" i="79"/>
  <c r="X41" i="79"/>
  <c r="V41" i="79"/>
  <c r="W41" i="79" s="1"/>
  <c r="U41" i="79"/>
  <c r="S41" i="79"/>
  <c r="R41" i="79"/>
  <c r="P41" i="79"/>
  <c r="O41" i="79"/>
  <c r="M41" i="79"/>
  <c r="AN40" i="79"/>
  <c r="AM40" i="79"/>
  <c r="AK40" i="79"/>
  <c r="AJ40" i="79"/>
  <c r="AL40" i="79" s="1"/>
  <c r="AH40" i="79"/>
  <c r="AG40" i="79"/>
  <c r="AI40" i="79" s="1"/>
  <c r="AE40" i="79"/>
  <c r="AD40" i="79"/>
  <c r="AF40" i="79" s="1"/>
  <c r="AB40" i="79"/>
  <c r="AA40" i="79"/>
  <c r="Y40" i="79"/>
  <c r="X40" i="79"/>
  <c r="V40" i="79"/>
  <c r="U40" i="79"/>
  <c r="W40" i="79" s="1"/>
  <c r="S40" i="79"/>
  <c r="R40" i="79"/>
  <c r="P40" i="79"/>
  <c r="O40" i="79"/>
  <c r="M40" i="79"/>
  <c r="AN39" i="79"/>
  <c r="AM39" i="79"/>
  <c r="AK39" i="79"/>
  <c r="AJ39" i="79"/>
  <c r="AH39" i="79"/>
  <c r="AG39" i="79"/>
  <c r="AE39" i="79"/>
  <c r="AD39" i="79"/>
  <c r="AF39" i="79" s="1"/>
  <c r="AB39" i="79"/>
  <c r="AA39" i="79"/>
  <c r="Y39" i="79"/>
  <c r="X39" i="79"/>
  <c r="V39" i="79"/>
  <c r="W39" i="79" s="1"/>
  <c r="U39" i="79"/>
  <c r="S39" i="79"/>
  <c r="R39" i="79"/>
  <c r="T39" i="79" s="1"/>
  <c r="P39" i="79"/>
  <c r="Q39" i="79" s="1"/>
  <c r="O39" i="79"/>
  <c r="M39" i="79"/>
  <c r="AN38" i="79"/>
  <c r="AM38" i="79"/>
  <c r="AK38" i="79"/>
  <c r="AJ38" i="79"/>
  <c r="AH38" i="79"/>
  <c r="AG38" i="79"/>
  <c r="AE38" i="79"/>
  <c r="AD38" i="79"/>
  <c r="AB38" i="79"/>
  <c r="AA38" i="79"/>
  <c r="Y38" i="79"/>
  <c r="X38" i="79"/>
  <c r="V38" i="79"/>
  <c r="U38" i="79"/>
  <c r="S38" i="79"/>
  <c r="R38" i="79"/>
  <c r="T38" i="79" s="1"/>
  <c r="P38" i="79"/>
  <c r="Q38" i="79" s="1"/>
  <c r="O38" i="79"/>
  <c r="M38" i="79"/>
  <c r="AN37" i="79"/>
  <c r="AM37" i="79"/>
  <c r="AO37" i="79" s="1"/>
  <c r="AK37" i="79"/>
  <c r="AJ37" i="79"/>
  <c r="AL37" i="79" s="1"/>
  <c r="AH37" i="79"/>
  <c r="AG37" i="79"/>
  <c r="AI37" i="79" s="1"/>
  <c r="AE37" i="79"/>
  <c r="AD37" i="79"/>
  <c r="AB37" i="79"/>
  <c r="AA37" i="79"/>
  <c r="Y37" i="79"/>
  <c r="X37" i="79"/>
  <c r="Z37" i="79" s="1"/>
  <c r="V37" i="79"/>
  <c r="U37" i="79"/>
  <c r="S37" i="79"/>
  <c r="R37" i="79"/>
  <c r="P37" i="79"/>
  <c r="O37" i="79"/>
  <c r="M37" i="79"/>
  <c r="AN35" i="79"/>
  <c r="AM35" i="79"/>
  <c r="AO35" i="79" s="1"/>
  <c r="AK35" i="79"/>
  <c r="AJ35" i="79"/>
  <c r="AH35" i="79"/>
  <c r="AG35" i="79"/>
  <c r="AE35" i="79"/>
  <c r="AD35" i="79"/>
  <c r="AB35" i="79"/>
  <c r="AA35" i="79"/>
  <c r="Y35" i="79"/>
  <c r="X35" i="79"/>
  <c r="V35" i="79"/>
  <c r="U35" i="79"/>
  <c r="S35" i="79"/>
  <c r="R35" i="79"/>
  <c r="P35" i="79"/>
  <c r="O35" i="79"/>
  <c r="M35" i="79"/>
  <c r="AN34" i="79"/>
  <c r="AM34" i="79"/>
  <c r="AK34" i="79"/>
  <c r="AJ34" i="79"/>
  <c r="AH34" i="79"/>
  <c r="AG34" i="79"/>
  <c r="AI34" i="79" s="1"/>
  <c r="AE34" i="79"/>
  <c r="AD34" i="79"/>
  <c r="AB34" i="79"/>
  <c r="AA34" i="79"/>
  <c r="Y34" i="79"/>
  <c r="X34" i="79"/>
  <c r="W34" i="79"/>
  <c r="V34" i="79"/>
  <c r="U34" i="79"/>
  <c r="T34" i="79"/>
  <c r="S34" i="79"/>
  <c r="R34" i="79"/>
  <c r="P34" i="79"/>
  <c r="O34" i="79"/>
  <c r="M34" i="79"/>
  <c r="AN33" i="79"/>
  <c r="AM33" i="79"/>
  <c r="AK33" i="79"/>
  <c r="AJ33" i="79"/>
  <c r="AH33" i="79"/>
  <c r="AG33" i="79"/>
  <c r="AE33" i="79"/>
  <c r="AD33" i="79"/>
  <c r="AF33" i="79" s="1"/>
  <c r="AB33" i="79"/>
  <c r="AA33" i="79"/>
  <c r="Y33" i="79"/>
  <c r="X33" i="79"/>
  <c r="V33" i="79"/>
  <c r="U33" i="79"/>
  <c r="T33" i="79"/>
  <c r="S33" i="79"/>
  <c r="R33" i="79"/>
  <c r="P33" i="79"/>
  <c r="Q33" i="79" s="1"/>
  <c r="O33" i="79"/>
  <c r="M33" i="79"/>
  <c r="AN32" i="79"/>
  <c r="AM32" i="79"/>
  <c r="AO32" i="79" s="1"/>
  <c r="AK32" i="79"/>
  <c r="AJ32" i="79"/>
  <c r="AH32" i="79"/>
  <c r="AG32" i="79"/>
  <c r="AE32" i="79"/>
  <c r="AD32" i="79"/>
  <c r="AB32" i="79"/>
  <c r="AA32" i="79"/>
  <c r="Y32" i="79"/>
  <c r="X32" i="79"/>
  <c r="V32" i="79"/>
  <c r="U32" i="79"/>
  <c r="S32" i="79"/>
  <c r="R32" i="79"/>
  <c r="P32" i="79"/>
  <c r="O32" i="79"/>
  <c r="Q32" i="79" s="1"/>
  <c r="M32" i="79"/>
  <c r="AN31" i="79"/>
  <c r="AM31" i="79"/>
  <c r="AK31" i="79"/>
  <c r="AJ31" i="79"/>
  <c r="AL31" i="79" s="1"/>
  <c r="AH31" i="79"/>
  <c r="AG31" i="79"/>
  <c r="AE31" i="79"/>
  <c r="AD31" i="79"/>
  <c r="AB31" i="79"/>
  <c r="AA31" i="79"/>
  <c r="Y31" i="79"/>
  <c r="X31" i="79"/>
  <c r="V31" i="79"/>
  <c r="U31" i="79"/>
  <c r="W31" i="79" s="1"/>
  <c r="S31" i="79"/>
  <c r="R31" i="79"/>
  <c r="P31" i="79"/>
  <c r="Q31" i="79" s="1"/>
  <c r="O31" i="79"/>
  <c r="M31" i="79"/>
  <c r="AN29" i="79"/>
  <c r="AM29" i="79"/>
  <c r="AO29" i="79" s="1"/>
  <c r="AK29" i="79"/>
  <c r="AJ29" i="79"/>
  <c r="AH29" i="79"/>
  <c r="AG29" i="79"/>
  <c r="AE29" i="79"/>
  <c r="AD29" i="79"/>
  <c r="AB29" i="79"/>
  <c r="AA29" i="79"/>
  <c r="Y29" i="79"/>
  <c r="X29" i="79"/>
  <c r="V29" i="79"/>
  <c r="U29" i="79"/>
  <c r="S29" i="79"/>
  <c r="T29" i="79" s="1"/>
  <c r="R29" i="79"/>
  <c r="P29" i="79"/>
  <c r="O29" i="79"/>
  <c r="M29" i="79"/>
  <c r="AN28" i="79"/>
  <c r="AM28" i="79"/>
  <c r="AK28" i="79"/>
  <c r="AJ28" i="79"/>
  <c r="AL28" i="79" s="1"/>
  <c r="AH28" i="79"/>
  <c r="AG28" i="79"/>
  <c r="AI28" i="79" s="1"/>
  <c r="AE28" i="79"/>
  <c r="AD28" i="79"/>
  <c r="AF28" i="79" s="1"/>
  <c r="AB28" i="79"/>
  <c r="AA28" i="79"/>
  <c r="AC28" i="79" s="1"/>
  <c r="Y28" i="79"/>
  <c r="X28" i="79"/>
  <c r="V28" i="79"/>
  <c r="W28" i="79" s="1"/>
  <c r="U28" i="79"/>
  <c r="S28" i="79"/>
  <c r="R28" i="79"/>
  <c r="T28" i="79" s="1"/>
  <c r="P28" i="79"/>
  <c r="O28" i="79"/>
  <c r="M28" i="79"/>
  <c r="AN27" i="79"/>
  <c r="AM27" i="79"/>
  <c r="AK27" i="79"/>
  <c r="AJ27" i="79"/>
  <c r="AH27" i="79"/>
  <c r="AG27" i="79"/>
  <c r="AE27" i="79"/>
  <c r="AD27" i="79"/>
  <c r="AB27" i="79"/>
  <c r="AA27" i="79"/>
  <c r="Y27" i="79"/>
  <c r="X27" i="79"/>
  <c r="W27" i="79"/>
  <c r="V27" i="79"/>
  <c r="U27" i="79"/>
  <c r="S27" i="79"/>
  <c r="T27" i="79" s="1"/>
  <c r="R27" i="79"/>
  <c r="P27" i="79"/>
  <c r="Q27" i="79" s="1"/>
  <c r="O27" i="79"/>
  <c r="M27" i="79"/>
  <c r="AN26" i="79"/>
  <c r="AM26" i="79"/>
  <c r="AK26" i="79"/>
  <c r="AJ26" i="79"/>
  <c r="AH26" i="79"/>
  <c r="AG26" i="79"/>
  <c r="AE26" i="79"/>
  <c r="AD26" i="79"/>
  <c r="AF26" i="79" s="1"/>
  <c r="AB26" i="79"/>
  <c r="AA26" i="79"/>
  <c r="Y26" i="79"/>
  <c r="X26" i="79"/>
  <c r="V26" i="79"/>
  <c r="W26" i="79" s="1"/>
  <c r="U26" i="79"/>
  <c r="S26" i="79"/>
  <c r="R26" i="79"/>
  <c r="T26" i="79" s="1"/>
  <c r="P26" i="79"/>
  <c r="Q26" i="79" s="1"/>
  <c r="O26" i="79"/>
  <c r="M26" i="79"/>
  <c r="AN25" i="79"/>
  <c r="AM25" i="79"/>
  <c r="AK25" i="79"/>
  <c r="AJ25" i="79"/>
  <c r="AL25" i="79" s="1"/>
  <c r="AH25" i="79"/>
  <c r="AG25" i="79"/>
  <c r="AI25" i="79" s="1"/>
  <c r="AE25" i="79"/>
  <c r="AD25" i="79"/>
  <c r="AF25" i="79" s="1"/>
  <c r="AB25" i="79"/>
  <c r="AA25" i="79"/>
  <c r="Y25" i="79"/>
  <c r="X25" i="79"/>
  <c r="V25" i="79"/>
  <c r="U25" i="79"/>
  <c r="S25" i="79"/>
  <c r="R25" i="79"/>
  <c r="T25" i="79" s="1"/>
  <c r="P25" i="79"/>
  <c r="O25" i="79"/>
  <c r="Q25" i="79" s="1"/>
  <c r="M25" i="79"/>
  <c r="AN24" i="79"/>
  <c r="AM24" i="79"/>
  <c r="AK24" i="79"/>
  <c r="AJ24" i="79"/>
  <c r="AH24" i="79"/>
  <c r="AG24" i="79"/>
  <c r="AI24" i="79" s="1"/>
  <c r="AE24" i="79"/>
  <c r="AD24" i="79"/>
  <c r="AB24" i="79"/>
  <c r="AA24" i="79"/>
  <c r="Y24" i="79"/>
  <c r="X24" i="79"/>
  <c r="V24" i="79"/>
  <c r="W24" i="79" s="1"/>
  <c r="U24" i="79"/>
  <c r="S24" i="79"/>
  <c r="T24" i="79" s="1"/>
  <c r="R24" i="79"/>
  <c r="P24" i="79"/>
  <c r="O24" i="79"/>
  <c r="M24" i="79"/>
  <c r="AN22" i="79"/>
  <c r="AM22" i="79"/>
  <c r="AK22" i="79"/>
  <c r="AJ22" i="79"/>
  <c r="AH22" i="79"/>
  <c r="AG22" i="79"/>
  <c r="AE22" i="79"/>
  <c r="AD22" i="79"/>
  <c r="AB22" i="79"/>
  <c r="AA22" i="79"/>
  <c r="Y22" i="79"/>
  <c r="X22" i="79"/>
  <c r="V22" i="79"/>
  <c r="U22" i="79"/>
  <c r="S22" i="79"/>
  <c r="R22" i="79"/>
  <c r="P22" i="79"/>
  <c r="O22" i="79"/>
  <c r="M22" i="79"/>
  <c r="AN21" i="79"/>
  <c r="AM21" i="79"/>
  <c r="AK21" i="79"/>
  <c r="AJ21" i="79"/>
  <c r="AH21" i="79"/>
  <c r="AG21" i="79"/>
  <c r="AE21" i="79"/>
  <c r="AD21" i="79"/>
  <c r="AB21" i="79"/>
  <c r="AA21" i="79"/>
  <c r="Y21" i="79"/>
  <c r="X21" i="79"/>
  <c r="V21" i="79"/>
  <c r="U21" i="79"/>
  <c r="S21" i="79"/>
  <c r="T21" i="79" s="1"/>
  <c r="R21" i="79"/>
  <c r="P21" i="79"/>
  <c r="O21" i="79"/>
  <c r="M21" i="79"/>
  <c r="AN20" i="79"/>
  <c r="AM20" i="79"/>
  <c r="AK20" i="79"/>
  <c r="AJ20" i="79"/>
  <c r="AH20" i="79"/>
  <c r="AG20" i="79"/>
  <c r="AE20" i="79"/>
  <c r="AD20" i="79"/>
  <c r="AB20" i="79"/>
  <c r="AA20" i="79"/>
  <c r="Y20" i="79"/>
  <c r="X20" i="79"/>
  <c r="V20" i="79"/>
  <c r="W20" i="79" s="1"/>
  <c r="U20" i="79"/>
  <c r="S20" i="79"/>
  <c r="T20" i="79" s="1"/>
  <c r="R20" i="79"/>
  <c r="P20" i="79"/>
  <c r="O20" i="79"/>
  <c r="M20" i="79"/>
  <c r="AN19" i="79"/>
  <c r="AM19" i="79"/>
  <c r="AO19" i="79" s="1"/>
  <c r="AK19" i="79"/>
  <c r="AJ19" i="79"/>
  <c r="AH19" i="79"/>
  <c r="AG19" i="79"/>
  <c r="AE19" i="79"/>
  <c r="AD19" i="79"/>
  <c r="AF19" i="79" s="1"/>
  <c r="AB19" i="79"/>
  <c r="AA19" i="79"/>
  <c r="Y19" i="79"/>
  <c r="X19" i="79"/>
  <c r="V19" i="79"/>
  <c r="U19" i="79"/>
  <c r="S19" i="79"/>
  <c r="R19" i="79"/>
  <c r="T19" i="79" s="1"/>
  <c r="P19" i="79"/>
  <c r="O19" i="79"/>
  <c r="M19" i="79"/>
  <c r="AN18" i="79"/>
  <c r="AM18" i="79"/>
  <c r="AK18" i="79"/>
  <c r="AJ18" i="79"/>
  <c r="AH18" i="79"/>
  <c r="AG18" i="79"/>
  <c r="AE18" i="79"/>
  <c r="AD18" i="79"/>
  <c r="AB18" i="79"/>
  <c r="AA18" i="79"/>
  <c r="Y18" i="79"/>
  <c r="X18" i="79"/>
  <c r="Z18" i="79" s="1"/>
  <c r="V18" i="79"/>
  <c r="U18" i="79"/>
  <c r="W18" i="79" s="1"/>
  <c r="S18" i="79"/>
  <c r="T18" i="79" s="1"/>
  <c r="R18" i="79"/>
  <c r="P18" i="79"/>
  <c r="O18" i="79"/>
  <c r="M18" i="79"/>
  <c r="AN16" i="79"/>
  <c r="AM16" i="79"/>
  <c r="AK16" i="79"/>
  <c r="AJ16" i="79"/>
  <c r="AH16" i="79"/>
  <c r="AG16" i="79"/>
  <c r="AE16" i="79"/>
  <c r="AD16" i="79"/>
  <c r="AB16" i="79"/>
  <c r="AA16" i="79"/>
  <c r="Y16" i="79"/>
  <c r="X16" i="79"/>
  <c r="V16" i="79"/>
  <c r="W16" i="79" s="1"/>
  <c r="U16" i="79"/>
  <c r="S16" i="79"/>
  <c r="R16" i="79"/>
  <c r="P16" i="79"/>
  <c r="O16" i="79"/>
  <c r="M16" i="79"/>
  <c r="AN15" i="79"/>
  <c r="AM15" i="79"/>
  <c r="AK15" i="79"/>
  <c r="AJ15" i="79"/>
  <c r="AL15" i="79" s="1"/>
  <c r="AH15" i="79"/>
  <c r="AG15" i="79"/>
  <c r="AE15" i="79"/>
  <c r="AD15" i="79"/>
  <c r="AB15" i="79"/>
  <c r="AA15" i="79"/>
  <c r="Y15" i="79"/>
  <c r="X15" i="79"/>
  <c r="Z15" i="79" s="1"/>
  <c r="V15" i="79"/>
  <c r="W15" i="79" s="1"/>
  <c r="U15" i="79"/>
  <c r="T15" i="79"/>
  <c r="S15" i="79"/>
  <c r="R15" i="79"/>
  <c r="P15" i="79"/>
  <c r="Q15" i="79" s="1"/>
  <c r="O15" i="79"/>
  <c r="M15" i="79"/>
  <c r="AN14" i="79"/>
  <c r="AM14" i="79"/>
  <c r="AK14" i="79"/>
  <c r="AJ14" i="79"/>
  <c r="AH14" i="79"/>
  <c r="AG14" i="79"/>
  <c r="AE14" i="79"/>
  <c r="AD14" i="79"/>
  <c r="AB14" i="79"/>
  <c r="AA14" i="79"/>
  <c r="Y14" i="79"/>
  <c r="X14" i="79"/>
  <c r="V14" i="79"/>
  <c r="W14" i="79" s="1"/>
  <c r="U14" i="79"/>
  <c r="S14" i="79"/>
  <c r="T14" i="79" s="1"/>
  <c r="R14" i="79"/>
  <c r="P14" i="79"/>
  <c r="Q14" i="79" s="1"/>
  <c r="O14" i="79"/>
  <c r="M14" i="79"/>
  <c r="AN13" i="79"/>
  <c r="AM13" i="79"/>
  <c r="AK13" i="79"/>
  <c r="AJ13" i="79"/>
  <c r="AH13" i="79"/>
  <c r="AG13" i="79"/>
  <c r="AE13" i="79"/>
  <c r="AD13" i="79"/>
  <c r="AB13" i="79"/>
  <c r="AA13" i="79"/>
  <c r="Y13" i="79"/>
  <c r="X13" i="79"/>
  <c r="V13" i="79"/>
  <c r="U13" i="79"/>
  <c r="S13" i="79"/>
  <c r="R13" i="79"/>
  <c r="P13" i="79"/>
  <c r="O13" i="79"/>
  <c r="M13" i="79"/>
  <c r="AN12" i="79"/>
  <c r="AM12" i="79"/>
  <c r="AO12" i="79" s="1"/>
  <c r="AK12" i="79"/>
  <c r="AJ12" i="79"/>
  <c r="AH12" i="79"/>
  <c r="AG12" i="79"/>
  <c r="AE12" i="79"/>
  <c r="AD12" i="79"/>
  <c r="AB12" i="79"/>
  <c r="AA12" i="79"/>
  <c r="AC12" i="79" s="1"/>
  <c r="Y12" i="79"/>
  <c r="X12" i="79"/>
  <c r="V12" i="79"/>
  <c r="W12" i="79" s="1"/>
  <c r="U12" i="79"/>
  <c r="S12" i="79"/>
  <c r="R12" i="79"/>
  <c r="P12" i="79"/>
  <c r="O12" i="79"/>
  <c r="M12" i="79"/>
  <c r="AN10" i="79"/>
  <c r="AM10" i="79"/>
  <c r="AK10" i="79"/>
  <c r="AJ10" i="79"/>
  <c r="AH10" i="79"/>
  <c r="AG10" i="79"/>
  <c r="AE10" i="79"/>
  <c r="AD10" i="79"/>
  <c r="AB10" i="79"/>
  <c r="AA10" i="79"/>
  <c r="Y10" i="79"/>
  <c r="X10" i="79"/>
  <c r="V10" i="79"/>
  <c r="U10" i="79"/>
  <c r="S10" i="79"/>
  <c r="R10" i="79"/>
  <c r="P10" i="79"/>
  <c r="Q10" i="79" s="1"/>
  <c r="O10" i="79"/>
  <c r="M10" i="79"/>
  <c r="AN9" i="79"/>
  <c r="AM9" i="79"/>
  <c r="AK9" i="79"/>
  <c r="AJ9" i="79"/>
  <c r="AH9" i="79"/>
  <c r="AG9" i="79"/>
  <c r="AI9" i="79" s="1"/>
  <c r="AE9" i="79"/>
  <c r="AD9" i="79"/>
  <c r="AF9" i="79" s="1"/>
  <c r="AB9" i="79"/>
  <c r="AA9" i="79"/>
  <c r="Y9" i="79"/>
  <c r="X9" i="79"/>
  <c r="W9" i="79"/>
  <c r="V9" i="79"/>
  <c r="U9" i="79"/>
  <c r="S9" i="79"/>
  <c r="R9" i="79"/>
  <c r="P9" i="79"/>
  <c r="Q9" i="79" s="1"/>
  <c r="O9" i="79"/>
  <c r="M9" i="79"/>
  <c r="AN8" i="79"/>
  <c r="AM8" i="79"/>
  <c r="AK8" i="79"/>
  <c r="AJ8" i="79"/>
  <c r="AH8" i="79"/>
  <c r="AG8" i="79"/>
  <c r="AE8" i="79"/>
  <c r="AD8" i="79"/>
  <c r="AB8" i="79"/>
  <c r="AA8" i="79"/>
  <c r="Y8" i="79"/>
  <c r="X8" i="79"/>
  <c r="V8" i="79"/>
  <c r="W8" i="79" s="1"/>
  <c r="U8" i="79"/>
  <c r="S8" i="79"/>
  <c r="R8" i="79"/>
  <c r="P8" i="79"/>
  <c r="Q8" i="79" s="1"/>
  <c r="O8" i="79"/>
  <c r="M8" i="79"/>
  <c r="AN7" i="79"/>
  <c r="AK7" i="79"/>
  <c r="AH7" i="79"/>
  <c r="AE7" i="79"/>
  <c r="AB7" i="79"/>
  <c r="Y7" i="79"/>
  <c r="V7" i="79"/>
  <c r="S7" i="79"/>
  <c r="P7" i="79"/>
  <c r="M7" i="79"/>
  <c r="J63" i="79"/>
  <c r="J62" i="79"/>
  <c r="J61" i="79"/>
  <c r="J60" i="79"/>
  <c r="J59" i="79"/>
  <c r="J58" i="79"/>
  <c r="J56" i="79"/>
  <c r="J55" i="79"/>
  <c r="J54" i="79"/>
  <c r="J53" i="79"/>
  <c r="J52" i="79"/>
  <c r="J50" i="79"/>
  <c r="J49" i="79"/>
  <c r="J48" i="79"/>
  <c r="J47" i="79"/>
  <c r="J46" i="79"/>
  <c r="J44" i="79"/>
  <c r="J43" i="79"/>
  <c r="J41" i="79"/>
  <c r="J40" i="79"/>
  <c r="J39" i="79"/>
  <c r="J38" i="79"/>
  <c r="J37" i="79"/>
  <c r="J35" i="79"/>
  <c r="J34" i="79"/>
  <c r="J33" i="79"/>
  <c r="J32" i="79"/>
  <c r="J31" i="79"/>
  <c r="J29" i="79"/>
  <c r="J28" i="79"/>
  <c r="J27" i="79"/>
  <c r="J26" i="79"/>
  <c r="J25" i="79"/>
  <c r="J24" i="79"/>
  <c r="J22" i="79"/>
  <c r="J21" i="79"/>
  <c r="J20" i="79"/>
  <c r="J19" i="79"/>
  <c r="J18" i="79"/>
  <c r="J16" i="79"/>
  <c r="J15" i="79"/>
  <c r="J14" i="79"/>
  <c r="J13" i="79"/>
  <c r="J12" i="79"/>
  <c r="J10" i="79"/>
  <c r="J9" i="79"/>
  <c r="J8" i="79"/>
  <c r="J7" i="79"/>
  <c r="G63" i="79"/>
  <c r="G62" i="79"/>
  <c r="G61" i="79"/>
  <c r="G60" i="79"/>
  <c r="G59" i="79"/>
  <c r="G58" i="79"/>
  <c r="G56" i="79"/>
  <c r="G55" i="79"/>
  <c r="G54" i="79"/>
  <c r="G53" i="79"/>
  <c r="G52" i="79"/>
  <c r="G50" i="79"/>
  <c r="G49" i="79"/>
  <c r="G48" i="79"/>
  <c r="G47" i="79"/>
  <c r="G46" i="79"/>
  <c r="G44" i="79"/>
  <c r="G43" i="79"/>
  <c r="G41" i="79"/>
  <c r="G40" i="79"/>
  <c r="G39" i="79"/>
  <c r="G38" i="79"/>
  <c r="G37" i="79"/>
  <c r="G35" i="79"/>
  <c r="G34" i="79"/>
  <c r="G33" i="79"/>
  <c r="G32" i="79"/>
  <c r="G31" i="79"/>
  <c r="G29" i="79"/>
  <c r="G28" i="79"/>
  <c r="G27" i="79"/>
  <c r="G26" i="79"/>
  <c r="G25" i="79"/>
  <c r="G24" i="79"/>
  <c r="G22" i="79"/>
  <c r="G21" i="79"/>
  <c r="G20" i="79"/>
  <c r="G19" i="79"/>
  <c r="G18" i="79"/>
  <c r="G16" i="79"/>
  <c r="G15" i="79"/>
  <c r="G14" i="79"/>
  <c r="G13" i="79"/>
  <c r="G12" i="79"/>
  <c r="G10" i="79"/>
  <c r="G9" i="79"/>
  <c r="G8" i="79"/>
  <c r="G7" i="79"/>
  <c r="AF58" i="79" l="1"/>
  <c r="AO33" i="79"/>
  <c r="AO44" i="79"/>
  <c r="AL32" i="79"/>
  <c r="AI27" i="79"/>
  <c r="AL24" i="79"/>
  <c r="AL22" i="79"/>
  <c r="AI8" i="79"/>
  <c r="AI35" i="79"/>
  <c r="AI21" i="79"/>
  <c r="AF50" i="79"/>
  <c r="AF31" i="79"/>
  <c r="AF15" i="79"/>
  <c r="AF27" i="79"/>
  <c r="AC34" i="79"/>
  <c r="AC18" i="79"/>
  <c r="AC10" i="79"/>
  <c r="Z21" i="79"/>
  <c r="Z54" i="79"/>
  <c r="Z35" i="79"/>
  <c r="Z48" i="79"/>
  <c r="AO8" i="79"/>
  <c r="AO20" i="79"/>
  <c r="AO41" i="79"/>
  <c r="AO52" i="79"/>
  <c r="AO26" i="79"/>
  <c r="AO16" i="79"/>
  <c r="AO60" i="79"/>
  <c r="AO18" i="79"/>
  <c r="AO39" i="79"/>
  <c r="AO21" i="79"/>
  <c r="AO53" i="79"/>
  <c r="AO62" i="79"/>
  <c r="AO43" i="79"/>
  <c r="AO59" i="79"/>
  <c r="AL54" i="79"/>
  <c r="AL63" i="79"/>
  <c r="AL52" i="79"/>
  <c r="AL58" i="79"/>
  <c r="AL27" i="79"/>
  <c r="AL47" i="79"/>
  <c r="AL56" i="79"/>
  <c r="AL62" i="79"/>
  <c r="AL12" i="79"/>
  <c r="AL29" i="79"/>
  <c r="AL43" i="79"/>
  <c r="AL18" i="79"/>
  <c r="AL14" i="79"/>
  <c r="AL20" i="79"/>
  <c r="AL55" i="79"/>
  <c r="AI12" i="79"/>
  <c r="AI18" i="79"/>
  <c r="AI14" i="79"/>
  <c r="AI47" i="79"/>
  <c r="AI26" i="79"/>
  <c r="AI62" i="79"/>
  <c r="AI10" i="79"/>
  <c r="AI59" i="79"/>
  <c r="AI55" i="79"/>
  <c r="AI15" i="79"/>
  <c r="AI31" i="79"/>
  <c r="AI38" i="79"/>
  <c r="AI48" i="79"/>
  <c r="AI52" i="79"/>
  <c r="AI58" i="79"/>
  <c r="AC53" i="79"/>
  <c r="AC13" i="79"/>
  <c r="AF16" i="79"/>
  <c r="AC9" i="79"/>
  <c r="AF13" i="79"/>
  <c r="AC21" i="79"/>
  <c r="AC41" i="79"/>
  <c r="AF62" i="79"/>
  <c r="AF21" i="79"/>
  <c r="AF41" i="79"/>
  <c r="AF55" i="79"/>
  <c r="AF12" i="79"/>
  <c r="AC20" i="79"/>
  <c r="AF44" i="79"/>
  <c r="AF14" i="79"/>
  <c r="AC22" i="79"/>
  <c r="Z12" i="79"/>
  <c r="Z24" i="79"/>
  <c r="Z14" i="79"/>
  <c r="Z58" i="79"/>
  <c r="Z33" i="79"/>
  <c r="Z26" i="79"/>
  <c r="Z16" i="79"/>
  <c r="Z43" i="79"/>
  <c r="Z50" i="79"/>
  <c r="Z63" i="79"/>
  <c r="Z31" i="79"/>
  <c r="Z38" i="79"/>
  <c r="Z32" i="79"/>
  <c r="Z56" i="79"/>
  <c r="Z19" i="79"/>
  <c r="Z25" i="79"/>
  <c r="AO9" i="79"/>
  <c r="T13" i="79"/>
  <c r="AL13" i="79"/>
  <c r="Q19" i="79"/>
  <c r="AI19" i="79"/>
  <c r="Q22" i="79"/>
  <c r="AI22" i="79"/>
  <c r="Z29" i="79"/>
  <c r="AC31" i="79"/>
  <c r="AL33" i="79"/>
  <c r="AO34" i="79"/>
  <c r="W38" i="79"/>
  <c r="AO38" i="79"/>
  <c r="AC39" i="79"/>
  <c r="T41" i="79"/>
  <c r="AL41" i="79"/>
  <c r="AF48" i="79"/>
  <c r="Q60" i="79"/>
  <c r="T8" i="79"/>
  <c r="AL8" i="79"/>
  <c r="Z9" i="79"/>
  <c r="AF10" i="79"/>
  <c r="T12" i="79"/>
  <c r="AC16" i="79"/>
  <c r="Q18" i="79"/>
  <c r="AF18" i="79"/>
  <c r="Z20" i="79"/>
  <c r="AO24" i="79"/>
  <c r="AC25" i="79"/>
  <c r="AC29" i="79"/>
  <c r="AI32" i="79"/>
  <c r="W33" i="79"/>
  <c r="Z34" i="79"/>
  <c r="AF35" i="79"/>
  <c r="T37" i="79"/>
  <c r="Q40" i="79"/>
  <c r="AC43" i="79"/>
  <c r="Q44" i="79"/>
  <c r="AI44" i="79"/>
  <c r="W46" i="79"/>
  <c r="AL46" i="79"/>
  <c r="AL49" i="79"/>
  <c r="AC52" i="79"/>
  <c r="Q56" i="79"/>
  <c r="AI56" i="79"/>
  <c r="AC59" i="79"/>
  <c r="W13" i="79"/>
  <c r="AO13" i="79"/>
  <c r="AO14" i="79"/>
  <c r="AO15" i="79"/>
  <c r="AL19" i="79"/>
  <c r="Q21" i="79"/>
  <c r="T22" i="79"/>
  <c r="Z28" i="79"/>
  <c r="AO28" i="79"/>
  <c r="T32" i="79"/>
  <c r="Q35" i="79"/>
  <c r="W37" i="79"/>
  <c r="T40" i="79"/>
  <c r="Z13" i="79"/>
  <c r="AC14" i="79"/>
  <c r="W22" i="79"/>
  <c r="AO22" i="79"/>
  <c r="AC24" i="79"/>
  <c r="AL26" i="79"/>
  <c r="AL48" i="79"/>
  <c r="AL53" i="79"/>
  <c r="Z8" i="79"/>
  <c r="T10" i="79"/>
  <c r="AL10" i="79"/>
  <c r="Q16" i="79"/>
  <c r="AI16" i="79"/>
  <c r="AF20" i="79"/>
  <c r="Z27" i="79"/>
  <c r="AO27" i="79"/>
  <c r="W32" i="79"/>
  <c r="AC33" i="79"/>
  <c r="Q34" i="79"/>
  <c r="AF34" i="79"/>
  <c r="AC54" i="79"/>
  <c r="AC38" i="79"/>
  <c r="Z22" i="79"/>
  <c r="AF24" i="79"/>
  <c r="W19" i="79"/>
  <c r="AF29" i="79"/>
  <c r="T31" i="79"/>
  <c r="AC8" i="79"/>
  <c r="T9" i="79"/>
  <c r="W10" i="79"/>
  <c r="AO10" i="79"/>
  <c r="T16" i="79"/>
  <c r="AL16" i="79"/>
  <c r="AC19" i="79"/>
  <c r="Q20" i="79"/>
  <c r="AI20" i="79"/>
  <c r="W21" i="79"/>
  <c r="Q28" i="79"/>
  <c r="W35" i="79"/>
  <c r="AC37" i="79"/>
  <c r="AL39" i="79"/>
  <c r="Z40" i="79"/>
  <c r="AO40" i="79"/>
  <c r="Z44" i="79"/>
  <c r="AC49" i="79"/>
  <c r="Q50" i="79"/>
  <c r="AI50" i="79"/>
  <c r="AL59" i="79"/>
  <c r="W25" i="79"/>
  <c r="AC32" i="79"/>
  <c r="AC15" i="79"/>
  <c r="AF8" i="79"/>
  <c r="AF49" i="79"/>
  <c r="Z10" i="79"/>
  <c r="AL9" i="79"/>
  <c r="Q12" i="79"/>
  <c r="Q13" i="79"/>
  <c r="AI13" i="79"/>
  <c r="AF22" i="79"/>
  <c r="AO25" i="79"/>
  <c r="AC26" i="79"/>
  <c r="W29" i="79"/>
  <c r="AO31" i="79"/>
  <c r="AF32" i="79"/>
  <c r="AI33" i="79"/>
  <c r="AL34" i="79"/>
  <c r="AC35" i="79"/>
  <c r="W47" i="79"/>
  <c r="AC48" i="79"/>
  <c r="Q49" i="79"/>
  <c r="AO55" i="79"/>
  <c r="AI61" i="79"/>
  <c r="Z55" i="79"/>
  <c r="AC56" i="79"/>
  <c r="Z60" i="79"/>
  <c r="AC61" i="79"/>
  <c r="Q62" i="79"/>
  <c r="AC50" i="79"/>
  <c r="Q52" i="79"/>
  <c r="W54" i="79"/>
  <c r="AO54" i="79"/>
  <c r="T58" i="79"/>
  <c r="W59" i="79"/>
  <c r="W63" i="79"/>
  <c r="AO63" i="79"/>
  <c r="Q37" i="79"/>
  <c r="AF37" i="79"/>
  <c r="AL38" i="79"/>
  <c r="Z39" i="79"/>
  <c r="AC40" i="79"/>
  <c r="Q41" i="79"/>
  <c r="AI41" i="79"/>
  <c r="AC44" i="79"/>
  <c r="AF46" i="79"/>
  <c r="T47" i="79"/>
  <c r="AO48" i="79"/>
  <c r="AO49" i="79"/>
  <c r="Q53" i="79"/>
  <c r="AI53" i="79"/>
  <c r="AF56" i="79"/>
  <c r="AC60" i="79"/>
  <c r="T62" i="79"/>
  <c r="AC63" i="79"/>
  <c r="Z47" i="79"/>
  <c r="T50" i="79"/>
  <c r="AL50" i="79"/>
  <c r="AI60" i="79"/>
  <c r="Z62" i="79"/>
  <c r="AF63" i="79"/>
  <c r="Z41" i="79"/>
  <c r="AF43" i="79"/>
  <c r="T44" i="79"/>
  <c r="AL44" i="79"/>
  <c r="Q48" i="79"/>
  <c r="Z53" i="79"/>
  <c r="W56" i="79"/>
  <c r="AO56" i="79"/>
  <c r="AF59" i="79"/>
  <c r="W61" i="79"/>
  <c r="AL21" i="79"/>
  <c r="Q24" i="79"/>
  <c r="AC27" i="79"/>
  <c r="Q29" i="79"/>
  <c r="AI29" i="79"/>
  <c r="T35" i="79"/>
  <c r="AL35" i="79"/>
  <c r="AF38" i="79"/>
  <c r="AI39" i="79"/>
  <c r="Q43" i="79"/>
  <c r="AO46" i="79"/>
  <c r="W50" i="79"/>
  <c r="AO50" i="79"/>
  <c r="Q54" i="79"/>
  <c r="AI54" i="79"/>
  <c r="Q59" i="79"/>
  <c r="AL60" i="79"/>
  <c r="Z61" i="79"/>
  <c r="AO61" i="79"/>
  <c r="AC62" i="79"/>
  <c r="Q63" i="79"/>
  <c r="AI63" i="79"/>
  <c r="AF47" i="79"/>
  <c r="T54" i="79"/>
  <c r="Q58" i="79"/>
  <c r="AE11" i="79"/>
  <c r="AK11" i="79"/>
  <c r="AW65" i="77"/>
  <c r="AV65" i="77"/>
  <c r="BD65" i="77"/>
  <c r="BC65" i="77"/>
  <c r="BI65" i="77" s="1"/>
  <c r="BG65" i="77"/>
  <c r="BK65" i="77"/>
  <c r="BJ65" i="77"/>
  <c r="BR65" i="77"/>
  <c r="BQ65" i="77"/>
  <c r="BW65" i="77" s="1"/>
  <c r="BY65" i="77"/>
  <c r="BX65" i="77"/>
  <c r="CF65" i="77"/>
  <c r="CE65" i="77"/>
  <c r="CB65" i="77"/>
  <c r="CJ65" i="77"/>
  <c r="CC65" i="77"/>
  <c r="BV65" i="77"/>
  <c r="BO65" i="77"/>
  <c r="BH65" i="77"/>
  <c r="BA65" i="77"/>
  <c r="AT65" i="77"/>
  <c r="AM65" i="77"/>
  <c r="AF65" i="77"/>
  <c r="Y65" i="77"/>
  <c r="R65" i="77"/>
  <c r="K65" i="77"/>
  <c r="AC65" i="76"/>
  <c r="AB65" i="76"/>
  <c r="AA65" i="76"/>
  <c r="Z65" i="76"/>
  <c r="Y65" i="76"/>
  <c r="X65" i="76"/>
  <c r="W65" i="76"/>
  <c r="V65" i="76"/>
  <c r="U65" i="76"/>
  <c r="T65" i="76"/>
  <c r="S65" i="76"/>
  <c r="R65" i="76"/>
  <c r="S63" i="76"/>
  <c r="R63" i="76"/>
  <c r="S62" i="76"/>
  <c r="R62" i="76"/>
  <c r="S61" i="76"/>
  <c r="R61" i="76"/>
  <c r="S60" i="76"/>
  <c r="R60" i="76"/>
  <c r="S59" i="76"/>
  <c r="R59" i="76"/>
  <c r="S58" i="76"/>
  <c r="R58" i="76"/>
  <c r="S56" i="76"/>
  <c r="R56" i="76"/>
  <c r="S55" i="76"/>
  <c r="R55" i="76"/>
  <c r="S54" i="76"/>
  <c r="R54" i="76"/>
  <c r="S53" i="76"/>
  <c r="R53" i="76"/>
  <c r="S52" i="76"/>
  <c r="R52" i="76"/>
  <c r="S50" i="76"/>
  <c r="R50" i="76"/>
  <c r="S49" i="76"/>
  <c r="R49" i="76"/>
  <c r="S48" i="76"/>
  <c r="R48" i="76"/>
  <c r="S47" i="76"/>
  <c r="R47" i="76"/>
  <c r="S46" i="76"/>
  <c r="R46" i="76"/>
  <c r="S44" i="76"/>
  <c r="R44" i="76"/>
  <c r="S43" i="76"/>
  <c r="R43" i="76"/>
  <c r="S41" i="76"/>
  <c r="R41" i="76"/>
  <c r="S40" i="76"/>
  <c r="R40" i="76"/>
  <c r="S39" i="76"/>
  <c r="R39" i="76"/>
  <c r="S38" i="76"/>
  <c r="R38" i="76"/>
  <c r="S37" i="76"/>
  <c r="R37" i="76"/>
  <c r="S35" i="76"/>
  <c r="R35" i="76"/>
  <c r="S34" i="76"/>
  <c r="R34" i="76"/>
  <c r="S33" i="76"/>
  <c r="R33" i="76"/>
  <c r="S32" i="76"/>
  <c r="R32" i="76"/>
  <c r="S31" i="76"/>
  <c r="R31" i="76"/>
  <c r="S29" i="76"/>
  <c r="R29" i="76"/>
  <c r="S28" i="76"/>
  <c r="R28" i="76"/>
  <c r="S27" i="76"/>
  <c r="R27" i="76"/>
  <c r="S26" i="76"/>
  <c r="R26" i="76"/>
  <c r="S25" i="76"/>
  <c r="R25" i="76"/>
  <c r="S24" i="76"/>
  <c r="R24" i="76"/>
  <c r="S22" i="76"/>
  <c r="R22" i="76"/>
  <c r="S21" i="76"/>
  <c r="R21" i="76"/>
  <c r="S20" i="76"/>
  <c r="R20" i="76"/>
  <c r="S19" i="76"/>
  <c r="R19" i="76"/>
  <c r="S18" i="76"/>
  <c r="R18" i="76"/>
  <c r="S16" i="76"/>
  <c r="R16" i="76"/>
  <c r="S15" i="76"/>
  <c r="R15" i="76"/>
  <c r="S14" i="76"/>
  <c r="R14" i="76"/>
  <c r="S13" i="76"/>
  <c r="R13" i="76"/>
  <c r="S12" i="76"/>
  <c r="R12" i="76"/>
  <c r="S10" i="76"/>
  <c r="R10" i="76"/>
  <c r="S9" i="76"/>
  <c r="R9" i="76"/>
  <c r="S8" i="76"/>
  <c r="R8" i="76"/>
  <c r="S7" i="76"/>
  <c r="R7" i="76"/>
  <c r="K63" i="77"/>
  <c r="K62" i="77"/>
  <c r="K61" i="77"/>
  <c r="K60" i="77"/>
  <c r="K59" i="77"/>
  <c r="K58" i="77"/>
  <c r="K56" i="77"/>
  <c r="K55" i="77"/>
  <c r="K54" i="77"/>
  <c r="K53" i="77"/>
  <c r="K52" i="77"/>
  <c r="K50" i="77"/>
  <c r="K49" i="77"/>
  <c r="K48" i="77"/>
  <c r="K47" i="77"/>
  <c r="K46" i="77"/>
  <c r="K44" i="77"/>
  <c r="K43" i="77"/>
  <c r="K41" i="77"/>
  <c r="K40" i="77"/>
  <c r="K39" i="77"/>
  <c r="K38" i="77"/>
  <c r="K37" i="77"/>
  <c r="K35" i="77"/>
  <c r="K34" i="77"/>
  <c r="K33" i="77"/>
  <c r="K32" i="77"/>
  <c r="K31" i="77"/>
  <c r="K29" i="77"/>
  <c r="K28" i="77"/>
  <c r="K27" i="77"/>
  <c r="K26" i="77"/>
  <c r="K25" i="77"/>
  <c r="K24" i="77"/>
  <c r="K22" i="77"/>
  <c r="K21" i="77"/>
  <c r="K20" i="77"/>
  <c r="K19" i="77"/>
  <c r="K18" i="77"/>
  <c r="K16" i="77"/>
  <c r="K15" i="77"/>
  <c r="K14" i="77"/>
  <c r="K13" i="77"/>
  <c r="K12" i="77"/>
  <c r="K10" i="77"/>
  <c r="K9" i="77"/>
  <c r="K8" i="77"/>
  <c r="R63" i="77"/>
  <c r="R62" i="77"/>
  <c r="R61" i="77"/>
  <c r="R60" i="77"/>
  <c r="R59" i="77"/>
  <c r="R58" i="77"/>
  <c r="R56" i="77"/>
  <c r="R55" i="77"/>
  <c r="R54" i="77"/>
  <c r="R53" i="77"/>
  <c r="R52" i="77"/>
  <c r="R50" i="77"/>
  <c r="R49" i="77"/>
  <c r="R48" i="77"/>
  <c r="R47" i="77"/>
  <c r="R46" i="77"/>
  <c r="R44" i="77"/>
  <c r="R43" i="77"/>
  <c r="R41" i="77"/>
  <c r="R40" i="77"/>
  <c r="R39" i="77"/>
  <c r="R38" i="77"/>
  <c r="R37" i="77"/>
  <c r="R35" i="77"/>
  <c r="R34" i="77"/>
  <c r="R33" i="77"/>
  <c r="R32" i="77"/>
  <c r="R31" i="77"/>
  <c r="R29" i="77"/>
  <c r="R28" i="77"/>
  <c r="R27" i="77"/>
  <c r="R26" i="77"/>
  <c r="R25" i="77"/>
  <c r="R24" i="77"/>
  <c r="R22" i="77"/>
  <c r="R21" i="77"/>
  <c r="R20" i="77"/>
  <c r="R19" i="77"/>
  <c r="R18" i="77"/>
  <c r="R16" i="77"/>
  <c r="R15" i="77"/>
  <c r="R14" i="77"/>
  <c r="R13" i="77"/>
  <c r="R12" i="77"/>
  <c r="R10" i="77"/>
  <c r="R9" i="77"/>
  <c r="R8" i="77"/>
  <c r="Y63" i="77"/>
  <c r="Y62" i="77"/>
  <c r="Y61" i="77"/>
  <c r="Y60" i="77"/>
  <c r="Y59" i="77"/>
  <c r="Y58" i="77"/>
  <c r="Y56" i="77"/>
  <c r="Y55" i="77"/>
  <c r="Y54" i="77"/>
  <c r="Y53" i="77"/>
  <c r="Y52" i="77"/>
  <c r="Y50" i="77"/>
  <c r="Y49" i="77"/>
  <c r="Y48" i="77"/>
  <c r="Y47" i="77"/>
  <c r="Y46" i="77"/>
  <c r="Y44" i="77"/>
  <c r="Y43" i="77"/>
  <c r="Y41" i="77"/>
  <c r="Y40" i="77"/>
  <c r="Y39" i="77"/>
  <c r="Y38" i="77"/>
  <c r="Y37" i="77"/>
  <c r="Y35" i="77"/>
  <c r="Y34" i="77"/>
  <c r="Y33" i="77"/>
  <c r="Y32" i="77"/>
  <c r="Y31" i="77"/>
  <c r="Y29" i="77"/>
  <c r="Y28" i="77"/>
  <c r="Y27" i="77"/>
  <c r="Y26" i="77"/>
  <c r="Y25" i="77"/>
  <c r="Y24" i="77"/>
  <c r="Y22" i="77"/>
  <c r="Y21" i="77"/>
  <c r="Y20" i="77"/>
  <c r="Y19" i="77"/>
  <c r="Y18" i="77"/>
  <c r="Y16" i="77"/>
  <c r="Y15" i="77"/>
  <c r="Y14" i="77"/>
  <c r="Y13" i="77"/>
  <c r="Y12" i="77"/>
  <c r="Y10" i="77"/>
  <c r="Y9" i="77"/>
  <c r="Y8" i="77"/>
  <c r="AF63" i="77"/>
  <c r="AF62" i="77"/>
  <c r="AF61" i="77"/>
  <c r="AF60" i="77"/>
  <c r="AF59" i="77"/>
  <c r="AF58" i="77"/>
  <c r="AF56" i="77"/>
  <c r="AF55" i="77"/>
  <c r="AF54" i="77"/>
  <c r="AF53" i="77"/>
  <c r="AF52" i="77"/>
  <c r="AF50" i="77"/>
  <c r="AF49" i="77"/>
  <c r="AF48" i="77"/>
  <c r="AF47" i="77"/>
  <c r="AF46" i="77"/>
  <c r="AF44" i="77"/>
  <c r="AF43" i="77"/>
  <c r="AF41" i="77"/>
  <c r="AF40" i="77"/>
  <c r="AF39" i="77"/>
  <c r="AF38" i="77"/>
  <c r="AF37" i="77"/>
  <c r="AF35" i="77"/>
  <c r="AF34" i="77"/>
  <c r="AF33" i="77"/>
  <c r="AF32" i="77"/>
  <c r="AF31" i="77"/>
  <c r="AF29" i="77"/>
  <c r="AF28" i="77"/>
  <c r="AF27" i="77"/>
  <c r="AF26" i="77"/>
  <c r="AF25" i="77"/>
  <c r="AF24" i="77"/>
  <c r="AF22" i="77"/>
  <c r="AF21" i="77"/>
  <c r="AF20" i="77"/>
  <c r="AF19" i="77"/>
  <c r="AF18" i="77"/>
  <c r="AF16" i="77"/>
  <c r="AF15" i="77"/>
  <c r="AF14" i="77"/>
  <c r="AF13" i="77"/>
  <c r="AF12" i="77"/>
  <c r="AF10" i="77"/>
  <c r="AF9" i="77"/>
  <c r="AF8" i="77"/>
  <c r="AM63" i="77"/>
  <c r="AM62" i="77"/>
  <c r="AM61" i="77"/>
  <c r="AM60" i="77"/>
  <c r="AM59" i="77"/>
  <c r="AM58" i="77"/>
  <c r="AM56" i="77"/>
  <c r="AM55" i="77"/>
  <c r="AM54" i="77"/>
  <c r="AM53" i="77"/>
  <c r="AM52" i="77"/>
  <c r="AM50" i="77"/>
  <c r="AM49" i="77"/>
  <c r="AM48" i="77"/>
  <c r="AM47" i="77"/>
  <c r="AM46" i="77"/>
  <c r="AM44" i="77"/>
  <c r="AM43" i="77"/>
  <c r="AM41" i="77"/>
  <c r="AM40" i="77"/>
  <c r="AM39" i="77"/>
  <c r="AM38" i="77"/>
  <c r="AM37" i="77"/>
  <c r="AM35" i="77"/>
  <c r="AM34" i="77"/>
  <c r="AM33" i="77"/>
  <c r="AM32" i="77"/>
  <c r="AM31" i="77"/>
  <c r="AM29" i="77"/>
  <c r="AM28" i="77"/>
  <c r="AM27" i="77"/>
  <c r="AM26" i="77"/>
  <c r="AM25" i="77"/>
  <c r="AM24" i="77"/>
  <c r="AM22" i="77"/>
  <c r="AM21" i="77"/>
  <c r="AM20" i="77"/>
  <c r="AM19" i="77"/>
  <c r="AM18" i="77"/>
  <c r="AM16" i="77"/>
  <c r="AM15" i="77"/>
  <c r="AM14" i="77"/>
  <c r="AM13" i="77"/>
  <c r="AM12" i="77"/>
  <c r="AM10" i="77"/>
  <c r="AM9" i="77"/>
  <c r="AM8" i="77"/>
  <c r="AT63" i="77"/>
  <c r="AT62" i="77"/>
  <c r="AT61" i="77"/>
  <c r="AT60" i="77"/>
  <c r="AT59" i="77"/>
  <c r="AT58" i="77"/>
  <c r="AT56" i="77"/>
  <c r="AT55" i="77"/>
  <c r="AT54" i="77"/>
  <c r="AT53" i="77"/>
  <c r="AT52" i="77"/>
  <c r="AT50" i="77"/>
  <c r="AT49" i="77"/>
  <c r="AT48" i="77"/>
  <c r="AT47" i="77"/>
  <c r="AT46" i="77"/>
  <c r="AT44" i="77"/>
  <c r="AT43" i="77"/>
  <c r="AT41" i="77"/>
  <c r="AT40" i="77"/>
  <c r="AT39" i="77"/>
  <c r="AT38" i="77"/>
  <c r="AT37" i="77"/>
  <c r="AT35" i="77"/>
  <c r="AT34" i="77"/>
  <c r="AT33" i="77"/>
  <c r="AT32" i="77"/>
  <c r="AT31" i="77"/>
  <c r="AT29" i="77"/>
  <c r="AT28" i="77"/>
  <c r="AT27" i="77"/>
  <c r="AT26" i="77"/>
  <c r="AT25" i="77"/>
  <c r="AT24" i="77"/>
  <c r="AT22" i="77"/>
  <c r="AT21" i="77"/>
  <c r="AT20" i="77"/>
  <c r="AT19" i="77"/>
  <c r="AT18" i="77"/>
  <c r="AT16" i="77"/>
  <c r="AT15" i="77"/>
  <c r="AT14" i="77"/>
  <c r="AT13" i="77"/>
  <c r="AT12" i="77"/>
  <c r="AT10" i="77"/>
  <c r="AT9" i="77"/>
  <c r="AT8" i="77"/>
  <c r="BA60" i="77"/>
  <c r="BA59" i="77"/>
  <c r="BA58" i="77"/>
  <c r="BA56" i="77"/>
  <c r="BA55" i="77"/>
  <c r="BA52" i="77"/>
  <c r="BA43" i="77"/>
  <c r="BA41" i="77"/>
  <c r="BA40" i="77"/>
  <c r="BA37" i="77"/>
  <c r="BA35" i="77"/>
  <c r="BA28" i="77"/>
  <c r="BA27" i="77"/>
  <c r="BA26" i="77"/>
  <c r="BA14" i="77"/>
  <c r="BA13" i="77"/>
  <c r="BA12" i="77"/>
  <c r="BH56" i="77"/>
  <c r="BH55" i="77"/>
  <c r="BH54" i="77"/>
  <c r="BH50" i="77"/>
  <c r="BH44" i="77"/>
  <c r="BH43" i="77"/>
  <c r="BH41" i="77"/>
  <c r="BH40" i="77"/>
  <c r="BH39" i="77"/>
  <c r="BH27" i="77"/>
  <c r="BH26" i="77"/>
  <c r="BH25" i="77"/>
  <c r="BH21" i="77"/>
  <c r="BH20" i="77"/>
  <c r="BH15" i="77"/>
  <c r="BH13" i="77"/>
  <c r="BH12" i="77"/>
  <c r="BH10" i="77"/>
  <c r="BO55" i="77"/>
  <c r="BO54" i="77"/>
  <c r="BO53" i="77"/>
  <c r="BO49" i="77"/>
  <c r="BO40" i="77"/>
  <c r="BO39" i="77"/>
  <c r="BO38" i="77"/>
  <c r="BO28" i="77"/>
  <c r="BO27" i="77"/>
  <c r="BO26" i="77"/>
  <c r="BO25" i="77"/>
  <c r="BO24" i="77"/>
  <c r="BO14" i="77"/>
  <c r="BO12" i="77"/>
  <c r="BO10" i="77"/>
  <c r="BO9" i="77"/>
  <c r="BV62" i="77"/>
  <c r="BV61" i="77"/>
  <c r="BV56" i="77"/>
  <c r="BV55" i="77"/>
  <c r="BV54" i="77"/>
  <c r="BV53" i="77"/>
  <c r="BV52" i="77"/>
  <c r="BV48" i="77"/>
  <c r="BV39" i="77"/>
  <c r="BV38" i="77"/>
  <c r="BV37" i="77"/>
  <c r="BV33" i="77"/>
  <c r="BV32" i="77"/>
  <c r="BV25" i="77"/>
  <c r="BV24" i="77"/>
  <c r="BV22" i="77"/>
  <c r="BV10" i="77"/>
  <c r="BV9" i="77"/>
  <c r="BV8" i="77"/>
  <c r="CC53" i="77"/>
  <c r="CC52" i="77"/>
  <c r="CC50" i="77"/>
  <c r="CC47" i="77"/>
  <c r="CC40" i="77"/>
  <c r="CC39" i="77"/>
  <c r="CC38" i="77"/>
  <c r="CC37" i="77"/>
  <c r="CC35" i="77"/>
  <c r="CC24" i="77"/>
  <c r="CC22" i="77"/>
  <c r="CC21" i="77"/>
  <c r="CC18" i="77"/>
  <c r="CC16" i="77"/>
  <c r="CC12" i="77"/>
  <c r="CC9" i="77"/>
  <c r="CC8" i="77"/>
  <c r="CJ63" i="77"/>
  <c r="CJ52" i="77"/>
  <c r="CJ50" i="77"/>
  <c r="CJ49" i="77"/>
  <c r="CJ46" i="77"/>
  <c r="CJ37" i="77"/>
  <c r="CJ35" i="77"/>
  <c r="CJ34" i="77"/>
  <c r="CJ26" i="77"/>
  <c r="CJ25" i="77"/>
  <c r="CJ24" i="77"/>
  <c r="CJ22" i="77"/>
  <c r="CJ21" i="77"/>
  <c r="CJ12" i="77"/>
  <c r="CJ8" i="77"/>
  <c r="CJ7" i="77"/>
  <c r="BO7" i="77"/>
  <c r="BH7" i="77"/>
  <c r="AT7" i="77"/>
  <c r="AM7" i="77"/>
  <c r="AF7" i="77"/>
  <c r="Y7" i="77"/>
  <c r="R7" i="77"/>
  <c r="K7" i="77"/>
  <c r="CH65" i="77"/>
  <c r="CA65" i="77"/>
  <c r="BT65" i="77"/>
  <c r="BM65" i="77"/>
  <c r="BN65" i="77" s="1"/>
  <c r="BF65" i="77"/>
  <c r="AY65" i="77"/>
  <c r="AR65" i="77"/>
  <c r="AK65" i="77"/>
  <c r="AD65" i="77"/>
  <c r="W65" i="77"/>
  <c r="P65" i="77"/>
  <c r="I65" i="77"/>
  <c r="I63" i="77"/>
  <c r="BA63" i="77" s="1"/>
  <c r="I62" i="77"/>
  <c r="BA62" i="77" s="1"/>
  <c r="I61" i="77"/>
  <c r="BA61" i="77" s="1"/>
  <c r="I60" i="77"/>
  <c r="I59" i="77"/>
  <c r="I58" i="77"/>
  <c r="I56" i="77"/>
  <c r="I55" i="77"/>
  <c r="I54" i="77"/>
  <c r="BA54" i="77" s="1"/>
  <c r="I53" i="77"/>
  <c r="BA53" i="77" s="1"/>
  <c r="I52" i="77"/>
  <c r="I50" i="77"/>
  <c r="BA50" i="77" s="1"/>
  <c r="I49" i="77"/>
  <c r="BA49" i="77" s="1"/>
  <c r="I48" i="77"/>
  <c r="BA48" i="77" s="1"/>
  <c r="I47" i="77"/>
  <c r="BA47" i="77" s="1"/>
  <c r="I46" i="77"/>
  <c r="BA46" i="77" s="1"/>
  <c r="I44" i="77"/>
  <c r="BA44" i="77" s="1"/>
  <c r="I43" i="77"/>
  <c r="I41" i="77"/>
  <c r="I40" i="77"/>
  <c r="I39" i="77"/>
  <c r="BA39" i="77" s="1"/>
  <c r="I38" i="77"/>
  <c r="BA38" i="77" s="1"/>
  <c r="I37" i="77"/>
  <c r="I35" i="77"/>
  <c r="I34" i="77"/>
  <c r="BA34" i="77" s="1"/>
  <c r="I33" i="77"/>
  <c r="BA33" i="77" s="1"/>
  <c r="I32" i="77"/>
  <c r="BA32" i="77" s="1"/>
  <c r="I31" i="77"/>
  <c r="BA31" i="77" s="1"/>
  <c r="I29" i="77"/>
  <c r="BA29" i="77" s="1"/>
  <c r="I28" i="77"/>
  <c r="I27" i="77"/>
  <c r="I26" i="77"/>
  <c r="I25" i="77"/>
  <c r="BA25" i="77" s="1"/>
  <c r="I24" i="77"/>
  <c r="BA24" i="77" s="1"/>
  <c r="I22" i="77"/>
  <c r="BA22" i="77" s="1"/>
  <c r="I21" i="77"/>
  <c r="BA21" i="77" s="1"/>
  <c r="I20" i="77"/>
  <c r="BA20" i="77" s="1"/>
  <c r="I19" i="77"/>
  <c r="BA19" i="77" s="1"/>
  <c r="I18" i="77"/>
  <c r="BA18" i="77" s="1"/>
  <c r="I16" i="77"/>
  <c r="BA16" i="77" s="1"/>
  <c r="I15" i="77"/>
  <c r="BA15" i="77" s="1"/>
  <c r="I14" i="77"/>
  <c r="I13" i="77"/>
  <c r="I12" i="77"/>
  <c r="I10" i="77"/>
  <c r="BA10" i="77" s="1"/>
  <c r="I9" i="77"/>
  <c r="BA9" i="77" s="1"/>
  <c r="I8" i="77"/>
  <c r="BA8" i="77" s="1"/>
  <c r="P63" i="77"/>
  <c r="BH63" i="77" s="1"/>
  <c r="P62" i="77"/>
  <c r="BH62" i="77" s="1"/>
  <c r="P61" i="77"/>
  <c r="BH61" i="77" s="1"/>
  <c r="P60" i="77"/>
  <c r="BH60" i="77" s="1"/>
  <c r="P59" i="77"/>
  <c r="BH59" i="77" s="1"/>
  <c r="P58" i="77"/>
  <c r="BH58" i="77" s="1"/>
  <c r="P56" i="77"/>
  <c r="P55" i="77"/>
  <c r="P54" i="77"/>
  <c r="P53" i="77"/>
  <c r="BH53" i="77" s="1"/>
  <c r="P52" i="77"/>
  <c r="BH52" i="77" s="1"/>
  <c r="P50" i="77"/>
  <c r="P49" i="77"/>
  <c r="BH49" i="77" s="1"/>
  <c r="P48" i="77"/>
  <c r="BH48" i="77" s="1"/>
  <c r="P47" i="77"/>
  <c r="BH47" i="77" s="1"/>
  <c r="P46" i="77"/>
  <c r="BH46" i="77" s="1"/>
  <c r="P44" i="77"/>
  <c r="P43" i="77"/>
  <c r="P41" i="77"/>
  <c r="P40" i="77"/>
  <c r="P39" i="77"/>
  <c r="P38" i="77"/>
  <c r="BH38" i="77" s="1"/>
  <c r="P37" i="77"/>
  <c r="BH37" i="77" s="1"/>
  <c r="P35" i="77"/>
  <c r="BH35" i="77" s="1"/>
  <c r="P34" i="77"/>
  <c r="BH34" i="77" s="1"/>
  <c r="P33" i="77"/>
  <c r="BH33" i="77" s="1"/>
  <c r="P32" i="77"/>
  <c r="BH32" i="77" s="1"/>
  <c r="P31" i="77"/>
  <c r="BH31" i="77" s="1"/>
  <c r="P29" i="77"/>
  <c r="BH29" i="77" s="1"/>
  <c r="P28" i="77"/>
  <c r="BH28" i="77" s="1"/>
  <c r="P27" i="77"/>
  <c r="P26" i="77"/>
  <c r="P25" i="77"/>
  <c r="P24" i="77"/>
  <c r="BH24" i="77" s="1"/>
  <c r="P22" i="77"/>
  <c r="BH22" i="77" s="1"/>
  <c r="P21" i="77"/>
  <c r="P20" i="77"/>
  <c r="P19" i="77"/>
  <c r="BH19" i="77" s="1"/>
  <c r="P18" i="77"/>
  <c r="BH18" i="77" s="1"/>
  <c r="P16" i="77"/>
  <c r="BH16" i="77" s="1"/>
  <c r="P15" i="77"/>
  <c r="P14" i="77"/>
  <c r="BH14" i="77" s="1"/>
  <c r="P13" i="77"/>
  <c r="P12" i="77"/>
  <c r="P10" i="77"/>
  <c r="P9" i="77"/>
  <c r="BH9" i="77" s="1"/>
  <c r="P8" i="77"/>
  <c r="BH8" i="77" s="1"/>
  <c r="W63" i="77"/>
  <c r="BO63" i="77" s="1"/>
  <c r="W62" i="77"/>
  <c r="BO62" i="77" s="1"/>
  <c r="W61" i="77"/>
  <c r="BO61" i="77" s="1"/>
  <c r="W60" i="77"/>
  <c r="BO60" i="77" s="1"/>
  <c r="W59" i="77"/>
  <c r="BO59" i="77" s="1"/>
  <c r="W58" i="77"/>
  <c r="BO58" i="77" s="1"/>
  <c r="W56" i="77"/>
  <c r="BO56" i="77" s="1"/>
  <c r="W55" i="77"/>
  <c r="W54" i="77"/>
  <c r="W53" i="77"/>
  <c r="W52" i="77"/>
  <c r="BO52" i="77" s="1"/>
  <c r="W50" i="77"/>
  <c r="BO50" i="77" s="1"/>
  <c r="W49" i="77"/>
  <c r="W48" i="77"/>
  <c r="BO48" i="77" s="1"/>
  <c r="W47" i="77"/>
  <c r="BO47" i="77" s="1"/>
  <c r="W46" i="77"/>
  <c r="BO46" i="77" s="1"/>
  <c r="W44" i="77"/>
  <c r="BO44" i="77" s="1"/>
  <c r="W43" i="77"/>
  <c r="BO43" i="77" s="1"/>
  <c r="W41" i="77"/>
  <c r="BO41" i="77" s="1"/>
  <c r="W40" i="77"/>
  <c r="W39" i="77"/>
  <c r="W38" i="77"/>
  <c r="W37" i="77"/>
  <c r="BO37" i="77" s="1"/>
  <c r="W35" i="77"/>
  <c r="BO35" i="77" s="1"/>
  <c r="W34" i="77"/>
  <c r="BO34" i="77" s="1"/>
  <c r="W33" i="77"/>
  <c r="BO33" i="77" s="1"/>
  <c r="W32" i="77"/>
  <c r="BO32" i="77" s="1"/>
  <c r="W31" i="77"/>
  <c r="BO31" i="77" s="1"/>
  <c r="W29" i="77"/>
  <c r="BO29" i="77" s="1"/>
  <c r="W28" i="77"/>
  <c r="W27" i="77"/>
  <c r="W26" i="77"/>
  <c r="W25" i="77"/>
  <c r="W24" i="77"/>
  <c r="W22" i="77"/>
  <c r="BO22" i="77" s="1"/>
  <c r="W21" i="77"/>
  <c r="BO21" i="77" s="1"/>
  <c r="W20" i="77"/>
  <c r="BO20" i="77" s="1"/>
  <c r="W19" i="77"/>
  <c r="BO19" i="77" s="1"/>
  <c r="W18" i="77"/>
  <c r="BO18" i="77" s="1"/>
  <c r="W16" i="77"/>
  <c r="BO16" i="77" s="1"/>
  <c r="W15" i="77"/>
  <c r="BO15" i="77" s="1"/>
  <c r="W14" i="77"/>
  <c r="W13" i="77"/>
  <c r="BO13" i="77" s="1"/>
  <c r="W12" i="77"/>
  <c r="W10" i="77"/>
  <c r="W9" i="77"/>
  <c r="W8" i="77"/>
  <c r="BO8" i="77" s="1"/>
  <c r="AD63" i="77"/>
  <c r="BV63" i="77" s="1"/>
  <c r="AD62" i="77"/>
  <c r="AD61" i="77"/>
  <c r="AD60" i="77"/>
  <c r="BV60" i="77" s="1"/>
  <c r="AD59" i="77"/>
  <c r="BV59" i="77" s="1"/>
  <c r="AD58" i="77"/>
  <c r="BV58" i="77" s="1"/>
  <c r="AD56" i="77"/>
  <c r="AD55" i="77"/>
  <c r="AD54" i="77"/>
  <c r="AD53" i="77"/>
  <c r="AD52" i="77"/>
  <c r="AD50" i="77"/>
  <c r="BV50" i="77" s="1"/>
  <c r="AD49" i="77"/>
  <c r="BV49" i="77" s="1"/>
  <c r="AD48" i="77"/>
  <c r="AD47" i="77"/>
  <c r="BV47" i="77" s="1"/>
  <c r="AD46" i="77"/>
  <c r="BV46" i="77" s="1"/>
  <c r="AD44" i="77"/>
  <c r="BV44" i="77" s="1"/>
  <c r="AD43" i="77"/>
  <c r="BV43" i="77" s="1"/>
  <c r="AD41" i="77"/>
  <c r="BV41" i="77" s="1"/>
  <c r="AD40" i="77"/>
  <c r="BV40" i="77" s="1"/>
  <c r="AD39" i="77"/>
  <c r="AD38" i="77"/>
  <c r="AD37" i="77"/>
  <c r="AD35" i="77"/>
  <c r="BV35" i="77" s="1"/>
  <c r="AD34" i="77"/>
  <c r="BV34" i="77" s="1"/>
  <c r="AD33" i="77"/>
  <c r="AD32" i="77"/>
  <c r="AD31" i="77"/>
  <c r="BV31" i="77" s="1"/>
  <c r="AD29" i="77"/>
  <c r="BV29" i="77" s="1"/>
  <c r="AD28" i="77"/>
  <c r="BV28" i="77" s="1"/>
  <c r="AD27" i="77"/>
  <c r="BV27" i="77" s="1"/>
  <c r="AD26" i="77"/>
  <c r="BV26" i="77" s="1"/>
  <c r="AD25" i="77"/>
  <c r="AD24" i="77"/>
  <c r="AD22" i="77"/>
  <c r="AD21" i="77"/>
  <c r="BV21" i="77" s="1"/>
  <c r="AD20" i="77"/>
  <c r="BV20" i="77" s="1"/>
  <c r="AD19" i="77"/>
  <c r="BV19" i="77" s="1"/>
  <c r="AD18" i="77"/>
  <c r="BV18" i="77" s="1"/>
  <c r="AD16" i="77"/>
  <c r="BV16" i="77" s="1"/>
  <c r="AD15" i="77"/>
  <c r="BV15" i="77" s="1"/>
  <c r="AD14" i="77"/>
  <c r="BV14" i="77" s="1"/>
  <c r="AD13" i="77"/>
  <c r="BV13" i="77" s="1"/>
  <c r="AD12" i="77"/>
  <c r="BV12" i="77" s="1"/>
  <c r="AD10" i="77"/>
  <c r="AD9" i="77"/>
  <c r="AD8" i="77"/>
  <c r="AK63" i="77"/>
  <c r="CC63" i="77" s="1"/>
  <c r="AK62" i="77"/>
  <c r="CC62" i="77" s="1"/>
  <c r="AK61" i="77"/>
  <c r="CC61" i="77" s="1"/>
  <c r="AK60" i="77"/>
  <c r="CC60" i="77" s="1"/>
  <c r="AK59" i="77"/>
  <c r="CC59" i="77" s="1"/>
  <c r="AK58" i="77"/>
  <c r="CC58" i="77" s="1"/>
  <c r="AK56" i="77"/>
  <c r="CC56" i="77" s="1"/>
  <c r="AK55" i="77"/>
  <c r="CC55" i="77" s="1"/>
  <c r="AK54" i="77"/>
  <c r="CC54" i="77" s="1"/>
  <c r="AK53" i="77"/>
  <c r="AK52" i="77"/>
  <c r="AK50" i="77"/>
  <c r="AK49" i="77"/>
  <c r="CC49" i="77" s="1"/>
  <c r="AK48" i="77"/>
  <c r="CC48" i="77" s="1"/>
  <c r="AK47" i="77"/>
  <c r="AK46" i="77"/>
  <c r="CC46" i="77" s="1"/>
  <c r="AK44" i="77"/>
  <c r="CC44" i="77" s="1"/>
  <c r="AK43" i="77"/>
  <c r="CC43" i="77" s="1"/>
  <c r="AK41" i="77"/>
  <c r="CC41" i="77" s="1"/>
  <c r="AK40" i="77"/>
  <c r="AK39" i="77"/>
  <c r="AK38" i="77"/>
  <c r="AK37" i="77"/>
  <c r="AK35" i="77"/>
  <c r="AK34" i="77"/>
  <c r="CC34" i="77" s="1"/>
  <c r="AK33" i="77"/>
  <c r="CC33" i="77" s="1"/>
  <c r="AK32" i="77"/>
  <c r="CC32" i="77" s="1"/>
  <c r="AK31" i="77"/>
  <c r="CC31" i="77" s="1"/>
  <c r="AK29" i="77"/>
  <c r="CC29" i="77" s="1"/>
  <c r="AK28" i="77"/>
  <c r="CC28" i="77" s="1"/>
  <c r="AK27" i="77"/>
  <c r="CC27" i="77" s="1"/>
  <c r="AK26" i="77"/>
  <c r="CC26" i="77" s="1"/>
  <c r="AK25" i="77"/>
  <c r="CC25" i="77" s="1"/>
  <c r="AK24" i="77"/>
  <c r="AK22" i="77"/>
  <c r="AK21" i="77"/>
  <c r="AK20" i="77"/>
  <c r="CC20" i="77" s="1"/>
  <c r="AK19" i="77"/>
  <c r="CC19" i="77" s="1"/>
  <c r="AK18" i="77"/>
  <c r="AK16" i="77"/>
  <c r="AK15" i="77"/>
  <c r="CC15" i="77" s="1"/>
  <c r="AK14" i="77"/>
  <c r="CC14" i="77" s="1"/>
  <c r="AK13" i="77"/>
  <c r="CC13" i="77" s="1"/>
  <c r="AK12" i="77"/>
  <c r="AK10" i="77"/>
  <c r="CC10" i="77" s="1"/>
  <c r="AK9" i="77"/>
  <c r="AK8" i="77"/>
  <c r="AR63" i="77"/>
  <c r="AR62" i="77"/>
  <c r="CJ62" i="77" s="1"/>
  <c r="AR61" i="77"/>
  <c r="CJ61" i="77" s="1"/>
  <c r="AR60" i="77"/>
  <c r="CJ60" i="77" s="1"/>
  <c r="AR59" i="77"/>
  <c r="CJ59" i="77" s="1"/>
  <c r="AR58" i="77"/>
  <c r="CJ58" i="77" s="1"/>
  <c r="AR56" i="77"/>
  <c r="CJ56" i="77" s="1"/>
  <c r="AR55" i="77"/>
  <c r="CJ55" i="77" s="1"/>
  <c r="AR54" i="77"/>
  <c r="CJ54" i="77" s="1"/>
  <c r="AR53" i="77"/>
  <c r="CJ53" i="77" s="1"/>
  <c r="AR52" i="77"/>
  <c r="AR50" i="77"/>
  <c r="AR49" i="77"/>
  <c r="AR48" i="77"/>
  <c r="CJ48" i="77" s="1"/>
  <c r="AR47" i="77"/>
  <c r="CJ47" i="77" s="1"/>
  <c r="AR46" i="77"/>
  <c r="AR44" i="77"/>
  <c r="CJ44" i="77" s="1"/>
  <c r="AR43" i="77"/>
  <c r="CJ43" i="77" s="1"/>
  <c r="AR41" i="77"/>
  <c r="CJ41" i="77" s="1"/>
  <c r="AR40" i="77"/>
  <c r="CJ40" i="77" s="1"/>
  <c r="AR39" i="77"/>
  <c r="CJ39" i="77" s="1"/>
  <c r="AR38" i="77"/>
  <c r="CJ38" i="77" s="1"/>
  <c r="AR37" i="77"/>
  <c r="AR35" i="77"/>
  <c r="AR34" i="77"/>
  <c r="AR33" i="77"/>
  <c r="CJ33" i="77" s="1"/>
  <c r="AR32" i="77"/>
  <c r="CJ32" i="77" s="1"/>
  <c r="AR31" i="77"/>
  <c r="CJ31" i="77" s="1"/>
  <c r="CJ36" i="77" s="1"/>
  <c r="AR29" i="77"/>
  <c r="CJ29" i="77" s="1"/>
  <c r="AR28" i="77"/>
  <c r="CJ28" i="77" s="1"/>
  <c r="AR27" i="77"/>
  <c r="CJ27" i="77" s="1"/>
  <c r="AR26" i="77"/>
  <c r="AR25" i="77"/>
  <c r="AR24" i="77"/>
  <c r="AR22" i="77"/>
  <c r="AR21" i="77"/>
  <c r="AR20" i="77"/>
  <c r="CJ20" i="77" s="1"/>
  <c r="AR19" i="77"/>
  <c r="CJ19" i="77" s="1"/>
  <c r="AR18" i="77"/>
  <c r="CJ18" i="77" s="1"/>
  <c r="AR16" i="77"/>
  <c r="CJ16" i="77" s="1"/>
  <c r="AR15" i="77"/>
  <c r="CJ15" i="77" s="1"/>
  <c r="AR14" i="77"/>
  <c r="CJ14" i="77" s="1"/>
  <c r="AR13" i="77"/>
  <c r="CJ13" i="77" s="1"/>
  <c r="AR12" i="77"/>
  <c r="AR10" i="77"/>
  <c r="CJ10" i="77" s="1"/>
  <c r="AR9" i="77"/>
  <c r="CJ9" i="77" s="1"/>
  <c r="AR8" i="77"/>
  <c r="AY63" i="77"/>
  <c r="AY62" i="77"/>
  <c r="AY61" i="77"/>
  <c r="AY60" i="77"/>
  <c r="AY59" i="77"/>
  <c r="AY58" i="77"/>
  <c r="AY56" i="77"/>
  <c r="AY55" i="77"/>
  <c r="AY54" i="77"/>
  <c r="AY53" i="77"/>
  <c r="AY52" i="77"/>
  <c r="AY50" i="77"/>
  <c r="AY49" i="77"/>
  <c r="AY48" i="77"/>
  <c r="AY47" i="77"/>
  <c r="AY46" i="77"/>
  <c r="AY44" i="77"/>
  <c r="AY43" i="77"/>
  <c r="AY41" i="77"/>
  <c r="AY40" i="77"/>
  <c r="AY39" i="77"/>
  <c r="AY38" i="77"/>
  <c r="AY37" i="77"/>
  <c r="AY35" i="77"/>
  <c r="AY34" i="77"/>
  <c r="AY33" i="77"/>
  <c r="AY32" i="77"/>
  <c r="AY31" i="77"/>
  <c r="AY29" i="77"/>
  <c r="AY28" i="77"/>
  <c r="AY27" i="77"/>
  <c r="AY26" i="77"/>
  <c r="AY25" i="77"/>
  <c r="AY24" i="77"/>
  <c r="AY22" i="77"/>
  <c r="AY21" i="77"/>
  <c r="AY20" i="77"/>
  <c r="AY19" i="77"/>
  <c r="AY18" i="77"/>
  <c r="AY16" i="77"/>
  <c r="AY15" i="77"/>
  <c r="AY14" i="77"/>
  <c r="AY13" i="77"/>
  <c r="AY12" i="77"/>
  <c r="AY10" i="77"/>
  <c r="AY9" i="77"/>
  <c r="AY8" i="77"/>
  <c r="BF63" i="77"/>
  <c r="BF62" i="77"/>
  <c r="BF61" i="77"/>
  <c r="BF60" i="77"/>
  <c r="BF59" i="77"/>
  <c r="BF58" i="77"/>
  <c r="BF56" i="77"/>
  <c r="BF55" i="77"/>
  <c r="BF54" i="77"/>
  <c r="BF53" i="77"/>
  <c r="BF52" i="77"/>
  <c r="BF50" i="77"/>
  <c r="BF49" i="77"/>
  <c r="BF48" i="77"/>
  <c r="BF47" i="77"/>
  <c r="BF46" i="77"/>
  <c r="BF44" i="77"/>
  <c r="BF43" i="77"/>
  <c r="BF41" i="77"/>
  <c r="BF40" i="77"/>
  <c r="BF39" i="77"/>
  <c r="BF38" i="77"/>
  <c r="BF37" i="77"/>
  <c r="BF35" i="77"/>
  <c r="BF34" i="77"/>
  <c r="BF33" i="77"/>
  <c r="BF32" i="77"/>
  <c r="BF31" i="77"/>
  <c r="BF29" i="77"/>
  <c r="BF28" i="77"/>
  <c r="BF27" i="77"/>
  <c r="BF26" i="77"/>
  <c r="BF25" i="77"/>
  <c r="BF24" i="77"/>
  <c r="BF22" i="77"/>
  <c r="BF21" i="77"/>
  <c r="BF20" i="77"/>
  <c r="BF19" i="77"/>
  <c r="BF18" i="77"/>
  <c r="BF16" i="77"/>
  <c r="BF15" i="77"/>
  <c r="BF14" i="77"/>
  <c r="BF13" i="77"/>
  <c r="BF12" i="77"/>
  <c r="BF10" i="77"/>
  <c r="BF9" i="77"/>
  <c r="BF8" i="77"/>
  <c r="BM63" i="77"/>
  <c r="BM62" i="77"/>
  <c r="BM61" i="77"/>
  <c r="BM60" i="77"/>
  <c r="BM59" i="77"/>
  <c r="BM58" i="77"/>
  <c r="BM56" i="77"/>
  <c r="BM55" i="77"/>
  <c r="BM54" i="77"/>
  <c r="BM53" i="77"/>
  <c r="BM52" i="77"/>
  <c r="BM50" i="77"/>
  <c r="BM49" i="77"/>
  <c r="BM48" i="77"/>
  <c r="BM47" i="77"/>
  <c r="BM46" i="77"/>
  <c r="BM44" i="77"/>
  <c r="BM43" i="77"/>
  <c r="BM41" i="77"/>
  <c r="BM40" i="77"/>
  <c r="BM39" i="77"/>
  <c r="BM38" i="77"/>
  <c r="BM37" i="77"/>
  <c r="BM35" i="77"/>
  <c r="BM34" i="77"/>
  <c r="BM33" i="77"/>
  <c r="BM32" i="77"/>
  <c r="BM31" i="77"/>
  <c r="BM29" i="77"/>
  <c r="BM28" i="77"/>
  <c r="BM27" i="77"/>
  <c r="BM26" i="77"/>
  <c r="BM25" i="77"/>
  <c r="BM24" i="77"/>
  <c r="BM22" i="77"/>
  <c r="BM21" i="77"/>
  <c r="BM20" i="77"/>
  <c r="BM19" i="77"/>
  <c r="BM18" i="77"/>
  <c r="BM16" i="77"/>
  <c r="BM15" i="77"/>
  <c r="BM14" i="77"/>
  <c r="BM13" i="77"/>
  <c r="BM12" i="77"/>
  <c r="BM10" i="77"/>
  <c r="BM9" i="77"/>
  <c r="BM8" i="77"/>
  <c r="BT63" i="77"/>
  <c r="BT62" i="77"/>
  <c r="BT61" i="77"/>
  <c r="BT60" i="77"/>
  <c r="BT59" i="77"/>
  <c r="BT58" i="77"/>
  <c r="BT56" i="77"/>
  <c r="BT55" i="77"/>
  <c r="BT54" i="77"/>
  <c r="BT53" i="77"/>
  <c r="BT52" i="77"/>
  <c r="BT50" i="77"/>
  <c r="BT49" i="77"/>
  <c r="BT48" i="77"/>
  <c r="BT47" i="77"/>
  <c r="BT46" i="77"/>
  <c r="BT44" i="77"/>
  <c r="BT43" i="77"/>
  <c r="BT41" i="77"/>
  <c r="BT40" i="77"/>
  <c r="BT39" i="77"/>
  <c r="BT38" i="77"/>
  <c r="BT37" i="77"/>
  <c r="BT35" i="77"/>
  <c r="BT34" i="77"/>
  <c r="BT33" i="77"/>
  <c r="BT32" i="77"/>
  <c r="BT31" i="77"/>
  <c r="BT29" i="77"/>
  <c r="BT28" i="77"/>
  <c r="BT27" i="77"/>
  <c r="BT26" i="77"/>
  <c r="BT25" i="77"/>
  <c r="BT24" i="77"/>
  <c r="BT22" i="77"/>
  <c r="BT21" i="77"/>
  <c r="BT20" i="77"/>
  <c r="BT19" i="77"/>
  <c r="BT18" i="77"/>
  <c r="BT16" i="77"/>
  <c r="BT15" i="77"/>
  <c r="BT14" i="77"/>
  <c r="BT13" i="77"/>
  <c r="BT12" i="77"/>
  <c r="BT10" i="77"/>
  <c r="BT9" i="77"/>
  <c r="BT8" i="77"/>
  <c r="CA63" i="77"/>
  <c r="CA62" i="77"/>
  <c r="CA61" i="77"/>
  <c r="CA60" i="77"/>
  <c r="CA59" i="77"/>
  <c r="CA58" i="77"/>
  <c r="CA56" i="77"/>
  <c r="CA55" i="77"/>
  <c r="CA54" i="77"/>
  <c r="CA53" i="77"/>
  <c r="CA52" i="77"/>
  <c r="CA50" i="77"/>
  <c r="CA49" i="77"/>
  <c r="CA48" i="77"/>
  <c r="CA47" i="77"/>
  <c r="CA46" i="77"/>
  <c r="CA44" i="77"/>
  <c r="CA43" i="77"/>
  <c r="CA41" i="77"/>
  <c r="CA40" i="77"/>
  <c r="CA39" i="77"/>
  <c r="CA38" i="77"/>
  <c r="CA37" i="77"/>
  <c r="CA35" i="77"/>
  <c r="CA34" i="77"/>
  <c r="CA33" i="77"/>
  <c r="CA32" i="77"/>
  <c r="CA31" i="77"/>
  <c r="CA29" i="77"/>
  <c r="CA28" i="77"/>
  <c r="CA27" i="77"/>
  <c r="CA26" i="77"/>
  <c r="CA25" i="77"/>
  <c r="CA24" i="77"/>
  <c r="CA22" i="77"/>
  <c r="CA21" i="77"/>
  <c r="CA20" i="77"/>
  <c r="CA19" i="77"/>
  <c r="CA18" i="77"/>
  <c r="CA16" i="77"/>
  <c r="CA15" i="77"/>
  <c r="CA14" i="77"/>
  <c r="CA13" i="77"/>
  <c r="CA12" i="77"/>
  <c r="CA10" i="77"/>
  <c r="CA9" i="77"/>
  <c r="CA8" i="77"/>
  <c r="CH63" i="77"/>
  <c r="CH62" i="77"/>
  <c r="CH61" i="77"/>
  <c r="CH60" i="77"/>
  <c r="CH59" i="77"/>
  <c r="CH58" i="77"/>
  <c r="CH56" i="77"/>
  <c r="CH55" i="77"/>
  <c r="CH54" i="77"/>
  <c r="CH53" i="77"/>
  <c r="CH52" i="77"/>
  <c r="CH50" i="77"/>
  <c r="CH49" i="77"/>
  <c r="CH48" i="77"/>
  <c r="CH47" i="77"/>
  <c r="CH46" i="77"/>
  <c r="CH44" i="77"/>
  <c r="CH43" i="77"/>
  <c r="CH41" i="77"/>
  <c r="CH40" i="77"/>
  <c r="CH39" i="77"/>
  <c r="CH38" i="77"/>
  <c r="CH37" i="77"/>
  <c r="CH35" i="77"/>
  <c r="CH34" i="77"/>
  <c r="CH33" i="77"/>
  <c r="CH32" i="77"/>
  <c r="CH31" i="77"/>
  <c r="CH29" i="77"/>
  <c r="CH28" i="77"/>
  <c r="CH27" i="77"/>
  <c r="CH26" i="77"/>
  <c r="CH25" i="77"/>
  <c r="CH24" i="77"/>
  <c r="CH22" i="77"/>
  <c r="CH21" i="77"/>
  <c r="CH20" i="77"/>
  <c r="CH19" i="77"/>
  <c r="CH18" i="77"/>
  <c r="CH16" i="77"/>
  <c r="CH15" i="77"/>
  <c r="CH14" i="77"/>
  <c r="CH13" i="77"/>
  <c r="CH12" i="77"/>
  <c r="CH10" i="77"/>
  <c r="CH9" i="77"/>
  <c r="CH8" i="77"/>
  <c r="CH7" i="77"/>
  <c r="CA7" i="77"/>
  <c r="BT7" i="77"/>
  <c r="BM7" i="77"/>
  <c r="BF7" i="77"/>
  <c r="AY7" i="77"/>
  <c r="AR7" i="77"/>
  <c r="AK7" i="77"/>
  <c r="CC7" i="77" s="1"/>
  <c r="AD7" i="77"/>
  <c r="BV7" i="77" s="1"/>
  <c r="W7" i="77"/>
  <c r="P7" i="77"/>
  <c r="I7" i="77"/>
  <c r="BA7" i="77" s="1"/>
  <c r="Q63" i="74"/>
  <c r="O63" i="74"/>
  <c r="M63" i="74"/>
  <c r="K63" i="74"/>
  <c r="I63" i="74"/>
  <c r="G63" i="74"/>
  <c r="AC63" i="74"/>
  <c r="AA63" i="74"/>
  <c r="Y63" i="74"/>
  <c r="W63" i="74"/>
  <c r="U63" i="74"/>
  <c r="S63" i="74"/>
  <c r="BE65" i="77" l="1"/>
  <c r="CG65" i="77"/>
  <c r="BZ65" i="77"/>
  <c r="BS65" i="77"/>
  <c r="BP65" i="77"/>
  <c r="BL65" i="77"/>
  <c r="CD65" i="77"/>
  <c r="AX65" i="77"/>
  <c r="BB65" i="77"/>
  <c r="CK65" i="77"/>
  <c r="AZ65" i="77"/>
  <c r="BU65" i="77"/>
  <c r="CI65" i="77"/>
  <c r="AC61" i="74"/>
  <c r="AN63" i="88" s="1"/>
  <c r="AA61" i="74"/>
  <c r="AK63" i="88" s="1"/>
  <c r="AL63" i="88" s="1"/>
  <c r="Y61" i="74"/>
  <c r="AH63" i="88" s="1"/>
  <c r="AI63" i="88" s="1"/>
  <c r="W61" i="74"/>
  <c r="AE63" i="88" s="1"/>
  <c r="AF63" i="88" s="1"/>
  <c r="U61" i="74"/>
  <c r="AB63" i="88" s="1"/>
  <c r="AC63" i="88" s="1"/>
  <c r="S61" i="74"/>
  <c r="Y63" i="88" s="1"/>
  <c r="Z63" i="88" s="1"/>
  <c r="Q61" i="74"/>
  <c r="AC60" i="74"/>
  <c r="AN62" i="88" s="1"/>
  <c r="AA60" i="74"/>
  <c r="AK62" i="88" s="1"/>
  <c r="AL62" i="88" s="1"/>
  <c r="Y60" i="74"/>
  <c r="AH62" i="88" s="1"/>
  <c r="AI62" i="88" s="1"/>
  <c r="W60" i="74"/>
  <c r="AE62" i="88" s="1"/>
  <c r="AF62" i="88" s="1"/>
  <c r="U60" i="74"/>
  <c r="AB62" i="88" s="1"/>
  <c r="AC62" i="88" s="1"/>
  <c r="S60" i="74"/>
  <c r="Y62" i="88" s="1"/>
  <c r="Z62" i="88" s="1"/>
  <c r="Q60" i="74"/>
  <c r="AC59" i="74"/>
  <c r="AN61" i="88" s="1"/>
  <c r="AA59" i="74"/>
  <c r="AK61" i="88" s="1"/>
  <c r="AL61" i="88" s="1"/>
  <c r="Y59" i="74"/>
  <c r="AH61" i="88" s="1"/>
  <c r="AI61" i="88" s="1"/>
  <c r="W59" i="74"/>
  <c r="AE61" i="88" s="1"/>
  <c r="AF61" i="88" s="1"/>
  <c r="U59" i="74"/>
  <c r="AB61" i="88" s="1"/>
  <c r="AC61" i="88" s="1"/>
  <c r="S59" i="74"/>
  <c r="Y61" i="88" s="1"/>
  <c r="Z61" i="88" s="1"/>
  <c r="Q59" i="74"/>
  <c r="AC58" i="74"/>
  <c r="AN60" i="88" s="1"/>
  <c r="AA58" i="74"/>
  <c r="AK60" i="88" s="1"/>
  <c r="AL60" i="88" s="1"/>
  <c r="Y58" i="74"/>
  <c r="AH60" i="88" s="1"/>
  <c r="AI60" i="88" s="1"/>
  <c r="W58" i="74"/>
  <c r="AE60" i="88" s="1"/>
  <c r="AF60" i="88" s="1"/>
  <c r="U58" i="74"/>
  <c r="AB60" i="88" s="1"/>
  <c r="AC60" i="88" s="1"/>
  <c r="S58" i="74"/>
  <c r="Y60" i="88" s="1"/>
  <c r="Z60" i="88" s="1"/>
  <c r="Q58" i="74"/>
  <c r="AC57" i="74"/>
  <c r="AN59" i="88" s="1"/>
  <c r="AA57" i="74"/>
  <c r="AK59" i="88" s="1"/>
  <c r="AL59" i="88" s="1"/>
  <c r="Y57" i="74"/>
  <c r="AH59" i="88" s="1"/>
  <c r="AI59" i="88" s="1"/>
  <c r="W57" i="74"/>
  <c r="AE59" i="88" s="1"/>
  <c r="AF59" i="88" s="1"/>
  <c r="U57" i="74"/>
  <c r="AB59" i="88" s="1"/>
  <c r="AC59" i="88" s="1"/>
  <c r="S57" i="74"/>
  <c r="Y59" i="88" s="1"/>
  <c r="Z59" i="88" s="1"/>
  <c r="Q57" i="74"/>
  <c r="AC56" i="74"/>
  <c r="AN58" i="88" s="1"/>
  <c r="AA56" i="74"/>
  <c r="AK58" i="88" s="1"/>
  <c r="AL58" i="88" s="1"/>
  <c r="Y56" i="74"/>
  <c r="AH58" i="88" s="1"/>
  <c r="AI58" i="88" s="1"/>
  <c r="W56" i="74"/>
  <c r="AE58" i="88" s="1"/>
  <c r="AF58" i="88" s="1"/>
  <c r="U56" i="74"/>
  <c r="AB58" i="88" s="1"/>
  <c r="AC58" i="88" s="1"/>
  <c r="S56" i="74"/>
  <c r="Y58" i="88" s="1"/>
  <c r="Z58" i="88" s="1"/>
  <c r="Q56" i="74"/>
  <c r="AC54" i="74"/>
  <c r="AN56" i="88" s="1"/>
  <c r="AA54" i="74"/>
  <c r="AK56" i="88" s="1"/>
  <c r="AL56" i="88" s="1"/>
  <c r="Y54" i="74"/>
  <c r="AH56" i="88" s="1"/>
  <c r="AI56" i="88" s="1"/>
  <c r="W54" i="74"/>
  <c r="AE56" i="88" s="1"/>
  <c r="AF56" i="88" s="1"/>
  <c r="U54" i="74"/>
  <c r="AB56" i="88" s="1"/>
  <c r="AC56" i="88" s="1"/>
  <c r="S54" i="74"/>
  <c r="Y56" i="88" s="1"/>
  <c r="Z56" i="88" s="1"/>
  <c r="Q54" i="74"/>
  <c r="AC53" i="74"/>
  <c r="AN55" i="88" s="1"/>
  <c r="AA53" i="74"/>
  <c r="AK55" i="88" s="1"/>
  <c r="AL55" i="88" s="1"/>
  <c r="Y53" i="74"/>
  <c r="AH55" i="88" s="1"/>
  <c r="AI55" i="88" s="1"/>
  <c r="W53" i="74"/>
  <c r="AE55" i="88" s="1"/>
  <c r="AF55" i="88" s="1"/>
  <c r="U53" i="74"/>
  <c r="AB55" i="88" s="1"/>
  <c r="AC55" i="88" s="1"/>
  <c r="S53" i="74"/>
  <c r="Y55" i="88" s="1"/>
  <c r="Z55" i="88" s="1"/>
  <c r="Q53" i="74"/>
  <c r="AC52" i="74"/>
  <c r="AN54" i="88" s="1"/>
  <c r="AA52" i="74"/>
  <c r="AK54" i="88" s="1"/>
  <c r="AL54" i="88" s="1"/>
  <c r="Y52" i="74"/>
  <c r="AH54" i="88" s="1"/>
  <c r="AI54" i="88" s="1"/>
  <c r="W52" i="74"/>
  <c r="AE54" i="88" s="1"/>
  <c r="AF54" i="88" s="1"/>
  <c r="U52" i="74"/>
  <c r="AB54" i="88" s="1"/>
  <c r="AC54" i="88" s="1"/>
  <c r="S52" i="74"/>
  <c r="Y54" i="88" s="1"/>
  <c r="Z54" i="88" s="1"/>
  <c r="Q52" i="74"/>
  <c r="AC51" i="74"/>
  <c r="AN53" i="88" s="1"/>
  <c r="AA51" i="74"/>
  <c r="AK53" i="88" s="1"/>
  <c r="AL53" i="88" s="1"/>
  <c r="Y51" i="74"/>
  <c r="AH53" i="88" s="1"/>
  <c r="AI53" i="88" s="1"/>
  <c r="W51" i="74"/>
  <c r="AE53" i="88" s="1"/>
  <c r="AF53" i="88" s="1"/>
  <c r="U51" i="74"/>
  <c r="AB53" i="88" s="1"/>
  <c r="AC53" i="88" s="1"/>
  <c r="S51" i="74"/>
  <c r="Y53" i="88" s="1"/>
  <c r="Z53" i="88" s="1"/>
  <c r="Q51" i="74"/>
  <c r="AC50" i="74"/>
  <c r="AN52" i="88" s="1"/>
  <c r="AA50" i="74"/>
  <c r="AK52" i="88" s="1"/>
  <c r="AL52" i="88" s="1"/>
  <c r="Y50" i="74"/>
  <c r="AH52" i="88" s="1"/>
  <c r="AI52" i="88" s="1"/>
  <c r="W50" i="74"/>
  <c r="AE52" i="88" s="1"/>
  <c r="AF52" i="88" s="1"/>
  <c r="U50" i="74"/>
  <c r="AB52" i="88" s="1"/>
  <c r="AC52" i="88" s="1"/>
  <c r="S50" i="74"/>
  <c r="Y52" i="88" s="1"/>
  <c r="Z52" i="88" s="1"/>
  <c r="Q50" i="74"/>
  <c r="AC48" i="74"/>
  <c r="AN50" i="88" s="1"/>
  <c r="AA48" i="74"/>
  <c r="AK50" i="88" s="1"/>
  <c r="AL50" i="88" s="1"/>
  <c r="Y48" i="74"/>
  <c r="AH50" i="88" s="1"/>
  <c r="AI50" i="88" s="1"/>
  <c r="W48" i="74"/>
  <c r="AE50" i="88" s="1"/>
  <c r="AF50" i="88" s="1"/>
  <c r="U48" i="74"/>
  <c r="AB50" i="88" s="1"/>
  <c r="AC50" i="88" s="1"/>
  <c r="S48" i="74"/>
  <c r="Y50" i="88" s="1"/>
  <c r="Z50" i="88" s="1"/>
  <c r="Q48" i="74"/>
  <c r="AC47" i="74"/>
  <c r="AN49" i="88" s="1"/>
  <c r="AA47" i="74"/>
  <c r="AK49" i="88" s="1"/>
  <c r="AL49" i="88" s="1"/>
  <c r="Y47" i="74"/>
  <c r="AH49" i="88" s="1"/>
  <c r="AI49" i="88" s="1"/>
  <c r="W47" i="74"/>
  <c r="AE49" i="88" s="1"/>
  <c r="AF49" i="88" s="1"/>
  <c r="U47" i="74"/>
  <c r="AB49" i="88" s="1"/>
  <c r="AC49" i="88" s="1"/>
  <c r="S47" i="74"/>
  <c r="Y49" i="88" s="1"/>
  <c r="Z49" i="88" s="1"/>
  <c r="Q47" i="74"/>
  <c r="AC46" i="74"/>
  <c r="AN48" i="88" s="1"/>
  <c r="AA46" i="74"/>
  <c r="AK48" i="88" s="1"/>
  <c r="AL48" i="88" s="1"/>
  <c r="Y46" i="74"/>
  <c r="AH48" i="88" s="1"/>
  <c r="AI48" i="88" s="1"/>
  <c r="W46" i="74"/>
  <c r="AE48" i="88" s="1"/>
  <c r="AF48" i="88" s="1"/>
  <c r="U46" i="74"/>
  <c r="AB48" i="88" s="1"/>
  <c r="AC48" i="88" s="1"/>
  <c r="S46" i="74"/>
  <c r="Y48" i="88" s="1"/>
  <c r="Z48" i="88" s="1"/>
  <c r="Q46" i="74"/>
  <c r="AC45" i="74"/>
  <c r="AN47" i="88" s="1"/>
  <c r="AA45" i="74"/>
  <c r="AK47" i="88" s="1"/>
  <c r="AL47" i="88" s="1"/>
  <c r="Y45" i="74"/>
  <c r="AH47" i="88" s="1"/>
  <c r="AI47" i="88" s="1"/>
  <c r="W45" i="74"/>
  <c r="AE47" i="88" s="1"/>
  <c r="AF47" i="88" s="1"/>
  <c r="U45" i="74"/>
  <c r="AB47" i="88" s="1"/>
  <c r="AC47" i="88" s="1"/>
  <c r="S45" i="74"/>
  <c r="Y47" i="88" s="1"/>
  <c r="Z47" i="88" s="1"/>
  <c r="Q45" i="74"/>
  <c r="AC44" i="74"/>
  <c r="AN46" i="88" s="1"/>
  <c r="AA44" i="74"/>
  <c r="AK46" i="88" s="1"/>
  <c r="AL46" i="88" s="1"/>
  <c r="Y44" i="74"/>
  <c r="AH46" i="88" s="1"/>
  <c r="AI46" i="88" s="1"/>
  <c r="W44" i="74"/>
  <c r="AE46" i="88" s="1"/>
  <c r="AF46" i="88" s="1"/>
  <c r="U44" i="74"/>
  <c r="AB46" i="88" s="1"/>
  <c r="AC46" i="88" s="1"/>
  <c r="S44" i="74"/>
  <c r="Y46" i="88" s="1"/>
  <c r="Z46" i="88" s="1"/>
  <c r="Q44" i="74"/>
  <c r="AC42" i="74"/>
  <c r="AN44" i="88" s="1"/>
  <c r="AA42" i="74"/>
  <c r="AK44" i="88" s="1"/>
  <c r="AL44" i="88" s="1"/>
  <c r="Y42" i="74"/>
  <c r="AH44" i="88" s="1"/>
  <c r="AI44" i="88" s="1"/>
  <c r="W42" i="74"/>
  <c r="AE44" i="88" s="1"/>
  <c r="AF44" i="88" s="1"/>
  <c r="U42" i="74"/>
  <c r="AB44" i="88" s="1"/>
  <c r="AC44" i="88" s="1"/>
  <c r="S42" i="74"/>
  <c r="Y44" i="88" s="1"/>
  <c r="Z44" i="88" s="1"/>
  <c r="Q42" i="74"/>
  <c r="AC41" i="74"/>
  <c r="AN43" i="88" s="1"/>
  <c r="AA41" i="74"/>
  <c r="AK43" i="88" s="1"/>
  <c r="AL43" i="88" s="1"/>
  <c r="Y41" i="74"/>
  <c r="AH43" i="88" s="1"/>
  <c r="AI43" i="88" s="1"/>
  <c r="W41" i="74"/>
  <c r="AE43" i="88" s="1"/>
  <c r="AF43" i="88" s="1"/>
  <c r="U41" i="74"/>
  <c r="AB43" i="88" s="1"/>
  <c r="AC43" i="88" s="1"/>
  <c r="S41" i="74"/>
  <c r="Y43" i="88" s="1"/>
  <c r="Z43" i="88" s="1"/>
  <c r="Q41" i="74"/>
  <c r="AC39" i="74"/>
  <c r="AN41" i="88" s="1"/>
  <c r="AA39" i="74"/>
  <c r="AK41" i="88" s="1"/>
  <c r="AL41" i="88" s="1"/>
  <c r="Y39" i="74"/>
  <c r="AH41" i="88" s="1"/>
  <c r="AI41" i="88" s="1"/>
  <c r="W39" i="74"/>
  <c r="AE41" i="88" s="1"/>
  <c r="AF41" i="88" s="1"/>
  <c r="U39" i="74"/>
  <c r="AB41" i="88" s="1"/>
  <c r="AC41" i="88" s="1"/>
  <c r="S39" i="74"/>
  <c r="Y41" i="88" s="1"/>
  <c r="Z41" i="88" s="1"/>
  <c r="Q39" i="74"/>
  <c r="AC38" i="74"/>
  <c r="AN40" i="88" s="1"/>
  <c r="AA38" i="74"/>
  <c r="AK40" i="88" s="1"/>
  <c r="AL40" i="88" s="1"/>
  <c r="Y38" i="74"/>
  <c r="AH40" i="88" s="1"/>
  <c r="AI40" i="88" s="1"/>
  <c r="W38" i="74"/>
  <c r="AE40" i="88" s="1"/>
  <c r="AF40" i="88" s="1"/>
  <c r="U38" i="74"/>
  <c r="AB40" i="88" s="1"/>
  <c r="AC40" i="88" s="1"/>
  <c r="S38" i="74"/>
  <c r="Y40" i="88" s="1"/>
  <c r="Z40" i="88" s="1"/>
  <c r="Q38" i="74"/>
  <c r="AC37" i="74"/>
  <c r="AN39" i="88" s="1"/>
  <c r="AA37" i="74"/>
  <c r="AK39" i="88" s="1"/>
  <c r="AL39" i="88" s="1"/>
  <c r="Y37" i="74"/>
  <c r="AH39" i="88" s="1"/>
  <c r="AI39" i="88" s="1"/>
  <c r="W37" i="74"/>
  <c r="AE39" i="88" s="1"/>
  <c r="AF39" i="88" s="1"/>
  <c r="U37" i="74"/>
  <c r="AB39" i="88" s="1"/>
  <c r="AC39" i="88" s="1"/>
  <c r="S37" i="74"/>
  <c r="Y39" i="88" s="1"/>
  <c r="Z39" i="88" s="1"/>
  <c r="Q37" i="74"/>
  <c r="AC36" i="74"/>
  <c r="AN38" i="88" s="1"/>
  <c r="AA36" i="74"/>
  <c r="AK38" i="88" s="1"/>
  <c r="AL38" i="88" s="1"/>
  <c r="Y36" i="74"/>
  <c r="AH38" i="88" s="1"/>
  <c r="AI38" i="88" s="1"/>
  <c r="W36" i="74"/>
  <c r="AE38" i="88" s="1"/>
  <c r="AF38" i="88" s="1"/>
  <c r="U36" i="74"/>
  <c r="AB38" i="88" s="1"/>
  <c r="AC38" i="88" s="1"/>
  <c r="S36" i="74"/>
  <c r="Y38" i="88" s="1"/>
  <c r="Z38" i="88" s="1"/>
  <c r="Q36" i="74"/>
  <c r="AC35" i="74"/>
  <c r="AN37" i="88" s="1"/>
  <c r="AA35" i="74"/>
  <c r="AK37" i="88" s="1"/>
  <c r="AL37" i="88" s="1"/>
  <c r="Y35" i="74"/>
  <c r="AH37" i="88" s="1"/>
  <c r="AI37" i="88" s="1"/>
  <c r="W35" i="74"/>
  <c r="AE37" i="88" s="1"/>
  <c r="AF37" i="88" s="1"/>
  <c r="U35" i="74"/>
  <c r="AB37" i="88" s="1"/>
  <c r="AC37" i="88" s="1"/>
  <c r="S35" i="74"/>
  <c r="Y37" i="88" s="1"/>
  <c r="Z37" i="88" s="1"/>
  <c r="Q35" i="74"/>
  <c r="AC33" i="74"/>
  <c r="AN35" i="88" s="1"/>
  <c r="AA33" i="74"/>
  <c r="AK35" i="88" s="1"/>
  <c r="AL35" i="88" s="1"/>
  <c r="Y33" i="74"/>
  <c r="AH35" i="88" s="1"/>
  <c r="AI35" i="88" s="1"/>
  <c r="W33" i="74"/>
  <c r="AE35" i="88" s="1"/>
  <c r="AF35" i="88" s="1"/>
  <c r="U33" i="74"/>
  <c r="AB35" i="88" s="1"/>
  <c r="AC35" i="88" s="1"/>
  <c r="S33" i="74"/>
  <c r="Y35" i="88" s="1"/>
  <c r="Z35" i="88" s="1"/>
  <c r="Q33" i="74"/>
  <c r="AC32" i="74"/>
  <c r="AN34" i="88" s="1"/>
  <c r="AA32" i="74"/>
  <c r="AK34" i="88" s="1"/>
  <c r="AL34" i="88" s="1"/>
  <c r="Y32" i="74"/>
  <c r="AH34" i="88" s="1"/>
  <c r="AI34" i="88" s="1"/>
  <c r="W32" i="74"/>
  <c r="AE34" i="88" s="1"/>
  <c r="AF34" i="88" s="1"/>
  <c r="U32" i="74"/>
  <c r="AB34" i="88" s="1"/>
  <c r="AC34" i="88" s="1"/>
  <c r="S32" i="74"/>
  <c r="Y34" i="88" s="1"/>
  <c r="Z34" i="88" s="1"/>
  <c r="Q32" i="74"/>
  <c r="AC31" i="74"/>
  <c r="AN33" i="88" s="1"/>
  <c r="AA31" i="74"/>
  <c r="AK33" i="88" s="1"/>
  <c r="AL33" i="88" s="1"/>
  <c r="Y31" i="74"/>
  <c r="AH33" i="88" s="1"/>
  <c r="AI33" i="88" s="1"/>
  <c r="W31" i="74"/>
  <c r="AE33" i="88" s="1"/>
  <c r="AF33" i="88" s="1"/>
  <c r="U31" i="74"/>
  <c r="AB33" i="88" s="1"/>
  <c r="AC33" i="88" s="1"/>
  <c r="S31" i="74"/>
  <c r="Y33" i="88" s="1"/>
  <c r="Z33" i="88" s="1"/>
  <c r="Q31" i="74"/>
  <c r="AC30" i="74"/>
  <c r="AN32" i="88" s="1"/>
  <c r="AA30" i="74"/>
  <c r="AK32" i="88" s="1"/>
  <c r="AL32" i="88" s="1"/>
  <c r="Y30" i="74"/>
  <c r="AH32" i="88" s="1"/>
  <c r="AI32" i="88" s="1"/>
  <c r="W30" i="74"/>
  <c r="AE32" i="88" s="1"/>
  <c r="AF32" i="88" s="1"/>
  <c r="U30" i="74"/>
  <c r="AB32" i="88" s="1"/>
  <c r="AC32" i="88" s="1"/>
  <c r="S30" i="74"/>
  <c r="Y32" i="88" s="1"/>
  <c r="Z32" i="88" s="1"/>
  <c r="Q30" i="74"/>
  <c r="AC29" i="74"/>
  <c r="AN31" i="88" s="1"/>
  <c r="AA29" i="74"/>
  <c r="AK31" i="88" s="1"/>
  <c r="AL31" i="88" s="1"/>
  <c r="Y29" i="74"/>
  <c r="AH31" i="88" s="1"/>
  <c r="AI31" i="88" s="1"/>
  <c r="W29" i="74"/>
  <c r="AE31" i="88" s="1"/>
  <c r="AF31" i="88" s="1"/>
  <c r="U29" i="74"/>
  <c r="AB31" i="88" s="1"/>
  <c r="AC31" i="88" s="1"/>
  <c r="S29" i="74"/>
  <c r="Y31" i="88" s="1"/>
  <c r="Z31" i="88" s="1"/>
  <c r="Q29" i="74"/>
  <c r="AC27" i="74"/>
  <c r="AN29" i="88" s="1"/>
  <c r="AA27" i="74"/>
  <c r="AK29" i="88" s="1"/>
  <c r="AL29" i="88" s="1"/>
  <c r="Y27" i="74"/>
  <c r="AH29" i="88" s="1"/>
  <c r="AI29" i="88" s="1"/>
  <c r="W27" i="74"/>
  <c r="AE29" i="88" s="1"/>
  <c r="AF29" i="88" s="1"/>
  <c r="U27" i="74"/>
  <c r="AB29" i="88" s="1"/>
  <c r="AC29" i="88" s="1"/>
  <c r="S27" i="74"/>
  <c r="Y29" i="88" s="1"/>
  <c r="Z29" i="88" s="1"/>
  <c r="Q27" i="74"/>
  <c r="AC26" i="74"/>
  <c r="AN28" i="88" s="1"/>
  <c r="AA26" i="74"/>
  <c r="AK28" i="88" s="1"/>
  <c r="AL28" i="88" s="1"/>
  <c r="Y26" i="74"/>
  <c r="AH28" i="88" s="1"/>
  <c r="AI28" i="88" s="1"/>
  <c r="W26" i="74"/>
  <c r="AE28" i="88" s="1"/>
  <c r="AF28" i="88" s="1"/>
  <c r="U26" i="74"/>
  <c r="AB28" i="88" s="1"/>
  <c r="AC28" i="88" s="1"/>
  <c r="S26" i="74"/>
  <c r="Y28" i="88" s="1"/>
  <c r="Z28" i="88" s="1"/>
  <c r="Q26" i="74"/>
  <c r="AC25" i="74"/>
  <c r="AN27" i="88" s="1"/>
  <c r="AA25" i="74"/>
  <c r="AK27" i="88" s="1"/>
  <c r="AL27" i="88" s="1"/>
  <c r="Y25" i="74"/>
  <c r="AH27" i="88" s="1"/>
  <c r="AI27" i="88" s="1"/>
  <c r="W25" i="74"/>
  <c r="AE27" i="88" s="1"/>
  <c r="AF27" i="88" s="1"/>
  <c r="U25" i="74"/>
  <c r="AB27" i="88" s="1"/>
  <c r="AC27" i="88" s="1"/>
  <c r="S25" i="74"/>
  <c r="Y27" i="88" s="1"/>
  <c r="Z27" i="88" s="1"/>
  <c r="Q25" i="74"/>
  <c r="AC24" i="74"/>
  <c r="AN26" i="88" s="1"/>
  <c r="AA24" i="74"/>
  <c r="AK26" i="88" s="1"/>
  <c r="AL26" i="88" s="1"/>
  <c r="Y24" i="74"/>
  <c r="AH26" i="88" s="1"/>
  <c r="AI26" i="88" s="1"/>
  <c r="W24" i="74"/>
  <c r="AE26" i="88" s="1"/>
  <c r="AF26" i="88" s="1"/>
  <c r="U24" i="74"/>
  <c r="AB26" i="88" s="1"/>
  <c r="AC26" i="88" s="1"/>
  <c r="S24" i="74"/>
  <c r="Y26" i="88" s="1"/>
  <c r="Z26" i="88" s="1"/>
  <c r="Q24" i="74"/>
  <c r="AC23" i="74"/>
  <c r="AN25" i="88" s="1"/>
  <c r="AA23" i="74"/>
  <c r="AK25" i="88" s="1"/>
  <c r="AL25" i="88" s="1"/>
  <c r="Y23" i="74"/>
  <c r="AH25" i="88" s="1"/>
  <c r="AI25" i="88" s="1"/>
  <c r="W23" i="74"/>
  <c r="AE25" i="88" s="1"/>
  <c r="AF25" i="88" s="1"/>
  <c r="U23" i="74"/>
  <c r="AB25" i="88" s="1"/>
  <c r="AC25" i="88" s="1"/>
  <c r="S23" i="74"/>
  <c r="Y25" i="88" s="1"/>
  <c r="Z25" i="88" s="1"/>
  <c r="Q23" i="74"/>
  <c r="AC22" i="74"/>
  <c r="AN24" i="88" s="1"/>
  <c r="AA22" i="74"/>
  <c r="AK24" i="88" s="1"/>
  <c r="AL24" i="88" s="1"/>
  <c r="Y22" i="74"/>
  <c r="AH24" i="88" s="1"/>
  <c r="AI24" i="88" s="1"/>
  <c r="W22" i="74"/>
  <c r="AE24" i="88" s="1"/>
  <c r="AF24" i="88" s="1"/>
  <c r="U22" i="74"/>
  <c r="AB24" i="88" s="1"/>
  <c r="AC24" i="88" s="1"/>
  <c r="S22" i="74"/>
  <c r="Y24" i="88" s="1"/>
  <c r="Z24" i="88" s="1"/>
  <c r="Q22" i="74"/>
  <c r="AC20" i="74"/>
  <c r="AN22" i="88" s="1"/>
  <c r="AA20" i="74"/>
  <c r="AK22" i="88" s="1"/>
  <c r="AL22" i="88" s="1"/>
  <c r="Y20" i="74"/>
  <c r="AH22" i="88" s="1"/>
  <c r="AI22" i="88" s="1"/>
  <c r="W20" i="74"/>
  <c r="AE22" i="88" s="1"/>
  <c r="AF22" i="88" s="1"/>
  <c r="U20" i="74"/>
  <c r="AB22" i="88" s="1"/>
  <c r="AC22" i="88" s="1"/>
  <c r="S20" i="74"/>
  <c r="Y22" i="88" s="1"/>
  <c r="Z22" i="88" s="1"/>
  <c r="Q20" i="74"/>
  <c r="AC19" i="74"/>
  <c r="AN21" i="88" s="1"/>
  <c r="AA19" i="74"/>
  <c r="AK21" i="88" s="1"/>
  <c r="AL21" i="88" s="1"/>
  <c r="Y19" i="74"/>
  <c r="AH21" i="88" s="1"/>
  <c r="AI21" i="88" s="1"/>
  <c r="W19" i="74"/>
  <c r="AE21" i="88" s="1"/>
  <c r="AF21" i="88" s="1"/>
  <c r="U19" i="74"/>
  <c r="AB21" i="88" s="1"/>
  <c r="AC21" i="88" s="1"/>
  <c r="S19" i="74"/>
  <c r="Y21" i="88" s="1"/>
  <c r="Z21" i="88" s="1"/>
  <c r="Q19" i="74"/>
  <c r="AC18" i="74"/>
  <c r="AN20" i="88" s="1"/>
  <c r="AA18" i="74"/>
  <c r="AK20" i="88" s="1"/>
  <c r="AL20" i="88" s="1"/>
  <c r="Y18" i="74"/>
  <c r="AH20" i="88" s="1"/>
  <c r="AI20" i="88" s="1"/>
  <c r="W18" i="74"/>
  <c r="AE20" i="88" s="1"/>
  <c r="AF20" i="88" s="1"/>
  <c r="U18" i="74"/>
  <c r="AB20" i="88" s="1"/>
  <c r="AC20" i="88" s="1"/>
  <c r="S18" i="74"/>
  <c r="Y20" i="88" s="1"/>
  <c r="Z20" i="88" s="1"/>
  <c r="Q18" i="74"/>
  <c r="AC17" i="74"/>
  <c r="AN19" i="88" s="1"/>
  <c r="AA17" i="74"/>
  <c r="AK19" i="88" s="1"/>
  <c r="AL19" i="88" s="1"/>
  <c r="Y17" i="74"/>
  <c r="AH19" i="88" s="1"/>
  <c r="AI19" i="88" s="1"/>
  <c r="W17" i="74"/>
  <c r="AE19" i="88" s="1"/>
  <c r="AF19" i="88" s="1"/>
  <c r="U17" i="74"/>
  <c r="AB19" i="88" s="1"/>
  <c r="AC19" i="88" s="1"/>
  <c r="S17" i="74"/>
  <c r="Y19" i="88" s="1"/>
  <c r="Z19" i="88" s="1"/>
  <c r="Q17" i="74"/>
  <c r="AC16" i="74"/>
  <c r="AN18" i="88" s="1"/>
  <c r="AA16" i="74"/>
  <c r="AK18" i="88" s="1"/>
  <c r="AL18" i="88" s="1"/>
  <c r="Y16" i="74"/>
  <c r="AH18" i="88" s="1"/>
  <c r="AI18" i="88" s="1"/>
  <c r="W16" i="74"/>
  <c r="AE18" i="88" s="1"/>
  <c r="AF18" i="88" s="1"/>
  <c r="U16" i="74"/>
  <c r="AB18" i="88" s="1"/>
  <c r="AC18" i="88" s="1"/>
  <c r="S16" i="74"/>
  <c r="Y18" i="88" s="1"/>
  <c r="Z18" i="88" s="1"/>
  <c r="Q16" i="74"/>
  <c r="AC14" i="74"/>
  <c r="AN16" i="88" s="1"/>
  <c r="AA14" i="74"/>
  <c r="AK16" i="88" s="1"/>
  <c r="AL16" i="88" s="1"/>
  <c r="Y14" i="74"/>
  <c r="AH16" i="88" s="1"/>
  <c r="AI16" i="88" s="1"/>
  <c r="W14" i="74"/>
  <c r="AE16" i="88" s="1"/>
  <c r="AF16" i="88" s="1"/>
  <c r="U14" i="74"/>
  <c r="AB16" i="88" s="1"/>
  <c r="AC16" i="88" s="1"/>
  <c r="S14" i="74"/>
  <c r="Y16" i="88" s="1"/>
  <c r="Z16" i="88" s="1"/>
  <c r="Q14" i="74"/>
  <c r="AC13" i="74"/>
  <c r="AN15" i="88" s="1"/>
  <c r="AA13" i="74"/>
  <c r="AK15" i="88" s="1"/>
  <c r="AL15" i="88" s="1"/>
  <c r="Y13" i="74"/>
  <c r="AH15" i="88" s="1"/>
  <c r="AI15" i="88" s="1"/>
  <c r="W13" i="74"/>
  <c r="AE15" i="88" s="1"/>
  <c r="AF15" i="88" s="1"/>
  <c r="U13" i="74"/>
  <c r="AB15" i="88" s="1"/>
  <c r="AC15" i="88" s="1"/>
  <c r="S13" i="74"/>
  <c r="Y15" i="88" s="1"/>
  <c r="Z15" i="88" s="1"/>
  <c r="Q13" i="74"/>
  <c r="AC12" i="74"/>
  <c r="AN14" i="88" s="1"/>
  <c r="AA12" i="74"/>
  <c r="AK14" i="88" s="1"/>
  <c r="AL14" i="88" s="1"/>
  <c r="Y12" i="74"/>
  <c r="AH14" i="88" s="1"/>
  <c r="AI14" i="88" s="1"/>
  <c r="W12" i="74"/>
  <c r="AE14" i="88" s="1"/>
  <c r="AF14" i="88" s="1"/>
  <c r="U12" i="74"/>
  <c r="AB14" i="88" s="1"/>
  <c r="AC14" i="88" s="1"/>
  <c r="S12" i="74"/>
  <c r="Y14" i="88" s="1"/>
  <c r="Z14" i="88" s="1"/>
  <c r="Q12" i="74"/>
  <c r="AC11" i="74"/>
  <c r="AN13" i="88" s="1"/>
  <c r="AA11" i="74"/>
  <c r="AK13" i="88" s="1"/>
  <c r="AL13" i="88" s="1"/>
  <c r="Y11" i="74"/>
  <c r="AH13" i="88" s="1"/>
  <c r="AI13" i="88" s="1"/>
  <c r="W11" i="74"/>
  <c r="AE13" i="88" s="1"/>
  <c r="AF13" i="88" s="1"/>
  <c r="U11" i="74"/>
  <c r="AB13" i="88" s="1"/>
  <c r="AC13" i="88" s="1"/>
  <c r="S11" i="74"/>
  <c r="Y13" i="88" s="1"/>
  <c r="Z13" i="88" s="1"/>
  <c r="Q11" i="74"/>
  <c r="AC10" i="74"/>
  <c r="AN12" i="88" s="1"/>
  <c r="AA10" i="74"/>
  <c r="AK12" i="88" s="1"/>
  <c r="AL12" i="88" s="1"/>
  <c r="Y10" i="74"/>
  <c r="AH12" i="88" s="1"/>
  <c r="AI12" i="88" s="1"/>
  <c r="W10" i="74"/>
  <c r="AE12" i="88" s="1"/>
  <c r="AF12" i="88" s="1"/>
  <c r="U10" i="74"/>
  <c r="AB12" i="88" s="1"/>
  <c r="AC12" i="88" s="1"/>
  <c r="S10" i="74"/>
  <c r="Y12" i="88" s="1"/>
  <c r="Z12" i="88" s="1"/>
  <c r="Q10" i="74"/>
  <c r="AC8" i="74"/>
  <c r="AN10" i="88" s="1"/>
  <c r="AA8" i="74"/>
  <c r="AK10" i="88" s="1"/>
  <c r="AL10" i="88" s="1"/>
  <c r="Y8" i="74"/>
  <c r="AH10" i="88" s="1"/>
  <c r="AI10" i="88" s="1"/>
  <c r="W8" i="74"/>
  <c r="AE10" i="88" s="1"/>
  <c r="AF10" i="88" s="1"/>
  <c r="U8" i="74"/>
  <c r="AB10" i="88" s="1"/>
  <c r="AC10" i="88" s="1"/>
  <c r="S8" i="74"/>
  <c r="Y10" i="88" s="1"/>
  <c r="Z10" i="88" s="1"/>
  <c r="Q8" i="74"/>
  <c r="AC7" i="74"/>
  <c r="AN9" i="88" s="1"/>
  <c r="AA7" i="74"/>
  <c r="AK9" i="88" s="1"/>
  <c r="AL9" i="88" s="1"/>
  <c r="Y7" i="74"/>
  <c r="AH9" i="88" s="1"/>
  <c r="AI9" i="88" s="1"/>
  <c r="W7" i="74"/>
  <c r="AE9" i="88" s="1"/>
  <c r="AF9" i="88" s="1"/>
  <c r="U7" i="74"/>
  <c r="AB9" i="88" s="1"/>
  <c r="AC9" i="88" s="1"/>
  <c r="S7" i="74"/>
  <c r="Y9" i="88" s="1"/>
  <c r="Z9" i="88" s="1"/>
  <c r="Q7" i="74"/>
  <c r="AC6" i="74"/>
  <c r="AN8" i="88" s="1"/>
  <c r="AA6" i="74"/>
  <c r="AK8" i="88" s="1"/>
  <c r="AL8" i="88" s="1"/>
  <c r="Y6" i="74"/>
  <c r="AH8" i="88" s="1"/>
  <c r="AI8" i="88" s="1"/>
  <c r="W6" i="74"/>
  <c r="AE8" i="88" s="1"/>
  <c r="AF8" i="88" s="1"/>
  <c r="U6" i="74"/>
  <c r="AB8" i="88" s="1"/>
  <c r="AC8" i="88" s="1"/>
  <c r="S6" i="74"/>
  <c r="Y8" i="88" s="1"/>
  <c r="Z8" i="88" s="1"/>
  <c r="Q6" i="74"/>
  <c r="O61" i="74"/>
  <c r="O60" i="74"/>
  <c r="O59" i="74"/>
  <c r="O58" i="74"/>
  <c r="O57" i="74"/>
  <c r="O56" i="74"/>
  <c r="O54" i="74"/>
  <c r="O53" i="74"/>
  <c r="O52" i="74"/>
  <c r="O51" i="74"/>
  <c r="O50" i="74"/>
  <c r="O48" i="74"/>
  <c r="O47" i="74"/>
  <c r="O46" i="74"/>
  <c r="O45" i="74"/>
  <c r="O44" i="74"/>
  <c r="O42" i="74"/>
  <c r="O41" i="74"/>
  <c r="O39" i="74"/>
  <c r="O38" i="74"/>
  <c r="O37" i="74"/>
  <c r="O36" i="74"/>
  <c r="O35" i="74"/>
  <c r="O33" i="74"/>
  <c r="O32" i="74"/>
  <c r="O31" i="74"/>
  <c r="O30" i="74"/>
  <c r="O29" i="74"/>
  <c r="O27" i="74"/>
  <c r="O26" i="74"/>
  <c r="O25" i="74"/>
  <c r="O24" i="74"/>
  <c r="O23" i="74"/>
  <c r="O22" i="74"/>
  <c r="O20" i="74"/>
  <c r="O19" i="74"/>
  <c r="O18" i="74"/>
  <c r="O17" i="74"/>
  <c r="O16" i="74"/>
  <c r="O14" i="74"/>
  <c r="O13" i="74"/>
  <c r="O12" i="74"/>
  <c r="O11" i="74"/>
  <c r="O10" i="74"/>
  <c r="O8" i="74"/>
  <c r="O7" i="74"/>
  <c r="O6" i="74"/>
  <c r="M61" i="74"/>
  <c r="M60" i="74"/>
  <c r="M59" i="74"/>
  <c r="M58" i="74"/>
  <c r="M57" i="74"/>
  <c r="M56" i="74"/>
  <c r="M54" i="74"/>
  <c r="M53" i="74"/>
  <c r="M52" i="74"/>
  <c r="M51" i="74"/>
  <c r="M50" i="74"/>
  <c r="M48" i="74"/>
  <c r="M47" i="74"/>
  <c r="M46" i="74"/>
  <c r="M45" i="74"/>
  <c r="M44" i="74"/>
  <c r="M42" i="74"/>
  <c r="M41" i="74"/>
  <c r="M39" i="74"/>
  <c r="M38" i="74"/>
  <c r="M37" i="74"/>
  <c r="M36" i="74"/>
  <c r="M35" i="74"/>
  <c r="M33" i="74"/>
  <c r="M32" i="74"/>
  <c r="M31" i="74"/>
  <c r="M30" i="74"/>
  <c r="M29" i="74"/>
  <c r="M27" i="74"/>
  <c r="M26" i="74"/>
  <c r="M25" i="74"/>
  <c r="M24" i="74"/>
  <c r="M23" i="74"/>
  <c r="M22" i="74"/>
  <c r="M20" i="74"/>
  <c r="M19" i="74"/>
  <c r="M18" i="74"/>
  <c r="M17" i="74"/>
  <c r="M16" i="74"/>
  <c r="M14" i="74"/>
  <c r="M13" i="74"/>
  <c r="M12" i="74"/>
  <c r="M11" i="74"/>
  <c r="M10" i="74"/>
  <c r="M8" i="74"/>
  <c r="M7" i="74"/>
  <c r="M6" i="74"/>
  <c r="K61" i="74"/>
  <c r="K60" i="74"/>
  <c r="K59" i="74"/>
  <c r="K58" i="74"/>
  <c r="K57" i="74"/>
  <c r="K56" i="74"/>
  <c r="K54" i="74"/>
  <c r="K53" i="74"/>
  <c r="K52" i="74"/>
  <c r="K51" i="74"/>
  <c r="K50" i="74"/>
  <c r="K48" i="74"/>
  <c r="K47" i="74"/>
  <c r="K46" i="74"/>
  <c r="K45" i="74"/>
  <c r="K44" i="74"/>
  <c r="K42" i="74"/>
  <c r="K41" i="74"/>
  <c r="K39" i="74"/>
  <c r="K38" i="74"/>
  <c r="K37" i="74"/>
  <c r="K36" i="74"/>
  <c r="K35" i="74"/>
  <c r="K33" i="74"/>
  <c r="K32" i="74"/>
  <c r="K31" i="74"/>
  <c r="K30" i="74"/>
  <c r="K29" i="74"/>
  <c r="K27" i="74"/>
  <c r="K26" i="74"/>
  <c r="K25" i="74"/>
  <c r="K24" i="74"/>
  <c r="K23" i="74"/>
  <c r="K22" i="74"/>
  <c r="K20" i="74"/>
  <c r="K19" i="74"/>
  <c r="K18" i="74"/>
  <c r="K17" i="74"/>
  <c r="K16" i="74"/>
  <c r="K14" i="74"/>
  <c r="K13" i="74"/>
  <c r="K12" i="74"/>
  <c r="K11" i="74"/>
  <c r="K10" i="74"/>
  <c r="K8" i="74"/>
  <c r="K7" i="74"/>
  <c r="K6" i="74"/>
  <c r="I61" i="74"/>
  <c r="I60" i="74"/>
  <c r="I59" i="74"/>
  <c r="I58" i="74"/>
  <c r="I57" i="74"/>
  <c r="I56" i="74"/>
  <c r="I54" i="74"/>
  <c r="I53" i="74"/>
  <c r="I52" i="74"/>
  <c r="I51" i="74"/>
  <c r="I50" i="74"/>
  <c r="I48" i="74"/>
  <c r="I47" i="74"/>
  <c r="I46" i="74"/>
  <c r="I45" i="74"/>
  <c r="I44" i="74"/>
  <c r="I42" i="74"/>
  <c r="I41" i="74"/>
  <c r="I39" i="74"/>
  <c r="I38" i="74"/>
  <c r="I37" i="74"/>
  <c r="I36" i="74"/>
  <c r="I35" i="74"/>
  <c r="I33" i="74"/>
  <c r="I32" i="74"/>
  <c r="I31" i="74"/>
  <c r="I30" i="74"/>
  <c r="I29" i="74"/>
  <c r="I27" i="74"/>
  <c r="I26" i="74"/>
  <c r="I25" i="74"/>
  <c r="I24" i="74"/>
  <c r="I23" i="74"/>
  <c r="I22" i="74"/>
  <c r="I20" i="74"/>
  <c r="I19" i="74"/>
  <c r="I18" i="74"/>
  <c r="I17" i="74"/>
  <c r="I16" i="74"/>
  <c r="I14" i="74"/>
  <c r="I13" i="74"/>
  <c r="I12" i="74"/>
  <c r="I11" i="74"/>
  <c r="I10" i="74"/>
  <c r="I8" i="74"/>
  <c r="I7" i="74"/>
  <c r="I6" i="74"/>
  <c r="AC5" i="74"/>
  <c r="AN7" i="88" s="1"/>
  <c r="AA5" i="74"/>
  <c r="AK7" i="88" s="1"/>
  <c r="Y5" i="74"/>
  <c r="AH7" i="88" s="1"/>
  <c r="W5" i="74"/>
  <c r="AE7" i="88" s="1"/>
  <c r="U5" i="74"/>
  <c r="AB7" i="88" s="1"/>
  <c r="S5" i="74"/>
  <c r="Y7" i="88" s="1"/>
  <c r="Q5" i="74"/>
  <c r="O5" i="74"/>
  <c r="M5" i="74"/>
  <c r="K5" i="74"/>
  <c r="I5" i="74"/>
  <c r="G61" i="74"/>
  <c r="G60" i="74"/>
  <c r="G59" i="74"/>
  <c r="G58" i="74"/>
  <c r="G57" i="74"/>
  <c r="G56" i="74"/>
  <c r="G54" i="74"/>
  <c r="G53" i="74"/>
  <c r="G52" i="74"/>
  <c r="G51" i="74"/>
  <c r="G50" i="74"/>
  <c r="G48" i="74"/>
  <c r="G47" i="74"/>
  <c r="G46" i="74"/>
  <c r="G45" i="74"/>
  <c r="G44" i="74"/>
  <c r="G42" i="74"/>
  <c r="G41" i="74"/>
  <c r="G39" i="74"/>
  <c r="G38" i="74"/>
  <c r="G37" i="74"/>
  <c r="G36" i="74"/>
  <c r="G35" i="74"/>
  <c r="G33" i="74"/>
  <c r="G32" i="74"/>
  <c r="G31" i="74"/>
  <c r="G30" i="74"/>
  <c r="G29" i="74"/>
  <c r="G27" i="74"/>
  <c r="G26" i="74"/>
  <c r="G25" i="74"/>
  <c r="G24" i="74"/>
  <c r="G23" i="74"/>
  <c r="G22" i="74"/>
  <c r="G20" i="74"/>
  <c r="G19" i="74"/>
  <c r="G18" i="74"/>
  <c r="G17" i="74"/>
  <c r="G16" i="74"/>
  <c r="G14" i="74"/>
  <c r="G13" i="74"/>
  <c r="G12" i="74"/>
  <c r="G11" i="74"/>
  <c r="G10" i="74"/>
  <c r="G8" i="74"/>
  <c r="G7" i="74"/>
  <c r="G6" i="74"/>
  <c r="G5" i="74"/>
  <c r="AC65" i="70"/>
  <c r="AN67" i="87" s="1"/>
  <c r="AO67" i="87" s="1"/>
  <c r="AA65" i="70"/>
  <c r="AK67" i="87" s="1"/>
  <c r="AL67" i="87" s="1"/>
  <c r="Y65" i="70"/>
  <c r="AH67" i="87" s="1"/>
  <c r="AI67" i="87" s="1"/>
  <c r="W65" i="70"/>
  <c r="AE67" i="87" s="1"/>
  <c r="AF67" i="87" s="1"/>
  <c r="U65" i="70"/>
  <c r="AB67" i="87" s="1"/>
  <c r="AC67" i="87" s="1"/>
  <c r="S65" i="70"/>
  <c r="Y67" i="87" s="1"/>
  <c r="Z67" i="87" s="1"/>
  <c r="AC64" i="70"/>
  <c r="AN66" i="87" s="1"/>
  <c r="AO66" i="87" s="1"/>
  <c r="AA64" i="70"/>
  <c r="AK66" i="87" s="1"/>
  <c r="AL66" i="87" s="1"/>
  <c r="Y64" i="70"/>
  <c r="AH66" i="87" s="1"/>
  <c r="AI66" i="87" s="1"/>
  <c r="W64" i="70"/>
  <c r="AE66" i="87" s="1"/>
  <c r="AF66" i="87" s="1"/>
  <c r="U64" i="70"/>
  <c r="AB66" i="87" s="1"/>
  <c r="AC66" i="87" s="1"/>
  <c r="S64" i="70"/>
  <c r="Y66" i="87" s="1"/>
  <c r="Z66" i="87" s="1"/>
  <c r="AC63" i="70"/>
  <c r="AN65" i="87" s="1"/>
  <c r="AO65" i="87" s="1"/>
  <c r="AA63" i="70"/>
  <c r="AK65" i="87" s="1"/>
  <c r="AL65" i="87" s="1"/>
  <c r="Y63" i="70"/>
  <c r="AH65" i="87" s="1"/>
  <c r="AI65" i="87" s="1"/>
  <c r="W63" i="70"/>
  <c r="AE65" i="87" s="1"/>
  <c r="AF65" i="87" s="1"/>
  <c r="U63" i="70"/>
  <c r="AB65" i="87" s="1"/>
  <c r="AC65" i="87" s="1"/>
  <c r="S63" i="70"/>
  <c r="Y65" i="87" s="1"/>
  <c r="Z65" i="87" s="1"/>
  <c r="AC62" i="70"/>
  <c r="AN64" i="87" s="1"/>
  <c r="AO64" i="87" s="1"/>
  <c r="AA62" i="70"/>
  <c r="AK64" i="87" s="1"/>
  <c r="AL64" i="87" s="1"/>
  <c r="Y62" i="70"/>
  <c r="AH64" i="87" s="1"/>
  <c r="AI64" i="87" s="1"/>
  <c r="W62" i="70"/>
  <c r="AE64" i="87" s="1"/>
  <c r="AF64" i="87" s="1"/>
  <c r="U62" i="70"/>
  <c r="AB64" i="87" s="1"/>
  <c r="AC64" i="87" s="1"/>
  <c r="S62" i="70"/>
  <c r="Y64" i="87" s="1"/>
  <c r="Z64" i="87" s="1"/>
  <c r="AC61" i="70"/>
  <c r="AN63" i="87" s="1"/>
  <c r="AO63" i="87" s="1"/>
  <c r="AA61" i="70"/>
  <c r="AK63" i="87" s="1"/>
  <c r="AL63" i="87" s="1"/>
  <c r="Y61" i="70"/>
  <c r="AH63" i="87" s="1"/>
  <c r="AI63" i="87" s="1"/>
  <c r="W61" i="70"/>
  <c r="AE63" i="87" s="1"/>
  <c r="AF63" i="87" s="1"/>
  <c r="U61" i="70"/>
  <c r="AB63" i="87" s="1"/>
  <c r="AC63" i="87" s="1"/>
  <c r="S61" i="70"/>
  <c r="Y63" i="87" s="1"/>
  <c r="Z63" i="87" s="1"/>
  <c r="AC60" i="70"/>
  <c r="AN62" i="87" s="1"/>
  <c r="AO62" i="87" s="1"/>
  <c r="AA60" i="70"/>
  <c r="AK62" i="87" s="1"/>
  <c r="AL62" i="87" s="1"/>
  <c r="Y60" i="70"/>
  <c r="AH62" i="87" s="1"/>
  <c r="AI62" i="87" s="1"/>
  <c r="W60" i="70"/>
  <c r="AE62" i="87" s="1"/>
  <c r="AF62" i="87" s="1"/>
  <c r="U60" i="70"/>
  <c r="AB62" i="87" s="1"/>
  <c r="AC62" i="87" s="1"/>
  <c r="S60" i="70"/>
  <c r="Y62" i="87" s="1"/>
  <c r="Z62" i="87" s="1"/>
  <c r="AC58" i="70"/>
  <c r="AN60" i="87" s="1"/>
  <c r="AO60" i="87" s="1"/>
  <c r="AA58" i="70"/>
  <c r="AK60" i="87" s="1"/>
  <c r="AL60" i="87" s="1"/>
  <c r="Y58" i="70"/>
  <c r="AH60" i="87" s="1"/>
  <c r="AI60" i="87" s="1"/>
  <c r="W58" i="70"/>
  <c r="AE60" i="87" s="1"/>
  <c r="AF60" i="87" s="1"/>
  <c r="U58" i="70"/>
  <c r="AB60" i="87" s="1"/>
  <c r="AC60" i="87" s="1"/>
  <c r="S58" i="70"/>
  <c r="Y60" i="87" s="1"/>
  <c r="Z60" i="87" s="1"/>
  <c r="AC57" i="70"/>
  <c r="AN59" i="87" s="1"/>
  <c r="AO59" i="87" s="1"/>
  <c r="AA57" i="70"/>
  <c r="AK59" i="87" s="1"/>
  <c r="AL59" i="87" s="1"/>
  <c r="Y57" i="70"/>
  <c r="AH59" i="87" s="1"/>
  <c r="AI59" i="87" s="1"/>
  <c r="W57" i="70"/>
  <c r="AE59" i="87" s="1"/>
  <c r="AF59" i="87" s="1"/>
  <c r="U57" i="70"/>
  <c r="AB59" i="87" s="1"/>
  <c r="AC59" i="87" s="1"/>
  <c r="S57" i="70"/>
  <c r="Y59" i="87" s="1"/>
  <c r="Z59" i="87" s="1"/>
  <c r="AC56" i="70"/>
  <c r="AN58" i="87" s="1"/>
  <c r="AO58" i="87" s="1"/>
  <c r="AA56" i="70"/>
  <c r="AK58" i="87" s="1"/>
  <c r="AL58" i="87" s="1"/>
  <c r="Y56" i="70"/>
  <c r="AH58" i="87" s="1"/>
  <c r="AI58" i="87" s="1"/>
  <c r="W56" i="70"/>
  <c r="AE58" i="87" s="1"/>
  <c r="AF58" i="87" s="1"/>
  <c r="U56" i="70"/>
  <c r="AB58" i="87" s="1"/>
  <c r="AC58" i="87" s="1"/>
  <c r="S56" i="70"/>
  <c r="Y58" i="87" s="1"/>
  <c r="Z58" i="87" s="1"/>
  <c r="AC55" i="70"/>
  <c r="AN57" i="87" s="1"/>
  <c r="AO57" i="87" s="1"/>
  <c r="AA55" i="70"/>
  <c r="AK57" i="87" s="1"/>
  <c r="AL57" i="87" s="1"/>
  <c r="Y55" i="70"/>
  <c r="AH57" i="87" s="1"/>
  <c r="AI57" i="87" s="1"/>
  <c r="W55" i="70"/>
  <c r="AE57" i="87" s="1"/>
  <c r="AF57" i="87" s="1"/>
  <c r="U55" i="70"/>
  <c r="AB57" i="87" s="1"/>
  <c r="AC57" i="87" s="1"/>
  <c r="S55" i="70"/>
  <c r="Y57" i="87" s="1"/>
  <c r="Z57" i="87" s="1"/>
  <c r="AC54" i="70"/>
  <c r="AN56" i="87" s="1"/>
  <c r="AO56" i="87" s="1"/>
  <c r="AA54" i="70"/>
  <c r="AK56" i="87" s="1"/>
  <c r="AL56" i="87" s="1"/>
  <c r="Y54" i="70"/>
  <c r="AH56" i="87" s="1"/>
  <c r="AI56" i="87" s="1"/>
  <c r="W54" i="70"/>
  <c r="AE56" i="87" s="1"/>
  <c r="AF56" i="87" s="1"/>
  <c r="U54" i="70"/>
  <c r="AB56" i="87" s="1"/>
  <c r="AC56" i="87" s="1"/>
  <c r="S54" i="70"/>
  <c r="Y56" i="87" s="1"/>
  <c r="Z56" i="87" s="1"/>
  <c r="AC52" i="70"/>
  <c r="AN54" i="87" s="1"/>
  <c r="AO54" i="87" s="1"/>
  <c r="AA52" i="70"/>
  <c r="AK54" i="87" s="1"/>
  <c r="AL54" i="87" s="1"/>
  <c r="Y52" i="70"/>
  <c r="AH54" i="87" s="1"/>
  <c r="AI54" i="87" s="1"/>
  <c r="W52" i="70"/>
  <c r="AE54" i="87" s="1"/>
  <c r="AF54" i="87" s="1"/>
  <c r="U52" i="70"/>
  <c r="AB54" i="87" s="1"/>
  <c r="AC54" i="87" s="1"/>
  <c r="S52" i="70"/>
  <c r="Y54" i="87" s="1"/>
  <c r="Z54" i="87" s="1"/>
  <c r="AC51" i="70"/>
  <c r="AN53" i="87" s="1"/>
  <c r="AO53" i="87" s="1"/>
  <c r="AA51" i="70"/>
  <c r="AK53" i="87" s="1"/>
  <c r="AL53" i="87" s="1"/>
  <c r="Y51" i="70"/>
  <c r="AH53" i="87" s="1"/>
  <c r="AI53" i="87" s="1"/>
  <c r="W51" i="70"/>
  <c r="AE53" i="87" s="1"/>
  <c r="AF53" i="87" s="1"/>
  <c r="U51" i="70"/>
  <c r="AB53" i="87" s="1"/>
  <c r="AC53" i="87" s="1"/>
  <c r="S51" i="70"/>
  <c r="Y53" i="87" s="1"/>
  <c r="Z53" i="87" s="1"/>
  <c r="AC50" i="70"/>
  <c r="AN52" i="87" s="1"/>
  <c r="AO52" i="87" s="1"/>
  <c r="AA50" i="70"/>
  <c r="AK52" i="87" s="1"/>
  <c r="AL52" i="87" s="1"/>
  <c r="Y50" i="70"/>
  <c r="AH52" i="87" s="1"/>
  <c r="AI52" i="87" s="1"/>
  <c r="W50" i="70"/>
  <c r="AE52" i="87" s="1"/>
  <c r="AF52" i="87" s="1"/>
  <c r="U50" i="70"/>
  <c r="AB52" i="87" s="1"/>
  <c r="AC52" i="87" s="1"/>
  <c r="S50" i="70"/>
  <c r="Y52" i="87" s="1"/>
  <c r="Z52" i="87" s="1"/>
  <c r="AC49" i="70"/>
  <c r="AN51" i="87" s="1"/>
  <c r="AO51" i="87" s="1"/>
  <c r="AA49" i="70"/>
  <c r="AK51" i="87" s="1"/>
  <c r="AL51" i="87" s="1"/>
  <c r="Y49" i="70"/>
  <c r="AH51" i="87" s="1"/>
  <c r="AI51" i="87" s="1"/>
  <c r="W49" i="70"/>
  <c r="AE51" i="87" s="1"/>
  <c r="AF51" i="87" s="1"/>
  <c r="U49" i="70"/>
  <c r="AB51" i="87" s="1"/>
  <c r="AC51" i="87" s="1"/>
  <c r="S49" i="70"/>
  <c r="Y51" i="87" s="1"/>
  <c r="Z51" i="87" s="1"/>
  <c r="AC48" i="70"/>
  <c r="AN50" i="87" s="1"/>
  <c r="AO50" i="87" s="1"/>
  <c r="AA48" i="70"/>
  <c r="AK50" i="87" s="1"/>
  <c r="AL50" i="87" s="1"/>
  <c r="Y48" i="70"/>
  <c r="AH50" i="87" s="1"/>
  <c r="AI50" i="87" s="1"/>
  <c r="W48" i="70"/>
  <c r="AE50" i="87" s="1"/>
  <c r="AF50" i="87" s="1"/>
  <c r="U48" i="70"/>
  <c r="AB50" i="87" s="1"/>
  <c r="AC50" i="87" s="1"/>
  <c r="S48" i="70"/>
  <c r="Y50" i="87" s="1"/>
  <c r="Z50" i="87" s="1"/>
  <c r="AC47" i="70"/>
  <c r="AN49" i="87" s="1"/>
  <c r="AO49" i="87" s="1"/>
  <c r="AA47" i="70"/>
  <c r="AK49" i="87" s="1"/>
  <c r="AL49" i="87" s="1"/>
  <c r="Y47" i="70"/>
  <c r="AH49" i="87" s="1"/>
  <c r="AI49" i="87" s="1"/>
  <c r="W47" i="70"/>
  <c r="AE49" i="87" s="1"/>
  <c r="AF49" i="87" s="1"/>
  <c r="U47" i="70"/>
  <c r="AB49" i="87" s="1"/>
  <c r="AC49" i="87" s="1"/>
  <c r="S47" i="70"/>
  <c r="Y49" i="87" s="1"/>
  <c r="Z49" i="87" s="1"/>
  <c r="AC45" i="70"/>
  <c r="AN47" i="87" s="1"/>
  <c r="AO47" i="87" s="1"/>
  <c r="AA45" i="70"/>
  <c r="AK47" i="87" s="1"/>
  <c r="AL47" i="87" s="1"/>
  <c r="Y45" i="70"/>
  <c r="AH47" i="87" s="1"/>
  <c r="AI47" i="87" s="1"/>
  <c r="W45" i="70"/>
  <c r="AE47" i="87" s="1"/>
  <c r="AF47" i="87" s="1"/>
  <c r="U45" i="70"/>
  <c r="AB47" i="87" s="1"/>
  <c r="AC47" i="87" s="1"/>
  <c r="S45" i="70"/>
  <c r="Y47" i="87" s="1"/>
  <c r="Z47" i="87" s="1"/>
  <c r="AC44" i="70"/>
  <c r="AN46" i="87" s="1"/>
  <c r="AO46" i="87" s="1"/>
  <c r="AA44" i="70"/>
  <c r="AK46" i="87" s="1"/>
  <c r="AL46" i="87" s="1"/>
  <c r="Y44" i="70"/>
  <c r="AH46" i="87" s="1"/>
  <c r="AI46" i="87" s="1"/>
  <c r="W44" i="70"/>
  <c r="AE46" i="87" s="1"/>
  <c r="AF46" i="87" s="1"/>
  <c r="U44" i="70"/>
  <c r="AB46" i="87" s="1"/>
  <c r="AC46" i="87" s="1"/>
  <c r="S44" i="70"/>
  <c r="Y46" i="87" s="1"/>
  <c r="Z46" i="87" s="1"/>
  <c r="AC43" i="70"/>
  <c r="AN45" i="87" s="1"/>
  <c r="AO45" i="87" s="1"/>
  <c r="AA43" i="70"/>
  <c r="AK45" i="87" s="1"/>
  <c r="AL45" i="87" s="1"/>
  <c r="Y43" i="70"/>
  <c r="AH45" i="87" s="1"/>
  <c r="AI45" i="87" s="1"/>
  <c r="W43" i="70"/>
  <c r="AE45" i="87" s="1"/>
  <c r="AF45" i="87" s="1"/>
  <c r="U43" i="70"/>
  <c r="AB45" i="87" s="1"/>
  <c r="AC45" i="87" s="1"/>
  <c r="S43" i="70"/>
  <c r="Y45" i="87" s="1"/>
  <c r="Z45" i="87" s="1"/>
  <c r="AC41" i="70"/>
  <c r="AN43" i="87" s="1"/>
  <c r="AO43" i="87" s="1"/>
  <c r="AA41" i="70"/>
  <c r="AK43" i="87" s="1"/>
  <c r="AL43" i="87" s="1"/>
  <c r="Y41" i="70"/>
  <c r="AH43" i="87" s="1"/>
  <c r="AI43" i="87" s="1"/>
  <c r="W41" i="70"/>
  <c r="AE43" i="87" s="1"/>
  <c r="AF43" i="87" s="1"/>
  <c r="U41" i="70"/>
  <c r="AB43" i="87" s="1"/>
  <c r="AC43" i="87" s="1"/>
  <c r="S41" i="70"/>
  <c r="Y43" i="87" s="1"/>
  <c r="Z43" i="87" s="1"/>
  <c r="AC40" i="70"/>
  <c r="AN42" i="87" s="1"/>
  <c r="AO42" i="87" s="1"/>
  <c r="AA40" i="70"/>
  <c r="AK42" i="87" s="1"/>
  <c r="AL42" i="87" s="1"/>
  <c r="Y40" i="70"/>
  <c r="AH42" i="87" s="1"/>
  <c r="AI42" i="87" s="1"/>
  <c r="W40" i="70"/>
  <c r="AE42" i="87" s="1"/>
  <c r="AF42" i="87" s="1"/>
  <c r="U40" i="70"/>
  <c r="AB42" i="87" s="1"/>
  <c r="AC42" i="87" s="1"/>
  <c r="S40" i="70"/>
  <c r="Y42" i="87" s="1"/>
  <c r="Z42" i="87" s="1"/>
  <c r="AC39" i="70"/>
  <c r="AN41" i="87" s="1"/>
  <c r="AO41" i="87" s="1"/>
  <c r="AA39" i="70"/>
  <c r="AK41" i="87" s="1"/>
  <c r="AL41" i="87" s="1"/>
  <c r="Y39" i="70"/>
  <c r="AH41" i="87" s="1"/>
  <c r="AI41" i="87" s="1"/>
  <c r="W39" i="70"/>
  <c r="AE41" i="87" s="1"/>
  <c r="AF41" i="87" s="1"/>
  <c r="U39" i="70"/>
  <c r="AB41" i="87" s="1"/>
  <c r="AC41" i="87" s="1"/>
  <c r="S39" i="70"/>
  <c r="Y41" i="87" s="1"/>
  <c r="Z41" i="87" s="1"/>
  <c r="AC38" i="70"/>
  <c r="AN40" i="87" s="1"/>
  <c r="AO40" i="87" s="1"/>
  <c r="AA38" i="70"/>
  <c r="AK40" i="87" s="1"/>
  <c r="AL40" i="87" s="1"/>
  <c r="Y38" i="70"/>
  <c r="AH40" i="87" s="1"/>
  <c r="AI40" i="87" s="1"/>
  <c r="W38" i="70"/>
  <c r="AE40" i="87" s="1"/>
  <c r="AF40" i="87" s="1"/>
  <c r="U38" i="70"/>
  <c r="AB40" i="87" s="1"/>
  <c r="AC40" i="87" s="1"/>
  <c r="S38" i="70"/>
  <c r="Y40" i="87" s="1"/>
  <c r="Z40" i="87" s="1"/>
  <c r="AC37" i="70"/>
  <c r="AN39" i="87" s="1"/>
  <c r="AO39" i="87" s="1"/>
  <c r="AA37" i="70"/>
  <c r="AK39" i="87" s="1"/>
  <c r="AL39" i="87" s="1"/>
  <c r="Y37" i="70"/>
  <c r="AH39" i="87" s="1"/>
  <c r="AI39" i="87" s="1"/>
  <c r="W37" i="70"/>
  <c r="AE39" i="87" s="1"/>
  <c r="AF39" i="87" s="1"/>
  <c r="U37" i="70"/>
  <c r="AB39" i="87" s="1"/>
  <c r="AC39" i="87" s="1"/>
  <c r="S37" i="70"/>
  <c r="Y39" i="87" s="1"/>
  <c r="Z39" i="87" s="1"/>
  <c r="AC36" i="70"/>
  <c r="AN38" i="87" s="1"/>
  <c r="AO38" i="87" s="1"/>
  <c r="AA36" i="70"/>
  <c r="AK38" i="87" s="1"/>
  <c r="AL38" i="87" s="1"/>
  <c r="Y36" i="70"/>
  <c r="AH38" i="87" s="1"/>
  <c r="AI38" i="87" s="1"/>
  <c r="W36" i="70"/>
  <c r="AE38" i="87" s="1"/>
  <c r="AF38" i="87" s="1"/>
  <c r="U36" i="70"/>
  <c r="AB38" i="87" s="1"/>
  <c r="AC38" i="87" s="1"/>
  <c r="S36" i="70"/>
  <c r="Y38" i="87" s="1"/>
  <c r="Z38" i="87" s="1"/>
  <c r="AC34" i="70"/>
  <c r="AN36" i="87" s="1"/>
  <c r="AO36" i="87" s="1"/>
  <c r="AA34" i="70"/>
  <c r="AK36" i="87" s="1"/>
  <c r="AL36" i="87" s="1"/>
  <c r="Y34" i="70"/>
  <c r="AH36" i="87" s="1"/>
  <c r="AI36" i="87" s="1"/>
  <c r="W34" i="70"/>
  <c r="AE36" i="87" s="1"/>
  <c r="AF36" i="87" s="1"/>
  <c r="U34" i="70"/>
  <c r="AB36" i="87" s="1"/>
  <c r="AC36" i="87" s="1"/>
  <c r="S34" i="70"/>
  <c r="Y36" i="87" s="1"/>
  <c r="Z36" i="87" s="1"/>
  <c r="AC33" i="70"/>
  <c r="AN35" i="87" s="1"/>
  <c r="AO35" i="87" s="1"/>
  <c r="AA33" i="70"/>
  <c r="AK35" i="87" s="1"/>
  <c r="AL35" i="87" s="1"/>
  <c r="Y33" i="70"/>
  <c r="AH35" i="87" s="1"/>
  <c r="AI35" i="87" s="1"/>
  <c r="W33" i="70"/>
  <c r="AE35" i="87" s="1"/>
  <c r="AF35" i="87" s="1"/>
  <c r="U33" i="70"/>
  <c r="AB35" i="87" s="1"/>
  <c r="AC35" i="87" s="1"/>
  <c r="S33" i="70"/>
  <c r="Y35" i="87" s="1"/>
  <c r="Z35" i="87" s="1"/>
  <c r="AC32" i="70"/>
  <c r="AN34" i="87" s="1"/>
  <c r="AO34" i="87" s="1"/>
  <c r="AA32" i="70"/>
  <c r="AK34" i="87" s="1"/>
  <c r="AL34" i="87" s="1"/>
  <c r="Y32" i="70"/>
  <c r="AH34" i="87" s="1"/>
  <c r="AI34" i="87" s="1"/>
  <c r="W32" i="70"/>
  <c r="AE34" i="87" s="1"/>
  <c r="AF34" i="87" s="1"/>
  <c r="U32" i="70"/>
  <c r="AB34" i="87" s="1"/>
  <c r="AC34" i="87" s="1"/>
  <c r="S32" i="70"/>
  <c r="Y34" i="87" s="1"/>
  <c r="Z34" i="87" s="1"/>
  <c r="AC31" i="70"/>
  <c r="AN33" i="87" s="1"/>
  <c r="AO33" i="87" s="1"/>
  <c r="AA31" i="70"/>
  <c r="AK33" i="87" s="1"/>
  <c r="AL33" i="87" s="1"/>
  <c r="Y31" i="70"/>
  <c r="AH33" i="87" s="1"/>
  <c r="AI33" i="87" s="1"/>
  <c r="W31" i="70"/>
  <c r="AE33" i="87" s="1"/>
  <c r="AF33" i="87" s="1"/>
  <c r="U31" i="70"/>
  <c r="AB33" i="87" s="1"/>
  <c r="AC33" i="87" s="1"/>
  <c r="S31" i="70"/>
  <c r="Y33" i="87" s="1"/>
  <c r="Z33" i="87" s="1"/>
  <c r="AC30" i="70"/>
  <c r="AN32" i="87" s="1"/>
  <c r="AO32" i="87" s="1"/>
  <c r="AA30" i="70"/>
  <c r="AK32" i="87" s="1"/>
  <c r="AL32" i="87" s="1"/>
  <c r="Y30" i="70"/>
  <c r="AH32" i="87" s="1"/>
  <c r="AI32" i="87" s="1"/>
  <c r="W30" i="70"/>
  <c r="AE32" i="87" s="1"/>
  <c r="AF32" i="87" s="1"/>
  <c r="U30" i="70"/>
  <c r="AB32" i="87" s="1"/>
  <c r="AC32" i="87" s="1"/>
  <c r="S30" i="70"/>
  <c r="Y32" i="87" s="1"/>
  <c r="Z32" i="87" s="1"/>
  <c r="AC28" i="70"/>
  <c r="AN30" i="87" s="1"/>
  <c r="AO30" i="87" s="1"/>
  <c r="AA28" i="70"/>
  <c r="AK30" i="87" s="1"/>
  <c r="AL30" i="87" s="1"/>
  <c r="Y28" i="70"/>
  <c r="AH30" i="87" s="1"/>
  <c r="AI30" i="87" s="1"/>
  <c r="W28" i="70"/>
  <c r="AE30" i="87" s="1"/>
  <c r="AF30" i="87" s="1"/>
  <c r="U28" i="70"/>
  <c r="AB30" i="87" s="1"/>
  <c r="AC30" i="87" s="1"/>
  <c r="S28" i="70"/>
  <c r="Y30" i="87" s="1"/>
  <c r="Z30" i="87" s="1"/>
  <c r="AC27" i="70"/>
  <c r="AN29" i="87" s="1"/>
  <c r="AO29" i="87" s="1"/>
  <c r="AA27" i="70"/>
  <c r="AK29" i="87" s="1"/>
  <c r="AL29" i="87" s="1"/>
  <c r="Y27" i="70"/>
  <c r="AH29" i="87" s="1"/>
  <c r="AI29" i="87" s="1"/>
  <c r="W27" i="70"/>
  <c r="AE29" i="87" s="1"/>
  <c r="AF29" i="87" s="1"/>
  <c r="U27" i="70"/>
  <c r="AB29" i="87" s="1"/>
  <c r="AC29" i="87" s="1"/>
  <c r="S27" i="70"/>
  <c r="Y29" i="87" s="1"/>
  <c r="Z29" i="87" s="1"/>
  <c r="AC26" i="70"/>
  <c r="AN28" i="87" s="1"/>
  <c r="AO28" i="87" s="1"/>
  <c r="AA26" i="70"/>
  <c r="AK28" i="87" s="1"/>
  <c r="AL28" i="87" s="1"/>
  <c r="Y26" i="70"/>
  <c r="AH28" i="87" s="1"/>
  <c r="AI28" i="87" s="1"/>
  <c r="W26" i="70"/>
  <c r="AE28" i="87" s="1"/>
  <c r="AF28" i="87" s="1"/>
  <c r="U26" i="70"/>
  <c r="AB28" i="87" s="1"/>
  <c r="AC28" i="87" s="1"/>
  <c r="S26" i="70"/>
  <c r="Y28" i="87" s="1"/>
  <c r="Z28" i="87" s="1"/>
  <c r="AC25" i="70"/>
  <c r="AN27" i="87" s="1"/>
  <c r="AO27" i="87" s="1"/>
  <c r="AA25" i="70"/>
  <c r="AK27" i="87" s="1"/>
  <c r="AL27" i="87" s="1"/>
  <c r="Y25" i="70"/>
  <c r="AH27" i="87" s="1"/>
  <c r="AI27" i="87" s="1"/>
  <c r="W25" i="70"/>
  <c r="AE27" i="87" s="1"/>
  <c r="AF27" i="87" s="1"/>
  <c r="U25" i="70"/>
  <c r="AB27" i="87" s="1"/>
  <c r="AC27" i="87" s="1"/>
  <c r="S25" i="70"/>
  <c r="Y27" i="87" s="1"/>
  <c r="Z27" i="87" s="1"/>
  <c r="AC24" i="70"/>
  <c r="AN26" i="87" s="1"/>
  <c r="AO26" i="87" s="1"/>
  <c r="AA24" i="70"/>
  <c r="AK26" i="87" s="1"/>
  <c r="AL26" i="87" s="1"/>
  <c r="Y24" i="70"/>
  <c r="AH26" i="87" s="1"/>
  <c r="AI26" i="87" s="1"/>
  <c r="W24" i="70"/>
  <c r="AE26" i="87" s="1"/>
  <c r="AF26" i="87" s="1"/>
  <c r="U24" i="70"/>
  <c r="AB26" i="87" s="1"/>
  <c r="AC26" i="87" s="1"/>
  <c r="S24" i="70"/>
  <c r="Y26" i="87" s="1"/>
  <c r="Z26" i="87" s="1"/>
  <c r="AC23" i="70"/>
  <c r="AN25" i="87" s="1"/>
  <c r="AO25" i="87" s="1"/>
  <c r="AA23" i="70"/>
  <c r="AK25" i="87" s="1"/>
  <c r="AL25" i="87" s="1"/>
  <c r="Y23" i="70"/>
  <c r="AH25" i="87" s="1"/>
  <c r="AI25" i="87" s="1"/>
  <c r="W23" i="70"/>
  <c r="AE25" i="87" s="1"/>
  <c r="AF25" i="87" s="1"/>
  <c r="U23" i="70"/>
  <c r="AB25" i="87" s="1"/>
  <c r="AC25" i="87" s="1"/>
  <c r="S23" i="70"/>
  <c r="Y25" i="87" s="1"/>
  <c r="Z25" i="87" s="1"/>
  <c r="AC22" i="70"/>
  <c r="AN24" i="87" s="1"/>
  <c r="AO24" i="87" s="1"/>
  <c r="AA22" i="70"/>
  <c r="AK24" i="87" s="1"/>
  <c r="AL24" i="87" s="1"/>
  <c r="Y22" i="70"/>
  <c r="AH24" i="87" s="1"/>
  <c r="AI24" i="87" s="1"/>
  <c r="W22" i="70"/>
  <c r="AE24" i="87" s="1"/>
  <c r="AF24" i="87" s="1"/>
  <c r="U22" i="70"/>
  <c r="AB24" i="87" s="1"/>
  <c r="AC24" i="87" s="1"/>
  <c r="S22" i="70"/>
  <c r="Y24" i="87" s="1"/>
  <c r="Z24" i="87" s="1"/>
  <c r="AC20" i="70"/>
  <c r="AN22" i="87" s="1"/>
  <c r="AO22" i="87" s="1"/>
  <c r="AA20" i="70"/>
  <c r="AK22" i="87" s="1"/>
  <c r="AL22" i="87" s="1"/>
  <c r="Y20" i="70"/>
  <c r="AH22" i="87" s="1"/>
  <c r="AI22" i="87" s="1"/>
  <c r="W20" i="70"/>
  <c r="AE22" i="87" s="1"/>
  <c r="AF22" i="87" s="1"/>
  <c r="U20" i="70"/>
  <c r="AB22" i="87" s="1"/>
  <c r="AC22" i="87" s="1"/>
  <c r="S20" i="70"/>
  <c r="Y22" i="87" s="1"/>
  <c r="Z22" i="87" s="1"/>
  <c r="AC19" i="70"/>
  <c r="AN21" i="87" s="1"/>
  <c r="AO21" i="87" s="1"/>
  <c r="AA19" i="70"/>
  <c r="AK21" i="87" s="1"/>
  <c r="AL21" i="87" s="1"/>
  <c r="Y19" i="70"/>
  <c r="AH21" i="87" s="1"/>
  <c r="AI21" i="87" s="1"/>
  <c r="W19" i="70"/>
  <c r="AE21" i="87" s="1"/>
  <c r="AF21" i="87" s="1"/>
  <c r="U19" i="70"/>
  <c r="AB21" i="87" s="1"/>
  <c r="AC21" i="87" s="1"/>
  <c r="S19" i="70"/>
  <c r="Y21" i="87" s="1"/>
  <c r="Z21" i="87" s="1"/>
  <c r="AC18" i="70"/>
  <c r="AN20" i="87" s="1"/>
  <c r="AO20" i="87" s="1"/>
  <c r="AA18" i="70"/>
  <c r="AK20" i="87" s="1"/>
  <c r="AL20" i="87" s="1"/>
  <c r="Y18" i="70"/>
  <c r="AH20" i="87" s="1"/>
  <c r="AI20" i="87" s="1"/>
  <c r="W18" i="70"/>
  <c r="AE20" i="87" s="1"/>
  <c r="AF20" i="87" s="1"/>
  <c r="U18" i="70"/>
  <c r="AB20" i="87" s="1"/>
  <c r="AC20" i="87" s="1"/>
  <c r="S18" i="70"/>
  <c r="Y20" i="87" s="1"/>
  <c r="Z20" i="87" s="1"/>
  <c r="AC17" i="70"/>
  <c r="AN19" i="87" s="1"/>
  <c r="AO19" i="87" s="1"/>
  <c r="AA17" i="70"/>
  <c r="AK19" i="87" s="1"/>
  <c r="AL19" i="87" s="1"/>
  <c r="Y17" i="70"/>
  <c r="AH19" i="87" s="1"/>
  <c r="AI19" i="87" s="1"/>
  <c r="W17" i="70"/>
  <c r="AE19" i="87" s="1"/>
  <c r="AF19" i="87" s="1"/>
  <c r="U17" i="70"/>
  <c r="AB19" i="87" s="1"/>
  <c r="AC19" i="87" s="1"/>
  <c r="S17" i="70"/>
  <c r="Y19" i="87" s="1"/>
  <c r="Z19" i="87" s="1"/>
  <c r="AC16" i="70"/>
  <c r="AN18" i="87" s="1"/>
  <c r="AO18" i="87" s="1"/>
  <c r="AA16" i="70"/>
  <c r="AK18" i="87" s="1"/>
  <c r="AL18" i="87" s="1"/>
  <c r="Y16" i="70"/>
  <c r="AH18" i="87" s="1"/>
  <c r="AI18" i="87" s="1"/>
  <c r="W16" i="70"/>
  <c r="AE18" i="87" s="1"/>
  <c r="AF18" i="87" s="1"/>
  <c r="U16" i="70"/>
  <c r="AB18" i="87" s="1"/>
  <c r="AC18" i="87" s="1"/>
  <c r="S16" i="70"/>
  <c r="Y18" i="87" s="1"/>
  <c r="Z18" i="87" s="1"/>
  <c r="AC14" i="70"/>
  <c r="AN16" i="87" s="1"/>
  <c r="AO16" i="87" s="1"/>
  <c r="AA14" i="70"/>
  <c r="AK16" i="87" s="1"/>
  <c r="AL16" i="87" s="1"/>
  <c r="Y14" i="70"/>
  <c r="AH16" i="87" s="1"/>
  <c r="AI16" i="87" s="1"/>
  <c r="W14" i="70"/>
  <c r="AE16" i="87" s="1"/>
  <c r="AF16" i="87" s="1"/>
  <c r="U14" i="70"/>
  <c r="AB16" i="87" s="1"/>
  <c r="AC16" i="87" s="1"/>
  <c r="S14" i="70"/>
  <c r="Y16" i="87" s="1"/>
  <c r="Z16" i="87" s="1"/>
  <c r="AC13" i="70"/>
  <c r="AN15" i="87" s="1"/>
  <c r="AO15" i="87" s="1"/>
  <c r="AA13" i="70"/>
  <c r="AK15" i="87" s="1"/>
  <c r="AL15" i="87" s="1"/>
  <c r="Y13" i="70"/>
  <c r="AH15" i="87" s="1"/>
  <c r="AI15" i="87" s="1"/>
  <c r="W13" i="70"/>
  <c r="AE15" i="87" s="1"/>
  <c r="AF15" i="87" s="1"/>
  <c r="U13" i="70"/>
  <c r="AB15" i="87" s="1"/>
  <c r="AC15" i="87" s="1"/>
  <c r="S13" i="70"/>
  <c r="Y15" i="87" s="1"/>
  <c r="Z15" i="87" s="1"/>
  <c r="AC12" i="70"/>
  <c r="AN14" i="87" s="1"/>
  <c r="AO14" i="87" s="1"/>
  <c r="AA12" i="70"/>
  <c r="AK14" i="87" s="1"/>
  <c r="AL14" i="87" s="1"/>
  <c r="Y12" i="70"/>
  <c r="AH14" i="87" s="1"/>
  <c r="AI14" i="87" s="1"/>
  <c r="W12" i="70"/>
  <c r="AE14" i="87" s="1"/>
  <c r="AF14" i="87" s="1"/>
  <c r="U12" i="70"/>
  <c r="AB14" i="87" s="1"/>
  <c r="AC14" i="87" s="1"/>
  <c r="S12" i="70"/>
  <c r="Y14" i="87" s="1"/>
  <c r="Z14" i="87" s="1"/>
  <c r="AC11" i="70"/>
  <c r="AN13" i="87" s="1"/>
  <c r="AO13" i="87" s="1"/>
  <c r="AA11" i="70"/>
  <c r="AK13" i="87" s="1"/>
  <c r="AL13" i="87" s="1"/>
  <c r="Y11" i="70"/>
  <c r="AH13" i="87" s="1"/>
  <c r="AI13" i="87" s="1"/>
  <c r="W11" i="70"/>
  <c r="AE13" i="87" s="1"/>
  <c r="AF13" i="87" s="1"/>
  <c r="U11" i="70"/>
  <c r="AB13" i="87" s="1"/>
  <c r="AC13" i="87" s="1"/>
  <c r="S11" i="70"/>
  <c r="Y13" i="87" s="1"/>
  <c r="Z13" i="87" s="1"/>
  <c r="AC10" i="70"/>
  <c r="AN12" i="87" s="1"/>
  <c r="AO12" i="87" s="1"/>
  <c r="AA10" i="70"/>
  <c r="AK12" i="87" s="1"/>
  <c r="AL12" i="87" s="1"/>
  <c r="Y10" i="70"/>
  <c r="AH12" i="87" s="1"/>
  <c r="AI12" i="87" s="1"/>
  <c r="W10" i="70"/>
  <c r="AE12" i="87" s="1"/>
  <c r="AF12" i="87" s="1"/>
  <c r="U10" i="70"/>
  <c r="AB12" i="87" s="1"/>
  <c r="AC12" i="87" s="1"/>
  <c r="S10" i="70"/>
  <c r="Y12" i="87" s="1"/>
  <c r="Z12" i="87" s="1"/>
  <c r="AC8" i="70"/>
  <c r="AN10" i="87" s="1"/>
  <c r="AO10" i="87" s="1"/>
  <c r="AA8" i="70"/>
  <c r="AK10" i="87" s="1"/>
  <c r="AL10" i="87" s="1"/>
  <c r="Y8" i="70"/>
  <c r="AH10" i="87" s="1"/>
  <c r="AI10" i="87" s="1"/>
  <c r="W8" i="70"/>
  <c r="AE10" i="87" s="1"/>
  <c r="AF10" i="87" s="1"/>
  <c r="U8" i="70"/>
  <c r="AB10" i="87" s="1"/>
  <c r="AC10" i="87" s="1"/>
  <c r="S8" i="70"/>
  <c r="Y10" i="87" s="1"/>
  <c r="Z10" i="87" s="1"/>
  <c r="AC7" i="70"/>
  <c r="AN9" i="87" s="1"/>
  <c r="AO9" i="87" s="1"/>
  <c r="AA7" i="70"/>
  <c r="AK9" i="87" s="1"/>
  <c r="AL9" i="87" s="1"/>
  <c r="Y7" i="70"/>
  <c r="AH9" i="87" s="1"/>
  <c r="AI9" i="87" s="1"/>
  <c r="W7" i="70"/>
  <c r="AE9" i="87" s="1"/>
  <c r="AF9" i="87" s="1"/>
  <c r="U7" i="70"/>
  <c r="AB9" i="87" s="1"/>
  <c r="AC9" i="87" s="1"/>
  <c r="S7" i="70"/>
  <c r="Y9" i="87" s="1"/>
  <c r="Z9" i="87" s="1"/>
  <c r="AC6" i="70"/>
  <c r="AN8" i="87" s="1"/>
  <c r="AO8" i="87" s="1"/>
  <c r="AA6" i="70"/>
  <c r="AK8" i="87" s="1"/>
  <c r="AL8" i="87" s="1"/>
  <c r="Y6" i="70"/>
  <c r="AH8" i="87" s="1"/>
  <c r="AI8" i="87" s="1"/>
  <c r="W6" i="70"/>
  <c r="AE8" i="87" s="1"/>
  <c r="AF8" i="87" s="1"/>
  <c r="U6" i="70"/>
  <c r="AB8" i="87" s="1"/>
  <c r="AC8" i="87" s="1"/>
  <c r="S6" i="70"/>
  <c r="Y8" i="87" s="1"/>
  <c r="Z8" i="87" s="1"/>
  <c r="Q65" i="70"/>
  <c r="Q64" i="70"/>
  <c r="Q63" i="70"/>
  <c r="Q62" i="70"/>
  <c r="Q61" i="70"/>
  <c r="Q60" i="70"/>
  <c r="Q58" i="70"/>
  <c r="Q57" i="70"/>
  <c r="Q56" i="70"/>
  <c r="Q55" i="70"/>
  <c r="Q54" i="70"/>
  <c r="Q52" i="70"/>
  <c r="Q51" i="70"/>
  <c r="Q50" i="70"/>
  <c r="Q49" i="70"/>
  <c r="Q48" i="70"/>
  <c r="Q47" i="70"/>
  <c r="Q45" i="70"/>
  <c r="Q44" i="70"/>
  <c r="Q43" i="70"/>
  <c r="Q41" i="70"/>
  <c r="Q40" i="70"/>
  <c r="Q39" i="70"/>
  <c r="Q38" i="70"/>
  <c r="Q37" i="70"/>
  <c r="Q36" i="70"/>
  <c r="Q34" i="70"/>
  <c r="Q33" i="70"/>
  <c r="Q32" i="70"/>
  <c r="Q31" i="70"/>
  <c r="Q30" i="70"/>
  <c r="Q28" i="70"/>
  <c r="Q27" i="70"/>
  <c r="Q26" i="70"/>
  <c r="Q25" i="70"/>
  <c r="Q24" i="70"/>
  <c r="Q23" i="70"/>
  <c r="Q22" i="70"/>
  <c r="Q20" i="70"/>
  <c r="Q19" i="70"/>
  <c r="Q18" i="70"/>
  <c r="Q17" i="70"/>
  <c r="Q16" i="70"/>
  <c r="Q14" i="70"/>
  <c r="Q13" i="70"/>
  <c r="Q12" i="70"/>
  <c r="Q11" i="70"/>
  <c r="Q10" i="70"/>
  <c r="Q8" i="70"/>
  <c r="Q7" i="70"/>
  <c r="Q6" i="70"/>
  <c r="O65" i="70"/>
  <c r="O64" i="70"/>
  <c r="O63" i="70"/>
  <c r="O62" i="70"/>
  <c r="O61" i="70"/>
  <c r="O60" i="70"/>
  <c r="O58" i="70"/>
  <c r="O57" i="70"/>
  <c r="O56" i="70"/>
  <c r="O55" i="70"/>
  <c r="O54" i="70"/>
  <c r="O52" i="70"/>
  <c r="O51" i="70"/>
  <c r="O50" i="70"/>
  <c r="O49" i="70"/>
  <c r="O48" i="70"/>
  <c r="O47" i="70"/>
  <c r="O45" i="70"/>
  <c r="O44" i="70"/>
  <c r="O43" i="70"/>
  <c r="O41" i="70"/>
  <c r="O40" i="70"/>
  <c r="O39" i="70"/>
  <c r="O38" i="70"/>
  <c r="O37" i="70"/>
  <c r="O36" i="70"/>
  <c r="O34" i="70"/>
  <c r="O33" i="70"/>
  <c r="O32" i="70"/>
  <c r="O31" i="70"/>
  <c r="O30" i="70"/>
  <c r="O28" i="70"/>
  <c r="O27" i="70"/>
  <c r="O26" i="70"/>
  <c r="O25" i="70"/>
  <c r="O24" i="70"/>
  <c r="O23" i="70"/>
  <c r="O22" i="70"/>
  <c r="O20" i="70"/>
  <c r="O19" i="70"/>
  <c r="O18" i="70"/>
  <c r="O17" i="70"/>
  <c r="O16" i="70"/>
  <c r="O14" i="70"/>
  <c r="O13" i="70"/>
  <c r="O12" i="70"/>
  <c r="O11" i="70"/>
  <c r="O10" i="70"/>
  <c r="O8" i="70"/>
  <c r="O7" i="70"/>
  <c r="O6" i="70"/>
  <c r="M65" i="70"/>
  <c r="M64" i="70"/>
  <c r="M63" i="70"/>
  <c r="M62" i="70"/>
  <c r="M61" i="70"/>
  <c r="M60" i="70"/>
  <c r="M58" i="70"/>
  <c r="M57" i="70"/>
  <c r="M56" i="70"/>
  <c r="M55" i="70"/>
  <c r="M54" i="70"/>
  <c r="M52" i="70"/>
  <c r="M51" i="70"/>
  <c r="M50" i="70"/>
  <c r="M49" i="70"/>
  <c r="M48" i="70"/>
  <c r="M47" i="70"/>
  <c r="M45" i="70"/>
  <c r="M44" i="70"/>
  <c r="M43" i="70"/>
  <c r="M41" i="70"/>
  <c r="M40" i="70"/>
  <c r="M39" i="70"/>
  <c r="M38" i="70"/>
  <c r="M37" i="70"/>
  <c r="M36" i="70"/>
  <c r="M34" i="70"/>
  <c r="M33" i="70"/>
  <c r="M32" i="70"/>
  <c r="M31" i="70"/>
  <c r="M30" i="70"/>
  <c r="M28" i="70"/>
  <c r="M27" i="70"/>
  <c r="M26" i="70"/>
  <c r="M25" i="70"/>
  <c r="M24" i="70"/>
  <c r="M23" i="70"/>
  <c r="M22" i="70"/>
  <c r="M20" i="70"/>
  <c r="M19" i="70"/>
  <c r="M18" i="70"/>
  <c r="M17" i="70"/>
  <c r="M16" i="70"/>
  <c r="M14" i="70"/>
  <c r="M13" i="70"/>
  <c r="M12" i="70"/>
  <c r="M11" i="70"/>
  <c r="M10" i="70"/>
  <c r="M8" i="70"/>
  <c r="M7" i="70"/>
  <c r="M6" i="70"/>
  <c r="K65" i="70"/>
  <c r="K64" i="70"/>
  <c r="K63" i="70"/>
  <c r="K62" i="70"/>
  <c r="K61" i="70"/>
  <c r="K60" i="70"/>
  <c r="K58" i="70"/>
  <c r="K57" i="70"/>
  <c r="K56" i="70"/>
  <c r="K55" i="70"/>
  <c r="K54" i="70"/>
  <c r="K52" i="70"/>
  <c r="K51" i="70"/>
  <c r="K50" i="70"/>
  <c r="K49" i="70"/>
  <c r="K48" i="70"/>
  <c r="K47" i="70"/>
  <c r="K45" i="70"/>
  <c r="K44" i="70"/>
  <c r="K43" i="70"/>
  <c r="K41" i="70"/>
  <c r="K40" i="70"/>
  <c r="K39" i="70"/>
  <c r="K38" i="70"/>
  <c r="K37" i="70"/>
  <c r="K36" i="70"/>
  <c r="K34" i="70"/>
  <c r="K33" i="70"/>
  <c r="K32" i="70"/>
  <c r="K31" i="70"/>
  <c r="K30" i="70"/>
  <c r="K28" i="70"/>
  <c r="K27" i="70"/>
  <c r="K26" i="70"/>
  <c r="K25" i="70"/>
  <c r="K24" i="70"/>
  <c r="K23" i="70"/>
  <c r="K22" i="70"/>
  <c r="K20" i="70"/>
  <c r="K19" i="70"/>
  <c r="K18" i="70"/>
  <c r="K17" i="70"/>
  <c r="K16" i="70"/>
  <c r="K14" i="70"/>
  <c r="K13" i="70"/>
  <c r="K12" i="70"/>
  <c r="K11" i="70"/>
  <c r="K10" i="70"/>
  <c r="K8" i="70"/>
  <c r="K7" i="70"/>
  <c r="K6" i="70"/>
  <c r="I65" i="70"/>
  <c r="I64" i="70"/>
  <c r="I63" i="70"/>
  <c r="I62" i="70"/>
  <c r="I61" i="70"/>
  <c r="I60" i="70"/>
  <c r="I58" i="70"/>
  <c r="I57" i="70"/>
  <c r="I56" i="70"/>
  <c r="I55" i="70"/>
  <c r="I54" i="70"/>
  <c r="I52" i="70"/>
  <c r="I51" i="70"/>
  <c r="I50" i="70"/>
  <c r="I49" i="70"/>
  <c r="I48" i="70"/>
  <c r="I47" i="70"/>
  <c r="I41" i="70"/>
  <c r="I40" i="70"/>
  <c r="I39" i="70"/>
  <c r="I38" i="70"/>
  <c r="I37" i="70"/>
  <c r="I36" i="70"/>
  <c r="I34" i="70"/>
  <c r="I33" i="70"/>
  <c r="I32" i="70"/>
  <c r="I31" i="70"/>
  <c r="I30" i="70"/>
  <c r="I28" i="70"/>
  <c r="I27" i="70"/>
  <c r="I26" i="70"/>
  <c r="I25" i="70"/>
  <c r="I24" i="70"/>
  <c r="I23" i="70"/>
  <c r="I22" i="70"/>
  <c r="I20" i="70"/>
  <c r="I19" i="70"/>
  <c r="I18" i="70"/>
  <c r="I17" i="70"/>
  <c r="I16" i="70"/>
  <c r="I14" i="70"/>
  <c r="I13" i="70"/>
  <c r="I12" i="70"/>
  <c r="I11" i="70"/>
  <c r="I10" i="70"/>
  <c r="I8" i="70"/>
  <c r="I7" i="70"/>
  <c r="I6" i="70"/>
  <c r="AC5" i="70"/>
  <c r="AN7" i="87" s="1"/>
  <c r="AA5" i="70"/>
  <c r="AK7" i="87" s="1"/>
  <c r="Y5" i="70"/>
  <c r="AH7" i="87" s="1"/>
  <c r="W5" i="70"/>
  <c r="AE7" i="87" s="1"/>
  <c r="U5" i="70"/>
  <c r="AB7" i="87" s="1"/>
  <c r="S5" i="70"/>
  <c r="Y7" i="87" s="1"/>
  <c r="Q5" i="70"/>
  <c r="O5" i="70"/>
  <c r="M5" i="70"/>
  <c r="K5" i="70"/>
  <c r="I5" i="70"/>
  <c r="G65" i="70"/>
  <c r="G64" i="70"/>
  <c r="G63" i="70"/>
  <c r="G62" i="70"/>
  <c r="G61" i="70"/>
  <c r="G60" i="70"/>
  <c r="G58" i="70"/>
  <c r="G57" i="70"/>
  <c r="G56" i="70"/>
  <c r="G55" i="70"/>
  <c r="G54" i="70"/>
  <c r="G52" i="70"/>
  <c r="G51" i="70"/>
  <c r="G50" i="70"/>
  <c r="G49" i="70"/>
  <c r="G48" i="70"/>
  <c r="G47" i="70"/>
  <c r="G45" i="70"/>
  <c r="G44" i="70"/>
  <c r="G43" i="70"/>
  <c r="G41" i="70"/>
  <c r="G40" i="70"/>
  <c r="G39" i="70"/>
  <c r="G38" i="70"/>
  <c r="G37" i="70"/>
  <c r="G36" i="70"/>
  <c r="G34" i="70"/>
  <c r="G33" i="70"/>
  <c r="G32" i="70"/>
  <c r="G31" i="70"/>
  <c r="G30" i="70"/>
  <c r="G28" i="70"/>
  <c r="G27" i="70"/>
  <c r="G26" i="70"/>
  <c r="G25" i="70"/>
  <c r="G24" i="70"/>
  <c r="G23" i="70"/>
  <c r="G22" i="70"/>
  <c r="G20" i="70"/>
  <c r="G19" i="70"/>
  <c r="G18" i="70"/>
  <c r="G17" i="70"/>
  <c r="G16" i="70"/>
  <c r="G14" i="70"/>
  <c r="G13" i="70"/>
  <c r="G12" i="70"/>
  <c r="G11" i="70"/>
  <c r="G10" i="70"/>
  <c r="G8" i="70"/>
  <c r="G7" i="70"/>
  <c r="G6" i="70"/>
  <c r="G5" i="70"/>
  <c r="AC67" i="70"/>
  <c r="AN69" i="87" s="1"/>
  <c r="AA67" i="70"/>
  <c r="AK69" i="87" s="1"/>
  <c r="Y67" i="70"/>
  <c r="AH69" i="87" s="1"/>
  <c r="W67" i="70"/>
  <c r="AE69" i="87" s="1"/>
  <c r="U67" i="70"/>
  <c r="AB69" i="87" s="1"/>
  <c r="S67" i="70"/>
  <c r="Y69" i="87" s="1"/>
  <c r="Q67" i="70"/>
  <c r="O67" i="70"/>
  <c r="M67" i="70"/>
  <c r="K67" i="70"/>
  <c r="I67" i="70"/>
  <c r="G67" i="70"/>
  <c r="AN69" i="78" l="1"/>
  <c r="AK69" i="78"/>
  <c r="AH69" i="78"/>
  <c r="AE69" i="78"/>
  <c r="AB69" i="78"/>
  <c r="Y69" i="78"/>
  <c r="V69" i="78"/>
  <c r="S69" i="78"/>
  <c r="P69" i="78"/>
  <c r="M69" i="78"/>
  <c r="J69" i="78"/>
  <c r="G69" i="78"/>
  <c r="AN67" i="78"/>
  <c r="AN66" i="78"/>
  <c r="AN65" i="78"/>
  <c r="AN64" i="78"/>
  <c r="AN63" i="78"/>
  <c r="AN62" i="78"/>
  <c r="AN60" i="78"/>
  <c r="AN59" i="78"/>
  <c r="AN58" i="78"/>
  <c r="AN57" i="78"/>
  <c r="AN56" i="78"/>
  <c r="AN54" i="78"/>
  <c r="AN53" i="78"/>
  <c r="AN52" i="78"/>
  <c r="AN51" i="78"/>
  <c r="AN50" i="78"/>
  <c r="AN49" i="78"/>
  <c r="AN47" i="78"/>
  <c r="AN46" i="78"/>
  <c r="AN45" i="78"/>
  <c r="AN43" i="78"/>
  <c r="AN42" i="78"/>
  <c r="AN41" i="78"/>
  <c r="AN40" i="78"/>
  <c r="AN39" i="78"/>
  <c r="AN38" i="78"/>
  <c r="AN36" i="78"/>
  <c r="AN35" i="78"/>
  <c r="AN34" i="78"/>
  <c r="AN33" i="78"/>
  <c r="AN32" i="78"/>
  <c r="AN30" i="78"/>
  <c r="AN29" i="78"/>
  <c r="AN28" i="78"/>
  <c r="AN27" i="78"/>
  <c r="AN26" i="78"/>
  <c r="AN25" i="78"/>
  <c r="AN24" i="78"/>
  <c r="AN22" i="78"/>
  <c r="AN21" i="78"/>
  <c r="AN20" i="78"/>
  <c r="AN19" i="78"/>
  <c r="AN18" i="78"/>
  <c r="AN16" i="78"/>
  <c r="AN15" i="78"/>
  <c r="AN14" i="78"/>
  <c r="AN13" i="78"/>
  <c r="AN12" i="78"/>
  <c r="AN10" i="78"/>
  <c r="AN9" i="78"/>
  <c r="AN8" i="78"/>
  <c r="AN7" i="78"/>
  <c r="AK67" i="78"/>
  <c r="AK66" i="78"/>
  <c r="AK65" i="78"/>
  <c r="AK64" i="78"/>
  <c r="AK63" i="78"/>
  <c r="AK62" i="78"/>
  <c r="AK60" i="78"/>
  <c r="AK59" i="78"/>
  <c r="AK58" i="78"/>
  <c r="AK57" i="78"/>
  <c r="AK56" i="78"/>
  <c r="AK54" i="78"/>
  <c r="AK53" i="78"/>
  <c r="AK52" i="78"/>
  <c r="AK51" i="78"/>
  <c r="AK50" i="78"/>
  <c r="AK49" i="78"/>
  <c r="AK47" i="78"/>
  <c r="AK46" i="78"/>
  <c r="AK45" i="78"/>
  <c r="AK43" i="78"/>
  <c r="AK42" i="78"/>
  <c r="AK41" i="78"/>
  <c r="AK40" i="78"/>
  <c r="AK39" i="78"/>
  <c r="AK38" i="78"/>
  <c r="AK36" i="78"/>
  <c r="AK35" i="78"/>
  <c r="AK34" i="78"/>
  <c r="AK33" i="78"/>
  <c r="AK32" i="78"/>
  <c r="AK30" i="78"/>
  <c r="AK29" i="78"/>
  <c r="AK28" i="78"/>
  <c r="AK27" i="78"/>
  <c r="AK26" i="78"/>
  <c r="AK25" i="78"/>
  <c r="AK24" i="78"/>
  <c r="AK22" i="78"/>
  <c r="AK21" i="78"/>
  <c r="AK20" i="78"/>
  <c r="AK19" i="78"/>
  <c r="AK18" i="78"/>
  <c r="AK16" i="78"/>
  <c r="AK15" i="78"/>
  <c r="AK14" i="78"/>
  <c r="AK13" i="78"/>
  <c r="AK12" i="78"/>
  <c r="AK10" i="78"/>
  <c r="AK9" i="78"/>
  <c r="AK8" i="78"/>
  <c r="AK7" i="78"/>
  <c r="AH67" i="78"/>
  <c r="AH66" i="78"/>
  <c r="AH65" i="78"/>
  <c r="AH64" i="78"/>
  <c r="AH63" i="78"/>
  <c r="AH62" i="78"/>
  <c r="AH60" i="78"/>
  <c r="AH59" i="78"/>
  <c r="AH58" i="78"/>
  <c r="AH57" i="78"/>
  <c r="AH56" i="78"/>
  <c r="AH54" i="78"/>
  <c r="AH53" i="78"/>
  <c r="AH52" i="78"/>
  <c r="AH51" i="78"/>
  <c r="AH50" i="78"/>
  <c r="AH49" i="78"/>
  <c r="AH47" i="78"/>
  <c r="AH46" i="78"/>
  <c r="AH45" i="78"/>
  <c r="AH43" i="78"/>
  <c r="AH42" i="78"/>
  <c r="AH41" i="78"/>
  <c r="AH40" i="78"/>
  <c r="AH39" i="78"/>
  <c r="AH38" i="78"/>
  <c r="AH36" i="78"/>
  <c r="AH35" i="78"/>
  <c r="AH34" i="78"/>
  <c r="AH33" i="78"/>
  <c r="AH32" i="78"/>
  <c r="AH30" i="78"/>
  <c r="AH29" i="78"/>
  <c r="AH28" i="78"/>
  <c r="AH27" i="78"/>
  <c r="AH26" i="78"/>
  <c r="AH25" i="78"/>
  <c r="AH24" i="78"/>
  <c r="AH22" i="78"/>
  <c r="AH21" i="78"/>
  <c r="AH20" i="78"/>
  <c r="AH19" i="78"/>
  <c r="AH18" i="78"/>
  <c r="AH16" i="78"/>
  <c r="AH15" i="78"/>
  <c r="AH14" i="78"/>
  <c r="AH13" i="78"/>
  <c r="AH12" i="78"/>
  <c r="AH10" i="78"/>
  <c r="AH9" i="78"/>
  <c r="AH8" i="78"/>
  <c r="AH7" i="78"/>
  <c r="AE67" i="78"/>
  <c r="AE66" i="78"/>
  <c r="AE65" i="78"/>
  <c r="AE64" i="78"/>
  <c r="AE63" i="78"/>
  <c r="AE62" i="78"/>
  <c r="AE60" i="78"/>
  <c r="AE59" i="78"/>
  <c r="AE58" i="78"/>
  <c r="AE57" i="78"/>
  <c r="AE56" i="78"/>
  <c r="AE54" i="78"/>
  <c r="AE53" i="78"/>
  <c r="AE52" i="78"/>
  <c r="AE51" i="78"/>
  <c r="AE50" i="78"/>
  <c r="AE49" i="78"/>
  <c r="AE47" i="78"/>
  <c r="AE46" i="78"/>
  <c r="AE45" i="78"/>
  <c r="AE43" i="78"/>
  <c r="AE42" i="78"/>
  <c r="AE41" i="78"/>
  <c r="AE40" i="78"/>
  <c r="AE39" i="78"/>
  <c r="AE38" i="78"/>
  <c r="AE36" i="78"/>
  <c r="AE35" i="78"/>
  <c r="AE34" i="78"/>
  <c r="AE33" i="78"/>
  <c r="AE32" i="78"/>
  <c r="AE30" i="78"/>
  <c r="AE29" i="78"/>
  <c r="AE28" i="78"/>
  <c r="AE27" i="78"/>
  <c r="AE26" i="78"/>
  <c r="AE25" i="78"/>
  <c r="AE24" i="78"/>
  <c r="AE22" i="78"/>
  <c r="AE21" i="78"/>
  <c r="AE20" i="78"/>
  <c r="AE19" i="78"/>
  <c r="AE18" i="78"/>
  <c r="AE16" i="78"/>
  <c r="AE15" i="78"/>
  <c r="AE14" i="78"/>
  <c r="AE13" i="78"/>
  <c r="AE12" i="78"/>
  <c r="AE10" i="78"/>
  <c r="AE9" i="78"/>
  <c r="AE8" i="78"/>
  <c r="AE7" i="78"/>
  <c r="AB67" i="78"/>
  <c r="AB66" i="78"/>
  <c r="AB65" i="78"/>
  <c r="AB64" i="78"/>
  <c r="AB63" i="78"/>
  <c r="AB62" i="78"/>
  <c r="AB60" i="78"/>
  <c r="AB59" i="78"/>
  <c r="AB58" i="78"/>
  <c r="AB57" i="78"/>
  <c r="AB56" i="78"/>
  <c r="AB54" i="78"/>
  <c r="AB53" i="78"/>
  <c r="AB52" i="78"/>
  <c r="AB51" i="78"/>
  <c r="AB50" i="78"/>
  <c r="AB49" i="78"/>
  <c r="AB47" i="78"/>
  <c r="AB46" i="78"/>
  <c r="AB45" i="78"/>
  <c r="AB43" i="78"/>
  <c r="AB42" i="78"/>
  <c r="AB41" i="78"/>
  <c r="AB40" i="78"/>
  <c r="AB39" i="78"/>
  <c r="AB38" i="78"/>
  <c r="AB36" i="78"/>
  <c r="AB35" i="78"/>
  <c r="AB34" i="78"/>
  <c r="AB33" i="78"/>
  <c r="AB32" i="78"/>
  <c r="AB30" i="78"/>
  <c r="AB29" i="78"/>
  <c r="AB28" i="78"/>
  <c r="AB27" i="78"/>
  <c r="AB26" i="78"/>
  <c r="AB25" i="78"/>
  <c r="AB24" i="78"/>
  <c r="AB22" i="78"/>
  <c r="AB21" i="78"/>
  <c r="AB20" i="78"/>
  <c r="AB19" i="78"/>
  <c r="AB18" i="78"/>
  <c r="AB16" i="78"/>
  <c r="AB15" i="78"/>
  <c r="AB14" i="78"/>
  <c r="AB13" i="78"/>
  <c r="AB12" i="78"/>
  <c r="AB10" i="78"/>
  <c r="AB9" i="78"/>
  <c r="AB8" i="78"/>
  <c r="AB7" i="78"/>
  <c r="Y67" i="78"/>
  <c r="Y66" i="78"/>
  <c r="Y65" i="78"/>
  <c r="Y64" i="78"/>
  <c r="Y63" i="78"/>
  <c r="Y62" i="78"/>
  <c r="Y60" i="78"/>
  <c r="Y59" i="78"/>
  <c r="Y58" i="78"/>
  <c r="Y57" i="78"/>
  <c r="Y56" i="78"/>
  <c r="Y54" i="78"/>
  <c r="Y53" i="78"/>
  <c r="Y52" i="78"/>
  <c r="Y51" i="78"/>
  <c r="Y50" i="78"/>
  <c r="Y49" i="78"/>
  <c r="Y47" i="78"/>
  <c r="Y46" i="78"/>
  <c r="Y45" i="78"/>
  <c r="Y43" i="78"/>
  <c r="Y42" i="78"/>
  <c r="Y41" i="78"/>
  <c r="Y40" i="78"/>
  <c r="Y39" i="78"/>
  <c r="Y38" i="78"/>
  <c r="Y36" i="78"/>
  <c r="Y35" i="78"/>
  <c r="Y34" i="78"/>
  <c r="Y33" i="78"/>
  <c r="Y32" i="78"/>
  <c r="Y30" i="78"/>
  <c r="Y29" i="78"/>
  <c r="Y28" i="78"/>
  <c r="Y27" i="78"/>
  <c r="Y26" i="78"/>
  <c r="Y25" i="78"/>
  <c r="Y24" i="78"/>
  <c r="Y22" i="78"/>
  <c r="Y21" i="78"/>
  <c r="Y20" i="78"/>
  <c r="Y19" i="78"/>
  <c r="Y18" i="78"/>
  <c r="Y16" i="78"/>
  <c r="Y15" i="78"/>
  <c r="Y14" i="78"/>
  <c r="Y13" i="78"/>
  <c r="Y12" i="78"/>
  <c r="Y10" i="78"/>
  <c r="Y9" i="78"/>
  <c r="Y8" i="78"/>
  <c r="Y7" i="78"/>
  <c r="V67" i="78"/>
  <c r="V66" i="78"/>
  <c r="V65" i="78"/>
  <c r="V64" i="78"/>
  <c r="V63" i="78"/>
  <c r="V62" i="78"/>
  <c r="V60" i="78"/>
  <c r="V59" i="78"/>
  <c r="V58" i="78"/>
  <c r="V57" i="78"/>
  <c r="V56" i="78"/>
  <c r="V54" i="78"/>
  <c r="V53" i="78"/>
  <c r="V52" i="78"/>
  <c r="V51" i="78"/>
  <c r="V50" i="78"/>
  <c r="V49" i="78"/>
  <c r="V47" i="78"/>
  <c r="V46" i="78"/>
  <c r="V45" i="78"/>
  <c r="V43" i="78"/>
  <c r="V42" i="78"/>
  <c r="V41" i="78"/>
  <c r="V40" i="78"/>
  <c r="V39" i="78"/>
  <c r="V38" i="78"/>
  <c r="V36" i="78"/>
  <c r="V35" i="78"/>
  <c r="V34" i="78"/>
  <c r="V33" i="78"/>
  <c r="V32" i="78"/>
  <c r="V30" i="78"/>
  <c r="V29" i="78"/>
  <c r="V28" i="78"/>
  <c r="V27" i="78"/>
  <c r="V26" i="78"/>
  <c r="V25" i="78"/>
  <c r="V24" i="78"/>
  <c r="V22" i="78"/>
  <c r="V21" i="78"/>
  <c r="V20" i="78"/>
  <c r="V19" i="78"/>
  <c r="V18" i="78"/>
  <c r="V16" i="78"/>
  <c r="V15" i="78"/>
  <c r="V14" i="78"/>
  <c r="V13" i="78"/>
  <c r="V12" i="78"/>
  <c r="V10" i="78"/>
  <c r="V9" i="78"/>
  <c r="V8" i="78"/>
  <c r="V7" i="78"/>
  <c r="S67" i="78"/>
  <c r="S66" i="78"/>
  <c r="S65" i="78"/>
  <c r="S64" i="78"/>
  <c r="S63" i="78"/>
  <c r="S62" i="78"/>
  <c r="S60" i="78"/>
  <c r="S59" i="78"/>
  <c r="S58" i="78"/>
  <c r="S57" i="78"/>
  <c r="S56" i="78"/>
  <c r="S54" i="78"/>
  <c r="S53" i="78"/>
  <c r="S52" i="78"/>
  <c r="S51" i="78"/>
  <c r="S50" i="78"/>
  <c r="S49" i="78"/>
  <c r="S47" i="78"/>
  <c r="S46" i="78"/>
  <c r="S45" i="78"/>
  <c r="S43" i="78"/>
  <c r="S42" i="78"/>
  <c r="S41" i="78"/>
  <c r="S40" i="78"/>
  <c r="S39" i="78"/>
  <c r="S38" i="78"/>
  <c r="S36" i="78"/>
  <c r="S35" i="78"/>
  <c r="S34" i="78"/>
  <c r="S33" i="78"/>
  <c r="S32" i="78"/>
  <c r="S30" i="78"/>
  <c r="S29" i="78"/>
  <c r="S28" i="78"/>
  <c r="S27" i="78"/>
  <c r="S26" i="78"/>
  <c r="S25" i="78"/>
  <c r="S24" i="78"/>
  <c r="S22" i="78"/>
  <c r="S21" i="78"/>
  <c r="S20" i="78"/>
  <c r="S19" i="78"/>
  <c r="S18" i="78"/>
  <c r="S16" i="78"/>
  <c r="S15" i="78"/>
  <c r="S14" i="78"/>
  <c r="S13" i="78"/>
  <c r="S12" i="78"/>
  <c r="S10" i="78"/>
  <c r="S9" i="78"/>
  <c r="S8" i="78"/>
  <c r="S7" i="78"/>
  <c r="P67" i="78"/>
  <c r="P66" i="78"/>
  <c r="P65" i="78"/>
  <c r="P64" i="78"/>
  <c r="P63" i="78"/>
  <c r="P62" i="78"/>
  <c r="P60" i="78"/>
  <c r="P59" i="78"/>
  <c r="P58" i="78"/>
  <c r="P57" i="78"/>
  <c r="P56" i="78"/>
  <c r="P54" i="78"/>
  <c r="P53" i="78"/>
  <c r="P52" i="78"/>
  <c r="P51" i="78"/>
  <c r="P50" i="78"/>
  <c r="P49" i="78"/>
  <c r="P47" i="78"/>
  <c r="P46" i="78"/>
  <c r="P45" i="78"/>
  <c r="P43" i="78"/>
  <c r="P42" i="78"/>
  <c r="P41" i="78"/>
  <c r="P40" i="78"/>
  <c r="P39" i="78"/>
  <c r="P38" i="78"/>
  <c r="P36" i="78"/>
  <c r="P35" i="78"/>
  <c r="P34" i="78"/>
  <c r="P33" i="78"/>
  <c r="P32" i="78"/>
  <c r="P30" i="78"/>
  <c r="P29" i="78"/>
  <c r="P28" i="78"/>
  <c r="P27" i="78"/>
  <c r="P26" i="78"/>
  <c r="P25" i="78"/>
  <c r="P24" i="78"/>
  <c r="P22" i="78"/>
  <c r="P21" i="78"/>
  <c r="P20" i="78"/>
  <c r="P19" i="78"/>
  <c r="P18" i="78"/>
  <c r="P16" i="78"/>
  <c r="P15" i="78"/>
  <c r="P14" i="78"/>
  <c r="P13" i="78"/>
  <c r="P12" i="78"/>
  <c r="P10" i="78"/>
  <c r="P9" i="78"/>
  <c r="P8" i="78"/>
  <c r="P7" i="78"/>
  <c r="M67" i="78"/>
  <c r="M66" i="78"/>
  <c r="M65" i="78"/>
  <c r="M64" i="78"/>
  <c r="M63" i="78"/>
  <c r="M62" i="78"/>
  <c r="M60" i="78"/>
  <c r="M59" i="78"/>
  <c r="M58" i="78"/>
  <c r="M57" i="78"/>
  <c r="M56" i="78"/>
  <c r="M54" i="78"/>
  <c r="M53" i="78"/>
  <c r="M52" i="78"/>
  <c r="M51" i="78"/>
  <c r="M50" i="78"/>
  <c r="M49" i="78"/>
  <c r="M47" i="78"/>
  <c r="M46" i="78"/>
  <c r="M45" i="78"/>
  <c r="M43" i="78"/>
  <c r="M42" i="78"/>
  <c r="M41" i="78"/>
  <c r="M40" i="78"/>
  <c r="M39" i="78"/>
  <c r="M38" i="78"/>
  <c r="M36" i="78"/>
  <c r="M35" i="78"/>
  <c r="M34" i="78"/>
  <c r="M33" i="78"/>
  <c r="M32" i="78"/>
  <c r="M30" i="78"/>
  <c r="M29" i="78"/>
  <c r="M28" i="78"/>
  <c r="M27" i="78"/>
  <c r="M26" i="78"/>
  <c r="M25" i="78"/>
  <c r="M24" i="78"/>
  <c r="M22" i="78"/>
  <c r="M21" i="78"/>
  <c r="M20" i="78"/>
  <c r="M19" i="78"/>
  <c r="M18" i="78"/>
  <c r="M16" i="78"/>
  <c r="M15" i="78"/>
  <c r="M14" i="78"/>
  <c r="M13" i="78"/>
  <c r="M12" i="78"/>
  <c r="M10" i="78"/>
  <c r="M9" i="78"/>
  <c r="M8" i="78"/>
  <c r="M7" i="78"/>
  <c r="J67" i="78"/>
  <c r="J66" i="78"/>
  <c r="J65" i="78"/>
  <c r="J64" i="78"/>
  <c r="J63" i="78"/>
  <c r="J62" i="78"/>
  <c r="J60" i="78"/>
  <c r="J59" i="78"/>
  <c r="J58" i="78"/>
  <c r="J57" i="78"/>
  <c r="J56" i="78"/>
  <c r="J54" i="78"/>
  <c r="J53" i="78"/>
  <c r="J52" i="78"/>
  <c r="J51" i="78"/>
  <c r="J50" i="78"/>
  <c r="J49" i="78"/>
  <c r="J47" i="78"/>
  <c r="J46" i="78"/>
  <c r="J45" i="78"/>
  <c r="J43" i="78"/>
  <c r="J42" i="78"/>
  <c r="J41" i="78"/>
  <c r="J40" i="78"/>
  <c r="J39" i="78"/>
  <c r="J38" i="78"/>
  <c r="J36" i="78"/>
  <c r="J35" i="78"/>
  <c r="J34" i="78"/>
  <c r="J33" i="78"/>
  <c r="J32" i="78"/>
  <c r="J30" i="78"/>
  <c r="J29" i="78"/>
  <c r="J28" i="78"/>
  <c r="J27" i="78"/>
  <c r="J26" i="78"/>
  <c r="J25" i="78"/>
  <c r="J24" i="78"/>
  <c r="J22" i="78"/>
  <c r="J21" i="78"/>
  <c r="J20" i="78"/>
  <c r="J19" i="78"/>
  <c r="J18" i="78"/>
  <c r="J16" i="78"/>
  <c r="J15" i="78"/>
  <c r="J14" i="78"/>
  <c r="J13" i="78"/>
  <c r="J12" i="78"/>
  <c r="J10" i="78"/>
  <c r="J9" i="78"/>
  <c r="J8" i="78"/>
  <c r="J7" i="78"/>
  <c r="G67" i="78"/>
  <c r="G66" i="78"/>
  <c r="G65" i="78"/>
  <c r="G64" i="78"/>
  <c r="G63" i="78"/>
  <c r="G62" i="78"/>
  <c r="G60" i="78"/>
  <c r="G59" i="78"/>
  <c r="G58" i="78"/>
  <c r="G57" i="78"/>
  <c r="G56" i="78"/>
  <c r="G54" i="78"/>
  <c r="G53" i="78"/>
  <c r="G52" i="78"/>
  <c r="G51" i="78"/>
  <c r="G50" i="78"/>
  <c r="G49" i="78"/>
  <c r="G47" i="78"/>
  <c r="G46" i="78"/>
  <c r="G45" i="78"/>
  <c r="G43" i="78"/>
  <c r="G42" i="78"/>
  <c r="G41" i="78"/>
  <c r="G40" i="78"/>
  <c r="G39" i="78"/>
  <c r="G38" i="78"/>
  <c r="G36" i="78"/>
  <c r="G35" i="78"/>
  <c r="G34" i="78"/>
  <c r="G33" i="78"/>
  <c r="G32" i="78"/>
  <c r="G30" i="78"/>
  <c r="G29" i="78"/>
  <c r="G28" i="78"/>
  <c r="G27" i="78"/>
  <c r="G26" i="78"/>
  <c r="G25" i="78"/>
  <c r="G24" i="78"/>
  <c r="G22" i="78"/>
  <c r="G21" i="78"/>
  <c r="G20" i="78"/>
  <c r="G19" i="78"/>
  <c r="G18" i="78"/>
  <c r="G16" i="78"/>
  <c r="G15" i="78"/>
  <c r="G14" i="78"/>
  <c r="G13" i="78"/>
  <c r="G12" i="78"/>
  <c r="G17" i="78" s="1"/>
  <c r="G10" i="78"/>
  <c r="G9" i="78"/>
  <c r="G8" i="78"/>
  <c r="G7" i="78"/>
  <c r="G11" i="78" l="1"/>
  <c r="BV69" i="73"/>
  <c r="BW69" i="73" s="1"/>
  <c r="BP69" i="73"/>
  <c r="BQ69" i="73" s="1"/>
  <c r="BJ69" i="73"/>
  <c r="BK69" i="73" s="1"/>
  <c r="BD69" i="73"/>
  <c r="BE69" i="73" s="1"/>
  <c r="AX69" i="73"/>
  <c r="AY69" i="73" s="1"/>
  <c r="AR69" i="73"/>
  <c r="AS69" i="73" s="1"/>
  <c r="AT67" i="73"/>
  <c r="AT66" i="73"/>
  <c r="AT65" i="73"/>
  <c r="AT64" i="73"/>
  <c r="AT63" i="73"/>
  <c r="AT62" i="73"/>
  <c r="AT60" i="73"/>
  <c r="AT59" i="73"/>
  <c r="AT58" i="73"/>
  <c r="AT57" i="73"/>
  <c r="AT56" i="73"/>
  <c r="AT54" i="73"/>
  <c r="AT53" i="73"/>
  <c r="AT52" i="73"/>
  <c r="AT51" i="73"/>
  <c r="AT50" i="73"/>
  <c r="AT49" i="73"/>
  <c r="AT47" i="73"/>
  <c r="AT46" i="73"/>
  <c r="AT45" i="73"/>
  <c r="AT43" i="73"/>
  <c r="AT42" i="73"/>
  <c r="AT41" i="73"/>
  <c r="AT40" i="73"/>
  <c r="AT39" i="73"/>
  <c r="AT38" i="73"/>
  <c r="AT36" i="73"/>
  <c r="AT35" i="73"/>
  <c r="AT34" i="73"/>
  <c r="AT33" i="73"/>
  <c r="AT32" i="73"/>
  <c r="AT30" i="73"/>
  <c r="AT29" i="73"/>
  <c r="AT28" i="73"/>
  <c r="AT27" i="73"/>
  <c r="AT26" i="73"/>
  <c r="AT25" i="73"/>
  <c r="AT24" i="73"/>
  <c r="AT22" i="73"/>
  <c r="AT21" i="73"/>
  <c r="AT20" i="73"/>
  <c r="AT19" i="73"/>
  <c r="AT18" i="73"/>
  <c r="AT16" i="73"/>
  <c r="AT15" i="73"/>
  <c r="AT14" i="73"/>
  <c r="AT13" i="73"/>
  <c r="AT12" i="73"/>
  <c r="AT10" i="73"/>
  <c r="AT9" i="73"/>
  <c r="AT8" i="73"/>
  <c r="AZ67" i="73"/>
  <c r="AZ66" i="73"/>
  <c r="AZ65" i="73"/>
  <c r="AZ64" i="73"/>
  <c r="AZ63" i="73"/>
  <c r="AZ62" i="73"/>
  <c r="AZ60" i="73"/>
  <c r="AZ59" i="73"/>
  <c r="AZ58" i="73"/>
  <c r="AZ57" i="73"/>
  <c r="AZ56" i="73"/>
  <c r="AZ54" i="73"/>
  <c r="AZ53" i="73"/>
  <c r="AZ52" i="73"/>
  <c r="AZ51" i="73"/>
  <c r="AZ50" i="73"/>
  <c r="AZ49" i="73"/>
  <c r="AZ47" i="73"/>
  <c r="AZ46" i="73"/>
  <c r="AZ45" i="73"/>
  <c r="AZ43" i="73"/>
  <c r="AZ42" i="73"/>
  <c r="AZ41" i="73"/>
  <c r="AZ40" i="73"/>
  <c r="AZ39" i="73"/>
  <c r="AZ38" i="73"/>
  <c r="AZ36" i="73"/>
  <c r="AZ35" i="73"/>
  <c r="AZ34" i="73"/>
  <c r="AZ33" i="73"/>
  <c r="AZ32" i="73"/>
  <c r="AZ30" i="73"/>
  <c r="AZ29" i="73"/>
  <c r="AZ28" i="73"/>
  <c r="AZ27" i="73"/>
  <c r="AZ26" i="73"/>
  <c r="AZ25" i="73"/>
  <c r="AZ24" i="73"/>
  <c r="AZ22" i="73"/>
  <c r="AZ21" i="73"/>
  <c r="AZ20" i="73"/>
  <c r="AZ19" i="73"/>
  <c r="AZ18" i="73"/>
  <c r="AZ16" i="73"/>
  <c r="AZ15" i="73"/>
  <c r="AZ14" i="73"/>
  <c r="AZ13" i="73"/>
  <c r="AZ12" i="73"/>
  <c r="AZ10" i="73"/>
  <c r="AZ9" i="73"/>
  <c r="AZ8" i="73"/>
  <c r="BF67" i="73"/>
  <c r="BF66" i="73"/>
  <c r="BF65" i="73"/>
  <c r="BF64" i="73"/>
  <c r="BF63" i="73"/>
  <c r="BF62" i="73"/>
  <c r="BF60" i="73"/>
  <c r="BF59" i="73"/>
  <c r="BF58" i="73"/>
  <c r="BF57" i="73"/>
  <c r="BF56" i="73"/>
  <c r="BF54" i="73"/>
  <c r="BF53" i="73"/>
  <c r="BF52" i="73"/>
  <c r="BF51" i="73"/>
  <c r="BF50" i="73"/>
  <c r="BF49" i="73"/>
  <c r="BF47" i="73"/>
  <c r="BF46" i="73"/>
  <c r="BF45" i="73"/>
  <c r="BF43" i="73"/>
  <c r="BF42" i="73"/>
  <c r="BF41" i="73"/>
  <c r="BF40" i="73"/>
  <c r="BF39" i="73"/>
  <c r="BF38" i="73"/>
  <c r="BF36" i="73"/>
  <c r="BF35" i="73"/>
  <c r="BF34" i="73"/>
  <c r="BF33" i="73"/>
  <c r="BF32" i="73"/>
  <c r="BF30" i="73"/>
  <c r="BF29" i="73"/>
  <c r="BF28" i="73"/>
  <c r="BF27" i="73"/>
  <c r="BF26" i="73"/>
  <c r="BF25" i="73"/>
  <c r="BF24" i="73"/>
  <c r="BF22" i="73"/>
  <c r="BF21" i="73"/>
  <c r="BF20" i="73"/>
  <c r="BF19" i="73"/>
  <c r="BF18" i="73"/>
  <c r="BF16" i="73"/>
  <c r="BF15" i="73"/>
  <c r="BF14" i="73"/>
  <c r="BF13" i="73"/>
  <c r="BF12" i="73"/>
  <c r="BF10" i="73"/>
  <c r="BF9" i="73"/>
  <c r="BF8" i="73"/>
  <c r="BL67" i="73"/>
  <c r="BL66" i="73"/>
  <c r="BL65" i="73"/>
  <c r="BL64" i="73"/>
  <c r="BL63" i="73"/>
  <c r="BL62" i="73"/>
  <c r="BL60" i="73"/>
  <c r="BL59" i="73"/>
  <c r="BL58" i="73"/>
  <c r="BL57" i="73"/>
  <c r="BL56" i="73"/>
  <c r="BL54" i="73"/>
  <c r="BL53" i="73"/>
  <c r="BL52" i="73"/>
  <c r="BL51" i="73"/>
  <c r="BL50" i="73"/>
  <c r="BL49" i="73"/>
  <c r="BL47" i="73"/>
  <c r="BL46" i="73"/>
  <c r="BL45" i="73"/>
  <c r="BL43" i="73"/>
  <c r="BL42" i="73"/>
  <c r="BL41" i="73"/>
  <c r="BL40" i="73"/>
  <c r="BL39" i="73"/>
  <c r="BL38" i="73"/>
  <c r="BL36" i="73"/>
  <c r="BL35" i="73"/>
  <c r="BL34" i="73"/>
  <c r="BL33" i="73"/>
  <c r="BL32" i="73"/>
  <c r="BL30" i="73"/>
  <c r="BL29" i="73"/>
  <c r="BL28" i="73"/>
  <c r="BL27" i="73"/>
  <c r="BL26" i="73"/>
  <c r="BL25" i="73"/>
  <c r="BL24" i="73"/>
  <c r="BL22" i="73"/>
  <c r="BL21" i="73"/>
  <c r="BL20" i="73"/>
  <c r="BL19" i="73"/>
  <c r="BL18" i="73"/>
  <c r="BL16" i="73"/>
  <c r="BL15" i="73"/>
  <c r="BL14" i="73"/>
  <c r="BL13" i="73"/>
  <c r="BL12" i="73"/>
  <c r="BL10" i="73"/>
  <c r="BL9" i="73"/>
  <c r="BL8" i="73"/>
  <c r="BR67" i="73"/>
  <c r="BR66" i="73"/>
  <c r="BR65" i="73"/>
  <c r="BR64" i="73"/>
  <c r="BR63" i="73"/>
  <c r="BR62" i="73"/>
  <c r="BR60" i="73"/>
  <c r="BR59" i="73"/>
  <c r="BR58" i="73"/>
  <c r="BR57" i="73"/>
  <c r="BR56" i="73"/>
  <c r="BR54" i="73"/>
  <c r="BR53" i="73"/>
  <c r="BR52" i="73"/>
  <c r="BR51" i="73"/>
  <c r="BR50" i="73"/>
  <c r="BR49" i="73"/>
  <c r="BR47" i="73"/>
  <c r="BR46" i="73"/>
  <c r="BR45" i="73"/>
  <c r="BR43" i="73"/>
  <c r="BR42" i="73"/>
  <c r="BR41" i="73"/>
  <c r="BR40" i="73"/>
  <c r="BR39" i="73"/>
  <c r="BR38" i="73"/>
  <c r="BR36" i="73"/>
  <c r="BR35" i="73"/>
  <c r="BR34" i="73"/>
  <c r="BR33" i="73"/>
  <c r="BR32" i="73"/>
  <c r="BR30" i="73"/>
  <c r="BR29" i="73"/>
  <c r="BR28" i="73"/>
  <c r="BR27" i="73"/>
  <c r="BR26" i="73"/>
  <c r="BR25" i="73"/>
  <c r="BR24" i="73"/>
  <c r="BR22" i="73"/>
  <c r="BR21" i="73"/>
  <c r="BR20" i="73"/>
  <c r="BR19" i="73"/>
  <c r="BR18" i="73"/>
  <c r="BR16" i="73"/>
  <c r="BR15" i="73"/>
  <c r="BR14" i="73"/>
  <c r="BR13" i="73"/>
  <c r="BR12" i="73"/>
  <c r="BR10" i="73"/>
  <c r="BR9" i="73"/>
  <c r="BR8" i="73"/>
  <c r="BX67" i="73"/>
  <c r="BX66" i="73"/>
  <c r="BX65" i="73"/>
  <c r="BX64" i="73"/>
  <c r="BX63" i="73"/>
  <c r="BX62" i="73"/>
  <c r="BX60" i="73"/>
  <c r="BX59" i="73"/>
  <c r="BX58" i="73"/>
  <c r="BX57" i="73"/>
  <c r="BX56" i="73"/>
  <c r="BX54" i="73"/>
  <c r="BX53" i="73"/>
  <c r="BX52" i="73"/>
  <c r="BX51" i="73"/>
  <c r="BX50" i="73"/>
  <c r="BX49" i="73"/>
  <c r="BX47" i="73"/>
  <c r="BX46" i="73"/>
  <c r="BX45" i="73"/>
  <c r="BX43" i="73"/>
  <c r="BX42" i="73"/>
  <c r="BX41" i="73"/>
  <c r="BX40" i="73"/>
  <c r="BX39" i="73"/>
  <c r="BX38" i="73"/>
  <c r="BX36" i="73"/>
  <c r="BX35" i="73"/>
  <c r="BX34" i="73"/>
  <c r="BX33" i="73"/>
  <c r="BX32" i="73"/>
  <c r="BX30" i="73"/>
  <c r="BX29" i="73"/>
  <c r="BX28" i="73"/>
  <c r="BX27" i="73"/>
  <c r="BX26" i="73"/>
  <c r="BX25" i="73"/>
  <c r="BX24" i="73"/>
  <c r="BX22" i="73"/>
  <c r="BX21" i="73"/>
  <c r="BX20" i="73"/>
  <c r="BX19" i="73"/>
  <c r="BX18" i="73"/>
  <c r="BX16" i="73"/>
  <c r="BX15" i="73"/>
  <c r="BX14" i="73"/>
  <c r="BX13" i="73"/>
  <c r="BX12" i="73"/>
  <c r="BX10" i="73"/>
  <c r="BX9" i="73"/>
  <c r="BX8" i="73"/>
  <c r="BX7" i="73"/>
  <c r="BR7" i="73"/>
  <c r="BL7" i="73"/>
  <c r="BF7" i="73"/>
  <c r="AZ7" i="73"/>
  <c r="AT7" i="73"/>
  <c r="BX69" i="73"/>
  <c r="BY69" i="73" s="1"/>
  <c r="BR69" i="73"/>
  <c r="BS69" i="73" s="1"/>
  <c r="BL69" i="73"/>
  <c r="BM69" i="73" s="1"/>
  <c r="BF69" i="73"/>
  <c r="BG69" i="73" s="1"/>
  <c r="AZ69" i="73"/>
  <c r="BA69" i="73" s="1"/>
  <c r="AT69" i="73"/>
  <c r="AU69" i="73" s="1"/>
  <c r="AN69" i="73"/>
  <c r="AH69" i="73"/>
  <c r="AB69" i="73"/>
  <c r="V69" i="73"/>
  <c r="P69" i="73"/>
  <c r="J69" i="73"/>
  <c r="AN67" i="73"/>
  <c r="AN66" i="73"/>
  <c r="AN65" i="73"/>
  <c r="AN64" i="73"/>
  <c r="AN63" i="73"/>
  <c r="AN62" i="73"/>
  <c r="AN60" i="73"/>
  <c r="AN59" i="73"/>
  <c r="AN58" i="73"/>
  <c r="AN57" i="73"/>
  <c r="AN56" i="73"/>
  <c r="AN54" i="73"/>
  <c r="AN53" i="73"/>
  <c r="AN52" i="73"/>
  <c r="AN51" i="73"/>
  <c r="AN50" i="73"/>
  <c r="AN49" i="73"/>
  <c r="AN47" i="73"/>
  <c r="AN46" i="73"/>
  <c r="AN45" i="73"/>
  <c r="AN43" i="73"/>
  <c r="AN42" i="73"/>
  <c r="AN41" i="73"/>
  <c r="AN40" i="73"/>
  <c r="AN39" i="73"/>
  <c r="AN38" i="73"/>
  <c r="AN36" i="73"/>
  <c r="AN35" i="73"/>
  <c r="AN34" i="73"/>
  <c r="AN33" i="73"/>
  <c r="AN32" i="73"/>
  <c r="AN30" i="73"/>
  <c r="AN29" i="73"/>
  <c r="AN28" i="73"/>
  <c r="AN27" i="73"/>
  <c r="AN26" i="73"/>
  <c r="AN25" i="73"/>
  <c r="AN24" i="73"/>
  <c r="AN22" i="73"/>
  <c r="AN21" i="73"/>
  <c r="AN20" i="73"/>
  <c r="AN19" i="73"/>
  <c r="AN18" i="73"/>
  <c r="AN16" i="73"/>
  <c r="AN15" i="73"/>
  <c r="AN14" i="73"/>
  <c r="AN13" i="73"/>
  <c r="AN12" i="73"/>
  <c r="AN10" i="73"/>
  <c r="AN9" i="73"/>
  <c r="AN8" i="73"/>
  <c r="AN7" i="73"/>
  <c r="AH67" i="73"/>
  <c r="AH66" i="73"/>
  <c r="AH65" i="73"/>
  <c r="AH64" i="73"/>
  <c r="AH63" i="73"/>
  <c r="AH62" i="73"/>
  <c r="AH60" i="73"/>
  <c r="AH59" i="73"/>
  <c r="AH58" i="73"/>
  <c r="AH57" i="73"/>
  <c r="AH56" i="73"/>
  <c r="AH54" i="73"/>
  <c r="AH53" i="73"/>
  <c r="AH52" i="73"/>
  <c r="AH51" i="73"/>
  <c r="AH50" i="73"/>
  <c r="AH49" i="73"/>
  <c r="AH47" i="73"/>
  <c r="AH46" i="73"/>
  <c r="AH45" i="73"/>
  <c r="AH43" i="73"/>
  <c r="AH42" i="73"/>
  <c r="AH41" i="73"/>
  <c r="AH40" i="73"/>
  <c r="AH39" i="73"/>
  <c r="AH38" i="73"/>
  <c r="AH36" i="73"/>
  <c r="AH35" i="73"/>
  <c r="AH34" i="73"/>
  <c r="AH33" i="73"/>
  <c r="AH32" i="73"/>
  <c r="AH30" i="73"/>
  <c r="AH29" i="73"/>
  <c r="AH28" i="73"/>
  <c r="AH27" i="73"/>
  <c r="AH26" i="73"/>
  <c r="AH25" i="73"/>
  <c r="AH24" i="73"/>
  <c r="AH22" i="73"/>
  <c r="AH21" i="73"/>
  <c r="AH20" i="73"/>
  <c r="AH19" i="73"/>
  <c r="AH18" i="73"/>
  <c r="AH16" i="73"/>
  <c r="AH15" i="73"/>
  <c r="AH14" i="73"/>
  <c r="AH13" i="73"/>
  <c r="AH12" i="73"/>
  <c r="AH10" i="73"/>
  <c r="AH9" i="73"/>
  <c r="AH8" i="73"/>
  <c r="AH7" i="73"/>
  <c r="AB67" i="73"/>
  <c r="AB66" i="73"/>
  <c r="AB65" i="73"/>
  <c r="AB64" i="73"/>
  <c r="AB63" i="73"/>
  <c r="AB62" i="73"/>
  <c r="AB60" i="73"/>
  <c r="AB59" i="73"/>
  <c r="AB58" i="73"/>
  <c r="AB57" i="73"/>
  <c r="AB56" i="73"/>
  <c r="AB54" i="73"/>
  <c r="AB53" i="73"/>
  <c r="AB52" i="73"/>
  <c r="AB51" i="73"/>
  <c r="AB50" i="73"/>
  <c r="AB49" i="73"/>
  <c r="AB47" i="73"/>
  <c r="AB46" i="73"/>
  <c r="AB45" i="73"/>
  <c r="AB43" i="73"/>
  <c r="AB42" i="73"/>
  <c r="AB41" i="73"/>
  <c r="AB40" i="73"/>
  <c r="AB39" i="73"/>
  <c r="AB38" i="73"/>
  <c r="AB36" i="73"/>
  <c r="AB35" i="73"/>
  <c r="AB34" i="73"/>
  <c r="AB33" i="73"/>
  <c r="AB32" i="73"/>
  <c r="AB30" i="73"/>
  <c r="AB29" i="73"/>
  <c r="AB28" i="73"/>
  <c r="AB27" i="73"/>
  <c r="AB26" i="73"/>
  <c r="AB25" i="73"/>
  <c r="AB24" i="73"/>
  <c r="AB22" i="73"/>
  <c r="AB21" i="73"/>
  <c r="AB20" i="73"/>
  <c r="AB19" i="73"/>
  <c r="AB18" i="73"/>
  <c r="AB16" i="73"/>
  <c r="AB15" i="73"/>
  <c r="AB14" i="73"/>
  <c r="AB13" i="73"/>
  <c r="AB12" i="73"/>
  <c r="AB10" i="73"/>
  <c r="AB9" i="73"/>
  <c r="AB8" i="73"/>
  <c r="AB7" i="73"/>
  <c r="V67" i="73"/>
  <c r="V66" i="73"/>
  <c r="V65" i="73"/>
  <c r="V64" i="73"/>
  <c r="V63" i="73"/>
  <c r="V62" i="73"/>
  <c r="V60" i="73"/>
  <c r="V59" i="73"/>
  <c r="V58" i="73"/>
  <c r="V57" i="73"/>
  <c r="V56" i="73"/>
  <c r="V54" i="73"/>
  <c r="V53" i="73"/>
  <c r="V52" i="73"/>
  <c r="V51" i="73"/>
  <c r="V50" i="73"/>
  <c r="V49" i="73"/>
  <c r="V47" i="73"/>
  <c r="V46" i="73"/>
  <c r="V45" i="73"/>
  <c r="V43" i="73"/>
  <c r="V42" i="73"/>
  <c r="V41" i="73"/>
  <c r="V40" i="73"/>
  <c r="V39" i="73"/>
  <c r="V38" i="73"/>
  <c r="V36" i="73"/>
  <c r="V35" i="73"/>
  <c r="V34" i="73"/>
  <c r="V33" i="73"/>
  <c r="V32" i="73"/>
  <c r="V30" i="73"/>
  <c r="V29" i="73"/>
  <c r="V28" i="73"/>
  <c r="V27" i="73"/>
  <c r="V26" i="73"/>
  <c r="V25" i="73"/>
  <c r="V24" i="73"/>
  <c r="V22" i="73"/>
  <c r="V21" i="73"/>
  <c r="V20" i="73"/>
  <c r="V19" i="73"/>
  <c r="V18" i="73"/>
  <c r="V16" i="73"/>
  <c r="V15" i="73"/>
  <c r="V14" i="73"/>
  <c r="V13" i="73"/>
  <c r="V12" i="73"/>
  <c r="V10" i="73"/>
  <c r="V9" i="73"/>
  <c r="V8" i="73"/>
  <c r="V7" i="73"/>
  <c r="P67" i="73"/>
  <c r="P66" i="73"/>
  <c r="P65" i="73"/>
  <c r="P64" i="73"/>
  <c r="P63" i="73"/>
  <c r="P62" i="73"/>
  <c r="P60" i="73"/>
  <c r="P59" i="73"/>
  <c r="P58" i="73"/>
  <c r="P57" i="73"/>
  <c r="P56" i="73"/>
  <c r="P54" i="73"/>
  <c r="P53" i="73"/>
  <c r="P52" i="73"/>
  <c r="P51" i="73"/>
  <c r="P50" i="73"/>
  <c r="P49" i="73"/>
  <c r="P47" i="73"/>
  <c r="P46" i="73"/>
  <c r="P45" i="73"/>
  <c r="P43" i="73"/>
  <c r="P42" i="73"/>
  <c r="P41" i="73"/>
  <c r="P40" i="73"/>
  <c r="P39" i="73"/>
  <c r="P38" i="73"/>
  <c r="P36" i="73"/>
  <c r="P35" i="73"/>
  <c r="P34" i="73"/>
  <c r="P33" i="73"/>
  <c r="P32" i="73"/>
  <c r="P30" i="73"/>
  <c r="P29" i="73"/>
  <c r="P28" i="73"/>
  <c r="P27" i="73"/>
  <c r="P26" i="73"/>
  <c r="P25" i="73"/>
  <c r="P24" i="73"/>
  <c r="P22" i="73"/>
  <c r="P21" i="73"/>
  <c r="P20" i="73"/>
  <c r="P19" i="73"/>
  <c r="P18" i="73"/>
  <c r="P16" i="73"/>
  <c r="P15" i="73"/>
  <c r="P14" i="73"/>
  <c r="P13" i="73"/>
  <c r="P12" i="73"/>
  <c r="P10" i="73"/>
  <c r="P9" i="73"/>
  <c r="P8" i="73"/>
  <c r="P7" i="73"/>
  <c r="J67" i="73"/>
  <c r="J66" i="73"/>
  <c r="J65" i="73"/>
  <c r="J64" i="73"/>
  <c r="J63" i="73"/>
  <c r="J62" i="73"/>
  <c r="J60" i="73"/>
  <c r="J59" i="73"/>
  <c r="J58" i="73"/>
  <c r="J57" i="73"/>
  <c r="J56" i="73"/>
  <c r="J54" i="73"/>
  <c r="J53" i="73"/>
  <c r="J52" i="73"/>
  <c r="J51" i="73"/>
  <c r="J50" i="73"/>
  <c r="J49" i="73"/>
  <c r="J47" i="73"/>
  <c r="J46" i="73"/>
  <c r="J45" i="73"/>
  <c r="J43" i="73"/>
  <c r="J42" i="73"/>
  <c r="J41" i="73"/>
  <c r="J40" i="73"/>
  <c r="J39" i="73"/>
  <c r="J38" i="73"/>
  <c r="J36" i="73"/>
  <c r="J35" i="73"/>
  <c r="J34" i="73"/>
  <c r="J33" i="73"/>
  <c r="J32" i="73"/>
  <c r="J30" i="73"/>
  <c r="J29" i="73"/>
  <c r="J28" i="73"/>
  <c r="J27" i="73"/>
  <c r="J26" i="73"/>
  <c r="J25" i="73"/>
  <c r="J24" i="73"/>
  <c r="J22" i="73"/>
  <c r="J21" i="73"/>
  <c r="J20" i="73"/>
  <c r="J19" i="73"/>
  <c r="J18" i="73"/>
  <c r="J16" i="73"/>
  <c r="J15" i="73"/>
  <c r="J14" i="73"/>
  <c r="J13" i="73"/>
  <c r="J12" i="73"/>
  <c r="J10" i="73"/>
  <c r="J9" i="73"/>
  <c r="J8" i="73"/>
  <c r="J7" i="73"/>
  <c r="H73" i="73"/>
  <c r="BV67" i="73" l="1"/>
  <c r="BV66" i="73"/>
  <c r="BV65" i="73"/>
  <c r="BV64" i="73"/>
  <c r="BV63" i="73"/>
  <c r="BV62" i="73"/>
  <c r="BV60" i="73"/>
  <c r="BV59" i="73"/>
  <c r="BV58" i="73"/>
  <c r="BV57" i="73"/>
  <c r="BV56" i="73"/>
  <c r="BV54" i="73"/>
  <c r="BV53" i="73"/>
  <c r="BV52" i="73"/>
  <c r="BV51" i="73"/>
  <c r="BV50" i="73"/>
  <c r="BV49" i="73"/>
  <c r="BV47" i="73"/>
  <c r="BV46" i="73"/>
  <c r="BV45" i="73"/>
  <c r="BV43" i="73"/>
  <c r="BV42" i="73"/>
  <c r="BV41" i="73"/>
  <c r="BV40" i="73"/>
  <c r="BV39" i="73"/>
  <c r="BV38" i="73"/>
  <c r="BV36" i="73"/>
  <c r="BV35" i="73"/>
  <c r="BV34" i="73"/>
  <c r="BV33" i="73"/>
  <c r="BV32" i="73"/>
  <c r="BV30" i="73"/>
  <c r="BV29" i="73"/>
  <c r="BV28" i="73"/>
  <c r="BV27" i="73"/>
  <c r="BV26" i="73"/>
  <c r="BV25" i="73"/>
  <c r="BV24" i="73"/>
  <c r="BV22" i="73"/>
  <c r="BV21" i="73"/>
  <c r="BV20" i="73"/>
  <c r="BV19" i="73"/>
  <c r="BV18" i="73"/>
  <c r="BV16" i="73"/>
  <c r="BV15" i="73"/>
  <c r="BV14" i="73"/>
  <c r="BV13" i="73"/>
  <c r="BV12" i="73"/>
  <c r="BV10" i="73"/>
  <c r="BV9" i="73"/>
  <c r="BV8" i="73"/>
  <c r="BP67" i="73"/>
  <c r="BP66" i="73"/>
  <c r="BP65" i="73"/>
  <c r="BP64" i="73"/>
  <c r="BP63" i="73"/>
  <c r="BP62" i="73"/>
  <c r="BP60" i="73"/>
  <c r="BP59" i="73"/>
  <c r="BP58" i="73"/>
  <c r="BP57" i="73"/>
  <c r="BP56" i="73"/>
  <c r="BP54" i="73"/>
  <c r="BP53" i="73"/>
  <c r="BP52" i="73"/>
  <c r="BP51" i="73"/>
  <c r="BP50" i="73"/>
  <c r="BP49" i="73"/>
  <c r="BP47" i="73"/>
  <c r="BP46" i="73"/>
  <c r="BP45" i="73"/>
  <c r="BP43" i="73"/>
  <c r="BP42" i="73"/>
  <c r="BP41" i="73"/>
  <c r="BP40" i="73"/>
  <c r="BP39" i="73"/>
  <c r="BP38" i="73"/>
  <c r="BP36" i="73"/>
  <c r="BP35" i="73"/>
  <c r="BP34" i="73"/>
  <c r="BP33" i="73"/>
  <c r="BP32" i="73"/>
  <c r="BP30" i="73"/>
  <c r="BP29" i="73"/>
  <c r="BP28" i="73"/>
  <c r="BP27" i="73"/>
  <c r="BP26" i="73"/>
  <c r="BP25" i="73"/>
  <c r="BP24" i="73"/>
  <c r="BP22" i="73"/>
  <c r="BP21" i="73"/>
  <c r="BP20" i="73"/>
  <c r="BP19" i="73"/>
  <c r="BP18" i="73"/>
  <c r="BP16" i="73"/>
  <c r="BP15" i="73"/>
  <c r="BP14" i="73"/>
  <c r="BP13" i="73"/>
  <c r="BP12" i="73"/>
  <c r="BP10" i="73"/>
  <c r="BP9" i="73"/>
  <c r="BP8" i="73"/>
  <c r="BJ67" i="73"/>
  <c r="BJ66" i="73"/>
  <c r="BJ65" i="73"/>
  <c r="BJ64" i="73"/>
  <c r="BJ63" i="73"/>
  <c r="BJ62" i="73"/>
  <c r="BJ60" i="73"/>
  <c r="BJ59" i="73"/>
  <c r="BJ58" i="73"/>
  <c r="BJ57" i="73"/>
  <c r="BJ56" i="73"/>
  <c r="BJ54" i="73"/>
  <c r="BJ53" i="73"/>
  <c r="BJ52" i="73"/>
  <c r="BJ51" i="73"/>
  <c r="BJ50" i="73"/>
  <c r="BJ49" i="73"/>
  <c r="BJ47" i="73"/>
  <c r="BJ46" i="73"/>
  <c r="BJ45" i="73"/>
  <c r="BJ43" i="73"/>
  <c r="BJ42" i="73"/>
  <c r="BJ41" i="73"/>
  <c r="BJ40" i="73"/>
  <c r="BJ39" i="73"/>
  <c r="BJ38" i="73"/>
  <c r="BJ36" i="73"/>
  <c r="BJ35" i="73"/>
  <c r="BJ34" i="73"/>
  <c r="BJ33" i="73"/>
  <c r="BJ32" i="73"/>
  <c r="BJ30" i="73"/>
  <c r="BJ29" i="73"/>
  <c r="BJ28" i="73"/>
  <c r="BJ27" i="73"/>
  <c r="BJ26" i="73"/>
  <c r="BJ25" i="73"/>
  <c r="BJ24" i="73"/>
  <c r="BJ22" i="73"/>
  <c r="BJ21" i="73"/>
  <c r="BJ20" i="73"/>
  <c r="BJ19" i="73"/>
  <c r="BJ18" i="73"/>
  <c r="BJ16" i="73"/>
  <c r="BJ15" i="73"/>
  <c r="BJ14" i="73"/>
  <c r="BJ13" i="73"/>
  <c r="BJ12" i="73"/>
  <c r="BJ10" i="73"/>
  <c r="BJ9" i="73"/>
  <c r="BJ8" i="73"/>
  <c r="BV7" i="73"/>
  <c r="BP7" i="73"/>
  <c r="BJ7" i="73"/>
  <c r="BD67" i="73"/>
  <c r="BD66" i="73"/>
  <c r="BD65" i="73"/>
  <c r="BD64" i="73"/>
  <c r="BD63" i="73"/>
  <c r="BD62" i="73"/>
  <c r="BD60" i="73"/>
  <c r="BD59" i="73"/>
  <c r="BD58" i="73"/>
  <c r="BD57" i="73"/>
  <c r="BD56" i="73"/>
  <c r="BD54" i="73"/>
  <c r="BD53" i="73"/>
  <c r="BD52" i="73"/>
  <c r="BD51" i="73"/>
  <c r="BD50" i="73"/>
  <c r="BD49" i="73"/>
  <c r="BD47" i="73"/>
  <c r="BD46" i="73"/>
  <c r="BD45" i="73"/>
  <c r="BD43" i="73"/>
  <c r="BD42" i="73"/>
  <c r="BD41" i="73"/>
  <c r="BD40" i="73"/>
  <c r="BD39" i="73"/>
  <c r="BD38" i="73"/>
  <c r="BD36" i="73"/>
  <c r="BD35" i="73"/>
  <c r="BD34" i="73"/>
  <c r="BD33" i="73"/>
  <c r="BD32" i="73"/>
  <c r="BD30" i="73"/>
  <c r="BD29" i="73"/>
  <c r="BD28" i="73"/>
  <c r="BD27" i="73"/>
  <c r="BD26" i="73"/>
  <c r="BD25" i="73"/>
  <c r="BD24" i="73"/>
  <c r="BD22" i="73"/>
  <c r="BD21" i="73"/>
  <c r="BD20" i="73"/>
  <c r="BD19" i="73"/>
  <c r="BD18" i="73"/>
  <c r="BD16" i="73"/>
  <c r="BD15" i="73"/>
  <c r="BD14" i="73"/>
  <c r="BD13" i="73"/>
  <c r="BD12" i="73"/>
  <c r="BD10" i="73"/>
  <c r="BD9" i="73"/>
  <c r="BD8" i="73"/>
  <c r="BD7" i="73"/>
  <c r="AX67" i="73"/>
  <c r="AX66" i="73"/>
  <c r="AX65" i="73"/>
  <c r="AX64" i="73"/>
  <c r="AX63" i="73"/>
  <c r="AX62" i="73"/>
  <c r="AX60" i="73"/>
  <c r="AX59" i="73"/>
  <c r="AX58" i="73"/>
  <c r="AX57" i="73"/>
  <c r="AX56" i="73"/>
  <c r="AX54" i="73"/>
  <c r="AX53" i="73"/>
  <c r="AX52" i="73"/>
  <c r="AX51" i="73"/>
  <c r="AX50" i="73"/>
  <c r="AX49" i="73"/>
  <c r="AX47" i="73"/>
  <c r="AX46" i="73"/>
  <c r="AX45" i="73"/>
  <c r="AX43" i="73"/>
  <c r="AX42" i="73"/>
  <c r="AX41" i="73"/>
  <c r="AX40" i="73"/>
  <c r="AX39" i="73"/>
  <c r="AX38" i="73"/>
  <c r="AX36" i="73"/>
  <c r="AX35" i="73"/>
  <c r="AX34" i="73"/>
  <c r="AX33" i="73"/>
  <c r="AX32" i="73"/>
  <c r="AX30" i="73"/>
  <c r="AX29" i="73"/>
  <c r="AX28" i="73"/>
  <c r="AX27" i="73"/>
  <c r="AX26" i="73"/>
  <c r="AX25" i="73"/>
  <c r="AX24" i="73"/>
  <c r="AX22" i="73"/>
  <c r="AX21" i="73"/>
  <c r="AX20" i="73"/>
  <c r="AX19" i="73"/>
  <c r="AX18" i="73"/>
  <c r="AX16" i="73"/>
  <c r="AX15" i="73"/>
  <c r="AX14" i="73"/>
  <c r="AX13" i="73"/>
  <c r="AX12" i="73"/>
  <c r="AX10" i="73"/>
  <c r="AX9" i="73"/>
  <c r="AX8" i="73"/>
  <c r="AX7" i="73"/>
  <c r="AR67" i="73"/>
  <c r="AR66" i="73"/>
  <c r="AR65" i="73"/>
  <c r="AR64" i="73"/>
  <c r="AR63" i="73"/>
  <c r="AR62" i="73"/>
  <c r="AR60" i="73"/>
  <c r="AR59" i="73"/>
  <c r="AR58" i="73"/>
  <c r="AR57" i="73"/>
  <c r="AR56" i="73"/>
  <c r="AR54" i="73"/>
  <c r="AR53" i="73"/>
  <c r="AR52" i="73"/>
  <c r="AR51" i="73"/>
  <c r="AR50" i="73"/>
  <c r="AR49" i="73"/>
  <c r="AR47" i="73"/>
  <c r="AR46" i="73"/>
  <c r="AR45" i="73"/>
  <c r="AR43" i="73"/>
  <c r="AR42" i="73"/>
  <c r="AR41" i="73"/>
  <c r="AR40" i="73"/>
  <c r="AR39" i="73"/>
  <c r="AR38" i="73"/>
  <c r="AR36" i="73"/>
  <c r="AR35" i="73"/>
  <c r="AR34" i="73"/>
  <c r="AR33" i="73"/>
  <c r="AR32" i="73"/>
  <c r="AR30" i="73"/>
  <c r="AR29" i="73"/>
  <c r="AR28" i="73"/>
  <c r="AR27" i="73"/>
  <c r="AR26" i="73"/>
  <c r="AR25" i="73"/>
  <c r="AR24" i="73"/>
  <c r="AR22" i="73"/>
  <c r="AR21" i="73"/>
  <c r="AR20" i="73"/>
  <c r="AR19" i="73"/>
  <c r="AR18" i="73"/>
  <c r="AR16" i="73"/>
  <c r="AR15" i="73"/>
  <c r="AR14" i="73"/>
  <c r="AR13" i="73"/>
  <c r="AR12" i="73"/>
  <c r="AR10" i="73"/>
  <c r="AR9" i="73"/>
  <c r="AR8" i="73"/>
  <c r="AR7" i="73"/>
  <c r="BV68" i="73" l="1"/>
  <c r="AL69" i="73"/>
  <c r="AL67" i="73"/>
  <c r="AL66" i="73"/>
  <c r="AL65" i="73"/>
  <c r="AL64" i="73"/>
  <c r="AL63" i="73"/>
  <c r="AL62" i="73"/>
  <c r="AL60" i="73"/>
  <c r="AL59" i="73"/>
  <c r="AL58" i="73"/>
  <c r="AL57" i="73"/>
  <c r="AL56" i="73"/>
  <c r="AL54" i="73"/>
  <c r="AL53" i="73"/>
  <c r="AL52" i="73"/>
  <c r="AL51" i="73"/>
  <c r="AL50" i="73"/>
  <c r="AL49" i="73"/>
  <c r="AL47" i="73"/>
  <c r="AL46" i="73"/>
  <c r="AL45" i="73"/>
  <c r="AL43" i="73"/>
  <c r="AL42" i="73"/>
  <c r="AL41" i="73"/>
  <c r="AL40" i="73"/>
  <c r="AL39" i="73"/>
  <c r="AL38" i="73"/>
  <c r="AL36" i="73"/>
  <c r="AL35" i="73"/>
  <c r="AL34" i="73"/>
  <c r="AL33" i="73"/>
  <c r="AL32" i="73"/>
  <c r="AL30" i="73"/>
  <c r="AL29" i="73"/>
  <c r="AL28" i="73"/>
  <c r="AL27" i="73"/>
  <c r="AL26" i="73"/>
  <c r="AL25" i="73"/>
  <c r="AL24" i="73"/>
  <c r="AL22" i="73"/>
  <c r="AL21" i="73"/>
  <c r="AL20" i="73"/>
  <c r="AL19" i="73"/>
  <c r="AL18" i="73"/>
  <c r="AL16" i="73"/>
  <c r="AL15" i="73"/>
  <c r="AL14" i="73"/>
  <c r="AL13" i="73"/>
  <c r="AL12" i="73"/>
  <c r="AL10" i="73"/>
  <c r="AL9" i="73"/>
  <c r="AL8" i="73"/>
  <c r="AL7" i="73"/>
  <c r="AF69" i="73"/>
  <c r="AF67" i="73"/>
  <c r="AF66" i="73"/>
  <c r="AF65" i="73"/>
  <c r="AF64" i="73"/>
  <c r="AF63" i="73"/>
  <c r="AF62" i="73"/>
  <c r="AF60" i="73"/>
  <c r="AF59" i="73"/>
  <c r="AF58" i="73"/>
  <c r="AF57" i="73"/>
  <c r="AF56" i="73"/>
  <c r="AF54" i="73"/>
  <c r="AF53" i="73"/>
  <c r="AF52" i="73"/>
  <c r="AF51" i="73"/>
  <c r="AF50" i="73"/>
  <c r="AF49" i="73"/>
  <c r="AF47" i="73"/>
  <c r="AF46" i="73"/>
  <c r="AF45" i="73"/>
  <c r="AF43" i="73"/>
  <c r="AF42" i="73"/>
  <c r="AF41" i="73"/>
  <c r="AF40" i="73"/>
  <c r="AF39" i="73"/>
  <c r="AF38" i="73"/>
  <c r="AF36" i="73"/>
  <c r="AF35" i="73"/>
  <c r="AF34" i="73"/>
  <c r="AF33" i="73"/>
  <c r="AF32" i="73"/>
  <c r="AF30" i="73"/>
  <c r="AF29" i="73"/>
  <c r="AF28" i="73"/>
  <c r="AF27" i="73"/>
  <c r="AF26" i="73"/>
  <c r="AF25" i="73"/>
  <c r="AF24" i="73"/>
  <c r="AF22" i="73"/>
  <c r="AF21" i="73"/>
  <c r="AF20" i="73"/>
  <c r="AF19" i="73"/>
  <c r="AF18" i="73"/>
  <c r="AF16" i="73"/>
  <c r="AF15" i="73"/>
  <c r="AF14" i="73"/>
  <c r="AF13" i="73"/>
  <c r="AF12" i="73"/>
  <c r="AF10" i="73"/>
  <c r="AF9" i="73"/>
  <c r="AF8" i="73"/>
  <c r="AF7" i="73"/>
  <c r="Z69" i="73"/>
  <c r="Z67" i="73"/>
  <c r="Z66" i="73"/>
  <c r="Z65" i="73"/>
  <c r="Z64" i="73"/>
  <c r="Z63" i="73"/>
  <c r="Z62" i="73"/>
  <c r="Z60" i="73"/>
  <c r="Z59" i="73"/>
  <c r="Z58" i="73"/>
  <c r="Z57" i="73"/>
  <c r="Z56" i="73"/>
  <c r="Z54" i="73"/>
  <c r="Z53" i="73"/>
  <c r="Z52" i="73"/>
  <c r="Z51" i="73"/>
  <c r="Z50" i="73"/>
  <c r="Z49" i="73"/>
  <c r="Z47" i="73"/>
  <c r="Z46" i="73"/>
  <c r="Z45" i="73"/>
  <c r="Z43" i="73"/>
  <c r="Z42" i="73"/>
  <c r="Z41" i="73"/>
  <c r="Z40" i="73"/>
  <c r="Z39" i="73"/>
  <c r="Z38" i="73"/>
  <c r="Z36" i="73"/>
  <c r="Z35" i="73"/>
  <c r="Z34" i="73"/>
  <c r="Z33" i="73"/>
  <c r="Z32" i="73"/>
  <c r="Z30" i="73"/>
  <c r="Z29" i="73"/>
  <c r="Z28" i="73"/>
  <c r="Z27" i="73"/>
  <c r="Z26" i="73"/>
  <c r="Z25" i="73"/>
  <c r="Z24" i="73"/>
  <c r="Z22" i="73"/>
  <c r="Z21" i="73"/>
  <c r="Z20" i="73"/>
  <c r="Z19" i="73"/>
  <c r="Z18" i="73"/>
  <c r="Z16" i="73"/>
  <c r="Z15" i="73"/>
  <c r="Z14" i="73"/>
  <c r="Z13" i="73"/>
  <c r="Z12" i="73"/>
  <c r="Z10" i="73"/>
  <c r="Z9" i="73"/>
  <c r="Z8" i="73"/>
  <c r="Z7" i="73"/>
  <c r="T69" i="73"/>
  <c r="T67" i="73"/>
  <c r="T66" i="73"/>
  <c r="T65" i="73"/>
  <c r="T64" i="73"/>
  <c r="T63" i="73"/>
  <c r="T62" i="73"/>
  <c r="T60" i="73"/>
  <c r="T59" i="73"/>
  <c r="T58" i="73"/>
  <c r="T57" i="73"/>
  <c r="T56" i="73"/>
  <c r="T54" i="73"/>
  <c r="T53" i="73"/>
  <c r="T52" i="73"/>
  <c r="T51" i="73"/>
  <c r="T50" i="73"/>
  <c r="T49" i="73"/>
  <c r="T47" i="73"/>
  <c r="T46" i="73"/>
  <c r="T45" i="73"/>
  <c r="T43" i="73"/>
  <c r="T42" i="73"/>
  <c r="T41" i="73"/>
  <c r="T40" i="73"/>
  <c r="T39" i="73"/>
  <c r="T38" i="73"/>
  <c r="T36" i="73"/>
  <c r="T35" i="73"/>
  <c r="T34" i="73"/>
  <c r="T33" i="73"/>
  <c r="T32" i="73"/>
  <c r="T30" i="73"/>
  <c r="T29" i="73"/>
  <c r="T28" i="73"/>
  <c r="T27" i="73"/>
  <c r="T26" i="73"/>
  <c r="T25" i="73"/>
  <c r="T24" i="73"/>
  <c r="T22" i="73"/>
  <c r="T21" i="73"/>
  <c r="T20" i="73"/>
  <c r="T19" i="73"/>
  <c r="T18" i="73"/>
  <c r="T16" i="73"/>
  <c r="T15" i="73"/>
  <c r="T14" i="73"/>
  <c r="T13" i="73"/>
  <c r="T12" i="73"/>
  <c r="T10" i="73"/>
  <c r="T9" i="73"/>
  <c r="T8" i="73"/>
  <c r="T7" i="73"/>
  <c r="N69" i="73"/>
  <c r="N67" i="73"/>
  <c r="N66" i="73"/>
  <c r="N65" i="73"/>
  <c r="N64" i="73"/>
  <c r="N63" i="73"/>
  <c r="N62" i="73"/>
  <c r="N60" i="73"/>
  <c r="N59" i="73"/>
  <c r="N58" i="73"/>
  <c r="N57" i="73"/>
  <c r="N56" i="73"/>
  <c r="N54" i="73"/>
  <c r="N53" i="73"/>
  <c r="N52" i="73"/>
  <c r="N51" i="73"/>
  <c r="N50" i="73"/>
  <c r="N49" i="73"/>
  <c r="N47" i="73"/>
  <c r="N46" i="73"/>
  <c r="N45" i="73"/>
  <c r="N43" i="73"/>
  <c r="N42" i="73"/>
  <c r="N41" i="73"/>
  <c r="N40" i="73"/>
  <c r="N39" i="73"/>
  <c r="N38" i="73"/>
  <c r="N36" i="73"/>
  <c r="N35" i="73"/>
  <c r="N34" i="73"/>
  <c r="N33" i="73"/>
  <c r="N32" i="73"/>
  <c r="N30" i="73"/>
  <c r="N29" i="73"/>
  <c r="N28" i="73"/>
  <c r="N27" i="73"/>
  <c r="N26" i="73"/>
  <c r="N25" i="73"/>
  <c r="N24" i="73"/>
  <c r="N22" i="73"/>
  <c r="N21" i="73"/>
  <c r="N20" i="73"/>
  <c r="N19" i="73"/>
  <c r="N18" i="73"/>
  <c r="N16" i="73"/>
  <c r="N15" i="73"/>
  <c r="N14" i="73"/>
  <c r="N13" i="73"/>
  <c r="N12" i="73"/>
  <c r="N10" i="73"/>
  <c r="N9" i="73"/>
  <c r="N8" i="73"/>
  <c r="N7" i="73"/>
  <c r="H69" i="73"/>
  <c r="H67" i="73"/>
  <c r="H66" i="73"/>
  <c r="H65" i="73"/>
  <c r="H64" i="73"/>
  <c r="H63" i="73"/>
  <c r="H62" i="73"/>
  <c r="H60" i="73"/>
  <c r="H59" i="73"/>
  <c r="H58" i="73"/>
  <c r="H57" i="73"/>
  <c r="H56" i="73"/>
  <c r="H54" i="73"/>
  <c r="H53" i="73"/>
  <c r="H52" i="73"/>
  <c r="H51" i="73"/>
  <c r="H50" i="73"/>
  <c r="H49" i="73"/>
  <c r="H47" i="73"/>
  <c r="H46" i="73"/>
  <c r="H45" i="73"/>
  <c r="H43" i="73"/>
  <c r="H42" i="73"/>
  <c r="H41" i="73"/>
  <c r="H40" i="73"/>
  <c r="H39" i="73"/>
  <c r="H38" i="73"/>
  <c r="H36" i="73"/>
  <c r="H35" i="73"/>
  <c r="H34" i="73"/>
  <c r="H33" i="73"/>
  <c r="H32" i="73"/>
  <c r="H30" i="73"/>
  <c r="H29" i="73"/>
  <c r="H28" i="73"/>
  <c r="H27" i="73"/>
  <c r="H26" i="73"/>
  <c r="H25" i="73"/>
  <c r="H24" i="73"/>
  <c r="H22" i="73"/>
  <c r="H21" i="73"/>
  <c r="H20" i="73"/>
  <c r="H19" i="73"/>
  <c r="H18" i="73"/>
  <c r="H16" i="73"/>
  <c r="H15" i="73"/>
  <c r="H14" i="73"/>
  <c r="H13" i="73"/>
  <c r="H12" i="73"/>
  <c r="H10" i="73"/>
  <c r="H9" i="73"/>
  <c r="H8" i="73"/>
  <c r="H7" i="73"/>
  <c r="Q65" i="76"/>
  <c r="P65" i="76"/>
  <c r="O65" i="76"/>
  <c r="N65" i="76"/>
  <c r="M65" i="76"/>
  <c r="L65" i="76"/>
  <c r="K65" i="76"/>
  <c r="J65" i="76"/>
  <c r="I65" i="76"/>
  <c r="H65" i="76"/>
  <c r="G65" i="76"/>
  <c r="F65" i="76"/>
  <c r="Q63" i="76"/>
  <c r="P63" i="76"/>
  <c r="O63" i="76"/>
  <c r="N63" i="76"/>
  <c r="M63" i="76"/>
  <c r="L63" i="76"/>
  <c r="K63" i="76"/>
  <c r="J63" i="76"/>
  <c r="I63" i="76"/>
  <c r="H63" i="76"/>
  <c r="G63" i="76"/>
  <c r="F63" i="76"/>
  <c r="Q62" i="76"/>
  <c r="P62" i="76"/>
  <c r="O62" i="76"/>
  <c r="N62" i="76"/>
  <c r="M62" i="76"/>
  <c r="L62" i="76"/>
  <c r="K62" i="76"/>
  <c r="J62" i="76"/>
  <c r="I62" i="76"/>
  <c r="H62" i="76"/>
  <c r="G62" i="76"/>
  <c r="F62" i="76"/>
  <c r="Q61" i="76"/>
  <c r="P61" i="76"/>
  <c r="O61" i="76"/>
  <c r="N61" i="76"/>
  <c r="M61" i="76"/>
  <c r="L61" i="76"/>
  <c r="K61" i="76"/>
  <c r="J61" i="76"/>
  <c r="I61" i="76"/>
  <c r="H61" i="76"/>
  <c r="G61" i="76"/>
  <c r="F61" i="76"/>
  <c r="Q60" i="76"/>
  <c r="P60" i="76"/>
  <c r="O60" i="76"/>
  <c r="N60" i="76"/>
  <c r="M60" i="76"/>
  <c r="L60" i="76"/>
  <c r="K60" i="76"/>
  <c r="J60" i="76"/>
  <c r="I60" i="76"/>
  <c r="H60" i="76"/>
  <c r="G60" i="76"/>
  <c r="F60" i="76"/>
  <c r="Q59" i="76"/>
  <c r="P59" i="76"/>
  <c r="O59" i="76"/>
  <c r="N59" i="76"/>
  <c r="M59" i="76"/>
  <c r="L59" i="76"/>
  <c r="K59" i="76"/>
  <c r="J59" i="76"/>
  <c r="I59" i="76"/>
  <c r="H59" i="76"/>
  <c r="G59" i="76"/>
  <c r="F59" i="76"/>
  <c r="Q58" i="76"/>
  <c r="P58" i="76"/>
  <c r="O58" i="76"/>
  <c r="N58" i="76"/>
  <c r="M58" i="76"/>
  <c r="L58" i="76"/>
  <c r="K58" i="76"/>
  <c r="J58" i="76"/>
  <c r="I58" i="76"/>
  <c r="H58" i="76"/>
  <c r="G58" i="76"/>
  <c r="F58" i="76"/>
  <c r="Q56" i="76"/>
  <c r="P56" i="76"/>
  <c r="O56" i="76"/>
  <c r="N56" i="76"/>
  <c r="M56" i="76"/>
  <c r="L56" i="76"/>
  <c r="K56" i="76"/>
  <c r="J56" i="76"/>
  <c r="I56" i="76"/>
  <c r="H56" i="76"/>
  <c r="G56" i="76"/>
  <c r="F56" i="76"/>
  <c r="Q55" i="76"/>
  <c r="P55" i="76"/>
  <c r="O55" i="76"/>
  <c r="N55" i="76"/>
  <c r="M55" i="76"/>
  <c r="L55" i="76"/>
  <c r="K55" i="76"/>
  <c r="J55" i="76"/>
  <c r="I55" i="76"/>
  <c r="H55" i="76"/>
  <c r="G55" i="76"/>
  <c r="F55" i="76"/>
  <c r="Q54" i="76"/>
  <c r="P54" i="76"/>
  <c r="O54" i="76"/>
  <c r="N54" i="76"/>
  <c r="M54" i="76"/>
  <c r="L54" i="76"/>
  <c r="K54" i="76"/>
  <c r="J54" i="76"/>
  <c r="I54" i="76"/>
  <c r="H54" i="76"/>
  <c r="G54" i="76"/>
  <c r="F54" i="76"/>
  <c r="Q53" i="76"/>
  <c r="P53" i="76"/>
  <c r="O53" i="76"/>
  <c r="N53" i="76"/>
  <c r="M53" i="76"/>
  <c r="L53" i="76"/>
  <c r="K53" i="76"/>
  <c r="J53" i="76"/>
  <c r="I53" i="76"/>
  <c r="H53" i="76"/>
  <c r="G53" i="76"/>
  <c r="F53" i="76"/>
  <c r="Q52" i="76"/>
  <c r="P52" i="76"/>
  <c r="O52" i="76"/>
  <c r="N52" i="76"/>
  <c r="M52" i="76"/>
  <c r="L52" i="76"/>
  <c r="K52" i="76"/>
  <c r="J52" i="76"/>
  <c r="I52" i="76"/>
  <c r="H52" i="76"/>
  <c r="G52" i="76"/>
  <c r="F52" i="76"/>
  <c r="Q50" i="76"/>
  <c r="P50" i="76"/>
  <c r="O50" i="76"/>
  <c r="N50" i="76"/>
  <c r="M50" i="76"/>
  <c r="L50" i="76"/>
  <c r="K50" i="76"/>
  <c r="J50" i="76"/>
  <c r="I50" i="76"/>
  <c r="H50" i="76"/>
  <c r="G50" i="76"/>
  <c r="F50" i="76"/>
  <c r="Q49" i="76"/>
  <c r="P49" i="76"/>
  <c r="O49" i="76"/>
  <c r="N49" i="76"/>
  <c r="M49" i="76"/>
  <c r="L49" i="76"/>
  <c r="K49" i="76"/>
  <c r="J49" i="76"/>
  <c r="I49" i="76"/>
  <c r="H49" i="76"/>
  <c r="G49" i="76"/>
  <c r="F49" i="76"/>
  <c r="Q48" i="76"/>
  <c r="P48" i="76"/>
  <c r="O48" i="76"/>
  <c r="N48" i="76"/>
  <c r="M48" i="76"/>
  <c r="L48" i="76"/>
  <c r="K48" i="76"/>
  <c r="J48" i="76"/>
  <c r="I48" i="76"/>
  <c r="H48" i="76"/>
  <c r="G48" i="76"/>
  <c r="F48" i="76"/>
  <c r="Q47" i="76"/>
  <c r="P47" i="76"/>
  <c r="O47" i="76"/>
  <c r="N47" i="76"/>
  <c r="M47" i="76"/>
  <c r="L47" i="76"/>
  <c r="K47" i="76"/>
  <c r="J47" i="76"/>
  <c r="I47" i="76"/>
  <c r="H47" i="76"/>
  <c r="G47" i="76"/>
  <c r="F47" i="76"/>
  <c r="Q46" i="76"/>
  <c r="P46" i="76"/>
  <c r="O46" i="76"/>
  <c r="N46" i="76"/>
  <c r="M46" i="76"/>
  <c r="L46" i="76"/>
  <c r="K46" i="76"/>
  <c r="J46" i="76"/>
  <c r="I46" i="76"/>
  <c r="H46" i="76"/>
  <c r="G46" i="76"/>
  <c r="F46" i="76"/>
  <c r="Q44" i="76"/>
  <c r="P44" i="76"/>
  <c r="O44" i="76"/>
  <c r="N44" i="76"/>
  <c r="M44" i="76"/>
  <c r="L44" i="76"/>
  <c r="K44" i="76"/>
  <c r="J44" i="76"/>
  <c r="I44" i="76"/>
  <c r="H44" i="76"/>
  <c r="G44" i="76"/>
  <c r="F44" i="76"/>
  <c r="Q43" i="76"/>
  <c r="P43" i="76"/>
  <c r="O43" i="76"/>
  <c r="N43" i="76"/>
  <c r="M43" i="76"/>
  <c r="L43" i="76"/>
  <c r="K43" i="76"/>
  <c r="J43" i="76"/>
  <c r="I43" i="76"/>
  <c r="H43" i="76"/>
  <c r="G43" i="76"/>
  <c r="F43" i="76"/>
  <c r="Q41" i="76"/>
  <c r="P41" i="76"/>
  <c r="O41" i="76"/>
  <c r="N41" i="76"/>
  <c r="M41" i="76"/>
  <c r="L41" i="76"/>
  <c r="K41" i="76"/>
  <c r="J41" i="76"/>
  <c r="I41" i="76"/>
  <c r="H41" i="76"/>
  <c r="G41" i="76"/>
  <c r="F41" i="76"/>
  <c r="Q40" i="76"/>
  <c r="P40" i="76"/>
  <c r="O40" i="76"/>
  <c r="N40" i="76"/>
  <c r="M40" i="76"/>
  <c r="L40" i="76"/>
  <c r="K40" i="76"/>
  <c r="J40" i="76"/>
  <c r="I40" i="76"/>
  <c r="H40" i="76"/>
  <c r="G40" i="76"/>
  <c r="F40" i="76"/>
  <c r="Q39" i="76"/>
  <c r="P39" i="76"/>
  <c r="O39" i="76"/>
  <c r="N39" i="76"/>
  <c r="M39" i="76"/>
  <c r="L39" i="76"/>
  <c r="K39" i="76"/>
  <c r="J39" i="76"/>
  <c r="I39" i="76"/>
  <c r="H39" i="76"/>
  <c r="G39" i="76"/>
  <c r="F39" i="76"/>
  <c r="Q38" i="76"/>
  <c r="P38" i="76"/>
  <c r="O38" i="76"/>
  <c r="N38" i="76"/>
  <c r="M38" i="76"/>
  <c r="L38" i="76"/>
  <c r="K38" i="76"/>
  <c r="J38" i="76"/>
  <c r="I38" i="76"/>
  <c r="H38" i="76"/>
  <c r="G38" i="76"/>
  <c r="F38" i="76"/>
  <c r="Q37" i="76"/>
  <c r="P37" i="76"/>
  <c r="O37" i="76"/>
  <c r="N37" i="76"/>
  <c r="M37" i="76"/>
  <c r="L37" i="76"/>
  <c r="K37" i="76"/>
  <c r="J37" i="76"/>
  <c r="I37" i="76"/>
  <c r="H37" i="76"/>
  <c r="G37" i="76"/>
  <c r="F37" i="76"/>
  <c r="Q35" i="76"/>
  <c r="P35" i="76"/>
  <c r="O35" i="76"/>
  <c r="N35" i="76"/>
  <c r="M35" i="76"/>
  <c r="L35" i="76"/>
  <c r="K35" i="76"/>
  <c r="J35" i="76"/>
  <c r="I35" i="76"/>
  <c r="H35" i="76"/>
  <c r="G35" i="76"/>
  <c r="F35" i="76"/>
  <c r="Q34" i="76"/>
  <c r="P34" i="76"/>
  <c r="O34" i="76"/>
  <c r="N34" i="76"/>
  <c r="M34" i="76"/>
  <c r="L34" i="76"/>
  <c r="K34" i="76"/>
  <c r="J34" i="76"/>
  <c r="I34" i="76"/>
  <c r="H34" i="76"/>
  <c r="G34" i="76"/>
  <c r="F34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Q32" i="76"/>
  <c r="P32" i="76"/>
  <c r="O32" i="76"/>
  <c r="N32" i="76"/>
  <c r="M32" i="76"/>
  <c r="L32" i="76"/>
  <c r="K32" i="76"/>
  <c r="J32" i="76"/>
  <c r="I32" i="76"/>
  <c r="H32" i="76"/>
  <c r="G32" i="76"/>
  <c r="F32" i="76"/>
  <c r="Q31" i="76"/>
  <c r="P31" i="76"/>
  <c r="O31" i="76"/>
  <c r="N31" i="76"/>
  <c r="M31" i="76"/>
  <c r="L31" i="76"/>
  <c r="K31" i="76"/>
  <c r="J31" i="76"/>
  <c r="I31" i="76"/>
  <c r="H31" i="76"/>
  <c r="G31" i="76"/>
  <c r="F31" i="76"/>
  <c r="Q29" i="76"/>
  <c r="P29" i="76"/>
  <c r="O29" i="76"/>
  <c r="N29" i="76"/>
  <c r="M29" i="76"/>
  <c r="L29" i="76"/>
  <c r="K29" i="76"/>
  <c r="J29" i="76"/>
  <c r="I29" i="76"/>
  <c r="H29" i="76"/>
  <c r="G29" i="76"/>
  <c r="F29" i="76"/>
  <c r="Q28" i="76"/>
  <c r="P28" i="76"/>
  <c r="O28" i="76"/>
  <c r="N28" i="76"/>
  <c r="M28" i="76"/>
  <c r="L28" i="76"/>
  <c r="K28" i="76"/>
  <c r="J28" i="76"/>
  <c r="I28" i="76"/>
  <c r="H28" i="76"/>
  <c r="G28" i="76"/>
  <c r="F28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Q26" i="76"/>
  <c r="P26" i="76"/>
  <c r="O26" i="76"/>
  <c r="N26" i="76"/>
  <c r="M26" i="76"/>
  <c r="L26" i="76"/>
  <c r="K26" i="76"/>
  <c r="J26" i="76"/>
  <c r="I26" i="76"/>
  <c r="H26" i="76"/>
  <c r="G26" i="76"/>
  <c r="F26" i="76"/>
  <c r="Q25" i="76"/>
  <c r="P25" i="76"/>
  <c r="O25" i="76"/>
  <c r="N25" i="76"/>
  <c r="M25" i="76"/>
  <c r="L25" i="76"/>
  <c r="K25" i="76"/>
  <c r="J25" i="76"/>
  <c r="I25" i="76"/>
  <c r="H25" i="76"/>
  <c r="G25" i="76"/>
  <c r="F25" i="76"/>
  <c r="Q24" i="76"/>
  <c r="P24" i="76"/>
  <c r="O24" i="76"/>
  <c r="N24" i="76"/>
  <c r="M24" i="76"/>
  <c r="L24" i="76"/>
  <c r="K24" i="76"/>
  <c r="J24" i="76"/>
  <c r="I24" i="76"/>
  <c r="H24" i="76"/>
  <c r="G24" i="76"/>
  <c r="F24" i="76"/>
  <c r="Q22" i="76"/>
  <c r="P22" i="76"/>
  <c r="O22" i="76"/>
  <c r="N22" i="76"/>
  <c r="M22" i="76"/>
  <c r="L22" i="76"/>
  <c r="K22" i="76"/>
  <c r="J22" i="76"/>
  <c r="I22" i="76"/>
  <c r="H22" i="76"/>
  <c r="G22" i="76"/>
  <c r="F22" i="76"/>
  <c r="Q21" i="76"/>
  <c r="P21" i="76"/>
  <c r="O21" i="76"/>
  <c r="N21" i="76"/>
  <c r="M21" i="76"/>
  <c r="L21" i="76"/>
  <c r="K21" i="76"/>
  <c r="J21" i="76"/>
  <c r="I21" i="76"/>
  <c r="H21" i="76"/>
  <c r="G21" i="76"/>
  <c r="F21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Q18" i="76"/>
  <c r="P18" i="76"/>
  <c r="O18" i="76"/>
  <c r="N18" i="76"/>
  <c r="M18" i="76"/>
  <c r="L18" i="76"/>
  <c r="K18" i="76"/>
  <c r="J18" i="76"/>
  <c r="I18" i="76"/>
  <c r="H18" i="76"/>
  <c r="G18" i="76"/>
  <c r="F18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Q9" i="76"/>
  <c r="P9" i="76"/>
  <c r="O9" i="76"/>
  <c r="N9" i="76"/>
  <c r="M9" i="76"/>
  <c r="L9" i="76"/>
  <c r="K9" i="76"/>
  <c r="J9" i="76"/>
  <c r="I9" i="76"/>
  <c r="H9" i="76"/>
  <c r="G9" i="76"/>
  <c r="F9" i="76"/>
  <c r="Q8" i="76"/>
  <c r="P8" i="76"/>
  <c r="O8" i="76"/>
  <c r="N8" i="76"/>
  <c r="M8" i="76"/>
  <c r="L8" i="76"/>
  <c r="K8" i="76"/>
  <c r="J8" i="76"/>
  <c r="I8" i="76"/>
  <c r="H8" i="76"/>
  <c r="G8" i="76"/>
  <c r="F8" i="76"/>
  <c r="Q7" i="76"/>
  <c r="P7" i="76"/>
  <c r="O7" i="76"/>
  <c r="N7" i="76"/>
  <c r="M7" i="76"/>
  <c r="L7" i="76"/>
  <c r="K7" i="76"/>
  <c r="J7" i="76"/>
  <c r="I7" i="76"/>
  <c r="H7" i="76"/>
  <c r="AB8" i="76" l="1"/>
  <c r="AC8" i="76"/>
  <c r="AC9" i="76"/>
  <c r="AB9" i="76"/>
  <c r="AC12" i="76"/>
  <c r="AB12" i="76"/>
  <c r="AB14" i="76"/>
  <c r="AC14" i="76"/>
  <c r="AC16" i="76"/>
  <c r="AB16" i="76"/>
  <c r="AB19" i="76"/>
  <c r="AC19" i="76"/>
  <c r="AB21" i="76"/>
  <c r="AC21" i="76"/>
  <c r="AB24" i="76"/>
  <c r="AC24" i="76"/>
  <c r="AC26" i="76"/>
  <c r="AB26" i="76"/>
  <c r="AB27" i="76"/>
  <c r="AC27" i="76"/>
  <c r="AC29" i="76"/>
  <c r="AB29" i="76"/>
  <c r="AC31" i="76"/>
  <c r="AB31" i="76"/>
  <c r="AB32" i="76"/>
  <c r="AC32" i="76"/>
  <c r="AC34" i="76"/>
  <c r="AB34" i="76"/>
  <c r="AB35" i="76"/>
  <c r="AC35" i="76"/>
  <c r="AB37" i="76"/>
  <c r="AC37" i="76"/>
  <c r="AC38" i="76"/>
  <c r="AB38" i="76"/>
  <c r="AC39" i="76"/>
  <c r="AB39" i="76"/>
  <c r="AC40" i="76"/>
  <c r="AB40" i="76"/>
  <c r="AB41" i="76"/>
  <c r="AC41" i="76"/>
  <c r="AB43" i="76"/>
  <c r="AC43" i="76"/>
  <c r="AC44" i="76"/>
  <c r="AB44" i="76"/>
  <c r="AC46" i="76"/>
  <c r="AB46" i="76"/>
  <c r="AC47" i="76"/>
  <c r="AB47" i="76"/>
  <c r="AB48" i="76"/>
  <c r="AC48" i="76"/>
  <c r="AC49" i="76"/>
  <c r="AB49" i="76"/>
  <c r="AC50" i="76"/>
  <c r="AB50" i="76"/>
  <c r="AB52" i="76"/>
  <c r="AC52" i="76"/>
  <c r="AB53" i="76"/>
  <c r="AC53" i="76"/>
  <c r="AC54" i="76"/>
  <c r="AB54" i="76"/>
  <c r="AC55" i="76"/>
  <c r="AB55" i="76"/>
  <c r="AC56" i="76"/>
  <c r="AB56" i="76"/>
  <c r="AC58" i="76"/>
  <c r="AB58" i="76"/>
  <c r="AC59" i="76"/>
  <c r="AB59" i="76"/>
  <c r="AC60" i="76"/>
  <c r="AB60" i="76"/>
  <c r="AC61" i="76"/>
  <c r="AB61" i="76"/>
  <c r="AC62" i="76"/>
  <c r="AB62" i="76"/>
  <c r="AC63" i="76"/>
  <c r="AB63" i="76"/>
  <c r="AC7" i="76"/>
  <c r="AB7" i="76"/>
  <c r="AC10" i="76"/>
  <c r="AB10" i="76"/>
  <c r="AB13" i="76"/>
  <c r="AC13" i="76"/>
  <c r="AC15" i="76"/>
  <c r="AB15" i="76"/>
  <c r="AC18" i="76"/>
  <c r="AB18" i="76"/>
  <c r="AC20" i="76"/>
  <c r="AB20" i="76"/>
  <c r="AB22" i="76"/>
  <c r="AC22" i="76"/>
  <c r="AC25" i="76"/>
  <c r="AB25" i="76"/>
  <c r="AB28" i="76"/>
  <c r="AC28" i="76"/>
  <c r="AB33" i="76"/>
  <c r="AC33" i="76"/>
  <c r="U10" i="76"/>
  <c r="T10" i="76"/>
  <c r="U15" i="76"/>
  <c r="T15" i="76"/>
  <c r="U20" i="76"/>
  <c r="T20" i="76"/>
  <c r="U21" i="76"/>
  <c r="T21" i="76"/>
  <c r="U26" i="76"/>
  <c r="T26" i="76"/>
  <c r="U31" i="76"/>
  <c r="T31" i="76"/>
  <c r="U34" i="76"/>
  <c r="T34" i="76"/>
  <c r="U38" i="76"/>
  <c r="T38" i="76"/>
  <c r="U41" i="76"/>
  <c r="T41" i="76"/>
  <c r="U47" i="76"/>
  <c r="T47" i="76"/>
  <c r="U49" i="76"/>
  <c r="T49" i="76"/>
  <c r="U54" i="76"/>
  <c r="T54" i="76"/>
  <c r="U63" i="76"/>
  <c r="T63" i="76"/>
  <c r="W7" i="76"/>
  <c r="V7" i="76"/>
  <c r="W8" i="76"/>
  <c r="V8" i="76"/>
  <c r="W9" i="76"/>
  <c r="V9" i="76"/>
  <c r="W10" i="76"/>
  <c r="V10" i="76"/>
  <c r="W12" i="76"/>
  <c r="V12" i="76"/>
  <c r="W13" i="76"/>
  <c r="V13" i="76"/>
  <c r="W14" i="76"/>
  <c r="V14" i="76"/>
  <c r="W15" i="76"/>
  <c r="V15" i="76"/>
  <c r="W16" i="76"/>
  <c r="V16" i="76"/>
  <c r="W18" i="76"/>
  <c r="V18" i="76"/>
  <c r="W19" i="76"/>
  <c r="V19" i="76"/>
  <c r="W20" i="76"/>
  <c r="V20" i="76"/>
  <c r="W21" i="76"/>
  <c r="V21" i="76"/>
  <c r="W22" i="76"/>
  <c r="V22" i="76"/>
  <c r="W24" i="76"/>
  <c r="V24" i="76"/>
  <c r="W25" i="76"/>
  <c r="V25" i="76"/>
  <c r="W26" i="76"/>
  <c r="V26" i="76"/>
  <c r="W27" i="76"/>
  <c r="V27" i="76"/>
  <c r="W28" i="76"/>
  <c r="V28" i="76"/>
  <c r="W29" i="76"/>
  <c r="V29" i="76"/>
  <c r="W31" i="76"/>
  <c r="V31" i="76"/>
  <c r="W32" i="76"/>
  <c r="V32" i="76"/>
  <c r="W33" i="76"/>
  <c r="V33" i="76"/>
  <c r="W34" i="76"/>
  <c r="V34" i="76"/>
  <c r="W35" i="76"/>
  <c r="V35" i="76"/>
  <c r="W37" i="76"/>
  <c r="V37" i="76"/>
  <c r="W38" i="76"/>
  <c r="V38" i="76"/>
  <c r="W39" i="76"/>
  <c r="V39" i="76"/>
  <c r="W40" i="76"/>
  <c r="V40" i="76"/>
  <c r="W41" i="76"/>
  <c r="V41" i="76"/>
  <c r="W43" i="76"/>
  <c r="V43" i="76"/>
  <c r="W44" i="76"/>
  <c r="V44" i="76"/>
  <c r="W46" i="76"/>
  <c r="V46" i="76"/>
  <c r="W47" i="76"/>
  <c r="V47" i="76"/>
  <c r="W48" i="76"/>
  <c r="V48" i="76"/>
  <c r="W49" i="76"/>
  <c r="V49" i="76"/>
  <c r="W50" i="76"/>
  <c r="V50" i="76"/>
  <c r="W52" i="76"/>
  <c r="V52" i="76"/>
  <c r="W53" i="76"/>
  <c r="V53" i="76"/>
  <c r="W54" i="76"/>
  <c r="V54" i="76"/>
  <c r="W55" i="76"/>
  <c r="V55" i="76"/>
  <c r="W56" i="76"/>
  <c r="V56" i="76"/>
  <c r="W58" i="76"/>
  <c r="V58" i="76"/>
  <c r="W59" i="76"/>
  <c r="V59" i="76"/>
  <c r="W60" i="76"/>
  <c r="V60" i="76"/>
  <c r="W61" i="76"/>
  <c r="V61" i="76"/>
  <c r="W62" i="76"/>
  <c r="V62" i="76"/>
  <c r="W63" i="76"/>
  <c r="V63" i="76"/>
  <c r="U9" i="76"/>
  <c r="T9" i="76"/>
  <c r="U14" i="76"/>
  <c r="T14" i="76"/>
  <c r="U19" i="76"/>
  <c r="T19" i="76"/>
  <c r="U25" i="76"/>
  <c r="T25" i="76"/>
  <c r="U27" i="76"/>
  <c r="T27" i="76"/>
  <c r="U32" i="76"/>
  <c r="T32" i="76"/>
  <c r="U39" i="76"/>
  <c r="T39" i="76"/>
  <c r="U44" i="76"/>
  <c r="T44" i="76"/>
  <c r="U50" i="76"/>
  <c r="T50" i="76"/>
  <c r="U55" i="76"/>
  <c r="T55" i="76"/>
  <c r="U59" i="76"/>
  <c r="T59" i="76"/>
  <c r="U62" i="76"/>
  <c r="T62" i="76"/>
  <c r="Y8" i="76"/>
  <c r="X8" i="76"/>
  <c r="Y10" i="76"/>
  <c r="X10" i="76"/>
  <c r="Y13" i="76"/>
  <c r="X13" i="76"/>
  <c r="Y14" i="76"/>
  <c r="X14" i="76"/>
  <c r="X16" i="76"/>
  <c r="Y16" i="76"/>
  <c r="Y18" i="76"/>
  <c r="X18" i="76"/>
  <c r="Y19" i="76"/>
  <c r="X19" i="76"/>
  <c r="Y20" i="76"/>
  <c r="X20" i="76"/>
  <c r="X21" i="76"/>
  <c r="Y21" i="76"/>
  <c r="Y22" i="76"/>
  <c r="X22" i="76"/>
  <c r="Y24" i="76"/>
  <c r="X24" i="76"/>
  <c r="X25" i="76"/>
  <c r="Y25" i="76"/>
  <c r="Y26" i="76"/>
  <c r="X26" i="76"/>
  <c r="Y27" i="76"/>
  <c r="X27" i="76"/>
  <c r="Y28" i="76"/>
  <c r="X28" i="76"/>
  <c r="Y29" i="76"/>
  <c r="X29" i="76"/>
  <c r="X31" i="76"/>
  <c r="Y31" i="76"/>
  <c r="Y32" i="76"/>
  <c r="X32" i="76"/>
  <c r="Y33" i="76"/>
  <c r="X33" i="76"/>
  <c r="X34" i="76"/>
  <c r="Y34" i="76"/>
  <c r="X35" i="76"/>
  <c r="Y35" i="76"/>
  <c r="Y37" i="76"/>
  <c r="X37" i="76"/>
  <c r="Y38" i="76"/>
  <c r="X38" i="76"/>
  <c r="X39" i="76"/>
  <c r="Y39" i="76"/>
  <c r="Y40" i="76"/>
  <c r="X40" i="76"/>
  <c r="Y41" i="76"/>
  <c r="X41" i="76"/>
  <c r="Y43" i="76"/>
  <c r="X43" i="76"/>
  <c r="X44" i="76"/>
  <c r="Y44" i="76"/>
  <c r="X46" i="76"/>
  <c r="Y46" i="76"/>
  <c r="Y47" i="76"/>
  <c r="X47" i="76"/>
  <c r="Y48" i="76"/>
  <c r="X48" i="76"/>
  <c r="X49" i="76"/>
  <c r="Y49" i="76"/>
  <c r="X50" i="76"/>
  <c r="Y50" i="76"/>
  <c r="Y52" i="76"/>
  <c r="X52" i="76"/>
  <c r="X53" i="76"/>
  <c r="Y53" i="76"/>
  <c r="X54" i="76"/>
  <c r="Y54" i="76"/>
  <c r="X55" i="76"/>
  <c r="Y55" i="76"/>
  <c r="Y56" i="76"/>
  <c r="X56" i="76"/>
  <c r="Y58" i="76"/>
  <c r="X58" i="76"/>
  <c r="Y59" i="76"/>
  <c r="X59" i="76"/>
  <c r="Y60" i="76"/>
  <c r="X60" i="76"/>
  <c r="Y61" i="76"/>
  <c r="X61" i="76"/>
  <c r="Y62" i="76"/>
  <c r="X62" i="76"/>
  <c r="Y63" i="76"/>
  <c r="X63" i="76"/>
  <c r="U12" i="76"/>
  <c r="T12" i="76"/>
  <c r="U16" i="76"/>
  <c r="T16" i="76"/>
  <c r="U22" i="76"/>
  <c r="T22" i="76"/>
  <c r="U28" i="76"/>
  <c r="T28" i="76"/>
  <c r="U33" i="76"/>
  <c r="T33" i="76"/>
  <c r="U37" i="76"/>
  <c r="T37" i="76"/>
  <c r="U43" i="76"/>
  <c r="T43" i="76"/>
  <c r="U48" i="76"/>
  <c r="T48" i="76"/>
  <c r="U53" i="76"/>
  <c r="T53" i="76"/>
  <c r="U58" i="76"/>
  <c r="T58" i="76"/>
  <c r="U60" i="76"/>
  <c r="T60" i="76"/>
  <c r="X7" i="76"/>
  <c r="Y7" i="76"/>
  <c r="X9" i="76"/>
  <c r="Y9" i="76"/>
  <c r="X12" i="76"/>
  <c r="Y12" i="76"/>
  <c r="Y15" i="76"/>
  <c r="X15" i="76"/>
  <c r="U8" i="76"/>
  <c r="T8" i="76"/>
  <c r="U13" i="76"/>
  <c r="T13" i="76"/>
  <c r="U18" i="76"/>
  <c r="T18" i="76"/>
  <c r="U24" i="76"/>
  <c r="T24" i="76"/>
  <c r="U29" i="76"/>
  <c r="T29" i="76"/>
  <c r="U35" i="76"/>
  <c r="T35" i="76"/>
  <c r="U40" i="76"/>
  <c r="T40" i="76"/>
  <c r="U46" i="76"/>
  <c r="T46" i="76"/>
  <c r="U52" i="76"/>
  <c r="T52" i="76"/>
  <c r="U56" i="76"/>
  <c r="T56" i="76"/>
  <c r="U61" i="76"/>
  <c r="T61" i="76"/>
  <c r="AA7" i="76"/>
  <c r="Z7" i="76"/>
  <c r="AA8" i="76"/>
  <c r="Z8" i="76"/>
  <c r="AA9" i="76"/>
  <c r="Z9" i="76"/>
  <c r="AA10" i="76"/>
  <c r="Z10" i="76"/>
  <c r="AA12" i="76"/>
  <c r="Z12" i="76"/>
  <c r="AA13" i="76"/>
  <c r="Z13" i="76"/>
  <c r="AA14" i="76"/>
  <c r="Z14" i="76"/>
  <c r="AA15" i="76"/>
  <c r="Z15" i="76"/>
  <c r="AA16" i="76"/>
  <c r="Z16" i="76"/>
  <c r="AA18" i="76"/>
  <c r="Z18" i="76"/>
  <c r="AA19" i="76"/>
  <c r="Z19" i="76"/>
  <c r="AA20" i="76"/>
  <c r="Z20" i="76"/>
  <c r="AA21" i="76"/>
  <c r="Z21" i="76"/>
  <c r="AA22" i="76"/>
  <c r="Z22" i="76"/>
  <c r="AA24" i="76"/>
  <c r="Z24" i="76"/>
  <c r="AA25" i="76"/>
  <c r="Z25" i="76"/>
  <c r="AA26" i="76"/>
  <c r="Z26" i="76"/>
  <c r="AA27" i="76"/>
  <c r="Z27" i="76"/>
  <c r="AA28" i="76"/>
  <c r="Z28" i="76"/>
  <c r="AA29" i="76"/>
  <c r="Z29" i="76"/>
  <c r="AA31" i="76"/>
  <c r="Z31" i="76"/>
  <c r="AA32" i="76"/>
  <c r="Z32" i="76"/>
  <c r="AA33" i="76"/>
  <c r="Z33" i="76"/>
  <c r="AA34" i="76"/>
  <c r="Z34" i="76"/>
  <c r="AA35" i="76"/>
  <c r="Z35" i="76"/>
  <c r="AA37" i="76"/>
  <c r="Z37" i="76"/>
  <c r="AA38" i="76"/>
  <c r="Z38" i="76"/>
  <c r="AA39" i="76"/>
  <c r="Z39" i="76"/>
  <c r="AA40" i="76"/>
  <c r="Z40" i="76"/>
  <c r="AA41" i="76"/>
  <c r="Z41" i="76"/>
  <c r="AA43" i="76"/>
  <c r="Z43" i="76"/>
  <c r="AA44" i="76"/>
  <c r="Z44" i="76"/>
  <c r="AA46" i="76"/>
  <c r="Z46" i="76"/>
  <c r="AA47" i="76"/>
  <c r="Z47" i="76"/>
  <c r="AA48" i="76"/>
  <c r="Z48" i="76"/>
  <c r="AA49" i="76"/>
  <c r="Z49" i="76"/>
  <c r="AA50" i="76"/>
  <c r="Z50" i="76"/>
  <c r="AA52" i="76"/>
  <c r="Z52" i="76"/>
  <c r="AA53" i="76"/>
  <c r="Z53" i="76"/>
  <c r="AA54" i="76"/>
  <c r="Z54" i="76"/>
  <c r="AA55" i="76"/>
  <c r="Z55" i="76"/>
  <c r="AA56" i="76"/>
  <c r="Z56" i="76"/>
  <c r="AA58" i="76"/>
  <c r="Z58" i="76"/>
  <c r="AA59" i="76"/>
  <c r="Z59" i="76"/>
  <c r="AA60" i="76"/>
  <c r="Z60" i="76"/>
  <c r="AA61" i="76"/>
  <c r="Z61" i="76"/>
  <c r="AA62" i="76"/>
  <c r="Z62" i="76"/>
  <c r="AA63" i="76"/>
  <c r="Z63" i="76"/>
  <c r="G7" i="76"/>
  <c r="F7" i="76"/>
  <c r="AC69" i="72"/>
  <c r="AA69" i="72"/>
  <c r="Y69" i="72"/>
  <c r="W69" i="72"/>
  <c r="U69" i="72"/>
  <c r="S69" i="72"/>
  <c r="Q69" i="72"/>
  <c r="O69" i="72"/>
  <c r="M69" i="72"/>
  <c r="K69" i="72"/>
  <c r="I69" i="72"/>
  <c r="G69" i="72"/>
  <c r="AB69" i="72"/>
  <c r="Z69" i="72"/>
  <c r="X69" i="72"/>
  <c r="V69" i="72"/>
  <c r="T69" i="72"/>
  <c r="R69" i="72"/>
  <c r="P69" i="72"/>
  <c r="N69" i="72"/>
  <c r="L69" i="72"/>
  <c r="J69" i="72"/>
  <c r="H69" i="72"/>
  <c r="F69" i="72"/>
  <c r="AC67" i="72"/>
  <c r="AB67" i="72"/>
  <c r="AA67" i="72"/>
  <c r="Z67" i="72"/>
  <c r="Y67" i="72"/>
  <c r="X67" i="72"/>
  <c r="W67" i="72"/>
  <c r="V67" i="72"/>
  <c r="U67" i="72"/>
  <c r="T67" i="72"/>
  <c r="S67" i="72"/>
  <c r="R67" i="72"/>
  <c r="Q67" i="72"/>
  <c r="P67" i="72"/>
  <c r="O67" i="72"/>
  <c r="N67" i="72"/>
  <c r="M67" i="72"/>
  <c r="L67" i="72"/>
  <c r="K67" i="72"/>
  <c r="J67" i="72"/>
  <c r="I67" i="72"/>
  <c r="H67" i="72"/>
  <c r="AC66" i="72"/>
  <c r="AB66" i="72"/>
  <c r="AA66" i="72"/>
  <c r="Z66" i="72"/>
  <c r="Y66" i="72"/>
  <c r="X66" i="72"/>
  <c r="W66" i="72"/>
  <c r="V66" i="72"/>
  <c r="U66" i="72"/>
  <c r="T66" i="72"/>
  <c r="S66" i="72"/>
  <c r="R66" i="72"/>
  <c r="Q66" i="72"/>
  <c r="P66" i="72"/>
  <c r="O66" i="72"/>
  <c r="N66" i="72"/>
  <c r="M66" i="72"/>
  <c r="L66" i="72"/>
  <c r="K66" i="72"/>
  <c r="J66" i="72"/>
  <c r="I66" i="72"/>
  <c r="H66" i="72"/>
  <c r="AC65" i="72"/>
  <c r="AB65" i="72"/>
  <c r="AA65" i="72"/>
  <c r="Z65" i="72"/>
  <c r="Y65" i="72"/>
  <c r="X65" i="72"/>
  <c r="W65" i="72"/>
  <c r="V65" i="72"/>
  <c r="U65" i="72"/>
  <c r="T65" i="72"/>
  <c r="S65" i="72"/>
  <c r="R65" i="72"/>
  <c r="Q65" i="72"/>
  <c r="P65" i="72"/>
  <c r="O65" i="72"/>
  <c r="N65" i="72"/>
  <c r="M65" i="72"/>
  <c r="L65" i="72"/>
  <c r="K65" i="72"/>
  <c r="J65" i="72"/>
  <c r="I65" i="72"/>
  <c r="H65" i="72"/>
  <c r="AC64" i="72"/>
  <c r="AB64" i="72"/>
  <c r="AA64" i="72"/>
  <c r="Z64" i="72"/>
  <c r="Y64" i="72"/>
  <c r="X64" i="72"/>
  <c r="W64" i="72"/>
  <c r="V64" i="72"/>
  <c r="U64" i="72"/>
  <c r="T64" i="72"/>
  <c r="S64" i="72"/>
  <c r="R64" i="72"/>
  <c r="Q64" i="72"/>
  <c r="P64" i="72"/>
  <c r="O64" i="72"/>
  <c r="N64" i="72"/>
  <c r="M64" i="72"/>
  <c r="L64" i="72"/>
  <c r="K64" i="72"/>
  <c r="J64" i="72"/>
  <c r="I64" i="72"/>
  <c r="H64" i="72"/>
  <c r="AC63" i="72"/>
  <c r="AB63" i="72"/>
  <c r="AA63" i="72"/>
  <c r="Z63" i="72"/>
  <c r="Y63" i="72"/>
  <c r="X63" i="72"/>
  <c r="W63" i="72"/>
  <c r="V63" i="72"/>
  <c r="U63" i="72"/>
  <c r="T63" i="72"/>
  <c r="S63" i="72"/>
  <c r="R63" i="72"/>
  <c r="Q63" i="72"/>
  <c r="P63" i="72"/>
  <c r="O63" i="72"/>
  <c r="N63" i="72"/>
  <c r="M63" i="72"/>
  <c r="L63" i="72"/>
  <c r="K63" i="72"/>
  <c r="J63" i="72"/>
  <c r="I63" i="72"/>
  <c r="H63" i="72"/>
  <c r="AC62" i="72"/>
  <c r="AB62" i="72"/>
  <c r="AA62" i="72"/>
  <c r="Z62" i="72"/>
  <c r="Y62" i="72"/>
  <c r="X62" i="72"/>
  <c r="W62" i="72"/>
  <c r="V62" i="72"/>
  <c r="U62" i="72"/>
  <c r="T62" i="72"/>
  <c r="S62" i="72"/>
  <c r="R62" i="72"/>
  <c r="Q62" i="72"/>
  <c r="P62" i="72"/>
  <c r="O62" i="72"/>
  <c r="N62" i="72"/>
  <c r="M62" i="72"/>
  <c r="L62" i="72"/>
  <c r="K62" i="72"/>
  <c r="J62" i="72"/>
  <c r="I62" i="72"/>
  <c r="H62" i="72"/>
  <c r="AC60" i="72"/>
  <c r="AB60" i="72"/>
  <c r="AA60" i="72"/>
  <c r="Z60" i="72"/>
  <c r="Y60" i="72"/>
  <c r="X60" i="72"/>
  <c r="W60" i="72"/>
  <c r="V60" i="72"/>
  <c r="U60" i="72"/>
  <c r="T60" i="72"/>
  <c r="S60" i="72"/>
  <c r="R60" i="72"/>
  <c r="Q60" i="72"/>
  <c r="P60" i="72"/>
  <c r="O60" i="72"/>
  <c r="N60" i="72"/>
  <c r="M60" i="72"/>
  <c r="L60" i="72"/>
  <c r="K60" i="72"/>
  <c r="J60" i="72"/>
  <c r="I60" i="72"/>
  <c r="H60" i="72"/>
  <c r="AC59" i="72"/>
  <c r="AB59" i="72"/>
  <c r="AA59" i="72"/>
  <c r="Z59" i="72"/>
  <c r="Y59" i="72"/>
  <c r="X59" i="72"/>
  <c r="W59" i="72"/>
  <c r="V59" i="72"/>
  <c r="U59" i="72"/>
  <c r="T59" i="72"/>
  <c r="S59" i="72"/>
  <c r="R59" i="72"/>
  <c r="Q59" i="72"/>
  <c r="P59" i="72"/>
  <c r="O59" i="72"/>
  <c r="N59" i="72"/>
  <c r="M59" i="72"/>
  <c r="L59" i="72"/>
  <c r="K59" i="72"/>
  <c r="J59" i="72"/>
  <c r="I59" i="72"/>
  <c r="H59" i="72"/>
  <c r="AC58" i="72"/>
  <c r="AB58" i="72"/>
  <c r="AA58" i="72"/>
  <c r="Z58" i="72"/>
  <c r="Y58" i="72"/>
  <c r="X58" i="72"/>
  <c r="W58" i="72"/>
  <c r="V58" i="72"/>
  <c r="U58" i="72"/>
  <c r="T58" i="72"/>
  <c r="S58" i="72"/>
  <c r="R58" i="72"/>
  <c r="Q58" i="72"/>
  <c r="P58" i="72"/>
  <c r="O58" i="72"/>
  <c r="N58" i="72"/>
  <c r="M58" i="72"/>
  <c r="L58" i="72"/>
  <c r="K58" i="72"/>
  <c r="J58" i="72"/>
  <c r="I58" i="72"/>
  <c r="H58" i="72"/>
  <c r="AC57" i="72"/>
  <c r="AB57" i="72"/>
  <c r="AA57" i="72"/>
  <c r="Z57" i="72"/>
  <c r="Y57" i="72"/>
  <c r="X57" i="72"/>
  <c r="W57" i="72"/>
  <c r="V57" i="72"/>
  <c r="U57" i="72"/>
  <c r="T57" i="72"/>
  <c r="S57" i="72"/>
  <c r="R57" i="72"/>
  <c r="Q57" i="72"/>
  <c r="P57" i="72"/>
  <c r="O57" i="72"/>
  <c r="N57" i="72"/>
  <c r="M57" i="72"/>
  <c r="L57" i="72"/>
  <c r="K57" i="72"/>
  <c r="J57" i="72"/>
  <c r="I57" i="72"/>
  <c r="H57" i="72"/>
  <c r="AC56" i="72"/>
  <c r="AB56" i="72"/>
  <c r="AA56" i="72"/>
  <c r="Z56" i="72"/>
  <c r="Y56" i="72"/>
  <c r="X56" i="72"/>
  <c r="W56" i="72"/>
  <c r="V56" i="72"/>
  <c r="U56" i="72"/>
  <c r="T56" i="72"/>
  <c r="S56" i="72"/>
  <c r="R56" i="72"/>
  <c r="Q56" i="72"/>
  <c r="P56" i="72"/>
  <c r="O56" i="72"/>
  <c r="N56" i="72"/>
  <c r="M56" i="72"/>
  <c r="L56" i="72"/>
  <c r="K56" i="72"/>
  <c r="J56" i="72"/>
  <c r="I56" i="72"/>
  <c r="H56" i="72"/>
  <c r="AC54" i="72"/>
  <c r="AB54" i="72"/>
  <c r="AA54" i="72"/>
  <c r="Z54" i="72"/>
  <c r="Y54" i="72"/>
  <c r="X54" i="72"/>
  <c r="W54" i="72"/>
  <c r="V54" i="72"/>
  <c r="U54" i="72"/>
  <c r="T54" i="72"/>
  <c r="S54" i="72"/>
  <c r="R54" i="72"/>
  <c r="Q54" i="72"/>
  <c r="P54" i="72"/>
  <c r="O54" i="72"/>
  <c r="N54" i="72"/>
  <c r="M54" i="72"/>
  <c r="L54" i="72"/>
  <c r="K54" i="72"/>
  <c r="J54" i="72"/>
  <c r="I54" i="72"/>
  <c r="H54" i="72"/>
  <c r="AC53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AC52" i="72"/>
  <c r="AB52" i="72"/>
  <c r="AA52" i="72"/>
  <c r="Z52" i="72"/>
  <c r="Y52" i="72"/>
  <c r="X52" i="72"/>
  <c r="W52" i="72"/>
  <c r="V52" i="72"/>
  <c r="U52" i="72"/>
  <c r="T52" i="72"/>
  <c r="S52" i="72"/>
  <c r="R52" i="72"/>
  <c r="Q52" i="72"/>
  <c r="P52" i="72"/>
  <c r="O52" i="72"/>
  <c r="N52" i="72"/>
  <c r="M52" i="72"/>
  <c r="L52" i="72"/>
  <c r="K52" i="72"/>
  <c r="J52" i="72"/>
  <c r="I52" i="72"/>
  <c r="H52" i="72"/>
  <c r="AC51" i="72"/>
  <c r="AB51" i="72"/>
  <c r="AA51" i="72"/>
  <c r="Z51" i="72"/>
  <c r="Y51" i="72"/>
  <c r="X51" i="72"/>
  <c r="W51" i="72"/>
  <c r="V51" i="72"/>
  <c r="U51" i="72"/>
  <c r="T51" i="72"/>
  <c r="S51" i="72"/>
  <c r="R51" i="72"/>
  <c r="Q51" i="72"/>
  <c r="P51" i="72"/>
  <c r="O51" i="72"/>
  <c r="N51" i="72"/>
  <c r="M51" i="72"/>
  <c r="L51" i="72"/>
  <c r="K51" i="72"/>
  <c r="J51" i="72"/>
  <c r="I51" i="72"/>
  <c r="H51" i="72"/>
  <c r="AC50" i="72"/>
  <c r="AB50" i="72"/>
  <c r="AA50" i="72"/>
  <c r="Z50" i="72"/>
  <c r="Y50" i="72"/>
  <c r="X50" i="72"/>
  <c r="W50" i="72"/>
  <c r="V50" i="72"/>
  <c r="U50" i="72"/>
  <c r="T50" i="72"/>
  <c r="S50" i="72"/>
  <c r="R50" i="72"/>
  <c r="Q50" i="72"/>
  <c r="P50" i="72"/>
  <c r="O50" i="72"/>
  <c r="N50" i="72"/>
  <c r="M50" i="72"/>
  <c r="L50" i="72"/>
  <c r="K50" i="72"/>
  <c r="J50" i="72"/>
  <c r="I50" i="72"/>
  <c r="H50" i="72"/>
  <c r="AC49" i="72"/>
  <c r="AB49" i="72"/>
  <c r="AA49" i="72"/>
  <c r="Z49" i="72"/>
  <c r="Y49" i="72"/>
  <c r="X49" i="72"/>
  <c r="W49" i="72"/>
  <c r="V49" i="72"/>
  <c r="U49" i="72"/>
  <c r="T49" i="72"/>
  <c r="S49" i="72"/>
  <c r="R49" i="72"/>
  <c r="Q49" i="72"/>
  <c r="P49" i="72"/>
  <c r="O49" i="72"/>
  <c r="N49" i="72"/>
  <c r="M49" i="72"/>
  <c r="L49" i="72"/>
  <c r="K49" i="72"/>
  <c r="J49" i="72"/>
  <c r="I49" i="72"/>
  <c r="H49" i="72"/>
  <c r="AC47" i="72"/>
  <c r="AB47" i="72"/>
  <c r="AA47" i="72"/>
  <c r="Z47" i="72"/>
  <c r="Y47" i="72"/>
  <c r="X47" i="72"/>
  <c r="W47" i="72"/>
  <c r="V47" i="72"/>
  <c r="U47" i="72"/>
  <c r="T47" i="72"/>
  <c r="S47" i="72"/>
  <c r="R47" i="72"/>
  <c r="Q47" i="72"/>
  <c r="P47" i="72"/>
  <c r="O47" i="72"/>
  <c r="N47" i="72"/>
  <c r="M47" i="72"/>
  <c r="L47" i="72"/>
  <c r="K47" i="72"/>
  <c r="J47" i="72"/>
  <c r="I47" i="72"/>
  <c r="H47" i="72"/>
  <c r="AC46" i="72"/>
  <c r="AB46" i="72"/>
  <c r="AA46" i="72"/>
  <c r="Z46" i="72"/>
  <c r="Y46" i="72"/>
  <c r="X46" i="72"/>
  <c r="W46" i="72"/>
  <c r="V46" i="72"/>
  <c r="U46" i="72"/>
  <c r="T46" i="72"/>
  <c r="S46" i="72"/>
  <c r="R46" i="72"/>
  <c r="Q46" i="72"/>
  <c r="P46" i="72"/>
  <c r="O46" i="72"/>
  <c r="N46" i="72"/>
  <c r="M46" i="72"/>
  <c r="L46" i="72"/>
  <c r="K46" i="72"/>
  <c r="J46" i="72"/>
  <c r="I46" i="72"/>
  <c r="H46" i="72"/>
  <c r="AC45" i="72"/>
  <c r="AB45" i="72"/>
  <c r="AA45" i="72"/>
  <c r="Z45" i="72"/>
  <c r="Y45" i="72"/>
  <c r="X45" i="72"/>
  <c r="W45" i="72"/>
  <c r="V45" i="72"/>
  <c r="U45" i="72"/>
  <c r="T45" i="72"/>
  <c r="S45" i="72"/>
  <c r="R45" i="72"/>
  <c r="Q45" i="72"/>
  <c r="P45" i="72"/>
  <c r="O45" i="72"/>
  <c r="N45" i="72"/>
  <c r="M45" i="72"/>
  <c r="L45" i="72"/>
  <c r="K45" i="72"/>
  <c r="J45" i="72"/>
  <c r="I45" i="72"/>
  <c r="H45" i="72"/>
  <c r="AC43" i="72"/>
  <c r="AB43" i="72"/>
  <c r="AA43" i="72"/>
  <c r="Z43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J43" i="72"/>
  <c r="I43" i="72"/>
  <c r="H43" i="72"/>
  <c r="AC42" i="72"/>
  <c r="AB42" i="72"/>
  <c r="AA42" i="72"/>
  <c r="Z42" i="72"/>
  <c r="Y42" i="72"/>
  <c r="X42" i="72"/>
  <c r="W42" i="72"/>
  <c r="V42" i="72"/>
  <c r="U42" i="72"/>
  <c r="T42" i="72"/>
  <c r="S42" i="72"/>
  <c r="R42" i="72"/>
  <c r="Q42" i="72"/>
  <c r="P42" i="72"/>
  <c r="O42" i="72"/>
  <c r="N42" i="72"/>
  <c r="M42" i="72"/>
  <c r="L42" i="72"/>
  <c r="K42" i="72"/>
  <c r="J42" i="72"/>
  <c r="I42" i="72"/>
  <c r="H42" i="72"/>
  <c r="AC41" i="72"/>
  <c r="AB41" i="72"/>
  <c r="AA41" i="72"/>
  <c r="Z41" i="72"/>
  <c r="Y41" i="72"/>
  <c r="X41" i="72"/>
  <c r="W41" i="72"/>
  <c r="V41" i="72"/>
  <c r="U41" i="72"/>
  <c r="T41" i="72"/>
  <c r="S41" i="72"/>
  <c r="R41" i="72"/>
  <c r="Q41" i="72"/>
  <c r="P41" i="72"/>
  <c r="O41" i="72"/>
  <c r="N41" i="72"/>
  <c r="M41" i="72"/>
  <c r="L41" i="72"/>
  <c r="K41" i="72"/>
  <c r="J41" i="72"/>
  <c r="I41" i="72"/>
  <c r="H41" i="72"/>
  <c r="AC40" i="72"/>
  <c r="AB40" i="72"/>
  <c r="AA40" i="72"/>
  <c r="Z40" i="72"/>
  <c r="Y40" i="72"/>
  <c r="X40" i="72"/>
  <c r="W40" i="72"/>
  <c r="V40" i="72"/>
  <c r="U40" i="72"/>
  <c r="T40" i="72"/>
  <c r="S40" i="72"/>
  <c r="R40" i="72"/>
  <c r="Q40" i="72"/>
  <c r="P40" i="72"/>
  <c r="O40" i="72"/>
  <c r="N40" i="72"/>
  <c r="M40" i="72"/>
  <c r="L40" i="72"/>
  <c r="K40" i="72"/>
  <c r="J40" i="72"/>
  <c r="I40" i="72"/>
  <c r="H40" i="72"/>
  <c r="AC39" i="72"/>
  <c r="AB39" i="72"/>
  <c r="AA39" i="72"/>
  <c r="Z39" i="72"/>
  <c r="Y39" i="72"/>
  <c r="X39" i="72"/>
  <c r="W39" i="72"/>
  <c r="V39" i="72"/>
  <c r="U39" i="72"/>
  <c r="T39" i="72"/>
  <c r="S39" i="72"/>
  <c r="R39" i="72"/>
  <c r="Q39" i="72"/>
  <c r="P39" i="72"/>
  <c r="O39" i="72"/>
  <c r="N39" i="72"/>
  <c r="M39" i="72"/>
  <c r="L39" i="72"/>
  <c r="K39" i="72"/>
  <c r="J39" i="72"/>
  <c r="I39" i="72"/>
  <c r="H39" i="72"/>
  <c r="AC38" i="72"/>
  <c r="AB38" i="72"/>
  <c r="AA38" i="72"/>
  <c r="Z38" i="72"/>
  <c r="Y38" i="72"/>
  <c r="X38" i="72"/>
  <c r="W38" i="72"/>
  <c r="V38" i="72"/>
  <c r="U38" i="72"/>
  <c r="T38" i="72"/>
  <c r="S38" i="72"/>
  <c r="R38" i="72"/>
  <c r="Q38" i="72"/>
  <c r="P38" i="72"/>
  <c r="O38" i="72"/>
  <c r="N38" i="72"/>
  <c r="M38" i="72"/>
  <c r="L38" i="72"/>
  <c r="K38" i="72"/>
  <c r="J38" i="72"/>
  <c r="I38" i="72"/>
  <c r="H38" i="72"/>
  <c r="AC36" i="72"/>
  <c r="AB36" i="72"/>
  <c r="AA36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AC35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AC34" i="72"/>
  <c r="AB34" i="72"/>
  <c r="AA34" i="72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AC33" i="72"/>
  <c r="AB33" i="72"/>
  <c r="AA33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AC32" i="72"/>
  <c r="AB32" i="72"/>
  <c r="AA32" i="72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H32" i="72"/>
  <c r="AC30" i="72"/>
  <c r="AB30" i="72"/>
  <c r="AA30" i="72"/>
  <c r="Z30" i="72"/>
  <c r="Y30" i="72"/>
  <c r="X30" i="72"/>
  <c r="W30" i="72"/>
  <c r="V30" i="72"/>
  <c r="U30" i="72"/>
  <c r="T30" i="72"/>
  <c r="S30" i="72"/>
  <c r="R30" i="72"/>
  <c r="Q30" i="72"/>
  <c r="P30" i="72"/>
  <c r="O30" i="72"/>
  <c r="N30" i="72"/>
  <c r="M30" i="72"/>
  <c r="L30" i="72"/>
  <c r="K30" i="72"/>
  <c r="J30" i="72"/>
  <c r="I30" i="72"/>
  <c r="H30" i="72"/>
  <c r="AC29" i="72"/>
  <c r="AB29" i="72"/>
  <c r="AA29" i="72"/>
  <c r="Z29" i="72"/>
  <c r="Y29" i="72"/>
  <c r="X29" i="72"/>
  <c r="W29" i="72"/>
  <c r="V29" i="72"/>
  <c r="U29" i="72"/>
  <c r="T29" i="72"/>
  <c r="S29" i="72"/>
  <c r="R29" i="72"/>
  <c r="Q29" i="72"/>
  <c r="P29" i="72"/>
  <c r="O29" i="72"/>
  <c r="N29" i="72"/>
  <c r="M29" i="72"/>
  <c r="L29" i="72"/>
  <c r="K29" i="72"/>
  <c r="J29" i="72"/>
  <c r="I29" i="72"/>
  <c r="H29" i="72"/>
  <c r="AC28" i="72"/>
  <c r="AB28" i="72"/>
  <c r="AA28" i="72"/>
  <c r="Z28" i="72"/>
  <c r="Y28" i="72"/>
  <c r="X28" i="72"/>
  <c r="W28" i="72"/>
  <c r="V28" i="72"/>
  <c r="U28" i="72"/>
  <c r="T28" i="72"/>
  <c r="S28" i="72"/>
  <c r="R28" i="72"/>
  <c r="Q28" i="72"/>
  <c r="P28" i="72"/>
  <c r="O28" i="72"/>
  <c r="N28" i="72"/>
  <c r="M28" i="72"/>
  <c r="L28" i="72"/>
  <c r="K28" i="72"/>
  <c r="J28" i="72"/>
  <c r="I28" i="72"/>
  <c r="H28" i="72"/>
  <c r="AC27" i="72"/>
  <c r="AB27" i="72"/>
  <c r="AA27" i="72"/>
  <c r="Z27" i="72"/>
  <c r="Y27" i="72"/>
  <c r="X2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J27" i="72"/>
  <c r="I27" i="72"/>
  <c r="H27" i="72"/>
  <c r="AC26" i="72"/>
  <c r="AB26" i="72"/>
  <c r="AA26" i="72"/>
  <c r="Z26" i="72"/>
  <c r="Y26" i="72"/>
  <c r="X26" i="72"/>
  <c r="W26" i="72"/>
  <c r="V26" i="72"/>
  <c r="U26" i="72"/>
  <c r="T26" i="72"/>
  <c r="S26" i="72"/>
  <c r="R26" i="72"/>
  <c r="Q26" i="72"/>
  <c r="P26" i="72"/>
  <c r="O26" i="72"/>
  <c r="N26" i="72"/>
  <c r="M26" i="72"/>
  <c r="L26" i="72"/>
  <c r="K26" i="72"/>
  <c r="J26" i="72"/>
  <c r="I26" i="72"/>
  <c r="H26" i="72"/>
  <c r="AC25" i="72"/>
  <c r="AB25" i="72"/>
  <c r="AA25" i="72"/>
  <c r="Z25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AC24" i="72"/>
  <c r="AB24" i="72"/>
  <c r="AA24" i="72"/>
  <c r="Z24" i="72"/>
  <c r="Y24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AC22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2" i="72"/>
  <c r="O22" i="72"/>
  <c r="N22" i="72"/>
  <c r="M22" i="72"/>
  <c r="L22" i="72"/>
  <c r="K22" i="72"/>
  <c r="J22" i="72"/>
  <c r="I22" i="72"/>
  <c r="H22" i="72"/>
  <c r="AC21" i="72"/>
  <c r="AB21" i="72"/>
  <c r="AA21" i="72"/>
  <c r="Z21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H21" i="72"/>
  <c r="AC20" i="72"/>
  <c r="AB20" i="72"/>
  <c r="AA20" i="72"/>
  <c r="Z20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AC19" i="72"/>
  <c r="AB19" i="72"/>
  <c r="AA19" i="72"/>
  <c r="Z19" i="72"/>
  <c r="Y19" i="72"/>
  <c r="X19" i="72"/>
  <c r="W19" i="72"/>
  <c r="V19" i="72"/>
  <c r="U19" i="72"/>
  <c r="T19" i="72"/>
  <c r="S19" i="72"/>
  <c r="R19" i="72"/>
  <c r="Q19" i="72"/>
  <c r="P19" i="72"/>
  <c r="O19" i="72"/>
  <c r="N19" i="72"/>
  <c r="M19" i="72"/>
  <c r="L19" i="72"/>
  <c r="K19" i="72"/>
  <c r="J19" i="72"/>
  <c r="I19" i="72"/>
  <c r="H19" i="72"/>
  <c r="AC18" i="72"/>
  <c r="AB18" i="72"/>
  <c r="AA18" i="72"/>
  <c r="Z18" i="72"/>
  <c r="Y18" i="72"/>
  <c r="X18" i="72"/>
  <c r="W18" i="72"/>
  <c r="V18" i="72"/>
  <c r="U18" i="72"/>
  <c r="T18" i="72"/>
  <c r="S18" i="72"/>
  <c r="R18" i="72"/>
  <c r="Q18" i="72"/>
  <c r="P18" i="72"/>
  <c r="O18" i="72"/>
  <c r="N18" i="72"/>
  <c r="M18" i="72"/>
  <c r="L18" i="72"/>
  <c r="K18" i="72"/>
  <c r="J18" i="72"/>
  <c r="I18" i="72"/>
  <c r="H18" i="72"/>
  <c r="AC16" i="72"/>
  <c r="AB16" i="72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AC15" i="72"/>
  <c r="AB15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AC14" i="72"/>
  <c r="AB14" i="72"/>
  <c r="AA14" i="72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AC13" i="72"/>
  <c r="AB13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AC12" i="72"/>
  <c r="AB12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AC10" i="72"/>
  <c r="AB10" i="72"/>
  <c r="AA10" i="72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K10" i="72"/>
  <c r="J10" i="72"/>
  <c r="I10" i="72"/>
  <c r="H10" i="72"/>
  <c r="AC9" i="72"/>
  <c r="AB9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AC8" i="72"/>
  <c r="AB8" i="72"/>
  <c r="AA8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G67" i="72"/>
  <c r="G66" i="72"/>
  <c r="G65" i="72"/>
  <c r="G64" i="72"/>
  <c r="G63" i="72"/>
  <c r="G62" i="72"/>
  <c r="G60" i="72"/>
  <c r="G59" i="72"/>
  <c r="G58" i="72"/>
  <c r="G57" i="72"/>
  <c r="G56" i="72"/>
  <c r="G54" i="72"/>
  <c r="G53" i="72"/>
  <c r="G52" i="72"/>
  <c r="G51" i="72"/>
  <c r="G50" i="72"/>
  <c r="G49" i="72"/>
  <c r="G47" i="72"/>
  <c r="G46" i="72"/>
  <c r="G45" i="72"/>
  <c r="G43" i="72"/>
  <c r="G42" i="72"/>
  <c r="G41" i="72"/>
  <c r="G40" i="72"/>
  <c r="G39" i="72"/>
  <c r="G38" i="72"/>
  <c r="G36" i="72"/>
  <c r="G35" i="72"/>
  <c r="G34" i="72"/>
  <c r="G33" i="72"/>
  <c r="G32" i="72"/>
  <c r="G30" i="72"/>
  <c r="G29" i="72"/>
  <c r="G28" i="72"/>
  <c r="G27" i="72"/>
  <c r="G26" i="72"/>
  <c r="G25" i="72"/>
  <c r="G24" i="72"/>
  <c r="G22" i="72"/>
  <c r="G21" i="72"/>
  <c r="G20" i="72"/>
  <c r="G19" i="72"/>
  <c r="G18" i="72"/>
  <c r="G16" i="72"/>
  <c r="G15" i="72"/>
  <c r="G14" i="72"/>
  <c r="G13" i="72"/>
  <c r="G12" i="72"/>
  <c r="G10" i="72"/>
  <c r="G9" i="72"/>
  <c r="G8" i="72"/>
  <c r="AC7" i="72"/>
  <c r="AA7" i="72"/>
  <c r="Y7" i="72"/>
  <c r="W7" i="72"/>
  <c r="U7" i="72"/>
  <c r="S7" i="72"/>
  <c r="Q7" i="72"/>
  <c r="O7" i="72"/>
  <c r="M7" i="72"/>
  <c r="K7" i="72"/>
  <c r="I7" i="72"/>
  <c r="G7" i="72"/>
  <c r="AB7" i="72"/>
  <c r="Z7" i="72"/>
  <c r="X7" i="72"/>
  <c r="V7" i="72"/>
  <c r="T7" i="72"/>
  <c r="R7" i="72"/>
  <c r="P7" i="72"/>
  <c r="N7" i="72"/>
  <c r="L7" i="72"/>
  <c r="J7" i="72"/>
  <c r="H7" i="72"/>
  <c r="F67" i="72"/>
  <c r="F66" i="72"/>
  <c r="F65" i="72"/>
  <c r="F64" i="72"/>
  <c r="F63" i="72"/>
  <c r="F62" i="72"/>
  <c r="F60" i="72"/>
  <c r="F59" i="72"/>
  <c r="F58" i="72"/>
  <c r="F57" i="72"/>
  <c r="F56" i="72"/>
  <c r="F54" i="72"/>
  <c r="F53" i="72"/>
  <c r="F52" i="72"/>
  <c r="F51" i="72"/>
  <c r="F50" i="72"/>
  <c r="F49" i="72"/>
  <c r="F47" i="72"/>
  <c r="F46" i="72"/>
  <c r="F45" i="72"/>
  <c r="F43" i="72"/>
  <c r="F42" i="72"/>
  <c r="F41" i="72"/>
  <c r="F40" i="72"/>
  <c r="F39" i="72"/>
  <c r="F38" i="72"/>
  <c r="F36" i="72"/>
  <c r="F35" i="72"/>
  <c r="F34" i="72"/>
  <c r="F33" i="72"/>
  <c r="F32" i="72"/>
  <c r="F30" i="72"/>
  <c r="F29" i="72"/>
  <c r="F28" i="72"/>
  <c r="F27" i="72"/>
  <c r="F26" i="72"/>
  <c r="F25" i="72"/>
  <c r="F24" i="72"/>
  <c r="F22" i="72"/>
  <c r="F21" i="72"/>
  <c r="F20" i="72"/>
  <c r="F19" i="72"/>
  <c r="F18" i="72"/>
  <c r="F16" i="72"/>
  <c r="F15" i="72"/>
  <c r="F14" i="72"/>
  <c r="F13" i="72"/>
  <c r="F12" i="72"/>
  <c r="F10" i="72"/>
  <c r="F9" i="72"/>
  <c r="F8" i="72"/>
  <c r="F7" i="72"/>
  <c r="F72" i="72"/>
  <c r="U7" i="76" l="1"/>
  <c r="T7" i="76"/>
  <c r="I45" i="70"/>
  <c r="I44" i="70"/>
  <c r="I43" i="70"/>
  <c r="K66" i="83" l="1"/>
  <c r="J66" i="83"/>
  <c r="I66" i="83"/>
  <c r="H66" i="83"/>
  <c r="K59" i="83"/>
  <c r="J59" i="83"/>
  <c r="I59" i="83"/>
  <c r="H59" i="83"/>
  <c r="K53" i="83"/>
  <c r="J53" i="83"/>
  <c r="I53" i="83"/>
  <c r="H53" i="83"/>
  <c r="K46" i="83"/>
  <c r="J46" i="83"/>
  <c r="I46" i="83"/>
  <c r="H46" i="83"/>
  <c r="K42" i="83"/>
  <c r="J42" i="83"/>
  <c r="I42" i="83"/>
  <c r="H42" i="83"/>
  <c r="K35" i="83"/>
  <c r="J35" i="83"/>
  <c r="I35" i="83"/>
  <c r="H35" i="83"/>
  <c r="K29" i="83"/>
  <c r="J29" i="83"/>
  <c r="I29" i="83"/>
  <c r="H29" i="83"/>
  <c r="K21" i="83"/>
  <c r="J21" i="83"/>
  <c r="I21" i="83"/>
  <c r="H21" i="83"/>
  <c r="K15" i="83"/>
  <c r="J15" i="83"/>
  <c r="I15" i="83"/>
  <c r="H15" i="83"/>
  <c r="K9" i="83"/>
  <c r="J9" i="83"/>
  <c r="I9" i="83"/>
  <c r="H9" i="83"/>
  <c r="G65" i="83" l="1"/>
  <c r="G64" i="83"/>
  <c r="G63" i="83"/>
  <c r="G62" i="83"/>
  <c r="G61" i="83"/>
  <c r="G60" i="83"/>
  <c r="G58" i="83"/>
  <c r="G57" i="83"/>
  <c r="G56" i="83"/>
  <c r="G55" i="83"/>
  <c r="G54" i="83"/>
  <c r="G52" i="83"/>
  <c r="G51" i="83"/>
  <c r="G50" i="83"/>
  <c r="G49" i="83"/>
  <c r="G48" i="83"/>
  <c r="G44" i="83"/>
  <c r="G43" i="83"/>
  <c r="G46" i="83" s="1"/>
  <c r="G41" i="83"/>
  <c r="G40" i="83"/>
  <c r="G39" i="83"/>
  <c r="G36" i="83"/>
  <c r="G34" i="83"/>
  <c r="G33" i="83"/>
  <c r="G32" i="83"/>
  <c r="G31" i="83"/>
  <c r="G30" i="83"/>
  <c r="G28" i="83"/>
  <c r="G25" i="83"/>
  <c r="G24" i="83"/>
  <c r="G23" i="83"/>
  <c r="G20" i="83"/>
  <c r="G19" i="83"/>
  <c r="G18" i="83"/>
  <c r="G17" i="83"/>
  <c r="G16" i="83"/>
  <c r="G21" i="83" s="1"/>
  <c r="G14" i="83"/>
  <c r="G13" i="83"/>
  <c r="G12" i="83"/>
  <c r="G11" i="83"/>
  <c r="G10" i="83"/>
  <c r="G8" i="83"/>
  <c r="G7" i="83"/>
  <c r="G6" i="83"/>
  <c r="I22" i="82" s="1"/>
  <c r="G67" i="83"/>
  <c r="G5" i="83"/>
  <c r="H68" i="83"/>
  <c r="F67" i="83"/>
  <c r="J68" i="83"/>
  <c r="I68" i="83"/>
  <c r="F6" i="83"/>
  <c r="G22" i="82" s="1"/>
  <c r="F7" i="83"/>
  <c r="F8" i="83"/>
  <c r="F10" i="83"/>
  <c r="F11" i="83"/>
  <c r="F12" i="83"/>
  <c r="F13" i="83"/>
  <c r="F14" i="83"/>
  <c r="F16" i="83"/>
  <c r="F17" i="83"/>
  <c r="F18" i="83"/>
  <c r="F19" i="83"/>
  <c r="F20" i="83"/>
  <c r="F22" i="83"/>
  <c r="F23" i="83"/>
  <c r="F24" i="83"/>
  <c r="F25" i="83"/>
  <c r="F26" i="83"/>
  <c r="F28" i="83"/>
  <c r="F30" i="83"/>
  <c r="F31" i="83"/>
  <c r="F32" i="83"/>
  <c r="F33" i="83"/>
  <c r="F34" i="83"/>
  <c r="F36" i="83"/>
  <c r="F37" i="83"/>
  <c r="F38" i="83"/>
  <c r="F39" i="83"/>
  <c r="F40" i="83"/>
  <c r="F41" i="83"/>
  <c r="F43" i="83"/>
  <c r="F44" i="83"/>
  <c r="F45" i="83"/>
  <c r="F47" i="83"/>
  <c r="F53" i="83" s="1"/>
  <c r="F48" i="83"/>
  <c r="F49" i="83"/>
  <c r="F50" i="83"/>
  <c r="F51" i="83"/>
  <c r="F52" i="83"/>
  <c r="F54" i="83"/>
  <c r="F55" i="83"/>
  <c r="F56" i="83"/>
  <c r="F57" i="83"/>
  <c r="F58" i="83"/>
  <c r="F60" i="83"/>
  <c r="F61" i="83"/>
  <c r="F62" i="83"/>
  <c r="F63" i="83"/>
  <c r="F64" i="83"/>
  <c r="F65" i="83"/>
  <c r="F5" i="83"/>
  <c r="K68" i="83"/>
  <c r="G59" i="83" l="1"/>
  <c r="G9" i="83"/>
  <c r="G42" i="83"/>
  <c r="F46" i="83"/>
  <c r="G29" i="83"/>
  <c r="F59" i="83"/>
  <c r="F15" i="83"/>
  <c r="G66" i="83"/>
  <c r="F9" i="83"/>
  <c r="G15" i="83"/>
  <c r="F35" i="83"/>
  <c r="F66" i="83"/>
  <c r="F21" i="83"/>
  <c r="F29" i="83"/>
  <c r="F68" i="83" s="1"/>
  <c r="G53" i="83"/>
  <c r="F42" i="83"/>
  <c r="G35" i="83"/>
  <c r="G68" i="83"/>
  <c r="AP65" i="77" l="1"/>
  <c r="U63" i="88"/>
  <c r="U62" i="88"/>
  <c r="U61" i="88"/>
  <c r="U60" i="88"/>
  <c r="U59" i="88"/>
  <c r="U58" i="88"/>
  <c r="U56" i="88"/>
  <c r="U55" i="88"/>
  <c r="U54" i="88"/>
  <c r="U53" i="88"/>
  <c r="U52" i="88"/>
  <c r="U50" i="88"/>
  <c r="U49" i="88"/>
  <c r="U48" i="88"/>
  <c r="U47" i="88"/>
  <c r="U46" i="88"/>
  <c r="U44" i="88"/>
  <c r="U43" i="88"/>
  <c r="U41" i="88"/>
  <c r="U40" i="88"/>
  <c r="U39" i="88"/>
  <c r="U38" i="88"/>
  <c r="U37" i="88"/>
  <c r="U35" i="88"/>
  <c r="U34" i="88"/>
  <c r="U33" i="88"/>
  <c r="U32" i="88"/>
  <c r="U31" i="88"/>
  <c r="U29" i="88"/>
  <c r="U28" i="88"/>
  <c r="U27" i="88"/>
  <c r="U26" i="88"/>
  <c r="U25" i="88"/>
  <c r="U24" i="88"/>
  <c r="U22" i="88"/>
  <c r="U21" i="88"/>
  <c r="U20" i="88"/>
  <c r="U19" i="88"/>
  <c r="U18" i="88"/>
  <c r="U16" i="88"/>
  <c r="U15" i="88"/>
  <c r="U14" i="88"/>
  <c r="U13" i="88"/>
  <c r="U12" i="88"/>
  <c r="U10" i="88"/>
  <c r="U9" i="88"/>
  <c r="U8" i="88"/>
  <c r="U7" i="88"/>
  <c r="R7" i="88"/>
  <c r="S65" i="88"/>
  <c r="V65" i="88"/>
  <c r="W65" i="88" s="1"/>
  <c r="V63" i="88"/>
  <c r="V62" i="88"/>
  <c r="V61" i="88"/>
  <c r="V60" i="88"/>
  <c r="V59" i="88"/>
  <c r="V58" i="88"/>
  <c r="V56" i="88"/>
  <c r="V55" i="88"/>
  <c r="V54" i="88"/>
  <c r="V53" i="88"/>
  <c r="V52" i="88"/>
  <c r="V50" i="88"/>
  <c r="V49" i="88"/>
  <c r="V48" i="88"/>
  <c r="V47" i="88"/>
  <c r="V46" i="88"/>
  <c r="V44" i="88"/>
  <c r="V43" i="88"/>
  <c r="V41" i="88"/>
  <c r="V40" i="88"/>
  <c r="V39" i="88"/>
  <c r="V38" i="88"/>
  <c r="V37" i="88"/>
  <c r="V35" i="88"/>
  <c r="V34" i="88"/>
  <c r="V33" i="88"/>
  <c r="V32" i="88"/>
  <c r="V31" i="88"/>
  <c r="V29" i="88"/>
  <c r="V28" i="88"/>
  <c r="V27" i="88"/>
  <c r="V26" i="88"/>
  <c r="V25" i="88"/>
  <c r="V24" i="88"/>
  <c r="V22" i="88"/>
  <c r="V21" i="88"/>
  <c r="V20" i="88"/>
  <c r="V19" i="88"/>
  <c r="V18" i="88"/>
  <c r="V16" i="88"/>
  <c r="V15" i="88"/>
  <c r="V14" i="88"/>
  <c r="V13" i="88"/>
  <c r="V12" i="88"/>
  <c r="V10" i="88"/>
  <c r="V9" i="88"/>
  <c r="V8" i="88"/>
  <c r="V7" i="88"/>
  <c r="U67" i="87"/>
  <c r="U66" i="87"/>
  <c r="U65" i="87"/>
  <c r="U64" i="87"/>
  <c r="U63" i="87"/>
  <c r="U62" i="87"/>
  <c r="U60" i="87"/>
  <c r="U59" i="87"/>
  <c r="U58" i="87"/>
  <c r="U57" i="87"/>
  <c r="U56" i="87"/>
  <c r="U54" i="87"/>
  <c r="U53" i="87"/>
  <c r="U52" i="87"/>
  <c r="U51" i="87"/>
  <c r="U50" i="87"/>
  <c r="U49" i="87"/>
  <c r="U47" i="87"/>
  <c r="U46" i="87"/>
  <c r="U45" i="87"/>
  <c r="U43" i="87"/>
  <c r="U42" i="87"/>
  <c r="U41" i="87"/>
  <c r="U40" i="87"/>
  <c r="U39" i="87"/>
  <c r="U38" i="87"/>
  <c r="U36" i="87"/>
  <c r="U35" i="87"/>
  <c r="U34" i="87"/>
  <c r="U33" i="87"/>
  <c r="U32" i="87"/>
  <c r="U30" i="87"/>
  <c r="U29" i="87"/>
  <c r="U28" i="87"/>
  <c r="U27" i="87"/>
  <c r="U26" i="87"/>
  <c r="U25" i="87"/>
  <c r="U24" i="87"/>
  <c r="U22" i="87"/>
  <c r="U21" i="87"/>
  <c r="U20" i="87"/>
  <c r="U19" i="87"/>
  <c r="U18" i="87"/>
  <c r="U16" i="87"/>
  <c r="U15" i="87"/>
  <c r="U14" i="87"/>
  <c r="U13" i="87"/>
  <c r="U12" i="87"/>
  <c r="U10" i="87"/>
  <c r="U9" i="87"/>
  <c r="U8" i="87"/>
  <c r="U7" i="87"/>
  <c r="V69" i="87"/>
  <c r="V67" i="87"/>
  <c r="V66" i="87"/>
  <c r="V65" i="87"/>
  <c r="V64" i="87"/>
  <c r="V63" i="87"/>
  <c r="V62" i="87"/>
  <c r="V60" i="87"/>
  <c r="V59" i="87"/>
  <c r="V58" i="87"/>
  <c r="V57" i="87"/>
  <c r="V56" i="87"/>
  <c r="V54" i="87"/>
  <c r="V53" i="87"/>
  <c r="V52" i="87"/>
  <c r="V51" i="87"/>
  <c r="V50" i="87"/>
  <c r="V49" i="87"/>
  <c r="V47" i="87"/>
  <c r="V46" i="87"/>
  <c r="V45" i="87"/>
  <c r="V43" i="87"/>
  <c r="V42" i="87"/>
  <c r="V41" i="87"/>
  <c r="V40" i="87"/>
  <c r="V39" i="87"/>
  <c r="V38" i="87"/>
  <c r="V36" i="87"/>
  <c r="V35" i="87"/>
  <c r="V34" i="87"/>
  <c r="V33" i="87"/>
  <c r="V32" i="87"/>
  <c r="V30" i="87"/>
  <c r="V29" i="87"/>
  <c r="V28" i="87"/>
  <c r="V27" i="87"/>
  <c r="V26" i="87"/>
  <c r="V25" i="87"/>
  <c r="V24" i="87"/>
  <c r="V22" i="87"/>
  <c r="V21" i="87"/>
  <c r="V20" i="87"/>
  <c r="V19" i="87"/>
  <c r="V18" i="87"/>
  <c r="V16" i="87"/>
  <c r="V15" i="87"/>
  <c r="V14" i="87"/>
  <c r="V13" i="87"/>
  <c r="V12" i="87"/>
  <c r="V10" i="87"/>
  <c r="V9" i="87"/>
  <c r="V8" i="87"/>
  <c r="V7" i="87"/>
  <c r="AR11" i="77" l="1"/>
  <c r="AS65" i="77"/>
  <c r="AU65" i="77"/>
  <c r="AQ65" i="77"/>
  <c r="AO65" i="77"/>
  <c r="AK69" i="73"/>
  <c r="AM69" i="73" s="1"/>
  <c r="AJ69" i="73"/>
  <c r="AO69" i="73" s="1"/>
  <c r="T65" i="88" l="1"/>
  <c r="AC57" i="76" l="1"/>
  <c r="AB57" i="76"/>
  <c r="AA57" i="76"/>
  <c r="Z57" i="76"/>
  <c r="Y57" i="76"/>
  <c r="X57" i="76"/>
  <c r="W57" i="76"/>
  <c r="V57" i="76"/>
  <c r="U57" i="76"/>
  <c r="T57" i="76"/>
  <c r="S57" i="76"/>
  <c r="R57" i="76"/>
  <c r="Q57" i="76"/>
  <c r="P57" i="76"/>
  <c r="Q51" i="76"/>
  <c r="P51" i="76"/>
  <c r="Q45" i="76"/>
  <c r="P45" i="76"/>
  <c r="Q42" i="76"/>
  <c r="P42" i="76"/>
  <c r="Q36" i="76"/>
  <c r="P36" i="76"/>
  <c r="Q30" i="76"/>
  <c r="P30" i="76"/>
  <c r="BG38" i="79" l="1"/>
  <c r="BD38" i="79"/>
  <c r="BA38" i="79"/>
  <c r="AY38" i="79"/>
  <c r="AW38" i="79"/>
  <c r="AZ38" i="79" s="1"/>
  <c r="AT38" i="79"/>
  <c r="AQ38" i="79"/>
  <c r="L38" i="79"/>
  <c r="N38" i="79" s="1"/>
  <c r="I38" i="79"/>
  <c r="K38" i="79" s="1"/>
  <c r="F38" i="79"/>
  <c r="S38" i="88"/>
  <c r="T38" i="88" s="1"/>
  <c r="P38" i="88"/>
  <c r="Q38" i="88" s="1"/>
  <c r="M38" i="88"/>
  <c r="N38" i="88" s="1"/>
  <c r="J38" i="88"/>
  <c r="K38" i="88" s="1"/>
  <c r="G38" i="88"/>
  <c r="H38" i="88" s="1"/>
  <c r="AA21" i="75"/>
  <c r="Z21" i="75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H21" i="75"/>
  <c r="G21" i="75"/>
  <c r="F21" i="75"/>
  <c r="E21" i="75"/>
  <c r="D21" i="75"/>
  <c r="AK21" i="75" s="1"/>
  <c r="DL38" i="77"/>
  <c r="DJ38" i="77"/>
  <c r="DE38" i="77"/>
  <c r="DC38" i="77"/>
  <c r="CX38" i="77"/>
  <c r="CV38" i="77"/>
  <c r="CQ38" i="77"/>
  <c r="CO38" i="77"/>
  <c r="CF38" i="77"/>
  <c r="CI38" i="77" s="1"/>
  <c r="CE38" i="77"/>
  <c r="CK38" i="77" s="1"/>
  <c r="BY38" i="77"/>
  <c r="CB38" i="77" s="1"/>
  <c r="BX38" i="77"/>
  <c r="CD38" i="77" s="1"/>
  <c r="BR38" i="77"/>
  <c r="BQ38" i="77"/>
  <c r="BW38" i="77" s="1"/>
  <c r="BK38" i="77"/>
  <c r="BN38" i="77" s="1"/>
  <c r="BJ38" i="77"/>
  <c r="BP38" i="77" s="1"/>
  <c r="BD38" i="77"/>
  <c r="BG38" i="77" s="1"/>
  <c r="BC38" i="77"/>
  <c r="BI38" i="77" s="1"/>
  <c r="AW38" i="77"/>
  <c r="AZ38" i="77" s="1"/>
  <c r="AV38" i="77"/>
  <c r="BB38" i="77" s="1"/>
  <c r="AU38" i="77"/>
  <c r="AP38" i="77"/>
  <c r="AO38" i="77"/>
  <c r="AN38" i="77"/>
  <c r="AI38" i="77"/>
  <c r="AH38" i="77"/>
  <c r="AB38" i="77"/>
  <c r="AA38" i="77"/>
  <c r="AG38" i="77" s="1"/>
  <c r="Z38" i="77"/>
  <c r="U38" i="77"/>
  <c r="T38" i="77"/>
  <c r="S38" i="77"/>
  <c r="N38" i="77"/>
  <c r="M38" i="77"/>
  <c r="G38" i="77"/>
  <c r="F38" i="77"/>
  <c r="L38" i="77" s="1"/>
  <c r="A38" i="77"/>
  <c r="A38" i="76" s="1"/>
  <c r="A38" i="79" s="1"/>
  <c r="AN36" i="74"/>
  <c r="AM36" i="74"/>
  <c r="AK36" i="74"/>
  <c r="AJ36" i="74"/>
  <c r="AH36" i="74"/>
  <c r="AG36" i="74"/>
  <c r="AE36" i="74"/>
  <c r="AD36" i="74"/>
  <c r="F40" i="74"/>
  <c r="A36" i="74"/>
  <c r="BG24" i="79"/>
  <c r="BD24" i="79"/>
  <c r="AT24" i="79"/>
  <c r="AQ24" i="79"/>
  <c r="L24" i="79"/>
  <c r="N24" i="79" s="1"/>
  <c r="I24" i="79"/>
  <c r="K24" i="79" s="1"/>
  <c r="F24" i="79"/>
  <c r="AM30" i="88"/>
  <c r="AN30" i="88"/>
  <c r="AK30" i="88"/>
  <c r="AL30" i="88" s="1"/>
  <c r="AJ30" i="88"/>
  <c r="AH30" i="88"/>
  <c r="AG30" i="88"/>
  <c r="AE30" i="88"/>
  <c r="AD30" i="88"/>
  <c r="AB30" i="88"/>
  <c r="AA30" i="88"/>
  <c r="Y30" i="88"/>
  <c r="X30" i="88"/>
  <c r="V30" i="88"/>
  <c r="U30" i="88"/>
  <c r="L30" i="88"/>
  <c r="I30" i="88"/>
  <c r="F30" i="88"/>
  <c r="BG24" i="88"/>
  <c r="BF24" i="88"/>
  <c r="BC24" i="88"/>
  <c r="AS24" i="88"/>
  <c r="AP24" i="88"/>
  <c r="AO24" i="88"/>
  <c r="W24" i="88"/>
  <c r="S24" i="88"/>
  <c r="T24" i="88" s="1"/>
  <c r="P24" i="88"/>
  <c r="Q24" i="88" s="1"/>
  <c r="M24" i="88"/>
  <c r="N24" i="88" s="1"/>
  <c r="J24" i="88"/>
  <c r="K24" i="88" s="1"/>
  <c r="G24" i="88"/>
  <c r="H24" i="88" s="1"/>
  <c r="AO24" i="76"/>
  <c r="AN24" i="76"/>
  <c r="AL24" i="76"/>
  <c r="AK24" i="76"/>
  <c r="AI24" i="76"/>
  <c r="AH24" i="76"/>
  <c r="AF24" i="76"/>
  <c r="AE24" i="76"/>
  <c r="CJ30" i="77"/>
  <c r="CH30" i="77"/>
  <c r="CC30" i="77"/>
  <c r="CA30" i="77"/>
  <c r="BV30" i="77"/>
  <c r="BT30" i="77"/>
  <c r="BO30" i="77"/>
  <c r="BM30" i="77"/>
  <c r="BH30" i="77"/>
  <c r="BF30" i="77"/>
  <c r="BA30" i="77"/>
  <c r="AY30" i="77"/>
  <c r="AT30" i="77"/>
  <c r="AR30" i="77"/>
  <c r="AM30" i="77"/>
  <c r="AK30" i="77"/>
  <c r="AF30" i="77"/>
  <c r="Y30" i="77"/>
  <c r="W30" i="77"/>
  <c r="R30" i="77"/>
  <c r="P30" i="77"/>
  <c r="K30" i="77"/>
  <c r="I30" i="77"/>
  <c r="DS24" i="77"/>
  <c r="DQ24" i="77"/>
  <c r="DL24" i="77"/>
  <c r="DJ24" i="77"/>
  <c r="DE24" i="77"/>
  <c r="DC24" i="77"/>
  <c r="CX24" i="77"/>
  <c r="CV24" i="77"/>
  <c r="CQ24" i="77"/>
  <c r="CO24" i="77"/>
  <c r="CF24" i="77"/>
  <c r="CE24" i="77"/>
  <c r="CK24" i="77" s="1"/>
  <c r="BY24" i="77"/>
  <c r="BX24" i="77"/>
  <c r="CD24" i="77" s="1"/>
  <c r="BR24" i="77"/>
  <c r="BU24" i="77" s="1"/>
  <c r="BQ24" i="77"/>
  <c r="BW24" i="77" s="1"/>
  <c r="BK24" i="77"/>
  <c r="BJ24" i="77"/>
  <c r="BP24" i="77" s="1"/>
  <c r="BD24" i="77"/>
  <c r="BC24" i="77"/>
  <c r="AW24" i="77"/>
  <c r="AV24" i="77"/>
  <c r="BB24" i="77" s="1"/>
  <c r="AP24" i="77"/>
  <c r="AO24" i="77"/>
  <c r="AN24" i="77"/>
  <c r="AI24" i="77"/>
  <c r="AJ24" i="77" s="1"/>
  <c r="AH24" i="77"/>
  <c r="AB24" i="77"/>
  <c r="AA24" i="77"/>
  <c r="AG24" i="77" s="1"/>
  <c r="U24" i="77"/>
  <c r="T24" i="77"/>
  <c r="Z24" i="77" s="1"/>
  <c r="N24" i="77"/>
  <c r="M24" i="77"/>
  <c r="G24" i="77"/>
  <c r="F24" i="77"/>
  <c r="A23" i="77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A22" i="74"/>
  <c r="A24" i="77" s="1"/>
  <c r="A24" i="76" s="1"/>
  <c r="A24" i="88" s="1"/>
  <c r="AN22" i="74"/>
  <c r="AM22" i="74"/>
  <c r="AK22" i="74"/>
  <c r="AJ22" i="74"/>
  <c r="AH22" i="74"/>
  <c r="AI22" i="74" s="1"/>
  <c r="AG22" i="74"/>
  <c r="AD22" i="74"/>
  <c r="AE22" i="74"/>
  <c r="AC28" i="74"/>
  <c r="AB28" i="74"/>
  <c r="AA28" i="74"/>
  <c r="Z28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L28" i="74"/>
  <c r="K28" i="74"/>
  <c r="J28" i="74"/>
  <c r="I28" i="74"/>
  <c r="H28" i="74"/>
  <c r="G28" i="74"/>
  <c r="F28" i="74"/>
  <c r="L35" i="82"/>
  <c r="R67" i="87"/>
  <c r="R66" i="87"/>
  <c r="R65" i="87"/>
  <c r="R64" i="87"/>
  <c r="R63" i="87"/>
  <c r="R62" i="87"/>
  <c r="R60" i="87"/>
  <c r="R59" i="87"/>
  <c r="R58" i="87"/>
  <c r="R57" i="87"/>
  <c r="R56" i="87"/>
  <c r="R54" i="87"/>
  <c r="R53" i="87"/>
  <c r="R52" i="87"/>
  <c r="R51" i="87"/>
  <c r="R50" i="87"/>
  <c r="R49" i="87"/>
  <c r="R47" i="87"/>
  <c r="R46" i="87"/>
  <c r="R45" i="87"/>
  <c r="R43" i="87"/>
  <c r="R42" i="87"/>
  <c r="R41" i="87"/>
  <c r="R40" i="87"/>
  <c r="R39" i="87"/>
  <c r="R38" i="87"/>
  <c r="R36" i="87"/>
  <c r="R35" i="87"/>
  <c r="R34" i="87"/>
  <c r="R33" i="87"/>
  <c r="R32" i="87"/>
  <c r="R30" i="87"/>
  <c r="R29" i="87"/>
  <c r="R28" i="87"/>
  <c r="R27" i="87"/>
  <c r="R26" i="87"/>
  <c r="R25" i="87"/>
  <c r="R24" i="87"/>
  <c r="R22" i="87"/>
  <c r="R21" i="87"/>
  <c r="R20" i="87"/>
  <c r="R19" i="87"/>
  <c r="R18" i="87"/>
  <c r="R16" i="87"/>
  <c r="R15" i="87"/>
  <c r="R14" i="87"/>
  <c r="R13" i="87"/>
  <c r="R12" i="87"/>
  <c r="R10" i="87"/>
  <c r="R9" i="87"/>
  <c r="R8" i="87"/>
  <c r="R7" i="87"/>
  <c r="AL36" i="74" l="1"/>
  <c r="AI30" i="88"/>
  <c r="BC38" i="79"/>
  <c r="BE38" i="79" s="1"/>
  <c r="AI36" i="74"/>
  <c r="BS38" i="77"/>
  <c r="AH21" i="75"/>
  <c r="AH9" i="75"/>
  <c r="AI21" i="75"/>
  <c r="AF36" i="74"/>
  <c r="AC21" i="75"/>
  <c r="AO36" i="74"/>
  <c r="DH38" i="77"/>
  <c r="DK38" i="77" s="1"/>
  <c r="AM24" i="76"/>
  <c r="AJ24" i="76"/>
  <c r="AG24" i="76"/>
  <c r="AQ38" i="77"/>
  <c r="CZ38" i="77"/>
  <c r="DF38" i="77" s="1"/>
  <c r="V38" i="77"/>
  <c r="X38" i="77"/>
  <c r="AS38" i="77"/>
  <c r="DA38" i="77"/>
  <c r="DG38" i="77"/>
  <c r="DM38" i="77" s="1"/>
  <c r="AC38" i="77"/>
  <c r="CM38" i="77"/>
  <c r="CP38" i="77" s="1"/>
  <c r="J38" i="77"/>
  <c r="AE38" i="77"/>
  <c r="H38" i="77"/>
  <c r="AJ38" i="77"/>
  <c r="CS38" i="77"/>
  <c r="CY38" i="77" s="1"/>
  <c r="CL38" i="77"/>
  <c r="CR38" i="77" s="1"/>
  <c r="O38" i="77"/>
  <c r="Q38" i="77"/>
  <c r="AL38" i="77"/>
  <c r="AP38" i="79"/>
  <c r="AR38" i="79" s="1"/>
  <c r="AV38" i="79"/>
  <c r="AX38" i="79" s="1"/>
  <c r="H38" i="79"/>
  <c r="BF38" i="79"/>
  <c r="BH38" i="79" s="1"/>
  <c r="AS38" i="79"/>
  <c r="AU38" i="79" s="1"/>
  <c r="AB21" i="75"/>
  <c r="AE21" i="75"/>
  <c r="AF21" i="75"/>
  <c r="AL21" i="75"/>
  <c r="AM21" i="75" s="1"/>
  <c r="CG38" i="77"/>
  <c r="BZ38" i="77"/>
  <c r="BU38" i="77"/>
  <c r="BL38" i="77"/>
  <c r="BE38" i="77"/>
  <c r="AX38" i="77"/>
  <c r="A38" i="88"/>
  <c r="BH24" i="88"/>
  <c r="AP24" i="76"/>
  <c r="O24" i="77"/>
  <c r="V24" i="77"/>
  <c r="AS24" i="79"/>
  <c r="AU24" i="79" s="1"/>
  <c r="CS24" i="77"/>
  <c r="CY24" i="77" s="1"/>
  <c r="AB9" i="75"/>
  <c r="AC9" i="75"/>
  <c r="H24" i="77"/>
  <c r="BZ24" i="77"/>
  <c r="AQ24" i="77"/>
  <c r="CG24" i="77"/>
  <c r="DN24" i="77"/>
  <c r="DT24" i="77" s="1"/>
  <c r="X24" i="77"/>
  <c r="BE24" i="77"/>
  <c r="AI9" i="75"/>
  <c r="BI24" i="77"/>
  <c r="CM24" i="77"/>
  <c r="AE9" i="75"/>
  <c r="L24" i="77"/>
  <c r="AS24" i="77"/>
  <c r="AK9" i="75"/>
  <c r="Q24" i="77"/>
  <c r="AX24" i="77"/>
  <c r="BG24" i="77"/>
  <c r="AQ24" i="88"/>
  <c r="AP24" i="79"/>
  <c r="AF9" i="75"/>
  <c r="AC24" i="77"/>
  <c r="AU24" i="77"/>
  <c r="DG24" i="77"/>
  <c r="DM24" i="77" s="1"/>
  <c r="AC30" i="88"/>
  <c r="AL9" i="75"/>
  <c r="S24" i="77"/>
  <c r="AZ24" i="77"/>
  <c r="BC24" i="79"/>
  <c r="BE24" i="79" s="1"/>
  <c r="DA24" i="77"/>
  <c r="DD24" i="77" s="1"/>
  <c r="BL24" i="77"/>
  <c r="H24" i="79"/>
  <c r="AL24" i="77"/>
  <c r="DO24" i="77"/>
  <c r="DR24" i="77" s="1"/>
  <c r="J24" i="77"/>
  <c r="BF24" i="79"/>
  <c r="CZ24" i="77"/>
  <c r="DF24" i="77" s="1"/>
  <c r="W30" i="88"/>
  <c r="AE24" i="77"/>
  <c r="DH24" i="77"/>
  <c r="CL24" i="77"/>
  <c r="AT24" i="88"/>
  <c r="Z30" i="88"/>
  <c r="BN24" i="77"/>
  <c r="BD24" i="88"/>
  <c r="BE24" i="88" s="1"/>
  <c r="AF30" i="88"/>
  <c r="AO30" i="88"/>
  <c r="CB24" i="77"/>
  <c r="CI24" i="77"/>
  <c r="BS24" i="77"/>
  <c r="AO22" i="74"/>
  <c r="AL22" i="74"/>
  <c r="AF22" i="74"/>
  <c r="S63" i="88"/>
  <c r="S62" i="88"/>
  <c r="S61" i="88"/>
  <c r="S60" i="88"/>
  <c r="S59" i="88"/>
  <c r="S58" i="88"/>
  <c r="S56" i="88"/>
  <c r="S55" i="88"/>
  <c r="S54" i="88"/>
  <c r="S53" i="88"/>
  <c r="S52" i="88"/>
  <c r="S50" i="88"/>
  <c r="S49" i="88"/>
  <c r="S48" i="88"/>
  <c r="S47" i="88"/>
  <c r="S46" i="88"/>
  <c r="S44" i="88"/>
  <c r="S43" i="88"/>
  <c r="S41" i="88"/>
  <c r="S40" i="88"/>
  <c r="S39" i="88"/>
  <c r="S37" i="88"/>
  <c r="S35" i="88"/>
  <c r="S34" i="88"/>
  <c r="S33" i="88"/>
  <c r="S32" i="88"/>
  <c r="S31" i="88"/>
  <c r="S29" i="88"/>
  <c r="S28" i="88"/>
  <c r="S27" i="88"/>
  <c r="S26" i="88"/>
  <c r="S25" i="88"/>
  <c r="S22" i="88"/>
  <c r="S21" i="88"/>
  <c r="S20" i="88"/>
  <c r="S19" i="88"/>
  <c r="S18" i="88"/>
  <c r="S16" i="88"/>
  <c r="S15" i="88"/>
  <c r="S14" i="88"/>
  <c r="S13" i="88"/>
  <c r="S12" i="88"/>
  <c r="S10" i="88"/>
  <c r="S9" i="88"/>
  <c r="S8" i="88"/>
  <c r="S7" i="88"/>
  <c r="S69" i="87"/>
  <c r="S67" i="87"/>
  <c r="S66" i="87"/>
  <c r="S65" i="87"/>
  <c r="S64" i="87"/>
  <c r="S63" i="87"/>
  <c r="S62" i="87"/>
  <c r="S60" i="87"/>
  <c r="S59" i="87"/>
  <c r="S58" i="87"/>
  <c r="S57" i="87"/>
  <c r="S56" i="87"/>
  <c r="S54" i="87"/>
  <c r="S53" i="87"/>
  <c r="S52" i="87"/>
  <c r="S51" i="87"/>
  <c r="S50" i="87"/>
  <c r="S49" i="87"/>
  <c r="S47" i="87"/>
  <c r="S46" i="87"/>
  <c r="S45" i="87"/>
  <c r="S43" i="87"/>
  <c r="S42" i="87"/>
  <c r="S41" i="87"/>
  <c r="S40" i="87"/>
  <c r="S39" i="87"/>
  <c r="S38" i="87"/>
  <c r="S36" i="87"/>
  <c r="S35" i="87"/>
  <c r="S34" i="87"/>
  <c r="S33" i="87"/>
  <c r="S32" i="87"/>
  <c r="S30" i="87"/>
  <c r="S29" i="87"/>
  <c r="S28" i="87"/>
  <c r="S27" i="87"/>
  <c r="S26" i="87"/>
  <c r="S25" i="87"/>
  <c r="S24" i="87"/>
  <c r="S22" i="87"/>
  <c r="S21" i="87"/>
  <c r="S20" i="87"/>
  <c r="S19" i="87"/>
  <c r="S18" i="87"/>
  <c r="S16" i="87"/>
  <c r="S15" i="87"/>
  <c r="S14" i="87"/>
  <c r="S13" i="87"/>
  <c r="S12" i="87"/>
  <c r="S10" i="87"/>
  <c r="S9" i="87"/>
  <c r="S8" i="87"/>
  <c r="S7" i="87"/>
  <c r="AH65" i="77"/>
  <c r="AN65" i="77" s="1"/>
  <c r="AI65" i="77"/>
  <c r="AL65" i="77" s="1"/>
  <c r="AJ9" i="75" l="1"/>
  <c r="AJ21" i="75"/>
  <c r="AG21" i="75"/>
  <c r="BB38" i="79"/>
  <c r="AD21" i="75"/>
  <c r="AD9" i="75"/>
  <c r="CN38" i="77"/>
  <c r="DI38" i="77"/>
  <c r="DB38" i="77"/>
  <c r="DD38" i="77"/>
  <c r="DB24" i="77"/>
  <c r="DP24" i="77"/>
  <c r="AM9" i="75"/>
  <c r="S30" i="88"/>
  <c r="AU24" i="88"/>
  <c r="CN24" i="77"/>
  <c r="CP24" i="77"/>
  <c r="CR24" i="77"/>
  <c r="AG9" i="75"/>
  <c r="AR24" i="79"/>
  <c r="BH24" i="79"/>
  <c r="AR24" i="88"/>
  <c r="DI24" i="77"/>
  <c r="DK24" i="77"/>
  <c r="AJ65" i="77"/>
  <c r="AE69" i="73" l="1"/>
  <c r="AG69" i="73" s="1"/>
  <c r="AD69" i="73"/>
  <c r="AI69" i="73" s="1"/>
  <c r="P65" i="88"/>
  <c r="P61" i="88"/>
  <c r="P8" i="88"/>
  <c r="O15" i="88"/>
  <c r="R15" i="88" s="1"/>
  <c r="O63" i="88"/>
  <c r="R63" i="88" s="1"/>
  <c r="O62" i="88"/>
  <c r="R62" i="88" s="1"/>
  <c r="O61" i="88"/>
  <c r="R61" i="88" s="1"/>
  <c r="O60" i="88"/>
  <c r="R60" i="88" s="1"/>
  <c r="O59" i="88"/>
  <c r="R59" i="88" s="1"/>
  <c r="O58" i="88"/>
  <c r="R58" i="88" s="1"/>
  <c r="O56" i="88"/>
  <c r="R56" i="88" s="1"/>
  <c r="O55" i="88"/>
  <c r="R55" i="88" s="1"/>
  <c r="O54" i="88"/>
  <c r="R54" i="88" s="1"/>
  <c r="O53" i="88"/>
  <c r="R53" i="88" s="1"/>
  <c r="O52" i="88"/>
  <c r="R52" i="88" s="1"/>
  <c r="O50" i="88"/>
  <c r="R50" i="88" s="1"/>
  <c r="O49" i="88"/>
  <c r="R49" i="88" s="1"/>
  <c r="O48" i="88"/>
  <c r="R48" i="88" s="1"/>
  <c r="O47" i="88"/>
  <c r="R47" i="88" s="1"/>
  <c r="O46" i="88"/>
  <c r="R46" i="88" s="1"/>
  <c r="O44" i="88"/>
  <c r="R44" i="88" s="1"/>
  <c r="O43" i="88"/>
  <c r="R43" i="88" s="1"/>
  <c r="O41" i="88"/>
  <c r="R41" i="88" s="1"/>
  <c r="O40" i="88"/>
  <c r="R40" i="88" s="1"/>
  <c r="O39" i="88"/>
  <c r="R39" i="88" s="1"/>
  <c r="O37" i="88"/>
  <c r="R37" i="88" s="1"/>
  <c r="O35" i="88"/>
  <c r="R35" i="88" s="1"/>
  <c r="O34" i="88"/>
  <c r="R34" i="88" s="1"/>
  <c r="O33" i="88"/>
  <c r="R33" i="88" s="1"/>
  <c r="O32" i="88"/>
  <c r="R32" i="88" s="1"/>
  <c r="O31" i="88"/>
  <c r="R31" i="88" s="1"/>
  <c r="O29" i="88"/>
  <c r="R29" i="88" s="1"/>
  <c r="O28" i="88"/>
  <c r="R28" i="88" s="1"/>
  <c r="O27" i="88"/>
  <c r="R27" i="88" s="1"/>
  <c r="O26" i="88"/>
  <c r="R26" i="88" s="1"/>
  <c r="O25" i="88"/>
  <c r="O16" i="88"/>
  <c r="R16" i="88" s="1"/>
  <c r="O14" i="88"/>
  <c r="R14" i="88" s="1"/>
  <c r="O13" i="88"/>
  <c r="R13" i="88" s="1"/>
  <c r="O12" i="88"/>
  <c r="R12" i="88" s="1"/>
  <c r="O10" i="88"/>
  <c r="R10" i="88" s="1"/>
  <c r="O9" i="88"/>
  <c r="R9" i="88" s="1"/>
  <c r="O8" i="88"/>
  <c r="R8" i="88" s="1"/>
  <c r="O7" i="88"/>
  <c r="O67" i="87"/>
  <c r="O66" i="87"/>
  <c r="O65" i="87"/>
  <c r="O64" i="87"/>
  <c r="O63" i="87"/>
  <c r="O62" i="87"/>
  <c r="O60" i="87"/>
  <c r="O59" i="87"/>
  <c r="O58" i="87"/>
  <c r="O57" i="87"/>
  <c r="O56" i="87"/>
  <c r="O54" i="87"/>
  <c r="O53" i="87"/>
  <c r="O52" i="87"/>
  <c r="O51" i="87"/>
  <c r="O50" i="87"/>
  <c r="O49" i="87"/>
  <c r="O47" i="87"/>
  <c r="O46" i="87"/>
  <c r="O45" i="87"/>
  <c r="O43" i="87"/>
  <c r="O42" i="87"/>
  <c r="O41" i="87"/>
  <c r="O40" i="87"/>
  <c r="O39" i="87"/>
  <c r="O38" i="87"/>
  <c r="O36" i="87"/>
  <c r="O35" i="87"/>
  <c r="O34" i="87"/>
  <c r="O33" i="87"/>
  <c r="O32" i="87"/>
  <c r="O30" i="87"/>
  <c r="O29" i="87"/>
  <c r="O28" i="87"/>
  <c r="O27" i="87"/>
  <c r="O26" i="87"/>
  <c r="O25" i="87"/>
  <c r="O24" i="87"/>
  <c r="O22" i="87"/>
  <c r="O21" i="87"/>
  <c r="O20" i="87"/>
  <c r="O19" i="87"/>
  <c r="O18" i="87"/>
  <c r="O16" i="87"/>
  <c r="O15" i="87"/>
  <c r="O14" i="87"/>
  <c r="O13" i="87"/>
  <c r="O12" i="87"/>
  <c r="O10" i="87"/>
  <c r="O9" i="87"/>
  <c r="O8" i="87"/>
  <c r="O7" i="87"/>
  <c r="R25" i="88" l="1"/>
  <c r="R30" i="88" s="1"/>
  <c r="T30" i="88" s="1"/>
  <c r="O30" i="88"/>
  <c r="X69" i="73"/>
  <c r="AC69" i="73" s="1"/>
  <c r="Y69" i="73"/>
  <c r="AA69" i="73" s="1"/>
  <c r="AB65" i="77"/>
  <c r="AA65" i="77"/>
  <c r="AG65" i="77" s="1"/>
  <c r="AC65" i="77" l="1"/>
  <c r="AE65" i="77"/>
  <c r="AD30" i="77"/>
  <c r="P30" i="87" l="1"/>
  <c r="P8" i="87"/>
  <c r="P63" i="88" l="1"/>
  <c r="P62" i="88"/>
  <c r="P60" i="88"/>
  <c r="P59" i="88"/>
  <c r="P58" i="88"/>
  <c r="P56" i="88"/>
  <c r="P55" i="88"/>
  <c r="P54" i="88"/>
  <c r="P53" i="88"/>
  <c r="P52" i="88"/>
  <c r="P50" i="88"/>
  <c r="P49" i="88"/>
  <c r="P48" i="88"/>
  <c r="P47" i="88"/>
  <c r="P46" i="88"/>
  <c r="P44" i="88"/>
  <c r="P43" i="88"/>
  <c r="P41" i="88"/>
  <c r="P40" i="88"/>
  <c r="P39" i="88"/>
  <c r="P37" i="88"/>
  <c r="P35" i="88"/>
  <c r="P34" i="88"/>
  <c r="P33" i="88"/>
  <c r="P32" i="88"/>
  <c r="P31" i="88"/>
  <c r="P29" i="88"/>
  <c r="P28" i="88"/>
  <c r="P27" i="88"/>
  <c r="P26" i="88"/>
  <c r="P22" i="88"/>
  <c r="P21" i="88"/>
  <c r="P20" i="88"/>
  <c r="P19" i="88"/>
  <c r="P18" i="88"/>
  <c r="P16" i="88"/>
  <c r="P15" i="88"/>
  <c r="P14" i="88"/>
  <c r="P13" i="88"/>
  <c r="P12" i="88"/>
  <c r="P10" i="88"/>
  <c r="P9" i="88"/>
  <c r="P7" i="88"/>
  <c r="P25" i="88" l="1"/>
  <c r="P30" i="88" s="1"/>
  <c r="Q30" i="88" s="1"/>
  <c r="M28" i="74"/>
  <c r="P67" i="87"/>
  <c r="P66" i="87"/>
  <c r="P65" i="87"/>
  <c r="P64" i="87"/>
  <c r="P63" i="87"/>
  <c r="P62" i="87"/>
  <c r="P60" i="87"/>
  <c r="P59" i="87"/>
  <c r="P58" i="87"/>
  <c r="P57" i="87"/>
  <c r="P56" i="87"/>
  <c r="P54" i="87"/>
  <c r="P53" i="87"/>
  <c r="P52" i="87"/>
  <c r="P51" i="87"/>
  <c r="P50" i="87"/>
  <c r="P49" i="87"/>
  <c r="P47" i="87"/>
  <c r="P46" i="87"/>
  <c r="P45" i="87"/>
  <c r="P43" i="87"/>
  <c r="P42" i="87"/>
  <c r="P41" i="87"/>
  <c r="P40" i="87"/>
  <c r="P39" i="87"/>
  <c r="P38" i="87"/>
  <c r="P36" i="87"/>
  <c r="P35" i="87"/>
  <c r="P34" i="87"/>
  <c r="P33" i="87"/>
  <c r="P29" i="87"/>
  <c r="P28" i="87"/>
  <c r="P27" i="87"/>
  <c r="P26" i="87"/>
  <c r="P25" i="87"/>
  <c r="P24" i="87"/>
  <c r="P22" i="87"/>
  <c r="P21" i="87"/>
  <c r="P20" i="87"/>
  <c r="P19" i="87"/>
  <c r="P18" i="87"/>
  <c r="P16" i="87"/>
  <c r="P15" i="87"/>
  <c r="P14" i="87"/>
  <c r="P13" i="87"/>
  <c r="P12" i="87"/>
  <c r="P10" i="87"/>
  <c r="P9" i="87"/>
  <c r="P7" i="87"/>
  <c r="F37" i="82"/>
  <c r="F36" i="82"/>
  <c r="F35" i="82"/>
  <c r="I37" i="82"/>
  <c r="I35" i="82" a="1"/>
  <c r="I35" i="82" s="1"/>
  <c r="G35" i="82" a="1"/>
  <c r="G35" i="82" s="1"/>
  <c r="P32" i="87" l="1"/>
  <c r="M35" i="70"/>
  <c r="F22" i="88"/>
  <c r="O22" i="88" s="1"/>
  <c r="R22" i="88" s="1"/>
  <c r="F21" i="88"/>
  <c r="O21" i="88" s="1"/>
  <c r="R21" i="88" s="1"/>
  <c r="F20" i="88"/>
  <c r="O20" i="88" s="1"/>
  <c r="R20" i="88" s="1"/>
  <c r="F19" i="88"/>
  <c r="O19" i="88" s="1"/>
  <c r="R19" i="88" s="1"/>
  <c r="F18" i="88"/>
  <c r="O18" i="88" s="1"/>
  <c r="R18" i="88" s="1"/>
  <c r="M65" i="88" l="1"/>
  <c r="J65" i="88"/>
  <c r="M63" i="88"/>
  <c r="M62" i="88"/>
  <c r="M61" i="88"/>
  <c r="M60" i="88"/>
  <c r="M59" i="88"/>
  <c r="M58" i="88"/>
  <c r="M56" i="88"/>
  <c r="M55" i="88"/>
  <c r="M54" i="88"/>
  <c r="M53" i="88"/>
  <c r="M52" i="88"/>
  <c r="M50" i="88"/>
  <c r="M49" i="88"/>
  <c r="M48" i="88"/>
  <c r="M47" i="88"/>
  <c r="M46" i="88"/>
  <c r="M44" i="88"/>
  <c r="M43" i="88"/>
  <c r="M41" i="88"/>
  <c r="M40" i="88"/>
  <c r="M39" i="88"/>
  <c r="M37" i="88"/>
  <c r="M35" i="88"/>
  <c r="M34" i="88"/>
  <c r="M33" i="88"/>
  <c r="M32" i="88"/>
  <c r="M31" i="88"/>
  <c r="M29" i="88"/>
  <c r="M28" i="88"/>
  <c r="M27" i="88"/>
  <c r="M26" i="88"/>
  <c r="M25" i="88"/>
  <c r="M22" i="88"/>
  <c r="M21" i="88"/>
  <c r="M20" i="88"/>
  <c r="M19" i="88"/>
  <c r="M18" i="88"/>
  <c r="M16" i="88"/>
  <c r="M15" i="88"/>
  <c r="M14" i="88"/>
  <c r="M13" i="88"/>
  <c r="M12" i="88"/>
  <c r="M10" i="88"/>
  <c r="M9" i="88"/>
  <c r="M8" i="88"/>
  <c r="M7" i="88"/>
  <c r="U10" i="77"/>
  <c r="U9" i="77"/>
  <c r="U8" i="77"/>
  <c r="U7" i="77"/>
  <c r="U12" i="77"/>
  <c r="J63" i="88"/>
  <c r="J62" i="88"/>
  <c r="J61" i="88"/>
  <c r="J60" i="88"/>
  <c r="J59" i="88"/>
  <c r="J58" i="88"/>
  <c r="J56" i="88"/>
  <c r="J55" i="88"/>
  <c r="J54" i="88"/>
  <c r="J53" i="88"/>
  <c r="J52" i="88"/>
  <c r="J50" i="88"/>
  <c r="J49" i="88"/>
  <c r="J48" i="88"/>
  <c r="J47" i="88"/>
  <c r="J46" i="88"/>
  <c r="J44" i="88"/>
  <c r="J43" i="88"/>
  <c r="J41" i="88"/>
  <c r="J40" i="88"/>
  <c r="J39" i="88"/>
  <c r="J37" i="88"/>
  <c r="J35" i="88"/>
  <c r="J34" i="88"/>
  <c r="J33" i="88"/>
  <c r="J32" i="88"/>
  <c r="J31" i="88"/>
  <c r="J29" i="88"/>
  <c r="J28" i="88"/>
  <c r="J27" i="88"/>
  <c r="J26" i="88"/>
  <c r="J25" i="88"/>
  <c r="J22" i="88"/>
  <c r="J21" i="88"/>
  <c r="J20" i="88"/>
  <c r="J19" i="88"/>
  <c r="J18" i="88"/>
  <c r="J16" i="88"/>
  <c r="J15" i="88"/>
  <c r="J14" i="88"/>
  <c r="J13" i="88"/>
  <c r="J12" i="88"/>
  <c r="J10" i="88"/>
  <c r="J9" i="88"/>
  <c r="J8" i="88"/>
  <c r="J7" i="88"/>
  <c r="G65" i="88"/>
  <c r="G63" i="88"/>
  <c r="G62" i="88"/>
  <c r="G61" i="88"/>
  <c r="G60" i="88"/>
  <c r="G59" i="88"/>
  <c r="G58" i="88"/>
  <c r="G56" i="88"/>
  <c r="G55" i="88"/>
  <c r="G54" i="88"/>
  <c r="G53" i="88"/>
  <c r="G52" i="88"/>
  <c r="G50" i="88"/>
  <c r="G49" i="88"/>
  <c r="G48" i="88"/>
  <c r="G47" i="88"/>
  <c r="G46" i="88"/>
  <c r="G44" i="88"/>
  <c r="G43" i="88"/>
  <c r="G41" i="88"/>
  <c r="G40" i="88"/>
  <c r="G39" i="88"/>
  <c r="G37" i="88"/>
  <c r="G35" i="88"/>
  <c r="G34" i="88"/>
  <c r="G33" i="88"/>
  <c r="G32" i="88"/>
  <c r="G31" i="88"/>
  <c r="G29" i="88"/>
  <c r="G28" i="88"/>
  <c r="G27" i="88"/>
  <c r="G26" i="88"/>
  <c r="G25" i="88"/>
  <c r="G22" i="88"/>
  <c r="G21" i="88"/>
  <c r="G20" i="88"/>
  <c r="G19" i="88"/>
  <c r="G18" i="88"/>
  <c r="G16" i="88"/>
  <c r="G15" i="88"/>
  <c r="G14" i="88"/>
  <c r="G13" i="88"/>
  <c r="G12" i="88"/>
  <c r="G10" i="88"/>
  <c r="G9" i="88"/>
  <c r="G8" i="88"/>
  <c r="G7" i="88"/>
  <c r="G30" i="88" l="1"/>
  <c r="M30" i="88"/>
  <c r="N30" i="88" s="1"/>
  <c r="J30" i="88"/>
  <c r="K30" i="88" s="1"/>
  <c r="U76" i="88"/>
  <c r="R77" i="88" s="1"/>
  <c r="BA66" i="88"/>
  <c r="BG65" i="88"/>
  <c r="BD65" i="88"/>
  <c r="AT65" i="88"/>
  <c r="AQ65" i="88"/>
  <c r="X65" i="88"/>
  <c r="Z65" i="88" s="1"/>
  <c r="U65" i="88"/>
  <c r="R65" i="88"/>
  <c r="O65" i="88"/>
  <c r="N65" i="88"/>
  <c r="K65" i="88"/>
  <c r="H65" i="88"/>
  <c r="BA64" i="88"/>
  <c r="AN64" i="88"/>
  <c r="AK64" i="88"/>
  <c r="AH64" i="88"/>
  <c r="AE64" i="88"/>
  <c r="AB64" i="88"/>
  <c r="Y64" i="88"/>
  <c r="V64" i="88"/>
  <c r="S64" i="88"/>
  <c r="P64" i="88"/>
  <c r="M64" i="88"/>
  <c r="J64" i="88"/>
  <c r="G64" i="88"/>
  <c r="BG63" i="88"/>
  <c r="BD63" i="88"/>
  <c r="BA63" i="88"/>
  <c r="AY63" i="88"/>
  <c r="AW63" i="88"/>
  <c r="AT63" i="88"/>
  <c r="AQ63" i="88"/>
  <c r="AO63" i="88"/>
  <c r="T63" i="88"/>
  <c r="Q63" i="88"/>
  <c r="N63" i="88"/>
  <c r="K63" i="88"/>
  <c r="BG62" i="88"/>
  <c r="BD62" i="88"/>
  <c r="BA62" i="88"/>
  <c r="AY62" i="88"/>
  <c r="AW62" i="88"/>
  <c r="AV62" i="88"/>
  <c r="AT62" i="88"/>
  <c r="AQ62" i="88"/>
  <c r="AO62" i="88"/>
  <c r="W62" i="88"/>
  <c r="T62" i="88"/>
  <c r="N62" i="88"/>
  <c r="K62" i="88"/>
  <c r="BG61" i="88"/>
  <c r="BD61" i="88"/>
  <c r="BA61" i="88"/>
  <c r="AY61" i="88"/>
  <c r="AW61" i="88"/>
  <c r="AT61" i="88"/>
  <c r="AQ61" i="88"/>
  <c r="AO61" i="88"/>
  <c r="W61" i="88"/>
  <c r="T61" i="88"/>
  <c r="Q61" i="88"/>
  <c r="AV61" i="88"/>
  <c r="K61" i="88"/>
  <c r="AP61" i="88"/>
  <c r="BG60" i="88"/>
  <c r="BD60" i="88"/>
  <c r="BA60" i="88"/>
  <c r="AY60" i="88"/>
  <c r="AW60" i="88"/>
  <c r="AT60" i="88"/>
  <c r="AQ60" i="88"/>
  <c r="AO60" i="88"/>
  <c r="BF60" i="88"/>
  <c r="W60" i="88"/>
  <c r="T60" i="88"/>
  <c r="Q60" i="88"/>
  <c r="N60" i="88"/>
  <c r="K60" i="88"/>
  <c r="BG59" i="88"/>
  <c r="BD59" i="88"/>
  <c r="BA59" i="88"/>
  <c r="AY59" i="88"/>
  <c r="AW59" i="88"/>
  <c r="AV59" i="88"/>
  <c r="AT59" i="88"/>
  <c r="AQ59" i="88"/>
  <c r="AO59" i="88"/>
  <c r="W59" i="88"/>
  <c r="T59" i="88"/>
  <c r="Q59" i="88"/>
  <c r="N59" i="88"/>
  <c r="H59" i="88"/>
  <c r="BG58" i="88"/>
  <c r="BD58" i="88"/>
  <c r="BA58" i="88"/>
  <c r="AY58" i="88"/>
  <c r="AW58" i="88"/>
  <c r="AT58" i="88"/>
  <c r="AQ58" i="88"/>
  <c r="AO58" i="88"/>
  <c r="W58" i="88"/>
  <c r="T58" i="88"/>
  <c r="BA57" i="88"/>
  <c r="AN57" i="88"/>
  <c r="AK57" i="88"/>
  <c r="AJ57" i="88"/>
  <c r="AH57" i="88"/>
  <c r="AE57" i="88"/>
  <c r="AB57" i="88"/>
  <c r="Y57" i="88"/>
  <c r="X57" i="88"/>
  <c r="V57" i="88"/>
  <c r="S57" i="88"/>
  <c r="P57" i="88"/>
  <c r="O57" i="88"/>
  <c r="M57" i="88"/>
  <c r="J57" i="88"/>
  <c r="G57" i="88"/>
  <c r="A57" i="88"/>
  <c r="BG56" i="88"/>
  <c r="BD56" i="88"/>
  <c r="BA56" i="88"/>
  <c r="AY56" i="88"/>
  <c r="AW56" i="88"/>
  <c r="AT56" i="88"/>
  <c r="AQ56" i="88"/>
  <c r="AO56" i="88"/>
  <c r="W56" i="88"/>
  <c r="Q56" i="88"/>
  <c r="N56" i="88"/>
  <c r="K56" i="88"/>
  <c r="BG55" i="88"/>
  <c r="BD55" i="88"/>
  <c r="BA55" i="88"/>
  <c r="AY55" i="88"/>
  <c r="AW55" i="88"/>
  <c r="AT55" i="88"/>
  <c r="AQ55" i="88"/>
  <c r="AO55" i="88"/>
  <c r="W55" i="88"/>
  <c r="Q55" i="88"/>
  <c r="K55" i="88"/>
  <c r="BG54" i="88"/>
  <c r="BD54" i="88"/>
  <c r="BA54" i="88"/>
  <c r="AY54" i="88"/>
  <c r="AW54" i="88"/>
  <c r="AT54" i="88"/>
  <c r="AQ54" i="88"/>
  <c r="AO54" i="88"/>
  <c r="BF54" i="88"/>
  <c r="W54" i="88"/>
  <c r="T54" i="88"/>
  <c r="Q54" i="88"/>
  <c r="N54" i="88"/>
  <c r="K54" i="88"/>
  <c r="BG53" i="88"/>
  <c r="BD53" i="88"/>
  <c r="BA53" i="88"/>
  <c r="AY53" i="88"/>
  <c r="AW53" i="88"/>
  <c r="AT53" i="88"/>
  <c r="AQ53" i="88"/>
  <c r="W53" i="88"/>
  <c r="T53" i="88"/>
  <c r="Q53" i="88"/>
  <c r="N53" i="88"/>
  <c r="AP53" i="88"/>
  <c r="K53" i="88"/>
  <c r="BG52" i="88"/>
  <c r="BD52" i="88"/>
  <c r="BA52" i="88"/>
  <c r="AY52" i="88"/>
  <c r="AW52" i="88"/>
  <c r="AT52" i="88"/>
  <c r="AS52" i="88"/>
  <c r="AQ52" i="88"/>
  <c r="AO52" i="88"/>
  <c r="BF52" i="88"/>
  <c r="T52" i="88"/>
  <c r="Q52" i="88"/>
  <c r="K52" i="88"/>
  <c r="H52" i="88"/>
  <c r="BA51" i="88"/>
  <c r="AN51" i="88"/>
  <c r="AM51" i="88"/>
  <c r="AK51" i="88"/>
  <c r="AH51" i="88"/>
  <c r="AE51" i="88"/>
  <c r="AD51" i="88"/>
  <c r="AB51" i="88"/>
  <c r="Y51" i="88"/>
  <c r="V51" i="88"/>
  <c r="S51" i="88"/>
  <c r="P51" i="88"/>
  <c r="M51" i="88"/>
  <c r="J51" i="88"/>
  <c r="G51" i="88"/>
  <c r="BG50" i="88"/>
  <c r="BD50" i="88"/>
  <c r="AT50" i="88"/>
  <c r="AQ50" i="88"/>
  <c r="AP50" i="88"/>
  <c r="AO50" i="88"/>
  <c r="W50" i="88"/>
  <c r="T50" i="88"/>
  <c r="Q50" i="88"/>
  <c r="N50" i="88"/>
  <c r="K50" i="88"/>
  <c r="BG49" i="88"/>
  <c r="BD49" i="88"/>
  <c r="BA49" i="88"/>
  <c r="AY49" i="88"/>
  <c r="AW49" i="88"/>
  <c r="AT49" i="88"/>
  <c r="AQ49" i="88"/>
  <c r="AO49" i="88"/>
  <c r="W49" i="88"/>
  <c r="Q49" i="88"/>
  <c r="L51" i="88"/>
  <c r="K49" i="88"/>
  <c r="BG48" i="88"/>
  <c r="BD48" i="88"/>
  <c r="BA48" i="88"/>
  <c r="AY48" i="88"/>
  <c r="AW48" i="88"/>
  <c r="AT48" i="88"/>
  <c r="AQ48" i="88"/>
  <c r="AP48" i="88"/>
  <c r="AO48" i="88"/>
  <c r="W48" i="88"/>
  <c r="T48" i="88"/>
  <c r="Q48" i="88"/>
  <c r="K48" i="88"/>
  <c r="BG47" i="88"/>
  <c r="BD47" i="88"/>
  <c r="BA47" i="88"/>
  <c r="AY47" i="88"/>
  <c r="AW47" i="88"/>
  <c r="AT47" i="88"/>
  <c r="AQ47" i="88"/>
  <c r="AO47" i="88"/>
  <c r="BF47" i="88"/>
  <c r="W47" i="88"/>
  <c r="T47" i="88"/>
  <c r="Q47" i="88"/>
  <c r="N47" i="88"/>
  <c r="K47" i="88"/>
  <c r="BC47" i="88"/>
  <c r="BG46" i="88"/>
  <c r="BD46" i="88"/>
  <c r="BC46" i="88"/>
  <c r="BA46" i="88"/>
  <c r="AY46" i="88"/>
  <c r="AW46" i="88"/>
  <c r="AT46" i="88"/>
  <c r="AQ46" i="88"/>
  <c r="AP46" i="88"/>
  <c r="AO46" i="88"/>
  <c r="W46" i="88"/>
  <c r="N46" i="88"/>
  <c r="K46" i="88"/>
  <c r="BA45" i="88"/>
  <c r="AN45" i="88"/>
  <c r="AK45" i="88"/>
  <c r="AH45" i="88"/>
  <c r="AE45" i="88"/>
  <c r="AD45" i="88"/>
  <c r="AB45" i="88"/>
  <c r="AA45" i="88"/>
  <c r="Y45" i="88"/>
  <c r="V45" i="88"/>
  <c r="S45" i="88"/>
  <c r="P45" i="88"/>
  <c r="M45" i="88"/>
  <c r="J45" i="88"/>
  <c r="I45" i="88"/>
  <c r="G45" i="88"/>
  <c r="BG44" i="88"/>
  <c r="BD44" i="88"/>
  <c r="BA44" i="88"/>
  <c r="AY44" i="88"/>
  <c r="AW44" i="88"/>
  <c r="AV44" i="88"/>
  <c r="AT44" i="88"/>
  <c r="AQ44" i="88"/>
  <c r="AO44" i="88"/>
  <c r="W44" i="88"/>
  <c r="T44" i="88"/>
  <c r="Q44" i="88"/>
  <c r="N44" i="88"/>
  <c r="K44" i="88"/>
  <c r="H44" i="88"/>
  <c r="BG43" i="88"/>
  <c r="BD43" i="88"/>
  <c r="BA43" i="88"/>
  <c r="AY43" i="88"/>
  <c r="AW43" i="88"/>
  <c r="AT43" i="88"/>
  <c r="AQ43" i="88"/>
  <c r="AO43" i="88"/>
  <c r="AJ45" i="88"/>
  <c r="W43" i="88"/>
  <c r="U45" i="88"/>
  <c r="Q43" i="88"/>
  <c r="K43" i="88"/>
  <c r="BA42" i="88"/>
  <c r="AN42" i="88"/>
  <c r="AK42" i="88"/>
  <c r="AH42" i="88"/>
  <c r="AE42" i="88"/>
  <c r="AB42" i="88"/>
  <c r="Y42" i="88"/>
  <c r="V42" i="88"/>
  <c r="U42" i="88"/>
  <c r="S42" i="88"/>
  <c r="P42" i="88"/>
  <c r="O42" i="88"/>
  <c r="M42" i="88"/>
  <c r="L42" i="88"/>
  <c r="J42" i="88"/>
  <c r="G42" i="88"/>
  <c r="F42" i="88"/>
  <c r="A42" i="88"/>
  <c r="BG41" i="88"/>
  <c r="BD41" i="88"/>
  <c r="BA41" i="88"/>
  <c r="AY41" i="88"/>
  <c r="AW41" i="88"/>
  <c r="AV41" i="88"/>
  <c r="AT41" i="88"/>
  <c r="AQ41" i="88"/>
  <c r="AO41" i="88"/>
  <c r="BF41" i="88"/>
  <c r="W41" i="88"/>
  <c r="T41" i="88"/>
  <c r="Q41" i="88"/>
  <c r="N41" i="88"/>
  <c r="K41" i="88"/>
  <c r="BG40" i="88"/>
  <c r="BD40" i="88"/>
  <c r="BA40" i="88"/>
  <c r="AY40" i="88"/>
  <c r="AW40" i="88"/>
  <c r="AZ40" i="88" s="1"/>
  <c r="AT40" i="88"/>
  <c r="AQ40" i="88"/>
  <c r="AP40" i="88"/>
  <c r="AO40" i="88"/>
  <c r="W40" i="88"/>
  <c r="Q40" i="88"/>
  <c r="N40" i="88"/>
  <c r="K40" i="88"/>
  <c r="H40" i="88"/>
  <c r="AV40" i="88"/>
  <c r="BG39" i="88"/>
  <c r="BF39" i="88"/>
  <c r="BD39" i="88"/>
  <c r="BA39" i="88"/>
  <c r="AY39" i="88"/>
  <c r="AW39" i="88"/>
  <c r="AT39" i="88"/>
  <c r="AS39" i="88"/>
  <c r="AQ39" i="88"/>
  <c r="AO39" i="88"/>
  <c r="W39" i="88"/>
  <c r="T39" i="88"/>
  <c r="Q39" i="88"/>
  <c r="N39" i="88"/>
  <c r="K39" i="88"/>
  <c r="H39" i="88"/>
  <c r="BG37" i="88"/>
  <c r="BD37" i="88"/>
  <c r="BA37" i="88"/>
  <c r="AY37" i="88"/>
  <c r="AW37" i="88"/>
  <c r="AT37" i="88"/>
  <c r="AQ37" i="88"/>
  <c r="AM42" i="88"/>
  <c r="AJ42" i="88"/>
  <c r="W37" i="88"/>
  <c r="T37" i="88"/>
  <c r="Q37" i="88"/>
  <c r="N37" i="88"/>
  <c r="K37" i="88"/>
  <c r="BA36" i="88"/>
  <c r="AN36" i="88"/>
  <c r="AK36" i="88"/>
  <c r="AH36" i="88"/>
  <c r="AE36" i="88"/>
  <c r="AB36" i="88"/>
  <c r="Y36" i="88"/>
  <c r="V36" i="88"/>
  <c r="S36" i="88"/>
  <c r="P36" i="88"/>
  <c r="M36" i="88"/>
  <c r="J36" i="88"/>
  <c r="G36" i="88"/>
  <c r="F36" i="88"/>
  <c r="A36" i="88"/>
  <c r="BG35" i="88"/>
  <c r="BD35" i="88"/>
  <c r="BA35" i="88"/>
  <c r="AY35" i="88"/>
  <c r="AW35" i="88"/>
  <c r="AT35" i="88"/>
  <c r="AQ35" i="88"/>
  <c r="AP35" i="88"/>
  <c r="AO35" i="88"/>
  <c r="T35" i="88"/>
  <c r="Q35" i="88"/>
  <c r="BC35" i="88"/>
  <c r="N35" i="88"/>
  <c r="K35" i="88"/>
  <c r="AV35" i="88"/>
  <c r="BG34" i="88"/>
  <c r="BD34" i="88"/>
  <c r="BA34" i="88"/>
  <c r="AY34" i="88"/>
  <c r="AW34" i="88"/>
  <c r="AT34" i="88"/>
  <c r="AQ34" i="88"/>
  <c r="AO34" i="88"/>
  <c r="W34" i="88"/>
  <c r="T34" i="88"/>
  <c r="Q34" i="88"/>
  <c r="N34" i="88"/>
  <c r="K34" i="88"/>
  <c r="H34" i="88"/>
  <c r="BG33" i="88"/>
  <c r="BF33" i="88"/>
  <c r="BD33" i="88"/>
  <c r="BA33" i="88"/>
  <c r="AY33" i="88"/>
  <c r="AW33" i="88"/>
  <c r="AT33" i="88"/>
  <c r="AQ33" i="88"/>
  <c r="AO33" i="88"/>
  <c r="T33" i="88"/>
  <c r="Q33" i="88"/>
  <c r="N33" i="88"/>
  <c r="AS33" i="88"/>
  <c r="BG32" i="88"/>
  <c r="BF32" i="88"/>
  <c r="BD32" i="88"/>
  <c r="BA32" i="88"/>
  <c r="AY32" i="88"/>
  <c r="AW32" i="88"/>
  <c r="AT32" i="88"/>
  <c r="AQ32" i="88"/>
  <c r="AO32" i="88"/>
  <c r="AG36" i="88"/>
  <c r="T32" i="88"/>
  <c r="Q32" i="88"/>
  <c r="N32" i="88"/>
  <c r="K32" i="88"/>
  <c r="BG31" i="88"/>
  <c r="BD31" i="88"/>
  <c r="BA31" i="88"/>
  <c r="AY31" i="88"/>
  <c r="AW31" i="88"/>
  <c r="AZ31" i="88" s="1"/>
  <c r="AV31" i="88"/>
  <c r="AT31" i="88"/>
  <c r="AQ31" i="88"/>
  <c r="AP31" i="88"/>
  <c r="AM36" i="88"/>
  <c r="AA36" i="88"/>
  <c r="W31" i="88"/>
  <c r="T31" i="88"/>
  <c r="N31" i="88"/>
  <c r="K31" i="88"/>
  <c r="H31" i="88"/>
  <c r="BA30" i="88"/>
  <c r="BG29" i="88"/>
  <c r="BD29" i="88"/>
  <c r="BA29" i="88"/>
  <c r="AY29" i="88"/>
  <c r="AW29" i="88"/>
  <c r="AV29" i="88"/>
  <c r="AT29" i="88"/>
  <c r="AQ29" i="88"/>
  <c r="AO29" i="88"/>
  <c r="W29" i="88"/>
  <c r="T29" i="88"/>
  <c r="K29" i="88"/>
  <c r="H29" i="88"/>
  <c r="BG28" i="88"/>
  <c r="BD28" i="88"/>
  <c r="BA28" i="88"/>
  <c r="AY28" i="88"/>
  <c r="AW28" i="88"/>
  <c r="AT28" i="88"/>
  <c r="AQ28" i="88"/>
  <c r="AO28" i="88"/>
  <c r="T28" i="88"/>
  <c r="Q28" i="88"/>
  <c r="N28" i="88"/>
  <c r="K28" i="88"/>
  <c r="AP28" i="88"/>
  <c r="BG27" i="88"/>
  <c r="BD27" i="88"/>
  <c r="BA27" i="88"/>
  <c r="AY27" i="88"/>
  <c r="AW27" i="88"/>
  <c r="AV27" i="88"/>
  <c r="AT27" i="88"/>
  <c r="AQ27" i="88"/>
  <c r="AP27" i="88"/>
  <c r="AO27" i="88"/>
  <c r="T27" i="88"/>
  <c r="Q27" i="88"/>
  <c r="N27" i="88"/>
  <c r="K27" i="88"/>
  <c r="BG26" i="88"/>
  <c r="BD26" i="88"/>
  <c r="BA26" i="88"/>
  <c r="AY26" i="88"/>
  <c r="AW26" i="88"/>
  <c r="AT26" i="88"/>
  <c r="AS26" i="88"/>
  <c r="AQ26" i="88"/>
  <c r="AO26" i="88"/>
  <c r="BF26" i="88"/>
  <c r="W26" i="88"/>
  <c r="T26" i="88"/>
  <c r="Q26" i="88"/>
  <c r="N26" i="88"/>
  <c r="K26" i="88"/>
  <c r="BG25" i="88"/>
  <c r="BF25" i="88"/>
  <c r="BD25" i="88"/>
  <c r="BA25" i="88"/>
  <c r="AY25" i="88"/>
  <c r="AW25" i="88"/>
  <c r="AT25" i="88"/>
  <c r="AQ25" i="88"/>
  <c r="AP25" i="88"/>
  <c r="AO25" i="88"/>
  <c r="W25" i="88"/>
  <c r="T25" i="88"/>
  <c r="N25" i="88"/>
  <c r="K25" i="88"/>
  <c r="BA23" i="88"/>
  <c r="AN23" i="88"/>
  <c r="AK23" i="88"/>
  <c r="AH23" i="88"/>
  <c r="AE23" i="88"/>
  <c r="AB23" i="88"/>
  <c r="Y23" i="88"/>
  <c r="V23" i="88"/>
  <c r="S23" i="88"/>
  <c r="R23" i="88"/>
  <c r="P23" i="88"/>
  <c r="M23" i="88"/>
  <c r="J23" i="88"/>
  <c r="I23" i="88"/>
  <c r="G23" i="88"/>
  <c r="F23" i="88"/>
  <c r="BG22" i="88"/>
  <c r="BD22" i="88"/>
  <c r="BA22" i="88"/>
  <c r="AY22" i="88"/>
  <c r="AW22" i="88"/>
  <c r="AZ22" i="88" s="1"/>
  <c r="AV22" i="88"/>
  <c r="AT22" i="88"/>
  <c r="AQ22" i="88"/>
  <c r="AP22" i="88"/>
  <c r="AO22" i="88"/>
  <c r="W22" i="88"/>
  <c r="T22" i="88"/>
  <c r="Q22" i="88"/>
  <c r="N22" i="88"/>
  <c r="K22" i="88"/>
  <c r="H22" i="88"/>
  <c r="BG21" i="88"/>
  <c r="BD21" i="88"/>
  <c r="BA21" i="88"/>
  <c r="AY21" i="88"/>
  <c r="AW21" i="88"/>
  <c r="AV21" i="88"/>
  <c r="AT21" i="88"/>
  <c r="AQ21" i="88"/>
  <c r="AP21" i="88"/>
  <c r="AO21" i="88"/>
  <c r="W21" i="88"/>
  <c r="T21" i="88"/>
  <c r="N21" i="88"/>
  <c r="K21" i="88"/>
  <c r="BG20" i="88"/>
  <c r="BD20" i="88"/>
  <c r="BA20" i="88"/>
  <c r="AY20" i="88"/>
  <c r="AW20" i="88"/>
  <c r="AZ20" i="88" s="1"/>
  <c r="AV20" i="88"/>
  <c r="AT20" i="88"/>
  <c r="AQ20" i="88"/>
  <c r="AO20" i="88"/>
  <c r="W20" i="88"/>
  <c r="T20" i="88"/>
  <c r="BC20" i="88"/>
  <c r="Q20" i="88"/>
  <c r="N20" i="88"/>
  <c r="K20" i="88"/>
  <c r="H20" i="88"/>
  <c r="AP20" i="88"/>
  <c r="BG19" i="88"/>
  <c r="BD19" i="88"/>
  <c r="BA19" i="88"/>
  <c r="AY19" i="88"/>
  <c r="AW19" i="88"/>
  <c r="AZ19" i="88" s="1"/>
  <c r="AT19" i="88"/>
  <c r="AQ19" i="88"/>
  <c r="AO19" i="88"/>
  <c r="BF19" i="88"/>
  <c r="W19" i="88"/>
  <c r="T19" i="88"/>
  <c r="Q19" i="88"/>
  <c r="N19" i="88"/>
  <c r="K19" i="88"/>
  <c r="BG18" i="88"/>
  <c r="BD18" i="88"/>
  <c r="BA18" i="88"/>
  <c r="AY18" i="88"/>
  <c r="AW18" i="88"/>
  <c r="AZ18" i="88" s="1"/>
  <c r="AT18" i="88"/>
  <c r="AQ18" i="88"/>
  <c r="AO18" i="88"/>
  <c r="AD23" i="88"/>
  <c r="BF18" i="88"/>
  <c r="W18" i="88"/>
  <c r="T18" i="88"/>
  <c r="Q18" i="88"/>
  <c r="L23" i="88"/>
  <c r="K18" i="88"/>
  <c r="AS18" i="88"/>
  <c r="BA17" i="88"/>
  <c r="AN17" i="88"/>
  <c r="AM17" i="88"/>
  <c r="AK17" i="88"/>
  <c r="AH17" i="88"/>
  <c r="AE17" i="88"/>
  <c r="AB17" i="88"/>
  <c r="Y17" i="88"/>
  <c r="V17" i="88"/>
  <c r="S17" i="88"/>
  <c r="P17" i="88"/>
  <c r="M17" i="88"/>
  <c r="J17" i="88"/>
  <c r="G17" i="88"/>
  <c r="F17" i="88"/>
  <c r="BG16" i="88"/>
  <c r="BD16" i="88"/>
  <c r="BA16" i="88"/>
  <c r="AY16" i="88"/>
  <c r="AW16" i="88"/>
  <c r="AT16" i="88"/>
  <c r="AQ16" i="88"/>
  <c r="AP16" i="88"/>
  <c r="AO16" i="88"/>
  <c r="W16" i="88"/>
  <c r="T16" i="88"/>
  <c r="Q16" i="88"/>
  <c r="N16" i="88"/>
  <c r="K16" i="88"/>
  <c r="H16" i="88"/>
  <c r="BG15" i="88"/>
  <c r="BD15" i="88"/>
  <c r="BA15" i="88"/>
  <c r="AY15" i="88"/>
  <c r="AW15" i="88"/>
  <c r="AT15" i="88"/>
  <c r="AQ15" i="88"/>
  <c r="AP15" i="88"/>
  <c r="AO15" i="88"/>
  <c r="T15" i="88"/>
  <c r="Q15" i="88"/>
  <c r="N15" i="88"/>
  <c r="K15" i="88"/>
  <c r="BG14" i="88"/>
  <c r="BD14" i="88"/>
  <c r="BA14" i="88"/>
  <c r="AY14" i="88"/>
  <c r="AW14" i="88"/>
  <c r="AZ14" i="88" s="1"/>
  <c r="AT14" i="88"/>
  <c r="AQ14" i="88"/>
  <c r="AO14" i="88"/>
  <c r="BF14" i="88"/>
  <c r="W14" i="88"/>
  <c r="T14" i="88"/>
  <c r="Q14" i="88"/>
  <c r="N14" i="88"/>
  <c r="H14" i="88"/>
  <c r="BG13" i="88"/>
  <c r="BD13" i="88"/>
  <c r="BA13" i="88"/>
  <c r="AY13" i="88"/>
  <c r="AW13" i="88"/>
  <c r="AZ13" i="88" s="1"/>
  <c r="AT13" i="88"/>
  <c r="AQ13" i="88"/>
  <c r="AO13" i="88"/>
  <c r="BF13" i="88"/>
  <c r="W13" i="88"/>
  <c r="T13" i="88"/>
  <c r="Q13" i="88"/>
  <c r="N13" i="88"/>
  <c r="K13" i="88"/>
  <c r="H13" i="88"/>
  <c r="AV13" i="88"/>
  <c r="BG12" i="88"/>
  <c r="BD12" i="88"/>
  <c r="BA12" i="88"/>
  <c r="AY12" i="88"/>
  <c r="AW12" i="88"/>
  <c r="AT12" i="88"/>
  <c r="AQ12" i="88"/>
  <c r="AO12" i="88"/>
  <c r="AG17" i="88"/>
  <c r="AD17" i="88"/>
  <c r="BF12" i="88"/>
  <c r="W12" i="88"/>
  <c r="T12" i="88"/>
  <c r="Q12" i="88"/>
  <c r="N12" i="88"/>
  <c r="K12" i="88"/>
  <c r="AP12" i="88"/>
  <c r="BA11" i="88"/>
  <c r="AN11" i="88"/>
  <c r="AK11" i="88"/>
  <c r="AH11" i="88"/>
  <c r="AE11" i="88"/>
  <c r="AD11" i="88"/>
  <c r="AB11" i="88"/>
  <c r="Y11" i="88"/>
  <c r="V11" i="88"/>
  <c r="S11" i="88"/>
  <c r="P11" i="88"/>
  <c r="M11" i="88"/>
  <c r="J11" i="88"/>
  <c r="I11" i="88"/>
  <c r="G11" i="88"/>
  <c r="BG10" i="88"/>
  <c r="BD10" i="88"/>
  <c r="BA10" i="88"/>
  <c r="AY10" i="88"/>
  <c r="AW10" i="88"/>
  <c r="AT10" i="88"/>
  <c r="AQ10" i="88"/>
  <c r="AO10" i="88"/>
  <c r="BF10" i="88"/>
  <c r="W10" i="88"/>
  <c r="T10" i="88"/>
  <c r="Q10" i="88"/>
  <c r="N10" i="88"/>
  <c r="K10" i="88"/>
  <c r="AP10" i="88"/>
  <c r="BG9" i="88"/>
  <c r="BD9" i="88"/>
  <c r="BA9" i="88"/>
  <c r="AY9" i="88"/>
  <c r="AW9" i="88"/>
  <c r="AT9" i="88"/>
  <c r="AQ9" i="88"/>
  <c r="AO9" i="88"/>
  <c r="AA11" i="88"/>
  <c r="AS9" i="88"/>
  <c r="Q9" i="88"/>
  <c r="N9" i="88"/>
  <c r="K9" i="88"/>
  <c r="H9" i="88"/>
  <c r="AV9" i="88"/>
  <c r="BG8" i="88"/>
  <c r="BD8" i="88"/>
  <c r="BA8" i="88"/>
  <c r="AY8" i="88"/>
  <c r="AW8" i="88"/>
  <c r="AT8" i="88"/>
  <c r="AQ8" i="88"/>
  <c r="AO8" i="88"/>
  <c r="BF8" i="88"/>
  <c r="W8" i="88"/>
  <c r="T8" i="88"/>
  <c r="Q8" i="88"/>
  <c r="N8" i="88"/>
  <c r="K8" i="88"/>
  <c r="BG7" i="88"/>
  <c r="BD7" i="88"/>
  <c r="BA7" i="88"/>
  <c r="AY7" i="88"/>
  <c r="AW7" i="88"/>
  <c r="AT7" i="88"/>
  <c r="AQ7" i="88"/>
  <c r="AM11" i="88"/>
  <c r="AL7" i="88"/>
  <c r="AI7" i="88"/>
  <c r="AF7" i="88"/>
  <c r="AC7" i="88"/>
  <c r="X11" i="88"/>
  <c r="W7" i="88"/>
  <c r="T7" i="88"/>
  <c r="Q7" i="88"/>
  <c r="N7" i="88"/>
  <c r="L11" i="88"/>
  <c r="K7" i="88"/>
  <c r="BC7" i="88"/>
  <c r="I4" i="88"/>
  <c r="L4" i="88" s="1"/>
  <c r="O4" i="88" s="1"/>
  <c r="AN2" i="88"/>
  <c r="AM2" i="88"/>
  <c r="AK2" i="88"/>
  <c r="AJ2" i="88"/>
  <c r="AH2" i="88"/>
  <c r="AG2" i="88"/>
  <c r="AE2" i="88"/>
  <c r="AD2" i="88"/>
  <c r="AB2" i="88"/>
  <c r="AA2" i="88"/>
  <c r="Y2" i="88"/>
  <c r="X2" i="88"/>
  <c r="V2" i="88"/>
  <c r="U2" i="88"/>
  <c r="S2" i="88"/>
  <c r="R2" i="88"/>
  <c r="P2" i="88"/>
  <c r="O2" i="88"/>
  <c r="M2" i="88"/>
  <c r="L2" i="88"/>
  <c r="J2" i="88"/>
  <c r="I2" i="88"/>
  <c r="G2" i="88"/>
  <c r="F2" i="88"/>
  <c r="L67" i="87"/>
  <c r="L66" i="87"/>
  <c r="L65" i="87"/>
  <c r="L64" i="87"/>
  <c r="L63" i="87"/>
  <c r="L62" i="87"/>
  <c r="L60" i="87"/>
  <c r="L59" i="87"/>
  <c r="L58" i="87"/>
  <c r="L57" i="87"/>
  <c r="L56" i="87"/>
  <c r="L54" i="87"/>
  <c r="L53" i="87"/>
  <c r="L52" i="87"/>
  <c r="L51" i="87"/>
  <c r="L50" i="87"/>
  <c r="L49" i="87"/>
  <c r="L47" i="87"/>
  <c r="L46" i="87"/>
  <c r="L45" i="87"/>
  <c r="L43" i="87"/>
  <c r="L42" i="87"/>
  <c r="L41" i="87"/>
  <c r="L40" i="87"/>
  <c r="L39" i="87"/>
  <c r="L38" i="87"/>
  <c r="L36" i="87"/>
  <c r="L35" i="87"/>
  <c r="L34" i="87"/>
  <c r="L33" i="87"/>
  <c r="L32" i="87"/>
  <c r="L30" i="87"/>
  <c r="L29" i="87"/>
  <c r="L28" i="87"/>
  <c r="L27" i="87"/>
  <c r="L26" i="87"/>
  <c r="L25" i="87"/>
  <c r="L24" i="87"/>
  <c r="L22" i="87"/>
  <c r="L21" i="87"/>
  <c r="L20" i="87"/>
  <c r="L19" i="87"/>
  <c r="L18" i="87"/>
  <c r="L16" i="87"/>
  <c r="L14" i="87"/>
  <c r="L13" i="87"/>
  <c r="L12" i="87"/>
  <c r="L10" i="87"/>
  <c r="L9" i="87"/>
  <c r="L8" i="87"/>
  <c r="L7" i="87"/>
  <c r="AF65" i="76"/>
  <c r="AE65" i="76"/>
  <c r="AI65" i="76"/>
  <c r="AH65" i="76"/>
  <c r="AO65" i="76"/>
  <c r="AN65" i="76"/>
  <c r="BB31" i="88" l="1"/>
  <c r="BB61" i="88"/>
  <c r="AZ63" i="88"/>
  <c r="AZ47" i="88"/>
  <c r="AP65" i="76"/>
  <c r="AQ30" i="88"/>
  <c r="AT30" i="88"/>
  <c r="BG30" i="88"/>
  <c r="AZ26" i="88"/>
  <c r="AZ28" i="88"/>
  <c r="AZ34" i="88"/>
  <c r="AZ39" i="88"/>
  <c r="AF23" i="88"/>
  <c r="AZ53" i="88"/>
  <c r="AZ59" i="88"/>
  <c r="AZ29" i="88"/>
  <c r="AZ46" i="88"/>
  <c r="BB27" i="88"/>
  <c r="BB40" i="88"/>
  <c r="AZ48" i="88"/>
  <c r="AZ8" i="88"/>
  <c r="AZ21" i="88"/>
  <c r="AZ54" i="88"/>
  <c r="AZ60" i="88"/>
  <c r="BB44" i="88"/>
  <c r="AZ44" i="88"/>
  <c r="AZ49" i="88"/>
  <c r="AJ65" i="76"/>
  <c r="AP65" i="88"/>
  <c r="AR65" i="88" s="1"/>
  <c r="AF51" i="88"/>
  <c r="AC36" i="88"/>
  <c r="AI36" i="88"/>
  <c r="AL42" i="88"/>
  <c r="AS65" i="88"/>
  <c r="AU65" i="88" s="1"/>
  <c r="Q65" i="88"/>
  <c r="BH41" i="88"/>
  <c r="AX21" i="88"/>
  <c r="N11" i="88"/>
  <c r="Q57" i="88"/>
  <c r="AX29" i="88"/>
  <c r="AG65" i="76"/>
  <c r="T23" i="88"/>
  <c r="AZ25" i="88"/>
  <c r="AL45" i="88"/>
  <c r="AZ55" i="88"/>
  <c r="AL57" i="88"/>
  <c r="AZ58" i="88"/>
  <c r="AO17" i="88"/>
  <c r="BD30" i="88"/>
  <c r="AO42" i="88"/>
  <c r="W42" i="88"/>
  <c r="AF17" i="88"/>
  <c r="AZ32" i="88"/>
  <c r="AZ62" i="88"/>
  <c r="AZ15" i="88"/>
  <c r="AZ35" i="88"/>
  <c r="AZ43" i="88"/>
  <c r="AY11" i="88"/>
  <c r="AZ10" i="88"/>
  <c r="AF45" i="88"/>
  <c r="AZ56" i="88"/>
  <c r="N42" i="88"/>
  <c r="K23" i="88"/>
  <c r="L23" i="87"/>
  <c r="AR10" i="88"/>
  <c r="AR53" i="88"/>
  <c r="AR48" i="88"/>
  <c r="H23" i="88"/>
  <c r="L37" i="87"/>
  <c r="L68" i="87"/>
  <c r="L55" i="87"/>
  <c r="L11" i="87"/>
  <c r="BH19" i="88"/>
  <c r="BB35" i="88"/>
  <c r="BH39" i="88"/>
  <c r="BG45" i="88"/>
  <c r="BH52" i="88"/>
  <c r="AR50" i="88"/>
  <c r="BB62" i="88"/>
  <c r="AT51" i="88"/>
  <c r="BG42" i="88"/>
  <c r="AR61" i="88"/>
  <c r="AX59" i="88"/>
  <c r="AQ57" i="88"/>
  <c r="AZ52" i="88"/>
  <c r="AT45" i="88"/>
  <c r="AR40" i="88"/>
  <c r="AW42" i="88"/>
  <c r="AW45" i="88" s="1"/>
  <c r="AZ41" i="88"/>
  <c r="AR35" i="88"/>
  <c r="AF11" i="88"/>
  <c r="Z11" i="88"/>
  <c r="BD17" i="88"/>
  <c r="BH8" i="88"/>
  <c r="BD36" i="88"/>
  <c r="N23" i="88"/>
  <c r="AR20" i="88"/>
  <c r="AX9" i="88"/>
  <c r="AW11" i="88"/>
  <c r="BH14" i="88"/>
  <c r="AR16" i="88"/>
  <c r="AR27" i="88"/>
  <c r="AU26" i="88"/>
  <c r="AX35" i="88"/>
  <c r="AZ33" i="88"/>
  <c r="BE35" i="88"/>
  <c r="BG36" i="88"/>
  <c r="BB29" i="88"/>
  <c r="AT23" i="88"/>
  <c r="AR22" i="88"/>
  <c r="BB22" i="88"/>
  <c r="AZ16" i="88"/>
  <c r="AX13" i="88"/>
  <c r="BH10" i="88"/>
  <c r="AZ9" i="88"/>
  <c r="K11" i="88"/>
  <c r="BD11" i="88"/>
  <c r="BH12" i="88"/>
  <c r="AY17" i="88"/>
  <c r="R4" i="88"/>
  <c r="P4" i="88"/>
  <c r="AU9" i="88"/>
  <c r="AR12" i="88"/>
  <c r="BB13" i="88"/>
  <c r="BH13" i="88"/>
  <c r="BH18" i="88"/>
  <c r="BB9" i="88"/>
  <c r="BE20" i="88"/>
  <c r="AU18" i="88"/>
  <c r="BH26" i="88"/>
  <c r="AV18" i="88"/>
  <c r="AX18" i="88" s="1"/>
  <c r="H10" i="88"/>
  <c r="O11" i="88"/>
  <c r="Q11" i="88" s="1"/>
  <c r="AQ11" i="88"/>
  <c r="AX22" i="88"/>
  <c r="Q29" i="88"/>
  <c r="T56" i="88"/>
  <c r="AS8" i="88"/>
  <c r="AU8" i="88" s="1"/>
  <c r="H8" i="88"/>
  <c r="AV10" i="88"/>
  <c r="BB10" i="88" s="1"/>
  <c r="AJ17" i="88"/>
  <c r="AL17" i="88" s="1"/>
  <c r="AS14" i="88"/>
  <c r="AU14" i="88" s="1"/>
  <c r="AV14" i="88"/>
  <c r="BB14" i="88" s="1"/>
  <c r="AR15" i="88"/>
  <c r="H17" i="88"/>
  <c r="AJ23" i="88"/>
  <c r="AL23" i="88" s="1"/>
  <c r="AS19" i="88"/>
  <c r="AU19" i="88" s="1"/>
  <c r="H19" i="88"/>
  <c r="BF20" i="88"/>
  <c r="BH20" i="88" s="1"/>
  <c r="BB21" i="88"/>
  <c r="AA23" i="88"/>
  <c r="AC23" i="88" s="1"/>
  <c r="AR25" i="88"/>
  <c r="BC28" i="88"/>
  <c r="BE28" i="88" s="1"/>
  <c r="AR31" i="88"/>
  <c r="BH33" i="88"/>
  <c r="AJ36" i="88"/>
  <c r="AL36" i="88" s="1"/>
  <c r="F51" i="88"/>
  <c r="H51" i="88" s="1"/>
  <c r="AV47" i="88"/>
  <c r="BB47" i="88" s="1"/>
  <c r="AS48" i="88"/>
  <c r="AU48" i="88" s="1"/>
  <c r="S66" i="88"/>
  <c r="AU52" i="88"/>
  <c r="AZ61" i="88"/>
  <c r="AX61" i="88"/>
  <c r="AV63" i="88"/>
  <c r="AX63" i="88" s="1"/>
  <c r="AS63" i="88"/>
  <c r="AU63" i="88" s="1"/>
  <c r="BC63" i="88"/>
  <c r="BE63" i="88" s="1"/>
  <c r="H63" i="88"/>
  <c r="AP63" i="88"/>
  <c r="AR63" i="88" s="1"/>
  <c r="AG64" i="88"/>
  <c r="AI64" i="88" s="1"/>
  <c r="AC11" i="88"/>
  <c r="BD57" i="88"/>
  <c r="AQ64" i="88"/>
  <c r="AS59" i="88"/>
  <c r="AU59" i="88" s="1"/>
  <c r="W15" i="88"/>
  <c r="W27" i="88"/>
  <c r="K33" i="88"/>
  <c r="AZ7" i="88"/>
  <c r="R11" i="88"/>
  <c r="T11" i="88" s="1"/>
  <c r="AZ12" i="88"/>
  <c r="AP13" i="88"/>
  <c r="BC13" i="88"/>
  <c r="BE13" i="88" s="1"/>
  <c r="K14" i="88"/>
  <c r="AS15" i="88"/>
  <c r="AU15" i="88" s="1"/>
  <c r="BF15" i="88"/>
  <c r="BH15" i="88" s="1"/>
  <c r="I17" i="88"/>
  <c r="AQ23" i="88"/>
  <c r="BF35" i="88"/>
  <c r="BH35" i="88" s="1"/>
  <c r="H42" i="88"/>
  <c r="BD42" i="88"/>
  <c r="AG45" i="88"/>
  <c r="AI45" i="88" s="1"/>
  <c r="BF43" i="88"/>
  <c r="AM57" i="88"/>
  <c r="AO57" i="88" s="1"/>
  <c r="G66" i="88"/>
  <c r="BD64" i="88"/>
  <c r="AH66" i="88"/>
  <c r="W32" i="88"/>
  <c r="N18" i="88"/>
  <c r="O36" i="88"/>
  <c r="Q36" i="88" s="1"/>
  <c r="Q31" i="88"/>
  <c r="W9" i="88"/>
  <c r="AP9" i="88"/>
  <c r="AR9" i="88" s="1"/>
  <c r="BC9" i="88"/>
  <c r="BE9" i="88" s="1"/>
  <c r="AG11" i="88"/>
  <c r="AI11" i="88" s="1"/>
  <c r="AT11" i="88"/>
  <c r="AQ17" i="88"/>
  <c r="BC15" i="88"/>
  <c r="BE15" i="88" s="1"/>
  <c r="H15" i="88"/>
  <c r="AA17" i="88"/>
  <c r="AV19" i="88"/>
  <c r="AX19" i="88" s="1"/>
  <c r="AS20" i="88"/>
  <c r="AU20" i="88" s="1"/>
  <c r="AV25" i="88"/>
  <c r="BB25" i="88" s="1"/>
  <c r="AS25" i="88"/>
  <c r="H25" i="88"/>
  <c r="BC25" i="88"/>
  <c r="BE25" i="88" s="1"/>
  <c r="BC26" i="88"/>
  <c r="BE26" i="88" s="1"/>
  <c r="AP26" i="88"/>
  <c r="AR26" i="88" s="1"/>
  <c r="AV26" i="88"/>
  <c r="BB26" i="88" s="1"/>
  <c r="AZ27" i="88"/>
  <c r="AX27" i="88"/>
  <c r="AP33" i="88"/>
  <c r="AR33" i="88" s="1"/>
  <c r="U36" i="88"/>
  <c r="AO36" i="88"/>
  <c r="AO37" i="88"/>
  <c r="BF40" i="88"/>
  <c r="BH40" i="88" s="1"/>
  <c r="BE46" i="88"/>
  <c r="BF50" i="88"/>
  <c r="BH50" i="88" s="1"/>
  <c r="AO53" i="88"/>
  <c r="AV60" i="88"/>
  <c r="AS60" i="88"/>
  <c r="AU60" i="88" s="1"/>
  <c r="BC60" i="88"/>
  <c r="BE60" i="88" s="1"/>
  <c r="AS28" i="88"/>
  <c r="AU28" i="88" s="1"/>
  <c r="H28" i="88"/>
  <c r="O17" i="88"/>
  <c r="Q17" i="88" s="1"/>
  <c r="AU39" i="88"/>
  <c r="AX44" i="88"/>
  <c r="T9" i="88"/>
  <c r="AV8" i="88"/>
  <c r="BB8" i="88" s="1"/>
  <c r="U11" i="88"/>
  <c r="AO7" i="88"/>
  <c r="F11" i="88"/>
  <c r="H11" i="88" s="1"/>
  <c r="BC16" i="88"/>
  <c r="BE16" i="88" s="1"/>
  <c r="U23" i="88"/>
  <c r="W23" i="88" s="1"/>
  <c r="BF21" i="88"/>
  <c r="BH21" i="88" s="1"/>
  <c r="AR21" i="88"/>
  <c r="BC22" i="88"/>
  <c r="BE22" i="88" s="1"/>
  <c r="H26" i="88"/>
  <c r="AR28" i="88"/>
  <c r="BF29" i="88"/>
  <c r="BH29" i="88" s="1"/>
  <c r="BF31" i="88"/>
  <c r="BC32" i="88"/>
  <c r="BE32" i="88" s="1"/>
  <c r="AV32" i="88"/>
  <c r="BB32" i="88" s="1"/>
  <c r="AV34" i="88"/>
  <c r="AX34" i="88" s="1"/>
  <c r="AQ36" i="88"/>
  <c r="N49" i="88"/>
  <c r="AT57" i="88"/>
  <c r="H60" i="88"/>
  <c r="BF65" i="88"/>
  <c r="U17" i="88"/>
  <c r="Q21" i="88"/>
  <c r="AP7" i="88"/>
  <c r="AR7" i="88" s="1"/>
  <c r="AS13" i="88"/>
  <c r="AU13" i="88" s="1"/>
  <c r="AV15" i="88"/>
  <c r="BB15" i="88" s="1"/>
  <c r="AP18" i="88"/>
  <c r="BC18" i="88"/>
  <c r="BE18" i="88" s="1"/>
  <c r="O23" i="88"/>
  <c r="Q23" i="88" s="1"/>
  <c r="W28" i="88"/>
  <c r="BF34" i="88"/>
  <c r="BH34" i="88" s="1"/>
  <c r="AS35" i="88"/>
  <c r="AU35" i="88" s="1"/>
  <c r="R42" i="88"/>
  <c r="T42" i="88" s="1"/>
  <c r="I42" i="88"/>
  <c r="AV39" i="88"/>
  <c r="AX39" i="88" s="1"/>
  <c r="M66" i="88"/>
  <c r="BC52" i="88"/>
  <c r="BE52" i="88" s="1"/>
  <c r="AS53" i="88"/>
  <c r="AU53" i="88" s="1"/>
  <c r="AA64" i="88"/>
  <c r="AC64" i="88" s="1"/>
  <c r="BF58" i="88"/>
  <c r="AE66" i="88"/>
  <c r="BF9" i="88"/>
  <c r="BH9" i="88" s="1"/>
  <c r="AT17" i="88"/>
  <c r="AS7" i="88"/>
  <c r="Z7" i="88"/>
  <c r="BF7" i="88"/>
  <c r="BC12" i="88"/>
  <c r="BE12" i="88" s="1"/>
  <c r="H12" i="88"/>
  <c r="AS12" i="88"/>
  <c r="BF16" i="88"/>
  <c r="BH16" i="88" s="1"/>
  <c r="AV28" i="88"/>
  <c r="BB28" i="88" s="1"/>
  <c r="AS31" i="88"/>
  <c r="BH32" i="88"/>
  <c r="T40" i="88"/>
  <c r="AS40" i="88"/>
  <c r="AU40" i="88" s="1"/>
  <c r="AP47" i="88"/>
  <c r="AR47" i="88" s="1"/>
  <c r="H47" i="88"/>
  <c r="AS47" i="88"/>
  <c r="AU47" i="88" s="1"/>
  <c r="AS55" i="88"/>
  <c r="AU55" i="88" s="1"/>
  <c r="N55" i="88"/>
  <c r="AP55" i="88"/>
  <c r="AR55" i="88" s="1"/>
  <c r="X17" i="88"/>
  <c r="Z17" i="88" s="1"/>
  <c r="BE47" i="88"/>
  <c r="BC10" i="88"/>
  <c r="BE10" i="88" s="1"/>
  <c r="BC14" i="88"/>
  <c r="BE14" i="88" s="1"/>
  <c r="AS56" i="88"/>
  <c r="AU56" i="88" s="1"/>
  <c r="BC56" i="88"/>
  <c r="BE56" i="88" s="1"/>
  <c r="H56" i="88"/>
  <c r="AP56" i="88"/>
  <c r="AR56" i="88" s="1"/>
  <c r="AV56" i="88"/>
  <c r="AX56" i="88" s="1"/>
  <c r="H7" i="88"/>
  <c r="BG11" i="88"/>
  <c r="BG17" i="88"/>
  <c r="R17" i="88"/>
  <c r="T17" i="88" s="1"/>
  <c r="H18" i="88"/>
  <c r="Q25" i="88"/>
  <c r="BF28" i="88"/>
  <c r="BH28" i="88" s="1"/>
  <c r="H36" i="88"/>
  <c r="AY42" i="88"/>
  <c r="AY45" i="88" s="1"/>
  <c r="AZ37" i="88"/>
  <c r="BB41" i="88"/>
  <c r="AQ42" i="88"/>
  <c r="T43" i="88"/>
  <c r="R45" i="88"/>
  <c r="T45" i="88" s="1"/>
  <c r="AV49" i="88"/>
  <c r="AX49" i="88" s="1"/>
  <c r="AV58" i="88"/>
  <c r="H58" i="88"/>
  <c r="AS58" i="88"/>
  <c r="BC58" i="88"/>
  <c r="BE58" i="88" s="1"/>
  <c r="F64" i="88"/>
  <c r="H64" i="88" s="1"/>
  <c r="AP58" i="88"/>
  <c r="AR58" i="88" s="1"/>
  <c r="AP60" i="88"/>
  <c r="AR60" i="88" s="1"/>
  <c r="W63" i="88"/>
  <c r="U64" i="88"/>
  <c r="W64" i="88" s="1"/>
  <c r="N51" i="88"/>
  <c r="AJ11" i="88"/>
  <c r="AL11" i="88" s="1"/>
  <c r="X23" i="88"/>
  <c r="Z23" i="88" s="1"/>
  <c r="W45" i="88"/>
  <c r="AP52" i="88"/>
  <c r="AR52" i="88" s="1"/>
  <c r="F57" i="88"/>
  <c r="AV52" i="88"/>
  <c r="AD64" i="88"/>
  <c r="AX20" i="88"/>
  <c r="BF22" i="88"/>
  <c r="BH22" i="88" s="1"/>
  <c r="AG23" i="88"/>
  <c r="AI23" i="88" s="1"/>
  <c r="BC8" i="88"/>
  <c r="BE8" i="88" s="1"/>
  <c r="AV16" i="88"/>
  <c r="AX16" i="88" s="1"/>
  <c r="AI17" i="88"/>
  <c r="BG23" i="88"/>
  <c r="BC19" i="88"/>
  <c r="BE19" i="88" s="1"/>
  <c r="BB20" i="88"/>
  <c r="AS22" i="88"/>
  <c r="AU22" i="88" s="1"/>
  <c r="BC31" i="88"/>
  <c r="BE31" i="88" s="1"/>
  <c r="R36" i="88"/>
  <c r="T36" i="88" s="1"/>
  <c r="AP32" i="88"/>
  <c r="AR32" i="88" s="1"/>
  <c r="I36" i="88"/>
  <c r="K36" i="88" s="1"/>
  <c r="AD36" i="88"/>
  <c r="AF36" i="88" s="1"/>
  <c r="AD57" i="88"/>
  <c r="AF57" i="88" s="1"/>
  <c r="I64" i="88"/>
  <c r="K58" i="88"/>
  <c r="V66" i="88"/>
  <c r="BE7" i="88"/>
  <c r="AV7" i="88"/>
  <c r="AP8" i="88"/>
  <c r="AR8" i="88" s="1"/>
  <c r="AS10" i="88"/>
  <c r="AU10" i="88" s="1"/>
  <c r="AO11" i="88"/>
  <c r="L17" i="88"/>
  <c r="N17" i="88" s="1"/>
  <c r="AV12" i="88"/>
  <c r="AX12" i="88" s="1"/>
  <c r="AP19" i="88"/>
  <c r="AR19" i="88" s="1"/>
  <c r="AM23" i="88"/>
  <c r="AO23" i="88" s="1"/>
  <c r="BD23" i="88"/>
  <c r="N29" i="88"/>
  <c r="AS29" i="88"/>
  <c r="AU29" i="88" s="1"/>
  <c r="L36" i="88"/>
  <c r="N36" i="88" s="1"/>
  <c r="BD45" i="88"/>
  <c r="BF49" i="88"/>
  <c r="BH49" i="88" s="1"/>
  <c r="T55" i="88"/>
  <c r="R57" i="88"/>
  <c r="T57" i="88" s="1"/>
  <c r="X36" i="88"/>
  <c r="Z36" i="88" s="1"/>
  <c r="AA42" i="88"/>
  <c r="AC42" i="88" s="1"/>
  <c r="L45" i="88"/>
  <c r="N45" i="88" s="1"/>
  <c r="AP43" i="88"/>
  <c r="AC45" i="88"/>
  <c r="Q46" i="88"/>
  <c r="O51" i="88"/>
  <c r="Q51" i="88" s="1"/>
  <c r="BC50" i="88"/>
  <c r="BE50" i="88" s="1"/>
  <c r="AS50" i="88"/>
  <c r="AU50" i="88" s="1"/>
  <c r="AO51" i="88"/>
  <c r="AP54" i="88"/>
  <c r="AR54" i="88" s="1"/>
  <c r="AS54" i="88"/>
  <c r="AU54" i="88" s="1"/>
  <c r="BC54" i="88"/>
  <c r="BE54" i="88" s="1"/>
  <c r="AN66" i="88"/>
  <c r="X42" i="88"/>
  <c r="Z42" i="88" s="1"/>
  <c r="BF37" i="88"/>
  <c r="AT42" i="88"/>
  <c r="BC39" i="88"/>
  <c r="BE39" i="88" s="1"/>
  <c r="AP39" i="88"/>
  <c r="AR39" i="88" s="1"/>
  <c r="AX40" i="88"/>
  <c r="N43" i="88"/>
  <c r="T46" i="88"/>
  <c r="R51" i="88"/>
  <c r="T51" i="88" s="1"/>
  <c r="AQ51" i="88"/>
  <c r="T49" i="88"/>
  <c r="H50" i="88"/>
  <c r="BF53" i="88"/>
  <c r="BH53" i="88" s="1"/>
  <c r="H54" i="88"/>
  <c r="BF59" i="88"/>
  <c r="BH59" i="88" s="1"/>
  <c r="Q62" i="88"/>
  <c r="BC65" i="88"/>
  <c r="BE65" i="88" s="1"/>
  <c r="AT36" i="88"/>
  <c r="W35" i="88"/>
  <c r="AS41" i="88"/>
  <c r="AU41" i="88" s="1"/>
  <c r="H41" i="88"/>
  <c r="BC41" i="88"/>
  <c r="BE41" i="88" s="1"/>
  <c r="AP41" i="88"/>
  <c r="AR41" i="88" s="1"/>
  <c r="AD42" i="88"/>
  <c r="AF42" i="88" s="1"/>
  <c r="O45" i="88"/>
  <c r="Q45" i="88" s="1"/>
  <c r="U51" i="88"/>
  <c r="W51" i="88" s="1"/>
  <c r="AR46" i="88"/>
  <c r="N48" i="88"/>
  <c r="BH54" i="88"/>
  <c r="BF55" i="88"/>
  <c r="BH55" i="88" s="1"/>
  <c r="AP14" i="88"/>
  <c r="AR14" i="88" s="1"/>
  <c r="AS16" i="88"/>
  <c r="AU16" i="88" s="1"/>
  <c r="BC21" i="88"/>
  <c r="BE21" i="88" s="1"/>
  <c r="H21" i="88"/>
  <c r="AS21" i="88"/>
  <c r="AU21" i="88" s="1"/>
  <c r="BH25" i="88"/>
  <c r="AG42" i="88"/>
  <c r="AI42" i="88" s="1"/>
  <c r="Q42" i="88"/>
  <c r="BF44" i="88"/>
  <c r="BH44" i="88" s="1"/>
  <c r="AV53" i="88"/>
  <c r="Y66" i="88"/>
  <c r="Z57" i="88"/>
  <c r="AW64" i="88"/>
  <c r="BF62" i="88"/>
  <c r="BH62" i="88" s="1"/>
  <c r="AX31" i="88"/>
  <c r="W33" i="88"/>
  <c r="H35" i="88"/>
  <c r="BC40" i="88"/>
  <c r="BE40" i="88" s="1"/>
  <c r="AM45" i="88"/>
  <c r="AO45" i="88" s="1"/>
  <c r="AV54" i="88"/>
  <c r="BC59" i="88"/>
  <c r="BE59" i="88" s="1"/>
  <c r="K59" i="88"/>
  <c r="AS61" i="88"/>
  <c r="AU61" i="88" s="1"/>
  <c r="AX62" i="88"/>
  <c r="BC29" i="88"/>
  <c r="BE29" i="88" s="1"/>
  <c r="AP29" i="88"/>
  <c r="AR29" i="88" s="1"/>
  <c r="AS32" i="88"/>
  <c r="AU32" i="88" s="1"/>
  <c r="AU33" i="88"/>
  <c r="AS34" i="88"/>
  <c r="AU34" i="88" s="1"/>
  <c r="BC34" i="88"/>
  <c r="BE34" i="88" s="1"/>
  <c r="AP34" i="88"/>
  <c r="AR34" i="88" s="1"/>
  <c r="AV46" i="88"/>
  <c r="H46" i="88"/>
  <c r="AS46" i="88"/>
  <c r="AU46" i="88" s="1"/>
  <c r="BH47" i="88"/>
  <c r="BF48" i="88"/>
  <c r="BH48" i="88" s="1"/>
  <c r="AA57" i="88"/>
  <c r="AC57" i="88" s="1"/>
  <c r="AQ45" i="88"/>
  <c r="BF46" i="88"/>
  <c r="X51" i="88"/>
  <c r="Z51" i="88" s="1"/>
  <c r="BD51" i="88"/>
  <c r="AG57" i="88"/>
  <c r="AI57" i="88" s="1"/>
  <c r="BB59" i="88"/>
  <c r="BF63" i="88"/>
  <c r="BH63" i="88" s="1"/>
  <c r="AB66" i="88"/>
  <c r="BC33" i="88"/>
  <c r="BE33" i="88" s="1"/>
  <c r="H33" i="88"/>
  <c r="AX41" i="88"/>
  <c r="N52" i="88"/>
  <c r="L57" i="88"/>
  <c r="N57" i="88" s="1"/>
  <c r="N61" i="88"/>
  <c r="J66" i="88"/>
  <c r="AS37" i="88"/>
  <c r="BC37" i="88"/>
  <c r="BE37" i="88" s="1"/>
  <c r="AP37" i="88"/>
  <c r="AK66" i="88"/>
  <c r="BC27" i="88"/>
  <c r="BE27" i="88" s="1"/>
  <c r="H27" i="88"/>
  <c r="AV33" i="88"/>
  <c r="AX33" i="88" s="1"/>
  <c r="H37" i="88"/>
  <c r="AV37" i="88"/>
  <c r="AS43" i="88"/>
  <c r="BC43" i="88"/>
  <c r="BE43" i="88" s="1"/>
  <c r="H43" i="88"/>
  <c r="AV43" i="88"/>
  <c r="BB43" i="88" s="1"/>
  <c r="F45" i="88"/>
  <c r="AG51" i="88"/>
  <c r="AI51" i="88" s="1"/>
  <c r="AS49" i="88"/>
  <c r="AU49" i="88" s="1"/>
  <c r="BC49" i="88"/>
  <c r="BE49" i="88" s="1"/>
  <c r="H49" i="88"/>
  <c r="AP49" i="88"/>
  <c r="AR49" i="88" s="1"/>
  <c r="AJ51" i="88"/>
  <c r="AL51" i="88" s="1"/>
  <c r="U57" i="88"/>
  <c r="BH60" i="88"/>
  <c r="R64" i="88"/>
  <c r="BG64" i="88"/>
  <c r="AS27" i="88"/>
  <c r="AU27" i="88" s="1"/>
  <c r="BF27" i="88"/>
  <c r="AO31" i="88"/>
  <c r="H32" i="88"/>
  <c r="AS44" i="88"/>
  <c r="AU44" i="88" s="1"/>
  <c r="AP44" i="88"/>
  <c r="AR44" i="88" s="1"/>
  <c r="BC44" i="88"/>
  <c r="BE44" i="88" s="1"/>
  <c r="W52" i="88"/>
  <c r="BG57" i="88"/>
  <c r="BF56" i="88"/>
  <c r="BH56" i="88" s="1"/>
  <c r="X64" i="88"/>
  <c r="Z64" i="88" s="1"/>
  <c r="AT64" i="88"/>
  <c r="BF61" i="88"/>
  <c r="BH61" i="88" s="1"/>
  <c r="AS62" i="88"/>
  <c r="AU62" i="88" s="1"/>
  <c r="BC62" i="88"/>
  <c r="BE62" i="88" s="1"/>
  <c r="H62" i="88"/>
  <c r="AP62" i="88"/>
  <c r="AR62" i="88" s="1"/>
  <c r="I57" i="88"/>
  <c r="K57" i="88" s="1"/>
  <c r="BC53" i="88"/>
  <c r="BE53" i="88" s="1"/>
  <c r="AP59" i="88"/>
  <c r="AR59" i="88" s="1"/>
  <c r="BC48" i="88"/>
  <c r="BE48" i="88" s="1"/>
  <c r="H48" i="88"/>
  <c r="AA51" i="88"/>
  <c r="AC51" i="88" s="1"/>
  <c r="BC55" i="88"/>
  <c r="BE55" i="88" s="1"/>
  <c r="H55" i="88"/>
  <c r="L64" i="88"/>
  <c r="N64" i="88" s="1"/>
  <c r="N58" i="88"/>
  <c r="AJ64" i="88"/>
  <c r="AY64" i="88"/>
  <c r="K45" i="88"/>
  <c r="X45" i="88"/>
  <c r="Z45" i="88" s="1"/>
  <c r="BG51" i="88"/>
  <c r="H53" i="88"/>
  <c r="O64" i="88"/>
  <c r="Q64" i="88" s="1"/>
  <c r="Q58" i="88"/>
  <c r="BC61" i="88"/>
  <c r="BE61" i="88" s="1"/>
  <c r="H61" i="88"/>
  <c r="P66" i="88"/>
  <c r="I51" i="88"/>
  <c r="K51" i="88" s="1"/>
  <c r="AV48" i="88"/>
  <c r="BB48" i="88" s="1"/>
  <c r="AV55" i="88"/>
  <c r="BB55" i="88" s="1"/>
  <c r="AM64" i="88"/>
  <c r="AO64" i="88" s="1"/>
  <c r="R81" i="88"/>
  <c r="U78" i="88"/>
  <c r="U77" i="88"/>
  <c r="L44" i="87"/>
  <c r="L17" i="87"/>
  <c r="L31" i="87"/>
  <c r="L61" i="87"/>
  <c r="L48" i="87"/>
  <c r="BF30" i="88" l="1"/>
  <c r="BH30" i="88" s="1"/>
  <c r="AS30" i="88"/>
  <c r="AU30" i="88" s="1"/>
  <c r="AP30" i="88"/>
  <c r="AR30" i="88" s="1"/>
  <c r="BC42" i="88"/>
  <c r="AZ11" i="88"/>
  <c r="K42" i="88"/>
  <c r="AJ66" i="88"/>
  <c r="AL66" i="88" s="1"/>
  <c r="AL64" i="88"/>
  <c r="W57" i="88"/>
  <c r="BB63" i="88"/>
  <c r="BF51" i="88"/>
  <c r="BH51" i="88" s="1"/>
  <c r="BB49" i="88"/>
  <c r="AX47" i="88"/>
  <c r="AS64" i="88"/>
  <c r="AU64" i="88" s="1"/>
  <c r="AU58" i="88"/>
  <c r="BB56" i="88"/>
  <c r="AS51" i="88"/>
  <c r="AU51" i="88" s="1"/>
  <c r="BF42" i="88"/>
  <c r="BH42" i="88" s="1"/>
  <c r="AZ45" i="88"/>
  <c r="BB39" i="88"/>
  <c r="AA66" i="88"/>
  <c r="AC66" i="88" s="1"/>
  <c r="BC23" i="88"/>
  <c r="BE23" i="88" s="1"/>
  <c r="BC17" i="88"/>
  <c r="BE17" i="88" s="1"/>
  <c r="AW17" i="88"/>
  <c r="AW23" i="88" s="1"/>
  <c r="AW30" i="88" s="1"/>
  <c r="AW36" i="88" s="1"/>
  <c r="BB34" i="88"/>
  <c r="BC36" i="88"/>
  <c r="BE36" i="88" s="1"/>
  <c r="AX26" i="88"/>
  <c r="AX10" i="88"/>
  <c r="AP17" i="88"/>
  <c r="AR17" i="88" s="1"/>
  <c r="BB16" i="88"/>
  <c r="K17" i="88"/>
  <c r="AX15" i="88"/>
  <c r="AX28" i="88"/>
  <c r="AS23" i="88"/>
  <c r="AU23" i="88" s="1"/>
  <c r="BF23" i="88"/>
  <c r="BH23" i="88" s="1"/>
  <c r="AR13" i="88"/>
  <c r="BF17" i="88"/>
  <c r="BH17" i="88" s="1"/>
  <c r="AV11" i="88"/>
  <c r="BB11" i="88" s="1"/>
  <c r="AS57" i="88"/>
  <c r="AM66" i="88"/>
  <c r="AO66" i="88" s="1"/>
  <c r="BC45" i="88"/>
  <c r="BE45" i="88" s="1"/>
  <c r="H45" i="88"/>
  <c r="F66" i="88"/>
  <c r="H66" i="88" s="1"/>
  <c r="BC64" i="88"/>
  <c r="AZ42" i="88"/>
  <c r="AY51" i="88"/>
  <c r="BF36" i="88"/>
  <c r="BH36" i="88" s="1"/>
  <c r="BH31" i="88"/>
  <c r="BB19" i="88"/>
  <c r="BB54" i="88"/>
  <c r="AX54" i="88"/>
  <c r="AR43" i="88"/>
  <c r="AP45" i="88"/>
  <c r="AR45" i="88" s="1"/>
  <c r="AS36" i="88"/>
  <c r="AU36" i="88" s="1"/>
  <c r="AU31" i="88"/>
  <c r="AX48" i="88"/>
  <c r="AP23" i="88"/>
  <c r="AR23" i="88" s="1"/>
  <c r="AX7" i="88"/>
  <c r="AC17" i="88"/>
  <c r="AY23" i="88"/>
  <c r="AU43" i="88"/>
  <c r="AS45" i="88"/>
  <c r="AU45" i="88" s="1"/>
  <c r="I66" i="88"/>
  <c r="K66" i="88" s="1"/>
  <c r="K64" i="88"/>
  <c r="AV64" i="88"/>
  <c r="AX64" i="88" s="1"/>
  <c r="BB58" i="88"/>
  <c r="AX58" i="88"/>
  <c r="AU7" i="88"/>
  <c r="AS11" i="88"/>
  <c r="AU11" i="88" s="1"/>
  <c r="BH37" i="88"/>
  <c r="AP36" i="88"/>
  <c r="AR36" i="88" s="1"/>
  <c r="AX8" i="88"/>
  <c r="BH7" i="88"/>
  <c r="BF11" i="88"/>
  <c r="BH11" i="88" s="1"/>
  <c r="L66" i="88"/>
  <c r="N66" i="88" s="1"/>
  <c r="AR37" i="88"/>
  <c r="AP42" i="88"/>
  <c r="AR42" i="88" s="1"/>
  <c r="BD66" i="88"/>
  <c r="AX25" i="88"/>
  <c r="BH43" i="88"/>
  <c r="BF45" i="88"/>
  <c r="BH45" i="88" s="1"/>
  <c r="U4" i="88"/>
  <c r="S4" i="88"/>
  <c r="BB37" i="88"/>
  <c r="AV42" i="88"/>
  <c r="AV45" i="88" s="1"/>
  <c r="BB45" i="88" s="1"/>
  <c r="AX37" i="88"/>
  <c r="AW51" i="88"/>
  <c r="AZ64" i="88"/>
  <c r="AD66" i="88"/>
  <c r="AF66" i="88" s="1"/>
  <c r="AF64" i="88"/>
  <c r="BH27" i="88"/>
  <c r="AX14" i="88"/>
  <c r="AG66" i="88"/>
  <c r="AI66" i="88" s="1"/>
  <c r="BC51" i="88"/>
  <c r="BE51" i="88" s="1"/>
  <c r="BG66" i="88"/>
  <c r="AS42" i="88"/>
  <c r="AU42" i="88" s="1"/>
  <c r="AT66" i="88"/>
  <c r="AU37" i="88"/>
  <c r="BB33" i="88"/>
  <c r="BE42" i="88"/>
  <c r="BH46" i="88"/>
  <c r="AP11" i="88"/>
  <c r="AR11" i="88" s="1"/>
  <c r="X66" i="88"/>
  <c r="Z66" i="88" s="1"/>
  <c r="BC11" i="88"/>
  <c r="BE11" i="88" s="1"/>
  <c r="AU25" i="88"/>
  <c r="W17" i="88"/>
  <c r="BB12" i="88"/>
  <c r="R66" i="88"/>
  <c r="T66" i="88" s="1"/>
  <c r="T64" i="88"/>
  <c r="U66" i="88"/>
  <c r="W66" i="88" s="1"/>
  <c r="O66" i="88"/>
  <c r="Q66" i="88" s="1"/>
  <c r="AX55" i="88"/>
  <c r="BB52" i="88"/>
  <c r="AX52" i="88"/>
  <c r="BH65" i="88"/>
  <c r="W36" i="88"/>
  <c r="BC30" i="88"/>
  <c r="BE30" i="88" s="1"/>
  <c r="H30" i="88"/>
  <c r="BB18" i="88"/>
  <c r="AR18" i="88"/>
  <c r="BM16" i="88" s="1" a="1"/>
  <c r="BM16" i="88" s="1"/>
  <c r="BB7" i="88"/>
  <c r="AX43" i="88"/>
  <c r="BB53" i="88"/>
  <c r="AX53" i="88"/>
  <c r="BC57" i="88"/>
  <c r="BE57" i="88" s="1"/>
  <c r="H57" i="88"/>
  <c r="BF64" i="88"/>
  <c r="BH64" i="88" s="1"/>
  <c r="BH58" i="88"/>
  <c r="W11" i="88"/>
  <c r="AX32" i="88"/>
  <c r="AX46" i="88"/>
  <c r="BB46" i="88"/>
  <c r="BF57" i="88"/>
  <c r="BH57" i="88" s="1"/>
  <c r="AP51" i="88"/>
  <c r="AR51" i="88" s="1"/>
  <c r="AP57" i="88"/>
  <c r="AR57" i="88" s="1"/>
  <c r="AP64" i="88"/>
  <c r="AR64" i="88" s="1"/>
  <c r="AU12" i="88"/>
  <c r="AS17" i="88"/>
  <c r="AU17" i="88" s="1"/>
  <c r="BB60" i="88"/>
  <c r="AX60" i="88"/>
  <c r="AQ66" i="88"/>
  <c r="BM19" i="88" l="1" a="1"/>
  <c r="BM19" i="88" s="1"/>
  <c r="BN19" i="88" s="1"/>
  <c r="BP19" i="88" s="1"/>
  <c r="BM14" i="88" a="1"/>
  <c r="BM14" i="88" s="1"/>
  <c r="BN14" i="88" s="1"/>
  <c r="BO14" i="88" s="1"/>
  <c r="BM11" i="88" a="1"/>
  <c r="BM11" i="88" s="1"/>
  <c r="BN11" i="88" s="1"/>
  <c r="BO11" i="88" s="1"/>
  <c r="BM15" i="88" a="1"/>
  <c r="BM15" i="88" s="1"/>
  <c r="BN15" i="88" s="1"/>
  <c r="BO15" i="88" s="1"/>
  <c r="BM10" i="88" a="1"/>
  <c r="BM10" i="88" s="1"/>
  <c r="BN10" i="88" s="1"/>
  <c r="BP10" i="88" s="1"/>
  <c r="BN16" i="88"/>
  <c r="BO16" i="88" s="1"/>
  <c r="BM17" i="88" a="1"/>
  <c r="BM17" i="88" s="1"/>
  <c r="BN17" i="88" s="1"/>
  <c r="BM13" i="88" a="1"/>
  <c r="BM13" i="88" s="1"/>
  <c r="BN13" i="88" s="1"/>
  <c r="BM12" i="88" a="1"/>
  <c r="BM12" i="88" s="1"/>
  <c r="BN12" i="88" s="1"/>
  <c r="BM18" i="88" a="1"/>
  <c r="BM18" i="88" s="1"/>
  <c r="BN18" i="88" s="1"/>
  <c r="AV17" i="88"/>
  <c r="BB17" i="88" s="1"/>
  <c r="AZ17" i="88"/>
  <c r="BC66" i="88"/>
  <c r="BE66" i="88" s="1"/>
  <c r="AX11" i="88"/>
  <c r="AS66" i="88"/>
  <c r="AU66" i="88" s="1"/>
  <c r="BB42" i="88"/>
  <c r="AV51" i="88"/>
  <c r="AX42" i="88"/>
  <c r="BB64" i="88"/>
  <c r="BE64" i="88"/>
  <c r="AW57" i="88"/>
  <c r="AX45" i="88"/>
  <c r="AU57" i="88"/>
  <c r="X4" i="88"/>
  <c r="V4" i="88"/>
  <c r="BF66" i="88"/>
  <c r="BH66" i="88" s="1"/>
  <c r="AZ51" i="88"/>
  <c r="AY57" i="88"/>
  <c r="AP66" i="88"/>
  <c r="AR66" i="88" s="1"/>
  <c r="AZ23" i="88"/>
  <c r="AY30" i="88"/>
  <c r="BO10" i="88" l="1"/>
  <c r="BP14" i="88"/>
  <c r="BO19" i="88"/>
  <c r="BP15" i="88"/>
  <c r="BP16" i="88"/>
  <c r="BP11" i="88"/>
  <c r="BP13" i="88"/>
  <c r="BO13" i="88"/>
  <c r="BO18" i="88"/>
  <c r="BP18" i="88"/>
  <c r="BP17" i="88"/>
  <c r="BO17" i="88"/>
  <c r="BO12" i="88"/>
  <c r="BP12" i="88"/>
  <c r="AV23" i="88"/>
  <c r="AX23" i="88" s="1"/>
  <c r="AX17" i="88"/>
  <c r="AY36" i="88"/>
  <c r="AZ36" i="88" s="1"/>
  <c r="AZ30" i="88"/>
  <c r="AW66" i="88"/>
  <c r="BB51" i="88"/>
  <c r="AV57" i="88"/>
  <c r="AA4" i="88"/>
  <c r="Y4" i="88"/>
  <c r="AX51" i="88"/>
  <c r="AZ57" i="88"/>
  <c r="BR10" i="88" l="1"/>
  <c r="BR32" i="88" s="1"/>
  <c r="BQ10" i="88"/>
  <c r="BQ32" i="88" s="1"/>
  <c r="AY66" i="88"/>
  <c r="BB23" i="88"/>
  <c r="AV30" i="88"/>
  <c r="AV36" i="88" s="1"/>
  <c r="AV66" i="88" s="1"/>
  <c r="BB66" i="88" s="1"/>
  <c r="AD4" i="88"/>
  <c r="AB4" i="88"/>
  <c r="BB57" i="88"/>
  <c r="AZ66" i="88"/>
  <c r="AX57" i="88"/>
  <c r="BS32" i="88" l="1"/>
  <c r="AX30" i="88"/>
  <c r="BB30" i="88"/>
  <c r="BB36" i="88"/>
  <c r="AX36" i="88"/>
  <c r="AX66" i="88"/>
  <c r="AE4" i="88"/>
  <c r="AG4" i="88"/>
  <c r="AJ4" i="88" l="1"/>
  <c r="AH4" i="88"/>
  <c r="AM4" i="88" l="1"/>
  <c r="AN4" i="88" s="1"/>
  <c r="AK4" i="88"/>
  <c r="CX65" i="77" l="1"/>
  <c r="CV65" i="77"/>
  <c r="CQ65" i="77"/>
  <c r="CO65" i="77"/>
  <c r="AN63" i="74"/>
  <c r="AM63" i="74"/>
  <c r="AK63" i="74"/>
  <c r="AJ63" i="74"/>
  <c r="AH63" i="74"/>
  <c r="AG63" i="74"/>
  <c r="AE63" i="74"/>
  <c r="AD63" i="74"/>
  <c r="BG69" i="78"/>
  <c r="BD69" i="78"/>
  <c r="AT69" i="78"/>
  <c r="AQ69" i="78"/>
  <c r="AL63" i="74" l="1"/>
  <c r="AO63" i="74"/>
  <c r="AF63" i="74"/>
  <c r="AI63" i="74"/>
  <c r="CZ69" i="73" l="1"/>
  <c r="CX69" i="73"/>
  <c r="CL69" i="73"/>
  <c r="CE69" i="73"/>
  <c r="CC69" i="73"/>
  <c r="AV69" i="72"/>
  <c r="AT69" i="72"/>
  <c r="AQ69" i="72"/>
  <c r="AO69" i="72"/>
  <c r="AL69" i="72"/>
  <c r="AJ69" i="72"/>
  <c r="AG69" i="72"/>
  <c r="AE69" i="72"/>
  <c r="AN67" i="70"/>
  <c r="AM67" i="70"/>
  <c r="AH67" i="70"/>
  <c r="AG67" i="70"/>
  <c r="AE67" i="70"/>
  <c r="AD67" i="70"/>
  <c r="AM69" i="72" l="1"/>
  <c r="AI67" i="70"/>
  <c r="AF67" i="70"/>
  <c r="AO67" i="70"/>
  <c r="AW69" i="72"/>
  <c r="AR69" i="72"/>
  <c r="AH69" i="72"/>
  <c r="M67" i="87"/>
  <c r="M66" i="87"/>
  <c r="M65" i="87"/>
  <c r="M64" i="87"/>
  <c r="M63" i="87"/>
  <c r="M62" i="87"/>
  <c r="M60" i="87"/>
  <c r="M59" i="87"/>
  <c r="M58" i="87"/>
  <c r="M57" i="87"/>
  <c r="M56" i="87"/>
  <c r="M54" i="87"/>
  <c r="M53" i="87"/>
  <c r="N53" i="87" s="1"/>
  <c r="M52" i="87"/>
  <c r="M51" i="87"/>
  <c r="N51" i="87" s="1"/>
  <c r="M50" i="87"/>
  <c r="M49" i="87"/>
  <c r="M47" i="87"/>
  <c r="M46" i="87"/>
  <c r="M45" i="87"/>
  <c r="M43" i="87"/>
  <c r="M42" i="87"/>
  <c r="M41" i="87"/>
  <c r="M40" i="87"/>
  <c r="M39" i="87"/>
  <c r="M38" i="87"/>
  <c r="M36" i="87"/>
  <c r="M35" i="87"/>
  <c r="M34" i="87"/>
  <c r="M33" i="87"/>
  <c r="M32" i="87"/>
  <c r="M30" i="87"/>
  <c r="M29" i="87"/>
  <c r="M28" i="87"/>
  <c r="M27" i="87"/>
  <c r="M26" i="87"/>
  <c r="M25" i="87"/>
  <c r="M24" i="87"/>
  <c r="M22" i="87"/>
  <c r="M21" i="87"/>
  <c r="M20" i="87"/>
  <c r="M19" i="87"/>
  <c r="M18" i="87"/>
  <c r="M16" i="87"/>
  <c r="M15" i="87"/>
  <c r="N15" i="87" s="1"/>
  <c r="M14" i="87"/>
  <c r="N14" i="87" s="1"/>
  <c r="M13" i="87"/>
  <c r="M12" i="87"/>
  <c r="N12" i="87" s="1"/>
  <c r="M10" i="87"/>
  <c r="N10" i="87" s="1"/>
  <c r="M9" i="87"/>
  <c r="M8" i="87"/>
  <c r="N8" i="87" s="1"/>
  <c r="M7" i="87"/>
  <c r="N7" i="87" s="1"/>
  <c r="J67" i="87"/>
  <c r="J66" i="87"/>
  <c r="J65" i="87"/>
  <c r="J64" i="87"/>
  <c r="J63" i="87"/>
  <c r="K63" i="87" s="1"/>
  <c r="J62" i="87"/>
  <c r="J60" i="87"/>
  <c r="J59" i="87"/>
  <c r="J58" i="87"/>
  <c r="J57" i="87"/>
  <c r="J56" i="87"/>
  <c r="J54" i="87"/>
  <c r="J53" i="87"/>
  <c r="J52" i="87"/>
  <c r="J51" i="87"/>
  <c r="J50" i="87"/>
  <c r="J49" i="87"/>
  <c r="J47" i="87"/>
  <c r="J46" i="87"/>
  <c r="J45" i="87"/>
  <c r="J43" i="87"/>
  <c r="J42" i="87"/>
  <c r="J41" i="87"/>
  <c r="J40" i="87"/>
  <c r="J39" i="87"/>
  <c r="J38" i="87"/>
  <c r="J36" i="87"/>
  <c r="J35" i="87"/>
  <c r="J34" i="87"/>
  <c r="J33" i="87"/>
  <c r="J32" i="87"/>
  <c r="J30" i="87"/>
  <c r="J29" i="87"/>
  <c r="J28" i="87"/>
  <c r="J27" i="87"/>
  <c r="J26" i="87"/>
  <c r="J25" i="87"/>
  <c r="J24" i="87"/>
  <c r="J22" i="87"/>
  <c r="J21" i="87"/>
  <c r="J20" i="87"/>
  <c r="J19" i="87"/>
  <c r="J18" i="87"/>
  <c r="J16" i="87"/>
  <c r="J15" i="87"/>
  <c r="J14" i="87"/>
  <c r="J13" i="87"/>
  <c r="J12" i="87"/>
  <c r="J10" i="87"/>
  <c r="J9" i="87"/>
  <c r="J8" i="87"/>
  <c r="J7" i="87"/>
  <c r="G67" i="87"/>
  <c r="G66" i="87"/>
  <c r="G65" i="87"/>
  <c r="G64" i="87"/>
  <c r="G63" i="87"/>
  <c r="G62" i="87"/>
  <c r="G60" i="87"/>
  <c r="G59" i="87"/>
  <c r="G58" i="87"/>
  <c r="G57" i="87"/>
  <c r="G56" i="87"/>
  <c r="G54" i="87"/>
  <c r="G53" i="87"/>
  <c r="G52" i="87"/>
  <c r="G51" i="87"/>
  <c r="G50" i="87"/>
  <c r="H50" i="87" s="1"/>
  <c r="G49" i="87"/>
  <c r="G47" i="87"/>
  <c r="G46" i="87"/>
  <c r="G45" i="87"/>
  <c r="G43" i="87"/>
  <c r="G42" i="87"/>
  <c r="G41" i="87"/>
  <c r="G40" i="87"/>
  <c r="G39" i="87"/>
  <c r="G38" i="87"/>
  <c r="G36" i="87"/>
  <c r="G35" i="87"/>
  <c r="G34" i="87"/>
  <c r="G33" i="87"/>
  <c r="G32" i="87"/>
  <c r="G30" i="87"/>
  <c r="G29" i="87"/>
  <c r="G28" i="87"/>
  <c r="G27" i="87"/>
  <c r="G26" i="87"/>
  <c r="G25" i="87"/>
  <c r="G24" i="87"/>
  <c r="G22" i="87"/>
  <c r="G21" i="87"/>
  <c r="G20" i="87"/>
  <c r="G19" i="87"/>
  <c r="G18" i="87"/>
  <c r="G16" i="87"/>
  <c r="G15" i="87"/>
  <c r="G14" i="87"/>
  <c r="G13" i="87"/>
  <c r="G12" i="87"/>
  <c r="G10" i="87"/>
  <c r="G9" i="87"/>
  <c r="G8" i="87"/>
  <c r="G7" i="87"/>
  <c r="Y80" i="87"/>
  <c r="V81" i="87" s="1"/>
  <c r="BA70" i="87"/>
  <c r="AY70" i="87"/>
  <c r="AM69" i="87"/>
  <c r="AO69" i="87" s="1"/>
  <c r="AJ69" i="87"/>
  <c r="AL69" i="87" s="1"/>
  <c r="AG69" i="87"/>
  <c r="AI69" i="87" s="1"/>
  <c r="AD69" i="87"/>
  <c r="AF69" i="87" s="1"/>
  <c r="AA69" i="87"/>
  <c r="AC69" i="87" s="1"/>
  <c r="X69" i="87"/>
  <c r="Z69" i="87" s="1"/>
  <c r="U69" i="87"/>
  <c r="W69" i="87" s="1"/>
  <c r="R69" i="87"/>
  <c r="T69" i="87" s="1"/>
  <c r="O69" i="87"/>
  <c r="Q69" i="87" s="1"/>
  <c r="L69" i="87"/>
  <c r="N69" i="87" s="1"/>
  <c r="I69" i="87"/>
  <c r="K69" i="87" s="1"/>
  <c r="F69" i="87"/>
  <c r="AN68" i="87"/>
  <c r="AK68" i="87"/>
  <c r="AH68" i="87"/>
  <c r="AE68" i="87"/>
  <c r="AB68" i="87"/>
  <c r="Y68" i="87"/>
  <c r="V68" i="87"/>
  <c r="S68" i="87"/>
  <c r="P68" i="87"/>
  <c r="BG67" i="87"/>
  <c r="W67" i="87"/>
  <c r="T67" i="87"/>
  <c r="BG66" i="87"/>
  <c r="W66" i="87"/>
  <c r="T66" i="87"/>
  <c r="Q66" i="87"/>
  <c r="BG65" i="87"/>
  <c r="W65" i="87"/>
  <c r="Q65" i="87"/>
  <c r="BG64" i="87"/>
  <c r="W64" i="87"/>
  <c r="T64" i="87"/>
  <c r="Q64" i="87"/>
  <c r="BG63" i="87"/>
  <c r="W63" i="87"/>
  <c r="T63" i="87"/>
  <c r="BG62" i="87"/>
  <c r="AN61" i="87"/>
  <c r="AK61" i="87"/>
  <c r="AH61" i="87"/>
  <c r="AE61" i="87"/>
  <c r="AB61" i="87"/>
  <c r="Y61" i="87"/>
  <c r="V61" i="87"/>
  <c r="S61" i="87"/>
  <c r="P61" i="87"/>
  <c r="BG60" i="87"/>
  <c r="W60" i="87"/>
  <c r="T60" i="87"/>
  <c r="Q60" i="87"/>
  <c r="BG59" i="87"/>
  <c r="W59" i="87"/>
  <c r="T59" i="87"/>
  <c r="Q59" i="87"/>
  <c r="BG58" i="87"/>
  <c r="W58" i="87"/>
  <c r="T58" i="87"/>
  <c r="Q58" i="87"/>
  <c r="BG57" i="87"/>
  <c r="T57" i="87"/>
  <c r="BG56" i="87"/>
  <c r="W56" i="87"/>
  <c r="T56" i="87"/>
  <c r="AN55" i="87"/>
  <c r="AK55" i="87"/>
  <c r="AH55" i="87"/>
  <c r="AE55" i="87"/>
  <c r="AB55" i="87"/>
  <c r="Y55" i="87"/>
  <c r="V55" i="87"/>
  <c r="S55" i="87"/>
  <c r="P55" i="87"/>
  <c r="BG54" i="87"/>
  <c r="W54" i="87"/>
  <c r="T54" i="87"/>
  <c r="Q54" i="87"/>
  <c r="BG53" i="87"/>
  <c r="W53" i="87"/>
  <c r="T53" i="87"/>
  <c r="BG52" i="87"/>
  <c r="T52" i="87"/>
  <c r="Q52" i="87"/>
  <c r="BG51" i="87"/>
  <c r="W51" i="87"/>
  <c r="T51" i="87"/>
  <c r="Q51" i="87"/>
  <c r="BG50" i="87"/>
  <c r="W50" i="87"/>
  <c r="T50" i="87"/>
  <c r="Q50" i="87"/>
  <c r="BG49" i="87"/>
  <c r="T49" i="87"/>
  <c r="Q49" i="87"/>
  <c r="AN48" i="87"/>
  <c r="AK48" i="87"/>
  <c r="AH48" i="87"/>
  <c r="AE48" i="87"/>
  <c r="AB48" i="87"/>
  <c r="Y48" i="87"/>
  <c r="V48" i="87"/>
  <c r="S48" i="87"/>
  <c r="P48" i="87"/>
  <c r="BG47" i="87"/>
  <c r="W47" i="87"/>
  <c r="Q47" i="87"/>
  <c r="BG46" i="87"/>
  <c r="W46" i="87"/>
  <c r="T46" i="87"/>
  <c r="Q46" i="87"/>
  <c r="BG45" i="87"/>
  <c r="T45" i="87"/>
  <c r="AN44" i="87"/>
  <c r="AK44" i="87"/>
  <c r="AH44" i="87"/>
  <c r="AE44" i="87"/>
  <c r="AB44" i="87"/>
  <c r="Y44" i="87"/>
  <c r="V44" i="87"/>
  <c r="S44" i="87"/>
  <c r="P44" i="87"/>
  <c r="BG43" i="87"/>
  <c r="W43" i="87"/>
  <c r="T43" i="87"/>
  <c r="BG42" i="87"/>
  <c r="T42" i="87"/>
  <c r="Q42" i="87"/>
  <c r="BG41" i="87"/>
  <c r="W41" i="87"/>
  <c r="T41" i="87"/>
  <c r="BG40" i="87"/>
  <c r="W40" i="87"/>
  <c r="Q40" i="87"/>
  <c r="BG39" i="87"/>
  <c r="W39" i="87"/>
  <c r="Q39" i="87"/>
  <c r="BG38" i="87"/>
  <c r="W38" i="87"/>
  <c r="T38" i="87"/>
  <c r="AN37" i="87"/>
  <c r="AK37" i="87"/>
  <c r="AH37" i="87"/>
  <c r="AE37" i="87"/>
  <c r="AB37" i="87"/>
  <c r="Y37" i="87"/>
  <c r="V37" i="87"/>
  <c r="S37" i="87"/>
  <c r="P37" i="87"/>
  <c r="BG36" i="87"/>
  <c r="W36" i="87"/>
  <c r="T36" i="87"/>
  <c r="BG35" i="87"/>
  <c r="W35" i="87"/>
  <c r="T35" i="87"/>
  <c r="BG34" i="87"/>
  <c r="W34" i="87"/>
  <c r="T34" i="87"/>
  <c r="Q34" i="87"/>
  <c r="BG33" i="87"/>
  <c r="W33" i="87"/>
  <c r="T33" i="87"/>
  <c r="Q33" i="87"/>
  <c r="BG32" i="87"/>
  <c r="Q32" i="87"/>
  <c r="AN31" i="87"/>
  <c r="AK31" i="87"/>
  <c r="AH31" i="87"/>
  <c r="AE31" i="87"/>
  <c r="AB31" i="87"/>
  <c r="Y31" i="87"/>
  <c r="V31" i="87"/>
  <c r="S31" i="87"/>
  <c r="P31" i="87"/>
  <c r="BG30" i="87"/>
  <c r="W30" i="87"/>
  <c r="T30" i="87"/>
  <c r="Q30" i="87"/>
  <c r="BG29" i="87"/>
  <c r="W29" i="87"/>
  <c r="T29" i="87"/>
  <c r="Q29" i="87"/>
  <c r="BG28" i="87"/>
  <c r="T28" i="87"/>
  <c r="Q28" i="87"/>
  <c r="BG27" i="87"/>
  <c r="W27" i="87"/>
  <c r="T27" i="87"/>
  <c r="BG26" i="87"/>
  <c r="W26" i="87"/>
  <c r="T26" i="87"/>
  <c r="BG25" i="87"/>
  <c r="W25" i="87"/>
  <c r="T25" i="87"/>
  <c r="BG24" i="87"/>
  <c r="Q24" i="87"/>
  <c r="AN23" i="87"/>
  <c r="AK23" i="87"/>
  <c r="AH23" i="87"/>
  <c r="AE23" i="87"/>
  <c r="AB23" i="87"/>
  <c r="Y23" i="87"/>
  <c r="V23" i="87"/>
  <c r="S23" i="87"/>
  <c r="P23" i="87"/>
  <c r="BG22" i="87"/>
  <c r="W22" i="87"/>
  <c r="T22" i="87"/>
  <c r="BG21" i="87"/>
  <c r="T21" i="87"/>
  <c r="BG20" i="87"/>
  <c r="W20" i="87"/>
  <c r="T20" i="87"/>
  <c r="Q20" i="87"/>
  <c r="BG19" i="87"/>
  <c r="W19" i="87"/>
  <c r="T19" i="87"/>
  <c r="BG18" i="87"/>
  <c r="W18" i="87"/>
  <c r="Q18" i="87"/>
  <c r="AN17" i="87"/>
  <c r="AK17" i="87"/>
  <c r="AH17" i="87"/>
  <c r="AE17" i="87"/>
  <c r="AB17" i="87"/>
  <c r="Y17" i="87"/>
  <c r="V17" i="87"/>
  <c r="S17" i="87"/>
  <c r="P17" i="87"/>
  <c r="BG16" i="87"/>
  <c r="W16" i="87"/>
  <c r="T16" i="87"/>
  <c r="BG15" i="87"/>
  <c r="W15" i="87"/>
  <c r="T15" i="87"/>
  <c r="Q15" i="87"/>
  <c r="BG14" i="87"/>
  <c r="T14" i="87"/>
  <c r="Q14" i="87"/>
  <c r="BG13" i="87"/>
  <c r="W13" i="87"/>
  <c r="T13" i="87"/>
  <c r="Q13" i="87"/>
  <c r="BG12" i="87"/>
  <c r="Q12" i="87"/>
  <c r="AN11" i="87"/>
  <c r="AK11" i="87"/>
  <c r="AH11" i="87"/>
  <c r="AE11" i="87"/>
  <c r="AB11" i="87"/>
  <c r="Y11" i="87"/>
  <c r="V11" i="87"/>
  <c r="S11" i="87"/>
  <c r="P11" i="87"/>
  <c r="BG10" i="87"/>
  <c r="W10" i="87"/>
  <c r="T10" i="87"/>
  <c r="BG9" i="87"/>
  <c r="W9" i="87"/>
  <c r="T9" i="87"/>
  <c r="Q9" i="87"/>
  <c r="BG8" i="87"/>
  <c r="W8" i="87"/>
  <c r="T8" i="87"/>
  <c r="Q8" i="87"/>
  <c r="BG7" i="87"/>
  <c r="AL7" i="87"/>
  <c r="AI7" i="87"/>
  <c r="AF7" i="87"/>
  <c r="AC7" i="87"/>
  <c r="T7" i="87"/>
  <c r="Q4" i="87"/>
  <c r="T4" i="87" s="1"/>
  <c r="W4" i="87" s="1"/>
  <c r="Z4" i="87" s="1"/>
  <c r="AC4" i="87" s="1"/>
  <c r="AF4" i="87" s="1"/>
  <c r="AI4" i="87" s="1"/>
  <c r="I4" i="87"/>
  <c r="L4" i="87" s="1"/>
  <c r="O4" i="87" s="1"/>
  <c r="AO2" i="87"/>
  <c r="AN2" i="87"/>
  <c r="AM2" i="87"/>
  <c r="AL2" i="87"/>
  <c r="AK2" i="87"/>
  <c r="AJ2" i="87"/>
  <c r="AI2" i="87"/>
  <c r="AH2" i="87"/>
  <c r="AG2" i="87"/>
  <c r="AF2" i="87"/>
  <c r="AE2" i="87"/>
  <c r="AD2" i="87"/>
  <c r="AC2" i="87"/>
  <c r="AB2" i="87"/>
  <c r="AA2" i="87"/>
  <c r="Z2" i="87"/>
  <c r="Y2" i="87"/>
  <c r="X2" i="87"/>
  <c r="W2" i="87"/>
  <c r="V2" i="87"/>
  <c r="U2" i="87"/>
  <c r="T2" i="87"/>
  <c r="S2" i="87"/>
  <c r="R2" i="87"/>
  <c r="Q2" i="87"/>
  <c r="P2" i="87"/>
  <c r="O2" i="87"/>
  <c r="N2" i="87"/>
  <c r="M2" i="87"/>
  <c r="L2" i="87"/>
  <c r="K2" i="87"/>
  <c r="J2" i="87"/>
  <c r="I2" i="87"/>
  <c r="H2" i="87"/>
  <c r="G2" i="87"/>
  <c r="F2" i="87"/>
  <c r="BG65" i="79"/>
  <c r="BD65" i="79"/>
  <c r="AT65" i="79"/>
  <c r="AQ65" i="79"/>
  <c r="AT63" i="79"/>
  <c r="AT62" i="79"/>
  <c r="AT61" i="79"/>
  <c r="AT60" i="79"/>
  <c r="AT59" i="79"/>
  <c r="AT58" i="79"/>
  <c r="AT56" i="79"/>
  <c r="AT55" i="79"/>
  <c r="AT54" i="79"/>
  <c r="AT53" i="79"/>
  <c r="AT52" i="79"/>
  <c r="AT50" i="79"/>
  <c r="AT49" i="79"/>
  <c r="AT48" i="79"/>
  <c r="AT47" i="79"/>
  <c r="AT46" i="79"/>
  <c r="AT44" i="79"/>
  <c r="AT43" i="79"/>
  <c r="AT41" i="79"/>
  <c r="AT40" i="79"/>
  <c r="AT39" i="79"/>
  <c r="AT37" i="79"/>
  <c r="AT35" i="79"/>
  <c r="AT34" i="79"/>
  <c r="AT33" i="79"/>
  <c r="AT32" i="79"/>
  <c r="AT31" i="79"/>
  <c r="AT29" i="79"/>
  <c r="AT28" i="79"/>
  <c r="AT27" i="79"/>
  <c r="AT26" i="79"/>
  <c r="AT25" i="79"/>
  <c r="AT22" i="79"/>
  <c r="AT21" i="79"/>
  <c r="AT20" i="79"/>
  <c r="AT19" i="79"/>
  <c r="AT18" i="79"/>
  <c r="AT16" i="79"/>
  <c r="AT15" i="79"/>
  <c r="AT14" i="79"/>
  <c r="AT13" i="79"/>
  <c r="AT12" i="79"/>
  <c r="AT10" i="79"/>
  <c r="AT9" i="79"/>
  <c r="AT8" i="79"/>
  <c r="AT7" i="79"/>
  <c r="CC56" i="73"/>
  <c r="H69" i="87" l="1"/>
  <c r="AP69" i="87"/>
  <c r="AT30" i="79"/>
  <c r="V70" i="87"/>
  <c r="N54" i="87"/>
  <c r="N16" i="87"/>
  <c r="N64" i="87"/>
  <c r="N65" i="87"/>
  <c r="N24" i="87"/>
  <c r="N66" i="87"/>
  <c r="N67" i="87"/>
  <c r="N35" i="87"/>
  <c r="N38" i="87"/>
  <c r="N62" i="87"/>
  <c r="N39" i="87"/>
  <c r="N43" i="87"/>
  <c r="N30" i="87"/>
  <c r="N19" i="87"/>
  <c r="M48" i="87"/>
  <c r="N47" i="87"/>
  <c r="M11" i="87"/>
  <c r="N29" i="87"/>
  <c r="M17" i="87"/>
  <c r="N59" i="87"/>
  <c r="M61" i="87"/>
  <c r="N18" i="87"/>
  <c r="N60" i="87"/>
  <c r="N42" i="87"/>
  <c r="M37" i="87"/>
  <c r="M68" i="87"/>
  <c r="N40" i="87"/>
  <c r="M23" i="87"/>
  <c r="N27" i="87"/>
  <c r="N28" i="87"/>
  <c r="M31" i="87"/>
  <c r="M44" i="87"/>
  <c r="N41" i="87"/>
  <c r="M55" i="87"/>
  <c r="N9" i="87"/>
  <c r="N33" i="87"/>
  <c r="N57" i="87"/>
  <c r="N13" i="87"/>
  <c r="N34" i="87"/>
  <c r="N58" i="87"/>
  <c r="BG48" i="87"/>
  <c r="N21" i="87"/>
  <c r="N45" i="87"/>
  <c r="N22" i="87"/>
  <c r="N25" i="87"/>
  <c r="N49" i="87"/>
  <c r="N26" i="87"/>
  <c r="N50" i="87"/>
  <c r="BD64" i="87"/>
  <c r="K64" i="87"/>
  <c r="K52" i="87"/>
  <c r="K39" i="87"/>
  <c r="AT52" i="87"/>
  <c r="J68" i="87"/>
  <c r="BD39" i="87"/>
  <c r="AT53" i="87"/>
  <c r="BD67" i="87"/>
  <c r="K66" i="87"/>
  <c r="K36" i="87"/>
  <c r="BD66" i="87"/>
  <c r="K60" i="87"/>
  <c r="AQ46" i="87"/>
  <c r="BD60" i="87"/>
  <c r="J61" i="87"/>
  <c r="BD62" i="87"/>
  <c r="AT63" i="87"/>
  <c r="BD51" i="87"/>
  <c r="AT65" i="87"/>
  <c r="K51" i="87"/>
  <c r="BD59" i="87"/>
  <c r="K59" i="87"/>
  <c r="K40" i="87"/>
  <c r="K57" i="87"/>
  <c r="J48" i="87"/>
  <c r="J55" i="87"/>
  <c r="K58" i="87"/>
  <c r="AQ40" i="87"/>
  <c r="AT54" i="87"/>
  <c r="AQ50" i="87"/>
  <c r="BD57" i="87"/>
  <c r="BD58" i="87"/>
  <c r="K53" i="87"/>
  <c r="J44" i="87"/>
  <c r="K49" i="87"/>
  <c r="AT47" i="87"/>
  <c r="AQ49" i="87"/>
  <c r="BD50" i="87"/>
  <c r="K43" i="87"/>
  <c r="K46" i="87"/>
  <c r="AQ28" i="87"/>
  <c r="AQ15" i="87"/>
  <c r="AT29" i="87"/>
  <c r="AQ43" i="87"/>
  <c r="K45" i="87"/>
  <c r="AT41" i="87"/>
  <c r="BD14" i="87"/>
  <c r="AT42" i="87"/>
  <c r="K25" i="87"/>
  <c r="BD35" i="87"/>
  <c r="J31" i="87"/>
  <c r="K35" i="87"/>
  <c r="AQ8" i="87"/>
  <c r="BD22" i="87"/>
  <c r="BD36" i="87"/>
  <c r="J23" i="87"/>
  <c r="J37" i="87"/>
  <c r="K26" i="87"/>
  <c r="AQ38" i="87"/>
  <c r="K32" i="87"/>
  <c r="BD16" i="87"/>
  <c r="BD30" i="87"/>
  <c r="J17" i="87"/>
  <c r="K33" i="87"/>
  <c r="BD32" i="87"/>
  <c r="AT33" i="87"/>
  <c r="K34" i="87"/>
  <c r="AQ34" i="87"/>
  <c r="K13" i="87"/>
  <c r="K28" i="87"/>
  <c r="K14" i="87"/>
  <c r="K29" i="87"/>
  <c r="AQ24" i="87"/>
  <c r="BD25" i="87"/>
  <c r="K12" i="87"/>
  <c r="K27" i="87"/>
  <c r="K24" i="87"/>
  <c r="AT26" i="87"/>
  <c r="J11" i="87"/>
  <c r="K30" i="87"/>
  <c r="BD27" i="87"/>
  <c r="AT66" i="87"/>
  <c r="K21" i="87"/>
  <c r="BD18" i="87"/>
  <c r="BD19" i="87"/>
  <c r="K19" i="87"/>
  <c r="BD20" i="87"/>
  <c r="H66" i="87"/>
  <c r="AQ66" i="87"/>
  <c r="K20" i="87"/>
  <c r="K22" i="87"/>
  <c r="BD21" i="87"/>
  <c r="K16" i="87"/>
  <c r="BD9" i="87"/>
  <c r="K15" i="87"/>
  <c r="AT10" i="87"/>
  <c r="K18" i="87"/>
  <c r="AQ12" i="87"/>
  <c r="AT13" i="87"/>
  <c r="AT24" i="87"/>
  <c r="K8" i="87"/>
  <c r="K9" i="87"/>
  <c r="K7" i="87"/>
  <c r="H65" i="87"/>
  <c r="K10" i="87"/>
  <c r="BD7" i="87"/>
  <c r="H67" i="87"/>
  <c r="BD52" i="87"/>
  <c r="AT67" i="87"/>
  <c r="BD63" i="87"/>
  <c r="AQ64" i="87"/>
  <c r="AT64" i="87"/>
  <c r="AQ67" i="87"/>
  <c r="AQ60" i="87"/>
  <c r="BD65" i="87"/>
  <c r="AT60" i="87"/>
  <c r="H52" i="87"/>
  <c r="AQ52" i="87"/>
  <c r="H63" i="87"/>
  <c r="AQ63" i="87"/>
  <c r="G68" i="87"/>
  <c r="H62" i="87"/>
  <c r="AQ62" i="87"/>
  <c r="BD29" i="87"/>
  <c r="AT43" i="87"/>
  <c r="G61" i="87"/>
  <c r="H58" i="87"/>
  <c r="AQ58" i="87"/>
  <c r="AT58" i="87"/>
  <c r="H56" i="87"/>
  <c r="AQ56" i="87"/>
  <c r="AT56" i="87"/>
  <c r="BD43" i="87"/>
  <c r="AT12" i="87"/>
  <c r="H59" i="87"/>
  <c r="AT62" i="87"/>
  <c r="AQ54" i="87"/>
  <c r="AT57" i="87"/>
  <c r="AT46" i="87"/>
  <c r="BD46" i="87"/>
  <c r="BD54" i="87"/>
  <c r="AQ65" i="87"/>
  <c r="H57" i="87"/>
  <c r="AQ57" i="87"/>
  <c r="AQ59" i="87"/>
  <c r="BD40" i="87"/>
  <c r="H54" i="87"/>
  <c r="AT59" i="87"/>
  <c r="AT50" i="87"/>
  <c r="H47" i="87"/>
  <c r="AQ47" i="87"/>
  <c r="AT38" i="87"/>
  <c r="AT51" i="87"/>
  <c r="BD53" i="87"/>
  <c r="BD56" i="87"/>
  <c r="H38" i="87"/>
  <c r="AQ51" i="87"/>
  <c r="AT49" i="87"/>
  <c r="BD49" i="87"/>
  <c r="G48" i="87"/>
  <c r="AQ53" i="87"/>
  <c r="H41" i="87"/>
  <c r="AQ41" i="87"/>
  <c r="BD41" i="87"/>
  <c r="BD47" i="87"/>
  <c r="BD15" i="87"/>
  <c r="BD42" i="87"/>
  <c r="H45" i="87"/>
  <c r="AQ45" i="87"/>
  <c r="AT45" i="87"/>
  <c r="BD45" i="87"/>
  <c r="G55" i="87"/>
  <c r="G44" i="87"/>
  <c r="AT15" i="87"/>
  <c r="AQ33" i="87"/>
  <c r="AQ29" i="87"/>
  <c r="H46" i="87"/>
  <c r="H35" i="87"/>
  <c r="AQ39" i="87"/>
  <c r="H27" i="87"/>
  <c r="AT39" i="87"/>
  <c r="G37" i="87"/>
  <c r="AQ35" i="87"/>
  <c r="AT27" i="87"/>
  <c r="AT35" i="87"/>
  <c r="H42" i="87"/>
  <c r="AQ42" i="87"/>
  <c r="BD38" i="87"/>
  <c r="AQ27" i="87"/>
  <c r="AT40" i="87"/>
  <c r="H36" i="87"/>
  <c r="AQ36" i="87"/>
  <c r="AT36" i="87"/>
  <c r="AQ32" i="87"/>
  <c r="BG44" i="87"/>
  <c r="BD33" i="87"/>
  <c r="H21" i="87"/>
  <c r="AQ21" i="87"/>
  <c r="AT21" i="87"/>
  <c r="AT32" i="87"/>
  <c r="AT34" i="87"/>
  <c r="BD34" i="87"/>
  <c r="AQ19" i="87"/>
  <c r="H25" i="87"/>
  <c r="AT28" i="87"/>
  <c r="G31" i="87"/>
  <c r="BD12" i="87"/>
  <c r="AQ25" i="87"/>
  <c r="BG37" i="87"/>
  <c r="H30" i="87"/>
  <c r="AQ30" i="87"/>
  <c r="H26" i="87"/>
  <c r="AQ26" i="87"/>
  <c r="G23" i="87"/>
  <c r="BD26" i="87"/>
  <c r="BD28" i="87"/>
  <c r="BD24" i="87"/>
  <c r="H28" i="87"/>
  <c r="AT30" i="87"/>
  <c r="H15" i="87"/>
  <c r="H24" i="87"/>
  <c r="AT19" i="87"/>
  <c r="H22" i="87"/>
  <c r="AQ22" i="87"/>
  <c r="AT22" i="87"/>
  <c r="AT18" i="87"/>
  <c r="H20" i="87"/>
  <c r="AQ20" i="87"/>
  <c r="AT20" i="87"/>
  <c r="G17" i="87"/>
  <c r="AQ18" i="87"/>
  <c r="AT8" i="87"/>
  <c r="AT25" i="87"/>
  <c r="BD8" i="87"/>
  <c r="AQ16" i="87"/>
  <c r="BD10" i="87"/>
  <c r="AQ14" i="87"/>
  <c r="AT16" i="87"/>
  <c r="AQ13" i="87"/>
  <c r="H9" i="87"/>
  <c r="BD13" i="87"/>
  <c r="AT14" i="87"/>
  <c r="BG23" i="87"/>
  <c r="AQ9" i="87"/>
  <c r="AT9" i="87"/>
  <c r="AQ7" i="87"/>
  <c r="AT7" i="87"/>
  <c r="AQ10" i="87"/>
  <c r="G11" i="87"/>
  <c r="BG11" i="87"/>
  <c r="AP60" i="87"/>
  <c r="AP8" i="87"/>
  <c r="AP43" i="87"/>
  <c r="AM11" i="87"/>
  <c r="AO11" i="87" s="1"/>
  <c r="U11" i="87"/>
  <c r="W11" i="87" s="1"/>
  <c r="O23" i="87"/>
  <c r="Q23" i="87" s="1"/>
  <c r="AG37" i="87"/>
  <c r="AI37" i="87" s="1"/>
  <c r="BF67" i="87"/>
  <c r="BH67" i="87" s="1"/>
  <c r="BF29" i="87"/>
  <c r="BH29" i="87" s="1"/>
  <c r="AP13" i="87"/>
  <c r="AP33" i="87"/>
  <c r="AP18" i="87"/>
  <c r="AP49" i="87"/>
  <c r="AP53" i="87"/>
  <c r="AP24" i="87"/>
  <c r="AA11" i="87"/>
  <c r="AC11" i="87" s="1"/>
  <c r="AS30" i="87"/>
  <c r="BF39" i="87"/>
  <c r="BH39" i="87" s="1"/>
  <c r="BF59" i="87"/>
  <c r="BH59" i="87" s="1"/>
  <c r="O44" i="87"/>
  <c r="Q44" i="87" s="1"/>
  <c r="AP65" i="87"/>
  <c r="BC32" i="87"/>
  <c r="BC27" i="87"/>
  <c r="AA44" i="87"/>
  <c r="AC44" i="87" s="1"/>
  <c r="AP40" i="87"/>
  <c r="U61" i="87"/>
  <c r="W61" i="87" s="1"/>
  <c r="AS25" i="87"/>
  <c r="AJ44" i="87"/>
  <c r="AL44" i="87" s="1"/>
  <c r="AP42" i="87"/>
  <c r="Q19" i="87"/>
  <c r="AP38" i="87"/>
  <c r="Q7" i="87"/>
  <c r="AD17" i="87"/>
  <c r="AF17" i="87" s="1"/>
  <c r="AD37" i="87"/>
  <c r="AF37" i="87" s="1"/>
  <c r="U48" i="87"/>
  <c r="W48" i="87" s="1"/>
  <c r="X61" i="87"/>
  <c r="Z61" i="87" s="1"/>
  <c r="BF8" i="87"/>
  <c r="BH8" i="87" s="1"/>
  <c r="AP30" i="87"/>
  <c r="BF42" i="87"/>
  <c r="BH42" i="87" s="1"/>
  <c r="F61" i="87"/>
  <c r="AA17" i="87"/>
  <c r="AC17" i="87" s="1"/>
  <c r="K38" i="87"/>
  <c r="U68" i="87"/>
  <c r="W68" i="87" s="1"/>
  <c r="AS18" i="87"/>
  <c r="BF20" i="87"/>
  <c r="BH20" i="87" s="1"/>
  <c r="BC24" i="87"/>
  <c r="AP27" i="87"/>
  <c r="AP28" i="87"/>
  <c r="F55" i="87"/>
  <c r="I17" i="87"/>
  <c r="BF9" i="87"/>
  <c r="BH9" i="87" s="1"/>
  <c r="BF16" i="87"/>
  <c r="BH16" i="87" s="1"/>
  <c r="AM48" i="87"/>
  <c r="AO48" i="87" s="1"/>
  <c r="BF65" i="87"/>
  <c r="BH65" i="87" s="1"/>
  <c r="Q21" i="87"/>
  <c r="BF22" i="87"/>
  <c r="BH22" i="87" s="1"/>
  <c r="W52" i="87"/>
  <c r="BC16" i="87"/>
  <c r="AA23" i="87"/>
  <c r="AC23" i="87" s="1"/>
  <c r="AS33" i="87"/>
  <c r="AP47" i="87"/>
  <c r="X55" i="87"/>
  <c r="Z55" i="87" s="1"/>
  <c r="AM61" i="87"/>
  <c r="AO61" i="87" s="1"/>
  <c r="BF63" i="87"/>
  <c r="BH63" i="87" s="1"/>
  <c r="AP64" i="87"/>
  <c r="H43" i="87"/>
  <c r="W45" i="87"/>
  <c r="BC19" i="87"/>
  <c r="BC38" i="87"/>
  <c r="AG17" i="87"/>
  <c r="AI17" i="87" s="1"/>
  <c r="AP16" i="87"/>
  <c r="AD31" i="87"/>
  <c r="AF31" i="87" s="1"/>
  <c r="BC50" i="87"/>
  <c r="AS45" i="87"/>
  <c r="H53" i="87"/>
  <c r="K42" i="87"/>
  <c r="AS7" i="87"/>
  <c r="BF25" i="87"/>
  <c r="BH25" i="87" s="1"/>
  <c r="AG31" i="87"/>
  <c r="AI31" i="87" s="1"/>
  <c r="BF60" i="87"/>
  <c r="BH60" i="87" s="1"/>
  <c r="AP9" i="87"/>
  <c r="H18" i="87"/>
  <c r="X48" i="87"/>
  <c r="Z48" i="87" s="1"/>
  <c r="H49" i="87"/>
  <c r="AJ11" i="87"/>
  <c r="AL11" i="87" s="1"/>
  <c r="F17" i="87"/>
  <c r="O17" i="87"/>
  <c r="Q17" i="87" s="1"/>
  <c r="BF19" i="87"/>
  <c r="BH19" i="87" s="1"/>
  <c r="Q41" i="87"/>
  <c r="AP57" i="87"/>
  <c r="AS15" i="87"/>
  <c r="BC9" i="87"/>
  <c r="AS12" i="87"/>
  <c r="BF35" i="87"/>
  <c r="BH35" i="87" s="1"/>
  <c r="BC43" i="87"/>
  <c r="AS51" i="87"/>
  <c r="AP62" i="87"/>
  <c r="BC67" i="87"/>
  <c r="BC54" i="87"/>
  <c r="BF45" i="87"/>
  <c r="BH45" i="87" s="1"/>
  <c r="R11" i="87"/>
  <c r="T11" i="87" s="1"/>
  <c r="BF10" i="87"/>
  <c r="BH10" i="87" s="1"/>
  <c r="AP12" i="87"/>
  <c r="BC57" i="87"/>
  <c r="K67" i="87"/>
  <c r="R4" i="87"/>
  <c r="P4" i="87"/>
  <c r="W49" i="87"/>
  <c r="U55" i="87"/>
  <c r="W55" i="87" s="1"/>
  <c r="W42" i="87"/>
  <c r="AS42" i="87"/>
  <c r="AS21" i="87"/>
  <c r="W21" i="87"/>
  <c r="BC21" i="87"/>
  <c r="AO7" i="87"/>
  <c r="F11" i="87"/>
  <c r="BC7" i="87"/>
  <c r="H7" i="87"/>
  <c r="BF7" i="87"/>
  <c r="AS14" i="87"/>
  <c r="AS22" i="87"/>
  <c r="O31" i="87"/>
  <c r="Q31" i="87" s="1"/>
  <c r="AP26" i="87"/>
  <c r="F31" i="87"/>
  <c r="AS36" i="87"/>
  <c r="X44" i="87"/>
  <c r="Z44" i="87" s="1"/>
  <c r="R55" i="87"/>
  <c r="T55" i="87" s="1"/>
  <c r="BC49" i="87"/>
  <c r="AS64" i="87"/>
  <c r="AJ68" i="87"/>
  <c r="AL68" i="87" s="1"/>
  <c r="K65" i="87"/>
  <c r="AS65" i="87"/>
  <c r="BC36" i="87"/>
  <c r="N36" i="87"/>
  <c r="W14" i="87"/>
  <c r="AS13" i="87"/>
  <c r="BF13" i="87"/>
  <c r="BH13" i="87" s="1"/>
  <c r="BC29" i="87"/>
  <c r="AP29" i="87"/>
  <c r="H16" i="87"/>
  <c r="U17" i="87"/>
  <c r="W17" i="87" s="1"/>
  <c r="BC20" i="87"/>
  <c r="AP20" i="87"/>
  <c r="Q27" i="87"/>
  <c r="H29" i="87"/>
  <c r="AD44" i="87"/>
  <c r="AF44" i="87" s="1"/>
  <c r="AS41" i="87"/>
  <c r="AS47" i="87"/>
  <c r="N52" i="87"/>
  <c r="AP52" i="87"/>
  <c r="BF56" i="87"/>
  <c r="AG61" i="87"/>
  <c r="AI61" i="87" s="1"/>
  <c r="W62" i="87"/>
  <c r="AS24" i="87"/>
  <c r="AM31" i="87"/>
  <c r="W24" i="87"/>
  <c r="U31" i="87"/>
  <c r="W31" i="87" s="1"/>
  <c r="R31" i="87"/>
  <c r="T31" i="87" s="1"/>
  <c r="T62" i="87"/>
  <c r="BC62" i="87"/>
  <c r="R68" i="87"/>
  <c r="T68" i="87" s="1"/>
  <c r="BC41" i="87"/>
  <c r="AP41" i="87"/>
  <c r="AP7" i="87"/>
  <c r="Y70" i="87"/>
  <c r="W7" i="87"/>
  <c r="BC12" i="87"/>
  <c r="BG17" i="87"/>
  <c r="F23" i="87"/>
  <c r="BC18" i="87"/>
  <c r="N20" i="87"/>
  <c r="I44" i="87"/>
  <c r="K41" i="87"/>
  <c r="AP56" i="87"/>
  <c r="BC56" i="87"/>
  <c r="I61" i="87"/>
  <c r="K56" i="87"/>
  <c r="N46" i="87"/>
  <c r="AA61" i="87"/>
  <c r="AC61" i="87" s="1"/>
  <c r="Q10" i="87"/>
  <c r="W28" i="87"/>
  <c r="AS29" i="87"/>
  <c r="X37" i="87"/>
  <c r="Z37" i="87" s="1"/>
  <c r="BF32" i="87"/>
  <c r="BH32" i="87" s="1"/>
  <c r="W12" i="87"/>
  <c r="BC14" i="87"/>
  <c r="AS16" i="87"/>
  <c r="BF43" i="87"/>
  <c r="BH43" i="87" s="1"/>
  <c r="BF47" i="87"/>
  <c r="BH47" i="87" s="1"/>
  <c r="X11" i="87"/>
  <c r="Z11" i="87" s="1"/>
  <c r="Z7" i="87"/>
  <c r="O11" i="87"/>
  <c r="H12" i="87"/>
  <c r="BF21" i="87"/>
  <c r="BH21" i="87" s="1"/>
  <c r="BC26" i="87"/>
  <c r="AS28" i="87"/>
  <c r="AP34" i="87"/>
  <c r="H34" i="87"/>
  <c r="BC34" i="87"/>
  <c r="AM55" i="87"/>
  <c r="AS49" i="87"/>
  <c r="AS59" i="87"/>
  <c r="H19" i="87"/>
  <c r="AP19" i="87"/>
  <c r="AG23" i="87"/>
  <c r="AI23" i="87" s="1"/>
  <c r="T24" i="87"/>
  <c r="AN70" i="87"/>
  <c r="R17" i="87"/>
  <c r="T17" i="87" s="1"/>
  <c r="AM17" i="87"/>
  <c r="AM23" i="87"/>
  <c r="BC22" i="87"/>
  <c r="AS27" i="87"/>
  <c r="X17" i="87"/>
  <c r="Z17" i="87" s="1"/>
  <c r="BF12" i="87"/>
  <c r="X23" i="87"/>
  <c r="Z23" i="87" s="1"/>
  <c r="BF18" i="87"/>
  <c r="AS8" i="87"/>
  <c r="AB70" i="87"/>
  <c r="I23" i="87"/>
  <c r="AP22" i="87"/>
  <c r="BF26" i="87"/>
  <c r="BH26" i="87" s="1"/>
  <c r="AS40" i="87"/>
  <c r="AK70" i="87"/>
  <c r="AJ17" i="87"/>
  <c r="AL17" i="87" s="1"/>
  <c r="BC8" i="87"/>
  <c r="AS10" i="87"/>
  <c r="T12" i="87"/>
  <c r="BF14" i="87"/>
  <c r="BH14" i="87" s="1"/>
  <c r="AJ31" i="87"/>
  <c r="AL31" i="87" s="1"/>
  <c r="BC30" i="87"/>
  <c r="W32" i="87"/>
  <c r="AP46" i="87"/>
  <c r="F48" i="87"/>
  <c r="K50" i="87"/>
  <c r="W57" i="87"/>
  <c r="N63" i="87"/>
  <c r="S70" i="87"/>
  <c r="AP14" i="87"/>
  <c r="BC42" i="87"/>
  <c r="AS46" i="87"/>
  <c r="AJ48" i="87"/>
  <c r="AL48" i="87" s="1"/>
  <c r="AS66" i="87"/>
  <c r="BF66" i="87"/>
  <c r="BH66" i="87" s="1"/>
  <c r="I11" i="87"/>
  <c r="P70" i="87"/>
  <c r="AD11" i="87"/>
  <c r="AF11" i="87" s="1"/>
  <c r="H14" i="87"/>
  <c r="BC15" i="87"/>
  <c r="AS20" i="87"/>
  <c r="AJ23" i="87"/>
  <c r="AL23" i="87" s="1"/>
  <c r="X31" i="87"/>
  <c r="Z31" i="87" s="1"/>
  <c r="BC25" i="87"/>
  <c r="BF28" i="87"/>
  <c r="BH28" i="87" s="1"/>
  <c r="BC35" i="87"/>
  <c r="Q36" i="87"/>
  <c r="BC39" i="87"/>
  <c r="H39" i="87"/>
  <c r="AP39" i="87"/>
  <c r="F44" i="87"/>
  <c r="T40" i="87"/>
  <c r="AA48" i="87"/>
  <c r="AC48" i="87" s="1"/>
  <c r="N56" i="87"/>
  <c r="AJ61" i="87"/>
  <c r="AL61" i="87" s="1"/>
  <c r="BC59" i="87"/>
  <c r="AP59" i="87"/>
  <c r="BC63" i="87"/>
  <c r="Q56" i="87"/>
  <c r="O61" i="87"/>
  <c r="Q61" i="87" s="1"/>
  <c r="H8" i="87"/>
  <c r="BC13" i="87"/>
  <c r="Q16" i="87"/>
  <c r="AS19" i="87"/>
  <c r="Q22" i="87"/>
  <c r="BF27" i="87"/>
  <c r="BH27" i="87" s="1"/>
  <c r="BC28" i="87"/>
  <c r="AJ37" i="87"/>
  <c r="AL37" i="87" s="1"/>
  <c r="Q38" i="87"/>
  <c r="AS38" i="87"/>
  <c r="AM44" i="87"/>
  <c r="AO44" i="87" s="1"/>
  <c r="BF38" i="87"/>
  <c r="AS53" i="87"/>
  <c r="BF53" i="87"/>
  <c r="BH53" i="87" s="1"/>
  <c r="K54" i="87"/>
  <c r="AE70" i="87"/>
  <c r="U23" i="87"/>
  <c r="W23" i="87" s="1"/>
  <c r="BC10" i="87"/>
  <c r="AM37" i="87"/>
  <c r="AS32" i="87"/>
  <c r="BC33" i="87"/>
  <c r="H33" i="87"/>
  <c r="AP50" i="87"/>
  <c r="AS54" i="87"/>
  <c r="AS58" i="87"/>
  <c r="AD68" i="87"/>
  <c r="AF68" i="87" s="1"/>
  <c r="AD23" i="87"/>
  <c r="AF23" i="87" s="1"/>
  <c r="AA31" i="87"/>
  <c r="AC31" i="87" s="1"/>
  <c r="N32" i="87"/>
  <c r="BF33" i="87"/>
  <c r="BH33" i="87" s="1"/>
  <c r="AS56" i="87"/>
  <c r="AP10" i="87"/>
  <c r="AH70" i="87"/>
  <c r="H13" i="87"/>
  <c r="BF15" i="87"/>
  <c r="BH15" i="87" s="1"/>
  <c r="R23" i="87"/>
  <c r="T23" i="87" s="1"/>
  <c r="AG11" i="87"/>
  <c r="AS9" i="87"/>
  <c r="H10" i="87"/>
  <c r="T18" i="87"/>
  <c r="BF24" i="87"/>
  <c r="BH24" i="87" s="1"/>
  <c r="Q25" i="87"/>
  <c r="BF30" i="87"/>
  <c r="BH30" i="87" s="1"/>
  <c r="T32" i="87"/>
  <c r="R37" i="87"/>
  <c r="T37" i="87" s="1"/>
  <c r="AS35" i="87"/>
  <c r="BF41" i="87"/>
  <c r="BH41" i="87" s="1"/>
  <c r="BC46" i="87"/>
  <c r="T47" i="87"/>
  <c r="R48" i="87"/>
  <c r="T48" i="87" s="1"/>
  <c r="AG55" i="87"/>
  <c r="AI55" i="87" s="1"/>
  <c r="BF49" i="87"/>
  <c r="AD55" i="87"/>
  <c r="AF55" i="87" s="1"/>
  <c r="AP58" i="87"/>
  <c r="Q26" i="87"/>
  <c r="BG31" i="87"/>
  <c r="AS26" i="87"/>
  <c r="U37" i="87"/>
  <c r="W37" i="87" s="1"/>
  <c r="AP32" i="87"/>
  <c r="BF34" i="87"/>
  <c r="BH34" i="87" s="1"/>
  <c r="Q35" i="87"/>
  <c r="U44" i="87"/>
  <c r="W44" i="87" s="1"/>
  <c r="AJ55" i="87"/>
  <c r="AL55" i="87" s="1"/>
  <c r="I55" i="87"/>
  <c r="AS62" i="87"/>
  <c r="AM68" i="87"/>
  <c r="AS63" i="87"/>
  <c r="I48" i="87"/>
  <c r="AD48" i="87"/>
  <c r="AF48" i="87" s="1"/>
  <c r="BC45" i="87"/>
  <c r="AS52" i="87"/>
  <c r="BF57" i="87"/>
  <c r="BH57" i="87" s="1"/>
  <c r="AS60" i="87"/>
  <c r="X68" i="87"/>
  <c r="Z68" i="87" s="1"/>
  <c r="BF62" i="87"/>
  <c r="AS67" i="87"/>
  <c r="F68" i="87"/>
  <c r="R44" i="87"/>
  <c r="T44" i="87" s="1"/>
  <c r="BC51" i="87"/>
  <c r="AP51" i="87"/>
  <c r="H51" i="87"/>
  <c r="BG61" i="87"/>
  <c r="AA68" i="87"/>
  <c r="AC68" i="87" s="1"/>
  <c r="BC64" i="87"/>
  <c r="Q67" i="87"/>
  <c r="I31" i="87"/>
  <c r="AP36" i="87"/>
  <c r="T39" i="87"/>
  <c r="AG48" i="87"/>
  <c r="AI48" i="87" s="1"/>
  <c r="BF54" i="87"/>
  <c r="BH54" i="87" s="1"/>
  <c r="BC60" i="87"/>
  <c r="H64" i="87"/>
  <c r="T65" i="87"/>
  <c r="AP15" i="87"/>
  <c r="AP21" i="87"/>
  <c r="AP25" i="87"/>
  <c r="F37" i="87"/>
  <c r="AA37" i="87"/>
  <c r="AC37" i="87" s="1"/>
  <c r="AG44" i="87"/>
  <c r="AI44" i="87" s="1"/>
  <c r="AS39" i="87"/>
  <c r="H40" i="87"/>
  <c r="BC40" i="87"/>
  <c r="Q43" i="87"/>
  <c r="K47" i="87"/>
  <c r="Q57" i="87"/>
  <c r="BF58" i="87"/>
  <c r="BH58" i="87" s="1"/>
  <c r="H60" i="87"/>
  <c r="AG68" i="87"/>
  <c r="AI68" i="87" s="1"/>
  <c r="H32" i="87"/>
  <c r="AS34" i="87"/>
  <c r="BF40" i="87"/>
  <c r="BH40" i="87" s="1"/>
  <c r="BG55" i="87"/>
  <c r="AS50" i="87"/>
  <c r="BC53" i="87"/>
  <c r="Q53" i="87"/>
  <c r="AS57" i="87"/>
  <c r="R61" i="87"/>
  <c r="I37" i="87"/>
  <c r="AP35" i="87"/>
  <c r="BF50" i="87"/>
  <c r="BH50" i="87" s="1"/>
  <c r="AP54" i="87"/>
  <c r="AD61" i="87"/>
  <c r="AF61" i="87" s="1"/>
  <c r="K62" i="87"/>
  <c r="I68" i="87"/>
  <c r="BF36" i="87"/>
  <c r="BH36" i="87" s="1"/>
  <c r="AS43" i="87"/>
  <c r="BF46" i="87"/>
  <c r="BC47" i="87"/>
  <c r="O55" i="87"/>
  <c r="Q55" i="87" s="1"/>
  <c r="BF52" i="87"/>
  <c r="BH52" i="87" s="1"/>
  <c r="BF64" i="87"/>
  <c r="BH64" i="87" s="1"/>
  <c r="BC65" i="87"/>
  <c r="BC66" i="87"/>
  <c r="O48" i="87"/>
  <c r="Q48" i="87" s="1"/>
  <c r="AA55" i="87"/>
  <c r="AC55" i="87" s="1"/>
  <c r="AP66" i="87"/>
  <c r="Q45" i="87"/>
  <c r="BC58" i="87"/>
  <c r="O68" i="87"/>
  <c r="Q68" i="87" s="1"/>
  <c r="Q63" i="87"/>
  <c r="O37" i="87"/>
  <c r="Q37" i="87" s="1"/>
  <c r="BF51" i="87"/>
  <c r="BH51" i="87" s="1"/>
  <c r="BC52" i="87"/>
  <c r="Q62" i="87"/>
  <c r="BG68" i="87"/>
  <c r="V85" i="87"/>
  <c r="Y82" i="87"/>
  <c r="Y81" i="87"/>
  <c r="AP45" i="87"/>
  <c r="AP63" i="87"/>
  <c r="AP67" i="87"/>
  <c r="AT42" i="79"/>
  <c r="AU22" i="87" l="1"/>
  <c r="BE27" i="87"/>
  <c r="N44" i="87"/>
  <c r="N61" i="87"/>
  <c r="N55" i="87"/>
  <c r="N48" i="87"/>
  <c r="N11" i="87"/>
  <c r="AR50" i="87"/>
  <c r="N17" i="87"/>
  <c r="AR63" i="87"/>
  <c r="BE66" i="87"/>
  <c r="BE64" i="87"/>
  <c r="N31" i="87"/>
  <c r="N37" i="87"/>
  <c r="M70" i="87"/>
  <c r="N68" i="87"/>
  <c r="K31" i="87"/>
  <c r="N23" i="87"/>
  <c r="K61" i="87"/>
  <c r="BD61" i="87"/>
  <c r="AU63" i="87"/>
  <c r="AU52" i="87"/>
  <c r="BD68" i="87"/>
  <c r="K68" i="87"/>
  <c r="AR57" i="87"/>
  <c r="AR46" i="87"/>
  <c r="BE50" i="87"/>
  <c r="AQ55" i="87"/>
  <c r="BE60" i="87"/>
  <c r="K55" i="87"/>
  <c r="BE51" i="87"/>
  <c r="AU53" i="87"/>
  <c r="AU65" i="87"/>
  <c r="BE67" i="87"/>
  <c r="BE39" i="87"/>
  <c r="BE62" i="87"/>
  <c r="AR49" i="87"/>
  <c r="BD48" i="87"/>
  <c r="BE59" i="87"/>
  <c r="AU54" i="87"/>
  <c r="AU47" i="87"/>
  <c r="AU64" i="87"/>
  <c r="K17" i="87"/>
  <c r="AU24" i="87"/>
  <c r="AR28" i="87"/>
  <c r="K48" i="87"/>
  <c r="AQ23" i="87"/>
  <c r="BE58" i="87"/>
  <c r="AR64" i="87"/>
  <c r="AT44" i="87"/>
  <c r="BE57" i="87"/>
  <c r="AR43" i="87"/>
  <c r="AQ17" i="87"/>
  <c r="AQ31" i="87"/>
  <c r="K44" i="87"/>
  <c r="K23" i="87"/>
  <c r="AR34" i="87"/>
  <c r="AR40" i="87"/>
  <c r="BE32" i="87"/>
  <c r="AU13" i="87"/>
  <c r="BE22" i="87"/>
  <c r="BE36" i="87"/>
  <c r="AR8" i="87"/>
  <c r="AR15" i="87"/>
  <c r="AU42" i="87"/>
  <c r="BE35" i="87"/>
  <c r="BE14" i="87"/>
  <c r="BE16" i="87"/>
  <c r="AU41" i="87"/>
  <c r="J70" i="87"/>
  <c r="AU29" i="87"/>
  <c r="AR24" i="87"/>
  <c r="K37" i="87"/>
  <c r="BE19" i="87"/>
  <c r="BE30" i="87"/>
  <c r="AR12" i="87"/>
  <c r="AR38" i="87"/>
  <c r="BD37" i="87"/>
  <c r="BE18" i="87"/>
  <c r="AU66" i="87"/>
  <c r="AR41" i="87"/>
  <c r="BE9" i="87"/>
  <c r="AR29" i="87"/>
  <c r="AU46" i="87"/>
  <c r="AU33" i="87"/>
  <c r="BE25" i="87"/>
  <c r="AU26" i="87"/>
  <c r="AQ11" i="87"/>
  <c r="BE21" i="87"/>
  <c r="AR66" i="87"/>
  <c r="BE20" i="87"/>
  <c r="AU10" i="87"/>
  <c r="AT68" i="87"/>
  <c r="BE63" i="87"/>
  <c r="AU12" i="87"/>
  <c r="BE7" i="87"/>
  <c r="AU67" i="87"/>
  <c r="BE52" i="87"/>
  <c r="AR52" i="87"/>
  <c r="AU57" i="87"/>
  <c r="AU60" i="87"/>
  <c r="AR67" i="87"/>
  <c r="BE65" i="87"/>
  <c r="AR60" i="87"/>
  <c r="AQ68" i="87"/>
  <c r="H68" i="87"/>
  <c r="AR62" i="87"/>
  <c r="BE29" i="87"/>
  <c r="AU27" i="87"/>
  <c r="AR56" i="87"/>
  <c r="AR58" i="87"/>
  <c r="AU43" i="87"/>
  <c r="H44" i="87"/>
  <c r="AQ44" i="87"/>
  <c r="H61" i="87"/>
  <c r="AQ61" i="87"/>
  <c r="AU36" i="87"/>
  <c r="AU56" i="87"/>
  <c r="AR65" i="87"/>
  <c r="BE53" i="87"/>
  <c r="AT61" i="87"/>
  <c r="AR59" i="87"/>
  <c r="AR51" i="87"/>
  <c r="AU58" i="87"/>
  <c r="BE40" i="87"/>
  <c r="BE43" i="87"/>
  <c r="AU59" i="87"/>
  <c r="BE54" i="87"/>
  <c r="AU50" i="87"/>
  <c r="AU15" i="87"/>
  <c r="AT48" i="87"/>
  <c r="AU51" i="87"/>
  <c r="AR53" i="87"/>
  <c r="AR54" i="87"/>
  <c r="AQ48" i="87"/>
  <c r="AR47" i="87"/>
  <c r="AR33" i="87"/>
  <c r="AU62" i="87"/>
  <c r="BE46" i="87"/>
  <c r="AU38" i="87"/>
  <c r="AU7" i="87"/>
  <c r="AR39" i="87"/>
  <c r="BE56" i="87"/>
  <c r="BE15" i="87"/>
  <c r="AU40" i="87"/>
  <c r="BE49" i="87"/>
  <c r="AR45" i="87"/>
  <c r="BE42" i="87"/>
  <c r="BE41" i="87"/>
  <c r="AU49" i="87"/>
  <c r="AU39" i="87"/>
  <c r="AQ37" i="87"/>
  <c r="H55" i="87"/>
  <c r="AR36" i="87"/>
  <c r="AR19" i="87"/>
  <c r="AU30" i="87"/>
  <c r="BD55" i="87"/>
  <c r="AT37" i="87"/>
  <c r="BE45" i="87"/>
  <c r="AT55" i="87"/>
  <c r="BE28" i="87"/>
  <c r="BD17" i="87"/>
  <c r="BE47" i="87"/>
  <c r="BD44" i="87"/>
  <c r="AU45" i="87"/>
  <c r="AR35" i="87"/>
  <c r="AR42" i="87"/>
  <c r="AR18" i="87"/>
  <c r="BE24" i="87"/>
  <c r="AU32" i="87"/>
  <c r="AU19" i="87"/>
  <c r="AR25" i="87"/>
  <c r="AU35" i="87"/>
  <c r="AR22" i="87"/>
  <c r="AR27" i="87"/>
  <c r="AU28" i="87"/>
  <c r="BE38" i="87"/>
  <c r="AT23" i="87"/>
  <c r="AU34" i="87"/>
  <c r="BE8" i="87"/>
  <c r="AR10" i="87"/>
  <c r="AR21" i="87"/>
  <c r="AU21" i="87"/>
  <c r="BD31" i="87"/>
  <c r="AT31" i="87"/>
  <c r="BE34" i="87"/>
  <c r="AR32" i="87"/>
  <c r="BE33" i="87"/>
  <c r="AU18" i="87"/>
  <c r="BD23" i="87"/>
  <c r="AT11" i="87"/>
  <c r="BE12" i="87"/>
  <c r="BD11" i="87"/>
  <c r="H23" i="87"/>
  <c r="AR7" i="87"/>
  <c r="AR26" i="87"/>
  <c r="AR13" i="87"/>
  <c r="AR14" i="87"/>
  <c r="BE26" i="87"/>
  <c r="AR16" i="87"/>
  <c r="AR30" i="87"/>
  <c r="G70" i="87"/>
  <c r="AU8" i="87"/>
  <c r="AR20" i="87"/>
  <c r="BE10" i="87"/>
  <c r="AU20" i="87"/>
  <c r="AU25" i="87"/>
  <c r="AT17" i="87"/>
  <c r="BE13" i="87"/>
  <c r="AR9" i="87"/>
  <c r="AU14" i="87"/>
  <c r="AU9" i="87"/>
  <c r="AU16" i="87"/>
  <c r="BF44" i="87"/>
  <c r="BH44" i="87" s="1"/>
  <c r="BC17" i="87"/>
  <c r="BF23" i="87"/>
  <c r="BH23" i="87" s="1"/>
  <c r="H17" i="87"/>
  <c r="BF11" i="87"/>
  <c r="BH11" i="87" s="1"/>
  <c r="AS17" i="87"/>
  <c r="AS68" i="87"/>
  <c r="AS11" i="87"/>
  <c r="AP17" i="87"/>
  <c r="AO17" i="87"/>
  <c r="AA70" i="87"/>
  <c r="AC70" i="87" s="1"/>
  <c r="BC61" i="87"/>
  <c r="O70" i="87"/>
  <c r="Q70" i="87" s="1"/>
  <c r="Q11" i="87"/>
  <c r="BC55" i="87"/>
  <c r="L70" i="87"/>
  <c r="U70" i="87"/>
  <c r="W70" i="87" s="1"/>
  <c r="BH38" i="87"/>
  <c r="AP55" i="87"/>
  <c r="AD70" i="87"/>
  <c r="AF70" i="87" s="1"/>
  <c r="AJ70" i="87"/>
  <c r="AL70" i="87" s="1"/>
  <c r="AS55" i="87"/>
  <c r="AO55" i="87"/>
  <c r="AO31" i="87"/>
  <c r="AS31" i="87"/>
  <c r="R70" i="87"/>
  <c r="T70" i="87" s="1"/>
  <c r="U4" i="87"/>
  <c r="S4" i="87"/>
  <c r="I70" i="87"/>
  <c r="BH7" i="87"/>
  <c r="AS61" i="87"/>
  <c r="K11" i="87"/>
  <c r="BH46" i="87"/>
  <c r="BF48" i="87"/>
  <c r="BH48" i="87" s="1"/>
  <c r="BC31" i="87"/>
  <c r="AP31" i="87"/>
  <c r="H31" i="87"/>
  <c r="BC44" i="87"/>
  <c r="AP44" i="87"/>
  <c r="BF61" i="87"/>
  <c r="BH61" i="87" s="1"/>
  <c r="BH56" i="87"/>
  <c r="F70" i="87"/>
  <c r="BC11" i="87"/>
  <c r="AP11" i="87"/>
  <c r="AO37" i="87"/>
  <c r="AS37" i="87"/>
  <c r="AS23" i="87"/>
  <c r="AO23" i="87"/>
  <c r="AO68" i="87"/>
  <c r="AP68" i="87"/>
  <c r="BC68" i="87"/>
  <c r="T61" i="87"/>
  <c r="BF68" i="87"/>
  <c r="BH68" i="87" s="1"/>
  <c r="BH62" i="87"/>
  <c r="BG70" i="87"/>
  <c r="BC37" i="87"/>
  <c r="AP37" i="87"/>
  <c r="H37" i="87"/>
  <c r="BF31" i="87"/>
  <c r="BH31" i="87" s="1"/>
  <c r="BF17" i="87"/>
  <c r="BH17" i="87" s="1"/>
  <c r="BH12" i="87"/>
  <c r="BF37" i="87"/>
  <c r="BH37" i="87" s="1"/>
  <c r="AP61" i="87"/>
  <c r="BF55" i="87"/>
  <c r="BH55" i="87" s="1"/>
  <c r="BH49" i="87"/>
  <c r="AS44" i="87"/>
  <c r="AP48" i="87"/>
  <c r="BC48" i="87"/>
  <c r="H48" i="87"/>
  <c r="AP23" i="87"/>
  <c r="BC23" i="87"/>
  <c r="AG70" i="87"/>
  <c r="AI70" i="87" s="1"/>
  <c r="X70" i="87"/>
  <c r="Z70" i="87" s="1"/>
  <c r="AS48" i="87"/>
  <c r="H11" i="87"/>
  <c r="AM70" i="87"/>
  <c r="AO70" i="87" s="1"/>
  <c r="AI11" i="87"/>
  <c r="BH18" i="87"/>
  <c r="K11" i="72"/>
  <c r="K17" i="72"/>
  <c r="K23" i="72"/>
  <c r="K31" i="72"/>
  <c r="K37" i="72"/>
  <c r="K44" i="72"/>
  <c r="K48" i="72"/>
  <c r="K55" i="72"/>
  <c r="K61" i="72"/>
  <c r="K68" i="72"/>
  <c r="J11" i="72"/>
  <c r="J17" i="72"/>
  <c r="J23" i="72"/>
  <c r="J31" i="72"/>
  <c r="J37" i="72"/>
  <c r="J44" i="72"/>
  <c r="J48" i="72"/>
  <c r="J55" i="72"/>
  <c r="J68" i="72"/>
  <c r="J61" i="72"/>
  <c r="BL10" i="87" l="1" a="1"/>
  <c r="BL10" i="87" s="1"/>
  <c r="BL12" i="87" a="1"/>
  <c r="BL12" i="87" s="1"/>
  <c r="BL18" i="87" a="1"/>
  <c r="BL18" i="87" s="1"/>
  <c r="BL24" i="87" a="1"/>
  <c r="BL24" i="87" s="1"/>
  <c r="BL19" i="87" a="1"/>
  <c r="BL19" i="87" s="1"/>
  <c r="BL25" i="87" a="1"/>
  <c r="BL25" i="87" s="1"/>
  <c r="BL23" i="87" a="1"/>
  <c r="BL23" i="87" s="1"/>
  <c r="BL13" i="87" a="1"/>
  <c r="BL13" i="87" s="1"/>
  <c r="BL20" i="87" a="1"/>
  <c r="BL20" i="87" s="1"/>
  <c r="BL17" i="87" a="1"/>
  <c r="BL17" i="87" s="1"/>
  <c r="BL14" i="87" a="1"/>
  <c r="BL14" i="87" s="1"/>
  <c r="BL26" i="87" a="1"/>
  <c r="BL26" i="87" s="1"/>
  <c r="BL16" i="87" a="1"/>
  <c r="BL16" i="87" s="1"/>
  <c r="BL15" i="87" a="1"/>
  <c r="BL15" i="87" s="1"/>
  <c r="BL21" i="87" a="1"/>
  <c r="BL21" i="87" s="1"/>
  <c r="BL22" i="87" a="1"/>
  <c r="BL22" i="87" s="1"/>
  <c r="BL11" i="87" a="1"/>
  <c r="BL11" i="87" s="1"/>
  <c r="AR37" i="87"/>
  <c r="AR55" i="87"/>
  <c r="BE68" i="87"/>
  <c r="N70" i="87"/>
  <c r="AW70" i="87"/>
  <c r="AZ70" i="87" s="1"/>
  <c r="BE61" i="87"/>
  <c r="BE48" i="87"/>
  <c r="BE37" i="87"/>
  <c r="AR17" i="87"/>
  <c r="AU44" i="87"/>
  <c r="AR31" i="87"/>
  <c r="AR23" i="87"/>
  <c r="K70" i="87"/>
  <c r="AR11" i="87"/>
  <c r="AU48" i="87"/>
  <c r="AR68" i="87"/>
  <c r="AU68" i="87"/>
  <c r="BE55" i="87"/>
  <c r="AR61" i="87"/>
  <c r="AR44" i="87"/>
  <c r="AU61" i="87"/>
  <c r="AU11" i="87"/>
  <c r="AU17" i="87"/>
  <c r="AR48" i="87"/>
  <c r="BE11" i="87"/>
  <c r="BE44" i="87"/>
  <c r="BD70" i="87"/>
  <c r="BE17" i="87"/>
  <c r="AU37" i="87"/>
  <c r="AU55" i="87"/>
  <c r="BE23" i="87"/>
  <c r="AU31" i="87"/>
  <c r="BE31" i="87"/>
  <c r="H70" i="87"/>
  <c r="AS70" i="87"/>
  <c r="AP70" i="87"/>
  <c r="V4" i="87"/>
  <c r="X4" i="87"/>
  <c r="BC70" i="87"/>
  <c r="BF70" i="87"/>
  <c r="BH70" i="87" s="1"/>
  <c r="AV70" i="87"/>
  <c r="BB70" i="87" s="1"/>
  <c r="AU23" i="87"/>
  <c r="X65" i="77"/>
  <c r="T65" i="77"/>
  <c r="Z65" i="77" s="1"/>
  <c r="S69" i="73"/>
  <c r="U69" i="73" s="1"/>
  <c r="R69" i="73"/>
  <c r="W69" i="73" s="1"/>
  <c r="V65" i="77" l="1"/>
  <c r="BM10" i="87"/>
  <c r="BM19" i="87"/>
  <c r="BM17" i="87"/>
  <c r="BM14" i="87"/>
  <c r="BM18" i="87"/>
  <c r="BM15" i="87"/>
  <c r="BM12" i="87"/>
  <c r="BM16" i="87"/>
  <c r="BM13" i="87"/>
  <c r="BM11" i="87"/>
  <c r="BE70" i="87"/>
  <c r="AX70" i="87"/>
  <c r="Y4" i="87"/>
  <c r="AA4" i="87"/>
  <c r="K53" i="70"/>
  <c r="K15" i="70"/>
  <c r="K9" i="70"/>
  <c r="BN19" i="87" l="1"/>
  <c r="BO19" i="87"/>
  <c r="BN13" i="87"/>
  <c r="BO13" i="87"/>
  <c r="BN16" i="87"/>
  <c r="BO16" i="87"/>
  <c r="BN11" i="87"/>
  <c r="BO11" i="87"/>
  <c r="BN17" i="87"/>
  <c r="BO17" i="87"/>
  <c r="BN14" i="87"/>
  <c r="BO14" i="87"/>
  <c r="BN12" i="87"/>
  <c r="BO12" i="87"/>
  <c r="BO18" i="87"/>
  <c r="BN18" i="87"/>
  <c r="BO15" i="87"/>
  <c r="BN15" i="87"/>
  <c r="BN10" i="87"/>
  <c r="BO10" i="87"/>
  <c r="AD4" i="87"/>
  <c r="AB4" i="87"/>
  <c r="K46" i="70"/>
  <c r="K35" i="70"/>
  <c r="K66" i="70"/>
  <c r="K21" i="70"/>
  <c r="K42" i="70"/>
  <c r="K29" i="70"/>
  <c r="K59" i="70"/>
  <c r="K68" i="70" l="1"/>
  <c r="BQ10" i="87"/>
  <c r="BQ31" i="87" s="1"/>
  <c r="BP10" i="87"/>
  <c r="BP31" i="87" s="1"/>
  <c r="AG4" i="87"/>
  <c r="AE4" i="87"/>
  <c r="I19" i="82" a="1"/>
  <c r="I19" i="82" s="1"/>
  <c r="G19" i="82" a="1"/>
  <c r="G19" i="82" s="1"/>
  <c r="G17" i="82" a="1"/>
  <c r="G17" i="82" s="1"/>
  <c r="I17" i="82" a="1"/>
  <c r="I17" i="82" s="1"/>
  <c r="I15" i="82" a="1"/>
  <c r="I15" i="82" s="1"/>
  <c r="G15" i="82" a="1"/>
  <c r="G15" i="82" s="1"/>
  <c r="BR31" i="87" l="1"/>
  <c r="G37" i="82" s="1" a="1"/>
  <c r="G37" i="82" s="1"/>
  <c r="AH4" i="87"/>
  <c r="AJ4" i="87"/>
  <c r="DC50" i="77"/>
  <c r="DJ50" i="77"/>
  <c r="DQ50" i="77"/>
  <c r="W34" i="71"/>
  <c r="V34" i="71"/>
  <c r="U34" i="71"/>
  <c r="T34" i="71"/>
  <c r="S34" i="71"/>
  <c r="R34" i="71"/>
  <c r="Q34" i="71"/>
  <c r="P34" i="71"/>
  <c r="O34" i="71"/>
  <c r="N34" i="71"/>
  <c r="W33" i="71"/>
  <c r="V33" i="71"/>
  <c r="U33" i="71"/>
  <c r="T33" i="71"/>
  <c r="S33" i="71"/>
  <c r="R33" i="71"/>
  <c r="Q33" i="71"/>
  <c r="P33" i="71"/>
  <c r="O33" i="71"/>
  <c r="N33" i="71"/>
  <c r="W32" i="71"/>
  <c r="V32" i="71"/>
  <c r="U32" i="71"/>
  <c r="T32" i="71"/>
  <c r="S32" i="71"/>
  <c r="R32" i="71"/>
  <c r="Q32" i="71"/>
  <c r="P32" i="71"/>
  <c r="O32" i="71"/>
  <c r="N32" i="71"/>
  <c r="W31" i="71"/>
  <c r="V31" i="71"/>
  <c r="U31" i="71"/>
  <c r="T31" i="71"/>
  <c r="S31" i="71"/>
  <c r="R31" i="71"/>
  <c r="Q31" i="71"/>
  <c r="P31" i="71"/>
  <c r="O31" i="71"/>
  <c r="N31" i="71"/>
  <c r="W30" i="71"/>
  <c r="V30" i="71"/>
  <c r="U30" i="71"/>
  <c r="T30" i="71"/>
  <c r="S30" i="71"/>
  <c r="R30" i="71"/>
  <c r="Q30" i="71"/>
  <c r="P30" i="71"/>
  <c r="O30" i="71"/>
  <c r="N30" i="71"/>
  <c r="W29" i="71"/>
  <c r="V29" i="71"/>
  <c r="U29" i="71"/>
  <c r="T29" i="71"/>
  <c r="S29" i="71"/>
  <c r="R29" i="71"/>
  <c r="Q29" i="71"/>
  <c r="P29" i="71"/>
  <c r="O29" i="71"/>
  <c r="N29" i="71"/>
  <c r="W28" i="71"/>
  <c r="V28" i="71"/>
  <c r="U28" i="71"/>
  <c r="T28" i="71"/>
  <c r="S28" i="71"/>
  <c r="R28" i="71"/>
  <c r="Q28" i="71"/>
  <c r="P28" i="71"/>
  <c r="O28" i="71"/>
  <c r="N28" i="71"/>
  <c r="W27" i="71"/>
  <c r="V27" i="71"/>
  <c r="U27" i="71"/>
  <c r="T27" i="71"/>
  <c r="S27" i="71"/>
  <c r="R27" i="71"/>
  <c r="Q27" i="71"/>
  <c r="P27" i="71"/>
  <c r="O27" i="71"/>
  <c r="N27" i="71"/>
  <c r="W26" i="71"/>
  <c r="V26" i="71"/>
  <c r="U26" i="71"/>
  <c r="T26" i="71"/>
  <c r="S26" i="71"/>
  <c r="R26" i="71"/>
  <c r="Q26" i="71"/>
  <c r="P26" i="71"/>
  <c r="O26" i="71"/>
  <c r="N26" i="71"/>
  <c r="W25" i="71"/>
  <c r="V25" i="71"/>
  <c r="U25" i="71"/>
  <c r="T25" i="71"/>
  <c r="S25" i="71"/>
  <c r="R25" i="71"/>
  <c r="Q25" i="71"/>
  <c r="P25" i="71"/>
  <c r="O25" i="71"/>
  <c r="N25" i="71"/>
  <c r="W24" i="71"/>
  <c r="V24" i="71"/>
  <c r="U24" i="71"/>
  <c r="T24" i="71"/>
  <c r="S24" i="71"/>
  <c r="R24" i="71"/>
  <c r="Q24" i="71"/>
  <c r="P24" i="71"/>
  <c r="O24" i="71"/>
  <c r="N24" i="71"/>
  <c r="W23" i="71"/>
  <c r="V23" i="71"/>
  <c r="U23" i="71"/>
  <c r="T23" i="71"/>
  <c r="S23" i="71"/>
  <c r="R23" i="71"/>
  <c r="Q23" i="71"/>
  <c r="P23" i="71"/>
  <c r="O23" i="71"/>
  <c r="N23" i="71"/>
  <c r="W22" i="71"/>
  <c r="V22" i="71"/>
  <c r="U22" i="71"/>
  <c r="T22" i="71"/>
  <c r="S22" i="71"/>
  <c r="R22" i="71"/>
  <c r="Q22" i="71"/>
  <c r="P22" i="71"/>
  <c r="O22" i="71"/>
  <c r="N22" i="71"/>
  <c r="W21" i="71"/>
  <c r="V21" i="71"/>
  <c r="U21" i="71"/>
  <c r="T21" i="71"/>
  <c r="S21" i="71"/>
  <c r="R21" i="71"/>
  <c r="Q21" i="71"/>
  <c r="P21" i="71"/>
  <c r="O21" i="71"/>
  <c r="N21" i="71"/>
  <c r="W20" i="71"/>
  <c r="V20" i="71"/>
  <c r="U20" i="71"/>
  <c r="T20" i="71"/>
  <c r="S20" i="71"/>
  <c r="R20" i="71"/>
  <c r="Q20" i="71"/>
  <c r="P20" i="71"/>
  <c r="O20" i="71"/>
  <c r="N20" i="71"/>
  <c r="W19" i="71"/>
  <c r="V19" i="71"/>
  <c r="U19" i="71"/>
  <c r="T19" i="71"/>
  <c r="S19" i="71"/>
  <c r="R19" i="71"/>
  <c r="Q19" i="71"/>
  <c r="P19" i="71"/>
  <c r="O19" i="71"/>
  <c r="N19" i="71"/>
  <c r="W18" i="71"/>
  <c r="V18" i="71"/>
  <c r="U18" i="71"/>
  <c r="T18" i="71"/>
  <c r="S18" i="71"/>
  <c r="R18" i="71"/>
  <c r="Q18" i="71"/>
  <c r="P18" i="71"/>
  <c r="O18" i="71"/>
  <c r="N18" i="71"/>
  <c r="W17" i="71"/>
  <c r="V17" i="71"/>
  <c r="U17" i="71"/>
  <c r="T17" i="71"/>
  <c r="S17" i="71"/>
  <c r="R17" i="71"/>
  <c r="Q17" i="71"/>
  <c r="P17" i="71"/>
  <c r="O17" i="71"/>
  <c r="N17" i="71"/>
  <c r="W16" i="71"/>
  <c r="V16" i="71"/>
  <c r="U16" i="71"/>
  <c r="T16" i="71"/>
  <c r="S16" i="71"/>
  <c r="R16" i="71"/>
  <c r="Q16" i="71"/>
  <c r="P16" i="71"/>
  <c r="O16" i="71"/>
  <c r="N16" i="71"/>
  <c r="W15" i="71"/>
  <c r="V15" i="71"/>
  <c r="U15" i="71"/>
  <c r="T15" i="71"/>
  <c r="S15" i="71"/>
  <c r="R15" i="71"/>
  <c r="Q15" i="71"/>
  <c r="P15" i="71"/>
  <c r="O15" i="71"/>
  <c r="N15" i="71"/>
  <c r="W14" i="71"/>
  <c r="V14" i="71"/>
  <c r="U14" i="71"/>
  <c r="T14" i="71"/>
  <c r="S14" i="71"/>
  <c r="R14" i="71"/>
  <c r="Q14" i="71"/>
  <c r="P14" i="71"/>
  <c r="O14" i="71"/>
  <c r="N14" i="71"/>
  <c r="W13" i="71"/>
  <c r="V13" i="71"/>
  <c r="U13" i="71"/>
  <c r="T13" i="71"/>
  <c r="S13" i="71"/>
  <c r="R13" i="71"/>
  <c r="Q13" i="71"/>
  <c r="P13" i="71"/>
  <c r="O13" i="71"/>
  <c r="N13" i="71"/>
  <c r="W12" i="71"/>
  <c r="V12" i="71"/>
  <c r="U12" i="71"/>
  <c r="T12" i="71"/>
  <c r="S12" i="71"/>
  <c r="R12" i="71"/>
  <c r="Q12" i="71"/>
  <c r="P12" i="71"/>
  <c r="O12" i="71"/>
  <c r="N12" i="71"/>
  <c r="W11" i="71"/>
  <c r="V11" i="71"/>
  <c r="U11" i="71"/>
  <c r="T11" i="71"/>
  <c r="S11" i="71"/>
  <c r="R11" i="71"/>
  <c r="Q11" i="71"/>
  <c r="P11" i="71"/>
  <c r="O11" i="71"/>
  <c r="N11" i="71"/>
  <c r="W10" i="71"/>
  <c r="V10" i="71"/>
  <c r="U10" i="71"/>
  <c r="T10" i="71"/>
  <c r="S10" i="71"/>
  <c r="R10" i="71"/>
  <c r="Q10" i="71"/>
  <c r="P10" i="71"/>
  <c r="O10" i="71"/>
  <c r="N10" i="71"/>
  <c r="W9" i="71"/>
  <c r="V9" i="71"/>
  <c r="U9" i="71"/>
  <c r="T9" i="71"/>
  <c r="S9" i="71"/>
  <c r="R9" i="71"/>
  <c r="Q9" i="71"/>
  <c r="P9" i="71"/>
  <c r="O9" i="71"/>
  <c r="N9" i="71"/>
  <c r="W8" i="71"/>
  <c r="V8" i="71"/>
  <c r="U8" i="71"/>
  <c r="T8" i="71"/>
  <c r="S8" i="71"/>
  <c r="R8" i="71"/>
  <c r="Q8" i="71"/>
  <c r="P8" i="71"/>
  <c r="O8" i="71"/>
  <c r="N8" i="71"/>
  <c r="W7" i="71"/>
  <c r="V7" i="71"/>
  <c r="U7" i="71"/>
  <c r="T7" i="71"/>
  <c r="S7" i="71"/>
  <c r="R7" i="71"/>
  <c r="Q7" i="71"/>
  <c r="P7" i="71"/>
  <c r="O7" i="71"/>
  <c r="N7" i="71"/>
  <c r="W6" i="71"/>
  <c r="V6" i="71"/>
  <c r="U6" i="71"/>
  <c r="T6" i="71"/>
  <c r="S6" i="71"/>
  <c r="R6" i="71"/>
  <c r="Q6" i="71"/>
  <c r="P6" i="71"/>
  <c r="O6" i="71"/>
  <c r="N6" i="71"/>
  <c r="W5" i="71"/>
  <c r="V5" i="71"/>
  <c r="U5" i="71"/>
  <c r="T5" i="71"/>
  <c r="S5" i="71"/>
  <c r="R5" i="71"/>
  <c r="Q5" i="71"/>
  <c r="P5" i="71"/>
  <c r="O5" i="71"/>
  <c r="N5" i="71"/>
  <c r="AA34" i="71"/>
  <c r="Z34" i="71"/>
  <c r="Y34" i="71"/>
  <c r="X34" i="71"/>
  <c r="D34" i="71"/>
  <c r="M34" i="71"/>
  <c r="L34" i="71"/>
  <c r="K34" i="71"/>
  <c r="J34" i="71"/>
  <c r="I34" i="71"/>
  <c r="H34" i="71"/>
  <c r="G34" i="71"/>
  <c r="F34" i="71"/>
  <c r="E34" i="71"/>
  <c r="M33" i="71"/>
  <c r="L33" i="71"/>
  <c r="K33" i="71"/>
  <c r="J33" i="71"/>
  <c r="I33" i="71"/>
  <c r="H33" i="71"/>
  <c r="G33" i="71"/>
  <c r="F33" i="71"/>
  <c r="E33" i="71"/>
  <c r="D33" i="71"/>
  <c r="M32" i="71"/>
  <c r="L32" i="71"/>
  <c r="K32" i="71"/>
  <c r="J32" i="71"/>
  <c r="I32" i="71"/>
  <c r="H32" i="71"/>
  <c r="G32" i="71"/>
  <c r="F32" i="71"/>
  <c r="E32" i="71"/>
  <c r="D32" i="71"/>
  <c r="M31" i="71"/>
  <c r="L31" i="71"/>
  <c r="K31" i="71"/>
  <c r="J31" i="71"/>
  <c r="I31" i="71"/>
  <c r="H31" i="71"/>
  <c r="G31" i="71"/>
  <c r="F31" i="71"/>
  <c r="E31" i="71"/>
  <c r="D31" i="71"/>
  <c r="M30" i="71"/>
  <c r="L30" i="71"/>
  <c r="K30" i="71"/>
  <c r="J30" i="71"/>
  <c r="I30" i="71"/>
  <c r="H30" i="71"/>
  <c r="G30" i="71"/>
  <c r="F30" i="71"/>
  <c r="E30" i="71"/>
  <c r="D30" i="71"/>
  <c r="M29" i="71"/>
  <c r="L29" i="71"/>
  <c r="K29" i="71"/>
  <c r="J29" i="71"/>
  <c r="I29" i="71"/>
  <c r="H29" i="71"/>
  <c r="G29" i="71"/>
  <c r="F29" i="71"/>
  <c r="E29" i="71"/>
  <c r="D29" i="71"/>
  <c r="M28" i="71"/>
  <c r="L28" i="71"/>
  <c r="K28" i="71"/>
  <c r="J28" i="71"/>
  <c r="I28" i="71"/>
  <c r="H28" i="71"/>
  <c r="G28" i="71"/>
  <c r="F28" i="71"/>
  <c r="E28" i="71"/>
  <c r="D28" i="71"/>
  <c r="M27" i="71"/>
  <c r="L27" i="71"/>
  <c r="K27" i="71"/>
  <c r="J27" i="71"/>
  <c r="I27" i="71"/>
  <c r="H27" i="71"/>
  <c r="G27" i="71"/>
  <c r="F27" i="71"/>
  <c r="E27" i="71"/>
  <c r="D27" i="71"/>
  <c r="M26" i="71"/>
  <c r="L26" i="71"/>
  <c r="K26" i="71"/>
  <c r="J26" i="71"/>
  <c r="I26" i="71"/>
  <c r="H26" i="71"/>
  <c r="G26" i="71"/>
  <c r="F26" i="71"/>
  <c r="E26" i="71"/>
  <c r="D26" i="71"/>
  <c r="M25" i="71"/>
  <c r="L25" i="71"/>
  <c r="K25" i="71"/>
  <c r="J25" i="71"/>
  <c r="I25" i="71"/>
  <c r="H25" i="71"/>
  <c r="G25" i="71"/>
  <c r="F25" i="71"/>
  <c r="E25" i="71"/>
  <c r="D25" i="71"/>
  <c r="M24" i="71"/>
  <c r="L24" i="71"/>
  <c r="K24" i="71"/>
  <c r="J24" i="71"/>
  <c r="I24" i="71"/>
  <c r="H24" i="71"/>
  <c r="G24" i="71"/>
  <c r="F24" i="71"/>
  <c r="E24" i="71"/>
  <c r="D24" i="71"/>
  <c r="M23" i="71"/>
  <c r="L23" i="71"/>
  <c r="K23" i="71"/>
  <c r="J23" i="71"/>
  <c r="I23" i="71"/>
  <c r="H23" i="71"/>
  <c r="G23" i="71"/>
  <c r="F23" i="71"/>
  <c r="E23" i="71"/>
  <c r="D23" i="71"/>
  <c r="M22" i="71"/>
  <c r="L22" i="71"/>
  <c r="K22" i="71"/>
  <c r="J22" i="71"/>
  <c r="I22" i="71"/>
  <c r="H22" i="71"/>
  <c r="G22" i="71"/>
  <c r="F22" i="71"/>
  <c r="E22" i="71"/>
  <c r="D22" i="71"/>
  <c r="M21" i="71"/>
  <c r="L21" i="71"/>
  <c r="K21" i="71"/>
  <c r="J21" i="71"/>
  <c r="I21" i="71"/>
  <c r="H21" i="71"/>
  <c r="G21" i="71"/>
  <c r="F21" i="71"/>
  <c r="E21" i="71"/>
  <c r="D21" i="71"/>
  <c r="M20" i="71"/>
  <c r="L20" i="71"/>
  <c r="K20" i="71"/>
  <c r="J20" i="71"/>
  <c r="I20" i="71"/>
  <c r="H20" i="71"/>
  <c r="G20" i="71"/>
  <c r="F20" i="71"/>
  <c r="E20" i="71"/>
  <c r="D20" i="71"/>
  <c r="M19" i="71"/>
  <c r="L19" i="71"/>
  <c r="K19" i="71"/>
  <c r="J19" i="71"/>
  <c r="I19" i="71"/>
  <c r="H19" i="71"/>
  <c r="G19" i="71"/>
  <c r="F19" i="71"/>
  <c r="E19" i="71"/>
  <c r="D19" i="71"/>
  <c r="M18" i="71"/>
  <c r="L18" i="71"/>
  <c r="K18" i="71"/>
  <c r="J18" i="71"/>
  <c r="I18" i="71"/>
  <c r="H18" i="71"/>
  <c r="G18" i="71"/>
  <c r="F18" i="71"/>
  <c r="E18" i="71"/>
  <c r="D18" i="71"/>
  <c r="M17" i="71"/>
  <c r="L17" i="71"/>
  <c r="K17" i="71"/>
  <c r="J17" i="71"/>
  <c r="I17" i="71"/>
  <c r="H17" i="71"/>
  <c r="G17" i="71"/>
  <c r="F17" i="71"/>
  <c r="E17" i="71"/>
  <c r="D17" i="71"/>
  <c r="M16" i="71"/>
  <c r="L16" i="71"/>
  <c r="K16" i="71"/>
  <c r="J16" i="71"/>
  <c r="I16" i="71"/>
  <c r="H16" i="71"/>
  <c r="G16" i="71"/>
  <c r="F16" i="71"/>
  <c r="E16" i="71"/>
  <c r="D16" i="71"/>
  <c r="M15" i="71"/>
  <c r="L15" i="71"/>
  <c r="K15" i="71"/>
  <c r="J15" i="71"/>
  <c r="I15" i="71"/>
  <c r="H15" i="71"/>
  <c r="G15" i="71"/>
  <c r="F15" i="71"/>
  <c r="E15" i="71"/>
  <c r="D15" i="71"/>
  <c r="M14" i="71"/>
  <c r="L14" i="71"/>
  <c r="K14" i="71"/>
  <c r="J14" i="71"/>
  <c r="I14" i="71"/>
  <c r="H14" i="71"/>
  <c r="G14" i="71"/>
  <c r="F14" i="71"/>
  <c r="E14" i="71"/>
  <c r="D14" i="71"/>
  <c r="M13" i="71"/>
  <c r="L13" i="71"/>
  <c r="K13" i="71"/>
  <c r="J13" i="71"/>
  <c r="I13" i="71"/>
  <c r="H13" i="71"/>
  <c r="G13" i="71"/>
  <c r="F13" i="71"/>
  <c r="E13" i="71"/>
  <c r="D13" i="71"/>
  <c r="M12" i="71"/>
  <c r="L12" i="71"/>
  <c r="K12" i="71"/>
  <c r="J12" i="71"/>
  <c r="I12" i="71"/>
  <c r="H12" i="71"/>
  <c r="G12" i="71"/>
  <c r="F12" i="71"/>
  <c r="E12" i="71"/>
  <c r="D12" i="71"/>
  <c r="M11" i="71"/>
  <c r="L11" i="71"/>
  <c r="K11" i="71"/>
  <c r="J11" i="71"/>
  <c r="I11" i="71"/>
  <c r="H11" i="71"/>
  <c r="G11" i="71"/>
  <c r="F11" i="71"/>
  <c r="E11" i="71"/>
  <c r="D11" i="71"/>
  <c r="M10" i="71"/>
  <c r="L10" i="71"/>
  <c r="K10" i="71"/>
  <c r="J10" i="71"/>
  <c r="I10" i="71"/>
  <c r="H10" i="71"/>
  <c r="G10" i="71"/>
  <c r="F10" i="71"/>
  <c r="E10" i="71"/>
  <c r="D10" i="71"/>
  <c r="M9" i="71"/>
  <c r="L9" i="71"/>
  <c r="K9" i="71"/>
  <c r="J9" i="71"/>
  <c r="I9" i="71"/>
  <c r="H9" i="71"/>
  <c r="G9" i="71"/>
  <c r="F9" i="71"/>
  <c r="E9" i="71"/>
  <c r="D9" i="71"/>
  <c r="M8" i="71"/>
  <c r="L8" i="71"/>
  <c r="K8" i="71"/>
  <c r="J8" i="71"/>
  <c r="I8" i="71"/>
  <c r="H8" i="71"/>
  <c r="G8" i="71"/>
  <c r="F8" i="71"/>
  <c r="E8" i="71"/>
  <c r="D8" i="71"/>
  <c r="M7" i="71"/>
  <c r="L7" i="71"/>
  <c r="K7" i="71"/>
  <c r="J7" i="71"/>
  <c r="I7" i="71"/>
  <c r="H7" i="71"/>
  <c r="G7" i="71"/>
  <c r="F7" i="71"/>
  <c r="E7" i="71"/>
  <c r="D7" i="71"/>
  <c r="M6" i="71"/>
  <c r="L6" i="71"/>
  <c r="K6" i="71"/>
  <c r="J6" i="71"/>
  <c r="I6" i="71"/>
  <c r="H6" i="71"/>
  <c r="G6" i="71"/>
  <c r="F6" i="71"/>
  <c r="E6" i="71"/>
  <c r="D6" i="71"/>
  <c r="X6" i="71"/>
  <c r="Y6" i="71"/>
  <c r="Z6" i="71"/>
  <c r="AA6" i="71"/>
  <c r="X7" i="71"/>
  <c r="Y7" i="71"/>
  <c r="Z7" i="71"/>
  <c r="AA7" i="71"/>
  <c r="X8" i="71"/>
  <c r="Y8" i="71"/>
  <c r="Z8" i="71"/>
  <c r="AA8" i="71"/>
  <c r="X9" i="71"/>
  <c r="Y9" i="71"/>
  <c r="Z9" i="71"/>
  <c r="AA9" i="71"/>
  <c r="X10" i="71"/>
  <c r="Y10" i="71"/>
  <c r="Z10" i="71"/>
  <c r="AA10" i="71"/>
  <c r="X11" i="71"/>
  <c r="Y11" i="71"/>
  <c r="Z11" i="71"/>
  <c r="AA11" i="71"/>
  <c r="X12" i="71"/>
  <c r="Y12" i="71"/>
  <c r="Z12" i="71"/>
  <c r="AA12" i="71"/>
  <c r="X13" i="71"/>
  <c r="Y13" i="71"/>
  <c r="Z13" i="71"/>
  <c r="AA13" i="71"/>
  <c r="X14" i="71"/>
  <c r="Y14" i="71"/>
  <c r="Z14" i="71"/>
  <c r="AA14" i="71"/>
  <c r="X15" i="71"/>
  <c r="Y15" i="71"/>
  <c r="Z15" i="71"/>
  <c r="AA15" i="71"/>
  <c r="X16" i="71"/>
  <c r="Y16" i="71"/>
  <c r="Z16" i="71"/>
  <c r="AA16" i="71"/>
  <c r="X17" i="71"/>
  <c r="Y17" i="71"/>
  <c r="Z17" i="71"/>
  <c r="AA17" i="71"/>
  <c r="X18" i="71"/>
  <c r="Y18" i="71"/>
  <c r="Z18" i="71"/>
  <c r="AA18" i="71"/>
  <c r="X19" i="71"/>
  <c r="Y19" i="71"/>
  <c r="Z19" i="71"/>
  <c r="AA19" i="71"/>
  <c r="X20" i="71"/>
  <c r="Y20" i="71"/>
  <c r="Z20" i="71"/>
  <c r="AA20" i="71"/>
  <c r="X21" i="71"/>
  <c r="Y21" i="71"/>
  <c r="Z21" i="71"/>
  <c r="AA21" i="71"/>
  <c r="X22" i="71"/>
  <c r="Y22" i="71"/>
  <c r="Z22" i="71"/>
  <c r="AA22" i="71"/>
  <c r="X23" i="71"/>
  <c r="Y23" i="71"/>
  <c r="Z23" i="71"/>
  <c r="AA23" i="71"/>
  <c r="X24" i="71"/>
  <c r="Y24" i="71"/>
  <c r="Z24" i="71"/>
  <c r="AA24" i="71"/>
  <c r="X25" i="71"/>
  <c r="Y25" i="71"/>
  <c r="Z25" i="71"/>
  <c r="AA25" i="71"/>
  <c r="X26" i="71"/>
  <c r="Y26" i="71"/>
  <c r="Z26" i="71"/>
  <c r="AA26" i="71"/>
  <c r="X27" i="71"/>
  <c r="Y27" i="71"/>
  <c r="Z27" i="71"/>
  <c r="AA27" i="71"/>
  <c r="X28" i="71"/>
  <c r="Y28" i="71"/>
  <c r="Z28" i="71"/>
  <c r="AA28" i="71"/>
  <c r="X29" i="71"/>
  <c r="Y29" i="71"/>
  <c r="Z29" i="71"/>
  <c r="AA29" i="71"/>
  <c r="X30" i="71"/>
  <c r="Y30" i="71"/>
  <c r="Z30" i="71"/>
  <c r="AA30" i="71"/>
  <c r="X31" i="71"/>
  <c r="Y31" i="71"/>
  <c r="Z31" i="71"/>
  <c r="AA31" i="71"/>
  <c r="X32" i="71"/>
  <c r="Y32" i="71"/>
  <c r="Z32" i="71"/>
  <c r="AA32" i="71"/>
  <c r="X33" i="71"/>
  <c r="Y33" i="71"/>
  <c r="Z33" i="71"/>
  <c r="AA33" i="71"/>
  <c r="AA5" i="71"/>
  <c r="Z5" i="71"/>
  <c r="Y5" i="71"/>
  <c r="X5" i="71"/>
  <c r="M5" i="71"/>
  <c r="L5" i="71"/>
  <c r="K5" i="71"/>
  <c r="J5" i="71"/>
  <c r="I5" i="71"/>
  <c r="H5" i="71"/>
  <c r="G5" i="71"/>
  <c r="F5" i="71"/>
  <c r="E5" i="71"/>
  <c r="D5" i="71"/>
  <c r="AA31" i="75"/>
  <c r="Z31" i="75"/>
  <c r="Y31" i="75"/>
  <c r="X31" i="75"/>
  <c r="W31" i="75"/>
  <c r="V31" i="75"/>
  <c r="U31" i="75"/>
  <c r="T31" i="75"/>
  <c r="S31" i="75"/>
  <c r="R31" i="75"/>
  <c r="Q31" i="75"/>
  <c r="P31" i="75"/>
  <c r="O31" i="75"/>
  <c r="N31" i="75"/>
  <c r="M31" i="75"/>
  <c r="L31" i="75"/>
  <c r="K31" i="75"/>
  <c r="J31" i="75"/>
  <c r="I31" i="75"/>
  <c r="H31" i="75"/>
  <c r="G31" i="75"/>
  <c r="F31" i="75"/>
  <c r="E31" i="75"/>
  <c r="D31" i="75"/>
  <c r="AA29" i="75"/>
  <c r="Z29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AA28" i="75"/>
  <c r="Z28" i="75"/>
  <c r="Y28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AA27" i="75"/>
  <c r="Z27" i="75"/>
  <c r="Y27" i="75"/>
  <c r="X27" i="75"/>
  <c r="W27" i="75"/>
  <c r="V27" i="75"/>
  <c r="U27" i="75"/>
  <c r="T27" i="75"/>
  <c r="S27" i="75"/>
  <c r="R27" i="75"/>
  <c r="Q27" i="75"/>
  <c r="P27" i="75"/>
  <c r="O27" i="75"/>
  <c r="N27" i="75"/>
  <c r="M27" i="75"/>
  <c r="L27" i="75"/>
  <c r="K27" i="75"/>
  <c r="J27" i="75"/>
  <c r="I27" i="75"/>
  <c r="H27" i="75"/>
  <c r="G27" i="75"/>
  <c r="F27" i="75"/>
  <c r="E27" i="75"/>
  <c r="D27" i="75"/>
  <c r="AA26" i="75"/>
  <c r="Z26" i="75"/>
  <c r="Y26" i="75"/>
  <c r="X26" i="75"/>
  <c r="W26" i="75"/>
  <c r="V26" i="75"/>
  <c r="U26" i="75"/>
  <c r="T26" i="75"/>
  <c r="S26" i="75"/>
  <c r="R26" i="75"/>
  <c r="Q26" i="75"/>
  <c r="P26" i="75"/>
  <c r="O26" i="75"/>
  <c r="N26" i="75"/>
  <c r="M26" i="75"/>
  <c r="L26" i="75"/>
  <c r="K26" i="75"/>
  <c r="J26" i="75"/>
  <c r="I26" i="75"/>
  <c r="H26" i="75"/>
  <c r="G26" i="75"/>
  <c r="F26" i="75"/>
  <c r="E26" i="75"/>
  <c r="D26" i="75"/>
  <c r="AA25" i="75"/>
  <c r="Z25" i="75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K25" i="75"/>
  <c r="J25" i="75"/>
  <c r="I25" i="75"/>
  <c r="H25" i="75"/>
  <c r="G25" i="75"/>
  <c r="F25" i="75"/>
  <c r="E25" i="75"/>
  <c r="D25" i="75"/>
  <c r="AA24" i="75"/>
  <c r="Z24" i="75"/>
  <c r="Y24" i="75"/>
  <c r="X24" i="75"/>
  <c r="W24" i="75"/>
  <c r="V24" i="75"/>
  <c r="U24" i="75"/>
  <c r="T24" i="75"/>
  <c r="S24" i="75"/>
  <c r="R24" i="75"/>
  <c r="Q24" i="75"/>
  <c r="P24" i="75"/>
  <c r="O24" i="75"/>
  <c r="N24" i="75"/>
  <c r="M24" i="75"/>
  <c r="L24" i="75"/>
  <c r="K24" i="75"/>
  <c r="J24" i="75"/>
  <c r="I24" i="75"/>
  <c r="H24" i="75"/>
  <c r="G24" i="75"/>
  <c r="F24" i="75"/>
  <c r="E24" i="75"/>
  <c r="D24" i="75"/>
  <c r="AA23" i="75"/>
  <c r="Z23" i="75"/>
  <c r="Y23" i="75"/>
  <c r="X23" i="75"/>
  <c r="W23" i="75"/>
  <c r="V23" i="75"/>
  <c r="U23" i="75"/>
  <c r="T23" i="75"/>
  <c r="S23" i="75"/>
  <c r="R23" i="75"/>
  <c r="Q23" i="75"/>
  <c r="P23" i="75"/>
  <c r="O23" i="75"/>
  <c r="N23" i="75"/>
  <c r="M23" i="75"/>
  <c r="L23" i="75"/>
  <c r="K23" i="75"/>
  <c r="J23" i="75"/>
  <c r="I23" i="75"/>
  <c r="H23" i="75"/>
  <c r="G23" i="75"/>
  <c r="F23" i="75"/>
  <c r="E23" i="75"/>
  <c r="D23" i="75"/>
  <c r="AA22" i="75"/>
  <c r="Z22" i="75"/>
  <c r="Y22" i="75"/>
  <c r="X22" i="75"/>
  <c r="W22" i="75"/>
  <c r="V22" i="75"/>
  <c r="U22" i="75"/>
  <c r="T22" i="75"/>
  <c r="S22" i="75"/>
  <c r="R22" i="75"/>
  <c r="Q22" i="75"/>
  <c r="P22" i="75"/>
  <c r="O22" i="75"/>
  <c r="N22" i="75"/>
  <c r="M22" i="75"/>
  <c r="L22" i="75"/>
  <c r="K22" i="75"/>
  <c r="J22" i="75"/>
  <c r="I22" i="75"/>
  <c r="H22" i="75"/>
  <c r="G22" i="75"/>
  <c r="F22" i="75"/>
  <c r="E22" i="75"/>
  <c r="D22" i="75"/>
  <c r="AA20" i="75"/>
  <c r="Z20" i="75"/>
  <c r="Y20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AA19" i="75"/>
  <c r="Z19" i="75"/>
  <c r="Y19" i="75"/>
  <c r="X19" i="75"/>
  <c r="W19" i="75"/>
  <c r="V19" i="75"/>
  <c r="U19" i="75"/>
  <c r="T19" i="75"/>
  <c r="S19" i="75"/>
  <c r="R19" i="75"/>
  <c r="Q19" i="75"/>
  <c r="P19" i="75"/>
  <c r="O19" i="75"/>
  <c r="N19" i="75"/>
  <c r="M19" i="75"/>
  <c r="L19" i="75"/>
  <c r="K19" i="75"/>
  <c r="J19" i="75"/>
  <c r="I19" i="75"/>
  <c r="H19" i="75"/>
  <c r="G19" i="75"/>
  <c r="F19" i="75"/>
  <c r="E19" i="75"/>
  <c r="D19" i="75"/>
  <c r="AA18" i="75"/>
  <c r="Z18" i="75"/>
  <c r="Y18" i="75"/>
  <c r="X18" i="75"/>
  <c r="W18" i="75"/>
  <c r="V18" i="75"/>
  <c r="U18" i="75"/>
  <c r="T18" i="75"/>
  <c r="S18" i="75"/>
  <c r="R18" i="75"/>
  <c r="Q18" i="75"/>
  <c r="P18" i="75"/>
  <c r="O18" i="75"/>
  <c r="N18" i="75"/>
  <c r="M18" i="75"/>
  <c r="L18" i="75"/>
  <c r="K18" i="75"/>
  <c r="J18" i="75"/>
  <c r="I18" i="75"/>
  <c r="H18" i="75"/>
  <c r="G18" i="75"/>
  <c r="F18" i="75"/>
  <c r="E18" i="75"/>
  <c r="D18" i="75"/>
  <c r="AA17" i="75"/>
  <c r="Z17" i="75"/>
  <c r="Y17" i="75"/>
  <c r="X17" i="75"/>
  <c r="W17" i="75"/>
  <c r="V17" i="75"/>
  <c r="U17" i="75"/>
  <c r="T17" i="75"/>
  <c r="S17" i="75"/>
  <c r="R17" i="75"/>
  <c r="Q17" i="75"/>
  <c r="P17" i="75"/>
  <c r="O17" i="75"/>
  <c r="N17" i="75"/>
  <c r="M17" i="75"/>
  <c r="L17" i="75"/>
  <c r="K17" i="75"/>
  <c r="J17" i="75"/>
  <c r="I17" i="75"/>
  <c r="H17" i="75"/>
  <c r="G17" i="75"/>
  <c r="F17" i="75"/>
  <c r="E17" i="75"/>
  <c r="D17" i="75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AA14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G14" i="75"/>
  <c r="F14" i="75"/>
  <c r="E14" i="75"/>
  <c r="D14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AA11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G11" i="75"/>
  <c r="F11" i="75"/>
  <c r="E11" i="75"/>
  <c r="D11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AA8" i="75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G8" i="75"/>
  <c r="F8" i="75"/>
  <c r="E8" i="75"/>
  <c r="D8" i="75"/>
  <c r="AA7" i="75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G7" i="75"/>
  <c r="F7" i="75"/>
  <c r="E7" i="75"/>
  <c r="D7" i="75"/>
  <c r="AA6" i="75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G6" i="75"/>
  <c r="F6" i="75"/>
  <c r="E6" i="75"/>
  <c r="D6" i="75"/>
  <c r="AA5" i="75"/>
  <c r="Z5" i="75"/>
  <c r="Y5" i="75"/>
  <c r="X5" i="75"/>
  <c r="W5" i="75"/>
  <c r="V5" i="75"/>
  <c r="U5" i="75"/>
  <c r="T5" i="75"/>
  <c r="S5" i="75"/>
  <c r="R5" i="75"/>
  <c r="Q5" i="75"/>
  <c r="P5" i="75"/>
  <c r="O5" i="75"/>
  <c r="N5" i="75"/>
  <c r="M5" i="75"/>
  <c r="L5" i="75"/>
  <c r="K5" i="75"/>
  <c r="J5" i="75"/>
  <c r="I5" i="75"/>
  <c r="H5" i="75"/>
  <c r="G5" i="75"/>
  <c r="F5" i="75"/>
  <c r="E5" i="75"/>
  <c r="D5" i="75"/>
  <c r="AA30" i="75"/>
  <c r="Z30" i="75"/>
  <c r="Y30" i="75"/>
  <c r="X30" i="75"/>
  <c r="W30" i="75"/>
  <c r="V30" i="75"/>
  <c r="U30" i="75"/>
  <c r="T30" i="75"/>
  <c r="S30" i="75"/>
  <c r="R30" i="75"/>
  <c r="Q30" i="75"/>
  <c r="P30" i="75"/>
  <c r="O30" i="75"/>
  <c r="N30" i="75"/>
  <c r="M30" i="75"/>
  <c r="L30" i="75"/>
  <c r="K30" i="75"/>
  <c r="J30" i="75"/>
  <c r="I30" i="75"/>
  <c r="H30" i="75"/>
  <c r="G30" i="75"/>
  <c r="F30" i="75"/>
  <c r="E30" i="75"/>
  <c r="D30" i="75"/>
  <c r="I69" i="78"/>
  <c r="I67" i="78"/>
  <c r="I66" i="78"/>
  <c r="I65" i="78"/>
  <c r="I64" i="78"/>
  <c r="I63" i="78"/>
  <c r="I62" i="78"/>
  <c r="I60" i="78"/>
  <c r="I59" i="78"/>
  <c r="I58" i="78"/>
  <c r="I57" i="78"/>
  <c r="I56" i="78"/>
  <c r="I54" i="78"/>
  <c r="I53" i="78"/>
  <c r="I52" i="78"/>
  <c r="I51" i="78"/>
  <c r="I50" i="78"/>
  <c r="I49" i="78"/>
  <c r="I47" i="78"/>
  <c r="I46" i="78"/>
  <c r="I45" i="78"/>
  <c r="I43" i="78"/>
  <c r="I42" i="78"/>
  <c r="I41" i="78"/>
  <c r="I40" i="78"/>
  <c r="I39" i="78"/>
  <c r="I38" i="78"/>
  <c r="I36" i="78"/>
  <c r="I35" i="78"/>
  <c r="I34" i="78"/>
  <c r="I33" i="78"/>
  <c r="I32" i="78"/>
  <c r="I30" i="78"/>
  <c r="I29" i="78"/>
  <c r="I28" i="78"/>
  <c r="I27" i="78"/>
  <c r="I26" i="78"/>
  <c r="I25" i="78"/>
  <c r="I24" i="78"/>
  <c r="I22" i="78"/>
  <c r="I21" i="78"/>
  <c r="I20" i="78"/>
  <c r="I19" i="78"/>
  <c r="I18" i="78"/>
  <c r="I16" i="78"/>
  <c r="I15" i="78"/>
  <c r="I14" i="78"/>
  <c r="I13" i="78"/>
  <c r="I12" i="78"/>
  <c r="I10" i="78"/>
  <c r="I9" i="78"/>
  <c r="I8" i="78"/>
  <c r="L69" i="78"/>
  <c r="L67" i="78"/>
  <c r="L66" i="78"/>
  <c r="L65" i="78"/>
  <c r="L64" i="78"/>
  <c r="L63" i="78"/>
  <c r="L62" i="78"/>
  <c r="L60" i="78"/>
  <c r="L59" i="78"/>
  <c r="L58" i="78"/>
  <c r="L57" i="78"/>
  <c r="L56" i="78"/>
  <c r="L54" i="78"/>
  <c r="L53" i="78"/>
  <c r="L52" i="78"/>
  <c r="L51" i="78"/>
  <c r="L50" i="78"/>
  <c r="L49" i="78"/>
  <c r="L47" i="78"/>
  <c r="L46" i="78"/>
  <c r="L45" i="78"/>
  <c r="L43" i="78"/>
  <c r="L42" i="78"/>
  <c r="L41" i="78"/>
  <c r="L40" i="78"/>
  <c r="L39" i="78"/>
  <c r="L38" i="78"/>
  <c r="L36" i="78"/>
  <c r="L35" i="78"/>
  <c r="L34" i="78"/>
  <c r="L33" i="78"/>
  <c r="L32" i="78"/>
  <c r="L30" i="78"/>
  <c r="L29" i="78"/>
  <c r="L28" i="78"/>
  <c r="L27" i="78"/>
  <c r="L26" i="78"/>
  <c r="L25" i="78"/>
  <c r="L24" i="78"/>
  <c r="L22" i="78"/>
  <c r="L21" i="78"/>
  <c r="L20" i="78"/>
  <c r="L19" i="78"/>
  <c r="L18" i="78"/>
  <c r="L16" i="78"/>
  <c r="L15" i="78"/>
  <c r="L14" i="78"/>
  <c r="L13" i="78"/>
  <c r="L12" i="78"/>
  <c r="L10" i="78"/>
  <c r="L9" i="78"/>
  <c r="L8" i="78"/>
  <c r="O69" i="78"/>
  <c r="O67" i="78"/>
  <c r="O66" i="78"/>
  <c r="O65" i="78"/>
  <c r="O64" i="78"/>
  <c r="O63" i="78"/>
  <c r="O62" i="78"/>
  <c r="O60" i="78"/>
  <c r="O59" i="78"/>
  <c r="O58" i="78"/>
  <c r="O57" i="78"/>
  <c r="O56" i="78"/>
  <c r="O54" i="78"/>
  <c r="O53" i="78"/>
  <c r="O52" i="78"/>
  <c r="O51" i="78"/>
  <c r="O50" i="78"/>
  <c r="O49" i="78"/>
  <c r="O47" i="78"/>
  <c r="O46" i="78"/>
  <c r="O45" i="78"/>
  <c r="O43" i="78"/>
  <c r="O42" i="78"/>
  <c r="O41" i="78"/>
  <c r="O40" i="78"/>
  <c r="O39" i="78"/>
  <c r="O38" i="78"/>
  <c r="O36" i="78"/>
  <c r="O35" i="78"/>
  <c r="O34" i="78"/>
  <c r="O33" i="78"/>
  <c r="O32" i="78"/>
  <c r="O30" i="78"/>
  <c r="O29" i="78"/>
  <c r="O28" i="78"/>
  <c r="O27" i="78"/>
  <c r="O26" i="78"/>
  <c r="O25" i="78"/>
  <c r="O24" i="78"/>
  <c r="O22" i="78"/>
  <c r="O21" i="78"/>
  <c r="O20" i="78"/>
  <c r="O19" i="78"/>
  <c r="O18" i="78"/>
  <c r="O16" i="78"/>
  <c r="O15" i="78"/>
  <c r="O14" i="78"/>
  <c r="O13" i="78"/>
  <c r="O12" i="78"/>
  <c r="O10" i="78"/>
  <c r="O9" i="78"/>
  <c r="O8" i="78"/>
  <c r="R69" i="78"/>
  <c r="R67" i="78"/>
  <c r="R66" i="78"/>
  <c r="R65" i="78"/>
  <c r="R64" i="78"/>
  <c r="R63" i="78"/>
  <c r="R62" i="78"/>
  <c r="R60" i="78"/>
  <c r="R59" i="78"/>
  <c r="R58" i="78"/>
  <c r="R57" i="78"/>
  <c r="R56" i="78"/>
  <c r="R54" i="78"/>
  <c r="R53" i="78"/>
  <c r="R52" i="78"/>
  <c r="R51" i="78"/>
  <c r="R50" i="78"/>
  <c r="R49" i="78"/>
  <c r="R47" i="78"/>
  <c r="R46" i="78"/>
  <c r="R45" i="78"/>
  <c r="R43" i="78"/>
  <c r="R42" i="78"/>
  <c r="R41" i="78"/>
  <c r="R40" i="78"/>
  <c r="R39" i="78"/>
  <c r="R38" i="78"/>
  <c r="R36" i="78"/>
  <c r="R35" i="78"/>
  <c r="R34" i="78"/>
  <c r="R33" i="78"/>
  <c r="R32" i="78"/>
  <c r="R30" i="78"/>
  <c r="R29" i="78"/>
  <c r="R28" i="78"/>
  <c r="R27" i="78"/>
  <c r="R26" i="78"/>
  <c r="R25" i="78"/>
  <c r="R24" i="78"/>
  <c r="R22" i="78"/>
  <c r="R21" i="78"/>
  <c r="R20" i="78"/>
  <c r="R19" i="78"/>
  <c r="R18" i="78"/>
  <c r="R16" i="78"/>
  <c r="R15" i="78"/>
  <c r="R14" i="78"/>
  <c r="R13" i="78"/>
  <c r="R12" i="78"/>
  <c r="R10" i="78"/>
  <c r="R9" i="78"/>
  <c r="R8" i="78"/>
  <c r="U69" i="78"/>
  <c r="U67" i="78"/>
  <c r="U66" i="78"/>
  <c r="U65" i="78"/>
  <c r="U64" i="78"/>
  <c r="U63" i="78"/>
  <c r="U62" i="78"/>
  <c r="U60" i="78"/>
  <c r="U59" i="78"/>
  <c r="U58" i="78"/>
  <c r="U57" i="78"/>
  <c r="U56" i="78"/>
  <c r="U54" i="78"/>
  <c r="U53" i="78"/>
  <c r="U52" i="78"/>
  <c r="U51" i="78"/>
  <c r="U50" i="78"/>
  <c r="U49" i="78"/>
  <c r="U47" i="78"/>
  <c r="U46" i="78"/>
  <c r="U45" i="78"/>
  <c r="U43" i="78"/>
  <c r="U42" i="78"/>
  <c r="U41" i="78"/>
  <c r="U40" i="78"/>
  <c r="U39" i="78"/>
  <c r="U38" i="78"/>
  <c r="U36" i="78"/>
  <c r="U35" i="78"/>
  <c r="U34" i="78"/>
  <c r="U33" i="78"/>
  <c r="U32" i="78"/>
  <c r="U30" i="78"/>
  <c r="U29" i="78"/>
  <c r="U28" i="78"/>
  <c r="U27" i="78"/>
  <c r="U26" i="78"/>
  <c r="U25" i="78"/>
  <c r="U24" i="78"/>
  <c r="U22" i="78"/>
  <c r="U21" i="78"/>
  <c r="U20" i="78"/>
  <c r="U19" i="78"/>
  <c r="U18" i="78"/>
  <c r="U16" i="78"/>
  <c r="U15" i="78"/>
  <c r="U14" i="78"/>
  <c r="U13" i="78"/>
  <c r="U12" i="78"/>
  <c r="U10" i="78"/>
  <c r="U9" i="78"/>
  <c r="U8" i="78"/>
  <c r="X69" i="78"/>
  <c r="X67" i="78"/>
  <c r="X66" i="78"/>
  <c r="X65" i="78"/>
  <c r="X64" i="78"/>
  <c r="X63" i="78"/>
  <c r="X62" i="78"/>
  <c r="X60" i="78"/>
  <c r="X59" i="78"/>
  <c r="X58" i="78"/>
  <c r="X57" i="78"/>
  <c r="X56" i="78"/>
  <c r="X54" i="78"/>
  <c r="X53" i="78"/>
  <c r="X52" i="78"/>
  <c r="X51" i="78"/>
  <c r="X50" i="78"/>
  <c r="X49" i="78"/>
  <c r="X47" i="78"/>
  <c r="X46" i="78"/>
  <c r="X45" i="78"/>
  <c r="X43" i="78"/>
  <c r="X42" i="78"/>
  <c r="X41" i="78"/>
  <c r="X40" i="78"/>
  <c r="X39" i="78"/>
  <c r="X38" i="78"/>
  <c r="X36" i="78"/>
  <c r="X35" i="78"/>
  <c r="X34" i="78"/>
  <c r="X33" i="78"/>
  <c r="X32" i="78"/>
  <c r="X30" i="78"/>
  <c r="X29" i="78"/>
  <c r="X28" i="78"/>
  <c r="X27" i="78"/>
  <c r="X26" i="78"/>
  <c r="X25" i="78"/>
  <c r="X24" i="78"/>
  <c r="X22" i="78"/>
  <c r="X21" i="78"/>
  <c r="X20" i="78"/>
  <c r="X19" i="78"/>
  <c r="X18" i="78"/>
  <c r="X16" i="78"/>
  <c r="X15" i="78"/>
  <c r="X14" i="78"/>
  <c r="X13" i="78"/>
  <c r="X12" i="78"/>
  <c r="X10" i="78"/>
  <c r="X9" i="78"/>
  <c r="X8" i="78"/>
  <c r="AA69" i="78"/>
  <c r="AA67" i="78"/>
  <c r="AA66" i="78"/>
  <c r="AA65" i="78"/>
  <c r="AA64" i="78"/>
  <c r="AA63" i="78"/>
  <c r="AA62" i="78"/>
  <c r="AA60" i="78"/>
  <c r="AA59" i="78"/>
  <c r="AA58" i="78"/>
  <c r="AA57" i="78"/>
  <c r="AA56" i="78"/>
  <c r="AA54" i="78"/>
  <c r="AA53" i="78"/>
  <c r="AA52" i="78"/>
  <c r="AA51" i="78"/>
  <c r="AA50" i="78"/>
  <c r="AA49" i="78"/>
  <c r="AA47" i="78"/>
  <c r="AA46" i="78"/>
  <c r="AA45" i="78"/>
  <c r="AA43" i="78"/>
  <c r="AA42" i="78"/>
  <c r="AA41" i="78"/>
  <c r="AA40" i="78"/>
  <c r="AA39" i="78"/>
  <c r="AA38" i="78"/>
  <c r="AA36" i="78"/>
  <c r="AA35" i="78"/>
  <c r="AA34" i="78"/>
  <c r="AA33" i="78"/>
  <c r="AA32" i="78"/>
  <c r="AA30" i="78"/>
  <c r="AA29" i="78"/>
  <c r="AA28" i="78"/>
  <c r="AA27" i="78"/>
  <c r="AA26" i="78"/>
  <c r="AA25" i="78"/>
  <c r="AA24" i="78"/>
  <c r="AA22" i="78"/>
  <c r="AA21" i="78"/>
  <c r="AA20" i="78"/>
  <c r="AA19" i="78"/>
  <c r="AA18" i="78"/>
  <c r="AA16" i="78"/>
  <c r="AA15" i="78"/>
  <c r="AA14" i="78"/>
  <c r="AA13" i="78"/>
  <c r="AA12" i="78"/>
  <c r="AA10" i="78"/>
  <c r="AA9" i="78"/>
  <c r="AA8" i="78"/>
  <c r="AD69" i="78"/>
  <c r="AD67" i="78"/>
  <c r="AD66" i="78"/>
  <c r="AD65" i="78"/>
  <c r="AD64" i="78"/>
  <c r="AD63" i="78"/>
  <c r="AD62" i="78"/>
  <c r="AD60" i="78"/>
  <c r="AD59" i="78"/>
  <c r="AD58" i="78"/>
  <c r="AD57" i="78"/>
  <c r="AD56" i="78"/>
  <c r="AD54" i="78"/>
  <c r="AD53" i="78"/>
  <c r="AD52" i="78"/>
  <c r="AD51" i="78"/>
  <c r="AD50" i="78"/>
  <c r="AD49" i="78"/>
  <c r="AD47" i="78"/>
  <c r="AD46" i="78"/>
  <c r="AD45" i="78"/>
  <c r="AD43" i="78"/>
  <c r="AD42" i="78"/>
  <c r="AD41" i="78"/>
  <c r="AD40" i="78"/>
  <c r="AD39" i="78"/>
  <c r="AD38" i="78"/>
  <c r="AD36" i="78"/>
  <c r="AD35" i="78"/>
  <c r="AD34" i="78"/>
  <c r="AD33" i="78"/>
  <c r="AD32" i="78"/>
  <c r="AD30" i="78"/>
  <c r="AD29" i="78"/>
  <c r="AD28" i="78"/>
  <c r="AD27" i="78"/>
  <c r="AD26" i="78"/>
  <c r="AD25" i="78"/>
  <c r="AD24" i="78"/>
  <c r="AD22" i="78"/>
  <c r="AD21" i="78"/>
  <c r="AD20" i="78"/>
  <c r="AD19" i="78"/>
  <c r="AD18" i="78"/>
  <c r="AD16" i="78"/>
  <c r="AD15" i="78"/>
  <c r="AD14" i="78"/>
  <c r="AD13" i="78"/>
  <c r="AD12" i="78"/>
  <c r="AD10" i="78"/>
  <c r="AD9" i="78"/>
  <c r="AD8" i="78"/>
  <c r="AG69" i="78"/>
  <c r="AG67" i="78"/>
  <c r="AG66" i="78"/>
  <c r="AG65" i="78"/>
  <c r="AG64" i="78"/>
  <c r="AG63" i="78"/>
  <c r="AG62" i="78"/>
  <c r="AG60" i="78"/>
  <c r="AG59" i="78"/>
  <c r="AG58" i="78"/>
  <c r="AG57" i="78"/>
  <c r="AG56" i="78"/>
  <c r="AG54" i="78"/>
  <c r="AG53" i="78"/>
  <c r="AG52" i="78"/>
  <c r="AG51" i="78"/>
  <c r="AG50" i="78"/>
  <c r="AG49" i="78"/>
  <c r="AG47" i="78"/>
  <c r="AG46" i="78"/>
  <c r="AG45" i="78"/>
  <c r="AG43" i="78"/>
  <c r="AG42" i="78"/>
  <c r="AG41" i="78"/>
  <c r="AG40" i="78"/>
  <c r="AG39" i="78"/>
  <c r="AG38" i="78"/>
  <c r="AG36" i="78"/>
  <c r="AG35" i="78"/>
  <c r="AG34" i="78"/>
  <c r="AG33" i="78"/>
  <c r="AG32" i="78"/>
  <c r="AG30" i="78"/>
  <c r="AG29" i="78"/>
  <c r="AG28" i="78"/>
  <c r="AG27" i="78"/>
  <c r="AG26" i="78"/>
  <c r="AG25" i="78"/>
  <c r="AG24" i="78"/>
  <c r="AG22" i="78"/>
  <c r="AG21" i="78"/>
  <c r="AG20" i="78"/>
  <c r="AG19" i="78"/>
  <c r="AG18" i="78"/>
  <c r="AG16" i="78"/>
  <c r="AG15" i="78"/>
  <c r="AG14" i="78"/>
  <c r="AG13" i="78"/>
  <c r="AG12" i="78"/>
  <c r="AG10" i="78"/>
  <c r="AG9" i="78"/>
  <c r="AG8" i="78"/>
  <c r="AJ69" i="78"/>
  <c r="AJ67" i="78"/>
  <c r="AJ66" i="78"/>
  <c r="AJ65" i="78"/>
  <c r="AJ64" i="78"/>
  <c r="AJ63" i="78"/>
  <c r="AJ62" i="78"/>
  <c r="AJ60" i="78"/>
  <c r="AJ59" i="78"/>
  <c r="AJ58" i="78"/>
  <c r="AJ57" i="78"/>
  <c r="AJ56" i="78"/>
  <c r="AJ54" i="78"/>
  <c r="AJ53" i="78"/>
  <c r="AJ52" i="78"/>
  <c r="AJ51" i="78"/>
  <c r="AJ50" i="78"/>
  <c r="AJ49" i="78"/>
  <c r="AJ47" i="78"/>
  <c r="AJ46" i="78"/>
  <c r="AJ45" i="78"/>
  <c r="AJ43" i="78"/>
  <c r="AJ42" i="78"/>
  <c r="AJ41" i="78"/>
  <c r="AJ40" i="78"/>
  <c r="AJ39" i="78"/>
  <c r="AJ38" i="78"/>
  <c r="AJ36" i="78"/>
  <c r="AJ35" i="78"/>
  <c r="AJ34" i="78"/>
  <c r="AJ33" i="78"/>
  <c r="AJ32" i="78"/>
  <c r="AJ30" i="78"/>
  <c r="AJ29" i="78"/>
  <c r="AJ28" i="78"/>
  <c r="AJ27" i="78"/>
  <c r="AJ26" i="78"/>
  <c r="AJ25" i="78"/>
  <c r="AJ24" i="78"/>
  <c r="AJ22" i="78"/>
  <c r="AJ21" i="78"/>
  <c r="AJ20" i="78"/>
  <c r="AJ19" i="78"/>
  <c r="AJ18" i="78"/>
  <c r="AJ16" i="78"/>
  <c r="AJ15" i="78"/>
  <c r="AJ14" i="78"/>
  <c r="AJ13" i="78"/>
  <c r="AJ12" i="78"/>
  <c r="AJ10" i="78"/>
  <c r="AJ9" i="78"/>
  <c r="AJ8" i="78"/>
  <c r="AM69" i="78"/>
  <c r="AM67" i="78"/>
  <c r="AM66" i="78"/>
  <c r="AM65" i="78"/>
  <c r="AM64" i="78"/>
  <c r="AM63" i="78"/>
  <c r="AM62" i="78"/>
  <c r="AM60" i="78"/>
  <c r="AM59" i="78"/>
  <c r="AM58" i="78"/>
  <c r="AM57" i="78"/>
  <c r="AM56" i="78"/>
  <c r="AM54" i="78"/>
  <c r="AM53" i="78"/>
  <c r="AM52" i="78"/>
  <c r="AM51" i="78"/>
  <c r="AM50" i="78"/>
  <c r="AM49" i="78"/>
  <c r="AM47" i="78"/>
  <c r="AM46" i="78"/>
  <c r="AM45" i="78"/>
  <c r="AM43" i="78"/>
  <c r="AM42" i="78"/>
  <c r="AM41" i="78"/>
  <c r="AM40" i="78"/>
  <c r="AM39" i="78"/>
  <c r="AM38" i="78"/>
  <c r="AM36" i="78"/>
  <c r="AM35" i="78"/>
  <c r="AM34" i="78"/>
  <c r="AM33" i="78"/>
  <c r="AM32" i="78"/>
  <c r="AM30" i="78"/>
  <c r="AM29" i="78"/>
  <c r="AM28" i="78"/>
  <c r="AM27" i="78"/>
  <c r="AM26" i="78"/>
  <c r="AM25" i="78"/>
  <c r="AM24" i="78"/>
  <c r="AM22" i="78"/>
  <c r="AM21" i="78"/>
  <c r="AM20" i="78"/>
  <c r="AM19" i="78"/>
  <c r="AM18" i="78"/>
  <c r="AM16" i="78"/>
  <c r="AM15" i="78"/>
  <c r="AM14" i="78"/>
  <c r="AM13" i="78"/>
  <c r="AM12" i="78"/>
  <c r="AM10" i="78"/>
  <c r="AM9" i="78"/>
  <c r="AM8" i="78"/>
  <c r="AM7" i="78"/>
  <c r="AJ7" i="78"/>
  <c r="AG7" i="78"/>
  <c r="AD7" i="78"/>
  <c r="AA7" i="78"/>
  <c r="X7" i="78"/>
  <c r="U7" i="78"/>
  <c r="R7" i="78"/>
  <c r="O7" i="78"/>
  <c r="L7" i="78"/>
  <c r="I7" i="78"/>
  <c r="F69" i="78"/>
  <c r="F67" i="78"/>
  <c r="F66" i="78"/>
  <c r="F65" i="78"/>
  <c r="F64" i="78"/>
  <c r="F63" i="78"/>
  <c r="F62" i="78"/>
  <c r="F60" i="78"/>
  <c r="F59" i="78"/>
  <c r="F58" i="78"/>
  <c r="F57" i="78"/>
  <c r="F56" i="78"/>
  <c r="F54" i="78"/>
  <c r="F53" i="78"/>
  <c r="F52" i="78"/>
  <c r="F51" i="78"/>
  <c r="F50" i="78"/>
  <c r="F49" i="78"/>
  <c r="F47" i="78"/>
  <c r="F46" i="78"/>
  <c r="F45" i="78"/>
  <c r="F43" i="78"/>
  <c r="F42" i="78"/>
  <c r="F41" i="78"/>
  <c r="F40" i="78"/>
  <c r="F39" i="78"/>
  <c r="F38" i="78"/>
  <c r="F36" i="78"/>
  <c r="F35" i="78"/>
  <c r="F34" i="78"/>
  <c r="F33" i="78"/>
  <c r="F32" i="78"/>
  <c r="F30" i="78"/>
  <c r="F29" i="78"/>
  <c r="F28" i="78"/>
  <c r="F27" i="78"/>
  <c r="F26" i="78"/>
  <c r="F25" i="78"/>
  <c r="F24" i="78"/>
  <c r="F22" i="78"/>
  <c r="F21" i="78"/>
  <c r="F20" i="78"/>
  <c r="F19" i="78"/>
  <c r="F18" i="78"/>
  <c r="F16" i="78"/>
  <c r="F15" i="78"/>
  <c r="F14" i="78"/>
  <c r="F13" i="78"/>
  <c r="F12" i="78"/>
  <c r="F10" i="78"/>
  <c r="F9" i="78"/>
  <c r="F8" i="78"/>
  <c r="F7" i="78"/>
  <c r="I65" i="79"/>
  <c r="I63" i="79"/>
  <c r="I62" i="79"/>
  <c r="I61" i="79"/>
  <c r="I60" i="79"/>
  <c r="I59" i="79"/>
  <c r="I58" i="79"/>
  <c r="I56" i="79"/>
  <c r="I55" i="79"/>
  <c r="I54" i="79"/>
  <c r="I53" i="79"/>
  <c r="I52" i="79"/>
  <c r="I50" i="79"/>
  <c r="I49" i="79"/>
  <c r="I48" i="79"/>
  <c r="I47" i="79"/>
  <c r="I46" i="79"/>
  <c r="I44" i="79"/>
  <c r="I43" i="79"/>
  <c r="I41" i="79"/>
  <c r="I40" i="79"/>
  <c r="I39" i="79"/>
  <c r="I37" i="79"/>
  <c r="I35" i="79"/>
  <c r="I34" i="79"/>
  <c r="I33" i="79"/>
  <c r="I32" i="79"/>
  <c r="I31" i="79"/>
  <c r="I29" i="79"/>
  <c r="I28" i="79"/>
  <c r="I27" i="79"/>
  <c r="I26" i="79"/>
  <c r="I25" i="79"/>
  <c r="I22" i="79"/>
  <c r="I21" i="79"/>
  <c r="I20" i="79"/>
  <c r="I19" i="79"/>
  <c r="I18" i="79"/>
  <c r="I16" i="79"/>
  <c r="I15" i="79"/>
  <c r="I14" i="79"/>
  <c r="I13" i="79"/>
  <c r="I12" i="79"/>
  <c r="I10" i="79"/>
  <c r="I9" i="79"/>
  <c r="I8" i="79"/>
  <c r="L65" i="79"/>
  <c r="N65" i="79" s="1"/>
  <c r="L63" i="79"/>
  <c r="N63" i="79" s="1"/>
  <c r="L62" i="79"/>
  <c r="N62" i="79" s="1"/>
  <c r="L61" i="79"/>
  <c r="N61" i="79" s="1"/>
  <c r="L60" i="79"/>
  <c r="N60" i="79" s="1"/>
  <c r="L59" i="79"/>
  <c r="N59" i="79" s="1"/>
  <c r="L58" i="79"/>
  <c r="N58" i="79" s="1"/>
  <c r="L56" i="79"/>
  <c r="N56" i="79" s="1"/>
  <c r="L55" i="79"/>
  <c r="N55" i="79" s="1"/>
  <c r="L54" i="79"/>
  <c r="N54" i="79" s="1"/>
  <c r="L53" i="79"/>
  <c r="N53" i="79" s="1"/>
  <c r="L52" i="79"/>
  <c r="N52" i="79" s="1"/>
  <c r="L50" i="79"/>
  <c r="N50" i="79" s="1"/>
  <c r="L49" i="79"/>
  <c r="N49" i="79" s="1"/>
  <c r="L48" i="79"/>
  <c r="N48" i="79" s="1"/>
  <c r="L47" i="79"/>
  <c r="N47" i="79" s="1"/>
  <c r="L46" i="79"/>
  <c r="N46" i="79" s="1"/>
  <c r="L44" i="79"/>
  <c r="N44" i="79" s="1"/>
  <c r="L43" i="79"/>
  <c r="N43" i="79" s="1"/>
  <c r="L41" i="79"/>
  <c r="N41" i="79" s="1"/>
  <c r="L40" i="79"/>
  <c r="N40" i="79" s="1"/>
  <c r="L39" i="79"/>
  <c r="N39" i="79" s="1"/>
  <c r="L37" i="79"/>
  <c r="N37" i="79" s="1"/>
  <c r="L35" i="79"/>
  <c r="N35" i="79" s="1"/>
  <c r="L34" i="79"/>
  <c r="N34" i="79" s="1"/>
  <c r="L33" i="79"/>
  <c r="N33" i="79" s="1"/>
  <c r="L32" i="79"/>
  <c r="N32" i="79" s="1"/>
  <c r="L31" i="79"/>
  <c r="N31" i="79" s="1"/>
  <c r="L29" i="79"/>
  <c r="N29" i="79" s="1"/>
  <c r="L28" i="79"/>
  <c r="N28" i="79" s="1"/>
  <c r="L27" i="79"/>
  <c r="N27" i="79" s="1"/>
  <c r="L26" i="79"/>
  <c r="N26" i="79" s="1"/>
  <c r="L25" i="79"/>
  <c r="N25" i="79" s="1"/>
  <c r="L22" i="79"/>
  <c r="N22" i="79" s="1"/>
  <c r="L21" i="79"/>
  <c r="N21" i="79" s="1"/>
  <c r="L20" i="79"/>
  <c r="N20" i="79" s="1"/>
  <c r="L19" i="79"/>
  <c r="N19" i="79" s="1"/>
  <c r="L18" i="79"/>
  <c r="N18" i="79" s="1"/>
  <c r="L16" i="79"/>
  <c r="N16" i="79" s="1"/>
  <c r="L15" i="79"/>
  <c r="N15" i="79" s="1"/>
  <c r="L14" i="79"/>
  <c r="N14" i="79" s="1"/>
  <c r="L13" i="79"/>
  <c r="N13" i="79" s="1"/>
  <c r="L12" i="79"/>
  <c r="N12" i="79" s="1"/>
  <c r="L10" i="79"/>
  <c r="N10" i="79" s="1"/>
  <c r="L9" i="79"/>
  <c r="N9" i="79" s="1"/>
  <c r="L8" i="79"/>
  <c r="N8" i="79" s="1"/>
  <c r="O65" i="79"/>
  <c r="Q65" i="79" s="1"/>
  <c r="R65" i="79"/>
  <c r="T65" i="79" s="1"/>
  <c r="U65" i="79"/>
  <c r="W65" i="79" s="1"/>
  <c r="X65" i="79"/>
  <c r="Z65" i="79" s="1"/>
  <c r="AA65" i="79"/>
  <c r="AC65" i="79" s="1"/>
  <c r="AD65" i="79"/>
  <c r="AF65" i="79" s="1"/>
  <c r="AG65" i="79"/>
  <c r="AI65" i="79" s="1"/>
  <c r="AJ65" i="79"/>
  <c r="AL65" i="79" s="1"/>
  <c r="AM65" i="79"/>
  <c r="AO65" i="79" s="1"/>
  <c r="AM7" i="79"/>
  <c r="AJ7" i="79"/>
  <c r="AG7" i="79"/>
  <c r="AD7" i="79"/>
  <c r="AA7" i="79"/>
  <c r="X7" i="79"/>
  <c r="U7" i="79"/>
  <c r="R7" i="79"/>
  <c r="O7" i="79"/>
  <c r="L7" i="79"/>
  <c r="I7" i="79"/>
  <c r="F65" i="79"/>
  <c r="F63" i="79"/>
  <c r="F62" i="79"/>
  <c r="F61" i="79"/>
  <c r="F60" i="79"/>
  <c r="F59" i="79"/>
  <c r="F58" i="79"/>
  <c r="F56" i="79"/>
  <c r="F55" i="79"/>
  <c r="F54" i="79"/>
  <c r="F53" i="79"/>
  <c r="F52" i="79"/>
  <c r="F50" i="79"/>
  <c r="F49" i="79"/>
  <c r="F48" i="79"/>
  <c r="F47" i="79"/>
  <c r="F46" i="79"/>
  <c r="F44" i="79"/>
  <c r="F43" i="79"/>
  <c r="F41" i="79"/>
  <c r="F40" i="79"/>
  <c r="F39" i="79"/>
  <c r="F37" i="79"/>
  <c r="F35" i="79"/>
  <c r="F34" i="79"/>
  <c r="F33" i="79"/>
  <c r="F32" i="79"/>
  <c r="F31" i="79"/>
  <c r="F29" i="79"/>
  <c r="F28" i="79"/>
  <c r="F27" i="79"/>
  <c r="F26" i="79"/>
  <c r="F25" i="79"/>
  <c r="F22" i="79"/>
  <c r="F21" i="79"/>
  <c r="F20" i="79"/>
  <c r="F19" i="79"/>
  <c r="F18" i="79"/>
  <c r="F16" i="79"/>
  <c r="F15" i="79"/>
  <c r="F14" i="79"/>
  <c r="F13" i="79"/>
  <c r="F12" i="79"/>
  <c r="F10" i="79"/>
  <c r="F9" i="79"/>
  <c r="F8" i="79"/>
  <c r="F7" i="79"/>
  <c r="X35" i="71" l="1"/>
  <c r="Z35" i="71"/>
  <c r="AA35" i="71"/>
  <c r="Y35" i="71"/>
  <c r="V32" i="75"/>
  <c r="W32" i="75"/>
  <c r="BF65" i="79"/>
  <c r="BH65" i="79" s="1"/>
  <c r="Y32" i="75"/>
  <c r="P32" i="75"/>
  <c r="S32" i="75"/>
  <c r="T32" i="75"/>
  <c r="U32" i="75"/>
  <c r="AB31" i="75"/>
  <c r="AS65" i="79"/>
  <c r="AU65" i="79" s="1"/>
  <c r="AP65" i="79"/>
  <c r="AR65" i="79" s="1"/>
  <c r="BC65" i="79"/>
  <c r="BE65" i="79" s="1"/>
  <c r="AC34" i="71"/>
  <c r="BF69" i="78"/>
  <c r="BH69" i="78" s="1"/>
  <c r="AP69" i="78"/>
  <c r="AR69" i="78" s="1"/>
  <c r="BC69" i="78"/>
  <c r="BE69" i="78" s="1"/>
  <c r="AS69" i="78"/>
  <c r="AU69" i="78" s="1"/>
  <c r="AK4" i="87"/>
  <c r="AM4" i="87"/>
  <c r="AN4" i="87" s="1"/>
  <c r="I32" i="75"/>
  <c r="M32" i="75"/>
  <c r="O32" i="75"/>
  <c r="AA32" i="75"/>
  <c r="AI31" i="75"/>
  <c r="Q32" i="75"/>
  <c r="R32" i="75"/>
  <c r="L32" i="75"/>
  <c r="X32" i="75"/>
  <c r="N32" i="75"/>
  <c r="Z32" i="75"/>
  <c r="AH31" i="75"/>
  <c r="F32" i="75"/>
  <c r="G32" i="75"/>
  <c r="K32" i="75"/>
  <c r="AL31" i="75"/>
  <c r="H32" i="75"/>
  <c r="J32" i="75"/>
  <c r="D32" i="75"/>
  <c r="AK31" i="75"/>
  <c r="AE31" i="75"/>
  <c r="E32" i="75"/>
  <c r="AC31" i="75"/>
  <c r="AF31" i="75"/>
  <c r="AI34" i="71"/>
  <c r="AK34" i="71"/>
  <c r="AB34" i="71"/>
  <c r="AE34" i="71"/>
  <c r="AH34" i="71"/>
  <c r="AL34" i="71"/>
  <c r="AF34" i="71"/>
  <c r="Q35" i="71"/>
  <c r="V35" i="71"/>
  <c r="W35" i="71"/>
  <c r="U35" i="71"/>
  <c r="T35" i="71"/>
  <c r="R35" i="71"/>
  <c r="S35" i="71"/>
  <c r="P35" i="71"/>
  <c r="N35" i="71"/>
  <c r="O35" i="71"/>
  <c r="L35" i="71"/>
  <c r="M35" i="71"/>
  <c r="J35" i="71"/>
  <c r="K35" i="71"/>
  <c r="H35" i="71"/>
  <c r="I35" i="71"/>
  <c r="F35" i="71"/>
  <c r="G35" i="71"/>
  <c r="E35" i="71"/>
  <c r="D35" i="71"/>
  <c r="G7" i="73"/>
  <c r="AD31" i="75" l="1"/>
  <c r="AD34" i="71"/>
  <c r="AJ31" i="75"/>
  <c r="AM31" i="75"/>
  <c r="AG31" i="75"/>
  <c r="AM34" i="71"/>
  <c r="AJ34" i="71"/>
  <c r="AG34" i="71"/>
  <c r="H65" i="79" l="1"/>
  <c r="K65" i="79"/>
  <c r="M65" i="77"/>
  <c r="S65" i="77" s="1"/>
  <c r="N65" i="77"/>
  <c r="Q65" i="77" s="1"/>
  <c r="G69" i="73"/>
  <c r="F69" i="73"/>
  <c r="M69" i="73"/>
  <c r="O69" i="73" s="1"/>
  <c r="L69" i="73"/>
  <c r="Q69" i="73" s="1"/>
  <c r="G65" i="77"/>
  <c r="F65" i="77"/>
  <c r="O35" i="82" l="1" a="1"/>
  <c r="O35" i="82" s="1"/>
  <c r="N35" i="82" a="1"/>
  <c r="N35" i="82" s="1"/>
  <c r="J65" i="77"/>
  <c r="CM65" i="77"/>
  <c r="CP65" i="77" s="1"/>
  <c r="L65" i="77"/>
  <c r="CS65" i="77"/>
  <c r="CY65" i="77" s="1"/>
  <c r="CL65" i="77"/>
  <c r="CV69" i="73"/>
  <c r="CU69" i="73"/>
  <c r="DA69" i="73" s="1"/>
  <c r="CG69" i="73"/>
  <c r="CM69" i="73" s="1"/>
  <c r="K69" i="73"/>
  <c r="BZ69" i="73"/>
  <c r="CF69" i="73" s="1"/>
  <c r="I69" i="73"/>
  <c r="CA69" i="73"/>
  <c r="H65" i="77"/>
  <c r="O65" i="77"/>
  <c r="CR65" i="77" l="1"/>
  <c r="CN65" i="77"/>
  <c r="AQ69" i="87"/>
  <c r="AQ70" i="87" s="1"/>
  <c r="AR70" i="87" s="1"/>
  <c r="CY69" i="73"/>
  <c r="CW69" i="73"/>
  <c r="CD69" i="73"/>
  <c r="CB69" i="73"/>
  <c r="BX55" i="73"/>
  <c r="BV55" i="73"/>
  <c r="BR55" i="73"/>
  <c r="BP55" i="73"/>
  <c r="BL55" i="73"/>
  <c r="BJ55" i="73"/>
  <c r="BF55" i="73"/>
  <c r="BD55" i="73"/>
  <c r="AZ55" i="73"/>
  <c r="AX55" i="73"/>
  <c r="AT55" i="73"/>
  <c r="AR55" i="73"/>
  <c r="AN55" i="73"/>
  <c r="AL55" i="73"/>
  <c r="AH55" i="73"/>
  <c r="AF55" i="73"/>
  <c r="AB55" i="73"/>
  <c r="Z55" i="73"/>
  <c r="V55" i="73"/>
  <c r="T55" i="73"/>
  <c r="H55" i="73"/>
  <c r="N55" i="73"/>
  <c r="N61" i="73"/>
  <c r="N68" i="73"/>
  <c r="N31" i="73"/>
  <c r="N23" i="73"/>
  <c r="N17" i="73"/>
  <c r="K50" i="79"/>
  <c r="H50" i="79"/>
  <c r="AQ50" i="79"/>
  <c r="AP50" i="79"/>
  <c r="AS50" i="79"/>
  <c r="BG50" i="79"/>
  <c r="BF50" i="79"/>
  <c r="BD50" i="79"/>
  <c r="BC50" i="79"/>
  <c r="AN51" i="79"/>
  <c r="AM51" i="79"/>
  <c r="AK51" i="79"/>
  <c r="AJ51" i="79"/>
  <c r="AH51" i="79"/>
  <c r="AG51" i="79"/>
  <c r="AE51" i="79"/>
  <c r="AD51" i="79"/>
  <c r="AB51" i="79"/>
  <c r="AA51" i="79"/>
  <c r="Y51" i="79"/>
  <c r="X51" i="79"/>
  <c r="V51" i="79"/>
  <c r="U51" i="79"/>
  <c r="S51" i="79"/>
  <c r="R51" i="79"/>
  <c r="P51" i="79"/>
  <c r="O51" i="79"/>
  <c r="M51" i="79"/>
  <c r="L51" i="79"/>
  <c r="J51" i="79"/>
  <c r="I51" i="79"/>
  <c r="G51" i="79"/>
  <c r="F51" i="79"/>
  <c r="AO50" i="76"/>
  <c r="AN50" i="76"/>
  <c r="AI50" i="76"/>
  <c r="AH50" i="76"/>
  <c r="AF50" i="76"/>
  <c r="AE50" i="76"/>
  <c r="AC51" i="76"/>
  <c r="AB51" i="76"/>
  <c r="AA51" i="76"/>
  <c r="Z51" i="76"/>
  <c r="Y51" i="76"/>
  <c r="X51" i="76"/>
  <c r="W51" i="76"/>
  <c r="V51" i="76"/>
  <c r="U51" i="76"/>
  <c r="T51" i="76"/>
  <c r="S51" i="76"/>
  <c r="R51" i="76"/>
  <c r="O51" i="76"/>
  <c r="N51" i="76"/>
  <c r="M51" i="76"/>
  <c r="L51" i="76"/>
  <c r="K51" i="76"/>
  <c r="J51" i="76"/>
  <c r="I51" i="76"/>
  <c r="H51" i="76"/>
  <c r="G51" i="76"/>
  <c r="F51" i="76"/>
  <c r="CF50" i="77"/>
  <c r="CI50" i="77" s="1"/>
  <c r="CE50" i="77"/>
  <c r="CK50" i="77" s="1"/>
  <c r="BY50" i="77"/>
  <c r="BX50" i="77"/>
  <c r="CD50" i="77" s="1"/>
  <c r="BR50" i="77"/>
  <c r="BU50" i="77" s="1"/>
  <c r="BQ50" i="77"/>
  <c r="BW50" i="77" s="1"/>
  <c r="BK50" i="77"/>
  <c r="BN50" i="77" s="1"/>
  <c r="BJ50" i="77"/>
  <c r="BP50" i="77" s="1"/>
  <c r="BD50" i="77"/>
  <c r="BG50" i="77" s="1"/>
  <c r="BC50" i="77"/>
  <c r="BI50" i="77" s="1"/>
  <c r="AW50" i="77"/>
  <c r="AZ50" i="77" s="1"/>
  <c r="AV50" i="77"/>
  <c r="BB50" i="77" s="1"/>
  <c r="AP50" i="77"/>
  <c r="AS50" i="77" s="1"/>
  <c r="AO50" i="77"/>
  <c r="AU50" i="77" s="1"/>
  <c r="AI50" i="77"/>
  <c r="AL50" i="77" s="1"/>
  <c r="AH50" i="77"/>
  <c r="AN50" i="77" s="1"/>
  <c r="AB50" i="77"/>
  <c r="AE50" i="77" s="1"/>
  <c r="AA50" i="77"/>
  <c r="AG50" i="77" s="1"/>
  <c r="U50" i="77"/>
  <c r="X50" i="77" s="1"/>
  <c r="T50" i="77"/>
  <c r="Z50" i="77" s="1"/>
  <c r="N50" i="77"/>
  <c r="M50" i="77"/>
  <c r="S50" i="77" s="1"/>
  <c r="CQ50" i="77"/>
  <c r="CO50" i="77"/>
  <c r="CX50" i="77"/>
  <c r="CV50" i="77"/>
  <c r="CJ51" i="77"/>
  <c r="CH51" i="77"/>
  <c r="CC51" i="77"/>
  <c r="CA51" i="77"/>
  <c r="BV51" i="77"/>
  <c r="BT51" i="77"/>
  <c r="BO51" i="77"/>
  <c r="BM51" i="77"/>
  <c r="BH51" i="77"/>
  <c r="BF51" i="77"/>
  <c r="BA51" i="77"/>
  <c r="AY51" i="77"/>
  <c r="AT51" i="77"/>
  <c r="AR51" i="77"/>
  <c r="AM51" i="77"/>
  <c r="AK51" i="77"/>
  <c r="AF51" i="77"/>
  <c r="AD51" i="77"/>
  <c r="Y51" i="77"/>
  <c r="W51" i="77"/>
  <c r="R51" i="77"/>
  <c r="P51" i="77"/>
  <c r="K51" i="77"/>
  <c r="I51" i="77"/>
  <c r="G50" i="77"/>
  <c r="F50" i="77"/>
  <c r="L50" i="77" s="1"/>
  <c r="AN48" i="74"/>
  <c r="AM48" i="74"/>
  <c r="AK48" i="74"/>
  <c r="AJ48" i="74"/>
  <c r="AH48" i="74"/>
  <c r="AG48" i="74"/>
  <c r="AE48" i="74"/>
  <c r="AD48" i="74"/>
  <c r="AC49" i="74"/>
  <c r="AB49" i="74"/>
  <c r="AA49" i="74"/>
  <c r="Z49" i="74"/>
  <c r="Y49" i="74"/>
  <c r="X49" i="74"/>
  <c r="W49" i="74"/>
  <c r="V49" i="74"/>
  <c r="U49" i="74"/>
  <c r="T49" i="74"/>
  <c r="S49" i="74"/>
  <c r="R49" i="74"/>
  <c r="Q49" i="74"/>
  <c r="P49" i="74"/>
  <c r="O49" i="74"/>
  <c r="N49" i="74"/>
  <c r="M49" i="74"/>
  <c r="L49" i="74"/>
  <c r="K49" i="74"/>
  <c r="J49" i="74"/>
  <c r="I49" i="74"/>
  <c r="H49" i="74"/>
  <c r="G49" i="74"/>
  <c r="F49" i="74"/>
  <c r="AN11" i="79"/>
  <c r="AM11" i="79"/>
  <c r="AJ11" i="79"/>
  <c r="AH11" i="79"/>
  <c r="AG11" i="79"/>
  <c r="AD11" i="79"/>
  <c r="AB11" i="79"/>
  <c r="AA11" i="79"/>
  <c r="Y11" i="79"/>
  <c r="X11" i="79"/>
  <c r="V11" i="79"/>
  <c r="U11" i="79"/>
  <c r="S11" i="79"/>
  <c r="R11" i="79"/>
  <c r="P11" i="79"/>
  <c r="O11" i="79"/>
  <c r="M11" i="79"/>
  <c r="L11" i="79"/>
  <c r="J11" i="79"/>
  <c r="I11" i="79"/>
  <c r="AN17" i="79"/>
  <c r="AM17" i="79"/>
  <c r="AK17" i="79"/>
  <c r="AJ17" i="79"/>
  <c r="AH17" i="79"/>
  <c r="AG17" i="79"/>
  <c r="AE17" i="79"/>
  <c r="AD17" i="79"/>
  <c r="AB17" i="79"/>
  <c r="AA17" i="79"/>
  <c r="Y17" i="79"/>
  <c r="X17" i="79"/>
  <c r="V17" i="79"/>
  <c r="U17" i="79"/>
  <c r="S17" i="79"/>
  <c r="R17" i="79"/>
  <c r="P17" i="79"/>
  <c r="O17" i="79"/>
  <c r="M17" i="79"/>
  <c r="L17" i="79"/>
  <c r="J17" i="79"/>
  <c r="I17" i="79"/>
  <c r="AN23" i="79"/>
  <c r="AM23" i="79"/>
  <c r="AK23" i="79"/>
  <c r="AJ23" i="79"/>
  <c r="AH23" i="79"/>
  <c r="AG23" i="79"/>
  <c r="AE23" i="79"/>
  <c r="AD23" i="79"/>
  <c r="AB23" i="79"/>
  <c r="AA23" i="79"/>
  <c r="Y23" i="79"/>
  <c r="X23" i="79"/>
  <c r="V23" i="79"/>
  <c r="U23" i="79"/>
  <c r="S23" i="79"/>
  <c r="R23" i="79"/>
  <c r="P23" i="79"/>
  <c r="O23" i="79"/>
  <c r="M23" i="79"/>
  <c r="L23" i="79"/>
  <c r="J23" i="79"/>
  <c r="I23" i="79"/>
  <c r="AN30" i="79"/>
  <c r="AM30" i="79"/>
  <c r="AK30" i="79"/>
  <c r="AJ30" i="79"/>
  <c r="AH30" i="79"/>
  <c r="AG30" i="79"/>
  <c r="AE30" i="79"/>
  <c r="AD30" i="79"/>
  <c r="AB30" i="79"/>
  <c r="AA30" i="79"/>
  <c r="Y30" i="79"/>
  <c r="X30" i="79"/>
  <c r="V30" i="79"/>
  <c r="U30" i="79"/>
  <c r="S30" i="79"/>
  <c r="R30" i="79"/>
  <c r="P30" i="79"/>
  <c r="O30" i="79"/>
  <c r="M30" i="79"/>
  <c r="L30" i="79"/>
  <c r="J30" i="79"/>
  <c r="I30" i="79"/>
  <c r="AN36" i="79"/>
  <c r="AM36" i="79"/>
  <c r="AK36" i="79"/>
  <c r="AJ36" i="79"/>
  <c r="AH36" i="79"/>
  <c r="AG36" i="79"/>
  <c r="AE36" i="79"/>
  <c r="AD36" i="79"/>
  <c r="AB36" i="79"/>
  <c r="AA36" i="79"/>
  <c r="Y36" i="79"/>
  <c r="X36" i="79"/>
  <c r="V36" i="79"/>
  <c r="U36" i="79"/>
  <c r="S36" i="79"/>
  <c r="R36" i="79"/>
  <c r="P36" i="79"/>
  <c r="O36" i="79"/>
  <c r="M36" i="79"/>
  <c r="L36" i="79"/>
  <c r="J36" i="79"/>
  <c r="I36" i="79"/>
  <c r="AN42" i="79"/>
  <c r="AM42" i="79"/>
  <c r="AK42" i="79"/>
  <c r="AJ42" i="79"/>
  <c r="AH42" i="79"/>
  <c r="AG42" i="79"/>
  <c r="AE42" i="79"/>
  <c r="AD42" i="79"/>
  <c r="AB42" i="79"/>
  <c r="AA42" i="79"/>
  <c r="Y42" i="79"/>
  <c r="X42" i="79"/>
  <c r="V42" i="79"/>
  <c r="U42" i="79"/>
  <c r="S42" i="79"/>
  <c r="R42" i="79"/>
  <c r="P42" i="79"/>
  <c r="O42" i="79"/>
  <c r="M42" i="79"/>
  <c r="L42" i="79"/>
  <c r="J42" i="79"/>
  <c r="I42" i="79"/>
  <c r="AN45" i="79"/>
  <c r="AM45" i="79"/>
  <c r="AK45" i="79"/>
  <c r="AJ45" i="79"/>
  <c r="AH45" i="79"/>
  <c r="AG45" i="79"/>
  <c r="AE45" i="79"/>
  <c r="AD45" i="79"/>
  <c r="AB45" i="79"/>
  <c r="AA45" i="79"/>
  <c r="Y45" i="79"/>
  <c r="X45" i="79"/>
  <c r="V45" i="79"/>
  <c r="U45" i="79"/>
  <c r="S45" i="79"/>
  <c r="R45" i="79"/>
  <c r="P45" i="79"/>
  <c r="O45" i="79"/>
  <c r="M45" i="79"/>
  <c r="L45" i="79"/>
  <c r="J45" i="79"/>
  <c r="I45" i="79"/>
  <c r="AN57" i="79"/>
  <c r="AM57" i="79"/>
  <c r="AK57" i="79"/>
  <c r="AJ57" i="79"/>
  <c r="AH57" i="79"/>
  <c r="AG57" i="79"/>
  <c r="AE57" i="79"/>
  <c r="AD57" i="79"/>
  <c r="AB57" i="79"/>
  <c r="AA57" i="79"/>
  <c r="Y57" i="79"/>
  <c r="X57" i="79"/>
  <c r="V57" i="79"/>
  <c r="U57" i="79"/>
  <c r="S57" i="79"/>
  <c r="R57" i="79"/>
  <c r="P57" i="79"/>
  <c r="O57" i="79"/>
  <c r="M57" i="79"/>
  <c r="L57" i="79"/>
  <c r="J57" i="79"/>
  <c r="I57" i="79"/>
  <c r="AN64" i="79"/>
  <c r="AM64" i="79"/>
  <c r="AK64" i="79"/>
  <c r="AJ64" i="79"/>
  <c r="AH64" i="79"/>
  <c r="AG64" i="79"/>
  <c r="AE64" i="79"/>
  <c r="AD64" i="79"/>
  <c r="AB64" i="79"/>
  <c r="AA64" i="79"/>
  <c r="Y64" i="79"/>
  <c r="X64" i="79"/>
  <c r="V64" i="79"/>
  <c r="U64" i="79"/>
  <c r="S64" i="79"/>
  <c r="R64" i="79"/>
  <c r="P64" i="79"/>
  <c r="O64" i="79"/>
  <c r="M64" i="79"/>
  <c r="L64" i="79"/>
  <c r="J64" i="79"/>
  <c r="I64" i="79"/>
  <c r="F64" i="79"/>
  <c r="G57" i="79"/>
  <c r="F57" i="79"/>
  <c r="G45" i="79"/>
  <c r="F45" i="79"/>
  <c r="G42" i="79"/>
  <c r="F42" i="79"/>
  <c r="G36" i="79"/>
  <c r="F36" i="79"/>
  <c r="G30" i="79"/>
  <c r="F30" i="79"/>
  <c r="G23" i="79"/>
  <c r="F23" i="79"/>
  <c r="G17" i="79"/>
  <c r="F17" i="79"/>
  <c r="G11" i="79"/>
  <c r="F11" i="79"/>
  <c r="BA51" i="79"/>
  <c r="BA45" i="79"/>
  <c r="BA30" i="79"/>
  <c r="BA17" i="79"/>
  <c r="BA11" i="79"/>
  <c r="A36" i="79"/>
  <c r="A42" i="79"/>
  <c r="A57" i="79"/>
  <c r="AC11" i="76"/>
  <c r="AB11" i="76"/>
  <c r="AA11" i="76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AC17" i="76"/>
  <c r="AB17" i="76"/>
  <c r="AA17" i="76"/>
  <c r="Z17" i="76"/>
  <c r="Y17" i="76"/>
  <c r="X17" i="76"/>
  <c r="W17" i="76"/>
  <c r="V17" i="76"/>
  <c r="U17" i="76"/>
  <c r="T17" i="76"/>
  <c r="S17" i="76"/>
  <c r="R17" i="76"/>
  <c r="Q17" i="76"/>
  <c r="P17" i="76"/>
  <c r="O17" i="76"/>
  <c r="N17" i="76"/>
  <c r="M17" i="76"/>
  <c r="L17" i="76"/>
  <c r="K17" i="76"/>
  <c r="J17" i="76"/>
  <c r="I17" i="76"/>
  <c r="H17" i="76"/>
  <c r="AC23" i="76"/>
  <c r="AB23" i="76"/>
  <c r="AA23" i="76"/>
  <c r="Z23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AC30" i="76"/>
  <c r="AB30" i="76"/>
  <c r="AA30" i="76"/>
  <c r="Z30" i="76"/>
  <c r="Y30" i="76"/>
  <c r="X30" i="76"/>
  <c r="W30" i="76"/>
  <c r="V30" i="76"/>
  <c r="U30" i="76"/>
  <c r="T30" i="76"/>
  <c r="S30" i="76"/>
  <c r="R30" i="76"/>
  <c r="O30" i="76"/>
  <c r="N30" i="76"/>
  <c r="M30" i="76"/>
  <c r="L30" i="76"/>
  <c r="K30" i="76"/>
  <c r="J30" i="76"/>
  <c r="I30" i="76"/>
  <c r="H30" i="76"/>
  <c r="AC36" i="76"/>
  <c r="AB36" i="76"/>
  <c r="AA36" i="76"/>
  <c r="Z36" i="76"/>
  <c r="Y36" i="76"/>
  <c r="X36" i="76"/>
  <c r="W36" i="76"/>
  <c r="V36" i="76"/>
  <c r="U36" i="76"/>
  <c r="T36" i="76"/>
  <c r="S36" i="76"/>
  <c r="R36" i="76"/>
  <c r="O36" i="76"/>
  <c r="N36" i="76"/>
  <c r="M36" i="76"/>
  <c r="L36" i="76"/>
  <c r="K36" i="76"/>
  <c r="J36" i="76"/>
  <c r="I36" i="76"/>
  <c r="H36" i="76"/>
  <c r="AC42" i="76"/>
  <c r="AB42" i="76"/>
  <c r="AA42" i="76"/>
  <c r="Z42" i="76"/>
  <c r="Y42" i="76"/>
  <c r="X42" i="76"/>
  <c r="W42" i="76"/>
  <c r="V42" i="76"/>
  <c r="U42" i="76"/>
  <c r="T42" i="76"/>
  <c r="S42" i="76"/>
  <c r="R42" i="76"/>
  <c r="O42" i="76"/>
  <c r="N42" i="76"/>
  <c r="M42" i="76"/>
  <c r="L42" i="76"/>
  <c r="K42" i="76"/>
  <c r="J42" i="76"/>
  <c r="I42" i="76"/>
  <c r="H42" i="76"/>
  <c r="AC45" i="76"/>
  <c r="AB45" i="76"/>
  <c r="AA45" i="76"/>
  <c r="Z45" i="76"/>
  <c r="Y45" i="76"/>
  <c r="X45" i="76"/>
  <c r="W45" i="76"/>
  <c r="V45" i="76"/>
  <c r="U45" i="76"/>
  <c r="T45" i="76"/>
  <c r="S45" i="76"/>
  <c r="R45" i="76"/>
  <c r="O45" i="76"/>
  <c r="N45" i="76"/>
  <c r="M45" i="76"/>
  <c r="L45" i="76"/>
  <c r="K45" i="76"/>
  <c r="J45" i="76"/>
  <c r="I45" i="76"/>
  <c r="H45" i="76"/>
  <c r="N57" i="76"/>
  <c r="O57" i="76"/>
  <c r="M57" i="76"/>
  <c r="L57" i="76"/>
  <c r="K57" i="76"/>
  <c r="J57" i="76"/>
  <c r="I57" i="76"/>
  <c r="H57" i="76"/>
  <c r="F57" i="76"/>
  <c r="G57" i="76"/>
  <c r="AC64" i="76"/>
  <c r="AB64" i="76"/>
  <c r="AA64" i="76"/>
  <c r="Z64" i="76"/>
  <c r="Y64" i="76"/>
  <c r="X64" i="76"/>
  <c r="W64" i="76"/>
  <c r="V64" i="76"/>
  <c r="U64" i="76"/>
  <c r="T64" i="76"/>
  <c r="S64" i="76"/>
  <c r="R64" i="76"/>
  <c r="Q64" i="76"/>
  <c r="P64" i="76"/>
  <c r="O64" i="76"/>
  <c r="N64" i="76"/>
  <c r="M64" i="76"/>
  <c r="L64" i="76"/>
  <c r="K64" i="76"/>
  <c r="J64" i="76"/>
  <c r="I64" i="76"/>
  <c r="H64" i="76"/>
  <c r="G64" i="76"/>
  <c r="F64" i="76"/>
  <c r="F45" i="76"/>
  <c r="G45" i="76"/>
  <c r="G42" i="76"/>
  <c r="F42" i="76"/>
  <c r="G36" i="76"/>
  <c r="F36" i="76"/>
  <c r="G30" i="76"/>
  <c r="F30" i="76"/>
  <c r="G23" i="76"/>
  <c r="F23" i="76"/>
  <c r="G17" i="76"/>
  <c r="F17" i="76"/>
  <c r="G11" i="76"/>
  <c r="F11" i="76"/>
  <c r="A64" i="76"/>
  <c r="A51" i="76"/>
  <c r="A36" i="76"/>
  <c r="A57" i="76"/>
  <c r="AO42" i="79" l="1"/>
  <c r="AO11" i="79"/>
  <c r="AF17" i="79"/>
  <c r="K57" i="79"/>
  <c r="AF11" i="79"/>
  <c r="F66" i="76"/>
  <c r="I66" i="76"/>
  <c r="AI36" i="76"/>
  <c r="G66" i="76"/>
  <c r="AH64" i="76"/>
  <c r="H66" i="76"/>
  <c r="AI64" i="76"/>
  <c r="W23" i="79"/>
  <c r="AI57" i="79"/>
  <c r="AL11" i="79"/>
  <c r="A51" i="79"/>
  <c r="A51" i="88"/>
  <c r="AD49" i="74"/>
  <c r="AE49" i="74"/>
  <c r="AI17" i="76"/>
  <c r="AH17" i="76"/>
  <c r="AH36" i="76"/>
  <c r="AH42" i="76"/>
  <c r="AI42" i="76"/>
  <c r="AH51" i="76"/>
  <c r="AI51" i="76"/>
  <c r="AH45" i="76"/>
  <c r="AI45" i="76"/>
  <c r="O66" i="76"/>
  <c r="N66" i="76"/>
  <c r="AH30" i="76"/>
  <c r="AI30" i="76"/>
  <c r="AP50" i="76"/>
  <c r="M66" i="76"/>
  <c r="L66" i="76"/>
  <c r="J66" i="76"/>
  <c r="K66" i="76"/>
  <c r="AR50" i="79"/>
  <c r="K51" i="79"/>
  <c r="V66" i="79"/>
  <c r="Z11" i="79"/>
  <c r="N51" i="79"/>
  <c r="AG50" i="76"/>
  <c r="AJ50" i="76"/>
  <c r="AU50" i="79"/>
  <c r="W42" i="79"/>
  <c r="Q17" i="79"/>
  <c r="AF36" i="79"/>
  <c r="AO17" i="79"/>
  <c r="K42" i="79"/>
  <c r="N36" i="79"/>
  <c r="T23" i="79"/>
  <c r="AC42" i="79"/>
  <c r="AI30" i="79"/>
  <c r="AL42" i="79"/>
  <c r="K23" i="79"/>
  <c r="K45" i="79"/>
  <c r="K17" i="79"/>
  <c r="N45" i="79"/>
  <c r="L66" i="79"/>
  <c r="N42" i="79"/>
  <c r="Q57" i="79"/>
  <c r="Q45" i="79"/>
  <c r="Q36" i="79"/>
  <c r="Q23" i="79"/>
  <c r="T57" i="79"/>
  <c r="T51" i="79"/>
  <c r="T30" i="79"/>
  <c r="U66" i="79"/>
  <c r="Z42" i="79"/>
  <c r="Z17" i="79"/>
  <c r="AC64" i="79"/>
  <c r="AC45" i="79"/>
  <c r="AC30" i="79"/>
  <c r="AF57" i="79"/>
  <c r="AF45" i="79"/>
  <c r="AI42" i="79"/>
  <c r="AI36" i="79"/>
  <c r="AI23" i="79"/>
  <c r="AI17" i="79"/>
  <c r="AL45" i="79"/>
  <c r="AL36" i="79"/>
  <c r="AL23" i="79"/>
  <c r="AJ66" i="79"/>
  <c r="T11" i="79"/>
  <c r="BE50" i="79"/>
  <c r="BH50" i="79"/>
  <c r="F66" i="79"/>
  <c r="K11" i="79"/>
  <c r="I66" i="79"/>
  <c r="H50" i="77"/>
  <c r="J50" i="77"/>
  <c r="CM50" i="77"/>
  <c r="CP50" i="77" s="1"/>
  <c r="Q50" i="77"/>
  <c r="AC51" i="79"/>
  <c r="AA66" i="79"/>
  <c r="X66" i="79"/>
  <c r="AC57" i="79"/>
  <c r="W17" i="79"/>
  <c r="AD66" i="79"/>
  <c r="Q42" i="79"/>
  <c r="AE66" i="79"/>
  <c r="M66" i="79"/>
  <c r="N57" i="79"/>
  <c r="O66" i="79"/>
  <c r="AF64" i="79"/>
  <c r="W30" i="79"/>
  <c r="Q64" i="79"/>
  <c r="P66" i="79"/>
  <c r="T45" i="79"/>
  <c r="AO36" i="79"/>
  <c r="AC11" i="79"/>
  <c r="R66" i="79"/>
  <c r="N11" i="79"/>
  <c r="S66" i="79"/>
  <c r="AL57" i="79"/>
  <c r="AK66" i="79"/>
  <c r="Z57" i="79"/>
  <c r="Y66" i="79"/>
  <c r="AL30" i="79"/>
  <c r="AI51" i="79"/>
  <c r="AG66" i="79"/>
  <c r="W36" i="79"/>
  <c r="AH66" i="79"/>
  <c r="AM66" i="79"/>
  <c r="Q11" i="79"/>
  <c r="T17" i="79"/>
  <c r="AN66" i="79"/>
  <c r="AO57" i="79"/>
  <c r="J66" i="79"/>
  <c r="K36" i="79"/>
  <c r="AO23" i="79"/>
  <c r="W64" i="79"/>
  <c r="Z51" i="79"/>
  <c r="W45" i="79"/>
  <c r="N30" i="79"/>
  <c r="AC23" i="79"/>
  <c r="AB66" i="79"/>
  <c r="AI11" i="79"/>
  <c r="AO45" i="79"/>
  <c r="Q30" i="79"/>
  <c r="AF30" i="79"/>
  <c r="N23" i="79"/>
  <c r="AF23" i="79"/>
  <c r="N17" i="79"/>
  <c r="K64" i="79"/>
  <c r="AO64" i="79"/>
  <c r="AC17" i="79"/>
  <c r="W11" i="79"/>
  <c r="AL51" i="79"/>
  <c r="AI45" i="79"/>
  <c r="AF42" i="79"/>
  <c r="Z36" i="79"/>
  <c r="Z30" i="79"/>
  <c r="AO30" i="79"/>
  <c r="T64" i="79"/>
  <c r="W51" i="79"/>
  <c r="K30" i="79"/>
  <c r="Z23" i="79"/>
  <c r="AI64" i="79"/>
  <c r="AO51" i="79"/>
  <c r="T42" i="79"/>
  <c r="AC36" i="79"/>
  <c r="AL17" i="79"/>
  <c r="AL64" i="79"/>
  <c r="Z64" i="79"/>
  <c r="Z45" i="79"/>
  <c r="N64" i="79"/>
  <c r="W57" i="79"/>
  <c r="Q51" i="79"/>
  <c r="AF51" i="79"/>
  <c r="T36" i="79"/>
  <c r="CG50" i="77"/>
  <c r="BZ50" i="77"/>
  <c r="CB50" i="77"/>
  <c r="BS50" i="77"/>
  <c r="BL50" i="77"/>
  <c r="BE50" i="77"/>
  <c r="AX50" i="77"/>
  <c r="AQ50" i="77"/>
  <c r="AJ50" i="77"/>
  <c r="AC50" i="77"/>
  <c r="V50" i="77"/>
  <c r="CL50" i="77"/>
  <c r="O50" i="77"/>
  <c r="CS50" i="77"/>
  <c r="AI48" i="74"/>
  <c r="AL48" i="74"/>
  <c r="AO48" i="74"/>
  <c r="AF48" i="74"/>
  <c r="CF63" i="77"/>
  <c r="CE63" i="77"/>
  <c r="CF62" i="77"/>
  <c r="CE62" i="77"/>
  <c r="CF61" i="77"/>
  <c r="CE61" i="77"/>
  <c r="CF60" i="77"/>
  <c r="CE60" i="77"/>
  <c r="CF59" i="77"/>
  <c r="CE59" i="77"/>
  <c r="CF58" i="77"/>
  <c r="CE58" i="77"/>
  <c r="CF56" i="77"/>
  <c r="CE56" i="77"/>
  <c r="CF55" i="77"/>
  <c r="CE55" i="77"/>
  <c r="CF54" i="77"/>
  <c r="CE54" i="77"/>
  <c r="CF53" i="77"/>
  <c r="CE53" i="77"/>
  <c r="CF52" i="77"/>
  <c r="CE52" i="77"/>
  <c r="CF49" i="77"/>
  <c r="CE49" i="77"/>
  <c r="CF48" i="77"/>
  <c r="CE48" i="77"/>
  <c r="CF47" i="77"/>
  <c r="CE47" i="77"/>
  <c r="CF46" i="77"/>
  <c r="CE46" i="77"/>
  <c r="CF44" i="77"/>
  <c r="CE44" i="77"/>
  <c r="CF43" i="77"/>
  <c r="CE43" i="77"/>
  <c r="CF41" i="77"/>
  <c r="CE41" i="77"/>
  <c r="CF40" i="77"/>
  <c r="CE40" i="77"/>
  <c r="CF39" i="77"/>
  <c r="CE39" i="77"/>
  <c r="CF37" i="77"/>
  <c r="CE37" i="77"/>
  <c r="CF35" i="77"/>
  <c r="CE35" i="77"/>
  <c r="CF34" i="77"/>
  <c r="CE34" i="77"/>
  <c r="CF33" i="77"/>
  <c r="CE33" i="77"/>
  <c r="CF32" i="77"/>
  <c r="CE32" i="77"/>
  <c r="CF31" i="77"/>
  <c r="CE31" i="77"/>
  <c r="CF29" i="77"/>
  <c r="CE29" i="77"/>
  <c r="CF28" i="77"/>
  <c r="CE28" i="77"/>
  <c r="CF27" i="77"/>
  <c r="CE27" i="77"/>
  <c r="CF26" i="77"/>
  <c r="CE26" i="77"/>
  <c r="CF25" i="77"/>
  <c r="CE25" i="77"/>
  <c r="CF22" i="77"/>
  <c r="CE22" i="77"/>
  <c r="CF21" i="77"/>
  <c r="CE21" i="77"/>
  <c r="CF20" i="77"/>
  <c r="CE20" i="77"/>
  <c r="CF19" i="77"/>
  <c r="CE19" i="77"/>
  <c r="CF18" i="77"/>
  <c r="CE18" i="77"/>
  <c r="CF16" i="77"/>
  <c r="CE16" i="77"/>
  <c r="CF15" i="77"/>
  <c r="CE15" i="77"/>
  <c r="CF14" i="77"/>
  <c r="CE14" i="77"/>
  <c r="CF13" i="77"/>
  <c r="CE13" i="77"/>
  <c r="CF12" i="77"/>
  <c r="CE12" i="77"/>
  <c r="CF10" i="77"/>
  <c r="CE10" i="77"/>
  <c r="CF9" i="77"/>
  <c r="CE9" i="77"/>
  <c r="CF8" i="77"/>
  <c r="CE8" i="77"/>
  <c r="CF7" i="77"/>
  <c r="CE7" i="77"/>
  <c r="BY63" i="77"/>
  <c r="BX63" i="77"/>
  <c r="BY62" i="77"/>
  <c r="BX62" i="77"/>
  <c r="BY61" i="77"/>
  <c r="BX61" i="77"/>
  <c r="BY60" i="77"/>
  <c r="BX60" i="77"/>
  <c r="BY59" i="77"/>
  <c r="BX59" i="77"/>
  <c r="BY58" i="77"/>
  <c r="BX58" i="77"/>
  <c r="BY56" i="77"/>
  <c r="BX56" i="77"/>
  <c r="BY55" i="77"/>
  <c r="BX55" i="77"/>
  <c r="BY54" i="77"/>
  <c r="BX54" i="77"/>
  <c r="BY53" i="77"/>
  <c r="BX53" i="77"/>
  <c r="BY52" i="77"/>
  <c r="BX52" i="77"/>
  <c r="BY49" i="77"/>
  <c r="BX49" i="77"/>
  <c r="BY48" i="77"/>
  <c r="BX48" i="77"/>
  <c r="BY47" i="77"/>
  <c r="BX47" i="77"/>
  <c r="BY46" i="77"/>
  <c r="BX46" i="77"/>
  <c r="BY44" i="77"/>
  <c r="BX44" i="77"/>
  <c r="BY43" i="77"/>
  <c r="BX43" i="77"/>
  <c r="BY41" i="77"/>
  <c r="BX41" i="77"/>
  <c r="BY40" i="77"/>
  <c r="BX40" i="77"/>
  <c r="BY39" i="77"/>
  <c r="BX39" i="77"/>
  <c r="BY37" i="77"/>
  <c r="BX37" i="77"/>
  <c r="BY35" i="77"/>
  <c r="BX35" i="77"/>
  <c r="BY34" i="77"/>
  <c r="BX34" i="77"/>
  <c r="BY33" i="77"/>
  <c r="BX33" i="77"/>
  <c r="BY32" i="77"/>
  <c r="BX32" i="77"/>
  <c r="BY31" i="77"/>
  <c r="BX31" i="77"/>
  <c r="BY29" i="77"/>
  <c r="BX29" i="77"/>
  <c r="BY28" i="77"/>
  <c r="BX28" i="77"/>
  <c r="BY27" i="77"/>
  <c r="BX27" i="77"/>
  <c r="BY26" i="77"/>
  <c r="BX26" i="77"/>
  <c r="BY25" i="77"/>
  <c r="BX25" i="77"/>
  <c r="BY22" i="77"/>
  <c r="BX22" i="77"/>
  <c r="BY21" i="77"/>
  <c r="BX21" i="77"/>
  <c r="BY20" i="77"/>
  <c r="BX20" i="77"/>
  <c r="BY19" i="77"/>
  <c r="BX19" i="77"/>
  <c r="BY18" i="77"/>
  <c r="BX18" i="77"/>
  <c r="BY16" i="77"/>
  <c r="BX16" i="77"/>
  <c r="BY15" i="77"/>
  <c r="BX15" i="77"/>
  <c r="BY14" i="77"/>
  <c r="BX14" i="77"/>
  <c r="BY13" i="77"/>
  <c r="BX13" i="77"/>
  <c r="BY12" i="77"/>
  <c r="BX12" i="77"/>
  <c r="BY10" i="77"/>
  <c r="BX10" i="77"/>
  <c r="BY9" i="77"/>
  <c r="BX9" i="77"/>
  <c r="BY8" i="77"/>
  <c r="BX8" i="77"/>
  <c r="BY7" i="77"/>
  <c r="BX7" i="77"/>
  <c r="BR63" i="77"/>
  <c r="BQ63" i="77"/>
  <c r="BR62" i="77"/>
  <c r="BQ62" i="77"/>
  <c r="BR61" i="77"/>
  <c r="BQ61" i="77"/>
  <c r="BR60" i="77"/>
  <c r="BQ60" i="77"/>
  <c r="BR59" i="77"/>
  <c r="BQ59" i="77"/>
  <c r="BR58" i="77"/>
  <c r="BQ58" i="77"/>
  <c r="BR56" i="77"/>
  <c r="BQ56" i="77"/>
  <c r="BR55" i="77"/>
  <c r="BQ55" i="77"/>
  <c r="BR54" i="77"/>
  <c r="BQ54" i="77"/>
  <c r="BR53" i="77"/>
  <c r="BQ53" i="77"/>
  <c r="BR52" i="77"/>
  <c r="BQ52" i="77"/>
  <c r="BR49" i="77"/>
  <c r="BQ49" i="77"/>
  <c r="BR48" i="77"/>
  <c r="BQ48" i="77"/>
  <c r="BR47" i="77"/>
  <c r="BQ47" i="77"/>
  <c r="BR46" i="77"/>
  <c r="BQ46" i="77"/>
  <c r="BR44" i="77"/>
  <c r="BQ44" i="77"/>
  <c r="BR43" i="77"/>
  <c r="BQ43" i="77"/>
  <c r="BR41" i="77"/>
  <c r="BQ41" i="77"/>
  <c r="BR40" i="77"/>
  <c r="BQ40" i="77"/>
  <c r="BR39" i="77"/>
  <c r="BQ39" i="77"/>
  <c r="BR37" i="77"/>
  <c r="BQ37" i="77"/>
  <c r="BR35" i="77"/>
  <c r="BQ35" i="77"/>
  <c r="BR34" i="77"/>
  <c r="BQ34" i="77"/>
  <c r="BR33" i="77"/>
  <c r="BQ33" i="77"/>
  <c r="BR32" i="77"/>
  <c r="BQ32" i="77"/>
  <c r="BR31" i="77"/>
  <c r="BQ31" i="77"/>
  <c r="BR29" i="77"/>
  <c r="BQ29" i="77"/>
  <c r="BR28" i="77"/>
  <c r="BQ28" i="77"/>
  <c r="BR27" i="77"/>
  <c r="BQ27" i="77"/>
  <c r="BR26" i="77"/>
  <c r="BQ26" i="77"/>
  <c r="BR25" i="77"/>
  <c r="BQ25" i="77"/>
  <c r="BR22" i="77"/>
  <c r="BQ22" i="77"/>
  <c r="BR21" i="77"/>
  <c r="BQ21" i="77"/>
  <c r="BR20" i="77"/>
  <c r="BQ20" i="77"/>
  <c r="BR19" i="77"/>
  <c r="BQ19" i="77"/>
  <c r="BR18" i="77"/>
  <c r="BQ18" i="77"/>
  <c r="BR16" i="77"/>
  <c r="BQ16" i="77"/>
  <c r="BR15" i="77"/>
  <c r="BQ15" i="77"/>
  <c r="BR14" i="77"/>
  <c r="BQ14" i="77"/>
  <c r="BR13" i="77"/>
  <c r="BQ13" i="77"/>
  <c r="BR12" i="77"/>
  <c r="BQ12" i="77"/>
  <c r="BR10" i="77"/>
  <c r="BQ10" i="77"/>
  <c r="BR9" i="77"/>
  <c r="BQ9" i="77"/>
  <c r="BR8" i="77"/>
  <c r="BQ8" i="77"/>
  <c r="BR7" i="77"/>
  <c r="BQ7" i="77"/>
  <c r="BK63" i="77"/>
  <c r="BJ63" i="77"/>
  <c r="BK62" i="77"/>
  <c r="BJ62" i="77"/>
  <c r="BK61" i="77"/>
  <c r="BJ61" i="77"/>
  <c r="BK60" i="77"/>
  <c r="BJ60" i="77"/>
  <c r="BK59" i="77"/>
  <c r="BJ59" i="77"/>
  <c r="BK58" i="77"/>
  <c r="BJ58" i="77"/>
  <c r="BK56" i="77"/>
  <c r="BJ56" i="77"/>
  <c r="BK55" i="77"/>
  <c r="BJ55" i="77"/>
  <c r="BK54" i="77"/>
  <c r="BJ54" i="77"/>
  <c r="BK53" i="77"/>
  <c r="BJ53" i="77"/>
  <c r="BK52" i="77"/>
  <c r="BJ52" i="77"/>
  <c r="BK49" i="77"/>
  <c r="BJ49" i="77"/>
  <c r="BK48" i="77"/>
  <c r="BJ48" i="77"/>
  <c r="BK47" i="77"/>
  <c r="BJ47" i="77"/>
  <c r="BK46" i="77"/>
  <c r="BJ46" i="77"/>
  <c r="BK44" i="77"/>
  <c r="BJ44" i="77"/>
  <c r="BK43" i="77"/>
  <c r="BJ43" i="77"/>
  <c r="BK41" i="77"/>
  <c r="BJ41" i="77"/>
  <c r="BK40" i="77"/>
  <c r="BJ40" i="77"/>
  <c r="BK39" i="77"/>
  <c r="BJ39" i="77"/>
  <c r="BK37" i="77"/>
  <c r="BJ37" i="77"/>
  <c r="BK35" i="77"/>
  <c r="BJ35" i="77"/>
  <c r="BK34" i="77"/>
  <c r="BJ34" i="77"/>
  <c r="BK33" i="77"/>
  <c r="BJ33" i="77"/>
  <c r="BK32" i="77"/>
  <c r="BJ32" i="77"/>
  <c r="BK31" i="77"/>
  <c r="BJ31" i="77"/>
  <c r="BK29" i="77"/>
  <c r="BJ29" i="77"/>
  <c r="BK28" i="77"/>
  <c r="BJ28" i="77"/>
  <c r="BK27" i="77"/>
  <c r="BJ27" i="77"/>
  <c r="BK26" i="77"/>
  <c r="BJ26" i="77"/>
  <c r="BK25" i="77"/>
  <c r="BJ25" i="77"/>
  <c r="BK22" i="77"/>
  <c r="BJ22" i="77"/>
  <c r="BK21" i="77"/>
  <c r="BJ21" i="77"/>
  <c r="BK20" i="77"/>
  <c r="BJ20" i="77"/>
  <c r="BK19" i="77"/>
  <c r="BJ19" i="77"/>
  <c r="BK18" i="77"/>
  <c r="BJ18" i="77"/>
  <c r="BK16" i="77"/>
  <c r="BJ16" i="77"/>
  <c r="BK15" i="77"/>
  <c r="BJ15" i="77"/>
  <c r="BK14" i="77"/>
  <c r="BJ14" i="77"/>
  <c r="BK13" i="77"/>
  <c r="BJ13" i="77"/>
  <c r="BK12" i="77"/>
  <c r="BJ12" i="77"/>
  <c r="BK10" i="77"/>
  <c r="BJ10" i="77"/>
  <c r="BK9" i="77"/>
  <c r="BJ9" i="77"/>
  <c r="BK8" i="77"/>
  <c r="BJ8" i="77"/>
  <c r="BK7" i="77"/>
  <c r="BJ7" i="77"/>
  <c r="BD63" i="77"/>
  <c r="BC63" i="77"/>
  <c r="BD62" i="77"/>
  <c r="BC62" i="77"/>
  <c r="BD61" i="77"/>
  <c r="BC61" i="77"/>
  <c r="BD60" i="77"/>
  <c r="BC60" i="77"/>
  <c r="BD59" i="77"/>
  <c r="BC59" i="77"/>
  <c r="BD58" i="77"/>
  <c r="BC58" i="77"/>
  <c r="BD52" i="77"/>
  <c r="BC52" i="77"/>
  <c r="BD56" i="77"/>
  <c r="BC56" i="77"/>
  <c r="BD55" i="77"/>
  <c r="BC55" i="77"/>
  <c r="BD54" i="77"/>
  <c r="BC54" i="77"/>
  <c r="BD53" i="77"/>
  <c r="BC53" i="77"/>
  <c r="BD49" i="77"/>
  <c r="BC49" i="77"/>
  <c r="BD48" i="77"/>
  <c r="BC48" i="77"/>
  <c r="BD47" i="77"/>
  <c r="BC47" i="77"/>
  <c r="BD46" i="77"/>
  <c r="BC46" i="77"/>
  <c r="BD44" i="77"/>
  <c r="BC44" i="77"/>
  <c r="BD43" i="77"/>
  <c r="BC43" i="77"/>
  <c r="BD41" i="77"/>
  <c r="BC41" i="77"/>
  <c r="BD40" i="77"/>
  <c r="BC40" i="77"/>
  <c r="BD39" i="77"/>
  <c r="BC39" i="77"/>
  <c r="BD37" i="77"/>
  <c r="BC37" i="77"/>
  <c r="BD35" i="77"/>
  <c r="BC35" i="77"/>
  <c r="BD34" i="77"/>
  <c r="BC34" i="77"/>
  <c r="BD33" i="77"/>
  <c r="BC33" i="77"/>
  <c r="BD32" i="77"/>
  <c r="BC32" i="77"/>
  <c r="BD31" i="77"/>
  <c r="BC31" i="77"/>
  <c r="BD29" i="77"/>
  <c r="BC29" i="77"/>
  <c r="BD28" i="77"/>
  <c r="BC28" i="77"/>
  <c r="BD27" i="77"/>
  <c r="BC27" i="77"/>
  <c r="BD26" i="77"/>
  <c r="BC26" i="77"/>
  <c r="BD25" i="77"/>
  <c r="BC25" i="77"/>
  <c r="BD22" i="77"/>
  <c r="BC22" i="77"/>
  <c r="BD21" i="77"/>
  <c r="BC21" i="77"/>
  <c r="BD20" i="77"/>
  <c r="BC20" i="77"/>
  <c r="BD19" i="77"/>
  <c r="BC19" i="77"/>
  <c r="BD18" i="77"/>
  <c r="BC18" i="77"/>
  <c r="BD16" i="77"/>
  <c r="BC16" i="77"/>
  <c r="BD15" i="77"/>
  <c r="BC15" i="77"/>
  <c r="BD14" i="77"/>
  <c r="BC14" i="77"/>
  <c r="BD13" i="77"/>
  <c r="BC13" i="77"/>
  <c r="BD12" i="77"/>
  <c r="BC12" i="77"/>
  <c r="BD10" i="77"/>
  <c r="BC10" i="77"/>
  <c r="BD9" i="77"/>
  <c r="BC9" i="77"/>
  <c r="BD8" i="77"/>
  <c r="BC8" i="77"/>
  <c r="BD7" i="77"/>
  <c r="BC7" i="77"/>
  <c r="AW63" i="77"/>
  <c r="AV63" i="77"/>
  <c r="AW62" i="77"/>
  <c r="AV62" i="77"/>
  <c r="AW61" i="77"/>
  <c r="AV61" i="77"/>
  <c r="AW60" i="77"/>
  <c r="AV60" i="77"/>
  <c r="AW59" i="77"/>
  <c r="AV59" i="77"/>
  <c r="AW58" i="77"/>
  <c r="AV58" i="77"/>
  <c r="AW56" i="77"/>
  <c r="AV56" i="77"/>
  <c r="AW55" i="77"/>
  <c r="AV55" i="77"/>
  <c r="AW54" i="77"/>
  <c r="AV54" i="77"/>
  <c r="AW53" i="77"/>
  <c r="AV53" i="77"/>
  <c r="AW52" i="77"/>
  <c r="AV52" i="77"/>
  <c r="AW49" i="77"/>
  <c r="AV49" i="77"/>
  <c r="AW48" i="77"/>
  <c r="AV48" i="77"/>
  <c r="AW47" i="77"/>
  <c r="AV47" i="77"/>
  <c r="AW46" i="77"/>
  <c r="AV46" i="77"/>
  <c r="AW44" i="77"/>
  <c r="AV44" i="77"/>
  <c r="AW43" i="77"/>
  <c r="AV43" i="77"/>
  <c r="AW41" i="77"/>
  <c r="AV41" i="77"/>
  <c r="AW40" i="77"/>
  <c r="AV40" i="77"/>
  <c r="AW39" i="77"/>
  <c r="AV39" i="77"/>
  <c r="AW37" i="77"/>
  <c r="AV37" i="77"/>
  <c r="AW35" i="77"/>
  <c r="AV35" i="77"/>
  <c r="AW34" i="77"/>
  <c r="AV34" i="77"/>
  <c r="AW33" i="77"/>
  <c r="AV33" i="77"/>
  <c r="AW32" i="77"/>
  <c r="AV32" i="77"/>
  <c r="AW31" i="77"/>
  <c r="AV31" i="77"/>
  <c r="AW29" i="77"/>
  <c r="AV29" i="77"/>
  <c r="AW28" i="77"/>
  <c r="AV28" i="77"/>
  <c r="AW27" i="77"/>
  <c r="AV27" i="77"/>
  <c r="AW26" i="77"/>
  <c r="AV26" i="77"/>
  <c r="AW25" i="77"/>
  <c r="AV25" i="77"/>
  <c r="AW22" i="77"/>
  <c r="AV22" i="77"/>
  <c r="AW21" i="77"/>
  <c r="AV21" i="77"/>
  <c r="AW20" i="77"/>
  <c r="AV20" i="77"/>
  <c r="AW19" i="77"/>
  <c r="AV19" i="77"/>
  <c r="AW18" i="77"/>
  <c r="AV18" i="77"/>
  <c r="AW16" i="77"/>
  <c r="AV16" i="77"/>
  <c r="AW15" i="77"/>
  <c r="AV15" i="77"/>
  <c r="AW14" i="77"/>
  <c r="AV14" i="77"/>
  <c r="AW13" i="77"/>
  <c r="AV13" i="77"/>
  <c r="AW12" i="77"/>
  <c r="AV12" i="77"/>
  <c r="AW10" i="77"/>
  <c r="AV10" i="77"/>
  <c r="AW9" i="77"/>
  <c r="AV9" i="77"/>
  <c r="AW8" i="77"/>
  <c r="AV8" i="77"/>
  <c r="AW7" i="77"/>
  <c r="AV7" i="77"/>
  <c r="AP63" i="77"/>
  <c r="AO63" i="77"/>
  <c r="AP62" i="77"/>
  <c r="AO62" i="77"/>
  <c r="AP61" i="77"/>
  <c r="AO61" i="77"/>
  <c r="AP60" i="77"/>
  <c r="AO60" i="77"/>
  <c r="AP59" i="77"/>
  <c r="AO59" i="77"/>
  <c r="AP58" i="77"/>
  <c r="AO58" i="77"/>
  <c r="AP56" i="77"/>
  <c r="AO56" i="77"/>
  <c r="AP55" i="77"/>
  <c r="AO55" i="77"/>
  <c r="AP54" i="77"/>
  <c r="AO54" i="77"/>
  <c r="AP53" i="77"/>
  <c r="AO53" i="77"/>
  <c r="AP52" i="77"/>
  <c r="AO52" i="77"/>
  <c r="AP49" i="77"/>
  <c r="AO49" i="77"/>
  <c r="AP48" i="77"/>
  <c r="AO48" i="77"/>
  <c r="AP47" i="77"/>
  <c r="AO47" i="77"/>
  <c r="AP46" i="77"/>
  <c r="AO46" i="77"/>
  <c r="AP44" i="77"/>
  <c r="AO44" i="77"/>
  <c r="AP43" i="77"/>
  <c r="AO43" i="77"/>
  <c r="AP41" i="77"/>
  <c r="AO41" i="77"/>
  <c r="AP40" i="77"/>
  <c r="AO40" i="77"/>
  <c r="AP39" i="77"/>
  <c r="AO39" i="77"/>
  <c r="AP37" i="77"/>
  <c r="AO37" i="77"/>
  <c r="AP35" i="77"/>
  <c r="AO35" i="77"/>
  <c r="AP34" i="77"/>
  <c r="AO34" i="77"/>
  <c r="AP33" i="77"/>
  <c r="AO33" i="77"/>
  <c r="AP32" i="77"/>
  <c r="AO32" i="77"/>
  <c r="AP31" i="77"/>
  <c r="AO31" i="77"/>
  <c r="AP29" i="77"/>
  <c r="AO29" i="77"/>
  <c r="AP28" i="77"/>
  <c r="AO28" i="77"/>
  <c r="AP27" i="77"/>
  <c r="AO27" i="77"/>
  <c r="AP26" i="77"/>
  <c r="AO26" i="77"/>
  <c r="AP25" i="77"/>
  <c r="AO25" i="77"/>
  <c r="AP22" i="77"/>
  <c r="AO22" i="77"/>
  <c r="AP21" i="77"/>
  <c r="AO21" i="77"/>
  <c r="AP20" i="77"/>
  <c r="AO20" i="77"/>
  <c r="AP19" i="77"/>
  <c r="AO19" i="77"/>
  <c r="AP18" i="77"/>
  <c r="AO18" i="77"/>
  <c r="AP16" i="77"/>
  <c r="AO16" i="77"/>
  <c r="AP15" i="77"/>
  <c r="AO15" i="77"/>
  <c r="AP14" i="77"/>
  <c r="AO14" i="77"/>
  <c r="AP13" i="77"/>
  <c r="AO13" i="77"/>
  <c r="AP12" i="77"/>
  <c r="AO12" i="77"/>
  <c r="AP10" i="77"/>
  <c r="AO10" i="77"/>
  <c r="AP9" i="77"/>
  <c r="AO9" i="77"/>
  <c r="AP8" i="77"/>
  <c r="AO8" i="77"/>
  <c r="AP7" i="77"/>
  <c r="AO7" i="77"/>
  <c r="AI63" i="77"/>
  <c r="AH63" i="77"/>
  <c r="AI62" i="77"/>
  <c r="AH62" i="77"/>
  <c r="AI61" i="77"/>
  <c r="AH61" i="77"/>
  <c r="AI60" i="77"/>
  <c r="AH60" i="77"/>
  <c r="AI59" i="77"/>
  <c r="AH59" i="77"/>
  <c r="AI58" i="77"/>
  <c r="AH58" i="77"/>
  <c r="AI56" i="77"/>
  <c r="AH56" i="77"/>
  <c r="AI55" i="77"/>
  <c r="AH55" i="77"/>
  <c r="AI54" i="77"/>
  <c r="AH54" i="77"/>
  <c r="AI53" i="77"/>
  <c r="AH53" i="77"/>
  <c r="AI52" i="77"/>
  <c r="AH52" i="77"/>
  <c r="AI49" i="77"/>
  <c r="AH49" i="77"/>
  <c r="AI48" i="77"/>
  <c r="AH48" i="77"/>
  <c r="AI47" i="77"/>
  <c r="AH47" i="77"/>
  <c r="AI46" i="77"/>
  <c r="AH46" i="77"/>
  <c r="AI44" i="77"/>
  <c r="AH44" i="77"/>
  <c r="AI43" i="77"/>
  <c r="AH43" i="77"/>
  <c r="AI41" i="77"/>
  <c r="AH41" i="77"/>
  <c r="AI40" i="77"/>
  <c r="AH40" i="77"/>
  <c r="AI39" i="77"/>
  <c r="AH39" i="77"/>
  <c r="AI37" i="77"/>
  <c r="AH37" i="77"/>
  <c r="AI35" i="77"/>
  <c r="AH35" i="77"/>
  <c r="AI34" i="77"/>
  <c r="AH34" i="77"/>
  <c r="AI33" i="77"/>
  <c r="AH33" i="77"/>
  <c r="AI32" i="77"/>
  <c r="AH32" i="77"/>
  <c r="AI31" i="77"/>
  <c r="AH31" i="77"/>
  <c r="AI29" i="77"/>
  <c r="AH29" i="77"/>
  <c r="AI28" i="77"/>
  <c r="AH28" i="77"/>
  <c r="AI27" i="77"/>
  <c r="AH27" i="77"/>
  <c r="AI26" i="77"/>
  <c r="AH26" i="77"/>
  <c r="AI25" i="77"/>
  <c r="AH25" i="77"/>
  <c r="AI22" i="77"/>
  <c r="AH22" i="77"/>
  <c r="AI21" i="77"/>
  <c r="AH21" i="77"/>
  <c r="AI20" i="77"/>
  <c r="AH20" i="77"/>
  <c r="AI19" i="77"/>
  <c r="AH19" i="77"/>
  <c r="AI18" i="77"/>
  <c r="AH18" i="77"/>
  <c r="AI16" i="77"/>
  <c r="AH16" i="77"/>
  <c r="AI15" i="77"/>
  <c r="AH15" i="77"/>
  <c r="AI14" i="77"/>
  <c r="AH14" i="77"/>
  <c r="AI13" i="77"/>
  <c r="AH13" i="77"/>
  <c r="AI12" i="77"/>
  <c r="AH12" i="77"/>
  <c r="AI10" i="77"/>
  <c r="AH10" i="77"/>
  <c r="AI9" i="77"/>
  <c r="AH9" i="77"/>
  <c r="AI8" i="77"/>
  <c r="AH8" i="77"/>
  <c r="AI7" i="77"/>
  <c r="AH7" i="77"/>
  <c r="AB63" i="77"/>
  <c r="AA63" i="77"/>
  <c r="AB62" i="77"/>
  <c r="AA62" i="77"/>
  <c r="AB61" i="77"/>
  <c r="AA61" i="77"/>
  <c r="AB60" i="77"/>
  <c r="AA60" i="77"/>
  <c r="AB59" i="77"/>
  <c r="AA59" i="77"/>
  <c r="AB58" i="77"/>
  <c r="AA58" i="77"/>
  <c r="AB56" i="77"/>
  <c r="AA56" i="77"/>
  <c r="AB55" i="77"/>
  <c r="AA55" i="77"/>
  <c r="AB54" i="77"/>
  <c r="AA54" i="77"/>
  <c r="AB53" i="77"/>
  <c r="AA53" i="77"/>
  <c r="AB52" i="77"/>
  <c r="AA52" i="77"/>
  <c r="AB49" i="77"/>
  <c r="AA49" i="77"/>
  <c r="AB48" i="77"/>
  <c r="AA48" i="77"/>
  <c r="AB47" i="77"/>
  <c r="AA47" i="77"/>
  <c r="AB46" i="77"/>
  <c r="AA46" i="77"/>
  <c r="AB44" i="77"/>
  <c r="AA44" i="77"/>
  <c r="AB43" i="77"/>
  <c r="AA43" i="77"/>
  <c r="AB41" i="77"/>
  <c r="AA41" i="77"/>
  <c r="AB40" i="77"/>
  <c r="AA40" i="77"/>
  <c r="AB39" i="77"/>
  <c r="AA39" i="77"/>
  <c r="AB37" i="77"/>
  <c r="AA37" i="77"/>
  <c r="AB35" i="77"/>
  <c r="AA35" i="77"/>
  <c r="AB34" i="77"/>
  <c r="AA34" i="77"/>
  <c r="AB33" i="77"/>
  <c r="AA33" i="77"/>
  <c r="AB32" i="77"/>
  <c r="AA32" i="77"/>
  <c r="AB31" i="77"/>
  <c r="AA31" i="77"/>
  <c r="AB29" i="77"/>
  <c r="AA29" i="77"/>
  <c r="AB28" i="77"/>
  <c r="AA28" i="77"/>
  <c r="AB27" i="77"/>
  <c r="AA27" i="77"/>
  <c r="AB26" i="77"/>
  <c r="AA26" i="77"/>
  <c r="AB25" i="77"/>
  <c r="AA25" i="77"/>
  <c r="AB22" i="77"/>
  <c r="AA22" i="77"/>
  <c r="AB21" i="77"/>
  <c r="AA21" i="77"/>
  <c r="AB20" i="77"/>
  <c r="AA20" i="77"/>
  <c r="AB19" i="77"/>
  <c r="AA19" i="77"/>
  <c r="AB18" i="77"/>
  <c r="AA18" i="77"/>
  <c r="AB16" i="77"/>
  <c r="AA16" i="77"/>
  <c r="AB15" i="77"/>
  <c r="AA15" i="77"/>
  <c r="AB14" i="77"/>
  <c r="AA14" i="77"/>
  <c r="AB13" i="77"/>
  <c r="AA13" i="77"/>
  <c r="AB12" i="77"/>
  <c r="AA12" i="77"/>
  <c r="AB10" i="77"/>
  <c r="AA10" i="77"/>
  <c r="AB9" i="77"/>
  <c r="AA9" i="77"/>
  <c r="AB8" i="77"/>
  <c r="AA8" i="77"/>
  <c r="AB7" i="77"/>
  <c r="AA7" i="77"/>
  <c r="U63" i="77"/>
  <c r="T63" i="77"/>
  <c r="U62" i="77"/>
  <c r="T62" i="77"/>
  <c r="U61" i="77"/>
  <c r="T61" i="77"/>
  <c r="U60" i="77"/>
  <c r="T60" i="77"/>
  <c r="U59" i="77"/>
  <c r="T59" i="77"/>
  <c r="U58" i="77"/>
  <c r="T58" i="77"/>
  <c r="U56" i="77"/>
  <c r="T56" i="77"/>
  <c r="U55" i="77"/>
  <c r="T55" i="77"/>
  <c r="U54" i="77"/>
  <c r="T54" i="77"/>
  <c r="U53" i="77"/>
  <c r="T53" i="77"/>
  <c r="U52" i="77"/>
  <c r="T52" i="77"/>
  <c r="U49" i="77"/>
  <c r="T49" i="77"/>
  <c r="U48" i="77"/>
  <c r="T48" i="77"/>
  <c r="U47" i="77"/>
  <c r="T47" i="77"/>
  <c r="U46" i="77"/>
  <c r="T46" i="77"/>
  <c r="U44" i="77"/>
  <c r="T44" i="77"/>
  <c r="U43" i="77"/>
  <c r="T43" i="77"/>
  <c r="U41" i="77"/>
  <c r="T41" i="77"/>
  <c r="U40" i="77"/>
  <c r="T40" i="77"/>
  <c r="U39" i="77"/>
  <c r="T39" i="77"/>
  <c r="U37" i="77"/>
  <c r="T37" i="77"/>
  <c r="U35" i="77"/>
  <c r="T35" i="77"/>
  <c r="U34" i="77"/>
  <c r="T34" i="77"/>
  <c r="U33" i="77"/>
  <c r="T33" i="77"/>
  <c r="U32" i="77"/>
  <c r="T32" i="77"/>
  <c r="U31" i="77"/>
  <c r="T31" i="77"/>
  <c r="U29" i="77"/>
  <c r="T29" i="77"/>
  <c r="U28" i="77"/>
  <c r="T28" i="77"/>
  <c r="U27" i="77"/>
  <c r="T27" i="77"/>
  <c r="U26" i="77"/>
  <c r="T26" i="77"/>
  <c r="U25" i="77"/>
  <c r="T25" i="77"/>
  <c r="U22" i="77"/>
  <c r="T22" i="77"/>
  <c r="U21" i="77"/>
  <c r="T21" i="77"/>
  <c r="U20" i="77"/>
  <c r="T20" i="77"/>
  <c r="U19" i="77"/>
  <c r="T19" i="77"/>
  <c r="U18" i="77"/>
  <c r="T18" i="77"/>
  <c r="U16" i="77"/>
  <c r="T16" i="77"/>
  <c r="U15" i="77"/>
  <c r="T15" i="77"/>
  <c r="U14" i="77"/>
  <c r="T14" i="77"/>
  <c r="U13" i="77"/>
  <c r="T13" i="77"/>
  <c r="T12" i="77"/>
  <c r="T10" i="77"/>
  <c r="T9" i="77"/>
  <c r="T8" i="77"/>
  <c r="T7" i="77"/>
  <c r="N63" i="77"/>
  <c r="M63" i="77"/>
  <c r="N62" i="77"/>
  <c r="M62" i="77"/>
  <c r="N61" i="77"/>
  <c r="M61" i="77"/>
  <c r="N60" i="77"/>
  <c r="M60" i="77"/>
  <c r="N59" i="77"/>
  <c r="M59" i="77"/>
  <c r="N58" i="77"/>
  <c r="M58" i="77"/>
  <c r="N56" i="77"/>
  <c r="M56" i="77"/>
  <c r="N55" i="77"/>
  <c r="M55" i="77"/>
  <c r="N54" i="77"/>
  <c r="M54" i="77"/>
  <c r="N53" i="77"/>
  <c r="M53" i="77"/>
  <c r="N52" i="77"/>
  <c r="M52" i="77"/>
  <c r="N49" i="77"/>
  <c r="M49" i="77"/>
  <c r="N48" i="77"/>
  <c r="M48" i="77"/>
  <c r="N47" i="77"/>
  <c r="M47" i="77"/>
  <c r="N46" i="77"/>
  <c r="M46" i="77"/>
  <c r="N44" i="77"/>
  <c r="M44" i="77"/>
  <c r="N43" i="77"/>
  <c r="M43" i="77"/>
  <c r="N41" i="77"/>
  <c r="M41" i="77"/>
  <c r="N40" i="77"/>
  <c r="M40" i="77"/>
  <c r="N39" i="77"/>
  <c r="M39" i="77"/>
  <c r="N37" i="77"/>
  <c r="M37" i="77"/>
  <c r="N35" i="77"/>
  <c r="M35" i="77"/>
  <c r="N34" i="77"/>
  <c r="M34" i="77"/>
  <c r="N33" i="77"/>
  <c r="M33" i="77"/>
  <c r="N32" i="77"/>
  <c r="M32" i="77"/>
  <c r="N31" i="77"/>
  <c r="M31" i="77"/>
  <c r="N29" i="77"/>
  <c r="M29" i="77"/>
  <c r="N28" i="77"/>
  <c r="M28" i="77"/>
  <c r="N27" i="77"/>
  <c r="M27" i="77"/>
  <c r="N26" i="77"/>
  <c r="M26" i="77"/>
  <c r="N25" i="77"/>
  <c r="M25" i="77"/>
  <c r="N22" i="77"/>
  <c r="M22" i="77"/>
  <c r="N21" i="77"/>
  <c r="M21" i="77"/>
  <c r="N20" i="77"/>
  <c r="M20" i="77"/>
  <c r="N19" i="77"/>
  <c r="M19" i="77"/>
  <c r="N18" i="77"/>
  <c r="M18" i="77"/>
  <c r="N16" i="77"/>
  <c r="M16" i="77"/>
  <c r="N15" i="77"/>
  <c r="M15" i="77"/>
  <c r="N14" i="77"/>
  <c r="M14" i="77"/>
  <c r="N13" i="77"/>
  <c r="M13" i="77"/>
  <c r="N12" i="77"/>
  <c r="M12" i="77"/>
  <c r="N10" i="77"/>
  <c r="M10" i="77"/>
  <c r="N9" i="77"/>
  <c r="M9" i="77"/>
  <c r="N8" i="77"/>
  <c r="M8" i="77"/>
  <c r="N7" i="77"/>
  <c r="M7" i="77"/>
  <c r="G63" i="77"/>
  <c r="F63" i="77"/>
  <c r="G62" i="77"/>
  <c r="F62" i="77"/>
  <c r="G61" i="77"/>
  <c r="F61" i="77"/>
  <c r="G60" i="77"/>
  <c r="F60" i="77"/>
  <c r="G59" i="77"/>
  <c r="F59" i="77"/>
  <c r="G58" i="77"/>
  <c r="F58" i="77"/>
  <c r="G56" i="77"/>
  <c r="F56" i="77"/>
  <c r="G55" i="77"/>
  <c r="F55" i="77"/>
  <c r="G54" i="77"/>
  <c r="F54" i="77"/>
  <c r="G53" i="77"/>
  <c r="F53" i="77"/>
  <c r="G52" i="77"/>
  <c r="F52" i="77"/>
  <c r="G49" i="77"/>
  <c r="F49" i="77"/>
  <c r="G48" i="77"/>
  <c r="F48" i="77"/>
  <c r="G47" i="77"/>
  <c r="F47" i="77"/>
  <c r="G46" i="77"/>
  <c r="F46" i="77"/>
  <c r="G44" i="77"/>
  <c r="F44" i="77"/>
  <c r="G43" i="77"/>
  <c r="F43" i="77"/>
  <c r="G41" i="77"/>
  <c r="F41" i="77"/>
  <c r="G40" i="77"/>
  <c r="F40" i="77"/>
  <c r="G39" i="77"/>
  <c r="F39" i="77"/>
  <c r="G37" i="77"/>
  <c r="F37" i="77"/>
  <c r="G35" i="77"/>
  <c r="F35" i="77"/>
  <c r="G34" i="77"/>
  <c r="F34" i="77"/>
  <c r="G33" i="77"/>
  <c r="F33" i="77"/>
  <c r="G32" i="77"/>
  <c r="F32" i="77"/>
  <c r="G31" i="77"/>
  <c r="F31" i="77"/>
  <c r="G29" i="77"/>
  <c r="F29" i="77"/>
  <c r="G28" i="77"/>
  <c r="F28" i="77"/>
  <c r="G27" i="77"/>
  <c r="F27" i="77"/>
  <c r="G26" i="77"/>
  <c r="F26" i="77"/>
  <c r="G25" i="77"/>
  <c r="F25" i="77"/>
  <c r="G22" i="77"/>
  <c r="F22" i="77"/>
  <c r="G21" i="77"/>
  <c r="F21" i="77"/>
  <c r="G20" i="77"/>
  <c r="F20" i="77"/>
  <c r="G19" i="77"/>
  <c r="F19" i="77"/>
  <c r="G18" i="77"/>
  <c r="F18" i="77"/>
  <c r="G16" i="77"/>
  <c r="F16" i="77"/>
  <c r="G15" i="77"/>
  <c r="F15" i="77"/>
  <c r="G14" i="77"/>
  <c r="F14" i="77"/>
  <c r="G13" i="77"/>
  <c r="F13" i="77"/>
  <c r="G12" i="77"/>
  <c r="F12" i="77"/>
  <c r="G10" i="77"/>
  <c r="F10" i="77"/>
  <c r="G9" i="77"/>
  <c r="F9" i="77"/>
  <c r="G8" i="77"/>
  <c r="F8" i="77"/>
  <c r="G7" i="77"/>
  <c r="F7" i="77"/>
  <c r="CJ64" i="77"/>
  <c r="CH64" i="77"/>
  <c r="CC64" i="77"/>
  <c r="CA64" i="77"/>
  <c r="BV64" i="77"/>
  <c r="BT64" i="77"/>
  <c r="BO64" i="77"/>
  <c r="BM64" i="77"/>
  <c r="BH64" i="77"/>
  <c r="BF64" i="77"/>
  <c r="BA64" i="77"/>
  <c r="AY64" i="77"/>
  <c r="AT64" i="77"/>
  <c r="AR64" i="77"/>
  <c r="AM64" i="77"/>
  <c r="AK64" i="77"/>
  <c r="AF64" i="77"/>
  <c r="AD64" i="77"/>
  <c r="Y64" i="77"/>
  <c r="W64" i="77"/>
  <c r="R64" i="77"/>
  <c r="P64" i="77"/>
  <c r="CJ57" i="77"/>
  <c r="CH57" i="77"/>
  <c r="CC57" i="77"/>
  <c r="CA57" i="77"/>
  <c r="BV57" i="77"/>
  <c r="BT57" i="77"/>
  <c r="BO57" i="77"/>
  <c r="BM57" i="77"/>
  <c r="BH57" i="77"/>
  <c r="BF57" i="77"/>
  <c r="BA57" i="77"/>
  <c r="AY57" i="77"/>
  <c r="AT57" i="77"/>
  <c r="AR57" i="77"/>
  <c r="AM57" i="77"/>
  <c r="AK57" i="77"/>
  <c r="AF57" i="77"/>
  <c r="AD57" i="77"/>
  <c r="Y57" i="77"/>
  <c r="W57" i="77"/>
  <c r="R57" i="77"/>
  <c r="P57" i="77"/>
  <c r="K57" i="77"/>
  <c r="I57" i="77"/>
  <c r="CC42" i="77"/>
  <c r="CJ45" i="77"/>
  <c r="CH45" i="77"/>
  <c r="CC45" i="77"/>
  <c r="CA45" i="77"/>
  <c r="BV45" i="77"/>
  <c r="BT45" i="77"/>
  <c r="BO45" i="77"/>
  <c r="BM45" i="77"/>
  <c r="BH45" i="77"/>
  <c r="BF45" i="77"/>
  <c r="BA45" i="77"/>
  <c r="AY45" i="77"/>
  <c r="AT45" i="77"/>
  <c r="AR45" i="77"/>
  <c r="AM45" i="77"/>
  <c r="AK45" i="77"/>
  <c r="AF45" i="77"/>
  <c r="AD45" i="77"/>
  <c r="Y45" i="77"/>
  <c r="W45" i="77"/>
  <c r="R45" i="77"/>
  <c r="P45" i="77"/>
  <c r="I45" i="77"/>
  <c r="CH36" i="77"/>
  <c r="CC36" i="77"/>
  <c r="CA36" i="77"/>
  <c r="BV36" i="77"/>
  <c r="BT36" i="77"/>
  <c r="BO36" i="77"/>
  <c r="BM36" i="77"/>
  <c r="BH36" i="77"/>
  <c r="BF36" i="77"/>
  <c r="BA36" i="77"/>
  <c r="AY36" i="77"/>
  <c r="AT36" i="77"/>
  <c r="AR36" i="77"/>
  <c r="AM36" i="77"/>
  <c r="AK36" i="77"/>
  <c r="AF36" i="77"/>
  <c r="AD36" i="77"/>
  <c r="Y36" i="77"/>
  <c r="W36" i="77"/>
  <c r="R36" i="77"/>
  <c r="P36" i="77"/>
  <c r="K36" i="77"/>
  <c r="I36" i="77"/>
  <c r="CJ23" i="77"/>
  <c r="CH23" i="77"/>
  <c r="CC23" i="77"/>
  <c r="CA23" i="77"/>
  <c r="BV23" i="77"/>
  <c r="BT23" i="77"/>
  <c r="BO23" i="77"/>
  <c r="BM23" i="77"/>
  <c r="BH23" i="77"/>
  <c r="BF23" i="77"/>
  <c r="BA23" i="77"/>
  <c r="AY23" i="77"/>
  <c r="AT23" i="77"/>
  <c r="AR23" i="77"/>
  <c r="AM23" i="77"/>
  <c r="AK23" i="77"/>
  <c r="AF23" i="77"/>
  <c r="AD23" i="77"/>
  <c r="Y23" i="77"/>
  <c r="W23" i="77"/>
  <c r="R23" i="77"/>
  <c r="P23" i="77"/>
  <c r="K23" i="77"/>
  <c r="I23" i="77"/>
  <c r="CJ17" i="77"/>
  <c r="CH17" i="77"/>
  <c r="CC17" i="77"/>
  <c r="CA17" i="77"/>
  <c r="BV17" i="77"/>
  <c r="BT17" i="77"/>
  <c r="BO17" i="77"/>
  <c r="BM17" i="77"/>
  <c r="BH17" i="77"/>
  <c r="BF17" i="77"/>
  <c r="BA17" i="77"/>
  <c r="AY17" i="77"/>
  <c r="AT17" i="77"/>
  <c r="AR17" i="77"/>
  <c r="AM17" i="77"/>
  <c r="AK17" i="77"/>
  <c r="AF17" i="77"/>
  <c r="AD17" i="77"/>
  <c r="Y17" i="77"/>
  <c r="W17" i="77"/>
  <c r="R17" i="77"/>
  <c r="P17" i="77"/>
  <c r="K17" i="77"/>
  <c r="I17" i="77"/>
  <c r="CJ11" i="77"/>
  <c r="CH11" i="77"/>
  <c r="CC11" i="77"/>
  <c r="CA11" i="77"/>
  <c r="BV11" i="77"/>
  <c r="BT11" i="77"/>
  <c r="BO11" i="77"/>
  <c r="BM11" i="77"/>
  <c r="BH11" i="77"/>
  <c r="BF11" i="77"/>
  <c r="BA11" i="77"/>
  <c r="AY11" i="77"/>
  <c r="AT11" i="77"/>
  <c r="AM11" i="77"/>
  <c r="AK11" i="77"/>
  <c r="AF11" i="77"/>
  <c r="AD11" i="77"/>
  <c r="Y11" i="77"/>
  <c r="W11" i="77"/>
  <c r="R11" i="77"/>
  <c r="P11" i="77"/>
  <c r="K11" i="77"/>
  <c r="I11" i="77"/>
  <c r="A45" i="77"/>
  <c r="A45" i="76" s="1"/>
  <c r="A30" i="77"/>
  <c r="A30" i="76" s="1"/>
  <c r="A17" i="77"/>
  <c r="A17" i="76" s="1"/>
  <c r="CF30" i="77" l="1"/>
  <c r="CI30" i="77" s="1"/>
  <c r="BR30" i="77"/>
  <c r="BU30" i="77" s="1"/>
  <c r="BD30" i="77"/>
  <c r="BG30" i="77" s="1"/>
  <c r="AB30" i="77"/>
  <c r="AE30" i="77" s="1"/>
  <c r="AP30" i="77"/>
  <c r="AS30" i="77" s="1"/>
  <c r="CE30" i="77"/>
  <c r="CK30" i="77" s="1"/>
  <c r="F30" i="77"/>
  <c r="L30" i="77" s="1"/>
  <c r="G30" i="77"/>
  <c r="J30" i="77" s="1"/>
  <c r="AA30" i="77"/>
  <c r="AG30" i="77" s="1"/>
  <c r="AO30" i="77"/>
  <c r="AU30" i="77" s="1"/>
  <c r="BC30" i="77"/>
  <c r="BI30" i="77" s="1"/>
  <c r="BQ30" i="77"/>
  <c r="BW30" i="77" s="1"/>
  <c r="N30" i="77"/>
  <c r="T30" i="77"/>
  <c r="Z30" i="77" s="1"/>
  <c r="AH30" i="77"/>
  <c r="AN30" i="77" s="1"/>
  <c r="AV30" i="77"/>
  <c r="BB30" i="77" s="1"/>
  <c r="BJ30" i="77"/>
  <c r="BP30" i="77" s="1"/>
  <c r="BX30" i="77"/>
  <c r="CD30" i="77" s="1"/>
  <c r="M30" i="77"/>
  <c r="S30" i="77" s="1"/>
  <c r="U30" i="77"/>
  <c r="AI30" i="77"/>
  <c r="AW30" i="77"/>
  <c r="BK30" i="77"/>
  <c r="BY30" i="77"/>
  <c r="W66" i="79"/>
  <c r="A17" i="79"/>
  <c r="A17" i="88"/>
  <c r="A30" i="79"/>
  <c r="A30" i="88"/>
  <c r="A45" i="79"/>
  <c r="A45" i="88"/>
  <c r="CX11" i="77"/>
  <c r="I12" i="82" a="1"/>
  <c r="I12" i="82" s="1"/>
  <c r="I13" i="82" a="1"/>
  <c r="I13" i="82" s="1"/>
  <c r="I36" i="82" s="1"/>
  <c r="AO51" i="77"/>
  <c r="AU51" i="77" s="1"/>
  <c r="BC51" i="77"/>
  <c r="BI51" i="77" s="1"/>
  <c r="CE51" i="77"/>
  <c r="CK51" i="77" s="1"/>
  <c r="AP51" i="77"/>
  <c r="AS51" i="77" s="1"/>
  <c r="U51" i="77"/>
  <c r="X51" i="77" s="1"/>
  <c r="AA51" i="77"/>
  <c r="AG51" i="77" s="1"/>
  <c r="BQ51" i="77"/>
  <c r="BW51" i="77" s="1"/>
  <c r="BD51" i="77"/>
  <c r="BR51" i="77"/>
  <c r="CF51" i="77"/>
  <c r="CI51" i="77" s="1"/>
  <c r="M51" i="77"/>
  <c r="S51" i="77" s="1"/>
  <c r="AB51" i="77"/>
  <c r="AE51" i="77" s="1"/>
  <c r="AV51" i="77"/>
  <c r="BB51" i="77" s="1"/>
  <c r="AW51" i="77"/>
  <c r="AZ51" i="77" s="1"/>
  <c r="BY51" i="77"/>
  <c r="CB51" i="77" s="1"/>
  <c r="AO66" i="79"/>
  <c r="AI51" i="77"/>
  <c r="AH51" i="77"/>
  <c r="AN51" i="77" s="1"/>
  <c r="BX51" i="77"/>
  <c r="CD51" i="77" s="1"/>
  <c r="BJ51" i="77"/>
  <c r="BP51" i="77" s="1"/>
  <c r="BK51" i="77"/>
  <c r="T51" i="77"/>
  <c r="Z51" i="77" s="1"/>
  <c r="N66" i="79"/>
  <c r="Z66" i="79"/>
  <c r="AL66" i="79"/>
  <c r="AI66" i="79"/>
  <c r="N45" i="77"/>
  <c r="Q45" i="77" s="1"/>
  <c r="N51" i="77"/>
  <c r="K66" i="79"/>
  <c r="F51" i="77"/>
  <c r="G51" i="77"/>
  <c r="AF66" i="79"/>
  <c r="AC66" i="79"/>
  <c r="T66" i="79"/>
  <c r="Q66" i="79"/>
  <c r="CN50" i="77"/>
  <c r="CR50" i="77"/>
  <c r="CY50" i="77"/>
  <c r="CC66" i="77"/>
  <c r="AP45" i="77"/>
  <c r="AS45" i="77" s="1"/>
  <c r="BD45" i="77"/>
  <c r="BR45" i="77"/>
  <c r="BU45" i="77" s="1"/>
  <c r="CF45" i="77"/>
  <c r="CI45" i="77" s="1"/>
  <c r="M45" i="77"/>
  <c r="AH11" i="77"/>
  <c r="AN11" i="77" s="1"/>
  <c r="BC23" i="77"/>
  <c r="BI23" i="77" s="1"/>
  <c r="BQ23" i="77"/>
  <c r="BW23" i="77" s="1"/>
  <c r="CE23" i="77"/>
  <c r="CK23" i="77" s="1"/>
  <c r="BD36" i="77"/>
  <c r="BG36" i="77" s="1"/>
  <c r="AA45" i="77"/>
  <c r="AG45" i="77" s="1"/>
  <c r="BC45" i="77"/>
  <c r="BI45" i="77" s="1"/>
  <c r="CE45" i="77"/>
  <c r="CK45" i="77" s="1"/>
  <c r="BJ45" i="77"/>
  <c r="BP45" i="77" s="1"/>
  <c r="AV45" i="77"/>
  <c r="BB45" i="77" s="1"/>
  <c r="G42" i="77"/>
  <c r="T45" i="77"/>
  <c r="Z45" i="77" s="1"/>
  <c r="BJ36" i="77"/>
  <c r="BP36" i="77" s="1"/>
  <c r="AP23" i="77"/>
  <c r="AS23" i="77" s="1"/>
  <c r="CF23" i="77"/>
  <c r="AO17" i="77"/>
  <c r="AU17" i="77" s="1"/>
  <c r="BQ57" i="77"/>
  <c r="BW57" i="77" s="1"/>
  <c r="CF17" i="77"/>
  <c r="CI17" i="77" s="1"/>
  <c r="CF57" i="77"/>
  <c r="CI57" i="77" s="1"/>
  <c r="AP17" i="77"/>
  <c r="AS17" i="77" s="1"/>
  <c r="AW23" i="77"/>
  <c r="AZ23" i="77" s="1"/>
  <c r="BD11" i="77"/>
  <c r="BG11" i="77" s="1"/>
  <c r="BK57" i="77"/>
  <c r="BN57" i="77" s="1"/>
  <c r="BQ64" i="77"/>
  <c r="BC17" i="77"/>
  <c r="BI17" i="77" s="1"/>
  <c r="BX36" i="77"/>
  <c r="CD36" i="77" s="1"/>
  <c r="CE57" i="77"/>
  <c r="CK57" i="77" s="1"/>
  <c r="BK36" i="77"/>
  <c r="BC64" i="77"/>
  <c r="BD23" i="77"/>
  <c r="BD64" i="77"/>
  <c r="BR23" i="77"/>
  <c r="BQ17" i="77"/>
  <c r="BW17" i="77" s="1"/>
  <c r="AP11" i="77"/>
  <c r="AS11" i="77" s="1"/>
  <c r="AP57" i="77"/>
  <c r="AS57" i="77" s="1"/>
  <c r="AW45" i="77"/>
  <c r="AZ45" i="77" s="1"/>
  <c r="BK45" i="77"/>
  <c r="CE64" i="77"/>
  <c r="BR64" i="77"/>
  <c r="BU64" i="77" s="1"/>
  <c r="CF64" i="77"/>
  <c r="AV36" i="77"/>
  <c r="BB36" i="77" s="1"/>
  <c r="BC57" i="77"/>
  <c r="BI57" i="77" s="1"/>
  <c r="CE17" i="77"/>
  <c r="CK17" i="77" s="1"/>
  <c r="AH45" i="77"/>
  <c r="AN45" i="77" s="1"/>
  <c r="BX45" i="77"/>
  <c r="CD45" i="77" s="1"/>
  <c r="F57" i="77"/>
  <c r="G57" i="77"/>
  <c r="AA23" i="77"/>
  <c r="AG23" i="77" s="1"/>
  <c r="AO23" i="77"/>
  <c r="AU23" i="77" s="1"/>
  <c r="AO64" i="77"/>
  <c r="AU64" i="77" s="1"/>
  <c r="F42" i="77"/>
  <c r="M23" i="77"/>
  <c r="S23" i="77" s="1"/>
  <c r="AB23" i="77"/>
  <c r="AI11" i="77"/>
  <c r="AL11" i="77" s="1"/>
  <c r="U23" i="77"/>
  <c r="X23" i="77" s="1"/>
  <c r="AA64" i="77"/>
  <c r="AG64" i="77" s="1"/>
  <c r="T36" i="77"/>
  <c r="Z36" i="77" s="1"/>
  <c r="AA17" i="77"/>
  <c r="AG17" i="77" s="1"/>
  <c r="AA57" i="77"/>
  <c r="AG57" i="77" s="1"/>
  <c r="G45" i="77"/>
  <c r="N23" i="77"/>
  <c r="Q23" i="77" s="1"/>
  <c r="AH36" i="77"/>
  <c r="AN36" i="77" s="1"/>
  <c r="AO57" i="77"/>
  <c r="AU57" i="77" s="1"/>
  <c r="F45" i="77"/>
  <c r="U57" i="77"/>
  <c r="T57" i="77"/>
  <c r="Z57" i="77" s="1"/>
  <c r="F36" i="77"/>
  <c r="M64" i="77"/>
  <c r="AB17" i="77"/>
  <c r="AV64" i="77"/>
  <c r="BJ57" i="77"/>
  <c r="BP57" i="77" s="1"/>
  <c r="AB64" i="77"/>
  <c r="AP64" i="77"/>
  <c r="BK23" i="77"/>
  <c r="BN23" i="77" s="1"/>
  <c r="M17" i="77"/>
  <c r="S17" i="77" s="1"/>
  <c r="BD57" i="77"/>
  <c r="BR57" i="77"/>
  <c r="AO45" i="77"/>
  <c r="AW64" i="77"/>
  <c r="AZ64" i="77" s="1"/>
  <c r="T64" i="77"/>
  <c r="AO11" i="77"/>
  <c r="AV11" i="77"/>
  <c r="BB11" i="77" s="1"/>
  <c r="BJ64" i="77"/>
  <c r="BX23" i="77"/>
  <c r="CD23" i="77" s="1"/>
  <c r="BX64" i="77"/>
  <c r="CE11" i="77"/>
  <c r="CK11" i="77" s="1"/>
  <c r="G23" i="77"/>
  <c r="F64" i="77"/>
  <c r="U64" i="77"/>
  <c r="AI23" i="77"/>
  <c r="AL23" i="77" s="1"/>
  <c r="AI64" i="77"/>
  <c r="AW11" i="77"/>
  <c r="AZ11" i="77" s="1"/>
  <c r="BK64" i="77"/>
  <c r="BY23" i="77"/>
  <c r="CB23" i="77" s="1"/>
  <c r="BY64" i="77"/>
  <c r="CF11" i="77"/>
  <c r="CI11" i="77" s="1"/>
  <c r="M57" i="77"/>
  <c r="S57" i="77" s="1"/>
  <c r="AB57" i="77"/>
  <c r="AE57" i="77" s="1"/>
  <c r="BY36" i="77"/>
  <c r="CB36" i="77" s="1"/>
  <c r="N57" i="77"/>
  <c r="BQ45" i="77"/>
  <c r="AB45" i="77"/>
  <c r="T23" i="77"/>
  <c r="Z23" i="77" s="1"/>
  <c r="AH23" i="77"/>
  <c r="AN23" i="77" s="1"/>
  <c r="BQ11" i="77"/>
  <c r="BW11" i="77" s="1"/>
  <c r="AA36" i="77"/>
  <c r="AG36" i="77" s="1"/>
  <c r="AV17" i="77"/>
  <c r="AV57" i="77"/>
  <c r="BB57" i="77" s="1"/>
  <c r="BQ36" i="77"/>
  <c r="BW36" i="77" s="1"/>
  <c r="G17" i="77"/>
  <c r="U17" i="77"/>
  <c r="AB36" i="77"/>
  <c r="AI17" i="77"/>
  <c r="AL17" i="77" s="1"/>
  <c r="AI45" i="77"/>
  <c r="AI57" i="77"/>
  <c r="AP36" i="77"/>
  <c r="AS36" i="77" s="1"/>
  <c r="AW17" i="77"/>
  <c r="AZ17" i="77" s="1"/>
  <c r="AW57" i="77"/>
  <c r="AZ57" i="77" s="1"/>
  <c r="BK17" i="77"/>
  <c r="BR36" i="77"/>
  <c r="BU36" i="77" s="1"/>
  <c r="BY17" i="77"/>
  <c r="BY45" i="77"/>
  <c r="CB45" i="77" s="1"/>
  <c r="BY57" i="77"/>
  <c r="CF36" i="77"/>
  <c r="N64" i="77"/>
  <c r="Q64" i="77" s="1"/>
  <c r="G36" i="77"/>
  <c r="U36" i="77"/>
  <c r="AI36" i="77"/>
  <c r="AW36" i="77"/>
  <c r="BD17" i="77"/>
  <c r="BR17" i="77"/>
  <c r="BU17" i="77" s="1"/>
  <c r="N17" i="77"/>
  <c r="AA11" i="77"/>
  <c r="AG11" i="77" s="1"/>
  <c r="AH64" i="77"/>
  <c r="AN64" i="77" s="1"/>
  <c r="AV23" i="77"/>
  <c r="BB23" i="77" s="1"/>
  <c r="BJ23" i="77"/>
  <c r="BP23" i="77" s="1"/>
  <c r="G64" i="77"/>
  <c r="T17" i="77"/>
  <c r="Z17" i="77" s="1"/>
  <c r="AH17" i="77"/>
  <c r="AN17" i="77" s="1"/>
  <c r="AH57" i="77"/>
  <c r="AN57" i="77" s="1"/>
  <c r="AO36" i="77"/>
  <c r="BJ17" i="77"/>
  <c r="BP17" i="77" s="1"/>
  <c r="BX17" i="77"/>
  <c r="CD17" i="77" s="1"/>
  <c r="BX57" i="77"/>
  <c r="CD57" i="77" s="1"/>
  <c r="CE36" i="77"/>
  <c r="CK36" i="77" s="1"/>
  <c r="M36" i="77"/>
  <c r="S36" i="77" s="1"/>
  <c r="U45" i="77"/>
  <c r="N36" i="77"/>
  <c r="BC36" i="77"/>
  <c r="BI36" i="77" s="1"/>
  <c r="BX11" i="77"/>
  <c r="CD11" i="77" s="1"/>
  <c r="BY11" i="77"/>
  <c r="CB11" i="77" s="1"/>
  <c r="BR11" i="77"/>
  <c r="BJ11" i="77"/>
  <c r="BK11" i="77"/>
  <c r="BN11" i="77" s="1"/>
  <c r="BC11" i="77"/>
  <c r="BI11" i="77" s="1"/>
  <c r="AB11" i="77"/>
  <c r="AE11" i="77" s="1"/>
  <c r="T11" i="77"/>
  <c r="M11" i="77"/>
  <c r="S11" i="77" s="1"/>
  <c r="N11" i="77"/>
  <c r="Q11" i="77" s="1"/>
  <c r="G11" i="77"/>
  <c r="F23" i="77"/>
  <c r="F17" i="77"/>
  <c r="F11" i="77"/>
  <c r="A11" i="77"/>
  <c r="A11" i="76" s="1"/>
  <c r="A23" i="76"/>
  <c r="A36" i="77"/>
  <c r="A42" i="77"/>
  <c r="A42" i="76" s="1"/>
  <c r="A51" i="77"/>
  <c r="A57" i="77"/>
  <c r="AC62" i="74"/>
  <c r="AB62" i="74"/>
  <c r="Z62" i="74"/>
  <c r="AA62" i="74"/>
  <c r="Y62" i="74"/>
  <c r="X62" i="74"/>
  <c r="W62" i="74"/>
  <c r="V62" i="74"/>
  <c r="U62" i="74"/>
  <c r="T62" i="74"/>
  <c r="S62" i="74"/>
  <c r="R62" i="74"/>
  <c r="Q62" i="74"/>
  <c r="P62" i="74"/>
  <c r="O62" i="74"/>
  <c r="N62" i="74"/>
  <c r="M62" i="74"/>
  <c r="L62" i="74"/>
  <c r="K62" i="74"/>
  <c r="J62" i="74"/>
  <c r="I62" i="74"/>
  <c r="H62" i="74"/>
  <c r="G62" i="74"/>
  <c r="F62" i="74"/>
  <c r="AC55" i="74"/>
  <c r="AB55" i="74"/>
  <c r="AA55" i="74"/>
  <c r="Z55" i="74"/>
  <c r="Y55" i="74"/>
  <c r="X55" i="74"/>
  <c r="W55" i="74"/>
  <c r="V55" i="74"/>
  <c r="U55" i="74"/>
  <c r="T55" i="74"/>
  <c r="S55" i="74"/>
  <c r="R55" i="74"/>
  <c r="Q55" i="74"/>
  <c r="P55" i="74"/>
  <c r="O55" i="74"/>
  <c r="N55" i="74"/>
  <c r="M55" i="74"/>
  <c r="L55" i="74"/>
  <c r="K55" i="74"/>
  <c r="J55" i="74"/>
  <c r="I55" i="74"/>
  <c r="H55" i="74"/>
  <c r="G55" i="74"/>
  <c r="F55" i="74"/>
  <c r="AC43" i="74"/>
  <c r="AB43" i="74"/>
  <c r="AA43" i="74"/>
  <c r="Z43" i="74"/>
  <c r="Y43" i="74"/>
  <c r="X43" i="74"/>
  <c r="W43" i="74"/>
  <c r="V43" i="74"/>
  <c r="U43" i="74"/>
  <c r="T43" i="74"/>
  <c r="S43" i="74"/>
  <c r="R43" i="74"/>
  <c r="Q43" i="74"/>
  <c r="P43" i="74"/>
  <c r="O43" i="74"/>
  <c r="N43" i="74"/>
  <c r="M43" i="74"/>
  <c r="L43" i="74"/>
  <c r="K43" i="74"/>
  <c r="J43" i="74"/>
  <c r="I43" i="74"/>
  <c r="H43" i="74"/>
  <c r="F43" i="74"/>
  <c r="G43" i="74"/>
  <c r="G40" i="74"/>
  <c r="AC34" i="74"/>
  <c r="AB34" i="74"/>
  <c r="AA34" i="74"/>
  <c r="Z34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G34" i="74"/>
  <c r="F34" i="74"/>
  <c r="G15" i="74"/>
  <c r="G21" i="74"/>
  <c r="F21" i="74"/>
  <c r="F15" i="74"/>
  <c r="AC21" i="74"/>
  <c r="AB21" i="74"/>
  <c r="AA21" i="74"/>
  <c r="Z21" i="74"/>
  <c r="Y21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AC15" i="74"/>
  <c r="AB15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AC9" i="74"/>
  <c r="AB9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A16" i="74"/>
  <c r="A18" i="77" s="1"/>
  <c r="A18" i="76" s="1"/>
  <c r="A11" i="74"/>
  <c r="A13" i="77" s="1"/>
  <c r="A13" i="76" s="1"/>
  <c r="A5" i="74"/>
  <c r="A7" i="77" s="1"/>
  <c r="A7" i="76" s="1"/>
  <c r="A12" i="74"/>
  <c r="A14" i="77" s="1"/>
  <c r="A14" i="76" s="1"/>
  <c r="A17" i="74"/>
  <c r="A19" i="77" s="1"/>
  <c r="A19" i="76" s="1"/>
  <c r="A18" i="74"/>
  <c r="A20" i="77" s="1"/>
  <c r="A20" i="76" s="1"/>
  <c r="A19" i="74"/>
  <c r="A21" i="77" s="1"/>
  <c r="A21" i="76" s="1"/>
  <c r="A6" i="74"/>
  <c r="A8" i="77" s="1"/>
  <c r="A8" i="76" s="1"/>
  <c r="A10" i="74"/>
  <c r="A12" i="77" s="1"/>
  <c r="A12" i="76" s="1"/>
  <c r="A23" i="74"/>
  <c r="A25" i="77" s="1"/>
  <c r="A25" i="76" s="1"/>
  <c r="A24" i="74"/>
  <c r="A26" i="77" s="1"/>
  <c r="A26" i="76" s="1"/>
  <c r="A30" i="74"/>
  <c r="A32" i="77" s="1"/>
  <c r="A32" i="76" s="1"/>
  <c r="A25" i="74"/>
  <c r="A27" i="77" s="1"/>
  <c r="A27" i="76" s="1"/>
  <c r="A26" i="74"/>
  <c r="A28" i="77" s="1"/>
  <c r="A28" i="76" s="1"/>
  <c r="A31" i="74"/>
  <c r="A33" i="77" s="1"/>
  <c r="A33" i="76" s="1"/>
  <c r="A32" i="74"/>
  <c r="A34" i="77" s="1"/>
  <c r="A34" i="76" s="1"/>
  <c r="A27" i="74"/>
  <c r="A29" i="77" s="1"/>
  <c r="A29" i="76" s="1"/>
  <c r="A33" i="74"/>
  <c r="A35" i="77" s="1"/>
  <c r="A35" i="76" s="1"/>
  <c r="A35" i="74"/>
  <c r="A37" i="77" s="1"/>
  <c r="A37" i="76" s="1"/>
  <c r="A7" i="74"/>
  <c r="A9" i="77" s="1"/>
  <c r="A9" i="76" s="1"/>
  <c r="A13" i="74"/>
  <c r="A15" i="77" s="1"/>
  <c r="A15" i="76" s="1"/>
  <c r="A14" i="74"/>
  <c r="A16" i="77" s="1"/>
  <c r="A16" i="76" s="1"/>
  <c r="A8" i="74"/>
  <c r="A10" i="77" s="1"/>
  <c r="A10" i="76" s="1"/>
  <c r="A41" i="74"/>
  <c r="A43" i="77" s="1"/>
  <c r="A43" i="76" s="1"/>
  <c r="A42" i="74"/>
  <c r="A44" i="77" s="1"/>
  <c r="A44" i="76" s="1"/>
  <c r="A37" i="74"/>
  <c r="A39" i="77" s="1"/>
  <c r="A39" i="76" s="1"/>
  <c r="A38" i="74"/>
  <c r="A40" i="77" s="1"/>
  <c r="A40" i="76" s="1"/>
  <c r="A50" i="74"/>
  <c r="A52" i="77" s="1"/>
  <c r="A52" i="76" s="1"/>
  <c r="A39" i="74"/>
  <c r="A41" i="77" s="1"/>
  <c r="A41" i="76" s="1"/>
  <c r="A44" i="74"/>
  <c r="A46" i="77" s="1"/>
  <c r="A46" i="76" s="1"/>
  <c r="A45" i="74"/>
  <c r="A47" i="77" s="1"/>
  <c r="A47" i="76" s="1"/>
  <c r="A46" i="74"/>
  <c r="A48" i="77" s="1"/>
  <c r="A48" i="76" s="1"/>
  <c r="A51" i="74"/>
  <c r="A53" i="77" s="1"/>
  <c r="A53" i="76" s="1"/>
  <c r="A52" i="74"/>
  <c r="A54" i="77" s="1"/>
  <c r="A54" i="76" s="1"/>
  <c r="A47" i="74"/>
  <c r="A49" i="77" s="1"/>
  <c r="A49" i="76" s="1"/>
  <c r="A20" i="74"/>
  <c r="A22" i="77" s="1"/>
  <c r="A22" i="76" s="1"/>
  <c r="A56" i="74"/>
  <c r="A58" i="77" s="1"/>
  <c r="A58" i="76" s="1"/>
  <c r="A57" i="74"/>
  <c r="A59" i="77" s="1"/>
  <c r="A59" i="76" s="1"/>
  <c r="A58" i="74"/>
  <c r="A60" i="77" s="1"/>
  <c r="A60" i="76" s="1"/>
  <c r="A53" i="74"/>
  <c r="A55" i="77" s="1"/>
  <c r="A55" i="76" s="1"/>
  <c r="A59" i="74"/>
  <c r="A61" i="77" s="1"/>
  <c r="A61" i="76" s="1"/>
  <c r="A54" i="74"/>
  <c r="A56" i="77" s="1"/>
  <c r="A56" i="76" s="1"/>
  <c r="A60" i="74"/>
  <c r="A62" i="77" s="1"/>
  <c r="A62" i="76" s="1"/>
  <c r="A61" i="74"/>
  <c r="A63" i="77" s="1"/>
  <c r="A63" i="76" s="1"/>
  <c r="A29" i="74"/>
  <c r="A31" i="77" s="1"/>
  <c r="A31" i="76" s="1"/>
  <c r="CG30" i="77" l="1"/>
  <c r="BE30" i="77"/>
  <c r="AC30" i="77"/>
  <c r="V30" i="77"/>
  <c r="X30" i="77"/>
  <c r="BZ30" i="77"/>
  <c r="CB30" i="77"/>
  <c r="BL30" i="77"/>
  <c r="BN30" i="77"/>
  <c r="O30" i="77"/>
  <c r="Q30" i="77"/>
  <c r="AX30" i="77"/>
  <c r="AZ30" i="77"/>
  <c r="AJ30" i="77"/>
  <c r="AL30" i="77"/>
  <c r="AQ30" i="77"/>
  <c r="BS30" i="77"/>
  <c r="BE51" i="77"/>
  <c r="A37" i="79"/>
  <c r="A37" i="88"/>
  <c r="A28" i="79"/>
  <c r="A28" i="88"/>
  <c r="A58" i="79"/>
  <c r="A58" i="88"/>
  <c r="A44" i="79"/>
  <c r="A44" i="88"/>
  <c r="A27" i="79"/>
  <c r="A27" i="88"/>
  <c r="A18" i="79"/>
  <c r="A18" i="88"/>
  <c r="A47" i="79"/>
  <c r="A47" i="88"/>
  <c r="A39" i="79"/>
  <c r="A39" i="88"/>
  <c r="A43" i="79"/>
  <c r="A43" i="88"/>
  <c r="A32" i="79"/>
  <c r="A32" i="88"/>
  <c r="A62" i="79"/>
  <c r="A62" i="88"/>
  <c r="A13" i="79"/>
  <c r="A13" i="88"/>
  <c r="A49" i="79"/>
  <c r="A49" i="88"/>
  <c r="A10" i="79"/>
  <c r="A10" i="88"/>
  <c r="A26" i="79"/>
  <c r="A26" i="88"/>
  <c r="A56" i="79"/>
  <c r="A56" i="88"/>
  <c r="A22" i="79"/>
  <c r="A22" i="88"/>
  <c r="A54" i="79"/>
  <c r="A54" i="88"/>
  <c r="A16" i="79"/>
  <c r="A16" i="88"/>
  <c r="A25" i="79"/>
  <c r="A25" i="88"/>
  <c r="A48" i="79"/>
  <c r="A48" i="88"/>
  <c r="A59" i="79"/>
  <c r="A59" i="88"/>
  <c r="A31" i="79"/>
  <c r="A31" i="88"/>
  <c r="A53" i="79"/>
  <c r="A53" i="88"/>
  <c r="A15" i="79"/>
  <c r="A15" i="88"/>
  <c r="A12" i="79"/>
  <c r="A12" i="88"/>
  <c r="A23" i="79"/>
  <c r="A23" i="88"/>
  <c r="A9" i="79"/>
  <c r="A9" i="88"/>
  <c r="A20" i="79"/>
  <c r="A20" i="88"/>
  <c r="A61" i="79"/>
  <c r="A61" i="88"/>
  <c r="A41" i="79"/>
  <c r="A41" i="88"/>
  <c r="A29" i="79"/>
  <c r="A29" i="88"/>
  <c r="A19" i="79"/>
  <c r="A19" i="88"/>
  <c r="A11" i="79"/>
  <c r="A11" i="88"/>
  <c r="A63" i="79"/>
  <c r="A63" i="88"/>
  <c r="A21" i="79"/>
  <c r="A21" i="88"/>
  <c r="A35" i="79"/>
  <c r="A35" i="88"/>
  <c r="A55" i="79"/>
  <c r="A55" i="88"/>
  <c r="A52" i="79"/>
  <c r="A52" i="88"/>
  <c r="A34" i="79"/>
  <c r="A34" i="88"/>
  <c r="A14" i="79"/>
  <c r="A14" i="88"/>
  <c r="A8" i="79"/>
  <c r="A8" i="88"/>
  <c r="A46" i="79"/>
  <c r="A46" i="88"/>
  <c r="A60" i="79"/>
  <c r="A60" i="88"/>
  <c r="A40" i="79"/>
  <c r="A40" i="88"/>
  <c r="A33" i="79"/>
  <c r="A33" i="88"/>
  <c r="A7" i="79"/>
  <c r="A7" i="88"/>
  <c r="P12" i="82"/>
  <c r="G64" i="74"/>
  <c r="BS51" i="77"/>
  <c r="AQ51" i="77"/>
  <c r="AX51" i="77"/>
  <c r="AC17" i="77"/>
  <c r="BG51" i="77"/>
  <c r="BU51" i="77"/>
  <c r="AC51" i="77"/>
  <c r="AQ45" i="77"/>
  <c r="CG51" i="77"/>
  <c r="AJ51" i="77"/>
  <c r="CG23" i="77"/>
  <c r="V51" i="77"/>
  <c r="BZ51" i="77"/>
  <c r="AL51" i="77"/>
  <c r="BN51" i="77"/>
  <c r="BL51" i="77"/>
  <c r="O45" i="77"/>
  <c r="O51" i="77"/>
  <c r="Q51" i="77"/>
  <c r="S45" i="77"/>
  <c r="BS45" i="77"/>
  <c r="BE45" i="77"/>
  <c r="AQ11" i="77"/>
  <c r="CG45" i="77"/>
  <c r="BE23" i="77"/>
  <c r="BG45" i="77"/>
  <c r="AX23" i="77"/>
  <c r="O36" i="77"/>
  <c r="V45" i="77"/>
  <c r="BS23" i="77"/>
  <c r="F64" i="74"/>
  <c r="AX45" i="77"/>
  <c r="CG36" i="77"/>
  <c r="AC45" i="77"/>
  <c r="AQ36" i="77"/>
  <c r="BG23" i="77"/>
  <c r="BL45" i="77"/>
  <c r="AE17" i="77"/>
  <c r="BZ45" i="77"/>
  <c r="BN45" i="77"/>
  <c r="AQ17" i="77"/>
  <c r="AQ23" i="77"/>
  <c r="V36" i="77"/>
  <c r="AJ45" i="77"/>
  <c r="CG64" i="77"/>
  <c r="BL36" i="77"/>
  <c r="CI23" i="77"/>
  <c r="BU23" i="77"/>
  <c r="BS36" i="77"/>
  <c r="BE64" i="77"/>
  <c r="AC64" i="77"/>
  <c r="CG17" i="77"/>
  <c r="BE36" i="77"/>
  <c r="BZ11" i="77"/>
  <c r="BS11" i="77"/>
  <c r="BS64" i="77"/>
  <c r="X36" i="77"/>
  <c r="BE17" i="77"/>
  <c r="CI64" i="77"/>
  <c r="AX36" i="77"/>
  <c r="BL17" i="77"/>
  <c r="AX17" i="77"/>
  <c r="AC11" i="77"/>
  <c r="AJ36" i="77"/>
  <c r="AL45" i="77"/>
  <c r="AC23" i="77"/>
  <c r="AQ57" i="77"/>
  <c r="V57" i="77"/>
  <c r="BZ36" i="77"/>
  <c r="O23" i="77"/>
  <c r="AQ64" i="77"/>
  <c r="AX57" i="77"/>
  <c r="AX64" i="77"/>
  <c r="BB17" i="77"/>
  <c r="BN17" i="77"/>
  <c r="BE11" i="77"/>
  <c r="CB64" i="77"/>
  <c r="BZ57" i="77"/>
  <c r="BN64" i="77"/>
  <c r="CD64" i="77"/>
  <c r="BB64" i="77"/>
  <c r="AE64" i="77"/>
  <c r="BN36" i="77"/>
  <c r="CG11" i="77"/>
  <c r="BS57" i="77"/>
  <c r="BI64" i="77"/>
  <c r="CG57" i="77"/>
  <c r="BZ17" i="77"/>
  <c r="BE57" i="77"/>
  <c r="BW64" i="77"/>
  <c r="BG64" i="77"/>
  <c r="CK64" i="77"/>
  <c r="AJ64" i="77"/>
  <c r="Z64" i="77"/>
  <c r="AJ11" i="77"/>
  <c r="AJ57" i="77"/>
  <c r="F66" i="77"/>
  <c r="AL57" i="77"/>
  <c r="AE23" i="77"/>
  <c r="AC36" i="77"/>
  <c r="X57" i="77"/>
  <c r="AL64" i="77"/>
  <c r="AU36" i="77"/>
  <c r="G66" i="77"/>
  <c r="V17" i="77"/>
  <c r="X17" i="77"/>
  <c r="O17" i="77"/>
  <c r="X64" i="77"/>
  <c r="AU11" i="77"/>
  <c r="S64" i="77"/>
  <c r="AC57" i="77"/>
  <c r="V23" i="77"/>
  <c r="V64" i="77"/>
  <c r="AL36" i="77"/>
  <c r="O57" i="77"/>
  <c r="Q17" i="77"/>
  <c r="AE36" i="77"/>
  <c r="AU45" i="77"/>
  <c r="AX11" i="77"/>
  <c r="BS17" i="77"/>
  <c r="CB17" i="77"/>
  <c r="AJ23" i="77"/>
  <c r="BW45" i="77"/>
  <c r="AJ17" i="77"/>
  <c r="AZ36" i="77"/>
  <c r="CB57" i="77"/>
  <c r="AS64" i="77"/>
  <c r="BL64" i="77"/>
  <c r="Q57" i="77"/>
  <c r="AE45" i="77"/>
  <c r="BG17" i="77"/>
  <c r="BL57" i="77"/>
  <c r="BU57" i="77"/>
  <c r="BZ23" i="77"/>
  <c r="O11" i="77"/>
  <c r="Q36" i="77"/>
  <c r="X45" i="77"/>
  <c r="BG57" i="77"/>
  <c r="BP64" i="77"/>
  <c r="BZ64" i="77"/>
  <c r="O64" i="77"/>
  <c r="BL23" i="77"/>
  <c r="CI36" i="77"/>
  <c r="BU11" i="77"/>
  <c r="BL11" i="77"/>
  <c r="BP11" i="77"/>
  <c r="Z11" i="77"/>
  <c r="J11" i="77"/>
  <c r="H11" i="77"/>
  <c r="L11" i="77"/>
  <c r="CX17" i="77"/>
  <c r="DE17" i="77"/>
  <c r="DL17" i="77"/>
  <c r="DL11" i="77"/>
  <c r="DE11" i="77"/>
  <c r="AM49" i="74"/>
  <c r="AN49" i="74"/>
  <c r="AG49" i="74"/>
  <c r="AH49" i="74"/>
  <c r="AJ49" i="74"/>
  <c r="AK49" i="74"/>
  <c r="AN15" i="74"/>
  <c r="AM15" i="74"/>
  <c r="AM9" i="74"/>
  <c r="AD15" i="74"/>
  <c r="AE15" i="74"/>
  <c r="AG15" i="74"/>
  <c r="AH15" i="74"/>
  <c r="AJ15" i="74"/>
  <c r="AK15" i="74"/>
  <c r="AN9" i="74"/>
  <c r="AD9" i="74"/>
  <c r="AE9" i="74"/>
  <c r="AG9" i="74"/>
  <c r="AH9" i="74"/>
  <c r="AJ9" i="74"/>
  <c r="AK9" i="74"/>
  <c r="AI49" i="74" l="1"/>
  <c r="AL49" i="74"/>
  <c r="AO49" i="74"/>
  <c r="AO9" i="74"/>
  <c r="AO15" i="74"/>
  <c r="AF15" i="74"/>
  <c r="AI15" i="74"/>
  <c r="AL15" i="74"/>
  <c r="AL9" i="74"/>
  <c r="AF9" i="74"/>
  <c r="AI9" i="74"/>
  <c r="R42" i="77" l="1"/>
  <c r="R66" i="77" s="1"/>
  <c r="I40" i="74" l="1"/>
  <c r="I64" i="74" s="1"/>
  <c r="I66" i="70" l="1"/>
  <c r="I53" i="70"/>
  <c r="I59" i="70" s="1"/>
  <c r="I46" i="70"/>
  <c r="I35" i="70"/>
  <c r="I21" i="70"/>
  <c r="I9" i="70"/>
  <c r="I15" i="70" s="1"/>
  <c r="I29" i="70" l="1"/>
  <c r="I42" i="70" l="1"/>
  <c r="I68" i="70" s="1"/>
  <c r="AN68" i="78"/>
  <c r="AM68" i="78"/>
  <c r="AK68" i="78"/>
  <c r="AJ68" i="78"/>
  <c r="AH68" i="78"/>
  <c r="AG68" i="78"/>
  <c r="AE68" i="78"/>
  <c r="AD68" i="78"/>
  <c r="AB68" i="78"/>
  <c r="AA68" i="78"/>
  <c r="AC68" i="78" s="1"/>
  <c r="Y68" i="78"/>
  <c r="X68" i="78"/>
  <c r="V68" i="78"/>
  <c r="U68" i="78"/>
  <c r="S68" i="78"/>
  <c r="R68" i="78"/>
  <c r="P68" i="78"/>
  <c r="O68" i="78"/>
  <c r="Q68" i="78" s="1"/>
  <c r="M68" i="78"/>
  <c r="L68" i="78"/>
  <c r="J68" i="78"/>
  <c r="I68" i="78"/>
  <c r="F68" i="78"/>
  <c r="AN61" i="78"/>
  <c r="AM61" i="78"/>
  <c r="AK61" i="78"/>
  <c r="AJ61" i="78"/>
  <c r="AL61" i="78" s="1"/>
  <c r="AH61" i="78"/>
  <c r="AG61" i="78"/>
  <c r="AE61" i="78"/>
  <c r="AD61" i="78"/>
  <c r="AB61" i="78"/>
  <c r="AA61" i="78"/>
  <c r="Y61" i="78"/>
  <c r="X61" i="78"/>
  <c r="V61" i="78"/>
  <c r="U61" i="78"/>
  <c r="S61" i="78"/>
  <c r="R61" i="78"/>
  <c r="P61" i="78"/>
  <c r="O61" i="78"/>
  <c r="M61" i="78"/>
  <c r="L61" i="78"/>
  <c r="J61" i="78"/>
  <c r="I61" i="78"/>
  <c r="G61" i="78"/>
  <c r="F61" i="78"/>
  <c r="AN55" i="78"/>
  <c r="AM55" i="78"/>
  <c r="AK55" i="78"/>
  <c r="AJ55" i="78"/>
  <c r="AH55" i="78"/>
  <c r="AG55" i="78"/>
  <c r="AE55" i="78"/>
  <c r="AD55" i="78"/>
  <c r="AB55" i="78"/>
  <c r="AA55" i="78"/>
  <c r="Y55" i="78"/>
  <c r="X55" i="78"/>
  <c r="V55" i="78"/>
  <c r="U55" i="78"/>
  <c r="S55" i="78"/>
  <c r="R55" i="78"/>
  <c r="P55" i="78"/>
  <c r="O55" i="78"/>
  <c r="M55" i="78"/>
  <c r="L55" i="78"/>
  <c r="J55" i="78"/>
  <c r="I55" i="78"/>
  <c r="G55" i="78"/>
  <c r="F55" i="78"/>
  <c r="AN48" i="78"/>
  <c r="AM48" i="78"/>
  <c r="AK48" i="78"/>
  <c r="AJ48" i="78"/>
  <c r="AH48" i="78"/>
  <c r="AG48" i="78"/>
  <c r="AE48" i="78"/>
  <c r="AD48" i="78"/>
  <c r="AB48" i="78"/>
  <c r="AA48" i="78"/>
  <c r="Y48" i="78"/>
  <c r="X48" i="78"/>
  <c r="Z48" i="78" s="1"/>
  <c r="V48" i="78"/>
  <c r="U48" i="78"/>
  <c r="S48" i="78"/>
  <c r="R48" i="78"/>
  <c r="P48" i="78"/>
  <c r="O48" i="78"/>
  <c r="M48" i="78"/>
  <c r="L48" i="78"/>
  <c r="J48" i="78"/>
  <c r="I48" i="78"/>
  <c r="G48" i="78"/>
  <c r="F48" i="78"/>
  <c r="AN44" i="78"/>
  <c r="AM44" i="78"/>
  <c r="AK44" i="78"/>
  <c r="AJ44" i="78"/>
  <c r="AH44" i="78"/>
  <c r="AG44" i="78"/>
  <c r="AE44" i="78"/>
  <c r="AD44" i="78"/>
  <c r="AB44" i="78"/>
  <c r="AA44" i="78"/>
  <c r="Y44" i="78"/>
  <c r="X44" i="78"/>
  <c r="V44" i="78"/>
  <c r="U44" i="78"/>
  <c r="S44" i="78"/>
  <c r="R44" i="78"/>
  <c r="P44" i="78"/>
  <c r="O44" i="78"/>
  <c r="M44" i="78"/>
  <c r="L44" i="78"/>
  <c r="J44" i="78"/>
  <c r="I44" i="78"/>
  <c r="G44" i="78"/>
  <c r="F44" i="78"/>
  <c r="AN37" i="78"/>
  <c r="AM37" i="78"/>
  <c r="AK37" i="78"/>
  <c r="AJ37" i="78"/>
  <c r="AH37" i="78"/>
  <c r="AG37" i="78"/>
  <c r="AE37" i="78"/>
  <c r="AD37" i="78"/>
  <c r="AF37" i="78" s="1"/>
  <c r="AB37" i="78"/>
  <c r="AA37" i="78"/>
  <c r="Y37" i="78"/>
  <c r="X37" i="78"/>
  <c r="V37" i="78"/>
  <c r="U37" i="78"/>
  <c r="S37" i="78"/>
  <c r="R37" i="78"/>
  <c r="P37" i="78"/>
  <c r="O37" i="78"/>
  <c r="M37" i="78"/>
  <c r="L37" i="78"/>
  <c r="J37" i="78"/>
  <c r="I37" i="78"/>
  <c r="G37" i="78"/>
  <c r="F37" i="78"/>
  <c r="AN31" i="78"/>
  <c r="AM31" i="78"/>
  <c r="AK31" i="78"/>
  <c r="AJ31" i="78"/>
  <c r="AH31" i="78"/>
  <c r="AG31" i="78"/>
  <c r="AE31" i="78"/>
  <c r="AD31" i="78"/>
  <c r="AB31" i="78"/>
  <c r="AA31" i="78"/>
  <c r="AC31" i="78" s="1"/>
  <c r="Y31" i="78"/>
  <c r="X31" i="78"/>
  <c r="V31" i="78"/>
  <c r="U31" i="78"/>
  <c r="S31" i="78"/>
  <c r="R31" i="78"/>
  <c r="P31" i="78"/>
  <c r="O31" i="78"/>
  <c r="M31" i="78"/>
  <c r="L31" i="78"/>
  <c r="J31" i="78"/>
  <c r="I31" i="78"/>
  <c r="G31" i="78"/>
  <c r="F31" i="78"/>
  <c r="AN23" i="78"/>
  <c r="AM23" i="78"/>
  <c r="AK23" i="78"/>
  <c r="AJ23" i="78"/>
  <c r="AH23" i="78"/>
  <c r="AG23" i="78"/>
  <c r="AE23" i="78"/>
  <c r="AD23" i="78"/>
  <c r="AB23" i="78"/>
  <c r="AA23" i="78"/>
  <c r="Y23" i="78"/>
  <c r="X23" i="78"/>
  <c r="V23" i="78"/>
  <c r="U23" i="78"/>
  <c r="S23" i="78"/>
  <c r="R23" i="78"/>
  <c r="P23" i="78"/>
  <c r="O23" i="78"/>
  <c r="M23" i="78"/>
  <c r="L23" i="78"/>
  <c r="J23" i="78"/>
  <c r="I23" i="78"/>
  <c r="G23" i="78"/>
  <c r="F23" i="78"/>
  <c r="AN17" i="78"/>
  <c r="AM17" i="78"/>
  <c r="AO17" i="78" s="1"/>
  <c r="AK17" i="78"/>
  <c r="AJ17" i="78"/>
  <c r="AH17" i="78"/>
  <c r="AG17" i="78"/>
  <c r="AE17" i="78"/>
  <c r="AD17" i="78"/>
  <c r="AF17" i="78" s="1"/>
  <c r="AB17" i="78"/>
  <c r="AA17" i="78"/>
  <c r="AC17" i="78" s="1"/>
  <c r="Y17" i="78"/>
  <c r="X17" i="78"/>
  <c r="V17" i="78"/>
  <c r="U17" i="78"/>
  <c r="S17" i="78"/>
  <c r="R17" i="78"/>
  <c r="P17" i="78"/>
  <c r="O17" i="78"/>
  <c r="M17" i="78"/>
  <c r="L17" i="78"/>
  <c r="J17" i="78"/>
  <c r="I17" i="78"/>
  <c r="F17" i="78"/>
  <c r="AN11" i="78"/>
  <c r="AN70" i="78" s="1"/>
  <c r="AM11" i="78"/>
  <c r="AK11" i="78"/>
  <c r="AJ11" i="78"/>
  <c r="AH11" i="78"/>
  <c r="AG11" i="78"/>
  <c r="AE11" i="78"/>
  <c r="AD11" i="78"/>
  <c r="AB11" i="78"/>
  <c r="AA11" i="78"/>
  <c r="Y11" i="78"/>
  <c r="X11" i="78"/>
  <c r="V11" i="78"/>
  <c r="V70" i="78" s="1"/>
  <c r="U11" i="78"/>
  <c r="S11" i="78"/>
  <c r="R11" i="78"/>
  <c r="P11" i="78"/>
  <c r="O11" i="78"/>
  <c r="M11" i="78"/>
  <c r="L11" i="78"/>
  <c r="J11" i="78"/>
  <c r="I11" i="78"/>
  <c r="F11" i="78"/>
  <c r="G67" i="73"/>
  <c r="F67" i="73"/>
  <c r="G66" i="73"/>
  <c r="F66" i="73"/>
  <c r="G65" i="73"/>
  <c r="F65" i="73"/>
  <c r="G64" i="73"/>
  <c r="F64" i="73"/>
  <c r="G63" i="73"/>
  <c r="F63" i="73"/>
  <c r="G62" i="73"/>
  <c r="F62" i="73"/>
  <c r="G60" i="73"/>
  <c r="F60" i="73"/>
  <c r="G59" i="73"/>
  <c r="F59" i="73"/>
  <c r="G58" i="73"/>
  <c r="F58" i="73"/>
  <c r="G57" i="73"/>
  <c r="F57" i="73"/>
  <c r="G56" i="73"/>
  <c r="F56" i="73"/>
  <c r="G54" i="73"/>
  <c r="F54" i="73"/>
  <c r="G53" i="73"/>
  <c r="F53" i="73"/>
  <c r="G52" i="73"/>
  <c r="F52" i="73"/>
  <c r="G51" i="73"/>
  <c r="F51" i="73"/>
  <c r="G50" i="73"/>
  <c r="F50" i="73"/>
  <c r="G49" i="73"/>
  <c r="F49" i="73"/>
  <c r="G47" i="73"/>
  <c r="F47" i="73"/>
  <c r="G46" i="73"/>
  <c r="F46" i="73"/>
  <c r="G45" i="73"/>
  <c r="F45" i="73"/>
  <c r="G43" i="73"/>
  <c r="F43" i="73"/>
  <c r="G42" i="73"/>
  <c r="F42" i="73"/>
  <c r="G41" i="73"/>
  <c r="F41" i="73"/>
  <c r="G40" i="73"/>
  <c r="F40" i="73"/>
  <c r="G39" i="73"/>
  <c r="F39" i="73"/>
  <c r="G38" i="73"/>
  <c r="F38" i="73"/>
  <c r="G36" i="73"/>
  <c r="F36" i="73"/>
  <c r="G35" i="73"/>
  <c r="F35" i="73"/>
  <c r="G34" i="73"/>
  <c r="F34" i="73"/>
  <c r="G33" i="73"/>
  <c r="F33" i="73"/>
  <c r="G32" i="73"/>
  <c r="F32" i="73"/>
  <c r="G30" i="73"/>
  <c r="F30" i="73"/>
  <c r="G29" i="73"/>
  <c r="F29" i="73"/>
  <c r="G28" i="73"/>
  <c r="F28" i="73"/>
  <c r="G27" i="73"/>
  <c r="F27" i="73"/>
  <c r="G26" i="73"/>
  <c r="F26" i="73"/>
  <c r="G25" i="73"/>
  <c r="F25" i="73"/>
  <c r="G24" i="73"/>
  <c r="F24" i="73"/>
  <c r="G22" i="73"/>
  <c r="F22" i="73"/>
  <c r="G21" i="73"/>
  <c r="F21" i="73"/>
  <c r="G20" i="73"/>
  <c r="F20" i="73"/>
  <c r="G19" i="73"/>
  <c r="F19" i="73"/>
  <c r="G18" i="73"/>
  <c r="F18" i="73"/>
  <c r="G16" i="73"/>
  <c r="F16" i="73"/>
  <c r="G15" i="73"/>
  <c r="F15" i="73"/>
  <c r="G14" i="73"/>
  <c r="F14" i="73"/>
  <c r="G13" i="73"/>
  <c r="F13" i="73"/>
  <c r="G12" i="73"/>
  <c r="F12" i="73"/>
  <c r="G10" i="73"/>
  <c r="F10" i="73"/>
  <c r="G9" i="73"/>
  <c r="F9" i="73"/>
  <c r="G8" i="73"/>
  <c r="F8" i="73"/>
  <c r="M67" i="73"/>
  <c r="L67" i="73"/>
  <c r="M66" i="73"/>
  <c r="L66" i="73"/>
  <c r="M65" i="73"/>
  <c r="L65" i="73"/>
  <c r="M64" i="73"/>
  <c r="L64" i="73"/>
  <c r="M63" i="73"/>
  <c r="L63" i="73"/>
  <c r="M62" i="73"/>
  <c r="L62" i="73"/>
  <c r="M60" i="73"/>
  <c r="L60" i="73"/>
  <c r="M59" i="73"/>
  <c r="L59" i="73"/>
  <c r="M58" i="73"/>
  <c r="L58" i="73"/>
  <c r="M57" i="73"/>
  <c r="L57" i="73"/>
  <c r="M56" i="73"/>
  <c r="O56" i="73" s="1"/>
  <c r="L56" i="73"/>
  <c r="M54" i="73"/>
  <c r="L54" i="73"/>
  <c r="M53" i="73"/>
  <c r="L53" i="73"/>
  <c r="M52" i="73"/>
  <c r="L52" i="73"/>
  <c r="M51" i="73"/>
  <c r="L51" i="73"/>
  <c r="M50" i="73"/>
  <c r="L50" i="73"/>
  <c r="M49" i="73"/>
  <c r="L49" i="73"/>
  <c r="M47" i="73"/>
  <c r="L47" i="73"/>
  <c r="M46" i="73"/>
  <c r="L46" i="73"/>
  <c r="M45" i="73"/>
  <c r="L45" i="73"/>
  <c r="M43" i="73"/>
  <c r="L43" i="73"/>
  <c r="M42" i="73"/>
  <c r="L42" i="73"/>
  <c r="M41" i="73"/>
  <c r="L41" i="73"/>
  <c r="M40" i="73"/>
  <c r="L40" i="73"/>
  <c r="M39" i="73"/>
  <c r="L39" i="73"/>
  <c r="M38" i="73"/>
  <c r="L38" i="73"/>
  <c r="M36" i="73"/>
  <c r="L36" i="73"/>
  <c r="M35" i="73"/>
  <c r="L35" i="73"/>
  <c r="M34" i="73"/>
  <c r="L34" i="73"/>
  <c r="M33" i="73"/>
  <c r="L33" i="73"/>
  <c r="M32" i="73"/>
  <c r="L32" i="73"/>
  <c r="M30" i="73"/>
  <c r="L30" i="73"/>
  <c r="M29" i="73"/>
  <c r="L29" i="73"/>
  <c r="M28" i="73"/>
  <c r="L28" i="73"/>
  <c r="M27" i="73"/>
  <c r="L27" i="73"/>
  <c r="M26" i="73"/>
  <c r="L26" i="73"/>
  <c r="M25" i="73"/>
  <c r="L25" i="73"/>
  <c r="M24" i="73"/>
  <c r="L24" i="73"/>
  <c r="M22" i="73"/>
  <c r="L22" i="73"/>
  <c r="M21" i="73"/>
  <c r="L21" i="73"/>
  <c r="M20" i="73"/>
  <c r="L20" i="73"/>
  <c r="M19" i="73"/>
  <c r="L19" i="73"/>
  <c r="M18" i="73"/>
  <c r="L18" i="73"/>
  <c r="M16" i="73"/>
  <c r="L16" i="73"/>
  <c r="M15" i="73"/>
  <c r="L15" i="73"/>
  <c r="M14" i="73"/>
  <c r="L14" i="73"/>
  <c r="M13" i="73"/>
  <c r="L13" i="73"/>
  <c r="M12" i="73"/>
  <c r="L12" i="73"/>
  <c r="M10" i="73"/>
  <c r="L10" i="73"/>
  <c r="M9" i="73"/>
  <c r="L9" i="73"/>
  <c r="M8" i="73"/>
  <c r="L8" i="73"/>
  <c r="S67" i="73"/>
  <c r="R67" i="73"/>
  <c r="S66" i="73"/>
  <c r="R66" i="73"/>
  <c r="S65" i="73"/>
  <c r="R65" i="73"/>
  <c r="S64" i="73"/>
  <c r="R64" i="73"/>
  <c r="S63" i="73"/>
  <c r="R63" i="73"/>
  <c r="S62" i="73"/>
  <c r="R62" i="73"/>
  <c r="S60" i="73"/>
  <c r="R60" i="73"/>
  <c r="S59" i="73"/>
  <c r="R59" i="73"/>
  <c r="S58" i="73"/>
  <c r="R58" i="73"/>
  <c r="S57" i="73"/>
  <c r="R57" i="73"/>
  <c r="S56" i="73"/>
  <c r="R56" i="73"/>
  <c r="S54" i="73"/>
  <c r="R54" i="73"/>
  <c r="S53" i="73"/>
  <c r="R53" i="73"/>
  <c r="S52" i="73"/>
  <c r="R52" i="73"/>
  <c r="S51" i="73"/>
  <c r="R51" i="73"/>
  <c r="S50" i="73"/>
  <c r="R50" i="73"/>
  <c r="S49" i="73"/>
  <c r="R49" i="73"/>
  <c r="S47" i="73"/>
  <c r="R47" i="73"/>
  <c r="S46" i="73"/>
  <c r="R46" i="73"/>
  <c r="S45" i="73"/>
  <c r="R45" i="73"/>
  <c r="S43" i="73"/>
  <c r="R43" i="73"/>
  <c r="S42" i="73"/>
  <c r="R42" i="73"/>
  <c r="S41" i="73"/>
  <c r="R41" i="73"/>
  <c r="S40" i="73"/>
  <c r="R40" i="73"/>
  <c r="S39" i="73"/>
  <c r="R39" i="73"/>
  <c r="S38" i="73"/>
  <c r="R38" i="73"/>
  <c r="S36" i="73"/>
  <c r="R36" i="73"/>
  <c r="S35" i="73"/>
  <c r="R35" i="73"/>
  <c r="S34" i="73"/>
  <c r="R34" i="73"/>
  <c r="S33" i="73"/>
  <c r="R33" i="73"/>
  <c r="S32" i="73"/>
  <c r="R32" i="73"/>
  <c r="S30" i="73"/>
  <c r="R30" i="73"/>
  <c r="S29" i="73"/>
  <c r="R29" i="73"/>
  <c r="S28" i="73"/>
  <c r="R28" i="73"/>
  <c r="S27" i="73"/>
  <c r="R27" i="73"/>
  <c r="S26" i="73"/>
  <c r="R26" i="73"/>
  <c r="S25" i="73"/>
  <c r="R25" i="73"/>
  <c r="S24" i="73"/>
  <c r="R24" i="73"/>
  <c r="S22" i="73"/>
  <c r="R22" i="73"/>
  <c r="S21" i="73"/>
  <c r="R21" i="73"/>
  <c r="S20" i="73"/>
  <c r="R20" i="73"/>
  <c r="S19" i="73"/>
  <c r="R19" i="73"/>
  <c r="S18" i="73"/>
  <c r="R18" i="73"/>
  <c r="S16" i="73"/>
  <c r="R16" i="73"/>
  <c r="S15" i="73"/>
  <c r="R15" i="73"/>
  <c r="S14" i="73"/>
  <c r="R14" i="73"/>
  <c r="S13" i="73"/>
  <c r="R13" i="73"/>
  <c r="S12" i="73"/>
  <c r="R12" i="73"/>
  <c r="S10" i="73"/>
  <c r="R10" i="73"/>
  <c r="S9" i="73"/>
  <c r="R9" i="73"/>
  <c r="S8" i="73"/>
  <c r="R8" i="73"/>
  <c r="Y67" i="73"/>
  <c r="X67" i="73"/>
  <c r="Y66" i="73"/>
  <c r="X66" i="73"/>
  <c r="Y65" i="73"/>
  <c r="X65" i="73"/>
  <c r="Y64" i="73"/>
  <c r="X64" i="73"/>
  <c r="Y63" i="73"/>
  <c r="X63" i="73"/>
  <c r="Y62" i="73"/>
  <c r="X62" i="73"/>
  <c r="Y60" i="73"/>
  <c r="X60" i="73"/>
  <c r="Y59" i="73"/>
  <c r="X59" i="73"/>
  <c r="Y58" i="73"/>
  <c r="X58" i="73"/>
  <c r="Y57" i="73"/>
  <c r="X57" i="73"/>
  <c r="Y56" i="73"/>
  <c r="X56" i="73"/>
  <c r="Y54" i="73"/>
  <c r="X54" i="73"/>
  <c r="Y53" i="73"/>
  <c r="X53" i="73"/>
  <c r="Y52" i="73"/>
  <c r="X52" i="73"/>
  <c r="Y51" i="73"/>
  <c r="X51" i="73"/>
  <c r="Y50" i="73"/>
  <c r="X50" i="73"/>
  <c r="Y49" i="73"/>
  <c r="X49" i="73"/>
  <c r="Y47" i="73"/>
  <c r="X47" i="73"/>
  <c r="Y46" i="73"/>
  <c r="X46" i="73"/>
  <c r="Y45" i="73"/>
  <c r="X45" i="73"/>
  <c r="Y43" i="73"/>
  <c r="X43" i="73"/>
  <c r="Y42" i="73"/>
  <c r="X42" i="73"/>
  <c r="Y41" i="73"/>
  <c r="X41" i="73"/>
  <c r="Y40" i="73"/>
  <c r="X40" i="73"/>
  <c r="Y39" i="73"/>
  <c r="X39" i="73"/>
  <c r="Y38" i="73"/>
  <c r="X38" i="73"/>
  <c r="Y36" i="73"/>
  <c r="X36" i="73"/>
  <c r="Y35" i="73"/>
  <c r="X35" i="73"/>
  <c r="Y34" i="73"/>
  <c r="X34" i="73"/>
  <c r="Y33" i="73"/>
  <c r="X33" i="73"/>
  <c r="Y32" i="73"/>
  <c r="X32" i="73"/>
  <c r="Y30" i="73"/>
  <c r="X30" i="73"/>
  <c r="Y29" i="73"/>
  <c r="X29" i="73"/>
  <c r="Y28" i="73"/>
  <c r="X28" i="73"/>
  <c r="Y27" i="73"/>
  <c r="X27" i="73"/>
  <c r="Y26" i="73"/>
  <c r="X26" i="73"/>
  <c r="Y25" i="73"/>
  <c r="X25" i="73"/>
  <c r="Y24" i="73"/>
  <c r="X24" i="73"/>
  <c r="Y22" i="73"/>
  <c r="X22" i="73"/>
  <c r="Y21" i="73"/>
  <c r="X21" i="73"/>
  <c r="Y20" i="73"/>
  <c r="X20" i="73"/>
  <c r="Y19" i="73"/>
  <c r="X19" i="73"/>
  <c r="Y18" i="73"/>
  <c r="X18" i="73"/>
  <c r="Y16" i="73"/>
  <c r="X16" i="73"/>
  <c r="Y15" i="73"/>
  <c r="X15" i="73"/>
  <c r="Y14" i="73"/>
  <c r="X14" i="73"/>
  <c r="Y13" i="73"/>
  <c r="X13" i="73"/>
  <c r="Y12" i="73"/>
  <c r="X12" i="73"/>
  <c r="Y10" i="73"/>
  <c r="X10" i="73"/>
  <c r="Y9" i="73"/>
  <c r="X9" i="73"/>
  <c r="Y8" i="73"/>
  <c r="X8" i="73"/>
  <c r="AE67" i="73"/>
  <c r="AD67" i="73"/>
  <c r="AE66" i="73"/>
  <c r="AD66" i="73"/>
  <c r="AE65" i="73"/>
  <c r="AD65" i="73"/>
  <c r="AE64" i="73"/>
  <c r="AD64" i="73"/>
  <c r="AE63" i="73"/>
  <c r="AD63" i="73"/>
  <c r="AE62" i="73"/>
  <c r="AD62" i="73"/>
  <c r="AE60" i="73"/>
  <c r="AD60" i="73"/>
  <c r="AE59" i="73"/>
  <c r="AD59" i="73"/>
  <c r="AE58" i="73"/>
  <c r="AD58" i="73"/>
  <c r="AE57" i="73"/>
  <c r="AD57" i="73"/>
  <c r="AE56" i="73"/>
  <c r="AD56" i="73"/>
  <c r="AE54" i="73"/>
  <c r="AD54" i="73"/>
  <c r="AE53" i="73"/>
  <c r="AD53" i="73"/>
  <c r="AE52" i="73"/>
  <c r="AD52" i="73"/>
  <c r="AE51" i="73"/>
  <c r="AD51" i="73"/>
  <c r="AE50" i="73"/>
  <c r="AD50" i="73"/>
  <c r="AE49" i="73"/>
  <c r="AD49" i="73"/>
  <c r="AE47" i="73"/>
  <c r="AD47" i="73"/>
  <c r="AE46" i="73"/>
  <c r="AD46" i="73"/>
  <c r="AE45" i="73"/>
  <c r="AD45" i="73"/>
  <c r="AE43" i="73"/>
  <c r="AD43" i="73"/>
  <c r="AE42" i="73"/>
  <c r="AD42" i="73"/>
  <c r="AE41" i="73"/>
  <c r="AD41" i="73"/>
  <c r="AE40" i="73"/>
  <c r="AD40" i="73"/>
  <c r="AE39" i="73"/>
  <c r="AD39" i="73"/>
  <c r="AE38" i="73"/>
  <c r="AD38" i="73"/>
  <c r="AE36" i="73"/>
  <c r="AD36" i="73"/>
  <c r="AE35" i="73"/>
  <c r="AD35" i="73"/>
  <c r="AE34" i="73"/>
  <c r="AD34" i="73"/>
  <c r="AE33" i="73"/>
  <c r="AD33" i="73"/>
  <c r="AE32" i="73"/>
  <c r="AD32" i="73"/>
  <c r="AE30" i="73"/>
  <c r="AD30" i="73"/>
  <c r="AE29" i="73"/>
  <c r="AD29" i="73"/>
  <c r="AE28" i="73"/>
  <c r="AD28" i="73"/>
  <c r="AE27" i="73"/>
  <c r="AD27" i="73"/>
  <c r="AE26" i="73"/>
  <c r="AD26" i="73"/>
  <c r="AE25" i="73"/>
  <c r="AD25" i="73"/>
  <c r="AE24" i="73"/>
  <c r="AD24" i="73"/>
  <c r="AE22" i="73"/>
  <c r="AD22" i="73"/>
  <c r="AE21" i="73"/>
  <c r="AD21" i="73"/>
  <c r="AE20" i="73"/>
  <c r="AD20" i="73"/>
  <c r="AE19" i="73"/>
  <c r="AD19" i="73"/>
  <c r="AE18" i="73"/>
  <c r="AD18" i="73"/>
  <c r="AE16" i="73"/>
  <c r="AD16" i="73"/>
  <c r="AE15" i="73"/>
  <c r="AD15" i="73"/>
  <c r="AE14" i="73"/>
  <c r="AD14" i="73"/>
  <c r="AE13" i="73"/>
  <c r="AD13" i="73"/>
  <c r="AE12" i="73"/>
  <c r="AD12" i="73"/>
  <c r="AE10" i="73"/>
  <c r="AD10" i="73"/>
  <c r="AE9" i="73"/>
  <c r="AD9" i="73"/>
  <c r="AE8" i="73"/>
  <c r="AD8" i="73"/>
  <c r="AK67" i="73"/>
  <c r="AJ67" i="73"/>
  <c r="AK66" i="73"/>
  <c r="AJ66" i="73"/>
  <c r="AK65" i="73"/>
  <c r="AJ65" i="73"/>
  <c r="AK64" i="73"/>
  <c r="AJ64" i="73"/>
  <c r="AK63" i="73"/>
  <c r="AJ63" i="73"/>
  <c r="AK62" i="73"/>
  <c r="AJ62" i="73"/>
  <c r="AK60" i="73"/>
  <c r="AJ60" i="73"/>
  <c r="AK59" i="73"/>
  <c r="AJ59" i="73"/>
  <c r="AK58" i="73"/>
  <c r="AJ58" i="73"/>
  <c r="AK57" i="73"/>
  <c r="AJ57" i="73"/>
  <c r="AK56" i="73"/>
  <c r="AJ56" i="73"/>
  <c r="AK54" i="73"/>
  <c r="AJ54" i="73"/>
  <c r="AK53" i="73"/>
  <c r="AJ53" i="73"/>
  <c r="AK52" i="73"/>
  <c r="AJ52" i="73"/>
  <c r="AK51" i="73"/>
  <c r="AJ51" i="73"/>
  <c r="AK50" i="73"/>
  <c r="AJ50" i="73"/>
  <c r="AK49" i="73"/>
  <c r="AJ49" i="73"/>
  <c r="AK47" i="73"/>
  <c r="AJ47" i="73"/>
  <c r="AK46" i="73"/>
  <c r="AJ46" i="73"/>
  <c r="AK45" i="73"/>
  <c r="AJ45" i="73"/>
  <c r="AK43" i="73"/>
  <c r="AJ43" i="73"/>
  <c r="AK42" i="73"/>
  <c r="AJ42" i="73"/>
  <c r="AK41" i="73"/>
  <c r="AJ41" i="73"/>
  <c r="AK40" i="73"/>
  <c r="AJ40" i="73"/>
  <c r="AK39" i="73"/>
  <c r="AJ39" i="73"/>
  <c r="AK38" i="73"/>
  <c r="AJ38" i="73"/>
  <c r="AK36" i="73"/>
  <c r="AJ36" i="73"/>
  <c r="AK35" i="73"/>
  <c r="AJ35" i="73"/>
  <c r="AK34" i="73"/>
  <c r="AJ34" i="73"/>
  <c r="AK33" i="73"/>
  <c r="AJ33" i="73"/>
  <c r="AK32" i="73"/>
  <c r="AJ32" i="73"/>
  <c r="AK30" i="73"/>
  <c r="AJ30" i="73"/>
  <c r="AK29" i="73"/>
  <c r="AJ29" i="73"/>
  <c r="AK28" i="73"/>
  <c r="AJ28" i="73"/>
  <c r="AK27" i="73"/>
  <c r="AJ27" i="73"/>
  <c r="AK26" i="73"/>
  <c r="AJ26" i="73"/>
  <c r="AK25" i="73"/>
  <c r="AJ25" i="73"/>
  <c r="AK24" i="73"/>
  <c r="AJ24" i="73"/>
  <c r="AK22" i="73"/>
  <c r="AJ22" i="73"/>
  <c r="AK21" i="73"/>
  <c r="AJ21" i="73"/>
  <c r="AK20" i="73"/>
  <c r="AJ20" i="73"/>
  <c r="AK19" i="73"/>
  <c r="AJ19" i="73"/>
  <c r="AK18" i="73"/>
  <c r="AJ18" i="73"/>
  <c r="AK16" i="73"/>
  <c r="AJ16" i="73"/>
  <c r="AK15" i="73"/>
  <c r="AJ15" i="73"/>
  <c r="AK14" i="73"/>
  <c r="AJ14" i="73"/>
  <c r="AK13" i="73"/>
  <c r="AJ13" i="73"/>
  <c r="AK12" i="73"/>
  <c r="AJ12" i="73"/>
  <c r="AK10" i="73"/>
  <c r="AJ10" i="73"/>
  <c r="AK9" i="73"/>
  <c r="AJ9" i="73"/>
  <c r="AK8" i="73"/>
  <c r="AJ8" i="73"/>
  <c r="AQ67" i="73"/>
  <c r="AP67" i="73"/>
  <c r="AQ66" i="73"/>
  <c r="AP66" i="73"/>
  <c r="AQ65" i="73"/>
  <c r="AP65" i="73"/>
  <c r="AQ64" i="73"/>
  <c r="AP64" i="73"/>
  <c r="AQ63" i="73"/>
  <c r="AP63" i="73"/>
  <c r="AQ62" i="73"/>
  <c r="AP62" i="73"/>
  <c r="AQ60" i="73"/>
  <c r="AP60" i="73"/>
  <c r="AQ59" i="73"/>
  <c r="AP59" i="73"/>
  <c r="AQ58" i="73"/>
  <c r="AP58" i="73"/>
  <c r="AQ57" i="73"/>
  <c r="AP57" i="73"/>
  <c r="AQ56" i="73"/>
  <c r="AP56" i="73"/>
  <c r="AQ54" i="73"/>
  <c r="AP54" i="73"/>
  <c r="AQ53" i="73"/>
  <c r="AP53" i="73"/>
  <c r="AQ52" i="73"/>
  <c r="AP52" i="73"/>
  <c r="AQ51" i="73"/>
  <c r="AP51" i="73"/>
  <c r="AQ50" i="73"/>
  <c r="AP50" i="73"/>
  <c r="AQ49" i="73"/>
  <c r="AP49" i="73"/>
  <c r="AQ47" i="73"/>
  <c r="AP47" i="73"/>
  <c r="AQ46" i="73"/>
  <c r="AP46" i="73"/>
  <c r="AQ45" i="73"/>
  <c r="AP45" i="73"/>
  <c r="AQ43" i="73"/>
  <c r="AP43" i="73"/>
  <c r="AQ42" i="73"/>
  <c r="AP42" i="73"/>
  <c r="AQ41" i="73"/>
  <c r="AP41" i="73"/>
  <c r="AQ40" i="73"/>
  <c r="AP40" i="73"/>
  <c r="AQ39" i="73"/>
  <c r="AP39" i="73"/>
  <c r="AQ38" i="73"/>
  <c r="AP38" i="73"/>
  <c r="AQ36" i="73"/>
  <c r="AP36" i="73"/>
  <c r="AQ35" i="73"/>
  <c r="AP35" i="73"/>
  <c r="AQ34" i="73"/>
  <c r="AP34" i="73"/>
  <c r="AQ33" i="73"/>
  <c r="AP33" i="73"/>
  <c r="AQ32" i="73"/>
  <c r="AP32" i="73"/>
  <c r="AQ30" i="73"/>
  <c r="AP30" i="73"/>
  <c r="AQ29" i="73"/>
  <c r="AP29" i="73"/>
  <c r="AQ28" i="73"/>
  <c r="AP28" i="73"/>
  <c r="AQ27" i="73"/>
  <c r="AP27" i="73"/>
  <c r="AQ26" i="73"/>
  <c r="AP26" i="73"/>
  <c r="AQ25" i="73"/>
  <c r="AP25" i="73"/>
  <c r="AQ24" i="73"/>
  <c r="AP24" i="73"/>
  <c r="AQ22" i="73"/>
  <c r="AP22" i="73"/>
  <c r="AQ21" i="73"/>
  <c r="AP21" i="73"/>
  <c r="AQ20" i="73"/>
  <c r="AP20" i="73"/>
  <c r="AQ19" i="73"/>
  <c r="AP19" i="73"/>
  <c r="AQ18" i="73"/>
  <c r="AP18" i="73"/>
  <c r="AQ16" i="73"/>
  <c r="AP16" i="73"/>
  <c r="AQ15" i="73"/>
  <c r="AP15" i="73"/>
  <c r="AQ14" i="73"/>
  <c r="AP14" i="73"/>
  <c r="AQ13" i="73"/>
  <c r="AP13" i="73"/>
  <c r="AQ12" i="73"/>
  <c r="AP12" i="73"/>
  <c r="AQ10" i="73"/>
  <c r="AP10" i="73"/>
  <c r="AQ9" i="73"/>
  <c r="AP9" i="73"/>
  <c r="AQ8" i="73"/>
  <c r="AP8" i="73"/>
  <c r="AW67" i="73"/>
  <c r="AV67" i="73"/>
  <c r="AW66" i="73"/>
  <c r="AV66" i="73"/>
  <c r="AW65" i="73"/>
  <c r="AV65" i="73"/>
  <c r="AW64" i="73"/>
  <c r="AV64" i="73"/>
  <c r="AW63" i="73"/>
  <c r="AV63" i="73"/>
  <c r="AW62" i="73"/>
  <c r="AV62" i="73"/>
  <c r="AW60" i="73"/>
  <c r="AV60" i="73"/>
  <c r="AW59" i="73"/>
  <c r="AV59" i="73"/>
  <c r="AW58" i="73"/>
  <c r="AV58" i="73"/>
  <c r="AW57" i="73"/>
  <c r="AV57" i="73"/>
  <c r="AW56" i="73"/>
  <c r="AV56" i="73"/>
  <c r="AW54" i="73"/>
  <c r="AV54" i="73"/>
  <c r="AW53" i="73"/>
  <c r="AV53" i="73"/>
  <c r="AW52" i="73"/>
  <c r="AV52" i="73"/>
  <c r="AW51" i="73"/>
  <c r="AV51" i="73"/>
  <c r="AW50" i="73"/>
  <c r="AV50" i="73"/>
  <c r="AW49" i="73"/>
  <c r="AV49" i="73"/>
  <c r="AW47" i="73"/>
  <c r="AV47" i="73"/>
  <c r="AW46" i="73"/>
  <c r="AV46" i="73"/>
  <c r="AW45" i="73"/>
  <c r="AV45" i="73"/>
  <c r="AW43" i="73"/>
  <c r="AV43" i="73"/>
  <c r="AW42" i="73"/>
  <c r="AV42" i="73"/>
  <c r="AW41" i="73"/>
  <c r="AV41" i="73"/>
  <c r="AW40" i="73"/>
  <c r="AV40" i="73"/>
  <c r="AW39" i="73"/>
  <c r="AV39" i="73"/>
  <c r="AW38" i="73"/>
  <c r="AV38" i="73"/>
  <c r="AW36" i="73"/>
  <c r="AV36" i="73"/>
  <c r="AW35" i="73"/>
  <c r="AV35" i="73"/>
  <c r="AW34" i="73"/>
  <c r="AV34" i="73"/>
  <c r="AW33" i="73"/>
  <c r="AV33" i="73"/>
  <c r="AW32" i="73"/>
  <c r="AV32" i="73"/>
  <c r="AW30" i="73"/>
  <c r="AV30" i="73"/>
  <c r="AW29" i="73"/>
  <c r="AV29" i="73"/>
  <c r="AW28" i="73"/>
  <c r="AV28" i="73"/>
  <c r="AW27" i="73"/>
  <c r="AV27" i="73"/>
  <c r="AW26" i="73"/>
  <c r="AV26" i="73"/>
  <c r="AW25" i="73"/>
  <c r="AV25" i="73"/>
  <c r="AW24" i="73"/>
  <c r="AV24" i="73"/>
  <c r="AW22" i="73"/>
  <c r="AV22" i="73"/>
  <c r="AW21" i="73"/>
  <c r="AV21" i="73"/>
  <c r="AW20" i="73"/>
  <c r="AV20" i="73"/>
  <c r="AW19" i="73"/>
  <c r="AV19" i="73"/>
  <c r="AW18" i="73"/>
  <c r="AV18" i="73"/>
  <c r="AW16" i="73"/>
  <c r="AV16" i="73"/>
  <c r="AW15" i="73"/>
  <c r="AV15" i="73"/>
  <c r="AW14" i="73"/>
  <c r="AV14" i="73"/>
  <c r="AW13" i="73"/>
  <c r="AV13" i="73"/>
  <c r="AW12" i="73"/>
  <c r="AV12" i="73"/>
  <c r="AW10" i="73"/>
  <c r="AV10" i="73"/>
  <c r="AW9" i="73"/>
  <c r="AV9" i="73"/>
  <c r="AW8" i="73"/>
  <c r="AV8" i="73"/>
  <c r="BC67" i="73"/>
  <c r="BB67" i="73"/>
  <c r="BC66" i="73"/>
  <c r="BB66" i="73"/>
  <c r="BC65" i="73"/>
  <c r="BB65" i="73"/>
  <c r="BC64" i="73"/>
  <c r="BB64" i="73"/>
  <c r="BC63" i="73"/>
  <c r="BB63" i="73"/>
  <c r="BC62" i="73"/>
  <c r="BB62" i="73"/>
  <c r="BC60" i="73"/>
  <c r="BB60" i="73"/>
  <c r="BC59" i="73"/>
  <c r="BB59" i="73"/>
  <c r="BC58" i="73"/>
  <c r="BB58" i="73"/>
  <c r="BC57" i="73"/>
  <c r="BB57" i="73"/>
  <c r="BC56" i="73"/>
  <c r="BB56" i="73"/>
  <c r="BC54" i="73"/>
  <c r="BB54" i="73"/>
  <c r="BC53" i="73"/>
  <c r="BB53" i="73"/>
  <c r="BC52" i="73"/>
  <c r="BB52" i="73"/>
  <c r="BC51" i="73"/>
  <c r="BB51" i="73"/>
  <c r="BC50" i="73"/>
  <c r="BB50" i="73"/>
  <c r="BC49" i="73"/>
  <c r="BB49" i="73"/>
  <c r="BC47" i="73"/>
  <c r="BB47" i="73"/>
  <c r="BC46" i="73"/>
  <c r="BB46" i="73"/>
  <c r="BC45" i="73"/>
  <c r="BB45" i="73"/>
  <c r="BC43" i="73"/>
  <c r="BB43" i="73"/>
  <c r="BC42" i="73"/>
  <c r="BB42" i="73"/>
  <c r="BC41" i="73"/>
  <c r="BB41" i="73"/>
  <c r="BC40" i="73"/>
  <c r="BB40" i="73"/>
  <c r="BC39" i="73"/>
  <c r="BB39" i="73"/>
  <c r="BC38" i="73"/>
  <c r="BB38" i="73"/>
  <c r="BC36" i="73"/>
  <c r="BB36" i="73"/>
  <c r="BC35" i="73"/>
  <c r="BB35" i="73"/>
  <c r="BC34" i="73"/>
  <c r="BB34" i="73"/>
  <c r="BC33" i="73"/>
  <c r="BB33" i="73"/>
  <c r="BC32" i="73"/>
  <c r="BB32" i="73"/>
  <c r="BC30" i="73"/>
  <c r="BB30" i="73"/>
  <c r="BC29" i="73"/>
  <c r="BB29" i="73"/>
  <c r="BC28" i="73"/>
  <c r="BB28" i="73"/>
  <c r="BC27" i="73"/>
  <c r="BB27" i="73"/>
  <c r="BC26" i="73"/>
  <c r="BB26" i="73"/>
  <c r="BC25" i="73"/>
  <c r="BB25" i="73"/>
  <c r="BC24" i="73"/>
  <c r="BB24" i="73"/>
  <c r="BC22" i="73"/>
  <c r="BB22" i="73"/>
  <c r="BC21" i="73"/>
  <c r="BB21" i="73"/>
  <c r="BC20" i="73"/>
  <c r="BB20" i="73"/>
  <c r="BC19" i="73"/>
  <c r="BB19" i="73"/>
  <c r="BC18" i="73"/>
  <c r="BB18" i="73"/>
  <c r="BC16" i="73"/>
  <c r="BB16" i="73"/>
  <c r="BC15" i="73"/>
  <c r="BB15" i="73"/>
  <c r="BC14" i="73"/>
  <c r="BB14" i="73"/>
  <c r="BC13" i="73"/>
  <c r="BB13" i="73"/>
  <c r="BC12" i="73"/>
  <c r="BB12" i="73"/>
  <c r="BC10" i="73"/>
  <c r="BB10" i="73"/>
  <c r="BC9" i="73"/>
  <c r="BB9" i="73"/>
  <c r="BC8" i="73"/>
  <c r="BB8" i="73"/>
  <c r="BI67" i="73"/>
  <c r="BH67" i="73"/>
  <c r="BI66" i="73"/>
  <c r="BH66" i="73"/>
  <c r="BI65" i="73"/>
  <c r="BH65" i="73"/>
  <c r="BI64" i="73"/>
  <c r="BH64" i="73"/>
  <c r="BI63" i="73"/>
  <c r="BH63" i="73"/>
  <c r="BI62" i="73"/>
  <c r="BH62" i="73"/>
  <c r="BI60" i="73"/>
  <c r="BH60" i="73"/>
  <c r="BI59" i="73"/>
  <c r="BH59" i="73"/>
  <c r="BI58" i="73"/>
  <c r="BH58" i="73"/>
  <c r="BI57" i="73"/>
  <c r="BH57" i="73"/>
  <c r="BI56" i="73"/>
  <c r="BH56" i="73"/>
  <c r="BI54" i="73"/>
  <c r="BH54" i="73"/>
  <c r="BI53" i="73"/>
  <c r="BH53" i="73"/>
  <c r="BI52" i="73"/>
  <c r="BH52" i="73"/>
  <c r="BI51" i="73"/>
  <c r="BH51" i="73"/>
  <c r="BI50" i="73"/>
  <c r="BH50" i="73"/>
  <c r="BI49" i="73"/>
  <c r="BH49" i="73"/>
  <c r="BI47" i="73"/>
  <c r="BH47" i="73"/>
  <c r="BI46" i="73"/>
  <c r="BH46" i="73"/>
  <c r="BI45" i="73"/>
  <c r="BH45" i="73"/>
  <c r="BI43" i="73"/>
  <c r="BH43" i="73"/>
  <c r="BI42" i="73"/>
  <c r="BH42" i="73"/>
  <c r="BI41" i="73"/>
  <c r="BH41" i="73"/>
  <c r="BI40" i="73"/>
  <c r="BH40" i="73"/>
  <c r="BI39" i="73"/>
  <c r="BH39" i="73"/>
  <c r="BI38" i="73"/>
  <c r="BH38" i="73"/>
  <c r="BI36" i="73"/>
  <c r="BH36" i="73"/>
  <c r="BI35" i="73"/>
  <c r="BH35" i="73"/>
  <c r="BI34" i="73"/>
  <c r="BH34" i="73"/>
  <c r="BI33" i="73"/>
  <c r="BH33" i="73"/>
  <c r="BI32" i="73"/>
  <c r="BH32" i="73"/>
  <c r="BI30" i="73"/>
  <c r="BH30" i="73"/>
  <c r="BI29" i="73"/>
  <c r="BH29" i="73"/>
  <c r="BI28" i="73"/>
  <c r="BH28" i="73"/>
  <c r="BI27" i="73"/>
  <c r="BH27" i="73"/>
  <c r="BI26" i="73"/>
  <c r="BH26" i="73"/>
  <c r="BI25" i="73"/>
  <c r="BH25" i="73"/>
  <c r="BI24" i="73"/>
  <c r="BH24" i="73"/>
  <c r="BI22" i="73"/>
  <c r="BH22" i="73"/>
  <c r="BI21" i="73"/>
  <c r="BH21" i="73"/>
  <c r="BI20" i="73"/>
  <c r="BH20" i="73"/>
  <c r="BI19" i="73"/>
  <c r="BH19" i="73"/>
  <c r="BI18" i="73"/>
  <c r="BH18" i="73"/>
  <c r="BI16" i="73"/>
  <c r="BH16" i="73"/>
  <c r="BI15" i="73"/>
  <c r="BH15" i="73"/>
  <c r="BI14" i="73"/>
  <c r="BH14" i="73"/>
  <c r="BI13" i="73"/>
  <c r="BH13" i="73"/>
  <c r="BI12" i="73"/>
  <c r="BH12" i="73"/>
  <c r="BI10" i="73"/>
  <c r="BH10" i="73"/>
  <c r="BI9" i="73"/>
  <c r="BH9" i="73"/>
  <c r="BI8" i="73"/>
  <c r="BH8" i="73"/>
  <c r="BO67" i="73"/>
  <c r="BN67" i="73"/>
  <c r="BO66" i="73"/>
  <c r="BN66" i="73"/>
  <c r="BO65" i="73"/>
  <c r="BN65" i="73"/>
  <c r="BO64" i="73"/>
  <c r="BN64" i="73"/>
  <c r="BO63" i="73"/>
  <c r="BN63" i="73"/>
  <c r="BO62" i="73"/>
  <c r="BN62" i="73"/>
  <c r="BO60" i="73"/>
  <c r="BN60" i="73"/>
  <c r="BO59" i="73"/>
  <c r="BN59" i="73"/>
  <c r="BO58" i="73"/>
  <c r="BN58" i="73"/>
  <c r="BO57" i="73"/>
  <c r="BN57" i="73"/>
  <c r="BO56" i="73"/>
  <c r="BN56" i="73"/>
  <c r="BO54" i="73"/>
  <c r="BN54" i="73"/>
  <c r="BO53" i="73"/>
  <c r="BN53" i="73"/>
  <c r="BO52" i="73"/>
  <c r="BN52" i="73"/>
  <c r="BO51" i="73"/>
  <c r="BN51" i="73"/>
  <c r="BO50" i="73"/>
  <c r="BN50" i="73"/>
  <c r="BO49" i="73"/>
  <c r="BN49" i="73"/>
  <c r="BO47" i="73"/>
  <c r="BN47" i="73"/>
  <c r="BO46" i="73"/>
  <c r="BN46" i="73"/>
  <c r="BO45" i="73"/>
  <c r="BN45" i="73"/>
  <c r="BO43" i="73"/>
  <c r="BN43" i="73"/>
  <c r="BO42" i="73"/>
  <c r="BN42" i="73"/>
  <c r="BO41" i="73"/>
  <c r="BN41" i="73"/>
  <c r="BO40" i="73"/>
  <c r="BN40" i="73"/>
  <c r="BO39" i="73"/>
  <c r="BN39" i="73"/>
  <c r="BO38" i="73"/>
  <c r="BN38" i="73"/>
  <c r="BO36" i="73"/>
  <c r="BN36" i="73"/>
  <c r="BO35" i="73"/>
  <c r="BN35" i="73"/>
  <c r="BO34" i="73"/>
  <c r="BN34" i="73"/>
  <c r="BO33" i="73"/>
  <c r="BN33" i="73"/>
  <c r="BO32" i="73"/>
  <c r="BN32" i="73"/>
  <c r="BO30" i="73"/>
  <c r="BN30" i="73"/>
  <c r="BO29" i="73"/>
  <c r="BN29" i="73"/>
  <c r="BO28" i="73"/>
  <c r="BN28" i="73"/>
  <c r="BO27" i="73"/>
  <c r="BN27" i="73"/>
  <c r="BO26" i="73"/>
  <c r="BN26" i="73"/>
  <c r="BO25" i="73"/>
  <c r="BN25" i="73"/>
  <c r="BO24" i="73"/>
  <c r="BN24" i="73"/>
  <c r="BO22" i="73"/>
  <c r="BN22" i="73"/>
  <c r="BO21" i="73"/>
  <c r="BN21" i="73"/>
  <c r="BO20" i="73"/>
  <c r="BN20" i="73"/>
  <c r="BO19" i="73"/>
  <c r="BN19" i="73"/>
  <c r="BO18" i="73"/>
  <c r="BN18" i="73"/>
  <c r="BO16" i="73"/>
  <c r="BN16" i="73"/>
  <c r="BO15" i="73"/>
  <c r="BN15" i="73"/>
  <c r="BO14" i="73"/>
  <c r="BN14" i="73"/>
  <c r="BO13" i="73"/>
  <c r="BN13" i="73"/>
  <c r="BO12" i="73"/>
  <c r="BN12" i="73"/>
  <c r="BO10" i="73"/>
  <c r="BN10" i="73"/>
  <c r="BO9" i="73"/>
  <c r="BN9" i="73"/>
  <c r="BO8" i="73"/>
  <c r="BN8" i="73"/>
  <c r="BU67" i="73"/>
  <c r="BT67" i="73"/>
  <c r="BU66" i="73"/>
  <c r="BT66" i="73"/>
  <c r="BU65" i="73"/>
  <c r="BT65" i="73"/>
  <c r="BU64" i="73"/>
  <c r="BT64" i="73"/>
  <c r="BU63" i="73"/>
  <c r="BT63" i="73"/>
  <c r="BU62" i="73"/>
  <c r="BT62" i="73"/>
  <c r="BU60" i="73"/>
  <c r="BT60" i="73"/>
  <c r="BU59" i="73"/>
  <c r="BT59" i="73"/>
  <c r="BU58" i="73"/>
  <c r="BT58" i="73"/>
  <c r="BU57" i="73"/>
  <c r="BT57" i="73"/>
  <c r="BU56" i="73"/>
  <c r="BT56" i="73"/>
  <c r="BU54" i="73"/>
  <c r="BT54" i="73"/>
  <c r="BU53" i="73"/>
  <c r="BT53" i="73"/>
  <c r="BU52" i="73"/>
  <c r="BT52" i="73"/>
  <c r="BU51" i="73"/>
  <c r="BT51" i="73"/>
  <c r="BU50" i="73"/>
  <c r="BT50" i="73"/>
  <c r="BU49" i="73"/>
  <c r="BT49" i="73"/>
  <c r="BU47" i="73"/>
  <c r="BT47" i="73"/>
  <c r="BU46" i="73"/>
  <c r="BT46" i="73"/>
  <c r="BU45" i="73"/>
  <c r="BT45" i="73"/>
  <c r="BU43" i="73"/>
  <c r="BT43" i="73"/>
  <c r="BU42" i="73"/>
  <c r="BT42" i="73"/>
  <c r="BU41" i="73"/>
  <c r="BT41" i="73"/>
  <c r="BU40" i="73"/>
  <c r="BT40" i="73"/>
  <c r="BU39" i="73"/>
  <c r="BT39" i="73"/>
  <c r="BU38" i="73"/>
  <c r="BT38" i="73"/>
  <c r="BU36" i="73"/>
  <c r="BT36" i="73"/>
  <c r="BU35" i="73"/>
  <c r="BT35" i="73"/>
  <c r="BU34" i="73"/>
  <c r="BT34" i="73"/>
  <c r="BU33" i="73"/>
  <c r="BT33" i="73"/>
  <c r="BU32" i="73"/>
  <c r="BT32" i="73"/>
  <c r="BU30" i="73"/>
  <c r="BT30" i="73"/>
  <c r="BU29" i="73"/>
  <c r="BT29" i="73"/>
  <c r="BU28" i="73"/>
  <c r="BT28" i="73"/>
  <c r="BU27" i="73"/>
  <c r="BT27" i="73"/>
  <c r="BU26" i="73"/>
  <c r="BT26" i="73"/>
  <c r="BU25" i="73"/>
  <c r="BT25" i="73"/>
  <c r="BU24" i="73"/>
  <c r="BT24" i="73"/>
  <c r="BU22" i="73"/>
  <c r="BT22" i="73"/>
  <c r="BU21" i="73"/>
  <c r="BT21" i="73"/>
  <c r="BU20" i="73"/>
  <c r="BT20" i="73"/>
  <c r="BU19" i="73"/>
  <c r="BT19" i="73"/>
  <c r="BU18" i="73"/>
  <c r="BT18" i="73"/>
  <c r="BU16" i="73"/>
  <c r="BT16" i="73"/>
  <c r="BU15" i="73"/>
  <c r="BT15" i="73"/>
  <c r="BU14" i="73"/>
  <c r="BT14" i="73"/>
  <c r="BU13" i="73"/>
  <c r="BT13" i="73"/>
  <c r="BU12" i="73"/>
  <c r="BT12" i="73"/>
  <c r="BU10" i="73"/>
  <c r="BT10" i="73"/>
  <c r="BU9" i="73"/>
  <c r="BT9" i="73"/>
  <c r="BU8" i="73"/>
  <c r="BT8" i="73"/>
  <c r="BU7" i="73"/>
  <c r="BT7" i="73"/>
  <c r="BO7" i="73"/>
  <c r="BN7" i="73"/>
  <c r="BI7" i="73"/>
  <c r="BH7" i="73"/>
  <c r="BB7" i="73"/>
  <c r="BC7" i="73"/>
  <c r="AV7" i="73"/>
  <c r="AW7" i="73"/>
  <c r="AQ7" i="73"/>
  <c r="AP7" i="73"/>
  <c r="AK7" i="73"/>
  <c r="AJ7" i="73"/>
  <c r="AE7" i="73"/>
  <c r="AD7" i="73"/>
  <c r="Y7" i="73"/>
  <c r="X7" i="73"/>
  <c r="S7" i="73"/>
  <c r="R7" i="73"/>
  <c r="M7" i="73"/>
  <c r="L7" i="73"/>
  <c r="J68" i="73"/>
  <c r="H68" i="73"/>
  <c r="BX61" i="73"/>
  <c r="BV61" i="73"/>
  <c r="BR61" i="73"/>
  <c r="BP61" i="73"/>
  <c r="BL61" i="73"/>
  <c r="BJ61" i="73"/>
  <c r="BF61" i="73"/>
  <c r="BD61" i="73"/>
  <c r="AZ61" i="73"/>
  <c r="AX61" i="73"/>
  <c r="AT61" i="73"/>
  <c r="AR61" i="73"/>
  <c r="AN61" i="73"/>
  <c r="AL61" i="73"/>
  <c r="AH61" i="73"/>
  <c r="AF61" i="73"/>
  <c r="AB61" i="73"/>
  <c r="Z61" i="73"/>
  <c r="V61" i="73"/>
  <c r="T61" i="73"/>
  <c r="P61" i="73"/>
  <c r="J61" i="73"/>
  <c r="H61" i="73"/>
  <c r="J55" i="73"/>
  <c r="J48" i="73"/>
  <c r="H48" i="73"/>
  <c r="J44" i="73"/>
  <c r="H44" i="73"/>
  <c r="J37" i="73"/>
  <c r="H37" i="73"/>
  <c r="J31" i="73"/>
  <c r="H31" i="73"/>
  <c r="BX23" i="73"/>
  <c r="BV23" i="73"/>
  <c r="BR23" i="73"/>
  <c r="BP23" i="73"/>
  <c r="BL23" i="73"/>
  <c r="BJ23" i="73"/>
  <c r="BF23" i="73"/>
  <c r="BD23" i="73"/>
  <c r="AZ23" i="73"/>
  <c r="AX23" i="73"/>
  <c r="AT23" i="73"/>
  <c r="AR23" i="73"/>
  <c r="AN23" i="73"/>
  <c r="AL23" i="73"/>
  <c r="AH23" i="73"/>
  <c r="AF23" i="73"/>
  <c r="AB23" i="73"/>
  <c r="Z23" i="73"/>
  <c r="V23" i="73"/>
  <c r="T23" i="73"/>
  <c r="P23" i="73"/>
  <c r="J23" i="73"/>
  <c r="H23" i="73"/>
  <c r="J17" i="73"/>
  <c r="H17" i="73"/>
  <c r="BX11" i="73"/>
  <c r="BV11" i="73"/>
  <c r="BR11" i="73"/>
  <c r="BP11" i="73"/>
  <c r="BL11" i="73"/>
  <c r="BJ11" i="73"/>
  <c r="BF11" i="73"/>
  <c r="BD11" i="73"/>
  <c r="AZ11" i="73"/>
  <c r="AX11" i="73"/>
  <c r="AT11" i="73"/>
  <c r="AR11" i="73"/>
  <c r="AN11" i="73"/>
  <c r="AL11" i="73"/>
  <c r="AH11" i="73"/>
  <c r="AF11" i="73"/>
  <c r="AB11" i="73"/>
  <c r="Z11" i="73"/>
  <c r="V11" i="73"/>
  <c r="T11" i="73"/>
  <c r="P11" i="73"/>
  <c r="N11" i="73"/>
  <c r="J11" i="73"/>
  <c r="H11" i="73"/>
  <c r="AQ31" i="78" l="1"/>
  <c r="W48" i="78"/>
  <c r="AL68" i="78"/>
  <c r="AL31" i="78"/>
  <c r="AK70" i="78"/>
  <c r="AI68" i="78"/>
  <c r="AH70" i="78"/>
  <c r="AI61" i="78"/>
  <c r="AE70" i="78"/>
  <c r="AB70" i="78"/>
  <c r="Z68" i="78"/>
  <c r="Y70" i="78"/>
  <c r="N61" i="78"/>
  <c r="N44" i="78"/>
  <c r="N23" i="78"/>
  <c r="BD61" i="78"/>
  <c r="S70" i="78"/>
  <c r="P70" i="78"/>
  <c r="Q61" i="78"/>
  <c r="Q17" i="78"/>
  <c r="BC61" i="78"/>
  <c r="BC68" i="78"/>
  <c r="BC17" i="78"/>
  <c r="M70" i="78"/>
  <c r="J70" i="78"/>
  <c r="G13" i="82" a="1"/>
  <c r="G13" i="82" s="1"/>
  <c r="G36" i="82" s="1"/>
  <c r="I70" i="78"/>
  <c r="AP31" i="78"/>
  <c r="AR31" i="78" s="1"/>
  <c r="L70" i="78"/>
  <c r="N17" i="78"/>
  <c r="O70" i="78"/>
  <c r="Q31" i="78"/>
  <c r="Q23" i="78"/>
  <c r="U70" i="78"/>
  <c r="W70" i="78" s="1"/>
  <c r="T44" i="78"/>
  <c r="T31" i="78"/>
  <c r="T23" i="78"/>
  <c r="T17" i="78"/>
  <c r="W68" i="78"/>
  <c r="Z55" i="78"/>
  <c r="Z61" i="78"/>
  <c r="W55" i="78"/>
  <c r="W17" i="78"/>
  <c r="X70" i="78"/>
  <c r="Z37" i="78"/>
  <c r="Z31" i="78"/>
  <c r="AA70" i="78"/>
  <c r="Z17" i="78"/>
  <c r="AC61" i="78"/>
  <c r="AD70" i="78"/>
  <c r="AF70" i="78" s="1"/>
  <c r="AF61" i="78"/>
  <c r="AG70" i="78"/>
  <c r="AM70" i="78"/>
  <c r="AO70" i="78" s="1"/>
  <c r="AL17" i="78"/>
  <c r="AO68" i="78"/>
  <c r="AO61" i="78"/>
  <c r="AO48" i="78"/>
  <c r="AO23" i="78"/>
  <c r="AL11" i="78"/>
  <c r="AJ70" i="78"/>
  <c r="AL70" i="78" s="1"/>
  <c r="AC11" i="78"/>
  <c r="W11" i="78"/>
  <c r="Z11" i="78"/>
  <c r="T11" i="78"/>
  <c r="R70" i="78"/>
  <c r="F70" i="78"/>
  <c r="H11" i="78"/>
  <c r="BO55" i="73"/>
  <c r="BQ55" i="73" s="1"/>
  <c r="BC55" i="73"/>
  <c r="BE55" i="73" s="1"/>
  <c r="BH55" i="73"/>
  <c r="BM55" i="73" s="1"/>
  <c r="BU55" i="73"/>
  <c r="BW55" i="73" s="1"/>
  <c r="BI55" i="73"/>
  <c r="BK55" i="73" s="1"/>
  <c r="BT55" i="73"/>
  <c r="BY55" i="73" s="1"/>
  <c r="BN55" i="73"/>
  <c r="BS55" i="73" s="1"/>
  <c r="AQ55" i="73"/>
  <c r="AS55" i="73" s="1"/>
  <c r="AE55" i="73"/>
  <c r="AG55" i="73" s="1"/>
  <c r="S55" i="73"/>
  <c r="U55" i="73" s="1"/>
  <c r="BB55" i="73"/>
  <c r="BG55" i="73" s="1"/>
  <c r="AV55" i="73"/>
  <c r="BA55" i="73" s="1"/>
  <c r="AW55" i="73"/>
  <c r="AY55" i="73" s="1"/>
  <c r="AP55" i="73"/>
  <c r="AU55" i="73" s="1"/>
  <c r="AJ55" i="73"/>
  <c r="AO55" i="73" s="1"/>
  <c r="AK55" i="73"/>
  <c r="AM55" i="73" s="1"/>
  <c r="AD55" i="73"/>
  <c r="AI55" i="73" s="1"/>
  <c r="Y55" i="73"/>
  <c r="AA55" i="73" s="1"/>
  <c r="X55" i="73"/>
  <c r="AC55" i="73" s="1"/>
  <c r="R55" i="73"/>
  <c r="W55" i="73" s="1"/>
  <c r="M55" i="73"/>
  <c r="J70" i="73"/>
  <c r="H70" i="73"/>
  <c r="AF31" i="78"/>
  <c r="W23" i="78"/>
  <c r="N37" i="78"/>
  <c r="AC48" i="78"/>
  <c r="AC55" i="78"/>
  <c r="AI31" i="78"/>
  <c r="AF44" i="78"/>
  <c r="N48" i="78"/>
  <c r="N11" i="78"/>
  <c r="Z23" i="78"/>
  <c r="W31" i="78"/>
  <c r="Q37" i="78"/>
  <c r="AI37" i="78"/>
  <c r="Q44" i="78"/>
  <c r="AF48" i="78"/>
  <c r="N55" i="78"/>
  <c r="AF55" i="78"/>
  <c r="AF11" i="78"/>
  <c r="AI44" i="78"/>
  <c r="N68" i="78"/>
  <c r="AF68" i="78"/>
  <c r="Q11" i="78"/>
  <c r="AC23" i="78"/>
  <c r="T37" i="78"/>
  <c r="AL37" i="78"/>
  <c r="AI48" i="78"/>
  <c r="Q55" i="78"/>
  <c r="AI55" i="78"/>
  <c r="AI11" i="78"/>
  <c r="AO31" i="78"/>
  <c r="T48" i="78"/>
  <c r="AI17" i="78"/>
  <c r="AI23" i="78"/>
  <c r="N31" i="78"/>
  <c r="W44" i="78"/>
  <c r="AO44" i="78"/>
  <c r="T68" i="78"/>
  <c r="AC44" i="78"/>
  <c r="AL44" i="78"/>
  <c r="T61" i="78"/>
  <c r="AO55" i="78"/>
  <c r="W61" i="78"/>
  <c r="Q48" i="78"/>
  <c r="AF23" i="78"/>
  <c r="W37" i="78"/>
  <c r="AO37" i="78"/>
  <c r="AL48" i="78"/>
  <c r="T55" i="78"/>
  <c r="AL55" i="78"/>
  <c r="AO11" i="78"/>
  <c r="AL23" i="78"/>
  <c r="AC37" i="78"/>
  <c r="Z44" i="78"/>
  <c r="K37" i="78"/>
  <c r="K68" i="78"/>
  <c r="K61" i="78"/>
  <c r="K55" i="78"/>
  <c r="K48" i="78"/>
  <c r="K44" i="78"/>
  <c r="K31" i="78"/>
  <c r="K23" i="78"/>
  <c r="K17" i="78"/>
  <c r="K11" i="78"/>
  <c r="AS31" i="78"/>
  <c r="BD31" i="78"/>
  <c r="AT31" i="78"/>
  <c r="BC31" i="78"/>
  <c r="H31" i="78"/>
  <c r="BX48" i="73"/>
  <c r="BV48" i="73"/>
  <c r="BR48" i="73"/>
  <c r="BP48" i="73"/>
  <c r="BL48" i="73"/>
  <c r="BJ48" i="73"/>
  <c r="BF48" i="73"/>
  <c r="BD48" i="73"/>
  <c r="AZ48" i="73"/>
  <c r="AX48" i="73"/>
  <c r="AT48" i="73"/>
  <c r="AR48" i="73"/>
  <c r="AN48" i="73"/>
  <c r="AL48" i="73"/>
  <c r="AH48" i="73"/>
  <c r="AF48" i="73"/>
  <c r="AB48" i="73"/>
  <c r="Z48" i="73"/>
  <c r="V48" i="73"/>
  <c r="T48" i="73"/>
  <c r="P48" i="73"/>
  <c r="N48" i="73"/>
  <c r="DP45" i="73"/>
  <c r="DN45" i="73"/>
  <c r="DG45" i="73"/>
  <c r="DE45" i="73"/>
  <c r="CZ45" i="73"/>
  <c r="CX45" i="73"/>
  <c r="CS45" i="73"/>
  <c r="CQ45" i="73"/>
  <c r="CL45" i="73"/>
  <c r="CE45" i="73"/>
  <c r="CC45" i="73"/>
  <c r="BW45" i="73"/>
  <c r="BY45" i="73"/>
  <c r="BQ45" i="73"/>
  <c r="BS45" i="73"/>
  <c r="BK45" i="73"/>
  <c r="BM45" i="73"/>
  <c r="BE45" i="73"/>
  <c r="BG45" i="73"/>
  <c r="AY45" i="73"/>
  <c r="BA45" i="73"/>
  <c r="AU45" i="73"/>
  <c r="AM45" i="73"/>
  <c r="AO45" i="73"/>
  <c r="AG45" i="73"/>
  <c r="AI45" i="73"/>
  <c r="AA45" i="73"/>
  <c r="AC45" i="73"/>
  <c r="O45" i="73"/>
  <c r="Q45" i="73"/>
  <c r="BX44" i="73"/>
  <c r="BV44" i="73"/>
  <c r="BR44" i="73"/>
  <c r="BP44" i="73"/>
  <c r="BL44" i="73"/>
  <c r="BJ44" i="73"/>
  <c r="BF44" i="73"/>
  <c r="BD44" i="73"/>
  <c r="AZ44" i="73"/>
  <c r="AX44" i="73"/>
  <c r="AT44" i="73"/>
  <c r="AR44" i="73"/>
  <c r="AN44" i="73"/>
  <c r="AL44" i="73"/>
  <c r="AH44" i="73"/>
  <c r="AF44" i="73"/>
  <c r="AB44" i="73"/>
  <c r="Z44" i="73"/>
  <c r="V44" i="73"/>
  <c r="T44" i="73"/>
  <c r="P44" i="73"/>
  <c r="N44" i="73"/>
  <c r="CS44" i="73"/>
  <c r="AI70" i="78" l="1"/>
  <c r="AC70" i="78"/>
  <c r="Z70" i="78"/>
  <c r="T70" i="78"/>
  <c r="Q70" i="78"/>
  <c r="N70" i="78"/>
  <c r="K70" i="78"/>
  <c r="AU31" i="78"/>
  <c r="BE31" i="78"/>
  <c r="CA45" i="73"/>
  <c r="CZ44" i="73"/>
  <c r="I45" i="73"/>
  <c r="DC45" i="73"/>
  <c r="DF45" i="73" s="1"/>
  <c r="CO45" i="73"/>
  <c r="CR45" i="73" s="1"/>
  <c r="AS45" i="73"/>
  <c r="DL45" i="73"/>
  <c r="CG45" i="73"/>
  <c r="CN45" i="73"/>
  <c r="BZ45" i="73"/>
  <c r="CU45" i="73"/>
  <c r="DA45" i="73" s="1"/>
  <c r="U45" i="73"/>
  <c r="CV45" i="73"/>
  <c r="W45" i="73"/>
  <c r="K45" i="73"/>
  <c r="DB45" i="73"/>
  <c r="DK45" i="73"/>
  <c r="CX44" i="73"/>
  <c r="CL44" i="73"/>
  <c r="DN44" i="73"/>
  <c r="DP44" i="73"/>
  <c r="BX37" i="73"/>
  <c r="BV37" i="73"/>
  <c r="BR37" i="73"/>
  <c r="BP37" i="73"/>
  <c r="BL37" i="73"/>
  <c r="BJ37" i="73"/>
  <c r="BF37" i="73"/>
  <c r="BD37" i="73"/>
  <c r="AZ37" i="73"/>
  <c r="AX37" i="73"/>
  <c r="AT37" i="73"/>
  <c r="AR37" i="73"/>
  <c r="AN37" i="73"/>
  <c r="AL37" i="73"/>
  <c r="AH37" i="73"/>
  <c r="AF37" i="73"/>
  <c r="AB37" i="73"/>
  <c r="Z37" i="73"/>
  <c r="V37" i="73"/>
  <c r="T37" i="73"/>
  <c r="P37" i="73"/>
  <c r="N37" i="73"/>
  <c r="BX31" i="73"/>
  <c r="BV31" i="73"/>
  <c r="BR31" i="73"/>
  <c r="BP31" i="73"/>
  <c r="BL31" i="73"/>
  <c r="BJ31" i="73"/>
  <c r="BF31" i="73"/>
  <c r="BD31" i="73"/>
  <c r="AZ31" i="73"/>
  <c r="AX31" i="73"/>
  <c r="AT31" i="73"/>
  <c r="AR31" i="73"/>
  <c r="AN31" i="73"/>
  <c r="AL31" i="73"/>
  <c r="AH31" i="73"/>
  <c r="AF31" i="73"/>
  <c r="AB31" i="73"/>
  <c r="Z31" i="73"/>
  <c r="V31" i="73"/>
  <c r="T31" i="73"/>
  <c r="P31" i="73"/>
  <c r="CS31" i="73"/>
  <c r="CS23" i="73"/>
  <c r="BX17" i="73"/>
  <c r="BV17" i="73"/>
  <c r="BR17" i="73"/>
  <c r="BP17" i="73"/>
  <c r="BL17" i="73"/>
  <c r="BJ17" i="73"/>
  <c r="BF17" i="73"/>
  <c r="BD17" i="73"/>
  <c r="AZ17" i="73"/>
  <c r="AX17" i="73"/>
  <c r="AT17" i="73"/>
  <c r="AR17" i="73"/>
  <c r="AN17" i="73"/>
  <c r="AL17" i="73"/>
  <c r="AH17" i="73"/>
  <c r="AF17" i="73"/>
  <c r="AB17" i="73"/>
  <c r="Z17" i="73"/>
  <c r="V17" i="73"/>
  <c r="T17" i="73"/>
  <c r="P17" i="73"/>
  <c r="CS11" i="73"/>
  <c r="A21" i="78"/>
  <c r="AQ64" i="72"/>
  <c r="AO64" i="72"/>
  <c r="AC61" i="72"/>
  <c r="AB61" i="72"/>
  <c r="AA61" i="72"/>
  <c r="Z61" i="72"/>
  <c r="Y61" i="72"/>
  <c r="X61" i="72"/>
  <c r="W61" i="72"/>
  <c r="V61" i="72"/>
  <c r="U61" i="72"/>
  <c r="T61" i="72"/>
  <c r="S61" i="72"/>
  <c r="R61" i="72"/>
  <c r="Q61" i="72"/>
  <c r="P61" i="72"/>
  <c r="O61" i="72"/>
  <c r="N61" i="72"/>
  <c r="M61" i="72"/>
  <c r="L61" i="72"/>
  <c r="I61" i="72"/>
  <c r="H61" i="72"/>
  <c r="G61" i="72"/>
  <c r="F61" i="72"/>
  <c r="AC55" i="72"/>
  <c r="AB55" i="72"/>
  <c r="AA55" i="72"/>
  <c r="Z55" i="72"/>
  <c r="Y55" i="72"/>
  <c r="X55" i="72"/>
  <c r="W55" i="72"/>
  <c r="V55" i="72"/>
  <c r="U55" i="72"/>
  <c r="T55" i="72"/>
  <c r="S55" i="72"/>
  <c r="R55" i="72"/>
  <c r="Q55" i="72"/>
  <c r="P55" i="72"/>
  <c r="O55" i="72"/>
  <c r="N55" i="72"/>
  <c r="M55" i="72"/>
  <c r="L55" i="72"/>
  <c r="I55" i="72"/>
  <c r="H55" i="72"/>
  <c r="G55" i="72"/>
  <c r="F55" i="72"/>
  <c r="A55" i="72"/>
  <c r="AC48" i="72"/>
  <c r="AB48" i="72"/>
  <c r="AA48" i="72"/>
  <c r="Z48" i="72"/>
  <c r="Y48" i="72"/>
  <c r="X48" i="72"/>
  <c r="W48" i="72"/>
  <c r="V48" i="72"/>
  <c r="U48" i="72"/>
  <c r="T48" i="72"/>
  <c r="S48" i="72"/>
  <c r="R48" i="72"/>
  <c r="Q48" i="72"/>
  <c r="P48" i="72"/>
  <c r="O48" i="72"/>
  <c r="N48" i="72"/>
  <c r="M48" i="72"/>
  <c r="L48" i="72"/>
  <c r="I48" i="72"/>
  <c r="H48" i="72"/>
  <c r="G48" i="72"/>
  <c r="F48" i="72"/>
  <c r="A48" i="72"/>
  <c r="AC44" i="72"/>
  <c r="AB44" i="72"/>
  <c r="AA44" i="72"/>
  <c r="Z44" i="72"/>
  <c r="Y44" i="72"/>
  <c r="X44" i="72"/>
  <c r="W44" i="72"/>
  <c r="V44" i="72"/>
  <c r="U44" i="72"/>
  <c r="T44" i="72"/>
  <c r="S44" i="72"/>
  <c r="R44" i="72"/>
  <c r="Q44" i="72"/>
  <c r="P44" i="72"/>
  <c r="O44" i="72"/>
  <c r="N44" i="72"/>
  <c r="M44" i="72"/>
  <c r="L44" i="72"/>
  <c r="I44" i="72"/>
  <c r="H44" i="72"/>
  <c r="G44" i="72"/>
  <c r="F44" i="72"/>
  <c r="AS44" i="72"/>
  <c r="AP44" i="72"/>
  <c r="AN44" i="72"/>
  <c r="A44" i="72"/>
  <c r="A44" i="87" s="1"/>
  <c r="AC37" i="72"/>
  <c r="AB37" i="72"/>
  <c r="AA37" i="72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I37" i="72"/>
  <c r="H37" i="72"/>
  <c r="G37" i="72"/>
  <c r="F37" i="72"/>
  <c r="AS37" i="72"/>
  <c r="AP37" i="72"/>
  <c r="AN37" i="72"/>
  <c r="A37" i="72"/>
  <c r="AC23" i="72"/>
  <c r="AB23" i="72"/>
  <c r="AA23" i="72"/>
  <c r="Z23" i="72"/>
  <c r="Y23" i="72"/>
  <c r="X23" i="72"/>
  <c r="W23" i="72"/>
  <c r="V23" i="72"/>
  <c r="U23" i="72"/>
  <c r="T23" i="72"/>
  <c r="S23" i="72"/>
  <c r="R23" i="72"/>
  <c r="Q23" i="72"/>
  <c r="P23" i="72"/>
  <c r="O23" i="72"/>
  <c r="N23" i="72"/>
  <c r="M23" i="72"/>
  <c r="L23" i="72"/>
  <c r="I23" i="72"/>
  <c r="H23" i="72"/>
  <c r="G23" i="72"/>
  <c r="F23" i="72"/>
  <c r="AC31" i="72"/>
  <c r="AB31" i="72"/>
  <c r="AA31" i="72"/>
  <c r="Z31" i="72"/>
  <c r="Y31" i="72"/>
  <c r="X31" i="72"/>
  <c r="W31" i="72"/>
  <c r="V31" i="72"/>
  <c r="U31" i="72"/>
  <c r="T31" i="72"/>
  <c r="S31" i="72"/>
  <c r="R31" i="72"/>
  <c r="Q31" i="72"/>
  <c r="P31" i="72"/>
  <c r="O31" i="72"/>
  <c r="N31" i="72"/>
  <c r="M31" i="72"/>
  <c r="L31" i="72"/>
  <c r="I31" i="72"/>
  <c r="H31" i="72"/>
  <c r="G31" i="72"/>
  <c r="F31" i="72"/>
  <c r="AS31" i="72"/>
  <c r="AP31" i="72"/>
  <c r="AN31" i="72"/>
  <c r="A31" i="72"/>
  <c r="AS23" i="72"/>
  <c r="AP23" i="72"/>
  <c r="AN23" i="72"/>
  <c r="A23" i="72"/>
  <c r="H17" i="72"/>
  <c r="G17" i="72"/>
  <c r="F17" i="72"/>
  <c r="AS17" i="72"/>
  <c r="AP17" i="72"/>
  <c r="AN17" i="72"/>
  <c r="AC17" i="72"/>
  <c r="AB17" i="72"/>
  <c r="AA17" i="72"/>
  <c r="Z17" i="72"/>
  <c r="Y17" i="72"/>
  <c r="X17" i="72"/>
  <c r="W17" i="72"/>
  <c r="V17" i="72"/>
  <c r="U17" i="72"/>
  <c r="T17" i="72"/>
  <c r="S17" i="72"/>
  <c r="R17" i="72"/>
  <c r="Q17" i="72"/>
  <c r="P17" i="72"/>
  <c r="O17" i="72"/>
  <c r="N17" i="72"/>
  <c r="M17" i="72"/>
  <c r="L17" i="72"/>
  <c r="I17" i="72"/>
  <c r="A17" i="72"/>
  <c r="AS11" i="72"/>
  <c r="AP11" i="72"/>
  <c r="AN11" i="72"/>
  <c r="AC11" i="72"/>
  <c r="AB11" i="72"/>
  <c r="AA11" i="72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I11" i="72"/>
  <c r="H11" i="72"/>
  <c r="G11" i="72"/>
  <c r="F11" i="72"/>
  <c r="A11" i="72"/>
  <c r="A18" i="72"/>
  <c r="A13" i="72"/>
  <c r="A7" i="72"/>
  <c r="A14" i="72"/>
  <c r="A19" i="72"/>
  <c r="A20" i="72"/>
  <c r="A21" i="72"/>
  <c r="A8" i="72"/>
  <c r="A32" i="72"/>
  <c r="A24" i="72"/>
  <c r="A25" i="72"/>
  <c r="A26" i="72"/>
  <c r="A33" i="72"/>
  <c r="A27" i="72"/>
  <c r="A28" i="72"/>
  <c r="A34" i="72"/>
  <c r="A35" i="72"/>
  <c r="A29" i="72"/>
  <c r="A30" i="72"/>
  <c r="A36" i="72"/>
  <c r="A38" i="72"/>
  <c r="A9" i="72"/>
  <c r="A15" i="72"/>
  <c r="A39" i="72"/>
  <c r="A40" i="72"/>
  <c r="A16" i="72"/>
  <c r="A10" i="72"/>
  <c r="A49" i="72"/>
  <c r="A61" i="72"/>
  <c r="A45" i="72"/>
  <c r="A46" i="72"/>
  <c r="A47" i="72"/>
  <c r="A41" i="72"/>
  <c r="A42" i="72"/>
  <c r="A56" i="72"/>
  <c r="A43" i="72"/>
  <c r="A50" i="72"/>
  <c r="A51" i="72"/>
  <c r="A52" i="72"/>
  <c r="A57" i="72"/>
  <c r="A58" i="72"/>
  <c r="A53" i="72"/>
  <c r="A54" i="72"/>
  <c r="A22" i="72"/>
  <c r="A62" i="72"/>
  <c r="A63" i="72"/>
  <c r="A64" i="72"/>
  <c r="A59" i="72"/>
  <c r="A65" i="72"/>
  <c r="A60" i="72"/>
  <c r="A66" i="72"/>
  <c r="A67" i="72"/>
  <c r="A12" i="72"/>
  <c r="AE22" i="70"/>
  <c r="AH58" i="70"/>
  <c r="AC66" i="70"/>
  <c r="AB66" i="70"/>
  <c r="AA66" i="70"/>
  <c r="Z66" i="70"/>
  <c r="Y66" i="70"/>
  <c r="X66" i="70"/>
  <c r="W66" i="70"/>
  <c r="V66" i="70"/>
  <c r="U66" i="70"/>
  <c r="T66" i="70"/>
  <c r="S66" i="70"/>
  <c r="R66" i="70"/>
  <c r="Q66" i="70"/>
  <c r="P66" i="70"/>
  <c r="O66" i="70"/>
  <c r="N66" i="70"/>
  <c r="M66" i="70"/>
  <c r="L66" i="70"/>
  <c r="J66" i="70"/>
  <c r="H66" i="70"/>
  <c r="G66" i="70"/>
  <c r="F66" i="70"/>
  <c r="AC59" i="70"/>
  <c r="AB59" i="70"/>
  <c r="AA59" i="70"/>
  <c r="Z59" i="70"/>
  <c r="Y59" i="70"/>
  <c r="X59" i="70"/>
  <c r="W59" i="70"/>
  <c r="V59" i="70"/>
  <c r="U59" i="70"/>
  <c r="T59" i="70"/>
  <c r="S59" i="70"/>
  <c r="R59" i="70"/>
  <c r="Q59" i="70"/>
  <c r="P59" i="70"/>
  <c r="O59" i="70"/>
  <c r="N59" i="70"/>
  <c r="M59" i="70"/>
  <c r="L59" i="70"/>
  <c r="J59" i="70"/>
  <c r="H59" i="70"/>
  <c r="G59" i="70"/>
  <c r="F59" i="70"/>
  <c r="AC53" i="70"/>
  <c r="AB53" i="70"/>
  <c r="AA53" i="70"/>
  <c r="Z53" i="70"/>
  <c r="Y53" i="70"/>
  <c r="X53" i="70"/>
  <c r="W53" i="70"/>
  <c r="V53" i="70"/>
  <c r="U53" i="70"/>
  <c r="T53" i="70"/>
  <c r="S53" i="70"/>
  <c r="R53" i="70"/>
  <c r="Q53" i="70"/>
  <c r="P53" i="70"/>
  <c r="O53" i="70"/>
  <c r="N53" i="70"/>
  <c r="M53" i="70"/>
  <c r="L53" i="70"/>
  <c r="J53" i="70"/>
  <c r="H53" i="70"/>
  <c r="G53" i="70"/>
  <c r="F53" i="70"/>
  <c r="AC46" i="70"/>
  <c r="AB46" i="70"/>
  <c r="AA46" i="70"/>
  <c r="Z46" i="70"/>
  <c r="Y46" i="70"/>
  <c r="X46" i="70"/>
  <c r="W46" i="70"/>
  <c r="V46" i="70"/>
  <c r="U46" i="70"/>
  <c r="T46" i="70"/>
  <c r="S46" i="70"/>
  <c r="R46" i="70"/>
  <c r="Q46" i="70"/>
  <c r="P46" i="70"/>
  <c r="O46" i="70"/>
  <c r="N46" i="70"/>
  <c r="M46" i="70"/>
  <c r="L46" i="70"/>
  <c r="J46" i="70"/>
  <c r="H46" i="70"/>
  <c r="G46" i="70"/>
  <c r="F46" i="70"/>
  <c r="AC42" i="70"/>
  <c r="AB42" i="70"/>
  <c r="AA42" i="70"/>
  <c r="Z42" i="70"/>
  <c r="Y42" i="70"/>
  <c r="X42" i="70"/>
  <c r="W42" i="70"/>
  <c r="V42" i="70"/>
  <c r="U42" i="70"/>
  <c r="T42" i="70"/>
  <c r="S42" i="70"/>
  <c r="R42" i="70"/>
  <c r="Q42" i="70"/>
  <c r="P42" i="70"/>
  <c r="O42" i="70"/>
  <c r="N42" i="70"/>
  <c r="M42" i="70"/>
  <c r="L42" i="70"/>
  <c r="J42" i="70"/>
  <c r="H42" i="70"/>
  <c r="G42" i="70"/>
  <c r="F42" i="70"/>
  <c r="AC35" i="70"/>
  <c r="AB35" i="70"/>
  <c r="AA35" i="70"/>
  <c r="Z35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L35" i="70"/>
  <c r="J35" i="70"/>
  <c r="H35" i="70"/>
  <c r="G35" i="70"/>
  <c r="F35" i="70"/>
  <c r="AC29" i="70"/>
  <c r="AB29" i="70"/>
  <c r="AA29" i="70"/>
  <c r="Z29" i="70"/>
  <c r="Y29" i="70"/>
  <c r="X29" i="70"/>
  <c r="W29" i="70"/>
  <c r="V29" i="70"/>
  <c r="U29" i="70"/>
  <c r="T29" i="70"/>
  <c r="S29" i="70"/>
  <c r="R29" i="70"/>
  <c r="Q29" i="70"/>
  <c r="P29" i="70"/>
  <c r="O29" i="70"/>
  <c r="N29" i="70"/>
  <c r="M29" i="70"/>
  <c r="L29" i="70"/>
  <c r="J29" i="70"/>
  <c r="H29" i="70"/>
  <c r="G29" i="70"/>
  <c r="F29" i="70"/>
  <c r="S21" i="70"/>
  <c r="L21" i="70"/>
  <c r="F21" i="70"/>
  <c r="AC21" i="70"/>
  <c r="AB21" i="70"/>
  <c r="AA21" i="70"/>
  <c r="Z21" i="70"/>
  <c r="Y21" i="70"/>
  <c r="X21" i="70"/>
  <c r="W21" i="70"/>
  <c r="V21" i="70"/>
  <c r="U21" i="70"/>
  <c r="T21" i="70"/>
  <c r="R21" i="70"/>
  <c r="Q21" i="70"/>
  <c r="P21" i="70"/>
  <c r="O21" i="70"/>
  <c r="N21" i="70"/>
  <c r="M21" i="70"/>
  <c r="J21" i="70"/>
  <c r="H21" i="70"/>
  <c r="G21" i="70"/>
  <c r="AC15" i="70"/>
  <c r="AB15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J15" i="70"/>
  <c r="H15" i="70"/>
  <c r="G15" i="70"/>
  <c r="F15" i="70"/>
  <c r="H9" i="70"/>
  <c r="G9" i="70"/>
  <c r="F9" i="70"/>
  <c r="AC9" i="70"/>
  <c r="AB9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J9" i="70"/>
  <c r="R68" i="70" l="1"/>
  <c r="T68" i="70"/>
  <c r="AE23" i="72"/>
  <c r="AE31" i="72"/>
  <c r="AC68" i="70"/>
  <c r="V68" i="70"/>
  <c r="W68" i="70"/>
  <c r="Z68" i="70"/>
  <c r="AA68" i="70"/>
  <c r="X68" i="70"/>
  <c r="Y68" i="70"/>
  <c r="AB68" i="70"/>
  <c r="U68" i="70"/>
  <c r="S68" i="70"/>
  <c r="DN31" i="73"/>
  <c r="Q68" i="70"/>
  <c r="A55" i="78"/>
  <c r="A55" i="87"/>
  <c r="A43" i="78"/>
  <c r="A43" i="87"/>
  <c r="A11" i="78"/>
  <c r="A11" i="87"/>
  <c r="A48" i="78"/>
  <c r="A48" i="87"/>
  <c r="A64" i="78"/>
  <c r="A64" i="87"/>
  <c r="A56" i="78"/>
  <c r="A56" i="87"/>
  <c r="A15" i="78"/>
  <c r="A15" i="87"/>
  <c r="A25" i="78"/>
  <c r="A25" i="87"/>
  <c r="A34" i="78"/>
  <c r="A34" i="87"/>
  <c r="A10" i="73"/>
  <c r="A10" i="87"/>
  <c r="A51" i="73"/>
  <c r="A51" i="87"/>
  <c r="A50" i="78"/>
  <c r="A50" i="87"/>
  <c r="A18" i="78"/>
  <c r="A18" i="87"/>
  <c r="A39" i="78"/>
  <c r="A39" i="87"/>
  <c r="A24" i="73"/>
  <c r="A24" i="87"/>
  <c r="A32" i="73"/>
  <c r="A32" i="87"/>
  <c r="A57" i="78"/>
  <c r="A57" i="87"/>
  <c r="A37" i="73"/>
  <c r="A37" i="87"/>
  <c r="A28" i="73"/>
  <c r="A28" i="87"/>
  <c r="A27" i="78"/>
  <c r="A27" i="87"/>
  <c r="A22" i="73"/>
  <c r="A22" i="87"/>
  <c r="A47" i="73"/>
  <c r="A47" i="87"/>
  <c r="A36" i="73"/>
  <c r="A36" i="87"/>
  <c r="A8" i="73"/>
  <c r="A8" i="87"/>
  <c r="A23" i="78"/>
  <c r="A23" i="87"/>
  <c r="A49" i="73"/>
  <c r="A49" i="87"/>
  <c r="A63" i="78"/>
  <c r="A63" i="87"/>
  <c r="A17" i="73"/>
  <c r="A17" i="87"/>
  <c r="A62" i="78"/>
  <c r="A62" i="87"/>
  <c r="A38" i="73"/>
  <c r="A38" i="87"/>
  <c r="A54" i="73"/>
  <c r="A54" i="87"/>
  <c r="A46" i="78"/>
  <c r="A46" i="87"/>
  <c r="A30" i="78"/>
  <c r="A30" i="87"/>
  <c r="A21" i="73"/>
  <c r="A21" i="87"/>
  <c r="A31" i="78"/>
  <c r="A31" i="87"/>
  <c r="A52" i="73"/>
  <c r="A52" i="87"/>
  <c r="A60" i="73"/>
  <c r="A60" i="87"/>
  <c r="A33" i="78"/>
  <c r="A33" i="87"/>
  <c r="A26" i="78"/>
  <c r="A26" i="87"/>
  <c r="A9" i="78"/>
  <c r="A9" i="87"/>
  <c r="A41" i="78"/>
  <c r="A41" i="87"/>
  <c r="A53" i="73"/>
  <c r="A53" i="87"/>
  <c r="A45" i="73"/>
  <c r="A45" i="87"/>
  <c r="A29" i="73"/>
  <c r="A29" i="87"/>
  <c r="A20" i="73"/>
  <c r="A20" i="87"/>
  <c r="A67" i="73"/>
  <c r="A67" i="87"/>
  <c r="A14" i="73"/>
  <c r="A14" i="87"/>
  <c r="A66" i="73"/>
  <c r="A66" i="87"/>
  <c r="A7" i="73"/>
  <c r="A7" i="87"/>
  <c r="A16" i="73"/>
  <c r="A16" i="87"/>
  <c r="A13" i="78"/>
  <c r="A13" i="87"/>
  <c r="A65" i="73"/>
  <c r="A65" i="87"/>
  <c r="A40" i="78"/>
  <c r="A40" i="87"/>
  <c r="A59" i="78"/>
  <c r="A59" i="87"/>
  <c r="A42" i="73"/>
  <c r="A42" i="87"/>
  <c r="A12" i="78"/>
  <c r="A12" i="87"/>
  <c r="A58" i="78"/>
  <c r="A58" i="87"/>
  <c r="A61" i="73"/>
  <c r="A61" i="87"/>
  <c r="A35" i="73"/>
  <c r="A35" i="87"/>
  <c r="A19" i="73"/>
  <c r="A19" i="87"/>
  <c r="AG44" i="72"/>
  <c r="L68" i="70"/>
  <c r="M68" i="70"/>
  <c r="J68" i="70"/>
  <c r="A9" i="73"/>
  <c r="A41" i="73"/>
  <c r="A42" i="78"/>
  <c r="A20" i="78"/>
  <c r="A64" i="73"/>
  <c r="A63" i="73"/>
  <c r="A49" i="78"/>
  <c r="A24" i="78"/>
  <c r="A15" i="73"/>
  <c r="A30" i="73"/>
  <c r="A26" i="73"/>
  <c r="A46" i="73"/>
  <c r="A54" i="78"/>
  <c r="AG11" i="72"/>
  <c r="N68" i="70"/>
  <c r="O68" i="70"/>
  <c r="P68" i="70"/>
  <c r="G68" i="70"/>
  <c r="F68" i="70"/>
  <c r="H68" i="70"/>
  <c r="A61" i="78"/>
  <c r="A38" i="78"/>
  <c r="A14" i="78"/>
  <c r="A50" i="73"/>
  <c r="A22" i="78"/>
  <c r="A37" i="78"/>
  <c r="A31" i="73"/>
  <c r="A55" i="73"/>
  <c r="A36" i="78"/>
  <c r="A67" i="78"/>
  <c r="A12" i="73"/>
  <c r="A43" i="73"/>
  <c r="A34" i="73"/>
  <c r="A53" i="78"/>
  <c r="A58" i="73"/>
  <c r="A57" i="73"/>
  <c r="A56" i="73"/>
  <c r="A27" i="73"/>
  <c r="A29" i="78"/>
  <c r="A59" i="73"/>
  <c r="A33" i="73"/>
  <c r="A35" i="78"/>
  <c r="A62" i="73"/>
  <c r="A47" i="78"/>
  <c r="A17" i="78"/>
  <c r="A25" i="73"/>
  <c r="A32" i="78"/>
  <c r="A40" i="73"/>
  <c r="A8" i="78"/>
  <c r="A39" i="73"/>
  <c r="A45" i="78"/>
  <c r="A66" i="78"/>
  <c r="A60" i="78"/>
  <c r="A52" i="78"/>
  <c r="A10" i="78"/>
  <c r="A19" i="78"/>
  <c r="A18" i="73"/>
  <c r="A16" i="78"/>
  <c r="A48" i="73"/>
  <c r="A7" i="78"/>
  <c r="A13" i="73"/>
  <c r="A65" i="78"/>
  <c r="A51" i="78"/>
  <c r="A28" i="78"/>
  <c r="A44" i="78"/>
  <c r="A44" i="73"/>
  <c r="A11" i="73"/>
  <c r="A23" i="73"/>
  <c r="AE59" i="70"/>
  <c r="AH35" i="70"/>
  <c r="AE15" i="70"/>
  <c r="CM45" i="73"/>
  <c r="DO45" i="73"/>
  <c r="CD45" i="73"/>
  <c r="CF45" i="73"/>
  <c r="DD45" i="73"/>
  <c r="CP45" i="73"/>
  <c r="CT45" i="73"/>
  <c r="DQ45" i="73"/>
  <c r="DM45" i="73"/>
  <c r="CB45" i="73"/>
  <c r="DH45" i="73"/>
  <c r="CW45" i="73"/>
  <c r="CY45" i="73"/>
  <c r="CL31" i="73"/>
  <c r="CZ31" i="73"/>
  <c r="CX31" i="73"/>
  <c r="DP31" i="73"/>
  <c r="CX23" i="73"/>
  <c r="CZ23" i="73"/>
  <c r="DN23" i="73"/>
  <c r="DP23" i="73"/>
  <c r="CZ11" i="73"/>
  <c r="CX11" i="73"/>
  <c r="DN11" i="73"/>
  <c r="DP11" i="73"/>
  <c r="AV48" i="72"/>
  <c r="AT55" i="72"/>
  <c r="AP48" i="72"/>
  <c r="AP55" i="72" s="1"/>
  <c r="AV55" i="72"/>
  <c r="AL55" i="72"/>
  <c r="AJ55" i="72"/>
  <c r="AE55" i="72"/>
  <c r="AG55" i="72"/>
  <c r="AJ48" i="72"/>
  <c r="AT48" i="72"/>
  <c r="AL48" i="72"/>
  <c r="AE48" i="72"/>
  <c r="AG48" i="72"/>
  <c r="AT37" i="72"/>
  <c r="AV37" i="72"/>
  <c r="AJ44" i="72"/>
  <c r="AV44" i="72"/>
  <c r="AL44" i="72"/>
  <c r="AE44" i="72"/>
  <c r="AT44" i="72"/>
  <c r="AL37" i="72"/>
  <c r="AG37" i="72"/>
  <c r="AJ37" i="72"/>
  <c r="AE37" i="72"/>
  <c r="AJ31" i="72"/>
  <c r="AV31" i="72"/>
  <c r="AL31" i="72"/>
  <c r="AG31" i="72"/>
  <c r="AT31" i="72"/>
  <c r="AV23" i="72"/>
  <c r="AL23" i="72"/>
  <c r="AJ23" i="72"/>
  <c r="AT23" i="72"/>
  <c r="AG23" i="72"/>
  <c r="AJ17" i="72"/>
  <c r="AV17" i="72"/>
  <c r="AL17" i="72"/>
  <c r="AE17" i="72"/>
  <c r="AG17" i="72"/>
  <c r="AT17" i="72"/>
  <c r="AT11" i="72"/>
  <c r="AL11" i="72"/>
  <c r="AJ11" i="72"/>
  <c r="AV11" i="72"/>
  <c r="AE11" i="72"/>
  <c r="AJ46" i="70"/>
  <c r="AM46" i="70"/>
  <c r="AK46" i="70"/>
  <c r="AN46" i="70"/>
  <c r="AJ35" i="70"/>
  <c r="AD46" i="70"/>
  <c r="AE46" i="70"/>
  <c r="AG46" i="70"/>
  <c r="AH46" i="70"/>
  <c r="AM35" i="70"/>
  <c r="AN35" i="70"/>
  <c r="AK35" i="70"/>
  <c r="AD35" i="70"/>
  <c r="AE35" i="70"/>
  <c r="AG35" i="70"/>
  <c r="AN21" i="70"/>
  <c r="AJ21" i="70"/>
  <c r="AM21" i="70"/>
  <c r="AH15" i="70"/>
  <c r="AK21" i="70"/>
  <c r="AD21" i="70"/>
  <c r="AE21" i="70"/>
  <c r="AG21" i="70"/>
  <c r="AH21" i="70"/>
  <c r="AN15" i="70"/>
  <c r="AM15" i="70"/>
  <c r="AG15" i="70"/>
  <c r="AK15" i="70"/>
  <c r="AJ15" i="70"/>
  <c r="AD15" i="70"/>
  <c r="AJ9" i="70"/>
  <c r="AN9" i="70"/>
  <c r="AM9" i="70"/>
  <c r="AK9" i="70"/>
  <c r="AD9" i="70"/>
  <c r="AE9" i="70"/>
  <c r="AG9" i="70"/>
  <c r="AH9" i="70"/>
  <c r="AE68" i="70" l="1"/>
  <c r="AD68" i="70"/>
  <c r="AG68" i="70"/>
  <c r="AI35" i="70"/>
  <c r="AF15" i="70"/>
  <c r="AL46" i="70"/>
  <c r="AO46" i="70"/>
  <c r="AF46" i="70"/>
  <c r="AL35" i="70"/>
  <c r="AI46" i="70"/>
  <c r="AO35" i="70"/>
  <c r="AF35" i="70"/>
  <c r="AL21" i="70"/>
  <c r="AO21" i="70"/>
  <c r="AL15" i="70"/>
  <c r="AO15" i="70"/>
  <c r="AI15" i="70"/>
  <c r="AF21" i="70"/>
  <c r="AI21" i="70"/>
  <c r="AL9" i="70"/>
  <c r="AO9" i="70"/>
  <c r="AF9" i="70"/>
  <c r="AI9" i="70"/>
  <c r="K64" i="77" l="1"/>
  <c r="K42" i="77"/>
  <c r="I64" i="77" l="1"/>
  <c r="I42" i="77"/>
  <c r="G64" i="79"/>
  <c r="G66" i="79" s="1"/>
  <c r="G68" i="78"/>
  <c r="G70" i="78" l="1"/>
  <c r="BD68" i="78"/>
  <c r="I66" i="77"/>
  <c r="AH43" i="74"/>
  <c r="AE43" i="74"/>
  <c r="H48" i="78"/>
  <c r="AQ48" i="78"/>
  <c r="AP48" i="78"/>
  <c r="AQ44" i="78"/>
  <c r="H44" i="78"/>
  <c r="AP44" i="78"/>
  <c r="H45" i="79" l="1"/>
  <c r="H51" i="79"/>
  <c r="AR48" i="78"/>
  <c r="AR44" i="78"/>
  <c r="M77" i="70"/>
  <c r="M76" i="70"/>
  <c r="M80" i="72"/>
  <c r="AD85" i="73"/>
  <c r="AD84" i="73"/>
  <c r="Y80" i="78"/>
  <c r="M76" i="74"/>
  <c r="M75" i="74"/>
  <c r="AF79" i="77"/>
  <c r="AF78" i="77"/>
  <c r="M76" i="76"/>
  <c r="U76" i="79"/>
  <c r="BT42" i="77" l="1"/>
  <c r="BT66" i="77" s="1"/>
  <c r="BJ68" i="73"/>
  <c r="BJ70" i="73"/>
  <c r="AA68" i="72" l="1"/>
  <c r="AA70" i="72" s="1"/>
  <c r="Z68" i="72"/>
  <c r="Z70" i="72" s="1"/>
  <c r="CA42" i="77"/>
  <c r="CA66" i="77" s="1"/>
  <c r="BY42" i="77"/>
  <c r="BY66" i="77" s="1"/>
  <c r="BR68" i="73"/>
  <c r="AA40" i="74"/>
  <c r="AA64" i="74" s="1"/>
  <c r="BL68" i="73"/>
  <c r="BL70" i="73" s="1"/>
  <c r="BR70" i="73" l="1"/>
  <c r="CB66" i="77"/>
  <c r="Y68" i="72"/>
  <c r="Y70" i="72" s="1"/>
  <c r="X68" i="72"/>
  <c r="X70" i="72" s="1"/>
  <c r="BM42" i="77"/>
  <c r="BM66" i="77" s="1"/>
  <c r="BO42" i="77"/>
  <c r="BO66" i="77" s="1"/>
  <c r="Y40" i="74" l="1"/>
  <c r="Y64" i="74" s="1"/>
  <c r="W68" i="72"/>
  <c r="W70" i="72" s="1"/>
  <c r="V68" i="72"/>
  <c r="V70" i="72" s="1"/>
  <c r="BD68" i="73" l="1"/>
  <c r="BD70" i="73" l="1"/>
  <c r="BF68" i="73"/>
  <c r="BF70" i="73"/>
  <c r="D94" i="84"/>
  <c r="D93" i="84"/>
  <c r="D92" i="84"/>
  <c r="D91" i="84"/>
  <c r="D90" i="84"/>
  <c r="D89" i="84"/>
  <c r="D88" i="84"/>
  <c r="D87" i="84"/>
  <c r="D86" i="84"/>
  <c r="D85" i="84"/>
  <c r="D84" i="84"/>
  <c r="D83" i="84"/>
  <c r="D81" i="84"/>
  <c r="D80" i="84"/>
  <c r="D79" i="84"/>
  <c r="D78" i="84"/>
  <c r="D77" i="84"/>
  <c r="D76" i="84"/>
  <c r="D75" i="84"/>
  <c r="D74" i="84"/>
  <c r="D73" i="84"/>
  <c r="D72" i="84"/>
  <c r="D71" i="84"/>
  <c r="D70" i="84"/>
  <c r="D69" i="84"/>
  <c r="D68" i="84"/>
  <c r="D67" i="84"/>
  <c r="D66" i="84"/>
  <c r="D65" i="84"/>
  <c r="D64" i="84"/>
  <c r="D63" i="84"/>
  <c r="D62" i="84"/>
  <c r="D61" i="84"/>
  <c r="D60" i="84"/>
  <c r="D59" i="84"/>
  <c r="D58" i="84"/>
  <c r="D57" i="84"/>
  <c r="D56" i="84"/>
  <c r="D55" i="84"/>
  <c r="D54" i="84"/>
  <c r="D53" i="84"/>
  <c r="D52" i="84"/>
  <c r="V24" i="84"/>
  <c r="U24" i="84"/>
  <c r="I24" i="84"/>
  <c r="G24" i="84"/>
  <c r="X21" i="84" a="1"/>
  <c r="X21" i="84" s="1"/>
  <c r="W21" i="84" a="1"/>
  <c r="W21" i="84" s="1"/>
  <c r="X20" i="84" a="1"/>
  <c r="X20" i="84" s="1"/>
  <c r="W20" i="84" a="1"/>
  <c r="W20" i="84" s="1"/>
  <c r="X18" i="84" a="1"/>
  <c r="X18" i="84" s="1"/>
  <c r="W18" i="84" a="1"/>
  <c r="W18" i="84" s="1"/>
  <c r="I3" i="84"/>
  <c r="W40" i="74" l="1"/>
  <c r="W64" i="74" s="1"/>
  <c r="AZ68" i="73"/>
  <c r="AZ70" i="73"/>
  <c r="BF42" i="77" l="1"/>
  <c r="BF66" i="77" s="1"/>
  <c r="AX68" i="73"/>
  <c r="AX70" i="73" s="1"/>
  <c r="BH42" i="77"/>
  <c r="BH66" i="77" s="1"/>
  <c r="U40" i="74" l="1"/>
  <c r="U64" i="74" s="1"/>
  <c r="U68" i="72" l="1"/>
  <c r="U70" i="72" s="1"/>
  <c r="T68" i="72"/>
  <c r="T70" i="72" s="1"/>
  <c r="S68" i="72"/>
  <c r="S70" i="72" s="1"/>
  <c r="R68" i="72"/>
  <c r="R70" i="72" s="1"/>
  <c r="BA42" i="77" l="1"/>
  <c r="BA66" i="77" s="1"/>
  <c r="AT68" i="73"/>
  <c r="AT70" i="73" s="1"/>
  <c r="S40" i="74" l="1"/>
  <c r="S64" i="74" s="1"/>
  <c r="AY42" i="77" l="1"/>
  <c r="AY66" i="77" s="1"/>
  <c r="AR68" i="73"/>
  <c r="AR70" i="73" s="1"/>
  <c r="BP18" i="79" l="1"/>
  <c r="BQ18" i="79"/>
  <c r="BP13" i="79"/>
  <c r="BQ13" i="79"/>
  <c r="BP7" i="79"/>
  <c r="BQ7" i="79"/>
  <c r="BP14" i="79"/>
  <c r="BQ14" i="79"/>
  <c r="BP19" i="79"/>
  <c r="BQ19" i="79"/>
  <c r="BP20" i="79"/>
  <c r="BQ20" i="79"/>
  <c r="BP21" i="79"/>
  <c r="BQ21" i="79"/>
  <c r="BP8" i="79"/>
  <c r="BQ8" i="79"/>
  <c r="BP31" i="79"/>
  <c r="BQ31" i="79"/>
  <c r="BP25" i="79"/>
  <c r="BQ25" i="79"/>
  <c r="BP26" i="79"/>
  <c r="BQ26" i="79"/>
  <c r="BP32" i="79"/>
  <c r="BQ32" i="79"/>
  <c r="BP27" i="79"/>
  <c r="BQ27" i="79"/>
  <c r="BP28" i="79"/>
  <c r="BQ28" i="79"/>
  <c r="BP33" i="79"/>
  <c r="BQ33" i="79"/>
  <c r="BP34" i="79"/>
  <c r="BQ34" i="79"/>
  <c r="BP29" i="79"/>
  <c r="BQ29" i="79"/>
  <c r="BP35" i="79"/>
  <c r="BQ35" i="79"/>
  <c r="BP37" i="79"/>
  <c r="BQ37" i="79"/>
  <c r="BP9" i="79"/>
  <c r="BQ9" i="79"/>
  <c r="BP15" i="79"/>
  <c r="BQ15" i="79"/>
  <c r="BP16" i="79"/>
  <c r="BQ16" i="79"/>
  <c r="BP10" i="79"/>
  <c r="BQ10" i="79"/>
  <c r="BP43" i="79"/>
  <c r="BQ43" i="79"/>
  <c r="BP44" i="79"/>
  <c r="BQ44" i="79"/>
  <c r="BP39" i="79"/>
  <c r="BQ39" i="79"/>
  <c r="BP40" i="79"/>
  <c r="BQ40" i="79"/>
  <c r="BP52" i="79"/>
  <c r="BQ52" i="79"/>
  <c r="BP41" i="79"/>
  <c r="BQ41" i="79"/>
  <c r="BP46" i="79"/>
  <c r="BQ46" i="79"/>
  <c r="BP47" i="79"/>
  <c r="BQ47" i="79"/>
  <c r="BP48" i="79"/>
  <c r="BQ48" i="79"/>
  <c r="BP53" i="79"/>
  <c r="BQ53" i="79"/>
  <c r="BP54" i="79"/>
  <c r="BQ54" i="79"/>
  <c r="BP49" i="79"/>
  <c r="BQ49" i="79"/>
  <c r="BP22" i="79"/>
  <c r="BQ22" i="79"/>
  <c r="BP58" i="79"/>
  <c r="BQ58" i="79"/>
  <c r="BP59" i="79"/>
  <c r="BQ59" i="79"/>
  <c r="BP60" i="79"/>
  <c r="BQ60" i="79"/>
  <c r="BP55" i="79"/>
  <c r="BQ55" i="79"/>
  <c r="BP61" i="79"/>
  <c r="BQ61" i="79"/>
  <c r="BP56" i="79"/>
  <c r="BQ56" i="79"/>
  <c r="BP62" i="79"/>
  <c r="BQ62" i="79"/>
  <c r="BP63" i="79"/>
  <c r="BQ63" i="79"/>
  <c r="BQ12" i="79"/>
  <c r="BP12" i="79"/>
  <c r="BO18" i="78"/>
  <c r="BO13" i="78"/>
  <c r="BO7" i="78"/>
  <c r="BO14" i="78"/>
  <c r="BO19" i="78"/>
  <c r="BO20" i="78"/>
  <c r="BO21" i="78"/>
  <c r="BO8" i="78"/>
  <c r="BO32" i="78"/>
  <c r="BO24" i="78"/>
  <c r="BO25" i="78"/>
  <c r="BO26" i="78"/>
  <c r="BO33" i="78"/>
  <c r="BO27" i="78"/>
  <c r="BO28" i="78"/>
  <c r="BO34" i="78"/>
  <c r="BO35" i="78"/>
  <c r="BO29" i="78"/>
  <c r="BO30" i="78"/>
  <c r="BO36" i="78"/>
  <c r="BO38" i="78"/>
  <c r="BO9" i="78"/>
  <c r="BO15" i="78"/>
  <c r="BO39" i="78"/>
  <c r="BO40" i="78"/>
  <c r="BO16" i="78"/>
  <c r="BO10" i="78"/>
  <c r="BO49" i="78"/>
  <c r="BO45" i="78"/>
  <c r="BO46" i="78"/>
  <c r="BO47" i="78"/>
  <c r="BO41" i="78"/>
  <c r="BO42" i="78"/>
  <c r="BO56" i="78"/>
  <c r="BO43" i="78"/>
  <c r="BO50" i="78"/>
  <c r="BO51" i="78"/>
  <c r="BO52" i="78"/>
  <c r="BO57" i="78"/>
  <c r="BO58" i="78"/>
  <c r="BO53" i="78"/>
  <c r="BO54" i="78"/>
  <c r="BO22" i="78"/>
  <c r="BO62" i="78"/>
  <c r="BO63" i="78"/>
  <c r="BO64" i="78"/>
  <c r="BO59" i="78"/>
  <c r="BO65" i="78"/>
  <c r="BO60" i="78"/>
  <c r="BO66" i="78"/>
  <c r="BO67" i="78"/>
  <c r="BO12" i="78"/>
  <c r="BP18" i="78"/>
  <c r="BP13" i="78"/>
  <c r="BP7" i="78"/>
  <c r="BP14" i="78"/>
  <c r="BP19" i="78"/>
  <c r="BP20" i="78"/>
  <c r="BP21" i="78"/>
  <c r="BP8" i="78"/>
  <c r="BP32" i="78"/>
  <c r="BP24" i="78"/>
  <c r="BP25" i="78"/>
  <c r="BP26" i="78"/>
  <c r="BP33" i="78"/>
  <c r="BP27" i="78"/>
  <c r="BP28" i="78"/>
  <c r="BP34" i="78"/>
  <c r="BP35" i="78"/>
  <c r="BP29" i="78"/>
  <c r="BP30" i="78"/>
  <c r="BP36" i="78"/>
  <c r="BP38" i="78"/>
  <c r="BP9" i="78"/>
  <c r="BP15" i="78"/>
  <c r="BP39" i="78"/>
  <c r="BP40" i="78"/>
  <c r="BP16" i="78"/>
  <c r="BP10" i="78"/>
  <c r="BP49" i="78"/>
  <c r="BP45" i="78"/>
  <c r="BP46" i="78"/>
  <c r="BP47" i="78"/>
  <c r="BP41" i="78"/>
  <c r="BP42" i="78"/>
  <c r="BP56" i="78"/>
  <c r="BP43" i="78"/>
  <c r="BP50" i="78"/>
  <c r="BP51" i="78"/>
  <c r="BP52" i="78"/>
  <c r="BP57" i="78"/>
  <c r="BP58" i="78"/>
  <c r="BP53" i="78"/>
  <c r="BP54" i="78"/>
  <c r="BP22" i="78"/>
  <c r="BP62" i="78"/>
  <c r="BP63" i="78"/>
  <c r="BP64" i="78"/>
  <c r="BP59" i="78"/>
  <c r="BP65" i="78"/>
  <c r="BP60" i="78"/>
  <c r="BP66" i="78"/>
  <c r="BP67" i="78"/>
  <c r="BP12" i="78"/>
  <c r="AZ18" i="76"/>
  <c r="AZ13" i="76"/>
  <c r="AZ7" i="76"/>
  <c r="AZ14" i="76"/>
  <c r="AZ19" i="76"/>
  <c r="AZ20" i="76"/>
  <c r="AZ21" i="76"/>
  <c r="AZ8" i="76"/>
  <c r="AZ31" i="76"/>
  <c r="AZ25" i="76"/>
  <c r="AZ26" i="76"/>
  <c r="AZ32" i="76"/>
  <c r="AZ27" i="76"/>
  <c r="AZ28" i="76"/>
  <c r="AZ33" i="76"/>
  <c r="AZ34" i="76"/>
  <c r="AZ29" i="76"/>
  <c r="AZ35" i="76"/>
  <c r="AZ37" i="76"/>
  <c r="AZ9" i="76"/>
  <c r="AZ15" i="76"/>
  <c r="AZ16" i="76"/>
  <c r="AZ10" i="76"/>
  <c r="AZ43" i="76"/>
  <c r="AZ44" i="76"/>
  <c r="AZ39" i="76"/>
  <c r="AZ40" i="76"/>
  <c r="AZ52" i="76"/>
  <c r="AZ41" i="76"/>
  <c r="AZ46" i="76"/>
  <c r="AZ47" i="76"/>
  <c r="AZ48" i="76"/>
  <c r="AZ53" i="76"/>
  <c r="AZ54" i="76"/>
  <c r="AZ49" i="76"/>
  <c r="AZ22" i="76"/>
  <c r="AZ58" i="76"/>
  <c r="AZ59" i="76"/>
  <c r="AZ60" i="76"/>
  <c r="AZ55" i="76"/>
  <c r="AZ61" i="76"/>
  <c r="AZ56" i="76"/>
  <c r="AZ62" i="76"/>
  <c r="AZ63" i="76"/>
  <c r="AZ12" i="76"/>
  <c r="BM18" i="72"/>
  <c r="BM13" i="72"/>
  <c r="BM7" i="72"/>
  <c r="BM14" i="72"/>
  <c r="BM19" i="72"/>
  <c r="BM20" i="72"/>
  <c r="BM21" i="72"/>
  <c r="BM8" i="72"/>
  <c r="BM32" i="72"/>
  <c r="BM24" i="72"/>
  <c r="BM25" i="72"/>
  <c r="BM26" i="72"/>
  <c r="BM33" i="72"/>
  <c r="BM27" i="72"/>
  <c r="BM28" i="72"/>
  <c r="BM34" i="72"/>
  <c r="BM35" i="72"/>
  <c r="BM29" i="72"/>
  <c r="BM30" i="72"/>
  <c r="BM36" i="72"/>
  <c r="BM38" i="72"/>
  <c r="BM9" i="72"/>
  <c r="BM15" i="72"/>
  <c r="BM39" i="72"/>
  <c r="BM40" i="72"/>
  <c r="BM16" i="72"/>
  <c r="BM10" i="72"/>
  <c r="BM49" i="72"/>
  <c r="BM45" i="72"/>
  <c r="BM46" i="72"/>
  <c r="BM47" i="72"/>
  <c r="BM41" i="72"/>
  <c r="BM42" i="72"/>
  <c r="BM56" i="72"/>
  <c r="BM43" i="72"/>
  <c r="BM50" i="72"/>
  <c r="BM51" i="72"/>
  <c r="BM52" i="72"/>
  <c r="BM57" i="72"/>
  <c r="BM58" i="72"/>
  <c r="BM53" i="72"/>
  <c r="BM54" i="72"/>
  <c r="BM22" i="72"/>
  <c r="BM62" i="72"/>
  <c r="BM63" i="72"/>
  <c r="BM64" i="72"/>
  <c r="BM59" i="72"/>
  <c r="BM65" i="72"/>
  <c r="BM60" i="72"/>
  <c r="BM66" i="72"/>
  <c r="BM67" i="72"/>
  <c r="BM12" i="72"/>
  <c r="AK42" i="77" l="1"/>
  <c r="AK66" i="77" s="1"/>
  <c r="AR42" i="77"/>
  <c r="AR66" i="77" s="1"/>
  <c r="Q40" i="74"/>
  <c r="Q64" i="74" s="1"/>
  <c r="AL68" i="73"/>
  <c r="AL70" i="73" s="1"/>
  <c r="AT42" i="77"/>
  <c r="AT66" i="77" s="1"/>
  <c r="AN68" i="73"/>
  <c r="AN70" i="73" s="1"/>
  <c r="Q68" i="72" l="1"/>
  <c r="P68" i="72"/>
  <c r="P70" i="72" l="1"/>
  <c r="Q70" i="72"/>
  <c r="AF68" i="73"/>
  <c r="AF70" i="73"/>
  <c r="AH68" i="73" l="1"/>
  <c r="AH70" i="73" s="1"/>
  <c r="AM42" i="77"/>
  <c r="AM66" i="77" s="1"/>
  <c r="O68" i="72" l="1"/>
  <c r="O70" i="72" s="1"/>
  <c r="N68" i="72"/>
  <c r="N70" i="72" s="1"/>
  <c r="O40" i="74"/>
  <c r="O64" i="74" s="1"/>
  <c r="CE32" i="73" l="1"/>
  <c r="CE24" i="73"/>
  <c r="CE25" i="73"/>
  <c r="CE26" i="73"/>
  <c r="CE33" i="73"/>
  <c r="CE27" i="73"/>
  <c r="CE28" i="73"/>
  <c r="CE34" i="73"/>
  <c r="CE35" i="73"/>
  <c r="CE29" i="73"/>
  <c r="CE30" i="73"/>
  <c r="CE36" i="73"/>
  <c r="CE38" i="73"/>
  <c r="CE9" i="73"/>
  <c r="CE15" i="73"/>
  <c r="CE39" i="73"/>
  <c r="CE40" i="73"/>
  <c r="CE16" i="73"/>
  <c r="CE10" i="73"/>
  <c r="CE49" i="73"/>
  <c r="CE46" i="73"/>
  <c r="CE47" i="73"/>
  <c r="CE41" i="73"/>
  <c r="CE42" i="73"/>
  <c r="CE56" i="73"/>
  <c r="CE43" i="73"/>
  <c r="CE50" i="73"/>
  <c r="CE51" i="73"/>
  <c r="CE52" i="73"/>
  <c r="CE57" i="73"/>
  <c r="CE58" i="73"/>
  <c r="CE53" i="73"/>
  <c r="CE54" i="73"/>
  <c r="CE22" i="73"/>
  <c r="CE62" i="73"/>
  <c r="CE63" i="73"/>
  <c r="CE64" i="73"/>
  <c r="CE59" i="73"/>
  <c r="CE65" i="73"/>
  <c r="CE60" i="73"/>
  <c r="CE66" i="73"/>
  <c r="CE67" i="73"/>
  <c r="CE18" i="73"/>
  <c r="CE13" i="73"/>
  <c r="CE7" i="73"/>
  <c r="CE14" i="73"/>
  <c r="CE19" i="73"/>
  <c r="CE20" i="73"/>
  <c r="CE21" i="73"/>
  <c r="CE8" i="73"/>
  <c r="CE12" i="73"/>
  <c r="CE37" i="73" l="1"/>
  <c r="CE23" i="73"/>
  <c r="CE48" i="73"/>
  <c r="CE61" i="73"/>
  <c r="CE11" i="73"/>
  <c r="CE44" i="73"/>
  <c r="CE17" i="73"/>
  <c r="CE31" i="73"/>
  <c r="CE55" i="73"/>
  <c r="CE68" i="73"/>
  <c r="AD42" i="77" l="1"/>
  <c r="AD66" i="77" s="1"/>
  <c r="Z68" i="73"/>
  <c r="Z70" i="73" s="1"/>
  <c r="AB68" i="73"/>
  <c r="AB70" i="73"/>
  <c r="AF42" i="77"/>
  <c r="AF66" i="77" s="1"/>
  <c r="M68" i="72" l="1"/>
  <c r="M70" i="72" s="1"/>
  <c r="L68" i="72"/>
  <c r="L70" i="72" s="1"/>
  <c r="BQ42" i="79" l="1"/>
  <c r="BQ51" i="79"/>
  <c r="BP42" i="79"/>
  <c r="M40" i="74"/>
  <c r="M64" i="74" s="1"/>
  <c r="BP51" i="79" l="1"/>
  <c r="BP45" i="79"/>
  <c r="BQ45" i="79"/>
  <c r="DP18" i="73"/>
  <c r="DP13" i="73"/>
  <c r="DP7" i="73"/>
  <c r="DP14" i="73"/>
  <c r="DP19" i="73"/>
  <c r="DP20" i="73"/>
  <c r="DP21" i="73"/>
  <c r="DP8" i="73"/>
  <c r="DP32" i="73"/>
  <c r="DP24" i="73"/>
  <c r="DP25" i="73"/>
  <c r="DP26" i="73"/>
  <c r="DP33" i="73"/>
  <c r="DP27" i="73"/>
  <c r="DP28" i="73"/>
  <c r="DP34" i="73"/>
  <c r="DP35" i="73"/>
  <c r="DP29" i="73"/>
  <c r="DP30" i="73"/>
  <c r="DP36" i="73"/>
  <c r="DP38" i="73"/>
  <c r="DP9" i="73"/>
  <c r="DP15" i="73"/>
  <c r="DP39" i="73"/>
  <c r="DP40" i="73"/>
  <c r="DP16" i="73"/>
  <c r="DP10" i="73"/>
  <c r="DP49" i="73"/>
  <c r="DP46" i="73"/>
  <c r="DP47" i="73"/>
  <c r="DP41" i="73"/>
  <c r="DP42" i="73"/>
  <c r="DP56" i="73"/>
  <c r="DP43" i="73"/>
  <c r="DP50" i="73"/>
  <c r="DP51" i="73"/>
  <c r="DP52" i="73"/>
  <c r="DP57" i="73"/>
  <c r="DP58" i="73"/>
  <c r="DP53" i="73"/>
  <c r="DP54" i="73"/>
  <c r="DP22" i="73"/>
  <c r="DP62" i="73"/>
  <c r="DP63" i="73"/>
  <c r="DP64" i="73"/>
  <c r="DP59" i="73"/>
  <c r="DP65" i="73"/>
  <c r="DP60" i="73"/>
  <c r="DP66" i="73"/>
  <c r="DP67" i="73"/>
  <c r="DP12" i="73"/>
  <c r="BQ57" i="79" l="1"/>
  <c r="BP57" i="79"/>
  <c r="Y42" i="77"/>
  <c r="Y66" i="77" s="1"/>
  <c r="BG63" i="78"/>
  <c r="BG64" i="78"/>
  <c r="BG59" i="78"/>
  <c r="BG65" i="78"/>
  <c r="BG60" i="78"/>
  <c r="BG66" i="78"/>
  <c r="BG67" i="78"/>
  <c r="BF63" i="78"/>
  <c r="BF64" i="78"/>
  <c r="BF59" i="78"/>
  <c r="BF65" i="78"/>
  <c r="BF60" i="78"/>
  <c r="BF66" i="78"/>
  <c r="BF67" i="78"/>
  <c r="BG51" i="78"/>
  <c r="BG52" i="78"/>
  <c r="BG57" i="78"/>
  <c r="BG58" i="78"/>
  <c r="BG53" i="78"/>
  <c r="BG54" i="78"/>
  <c r="BG22" i="78"/>
  <c r="BF51" i="78"/>
  <c r="BF52" i="78"/>
  <c r="BF57" i="78"/>
  <c r="BF58" i="78"/>
  <c r="BF53" i="78"/>
  <c r="BF54" i="78"/>
  <c r="BF22" i="78"/>
  <c r="BG46" i="78"/>
  <c r="BG47" i="78"/>
  <c r="BG41" i="78"/>
  <c r="BG42" i="78"/>
  <c r="BG56" i="78"/>
  <c r="BG43" i="78"/>
  <c r="BF46" i="78"/>
  <c r="BF47" i="78"/>
  <c r="BF41" i="78"/>
  <c r="BF42" i="78"/>
  <c r="BF56" i="78"/>
  <c r="BF43" i="78"/>
  <c r="BF45" i="78"/>
  <c r="BF9" i="78"/>
  <c r="BG9" i="78"/>
  <c r="BF15" i="78"/>
  <c r="BG15" i="78"/>
  <c r="BF39" i="78"/>
  <c r="BG39" i="78"/>
  <c r="BF40" i="78"/>
  <c r="BG40" i="78"/>
  <c r="BF16" i="78"/>
  <c r="BG16" i="78"/>
  <c r="BF10" i="78"/>
  <c r="BG10" i="78"/>
  <c r="BF49" i="78"/>
  <c r="BG49" i="78"/>
  <c r="BG38" i="78"/>
  <c r="BF38" i="78"/>
  <c r="BG24" i="78"/>
  <c r="BG25" i="78"/>
  <c r="BG26" i="78"/>
  <c r="BG33" i="78"/>
  <c r="BG27" i="78"/>
  <c r="BG28" i="78"/>
  <c r="BG34" i="78"/>
  <c r="BG35" i="78"/>
  <c r="BG29" i="78"/>
  <c r="BG30" i="78"/>
  <c r="BG36" i="78"/>
  <c r="BF24" i="78"/>
  <c r="BF25" i="78"/>
  <c r="BF26" i="78"/>
  <c r="BF33" i="78"/>
  <c r="BF27" i="78"/>
  <c r="BF28" i="78"/>
  <c r="BF34" i="78"/>
  <c r="BF35" i="78"/>
  <c r="BF29" i="78"/>
  <c r="BF30" i="78"/>
  <c r="BF36" i="78"/>
  <c r="BF32" i="78"/>
  <c r="BG13" i="78"/>
  <c r="BG7" i="78"/>
  <c r="BG14" i="78"/>
  <c r="BG19" i="78"/>
  <c r="BG20" i="78"/>
  <c r="BG21" i="78"/>
  <c r="BG8" i="78"/>
  <c r="BG18" i="78"/>
  <c r="BF13" i="78"/>
  <c r="BF7" i="78"/>
  <c r="BF14" i="78"/>
  <c r="BF19" i="78"/>
  <c r="BF20" i="78"/>
  <c r="BF21" i="78"/>
  <c r="BF8" i="78"/>
  <c r="BF18" i="78"/>
  <c r="BF12" i="78"/>
  <c r="AD21" i="72"/>
  <c r="AF21" i="72"/>
  <c r="AI21" i="72"/>
  <c r="AK21" i="72"/>
  <c r="BG61" i="78" l="1"/>
  <c r="BG44" i="78"/>
  <c r="BG31" i="78"/>
  <c r="BG23" i="78"/>
  <c r="BG11" i="78"/>
  <c r="BF61" i="78"/>
  <c r="BF48" i="78"/>
  <c r="BF44" i="78"/>
  <c r="BF31" i="78"/>
  <c r="BF23" i="78"/>
  <c r="BF17" i="78"/>
  <c r="BF11" i="78"/>
  <c r="DL30" i="77"/>
  <c r="DE30" i="77"/>
  <c r="W42" i="77"/>
  <c r="W66" i="77" s="1"/>
  <c r="T68" i="73"/>
  <c r="T70" i="73" s="1"/>
  <c r="K40" i="74"/>
  <c r="K64" i="74" s="1"/>
  <c r="BF37" i="78"/>
  <c r="BC45" i="79" l="1"/>
  <c r="BC51" i="79"/>
  <c r="BD45" i="79"/>
  <c r="AN43" i="74"/>
  <c r="AK43" i="74"/>
  <c r="BH31" i="78"/>
  <c r="BH11" i="78"/>
  <c r="AF18" i="76"/>
  <c r="AF13" i="76"/>
  <c r="AF7" i="76"/>
  <c r="AF14" i="76"/>
  <c r="AF19" i="76"/>
  <c r="AF20" i="76"/>
  <c r="AF21" i="76"/>
  <c r="AF8" i="76"/>
  <c r="AF31" i="76"/>
  <c r="AF25" i="76"/>
  <c r="AF26" i="76"/>
  <c r="AF32" i="76"/>
  <c r="AF27" i="76"/>
  <c r="AF28" i="76"/>
  <c r="AF33" i="76"/>
  <c r="AF34" i="76"/>
  <c r="AF29" i="76"/>
  <c r="AF35" i="76"/>
  <c r="AF37" i="76"/>
  <c r="AF9" i="76"/>
  <c r="AF15" i="76"/>
  <c r="AF16" i="76"/>
  <c r="AF10" i="76"/>
  <c r="AF43" i="76"/>
  <c r="AF44" i="76"/>
  <c r="AF39" i="76"/>
  <c r="AF40" i="76"/>
  <c r="AF52" i="76"/>
  <c r="AF41" i="76"/>
  <c r="AF46" i="76"/>
  <c r="AF47" i="76"/>
  <c r="AF48" i="76"/>
  <c r="AF53" i="76"/>
  <c r="AF54" i="76"/>
  <c r="AF49" i="76"/>
  <c r="AF22" i="76"/>
  <c r="AF58" i="76"/>
  <c r="AF59" i="76"/>
  <c r="AF60" i="76"/>
  <c r="AF55" i="76"/>
  <c r="AF61" i="76"/>
  <c r="AF56" i="76"/>
  <c r="AF62" i="76"/>
  <c r="AF63" i="76"/>
  <c r="AE18" i="76"/>
  <c r="AE13" i="76"/>
  <c r="AE7" i="76"/>
  <c r="AE14" i="76"/>
  <c r="AE19" i="76"/>
  <c r="AE20" i="76"/>
  <c r="AE21" i="76"/>
  <c r="AE8" i="76"/>
  <c r="AE31" i="76"/>
  <c r="AE25" i="76"/>
  <c r="AE26" i="76"/>
  <c r="AE32" i="76"/>
  <c r="AE27" i="76"/>
  <c r="AE28" i="76"/>
  <c r="AE33" i="76"/>
  <c r="AE34" i="76"/>
  <c r="AE29" i="76"/>
  <c r="AE35" i="76"/>
  <c r="AE37" i="76"/>
  <c r="AE9" i="76"/>
  <c r="AE15" i="76"/>
  <c r="AE16" i="76"/>
  <c r="AE10" i="76"/>
  <c r="AE43" i="76"/>
  <c r="AE44" i="76"/>
  <c r="AE39" i="76"/>
  <c r="AE40" i="76"/>
  <c r="AE52" i="76"/>
  <c r="AE41" i="76"/>
  <c r="AE46" i="76"/>
  <c r="AE47" i="76"/>
  <c r="AE48" i="76"/>
  <c r="AE53" i="76"/>
  <c r="AE54" i="76"/>
  <c r="AE49" i="76"/>
  <c r="AE22" i="76"/>
  <c r="AE58" i="76"/>
  <c r="AE59" i="76"/>
  <c r="AE60" i="76"/>
  <c r="AE55" i="76"/>
  <c r="AE61" i="76"/>
  <c r="AE56" i="76"/>
  <c r="AE62" i="76"/>
  <c r="AE63" i="76"/>
  <c r="AE12" i="76"/>
  <c r="AF12" i="76"/>
  <c r="AE18" i="72"/>
  <c r="AE13" i="72"/>
  <c r="AE7" i="72"/>
  <c r="AE14" i="72"/>
  <c r="AE19" i="72"/>
  <c r="AE20" i="72"/>
  <c r="AE21" i="72"/>
  <c r="AE8" i="72"/>
  <c r="AE32" i="72"/>
  <c r="AE24" i="72"/>
  <c r="AE25" i="72"/>
  <c r="AE26" i="72"/>
  <c r="AE33" i="72"/>
  <c r="AE27" i="72"/>
  <c r="AE28" i="72"/>
  <c r="AE34" i="72"/>
  <c r="AE35" i="72"/>
  <c r="AE29" i="72"/>
  <c r="AE30" i="72"/>
  <c r="AE36" i="72"/>
  <c r="AE38" i="72"/>
  <c r="AE9" i="72"/>
  <c r="AE15" i="72"/>
  <c r="AE39" i="72"/>
  <c r="AE40" i="72"/>
  <c r="AE16" i="72"/>
  <c r="AE10" i="72"/>
  <c r="AE49" i="72"/>
  <c r="AE45" i="72"/>
  <c r="AE46" i="72"/>
  <c r="AE47" i="72"/>
  <c r="AE41" i="72"/>
  <c r="AE42" i="72"/>
  <c r="AE56" i="72"/>
  <c r="AE43" i="72"/>
  <c r="AE50" i="72"/>
  <c r="AE51" i="72"/>
  <c r="AE52" i="72"/>
  <c r="AE57" i="72"/>
  <c r="AE58" i="72"/>
  <c r="AE53" i="72"/>
  <c r="AE54" i="72"/>
  <c r="AE22" i="72"/>
  <c r="AE62" i="72"/>
  <c r="AE63" i="72"/>
  <c r="AE64" i="72"/>
  <c r="AE59" i="72"/>
  <c r="AE65" i="72"/>
  <c r="AE60" i="72"/>
  <c r="AE66" i="72"/>
  <c r="AE67" i="72"/>
  <c r="AE12" i="72"/>
  <c r="AG18" i="72"/>
  <c r="AG13" i="72"/>
  <c r="AG7" i="72"/>
  <c r="AG14" i="72"/>
  <c r="AG19" i="72"/>
  <c r="AG20" i="72"/>
  <c r="AG21" i="72"/>
  <c r="AG8" i="72"/>
  <c r="AG32" i="72"/>
  <c r="AG24" i="72"/>
  <c r="AG25" i="72"/>
  <c r="AG26" i="72"/>
  <c r="AG33" i="72"/>
  <c r="AG27" i="72"/>
  <c r="AG28" i="72"/>
  <c r="AG34" i="72"/>
  <c r="AG35" i="72"/>
  <c r="AG29" i="72"/>
  <c r="AG30" i="72"/>
  <c r="AG36" i="72"/>
  <c r="AG38" i="72"/>
  <c r="AG9" i="72"/>
  <c r="AG15" i="72"/>
  <c r="AG39" i="72"/>
  <c r="AG40" i="72"/>
  <c r="AG16" i="72"/>
  <c r="AG10" i="72"/>
  <c r="AG49" i="72"/>
  <c r="AG45" i="72"/>
  <c r="AG46" i="72"/>
  <c r="AG47" i="72"/>
  <c r="AG41" i="72"/>
  <c r="AG42" i="72"/>
  <c r="AG56" i="72"/>
  <c r="AG43" i="72"/>
  <c r="AG50" i="72"/>
  <c r="AG51" i="72"/>
  <c r="AG52" i="72"/>
  <c r="AG57" i="72"/>
  <c r="AG58" i="72"/>
  <c r="AG53" i="72"/>
  <c r="AG54" i="72"/>
  <c r="AG22" i="72"/>
  <c r="AG62" i="72"/>
  <c r="AG63" i="72"/>
  <c r="AG64" i="72"/>
  <c r="AG59" i="72"/>
  <c r="AG65" i="72"/>
  <c r="AG60" i="72"/>
  <c r="AG66" i="72"/>
  <c r="AG67" i="72"/>
  <c r="AG12" i="72"/>
  <c r="AH11" i="74"/>
  <c r="AH5" i="74"/>
  <c r="AH12" i="74"/>
  <c r="AH17" i="74"/>
  <c r="AH18" i="74"/>
  <c r="AH19" i="74"/>
  <c r="AH6" i="74"/>
  <c r="AH16" i="74"/>
  <c r="AH10" i="74"/>
  <c r="AH24" i="74"/>
  <c r="AH30" i="74"/>
  <c r="AH25" i="74"/>
  <c r="AH26" i="74"/>
  <c r="AH31" i="74"/>
  <c r="AH32" i="74"/>
  <c r="AH27" i="74"/>
  <c r="AH33" i="74"/>
  <c r="AH23" i="74"/>
  <c r="AH29" i="74"/>
  <c r="AH13" i="74"/>
  <c r="AH14" i="74"/>
  <c r="AH8" i="74"/>
  <c r="AH7" i="74"/>
  <c r="AH35" i="74"/>
  <c r="AH37" i="74"/>
  <c r="AH38" i="74"/>
  <c r="AH50" i="74"/>
  <c r="AH39" i="74"/>
  <c r="AH42" i="74"/>
  <c r="AH41" i="74"/>
  <c r="AH46" i="74"/>
  <c r="AH51" i="74"/>
  <c r="AH52" i="74"/>
  <c r="AH47" i="74"/>
  <c r="AH20" i="74"/>
  <c r="AH45" i="74"/>
  <c r="AH44" i="74"/>
  <c r="AH58" i="74"/>
  <c r="AH53" i="74"/>
  <c r="AH59" i="74"/>
  <c r="AH54" i="74"/>
  <c r="AH60" i="74"/>
  <c r="AH61" i="74"/>
  <c r="AH57" i="74"/>
  <c r="AH56" i="74"/>
  <c r="AE58" i="74"/>
  <c r="AE53" i="74"/>
  <c r="AE59" i="74"/>
  <c r="AE54" i="74"/>
  <c r="AE60" i="74"/>
  <c r="AE61" i="74"/>
  <c r="AE57" i="74"/>
  <c r="AE56" i="74"/>
  <c r="AE46" i="74"/>
  <c r="AE51" i="74"/>
  <c r="AE52" i="74"/>
  <c r="AE47" i="74"/>
  <c r="AE20" i="74"/>
  <c r="AE45" i="74"/>
  <c r="AE44" i="74"/>
  <c r="AE37" i="74"/>
  <c r="AE38" i="74"/>
  <c r="AE50" i="74"/>
  <c r="AE39" i="74"/>
  <c r="AE42" i="74"/>
  <c r="AE41" i="74"/>
  <c r="AE13" i="74"/>
  <c r="AE14" i="74"/>
  <c r="AE8" i="74"/>
  <c r="AE7" i="74"/>
  <c r="AE35" i="74"/>
  <c r="AE24" i="74"/>
  <c r="AE30" i="74"/>
  <c r="AE25" i="74"/>
  <c r="AE26" i="74"/>
  <c r="AE31" i="74"/>
  <c r="AE32" i="74"/>
  <c r="AE27" i="74"/>
  <c r="AE33" i="74"/>
  <c r="AE23" i="74"/>
  <c r="AE29" i="74"/>
  <c r="AE11" i="74"/>
  <c r="AE5" i="74"/>
  <c r="AE12" i="74"/>
  <c r="AE17" i="74"/>
  <c r="AE18" i="74"/>
  <c r="AE19" i="74"/>
  <c r="AE6" i="74"/>
  <c r="AE16" i="74"/>
  <c r="AE10" i="74"/>
  <c r="AE28" i="74" l="1"/>
  <c r="AH28" i="74"/>
  <c r="BE45" i="79"/>
  <c r="BD51" i="79"/>
  <c r="BE51" i="79" s="1"/>
  <c r="AG28" i="76"/>
  <c r="AG13" i="76"/>
  <c r="AG33" i="76"/>
  <c r="AG52" i="76"/>
  <c r="AG41" i="76"/>
  <c r="AG40" i="76"/>
  <c r="AG12" i="76"/>
  <c r="AH53" i="72"/>
  <c r="AH27" i="72"/>
  <c r="AG62" i="76"/>
  <c r="AG39" i="76"/>
  <c r="AG59" i="76"/>
  <c r="AH43" i="72"/>
  <c r="AH7" i="72"/>
  <c r="AH13" i="72"/>
  <c r="AG49" i="76"/>
  <c r="AG16" i="76"/>
  <c r="AG9" i="76"/>
  <c r="AG15" i="76"/>
  <c r="AG37" i="76"/>
  <c r="AG10" i="76"/>
  <c r="AG18" i="76"/>
  <c r="AH66" i="72"/>
  <c r="AH52" i="72"/>
  <c r="AG27" i="76"/>
  <c r="AG22" i="76"/>
  <c r="AG26" i="76"/>
  <c r="AG54" i="76"/>
  <c r="AG44" i="76"/>
  <c r="AG31" i="76"/>
  <c r="AG53" i="76"/>
  <c r="AG35" i="76"/>
  <c r="AG56" i="76"/>
  <c r="AG48" i="76"/>
  <c r="AG43" i="76"/>
  <c r="AG29" i="76"/>
  <c r="AG8" i="76"/>
  <c r="AG61" i="76"/>
  <c r="AG47" i="76"/>
  <c r="AG21" i="76"/>
  <c r="AG55" i="76"/>
  <c r="AG46" i="76"/>
  <c r="AG34" i="76"/>
  <c r="AG20" i="76"/>
  <c r="AG60" i="76"/>
  <c r="AG19" i="76"/>
  <c r="AG14" i="76"/>
  <c r="AG58" i="76"/>
  <c r="AG7" i="76"/>
  <c r="AG32" i="76"/>
  <c r="AG25" i="76"/>
  <c r="AG63" i="76"/>
  <c r="AH50" i="72"/>
  <c r="AH56" i="72"/>
  <c r="AH51" i="72"/>
  <c r="AH25" i="72"/>
  <c r="AH24" i="72"/>
  <c r="AH32" i="72"/>
  <c r="AH38" i="72"/>
  <c r="AH41" i="72"/>
  <c r="AH47" i="72"/>
  <c r="AH30" i="72"/>
  <c r="AH29" i="72"/>
  <c r="AH45" i="72"/>
  <c r="AH65" i="72"/>
  <c r="AH40" i="72"/>
  <c r="AH26" i="72"/>
  <c r="AH59" i="72"/>
  <c r="AH15" i="72"/>
  <c r="AH63" i="72"/>
  <c r="AH9" i="72"/>
  <c r="AH62" i="72"/>
  <c r="AH42" i="72"/>
  <c r="AH22" i="72"/>
  <c r="AH54" i="72"/>
  <c r="AH46" i="72"/>
  <c r="AH12" i="72"/>
  <c r="AH58" i="72"/>
  <c r="AH67" i="72"/>
  <c r="AH49" i="72"/>
  <c r="AH18" i="72"/>
  <c r="AH35" i="72"/>
  <c r="AH60" i="72"/>
  <c r="AH64" i="72"/>
  <c r="AH10" i="72"/>
  <c r="AH34" i="72"/>
  <c r="AH19" i="72"/>
  <c r="AH57" i="72"/>
  <c r="AH21" i="72"/>
  <c r="AH20" i="72"/>
  <c r="AH16" i="72"/>
  <c r="AH28" i="72"/>
  <c r="AH14" i="72"/>
  <c r="AH36" i="72"/>
  <c r="AH8" i="72"/>
  <c r="AH39" i="72"/>
  <c r="AH33" i="72"/>
  <c r="AH23" i="72" l="1"/>
  <c r="AH55" i="72"/>
  <c r="AH68" i="72"/>
  <c r="AH61" i="72"/>
  <c r="AH48" i="72"/>
  <c r="AH44" i="72"/>
  <c r="AH37" i="72"/>
  <c r="AH31" i="72"/>
  <c r="BC48" i="78"/>
  <c r="AS48" i="78"/>
  <c r="BD48" i="78"/>
  <c r="AT48" i="78"/>
  <c r="BD44" i="78"/>
  <c r="AT44" i="78"/>
  <c r="BC44" i="78"/>
  <c r="AS44" i="78"/>
  <c r="AH17" i="72"/>
  <c r="AH11" i="72"/>
  <c r="BE12" i="72" a="1"/>
  <c r="BE12" i="72" s="1"/>
  <c r="AV12" i="76" a="1"/>
  <c r="AV12" i="76" s="1"/>
  <c r="AH11" i="70"/>
  <c r="AH5" i="70"/>
  <c r="AH12" i="70"/>
  <c r="AH17" i="70"/>
  <c r="AH18" i="70"/>
  <c r="AH19" i="70"/>
  <c r="AH6" i="70"/>
  <c r="AH16" i="70"/>
  <c r="AH10" i="70"/>
  <c r="AH23" i="70"/>
  <c r="AH24" i="70"/>
  <c r="AH31" i="70"/>
  <c r="AH25" i="70"/>
  <c r="AH26" i="70"/>
  <c r="AH32" i="70"/>
  <c r="AH33" i="70"/>
  <c r="AH27" i="70"/>
  <c r="AH28" i="70"/>
  <c r="AH34" i="70"/>
  <c r="AH22" i="70"/>
  <c r="AH30" i="70"/>
  <c r="AH13" i="70"/>
  <c r="AH37" i="70"/>
  <c r="AH38" i="70"/>
  <c r="AH14" i="70"/>
  <c r="AH8" i="70"/>
  <c r="AH47" i="70"/>
  <c r="AH7" i="70"/>
  <c r="AH36" i="70"/>
  <c r="AH44" i="70"/>
  <c r="AH45" i="70"/>
  <c r="AH39" i="70"/>
  <c r="AH41" i="70"/>
  <c r="AH54" i="70"/>
  <c r="AH40" i="70"/>
  <c r="AH43" i="70"/>
  <c r="AH50" i="70"/>
  <c r="AH55" i="70"/>
  <c r="AH56" i="70"/>
  <c r="AH51" i="70"/>
  <c r="AH52" i="70"/>
  <c r="AH20" i="70"/>
  <c r="AH49" i="70"/>
  <c r="AH48" i="70"/>
  <c r="AH62" i="70"/>
  <c r="AH57" i="70"/>
  <c r="AH63" i="70"/>
  <c r="AH64" i="70"/>
  <c r="AH65" i="70"/>
  <c r="AH61" i="70"/>
  <c r="AH60" i="70"/>
  <c r="AE62" i="70"/>
  <c r="AE57" i="70"/>
  <c r="AE63" i="70"/>
  <c r="AE58" i="70"/>
  <c r="AE64" i="70"/>
  <c r="AE65" i="70"/>
  <c r="AE61" i="70"/>
  <c r="AE60" i="70"/>
  <c r="AE50" i="70"/>
  <c r="AE55" i="70"/>
  <c r="AE56" i="70"/>
  <c r="AE51" i="70"/>
  <c r="AE52" i="70"/>
  <c r="AE20" i="70"/>
  <c r="AE49" i="70"/>
  <c r="AE48" i="70"/>
  <c r="AE44" i="70"/>
  <c r="AE45" i="70"/>
  <c r="AE39" i="70"/>
  <c r="AE41" i="70"/>
  <c r="AE54" i="70"/>
  <c r="AE40" i="70"/>
  <c r="AE43" i="70"/>
  <c r="AE13" i="70"/>
  <c r="AE37" i="70"/>
  <c r="AE38" i="70"/>
  <c r="AE14" i="70"/>
  <c r="AE8" i="70"/>
  <c r="AE47" i="70"/>
  <c r="AE7" i="70"/>
  <c r="AE36" i="70"/>
  <c r="AE23" i="70"/>
  <c r="AE24" i="70"/>
  <c r="AE31" i="70"/>
  <c r="AE25" i="70"/>
  <c r="AE26" i="70"/>
  <c r="AE32" i="70"/>
  <c r="AE33" i="70"/>
  <c r="AE27" i="70"/>
  <c r="AE28" i="70"/>
  <c r="AE34" i="70"/>
  <c r="AE30" i="70"/>
  <c r="AE11" i="70"/>
  <c r="AE5" i="70"/>
  <c r="AE12" i="70"/>
  <c r="AE17" i="70"/>
  <c r="AE18" i="70"/>
  <c r="AE19" i="70"/>
  <c r="AE6" i="70"/>
  <c r="AE16" i="70"/>
  <c r="AE10" i="70"/>
  <c r="BE48" i="78" l="1"/>
  <c r="AU48" i="78"/>
  <c r="AU44" i="78"/>
  <c r="BE44" i="78"/>
  <c r="I68" i="72"/>
  <c r="I70" i="72" s="1"/>
  <c r="H68" i="72"/>
  <c r="H70" i="72" s="1"/>
  <c r="D94" i="82" l="1"/>
  <c r="D93" i="82"/>
  <c r="D92" i="82"/>
  <c r="D91" i="82"/>
  <c r="D90" i="82"/>
  <c r="D89" i="82"/>
  <c r="D88" i="82"/>
  <c r="D87" i="82"/>
  <c r="D86" i="82"/>
  <c r="D85" i="82"/>
  <c r="D84" i="82"/>
  <c r="D83" i="82"/>
  <c r="D81" i="82"/>
  <c r="D80" i="82"/>
  <c r="D79" i="82"/>
  <c r="D78" i="82"/>
  <c r="D77" i="82"/>
  <c r="D76" i="82"/>
  <c r="D75" i="82"/>
  <c r="D74" i="82"/>
  <c r="D73" i="82"/>
  <c r="D72" i="82"/>
  <c r="D71" i="82"/>
  <c r="D70" i="82"/>
  <c r="D69" i="82"/>
  <c r="D68" i="82"/>
  <c r="D67" i="82"/>
  <c r="D66" i="82"/>
  <c r="D65" i="82"/>
  <c r="D64" i="82"/>
  <c r="D63" i="82"/>
  <c r="D62" i="82"/>
  <c r="D61" i="82"/>
  <c r="D60" i="82"/>
  <c r="D59" i="82"/>
  <c r="D58" i="82"/>
  <c r="D57" i="82"/>
  <c r="D56" i="82"/>
  <c r="D55" i="82"/>
  <c r="D54" i="82"/>
  <c r="D53" i="82"/>
  <c r="D52" i="82"/>
  <c r="I3" i="82"/>
  <c r="BG62" i="78" l="1"/>
  <c r="BG68" i="78" s="1"/>
  <c r="BF62" i="78"/>
  <c r="BF68" i="78" s="1"/>
  <c r="BG50" i="78"/>
  <c r="BG55" i="78" s="1"/>
  <c r="BF50" i="78"/>
  <c r="BF55" i="78" s="1"/>
  <c r="BG45" i="78"/>
  <c r="BG48" i="78" s="1"/>
  <c r="BG32" i="78"/>
  <c r="BG37" i="78" s="1"/>
  <c r="BG12" i="78"/>
  <c r="BG17" i="78" s="1"/>
  <c r="BH38" i="78"/>
  <c r="BF18" i="79"/>
  <c r="BG18" i="79"/>
  <c r="BF13" i="79"/>
  <c r="BG13" i="79"/>
  <c r="BF7" i="79"/>
  <c r="BG7" i="79"/>
  <c r="BF14" i="79"/>
  <c r="BG14" i="79"/>
  <c r="BF19" i="79"/>
  <c r="BG19" i="79"/>
  <c r="BF20" i="79"/>
  <c r="BG20" i="79"/>
  <c r="BF21" i="79"/>
  <c r="BG21" i="79"/>
  <c r="BF8" i="79"/>
  <c r="BG8" i="79"/>
  <c r="BF25" i="79"/>
  <c r="BG25" i="79"/>
  <c r="BF26" i="79"/>
  <c r="BG26" i="79"/>
  <c r="BF32" i="79"/>
  <c r="BG32" i="79"/>
  <c r="BF27" i="79"/>
  <c r="BG27" i="79"/>
  <c r="BF28" i="79"/>
  <c r="BG28" i="79"/>
  <c r="BF33" i="79"/>
  <c r="BG33" i="79"/>
  <c r="BF34" i="79"/>
  <c r="BG34" i="79"/>
  <c r="BF29" i="79"/>
  <c r="BG29" i="79"/>
  <c r="BF35" i="79"/>
  <c r="BG35" i="79"/>
  <c r="BF9" i="79"/>
  <c r="BG9" i="79"/>
  <c r="BF15" i="79"/>
  <c r="BG15" i="79"/>
  <c r="BF16" i="79"/>
  <c r="BG16" i="79"/>
  <c r="BF10" i="79"/>
  <c r="BG10" i="79"/>
  <c r="BF44" i="79"/>
  <c r="BG44" i="79"/>
  <c r="BF39" i="79"/>
  <c r="BG39" i="79"/>
  <c r="BF40" i="79"/>
  <c r="BG40" i="79"/>
  <c r="BF52" i="79"/>
  <c r="BG52" i="79"/>
  <c r="BF41" i="79"/>
  <c r="BG41" i="79"/>
  <c r="BF47" i="79"/>
  <c r="BG47" i="79"/>
  <c r="BF48" i="79"/>
  <c r="BG48" i="79"/>
  <c r="BF53" i="79"/>
  <c r="BG53" i="79"/>
  <c r="BF54" i="79"/>
  <c r="BG54" i="79"/>
  <c r="BF49" i="79"/>
  <c r="BG49" i="79"/>
  <c r="BF22" i="79"/>
  <c r="BG22" i="79"/>
  <c r="BF59" i="79"/>
  <c r="BG59" i="79"/>
  <c r="BF60" i="79"/>
  <c r="BG60" i="79"/>
  <c r="BF55" i="79"/>
  <c r="BG55" i="79"/>
  <c r="BF61" i="79"/>
  <c r="BG61" i="79"/>
  <c r="BF56" i="79"/>
  <c r="BG56" i="79"/>
  <c r="BF62" i="79"/>
  <c r="BG62" i="79"/>
  <c r="BF63" i="79"/>
  <c r="BG63" i="79"/>
  <c r="BG58" i="79"/>
  <c r="BF58" i="79"/>
  <c r="BG46" i="79"/>
  <c r="BF46" i="79"/>
  <c r="BG43" i="79"/>
  <c r="BF43" i="79"/>
  <c r="BG37" i="79"/>
  <c r="BF37" i="79"/>
  <c r="BG31" i="79"/>
  <c r="BF31" i="79"/>
  <c r="BF12" i="79"/>
  <c r="BG12" i="79"/>
  <c r="DS18" i="77"/>
  <c r="DS13" i="77"/>
  <c r="DS7" i="77"/>
  <c r="DS14" i="77"/>
  <c r="DS19" i="77"/>
  <c r="DS20" i="77"/>
  <c r="DS21" i="77"/>
  <c r="DS8" i="77"/>
  <c r="DS12" i="77"/>
  <c r="DS25" i="77"/>
  <c r="DS26" i="77"/>
  <c r="DS32" i="77"/>
  <c r="DS27" i="77"/>
  <c r="DS28" i="77"/>
  <c r="DS33" i="77"/>
  <c r="DS34" i="77"/>
  <c r="DS29" i="77"/>
  <c r="DS35" i="77"/>
  <c r="DS31" i="77"/>
  <c r="DS9" i="77"/>
  <c r="DS15" i="77"/>
  <c r="DS16" i="77"/>
  <c r="DS10" i="77"/>
  <c r="DS37" i="77"/>
  <c r="DS44" i="77"/>
  <c r="DS39" i="77"/>
  <c r="DS40" i="77"/>
  <c r="DS52" i="77"/>
  <c r="DS41" i="77"/>
  <c r="DS43" i="77"/>
  <c r="DS47" i="77"/>
  <c r="DS48" i="77"/>
  <c r="DS53" i="77"/>
  <c r="DS54" i="77"/>
  <c r="DS49" i="77"/>
  <c r="DS22" i="77"/>
  <c r="DS46" i="77"/>
  <c r="DS59" i="77"/>
  <c r="DS60" i="77"/>
  <c r="DS55" i="77"/>
  <c r="DS61" i="77"/>
  <c r="DS56" i="77"/>
  <c r="DS62" i="77"/>
  <c r="DS63" i="77"/>
  <c r="DS58" i="77"/>
  <c r="DG18" i="73"/>
  <c r="DG13" i="73"/>
  <c r="DG7" i="73"/>
  <c r="DG14" i="73"/>
  <c r="DG19" i="73"/>
  <c r="DG20" i="73"/>
  <c r="DG21" i="73"/>
  <c r="DG8" i="73"/>
  <c r="DG12" i="73"/>
  <c r="DG24" i="73"/>
  <c r="DG25" i="73"/>
  <c r="DG26" i="73"/>
  <c r="DG33" i="73"/>
  <c r="DG27" i="73"/>
  <c r="DG28" i="73"/>
  <c r="DG34" i="73"/>
  <c r="DG35" i="73"/>
  <c r="DG29" i="73"/>
  <c r="DG30" i="73"/>
  <c r="DG36" i="73"/>
  <c r="DG32" i="73"/>
  <c r="DG9" i="73"/>
  <c r="DG15" i="73"/>
  <c r="DG39" i="73"/>
  <c r="DG40" i="73"/>
  <c r="DG16" i="73"/>
  <c r="DG10" i="73"/>
  <c r="DG49" i="73"/>
  <c r="DG38" i="73"/>
  <c r="DG46" i="73"/>
  <c r="DG47" i="73"/>
  <c r="DG41" i="73"/>
  <c r="DG42" i="73"/>
  <c r="DG56" i="73"/>
  <c r="DG43" i="73"/>
  <c r="DG51" i="73"/>
  <c r="DG52" i="73"/>
  <c r="DG57" i="73"/>
  <c r="DG58" i="73"/>
  <c r="DG53" i="73"/>
  <c r="DG54" i="73"/>
  <c r="DG22" i="73"/>
  <c r="DG50" i="73"/>
  <c r="DG63" i="73"/>
  <c r="DG64" i="73"/>
  <c r="DG59" i="73"/>
  <c r="DG65" i="73"/>
  <c r="DG60" i="73"/>
  <c r="DG66" i="73"/>
  <c r="DG67" i="73"/>
  <c r="DG62" i="73"/>
  <c r="AQ18" i="79"/>
  <c r="AQ13" i="79"/>
  <c r="AQ7" i="79"/>
  <c r="AQ14" i="79"/>
  <c r="AQ19" i="79"/>
  <c r="AQ20" i="79"/>
  <c r="AQ21" i="79"/>
  <c r="AQ8" i="79"/>
  <c r="AQ12" i="79"/>
  <c r="AQ25" i="79"/>
  <c r="AQ26" i="79"/>
  <c r="AQ32" i="79"/>
  <c r="AQ27" i="79"/>
  <c r="AQ28" i="79"/>
  <c r="AQ33" i="79"/>
  <c r="AQ34" i="79"/>
  <c r="AQ29" i="79"/>
  <c r="AQ35" i="79"/>
  <c r="AQ31" i="79"/>
  <c r="AQ9" i="79"/>
  <c r="AQ15" i="79"/>
  <c r="AQ16" i="79"/>
  <c r="AQ10" i="79"/>
  <c r="AQ37" i="79"/>
  <c r="AQ44" i="79"/>
  <c r="AQ39" i="79"/>
  <c r="AQ40" i="79"/>
  <c r="AQ52" i="79"/>
  <c r="AQ41" i="79"/>
  <c r="AQ43" i="79"/>
  <c r="AQ47" i="79"/>
  <c r="AQ48" i="79"/>
  <c r="AQ53" i="79"/>
  <c r="AQ54" i="79"/>
  <c r="AQ49" i="79"/>
  <c r="AQ22" i="79"/>
  <c r="AQ46" i="79"/>
  <c r="AQ59" i="79"/>
  <c r="AQ60" i="79"/>
  <c r="AQ55" i="79"/>
  <c r="AQ61" i="79"/>
  <c r="AQ56" i="79"/>
  <c r="AQ62" i="79"/>
  <c r="AQ63" i="79"/>
  <c r="AQ58" i="79"/>
  <c r="AP59" i="79"/>
  <c r="AP60" i="79"/>
  <c r="AP55" i="79"/>
  <c r="AP61" i="79"/>
  <c r="AP56" i="79"/>
  <c r="AP62" i="79"/>
  <c r="AP63" i="79"/>
  <c r="AP58" i="79"/>
  <c r="AP47" i="79"/>
  <c r="AP48" i="79"/>
  <c r="AP53" i="79"/>
  <c r="AP54" i="79"/>
  <c r="AP49" i="79"/>
  <c r="AP22" i="79"/>
  <c r="AP46" i="79"/>
  <c r="AP44" i="79"/>
  <c r="AP39" i="79"/>
  <c r="AP40" i="79"/>
  <c r="AP52" i="79"/>
  <c r="AP41" i="79"/>
  <c r="AP43" i="79"/>
  <c r="AP9" i="79"/>
  <c r="AP15" i="79"/>
  <c r="AP16" i="79"/>
  <c r="AP10" i="79"/>
  <c r="AP37" i="79"/>
  <c r="AP25" i="79"/>
  <c r="AP26" i="79"/>
  <c r="AP32" i="79"/>
  <c r="AP27" i="79"/>
  <c r="AP28" i="79"/>
  <c r="AP33" i="79"/>
  <c r="AP34" i="79"/>
  <c r="AP29" i="79"/>
  <c r="AP35" i="79"/>
  <c r="AP31" i="79"/>
  <c r="AP18" i="79"/>
  <c r="AP13" i="79"/>
  <c r="AP7" i="79"/>
  <c r="AP14" i="79"/>
  <c r="AP19" i="79"/>
  <c r="AP20" i="79"/>
  <c r="AP21" i="79"/>
  <c r="AP8" i="79"/>
  <c r="AP12" i="79"/>
  <c r="BD59" i="79"/>
  <c r="BD60" i="79"/>
  <c r="BD55" i="79"/>
  <c r="BD61" i="79"/>
  <c r="BD56" i="79"/>
  <c r="BD62" i="79"/>
  <c r="BD63" i="79"/>
  <c r="BD58" i="79"/>
  <c r="BD47" i="79"/>
  <c r="BD48" i="79"/>
  <c r="BD53" i="79"/>
  <c r="BD54" i="79"/>
  <c r="BD49" i="79"/>
  <c r="BD22" i="79"/>
  <c r="BD46" i="79"/>
  <c r="BD44" i="79"/>
  <c r="BD39" i="79"/>
  <c r="BD40" i="79"/>
  <c r="BD52" i="79"/>
  <c r="BD41" i="79"/>
  <c r="BD43" i="79"/>
  <c r="BD9" i="79"/>
  <c r="BD15" i="79"/>
  <c r="BD16" i="79"/>
  <c r="BD10" i="79"/>
  <c r="BD37" i="79"/>
  <c r="BD25" i="79"/>
  <c r="BD26" i="79"/>
  <c r="BD32" i="79"/>
  <c r="BD27" i="79"/>
  <c r="BD28" i="79"/>
  <c r="BD33" i="79"/>
  <c r="BD34" i="79"/>
  <c r="BD29" i="79"/>
  <c r="BD35" i="79"/>
  <c r="BD31" i="79"/>
  <c r="BD18" i="79"/>
  <c r="BD13" i="79"/>
  <c r="BD7" i="79"/>
  <c r="BD14" i="79"/>
  <c r="BD19" i="79"/>
  <c r="BD20" i="79"/>
  <c r="BD21" i="79"/>
  <c r="BD8" i="79"/>
  <c r="BD12" i="79"/>
  <c r="BC18" i="79"/>
  <c r="BC13" i="79"/>
  <c r="BC7" i="79"/>
  <c r="BC14" i="79"/>
  <c r="BC19" i="79"/>
  <c r="BC20" i="79"/>
  <c r="BC21" i="79"/>
  <c r="BC8" i="79"/>
  <c r="BC12" i="79"/>
  <c r="BC25" i="79"/>
  <c r="BC26" i="79"/>
  <c r="BC32" i="79"/>
  <c r="BC27" i="79"/>
  <c r="BC28" i="79"/>
  <c r="BC33" i="79"/>
  <c r="BC34" i="79"/>
  <c r="BC29" i="79"/>
  <c r="BC35" i="79"/>
  <c r="BC31" i="79"/>
  <c r="BC9" i="79"/>
  <c r="BC15" i="79"/>
  <c r="BC16" i="79"/>
  <c r="BC10" i="79"/>
  <c r="BC37" i="79"/>
  <c r="BC44" i="79"/>
  <c r="BC39" i="79"/>
  <c r="BC40" i="79"/>
  <c r="BC52" i="79"/>
  <c r="BC41" i="79"/>
  <c r="BC43" i="79"/>
  <c r="BC47" i="79"/>
  <c r="BC48" i="79"/>
  <c r="BC53" i="79"/>
  <c r="BC54" i="79"/>
  <c r="BC49" i="79"/>
  <c r="BC22" i="79"/>
  <c r="BC46" i="79"/>
  <c r="BC59" i="79"/>
  <c r="BC60" i="79"/>
  <c r="BC55" i="79"/>
  <c r="BC61" i="79"/>
  <c r="BC56" i="79"/>
  <c r="BC62" i="79"/>
  <c r="BC63" i="79"/>
  <c r="BC58" i="79"/>
  <c r="AS59" i="79"/>
  <c r="AS60" i="79"/>
  <c r="AS55" i="79"/>
  <c r="AS61" i="79"/>
  <c r="AS56" i="79"/>
  <c r="AS62" i="79"/>
  <c r="AS63" i="79"/>
  <c r="AS58" i="79"/>
  <c r="AS47" i="79"/>
  <c r="AS48" i="79"/>
  <c r="AS53" i="79"/>
  <c r="AS54" i="79"/>
  <c r="AS49" i="79"/>
  <c r="AS22" i="79"/>
  <c r="AS46" i="79"/>
  <c r="AS44" i="79"/>
  <c r="AS39" i="79"/>
  <c r="AS40" i="79"/>
  <c r="AS52" i="79"/>
  <c r="AS41" i="79"/>
  <c r="AS43" i="79"/>
  <c r="AS9" i="79"/>
  <c r="AS15" i="79"/>
  <c r="AS16" i="79"/>
  <c r="AS10" i="79"/>
  <c r="AS37" i="79"/>
  <c r="AS25" i="79"/>
  <c r="AS26" i="79"/>
  <c r="AS32" i="79"/>
  <c r="AS27" i="79"/>
  <c r="AS28" i="79"/>
  <c r="AS33" i="79"/>
  <c r="AS34" i="79"/>
  <c r="AS29" i="79"/>
  <c r="AS35" i="79"/>
  <c r="AS31" i="79"/>
  <c r="AS13" i="79"/>
  <c r="AS7" i="79"/>
  <c r="AS14" i="79"/>
  <c r="AS19" i="79"/>
  <c r="AS20" i="79"/>
  <c r="AS21" i="79"/>
  <c r="AS8" i="79"/>
  <c r="AS12" i="79"/>
  <c r="AS18" i="79"/>
  <c r="AQ30" i="79" l="1"/>
  <c r="BG30" i="79"/>
  <c r="AS30" i="79"/>
  <c r="AP30" i="79"/>
  <c r="BF30" i="79"/>
  <c r="AQ36" i="79"/>
  <c r="BG11" i="79"/>
  <c r="BG70" i="78"/>
  <c r="BF70" i="78"/>
  <c r="BF45" i="79"/>
  <c r="AQ45" i="79"/>
  <c r="AQ64" i="79"/>
  <c r="AQ51" i="79"/>
  <c r="AP36" i="79"/>
  <c r="AP45" i="79"/>
  <c r="AP23" i="79"/>
  <c r="AS57" i="79"/>
  <c r="AS45" i="79"/>
  <c r="AS23" i="79"/>
  <c r="AS17" i="79"/>
  <c r="BF57" i="79"/>
  <c r="AS64" i="79"/>
  <c r="AS51" i="79"/>
  <c r="AP51" i="79"/>
  <c r="BF36" i="79"/>
  <c r="AP17" i="79"/>
  <c r="AP64" i="79"/>
  <c r="BG45" i="79"/>
  <c r="AQ23" i="79"/>
  <c r="BG64" i="79"/>
  <c r="AQ17" i="79"/>
  <c r="BG51" i="79"/>
  <c r="AS11" i="79"/>
  <c r="BF64" i="79"/>
  <c r="AP11" i="79"/>
  <c r="AQ42" i="79"/>
  <c r="BG17" i="79"/>
  <c r="BG36" i="79"/>
  <c r="BF42" i="79"/>
  <c r="BG57" i="79"/>
  <c r="BG23" i="79"/>
  <c r="BG42" i="79"/>
  <c r="BF23" i="79"/>
  <c r="AP57" i="79"/>
  <c r="AQ57" i="79"/>
  <c r="BF51" i="79"/>
  <c r="AQ11" i="79"/>
  <c r="AS42" i="79"/>
  <c r="AS36" i="79"/>
  <c r="AP42" i="79"/>
  <c r="BF17" i="79"/>
  <c r="BF11" i="79"/>
  <c r="DS11" i="77"/>
  <c r="DS17" i="77" s="1"/>
  <c r="BH48" i="78"/>
  <c r="BH44" i="78"/>
  <c r="DG11" i="73"/>
  <c r="BK12" i="79" a="1"/>
  <c r="BK12" i="79" s="1"/>
  <c r="BL12" i="79" a="1"/>
  <c r="BL12" i="79" s="1"/>
  <c r="DS64" i="77"/>
  <c r="DS42" i="77"/>
  <c r="DS45" i="77" s="1"/>
  <c r="DG68" i="73"/>
  <c r="DG55" i="73"/>
  <c r="DG61" i="73" s="1"/>
  <c r="BH19" i="79"/>
  <c r="BH12" i="79"/>
  <c r="BH44" i="79"/>
  <c r="BH32" i="79"/>
  <c r="BH32" i="78"/>
  <c r="BH50" i="78"/>
  <c r="BH59" i="79"/>
  <c r="BH35" i="79"/>
  <c r="BH18" i="79"/>
  <c r="BH39" i="79"/>
  <c r="BH59" i="78"/>
  <c r="BH36" i="78"/>
  <c r="BH63" i="78"/>
  <c r="BH53" i="78"/>
  <c r="BH57" i="78"/>
  <c r="BH46" i="78"/>
  <c r="BH40" i="78"/>
  <c r="BH27" i="78"/>
  <c r="BH8" i="78"/>
  <c r="BH13" i="78"/>
  <c r="BH56" i="79"/>
  <c r="BH49" i="79"/>
  <c r="BH41" i="79"/>
  <c r="BH8" i="79"/>
  <c r="BH21" i="79"/>
  <c r="BH13" i="79"/>
  <c r="BH29" i="79"/>
  <c r="BH26" i="79"/>
  <c r="BH37" i="79"/>
  <c r="BH16" i="79"/>
  <c r="BH63" i="79"/>
  <c r="BH61" i="79"/>
  <c r="BH22" i="79"/>
  <c r="BH47" i="79"/>
  <c r="BH15" i="79"/>
  <c r="BH14" i="79"/>
  <c r="BH55" i="79"/>
  <c r="BH60" i="79"/>
  <c r="BH54" i="79"/>
  <c r="BH53" i="79"/>
  <c r="BH48" i="79"/>
  <c r="BH52" i="79"/>
  <c r="BH40" i="79"/>
  <c r="BH43" i="79"/>
  <c r="BH33" i="79"/>
  <c r="BH28" i="79"/>
  <c r="BH27" i="79"/>
  <c r="BH20" i="79"/>
  <c r="BH14" i="78"/>
  <c r="BH65" i="78"/>
  <c r="BH54" i="78"/>
  <c r="BH18" i="78"/>
  <c r="BH21" i="78"/>
  <c r="BH58" i="78"/>
  <c r="BH64" i="78"/>
  <c r="BH67" i="78"/>
  <c r="BH7" i="78"/>
  <c r="BH28" i="78"/>
  <c r="BH37" i="78"/>
  <c r="BH16" i="78"/>
  <c r="BH47" i="78"/>
  <c r="BH35" i="78"/>
  <c r="BH42" i="78"/>
  <c r="BH20" i="78"/>
  <c r="BH52" i="78"/>
  <c r="BH66" i="78"/>
  <c r="BH24" i="78"/>
  <c r="BH34" i="78"/>
  <c r="BH10" i="78"/>
  <c r="BH41" i="78"/>
  <c r="BH51" i="78"/>
  <c r="BH60" i="78"/>
  <c r="BH25" i="78"/>
  <c r="BH9" i="78"/>
  <c r="BH49" i="78"/>
  <c r="BH26" i="78"/>
  <c r="BH29" i="78"/>
  <c r="BH15" i="78"/>
  <c r="BH56" i="78"/>
  <c r="BH22" i="78"/>
  <c r="BH33" i="78"/>
  <c r="BH30" i="78"/>
  <c r="BH39" i="78"/>
  <c r="BH43" i="78"/>
  <c r="BH19" i="78"/>
  <c r="BH62" i="78"/>
  <c r="BH45" i="78"/>
  <c r="BH12" i="78"/>
  <c r="BH31" i="79"/>
  <c r="BH62" i="79"/>
  <c r="BH10" i="79"/>
  <c r="BH34" i="79"/>
  <c r="BH25" i="79"/>
  <c r="BH7" i="79"/>
  <c r="BH9" i="79"/>
  <c r="BH58" i="79"/>
  <c r="BH46" i="79"/>
  <c r="AS66" i="79" l="1"/>
  <c r="AQ66" i="79"/>
  <c r="BF66" i="79"/>
  <c r="BG66" i="79"/>
  <c r="AP66" i="79"/>
  <c r="BH45" i="79"/>
  <c r="AR17" i="79"/>
  <c r="BH17" i="79"/>
  <c r="BH11" i="79"/>
  <c r="AR11" i="79"/>
  <c r="DS23" i="77"/>
  <c r="DS30" i="77" s="1"/>
  <c r="R77" i="79"/>
  <c r="AR66" i="79" l="1"/>
  <c r="BH66" i="79"/>
  <c r="BH51" i="79"/>
  <c r="BH30" i="79"/>
  <c r="DS36" i="77"/>
  <c r="U78" i="79"/>
  <c r="U77" i="79"/>
  <c r="R81" i="79"/>
  <c r="V81" i="78" l="1"/>
  <c r="Y82" i="78" l="1"/>
  <c r="Y81" i="78"/>
  <c r="V85" i="78"/>
  <c r="BA63" i="79" l="1"/>
  <c r="AY63" i="79"/>
  <c r="BA62" i="79"/>
  <c r="AY62" i="79"/>
  <c r="BA56" i="79"/>
  <c r="AY56" i="79"/>
  <c r="BA61" i="79"/>
  <c r="AY61" i="79"/>
  <c r="BA55" i="79"/>
  <c r="AY55" i="79"/>
  <c r="BA60" i="79"/>
  <c r="AY60" i="79"/>
  <c r="BA59" i="79"/>
  <c r="AY59" i="79"/>
  <c r="BA58" i="79"/>
  <c r="AY58" i="79"/>
  <c r="BA22" i="79"/>
  <c r="AY22" i="79"/>
  <c r="BA49" i="79"/>
  <c r="AY49" i="79"/>
  <c r="BA54" i="79"/>
  <c r="AY54" i="79"/>
  <c r="BA53" i="79"/>
  <c r="AY53" i="79"/>
  <c r="BA48" i="79"/>
  <c r="AY48" i="79"/>
  <c r="BA47" i="79"/>
  <c r="AY47" i="79"/>
  <c r="BA46" i="79"/>
  <c r="AY46" i="79"/>
  <c r="BA41" i="79"/>
  <c r="AY41" i="79"/>
  <c r="BA52" i="79"/>
  <c r="AY52" i="79"/>
  <c r="BA40" i="79"/>
  <c r="AY40" i="79"/>
  <c r="BA39" i="79"/>
  <c r="AY39" i="79"/>
  <c r="BA44" i="79"/>
  <c r="AY44" i="79"/>
  <c r="BA43" i="79"/>
  <c r="AY43" i="79"/>
  <c r="BA10" i="79"/>
  <c r="AY10" i="79"/>
  <c r="BA16" i="79"/>
  <c r="AY16" i="79"/>
  <c r="BA15" i="79"/>
  <c r="AY15" i="79"/>
  <c r="BA9" i="79"/>
  <c r="AY9" i="79"/>
  <c r="BA37" i="79"/>
  <c r="AY37" i="79"/>
  <c r="BA35" i="79"/>
  <c r="AY35" i="79"/>
  <c r="BA29" i="79"/>
  <c r="AY29" i="79"/>
  <c r="BA34" i="79"/>
  <c r="AY34" i="79"/>
  <c r="BA33" i="79"/>
  <c r="AY33" i="79"/>
  <c r="BA28" i="79"/>
  <c r="AY28" i="79"/>
  <c r="BA27" i="79"/>
  <c r="AY27" i="79"/>
  <c r="BA32" i="79"/>
  <c r="AY32" i="79"/>
  <c r="BA26" i="79"/>
  <c r="AY26" i="79"/>
  <c r="BA25" i="79"/>
  <c r="AY25" i="79"/>
  <c r="BA31" i="79"/>
  <c r="AY31" i="79"/>
  <c r="BA8" i="79"/>
  <c r="AY8" i="79"/>
  <c r="BA21" i="79"/>
  <c r="AY21" i="79"/>
  <c r="BA20" i="79"/>
  <c r="AY20" i="79"/>
  <c r="BA19" i="79"/>
  <c r="AY19" i="79"/>
  <c r="BA14" i="79"/>
  <c r="AY14" i="79"/>
  <c r="BA7" i="79"/>
  <c r="AY7" i="79"/>
  <c r="BA13" i="79"/>
  <c r="AY13" i="79"/>
  <c r="BA18" i="79"/>
  <c r="AY18" i="79"/>
  <c r="BA12" i="79"/>
  <c r="AY12" i="79"/>
  <c r="I4" i="79"/>
  <c r="L4" i="79" s="1"/>
  <c r="O4" i="79" s="1"/>
  <c r="R4" i="79" s="1"/>
  <c r="AN2" i="79"/>
  <c r="AM2" i="79"/>
  <c r="AK2" i="79"/>
  <c r="AJ2" i="79"/>
  <c r="AH2" i="79"/>
  <c r="AG2" i="79"/>
  <c r="AE2" i="79"/>
  <c r="AD2" i="79"/>
  <c r="AB2" i="79"/>
  <c r="AA2" i="79"/>
  <c r="Y2" i="79"/>
  <c r="X2" i="79"/>
  <c r="V2" i="79"/>
  <c r="U2" i="79"/>
  <c r="S2" i="79"/>
  <c r="R2" i="79"/>
  <c r="P2" i="79"/>
  <c r="O2" i="79"/>
  <c r="M2" i="79"/>
  <c r="L2" i="79"/>
  <c r="J2" i="79"/>
  <c r="I2" i="79"/>
  <c r="G2" i="79"/>
  <c r="F2" i="79"/>
  <c r="AQ12" i="78"/>
  <c r="AP18" i="78"/>
  <c r="AQ18" i="78"/>
  <c r="AP13" i="78"/>
  <c r="AQ13" i="78"/>
  <c r="AP7" i="78"/>
  <c r="AQ7" i="78"/>
  <c r="AP14" i="78"/>
  <c r="AQ14" i="78"/>
  <c r="AP19" i="78"/>
  <c r="AQ19" i="78"/>
  <c r="AP20" i="78"/>
  <c r="AQ20" i="78"/>
  <c r="AP21" i="78"/>
  <c r="AQ21" i="78"/>
  <c r="AP8" i="78"/>
  <c r="AQ8" i="78"/>
  <c r="AP32" i="78"/>
  <c r="AQ32" i="78"/>
  <c r="AP24" i="78"/>
  <c r="AQ24" i="78"/>
  <c r="AP25" i="78"/>
  <c r="AQ25" i="78"/>
  <c r="AP26" i="78"/>
  <c r="AQ26" i="78"/>
  <c r="AP33" i="78"/>
  <c r="AQ33" i="78"/>
  <c r="AP27" i="78"/>
  <c r="AQ27" i="78"/>
  <c r="AP28" i="78"/>
  <c r="AQ28" i="78"/>
  <c r="AP34" i="78"/>
  <c r="AQ34" i="78"/>
  <c r="AP35" i="78"/>
  <c r="AQ35" i="78"/>
  <c r="AP29" i="78"/>
  <c r="AQ29" i="78"/>
  <c r="AP30" i="78"/>
  <c r="AQ30" i="78"/>
  <c r="AP36" i="78"/>
  <c r="AQ36" i="78"/>
  <c r="AP38" i="78"/>
  <c r="AQ38" i="78"/>
  <c r="AP9" i="78"/>
  <c r="AQ9" i="78"/>
  <c r="AP15" i="78"/>
  <c r="AQ15" i="78"/>
  <c r="AP39" i="78"/>
  <c r="AQ39" i="78"/>
  <c r="AP40" i="78"/>
  <c r="AQ40" i="78"/>
  <c r="AP16" i="78"/>
  <c r="AQ16" i="78"/>
  <c r="AP10" i="78"/>
  <c r="AQ10" i="78"/>
  <c r="AP49" i="78"/>
  <c r="AQ49" i="78"/>
  <c r="AP45" i="78"/>
  <c r="AQ45" i="78"/>
  <c r="AP46" i="78"/>
  <c r="AQ46" i="78"/>
  <c r="AP47" i="78"/>
  <c r="AQ47" i="78"/>
  <c r="AP41" i="78"/>
  <c r="AQ41" i="78"/>
  <c r="AP42" i="78"/>
  <c r="AQ42" i="78"/>
  <c r="AP56" i="78"/>
  <c r="AQ56" i="78"/>
  <c r="AP43" i="78"/>
  <c r="AQ43" i="78"/>
  <c r="AP50" i="78"/>
  <c r="AQ50" i="78"/>
  <c r="AP51" i="78"/>
  <c r="AQ51" i="78"/>
  <c r="AP52" i="78"/>
  <c r="AQ52" i="78"/>
  <c r="AP57" i="78"/>
  <c r="AQ57" i="78"/>
  <c r="AP58" i="78"/>
  <c r="AQ58" i="78"/>
  <c r="AP53" i="78"/>
  <c r="AQ53" i="78"/>
  <c r="AP54" i="78"/>
  <c r="AQ54" i="78"/>
  <c r="AP22" i="78"/>
  <c r="AQ22" i="78"/>
  <c r="AP62" i="78"/>
  <c r="AQ62" i="78"/>
  <c r="AP63" i="78"/>
  <c r="AQ63" i="78"/>
  <c r="AP64" i="78"/>
  <c r="AQ64" i="78"/>
  <c r="AP59" i="78"/>
  <c r="AQ59" i="78"/>
  <c r="AP65" i="78"/>
  <c r="AQ65" i="78"/>
  <c r="AP60" i="78"/>
  <c r="AQ60" i="78"/>
  <c r="AP66" i="78"/>
  <c r="AQ66" i="78"/>
  <c r="AP67" i="78"/>
  <c r="AQ67" i="78"/>
  <c r="AP12" i="78"/>
  <c r="Q4" i="78"/>
  <c r="T4" i="78" s="1"/>
  <c r="W4" i="78" s="1"/>
  <c r="Z4" i="78" s="1"/>
  <c r="AC4" i="78" s="1"/>
  <c r="AF4" i="78" s="1"/>
  <c r="AI4" i="78" s="1"/>
  <c r="I4" i="78"/>
  <c r="L4" i="78" s="1"/>
  <c r="O4" i="78" s="1"/>
  <c r="AO2" i="78"/>
  <c r="AN2" i="78"/>
  <c r="AM2" i="78"/>
  <c r="AL2" i="78"/>
  <c r="AK2" i="78"/>
  <c r="AJ2" i="78"/>
  <c r="AI2" i="78"/>
  <c r="AH2" i="78"/>
  <c r="AG2" i="78"/>
  <c r="AF2" i="78"/>
  <c r="AE2" i="78"/>
  <c r="AD2" i="78"/>
  <c r="AC2" i="78"/>
  <c r="AB2" i="78"/>
  <c r="AA2" i="78"/>
  <c r="Z2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J2" i="78"/>
  <c r="I2" i="78"/>
  <c r="H2" i="78"/>
  <c r="G2" i="78"/>
  <c r="F2" i="78"/>
  <c r="H17" i="79" l="1"/>
  <c r="H11" i="79"/>
  <c r="AY11" i="79"/>
  <c r="AY17" i="79" s="1"/>
  <c r="AP11" i="78"/>
  <c r="AQ11" i="78"/>
  <c r="BK12" i="78" a="1"/>
  <c r="BK12" i="78" s="1"/>
  <c r="BL12" i="78" a="1"/>
  <c r="BL12" i="78" s="1"/>
  <c r="BH57" i="79"/>
  <c r="BH42" i="79"/>
  <c r="BH36" i="79"/>
  <c r="BH23" i="79"/>
  <c r="H34" i="79"/>
  <c r="K21" i="79"/>
  <c r="K54" i="79"/>
  <c r="AW29" i="79"/>
  <c r="AZ29" i="79" s="1"/>
  <c r="AV27" i="79"/>
  <c r="BB27" i="79" s="1"/>
  <c r="K19" i="79"/>
  <c r="AV16" i="79"/>
  <c r="BB16" i="79" s="1"/>
  <c r="K12" i="79"/>
  <c r="AV31" i="79"/>
  <c r="BB31" i="79" s="1"/>
  <c r="K41" i="79"/>
  <c r="H56" i="79"/>
  <c r="AR21" i="79"/>
  <c r="AV13" i="79"/>
  <c r="BB13" i="79" s="1"/>
  <c r="K46" i="79"/>
  <c r="AV44" i="79"/>
  <c r="BB44" i="79" s="1"/>
  <c r="K59" i="79"/>
  <c r="H58" i="79"/>
  <c r="H62" i="79"/>
  <c r="AV19" i="79"/>
  <c r="BB19" i="79" s="1"/>
  <c r="AV60" i="79"/>
  <c r="BB60" i="79" s="1"/>
  <c r="AW10" i="79"/>
  <c r="Z7" i="79"/>
  <c r="AW13" i="79"/>
  <c r="AZ13" i="79" s="1"/>
  <c r="K15" i="79"/>
  <c r="AV10" i="79"/>
  <c r="BB10" i="79" s="1"/>
  <c r="H61" i="79"/>
  <c r="H9" i="79"/>
  <c r="K60" i="79"/>
  <c r="K9" i="79"/>
  <c r="K53" i="79"/>
  <c r="H47" i="79"/>
  <c r="H49" i="79"/>
  <c r="K22" i="79"/>
  <c r="AW53" i="79"/>
  <c r="AZ53" i="79" s="1"/>
  <c r="BA64" i="79"/>
  <c r="BA42" i="79"/>
  <c r="U4" i="79"/>
  <c r="X4" i="79" s="1"/>
  <c r="S4" i="79"/>
  <c r="AC7" i="79"/>
  <c r="AW40" i="79"/>
  <c r="H40" i="79"/>
  <c r="AW35" i="79"/>
  <c r="AZ35" i="79" s="1"/>
  <c r="Q7" i="79"/>
  <c r="K25" i="79"/>
  <c r="K44" i="79"/>
  <c r="K52" i="79"/>
  <c r="K13" i="79"/>
  <c r="AI7" i="79"/>
  <c r="AO7" i="79"/>
  <c r="H14" i="79"/>
  <c r="AV53" i="79"/>
  <c r="BB53" i="79" s="1"/>
  <c r="AV54" i="79"/>
  <c r="BB54" i="79" s="1"/>
  <c r="H13" i="79"/>
  <c r="AV43" i="79"/>
  <c r="BB43" i="79" s="1"/>
  <c r="K58" i="79"/>
  <c r="K35" i="79"/>
  <c r="H60" i="79"/>
  <c r="H44" i="79"/>
  <c r="AW55" i="79"/>
  <c r="AZ55" i="79" s="1"/>
  <c r="AR22" i="79"/>
  <c r="AR34" i="79"/>
  <c r="H53" i="79"/>
  <c r="H22" i="79"/>
  <c r="AV56" i="79"/>
  <c r="BB56" i="79" s="1"/>
  <c r="K56" i="79"/>
  <c r="AW63" i="79"/>
  <c r="AZ63" i="79" s="1"/>
  <c r="K10" i="79"/>
  <c r="AR55" i="79"/>
  <c r="AW15" i="79"/>
  <c r="AZ15" i="79" s="1"/>
  <c r="H54" i="79"/>
  <c r="H55" i="79"/>
  <c r="H35" i="79"/>
  <c r="AV15" i="79"/>
  <c r="BB15" i="79" s="1"/>
  <c r="AW43" i="79"/>
  <c r="AZ43" i="79" s="1"/>
  <c r="H43" i="79"/>
  <c r="K27" i="79"/>
  <c r="BA57" i="79"/>
  <c r="K28" i="79"/>
  <c r="AY42" i="79"/>
  <c r="AY45" i="79" s="1"/>
  <c r="AW19" i="79"/>
  <c r="AW32" i="79"/>
  <c r="AZ32" i="79" s="1"/>
  <c r="AR62" i="79"/>
  <c r="AV12" i="79"/>
  <c r="H12" i="79"/>
  <c r="AV7" i="79"/>
  <c r="H7" i="79"/>
  <c r="AV32" i="79"/>
  <c r="BB32" i="79" s="1"/>
  <c r="AV52" i="79"/>
  <c r="BB52" i="79" s="1"/>
  <c r="AR14" i="79"/>
  <c r="AV8" i="79"/>
  <c r="H8" i="79"/>
  <c r="AW8" i="79"/>
  <c r="AV28" i="79"/>
  <c r="BB28" i="79" s="1"/>
  <c r="AV40" i="79"/>
  <c r="AW21" i="79"/>
  <c r="AV49" i="79"/>
  <c r="BB49" i="79" s="1"/>
  <c r="K49" i="79"/>
  <c r="AW31" i="79"/>
  <c r="H31" i="79"/>
  <c r="K18" i="79"/>
  <c r="AW12" i="79"/>
  <c r="AW16" i="79"/>
  <c r="H16" i="79"/>
  <c r="AR43" i="79"/>
  <c r="AV21" i="79"/>
  <c r="BB21" i="79" s="1"/>
  <c r="K48" i="79"/>
  <c r="AW33" i="79"/>
  <c r="K7" i="79"/>
  <c r="AW7" i="79"/>
  <c r="H20" i="79"/>
  <c r="H33" i="79"/>
  <c r="AV37" i="79"/>
  <c r="H59" i="79"/>
  <c r="AW59" i="79"/>
  <c r="K29" i="79"/>
  <c r="H41" i="79"/>
  <c r="AV41" i="79"/>
  <c r="BB41" i="79" s="1"/>
  <c r="K31" i="79"/>
  <c r="AW25" i="79"/>
  <c r="K26" i="79"/>
  <c r="AV26" i="79"/>
  <c r="BB26" i="79" s="1"/>
  <c r="AR49" i="79"/>
  <c r="AV34" i="79"/>
  <c r="BB34" i="79" s="1"/>
  <c r="AV33" i="79"/>
  <c r="BB33" i="79" s="1"/>
  <c r="AV18" i="79"/>
  <c r="H27" i="79"/>
  <c r="AV20" i="79"/>
  <c r="BB20" i="79" s="1"/>
  <c r="K34" i="79"/>
  <c r="H29" i="79"/>
  <c r="H18" i="79"/>
  <c r="AW18" i="79"/>
  <c r="N7" i="79"/>
  <c r="W7" i="79"/>
  <c r="H19" i="79"/>
  <c r="AW20" i="79"/>
  <c r="BA23" i="79"/>
  <c r="AW34" i="79"/>
  <c r="H15" i="79"/>
  <c r="AW28" i="79"/>
  <c r="AV14" i="79"/>
  <c r="BB14" i="79" s="1"/>
  <c r="K20" i="79"/>
  <c r="BA36" i="79"/>
  <c r="AV46" i="79"/>
  <c r="AV29" i="79"/>
  <c r="BB29" i="79" s="1"/>
  <c r="P4" i="79"/>
  <c r="AF7" i="79"/>
  <c r="K14" i="79"/>
  <c r="H10" i="79"/>
  <c r="H46" i="79"/>
  <c r="AW52" i="79"/>
  <c r="K37" i="79"/>
  <c r="AW44" i="79"/>
  <c r="AV22" i="79"/>
  <c r="BB22" i="79" s="1"/>
  <c r="H37" i="79"/>
  <c r="AW37" i="79"/>
  <c r="K16" i="79"/>
  <c r="AW46" i="79"/>
  <c r="AV25" i="79"/>
  <c r="K8" i="79"/>
  <c r="AR25" i="79"/>
  <c r="H26" i="79"/>
  <c r="AW26" i="79"/>
  <c r="H32" i="79"/>
  <c r="K33" i="79"/>
  <c r="AV55" i="79"/>
  <c r="BB55" i="79" s="1"/>
  <c r="AW14" i="79"/>
  <c r="H21" i="79"/>
  <c r="H25" i="79"/>
  <c r="T7" i="79"/>
  <c r="K32" i="79"/>
  <c r="H28" i="79"/>
  <c r="AR54" i="79"/>
  <c r="AV35" i="79"/>
  <c r="AV9" i="79"/>
  <c r="BB9" i="79" s="1"/>
  <c r="AV39" i="79"/>
  <c r="BB39" i="79" s="1"/>
  <c r="H39" i="79"/>
  <c r="K40" i="79"/>
  <c r="AV63" i="79"/>
  <c r="AW27" i="79"/>
  <c r="AW9" i="79"/>
  <c r="K43" i="79"/>
  <c r="H52" i="79"/>
  <c r="AV59" i="79"/>
  <c r="BB59" i="79" s="1"/>
  <c r="AV61" i="79"/>
  <c r="BB61" i="79" s="1"/>
  <c r="AV62" i="79"/>
  <c r="BB62" i="79" s="1"/>
  <c r="H63" i="79"/>
  <c r="AW41" i="79"/>
  <c r="AW48" i="79"/>
  <c r="H48" i="79"/>
  <c r="AV58" i="79"/>
  <c r="BB58" i="79" s="1"/>
  <c r="K61" i="79"/>
  <c r="AW47" i="79"/>
  <c r="AV48" i="79"/>
  <c r="BB48" i="79" s="1"/>
  <c r="AW58" i="79"/>
  <c r="AW39" i="79"/>
  <c r="K39" i="79"/>
  <c r="K47" i="79"/>
  <c r="AV47" i="79"/>
  <c r="BB47" i="79" s="1"/>
  <c r="AW22" i="79"/>
  <c r="AY64" i="79"/>
  <c r="AR61" i="79"/>
  <c r="AW54" i="79"/>
  <c r="AW60" i="79"/>
  <c r="AW49" i="79"/>
  <c r="AW61" i="79"/>
  <c r="K62" i="79"/>
  <c r="AW62" i="79"/>
  <c r="K63" i="79"/>
  <c r="K55" i="79"/>
  <c r="AW56" i="79"/>
  <c r="AR36" i="78"/>
  <c r="AR62" i="78"/>
  <c r="H46" i="78"/>
  <c r="H21" i="78"/>
  <c r="H66" i="78"/>
  <c r="H49" i="78"/>
  <c r="H28" i="78"/>
  <c r="H60" i="78"/>
  <c r="H51" i="78"/>
  <c r="H7" i="78"/>
  <c r="H65" i="78"/>
  <c r="H35" i="78"/>
  <c r="H34" i="78"/>
  <c r="H59" i="78"/>
  <c r="H40" i="78"/>
  <c r="H33" i="78"/>
  <c r="H18" i="78"/>
  <c r="K26" i="78"/>
  <c r="K64" i="78"/>
  <c r="H52" i="78"/>
  <c r="H15" i="78"/>
  <c r="H25" i="78"/>
  <c r="H9" i="78"/>
  <c r="H24" i="78"/>
  <c r="H50" i="78"/>
  <c r="H16" i="78"/>
  <c r="H13" i="78"/>
  <c r="H41" i="78"/>
  <c r="K29" i="78"/>
  <c r="K58" i="78"/>
  <c r="K12" i="78"/>
  <c r="K20" i="78"/>
  <c r="K39" i="78"/>
  <c r="K43" i="78"/>
  <c r="K67" i="78"/>
  <c r="H57" i="78"/>
  <c r="H64" i="78"/>
  <c r="H10" i="78"/>
  <c r="K32" i="78"/>
  <c r="K10" i="78"/>
  <c r="K41" i="78"/>
  <c r="K51" i="78"/>
  <c r="K60" i="78"/>
  <c r="K14" i="78"/>
  <c r="K24" i="78"/>
  <c r="K34" i="78"/>
  <c r="K49" i="78"/>
  <c r="K42" i="78"/>
  <c r="K52" i="78"/>
  <c r="K66" i="78"/>
  <c r="K19" i="78"/>
  <c r="K25" i="78"/>
  <c r="K35" i="78"/>
  <c r="K15" i="78"/>
  <c r="K45" i="78"/>
  <c r="K56" i="78"/>
  <c r="K57" i="78"/>
  <c r="K63" i="78"/>
  <c r="H54" i="78"/>
  <c r="K7" i="78"/>
  <c r="K28" i="78"/>
  <c r="K22" i="78"/>
  <c r="H14" i="78"/>
  <c r="K9" i="78"/>
  <c r="H47" i="78"/>
  <c r="H36" i="78"/>
  <c r="H8" i="78"/>
  <c r="H39" i="78"/>
  <c r="H26" i="78"/>
  <c r="H30" i="78"/>
  <c r="H63" i="78"/>
  <c r="H56" i="78"/>
  <c r="H29" i="78"/>
  <c r="H45" i="78"/>
  <c r="K13" i="78"/>
  <c r="K8" i="78"/>
  <c r="K27" i="78"/>
  <c r="K36" i="78"/>
  <c r="K16" i="78"/>
  <c r="K47" i="78"/>
  <c r="K50" i="78"/>
  <c r="K54" i="78"/>
  <c r="K65" i="78"/>
  <c r="H42" i="78"/>
  <c r="H19" i="78"/>
  <c r="K18" i="78"/>
  <c r="K21" i="78"/>
  <c r="K33" i="78"/>
  <c r="K30" i="78"/>
  <c r="K40" i="78"/>
  <c r="K46" i="78"/>
  <c r="K53" i="78"/>
  <c r="K59" i="78"/>
  <c r="K38" i="78"/>
  <c r="K62" i="78"/>
  <c r="H67" i="78"/>
  <c r="H58" i="78"/>
  <c r="H20" i="78"/>
  <c r="H27" i="78"/>
  <c r="H22" i="78"/>
  <c r="H38" i="78"/>
  <c r="H32" i="78"/>
  <c r="H43" i="78"/>
  <c r="H12" i="78"/>
  <c r="H53" i="78"/>
  <c r="H62" i="78"/>
  <c r="R4" i="78"/>
  <c r="P4" i="78"/>
  <c r="BA70" i="78"/>
  <c r="AT51" i="79" l="1"/>
  <c r="AT36" i="79"/>
  <c r="AT57" i="79"/>
  <c r="AT64" i="79"/>
  <c r="AT45" i="79"/>
  <c r="AT11" i="79"/>
  <c r="AU11" i="79" s="1"/>
  <c r="AT23" i="79"/>
  <c r="BB40" i="79"/>
  <c r="AY51" i="79"/>
  <c r="AY57" i="79" s="1"/>
  <c r="BB18" i="79"/>
  <c r="H30" i="79"/>
  <c r="BB8" i="79"/>
  <c r="AY23" i="79"/>
  <c r="AW11" i="79"/>
  <c r="AZ11" i="79" s="1"/>
  <c r="BB7" i="79"/>
  <c r="AV11" i="79"/>
  <c r="BB11" i="79" s="1"/>
  <c r="AR11" i="78"/>
  <c r="BH68" i="78"/>
  <c r="BH64" i="79"/>
  <c r="AX10" i="79"/>
  <c r="BE19" i="79"/>
  <c r="AR28" i="79"/>
  <c r="AX19" i="79"/>
  <c r="AR35" i="79"/>
  <c r="AZ10" i="79"/>
  <c r="AX43" i="79"/>
  <c r="AR15" i="79"/>
  <c r="AR27" i="79"/>
  <c r="AV42" i="79"/>
  <c r="BB42" i="79" s="1"/>
  <c r="AX13" i="79"/>
  <c r="V4" i="79"/>
  <c r="AR26" i="79"/>
  <c r="AU19" i="79"/>
  <c r="AU7" i="79"/>
  <c r="AU32" i="79"/>
  <c r="AR53" i="79"/>
  <c r="AX40" i="79"/>
  <c r="AL7" i="79"/>
  <c r="AR20" i="79"/>
  <c r="AX55" i="79"/>
  <c r="AZ19" i="79"/>
  <c r="AR44" i="79"/>
  <c r="AX32" i="79"/>
  <c r="AR40" i="79"/>
  <c r="AZ40" i="79"/>
  <c r="AX15" i="79"/>
  <c r="BE49" i="79"/>
  <c r="AR39" i="79"/>
  <c r="AR60" i="79"/>
  <c r="AX53" i="79"/>
  <c r="AU48" i="79"/>
  <c r="AR7" i="79"/>
  <c r="AU61" i="79"/>
  <c r="AZ7" i="79"/>
  <c r="AX7" i="79"/>
  <c r="AU54" i="79"/>
  <c r="AX54" i="79"/>
  <c r="AZ54" i="79"/>
  <c r="AX25" i="79"/>
  <c r="AZ25" i="79"/>
  <c r="BE13" i="79"/>
  <c r="AR59" i="79"/>
  <c r="AA4" i="79"/>
  <c r="Y4" i="79"/>
  <c r="AW64" i="79"/>
  <c r="AZ58" i="79"/>
  <c r="AX58" i="79"/>
  <c r="H23" i="79"/>
  <c r="BC57" i="79"/>
  <c r="H57" i="79"/>
  <c r="AR9" i="79"/>
  <c r="AX63" i="79"/>
  <c r="BB63" i="79"/>
  <c r="AX35" i="79"/>
  <c r="BB35" i="79"/>
  <c r="BE26" i="79"/>
  <c r="AU26" i="79"/>
  <c r="AX49" i="79"/>
  <c r="AZ49" i="79"/>
  <c r="BE52" i="79"/>
  <c r="AR56" i="79"/>
  <c r="AR58" i="79"/>
  <c r="AX47" i="79"/>
  <c r="AZ47" i="79"/>
  <c r="BA66" i="79"/>
  <c r="AZ28" i="79"/>
  <c r="AX28" i="79"/>
  <c r="BE29" i="79"/>
  <c r="AR12" i="79"/>
  <c r="AU34" i="79"/>
  <c r="BE46" i="79"/>
  <c r="AU55" i="79"/>
  <c r="BE62" i="79"/>
  <c r="AX60" i="79"/>
  <c r="AZ60" i="79"/>
  <c r="BE31" i="79"/>
  <c r="AZ21" i="79"/>
  <c r="AX21" i="79"/>
  <c r="BE54" i="79"/>
  <c r="AZ62" i="79"/>
  <c r="AX62" i="79"/>
  <c r="AU37" i="79"/>
  <c r="BE63" i="79"/>
  <c r="BE25" i="79"/>
  <c r="AU52" i="79"/>
  <c r="AU63" i="79"/>
  <c r="AU27" i="79"/>
  <c r="BE61" i="79"/>
  <c r="BE48" i="79"/>
  <c r="BE16" i="79"/>
  <c r="AR63" i="79"/>
  <c r="AR37" i="79"/>
  <c r="BE10" i="79"/>
  <c r="AU40" i="79"/>
  <c r="BE21" i="79"/>
  <c r="BB12" i="79"/>
  <c r="BE53" i="79"/>
  <c r="BE58" i="79"/>
  <c r="AX48" i="79"/>
  <c r="AZ48" i="79"/>
  <c r="BE55" i="79"/>
  <c r="AX14" i="79"/>
  <c r="AZ14" i="79"/>
  <c r="AW42" i="79"/>
  <c r="AW45" i="79" s="1"/>
  <c r="AZ37" i="79"/>
  <c r="AX37" i="79"/>
  <c r="AR10" i="79"/>
  <c r="AU15" i="79"/>
  <c r="AU20" i="79"/>
  <c r="BE14" i="79"/>
  <c r="BE20" i="79"/>
  <c r="BE8" i="79"/>
  <c r="AX56" i="79"/>
  <c r="AZ56" i="79"/>
  <c r="H64" i="79"/>
  <c r="BD64" i="79"/>
  <c r="AR48" i="79"/>
  <c r="AU9" i="79"/>
  <c r="BC42" i="79"/>
  <c r="AX18" i="79"/>
  <c r="AZ18" i="79"/>
  <c r="AU25" i="79"/>
  <c r="AU60" i="79"/>
  <c r="AZ33" i="79"/>
  <c r="AX33" i="79"/>
  <c r="BB37" i="79"/>
  <c r="AZ8" i="79"/>
  <c r="AX8" i="79"/>
  <c r="BE37" i="79"/>
  <c r="BB46" i="79"/>
  <c r="AU35" i="79"/>
  <c r="BE41" i="79"/>
  <c r="AU10" i="79"/>
  <c r="AU56" i="79"/>
  <c r="AU43" i="79"/>
  <c r="BE33" i="79"/>
  <c r="AU18" i="79"/>
  <c r="AU8" i="79"/>
  <c r="AU33" i="79"/>
  <c r="AR29" i="79"/>
  <c r="AR13" i="79"/>
  <c r="AR18" i="79"/>
  <c r="AX39" i="79"/>
  <c r="AZ39" i="79"/>
  <c r="AV64" i="79"/>
  <c r="AR52" i="79"/>
  <c r="BD57" i="79"/>
  <c r="BE15" i="79"/>
  <c r="AX26" i="79"/>
  <c r="AZ26" i="79"/>
  <c r="BD42" i="79"/>
  <c r="H42" i="79"/>
  <c r="AZ52" i="79"/>
  <c r="AX52" i="79"/>
  <c r="BE7" i="79"/>
  <c r="AU21" i="79"/>
  <c r="AU16" i="79"/>
  <c r="AU49" i="79"/>
  <c r="AR33" i="79"/>
  <c r="BE12" i="79"/>
  <c r="AR31" i="79"/>
  <c r="AR8" i="79"/>
  <c r="BE9" i="79"/>
  <c r="AU41" i="79"/>
  <c r="AX61" i="79"/>
  <c r="AZ61" i="79"/>
  <c r="BC64" i="79"/>
  <c r="BE60" i="79"/>
  <c r="BE40" i="79"/>
  <c r="BE56" i="79"/>
  <c r="BE39" i="79"/>
  <c r="AU29" i="79"/>
  <c r="AX20" i="79"/>
  <c r="AZ20" i="79"/>
  <c r="AU14" i="79"/>
  <c r="AU47" i="79"/>
  <c r="AU58" i="79"/>
  <c r="AX59" i="79"/>
  <c r="AZ59" i="79"/>
  <c r="AZ12" i="79"/>
  <c r="AX12" i="79"/>
  <c r="AX31" i="79"/>
  <c r="AZ31" i="79"/>
  <c r="AU13" i="79"/>
  <c r="AX29" i="79"/>
  <c r="AZ41" i="79"/>
  <c r="AX41" i="79"/>
  <c r="AU46" i="79"/>
  <c r="AU44" i="79"/>
  <c r="BE28" i="79"/>
  <c r="BE32" i="79"/>
  <c r="AX46" i="79"/>
  <c r="AZ46" i="79"/>
  <c r="BE34" i="79"/>
  <c r="AU28" i="79"/>
  <c r="AU39" i="79"/>
  <c r="AU22" i="79"/>
  <c r="AZ16" i="79"/>
  <c r="AX16" i="79"/>
  <c r="AX22" i="79"/>
  <c r="AZ22" i="79"/>
  <c r="AR32" i="79"/>
  <c r="AZ44" i="79"/>
  <c r="AX44" i="79"/>
  <c r="AU62" i="79"/>
  <c r="BE59" i="79"/>
  <c r="BE47" i="79"/>
  <c r="AR47" i="79"/>
  <c r="BE43" i="79"/>
  <c r="AZ9" i="79"/>
  <c r="AX9" i="79"/>
  <c r="AZ27" i="79"/>
  <c r="AX27" i="79"/>
  <c r="BE22" i="79"/>
  <c r="BE44" i="79"/>
  <c r="BB25" i="79"/>
  <c r="AR46" i="79"/>
  <c r="BE35" i="79"/>
  <c r="AZ34" i="79"/>
  <c r="AX34" i="79"/>
  <c r="AU31" i="79"/>
  <c r="AU53" i="79"/>
  <c r="AU59" i="79"/>
  <c r="AR41" i="79"/>
  <c r="AR19" i="79"/>
  <c r="AR16" i="79"/>
  <c r="BE18" i="79"/>
  <c r="BE27" i="79"/>
  <c r="AQ37" i="78"/>
  <c r="AP37" i="78"/>
  <c r="H68" i="78"/>
  <c r="H37" i="78"/>
  <c r="S4" i="78"/>
  <c r="U4" i="78"/>
  <c r="BC11" i="78" s="1"/>
  <c r="AU12" i="79" l="1"/>
  <c r="AT17" i="79"/>
  <c r="AT66" i="79" s="1"/>
  <c r="AU66" i="79" s="1"/>
  <c r="AR45" i="79"/>
  <c r="AW51" i="79"/>
  <c r="AZ51" i="79" s="1"/>
  <c r="AV45" i="79"/>
  <c r="AX45" i="79" s="1"/>
  <c r="AU45" i="79"/>
  <c r="AZ45" i="79"/>
  <c r="AW17" i="79"/>
  <c r="H66" i="79"/>
  <c r="H36" i="79"/>
  <c r="AR30" i="79"/>
  <c r="AY30" i="79"/>
  <c r="BQ11" i="79"/>
  <c r="BC11" i="79"/>
  <c r="BC17" i="79"/>
  <c r="BD17" i="79"/>
  <c r="BQ17" i="79"/>
  <c r="AV17" i="79"/>
  <c r="BP17" i="79"/>
  <c r="BP11" i="79"/>
  <c r="AX11" i="79"/>
  <c r="BD11" i="79"/>
  <c r="I21" i="84" a="1"/>
  <c r="I21" i="84" s="1"/>
  <c r="I20" i="84" a="1"/>
  <c r="I20" i="84" s="1"/>
  <c r="BM12" i="79" a="1"/>
  <c r="BM12" i="79" s="1"/>
  <c r="AR23" i="79"/>
  <c r="AR42" i="79"/>
  <c r="AX42" i="79"/>
  <c r="AZ42" i="79"/>
  <c r="AU64" i="79"/>
  <c r="BE57" i="79"/>
  <c r="AX64" i="79"/>
  <c r="AZ64" i="79"/>
  <c r="BE42" i="79"/>
  <c r="BB64" i="79"/>
  <c r="BE64" i="79"/>
  <c r="AD4" i="79"/>
  <c r="AB4" i="79"/>
  <c r="AU42" i="79"/>
  <c r="AR36" i="79"/>
  <c r="AR64" i="79"/>
  <c r="N29" i="78"/>
  <c r="N12" i="78"/>
  <c r="N26" i="78"/>
  <c r="N20" i="78"/>
  <c r="N58" i="78"/>
  <c r="N39" i="78"/>
  <c r="N43" i="78"/>
  <c r="N67" i="78"/>
  <c r="N64" i="78"/>
  <c r="N21" i="78"/>
  <c r="N63" i="78"/>
  <c r="N14" i="78"/>
  <c r="N30" i="78"/>
  <c r="N28" i="78"/>
  <c r="N9" i="78"/>
  <c r="N57" i="78"/>
  <c r="N7" i="78"/>
  <c r="N33" i="78"/>
  <c r="N16" i="78"/>
  <c r="N38" i="78"/>
  <c r="N36" i="78"/>
  <c r="N59" i="78"/>
  <c r="N62" i="78"/>
  <c r="N45" i="78"/>
  <c r="N42" i="78"/>
  <c r="N60" i="78"/>
  <c r="N40" i="78"/>
  <c r="N18" i="78"/>
  <c r="N15" i="78"/>
  <c r="N50" i="78"/>
  <c r="N19" i="78"/>
  <c r="N54" i="78"/>
  <c r="N52" i="78"/>
  <c r="N65" i="78"/>
  <c r="N51" i="78"/>
  <c r="N24" i="78"/>
  <c r="N53" i="78"/>
  <c r="N41" i="78"/>
  <c r="N34" i="78"/>
  <c r="N10" i="78"/>
  <c r="N35" i="78"/>
  <c r="N32" i="78"/>
  <c r="N22" i="78"/>
  <c r="N27" i="78"/>
  <c r="N25" i="78"/>
  <c r="N47" i="78"/>
  <c r="N66" i="78"/>
  <c r="N56" i="78"/>
  <c r="N13" i="78"/>
  <c r="N49" i="78"/>
  <c r="N8" i="78"/>
  <c r="N46" i="78"/>
  <c r="V4" i="78"/>
  <c r="X4" i="78"/>
  <c r="AW57" i="79" l="1"/>
  <c r="AZ57" i="79" s="1"/>
  <c r="AZ17" i="79"/>
  <c r="AW23" i="79"/>
  <c r="BB17" i="79"/>
  <c r="AV23" i="79"/>
  <c r="AV30" i="79" s="1"/>
  <c r="AU17" i="79"/>
  <c r="AR51" i="79"/>
  <c r="AV51" i="79"/>
  <c r="BB51" i="79" s="1"/>
  <c r="AU51" i="79"/>
  <c r="BB45" i="79"/>
  <c r="BE11" i="79"/>
  <c r="BC30" i="79"/>
  <c r="BQ30" i="79"/>
  <c r="BQ36" i="79"/>
  <c r="BE17" i="79"/>
  <c r="AY36" i="79"/>
  <c r="BD30" i="79"/>
  <c r="BP30" i="79"/>
  <c r="BP23" i="79"/>
  <c r="BD23" i="79"/>
  <c r="BC23" i="79"/>
  <c r="AX17" i="79"/>
  <c r="BQ23" i="79"/>
  <c r="BD11" i="78"/>
  <c r="J32" i="84"/>
  <c r="I32" i="84"/>
  <c r="I22" i="84"/>
  <c r="AG4" i="79"/>
  <c r="AE4" i="79"/>
  <c r="Q12" i="78"/>
  <c r="Q26" i="78"/>
  <c r="AY70" i="78"/>
  <c r="AA4" i="78"/>
  <c r="Y4" i="78"/>
  <c r="AZ23" i="79" l="1"/>
  <c r="AW30" i="79"/>
  <c r="AX30" i="79" s="1"/>
  <c r="BB30" i="79"/>
  <c r="AV36" i="79"/>
  <c r="BB23" i="79"/>
  <c r="AX23" i="79"/>
  <c r="AV57" i="79"/>
  <c r="AR57" i="79"/>
  <c r="AU57" i="79"/>
  <c r="AX51" i="79"/>
  <c r="BE30" i="79"/>
  <c r="BP36" i="79"/>
  <c r="BD36" i="79"/>
  <c r="BD66" i="79" s="1"/>
  <c r="AY66" i="79"/>
  <c r="BC36" i="79"/>
  <c r="BC66" i="79" s="1"/>
  <c r="AU23" i="79"/>
  <c r="BE23" i="79"/>
  <c r="BE11" i="78"/>
  <c r="AJ4" i="79"/>
  <c r="AH4" i="79"/>
  <c r="Q29" i="78"/>
  <c r="T12" i="78"/>
  <c r="Q58" i="78"/>
  <c r="Q20" i="78"/>
  <c r="Q64" i="78"/>
  <c r="Q43" i="78"/>
  <c r="Q39" i="78"/>
  <c r="Q67" i="78"/>
  <c r="Q35" i="78"/>
  <c r="Q51" i="78"/>
  <c r="Q63" i="78"/>
  <c r="Q21" i="78"/>
  <c r="Q66" i="78"/>
  <c r="Q45" i="78"/>
  <c r="Q62" i="78"/>
  <c r="Q65" i="78"/>
  <c r="Q57" i="78"/>
  <c r="Q40" i="78"/>
  <c r="Q42" i="78"/>
  <c r="Q50" i="78"/>
  <c r="Q32" i="78"/>
  <c r="Q15" i="78"/>
  <c r="Q14" i="78"/>
  <c r="Q59" i="78"/>
  <c r="Q38" i="78"/>
  <c r="Q54" i="78"/>
  <c r="Q24" i="78"/>
  <c r="Q47" i="78"/>
  <c r="Q53" i="78"/>
  <c r="Q46" i="78"/>
  <c r="Q16" i="78"/>
  <c r="Q56" i="78"/>
  <c r="Q22" i="78"/>
  <c r="Q18" i="78"/>
  <c r="Q49" i="78"/>
  <c r="Q52" i="78"/>
  <c r="Q27" i="78"/>
  <c r="Q60" i="78"/>
  <c r="Q19" i="78"/>
  <c r="Q41" i="78"/>
  <c r="Q33" i="78"/>
  <c r="Q36" i="78"/>
  <c r="Q30" i="78"/>
  <c r="Q9" i="78"/>
  <c r="Q13" i="78"/>
  <c r="Q28" i="78"/>
  <c r="Q8" i="78"/>
  <c r="Q10" i="78"/>
  <c r="Q7" i="78"/>
  <c r="Q34" i="78"/>
  <c r="Q25" i="78"/>
  <c r="AD4" i="78"/>
  <c r="AB4" i="78"/>
  <c r="AW36" i="79" l="1"/>
  <c r="AX36" i="79" s="1"/>
  <c r="AZ30" i="79"/>
  <c r="AV66" i="79"/>
  <c r="BB66" i="79" s="1"/>
  <c r="BB36" i="79"/>
  <c r="AX57" i="79"/>
  <c r="BE66" i="79"/>
  <c r="BB57" i="79"/>
  <c r="BE36" i="79"/>
  <c r="AU30" i="79"/>
  <c r="T20" i="78"/>
  <c r="AM4" i="79"/>
  <c r="AK4" i="79"/>
  <c r="BC12" i="78"/>
  <c r="BD12" i="78"/>
  <c r="BC20" i="78"/>
  <c r="BD20" i="78"/>
  <c r="T26" i="78"/>
  <c r="T58" i="78"/>
  <c r="AE4" i="78"/>
  <c r="AG4" i="78"/>
  <c r="AZ36" i="79" l="1"/>
  <c r="AW66" i="79"/>
  <c r="AZ66" i="79" s="1"/>
  <c r="AU36" i="79"/>
  <c r="AN4" i="79"/>
  <c r="BE20" i="78"/>
  <c r="BE12" i="78"/>
  <c r="T64" i="78"/>
  <c r="T29" i="78"/>
  <c r="T43" i="78"/>
  <c r="T39" i="78"/>
  <c r="T67" i="78"/>
  <c r="T21" i="78"/>
  <c r="T32" i="78"/>
  <c r="T9" i="78"/>
  <c r="T51" i="78"/>
  <c r="W20" i="78"/>
  <c r="T41" i="78"/>
  <c r="T38" i="78"/>
  <c r="T49" i="78"/>
  <c r="T56" i="78"/>
  <c r="T15" i="78"/>
  <c r="T62" i="78"/>
  <c r="T18" i="78"/>
  <c r="T46" i="78"/>
  <c r="T24" i="78"/>
  <c r="T16" i="78"/>
  <c r="T28" i="78"/>
  <c r="T57" i="78"/>
  <c r="T52" i="78"/>
  <c r="T53" i="78"/>
  <c r="T60" i="78"/>
  <c r="T7" i="78"/>
  <c r="T42" i="78"/>
  <c r="T63" i="78"/>
  <c r="T45" i="78"/>
  <c r="BD26" i="78"/>
  <c r="BC26" i="78"/>
  <c r="T50" i="78"/>
  <c r="T59" i="78"/>
  <c r="W12" i="78"/>
  <c r="T25" i="78"/>
  <c r="BC58" i="78"/>
  <c r="BD58" i="78"/>
  <c r="T14" i="78"/>
  <c r="T30" i="78"/>
  <c r="T27" i="78"/>
  <c r="T36" i="78"/>
  <c r="T19" i="78"/>
  <c r="T35" i="78"/>
  <c r="T10" i="78"/>
  <c r="T40" i="78"/>
  <c r="T33" i="78"/>
  <c r="T65" i="78"/>
  <c r="T47" i="78"/>
  <c r="T34" i="78"/>
  <c r="T22" i="78"/>
  <c r="T8" i="78"/>
  <c r="T13" i="78"/>
  <c r="T54" i="78"/>
  <c r="T66" i="78"/>
  <c r="AJ4" i="78"/>
  <c r="AS11" i="78" s="1"/>
  <c r="AH4" i="78"/>
  <c r="AX66" i="79" l="1"/>
  <c r="BE58" i="78"/>
  <c r="BC29" i="78"/>
  <c r="BE26" i="78"/>
  <c r="BC64" i="78"/>
  <c r="BC43" i="78"/>
  <c r="BC39" i="78"/>
  <c r="BD39" i="78"/>
  <c r="BC67" i="78"/>
  <c r="BD67" i="78"/>
  <c r="BC50" i="78"/>
  <c r="BD50" i="78"/>
  <c r="BD63" i="78"/>
  <c r="BC63" i="78"/>
  <c r="BD57" i="78"/>
  <c r="BC57" i="78"/>
  <c r="BD47" i="78"/>
  <c r="BC47" i="78"/>
  <c r="BD33" i="78"/>
  <c r="BC33" i="78"/>
  <c r="BD10" i="78"/>
  <c r="BC10" i="78"/>
  <c r="BD14" i="78"/>
  <c r="BC14" i="78"/>
  <c r="BD42" i="78"/>
  <c r="BC42" i="78"/>
  <c r="BC18" i="78"/>
  <c r="BD18" i="78"/>
  <c r="BD56" i="78"/>
  <c r="BC56" i="78"/>
  <c r="BC22" i="78"/>
  <c r="BD22" i="78"/>
  <c r="BD51" i="78"/>
  <c r="BC51" i="78"/>
  <c r="BC32" i="78"/>
  <c r="BD32" i="78"/>
  <c r="BD54" i="78"/>
  <c r="BC54" i="78"/>
  <c r="BD60" i="78"/>
  <c r="BC60" i="78"/>
  <c r="BD53" i="78"/>
  <c r="BC53" i="78"/>
  <c r="BD24" i="78"/>
  <c r="BC24" i="78"/>
  <c r="BD36" i="78"/>
  <c r="BC36" i="78"/>
  <c r="BC30" i="78"/>
  <c r="BD30" i="78"/>
  <c r="BD28" i="78"/>
  <c r="BC28" i="78"/>
  <c r="BD25" i="78"/>
  <c r="BC25" i="78"/>
  <c r="BD45" i="78"/>
  <c r="BC45" i="78"/>
  <c r="BC52" i="78"/>
  <c r="BD52" i="78"/>
  <c r="BC46" i="78"/>
  <c r="BD46" i="78"/>
  <c r="BD38" i="78"/>
  <c r="BC38" i="78"/>
  <c r="BD34" i="78"/>
  <c r="BC34" i="78"/>
  <c r="BD16" i="78"/>
  <c r="BC16" i="78"/>
  <c r="BD21" i="78"/>
  <c r="BC21" i="78"/>
  <c r="BD13" i="78"/>
  <c r="BC13" i="78"/>
  <c r="BD40" i="78"/>
  <c r="BC40" i="78"/>
  <c r="W58" i="78"/>
  <c r="BC7" i="78"/>
  <c r="BD7" i="78"/>
  <c r="BC41" i="78"/>
  <c r="BD41" i="78"/>
  <c r="BC35" i="78"/>
  <c r="BD35" i="78"/>
  <c r="W26" i="78"/>
  <c r="BC62" i="78"/>
  <c r="BD62" i="78"/>
  <c r="BD9" i="78"/>
  <c r="BC9" i="78"/>
  <c r="BD15" i="78"/>
  <c r="BC15" i="78"/>
  <c r="BD66" i="78"/>
  <c r="BC66" i="78"/>
  <c r="BD8" i="78"/>
  <c r="BC8" i="78"/>
  <c r="BD65" i="78"/>
  <c r="BC65" i="78"/>
  <c r="BD19" i="78"/>
  <c r="BC19" i="78"/>
  <c r="BD27" i="78"/>
  <c r="BC27" i="78"/>
  <c r="BD59" i="78"/>
  <c r="BC59" i="78"/>
  <c r="BD49" i="78"/>
  <c r="BC49" i="78"/>
  <c r="AM4" i="78"/>
  <c r="AN4" i="78" s="1"/>
  <c r="AK4" i="78"/>
  <c r="AT11" i="78" l="1"/>
  <c r="BE67" i="78"/>
  <c r="BE39" i="78"/>
  <c r="BE46" i="78"/>
  <c r="BE41" i="78"/>
  <c r="BE7" i="78"/>
  <c r="BE45" i="78"/>
  <c r="BE36" i="78"/>
  <c r="BE52" i="78"/>
  <c r="BE65" i="78"/>
  <c r="BE40" i="78"/>
  <c r="BE34" i="78"/>
  <c r="BE22" i="78"/>
  <c r="BE49" i="78"/>
  <c r="BE28" i="78"/>
  <c r="BE57" i="78"/>
  <c r="BE13" i="78"/>
  <c r="BE9" i="78"/>
  <c r="BE25" i="78"/>
  <c r="BE24" i="78"/>
  <c r="BE14" i="78"/>
  <c r="BE59" i="78"/>
  <c r="BE8" i="78"/>
  <c r="BE21" i="78"/>
  <c r="BE38" i="78"/>
  <c r="BE53" i="78"/>
  <c r="BE10" i="78"/>
  <c r="BE27" i="78"/>
  <c r="BE66" i="78"/>
  <c r="BE60" i="78"/>
  <c r="BE33" i="78"/>
  <c r="BE19" i="78"/>
  <c r="BE15" i="78"/>
  <c r="BE16" i="78"/>
  <c r="BE54" i="78"/>
  <c r="BE56" i="78"/>
  <c r="BE47" i="78"/>
  <c r="BE30" i="78"/>
  <c r="BE32" i="78"/>
  <c r="BE18" i="78"/>
  <c r="BD29" i="78"/>
  <c r="BE29" i="78" s="1"/>
  <c r="W29" i="78"/>
  <c r="BE62" i="78"/>
  <c r="BD43" i="78"/>
  <c r="BE43" i="78" s="1"/>
  <c r="W43" i="78"/>
  <c r="BE51" i="78"/>
  <c r="BE42" i="78"/>
  <c r="BE63" i="78"/>
  <c r="BE50" i="78"/>
  <c r="BE35" i="78"/>
  <c r="W64" i="78"/>
  <c r="BD64" i="78"/>
  <c r="BE64" i="78" s="1"/>
  <c r="W39" i="78"/>
  <c r="W67" i="78"/>
  <c r="Z12" i="78"/>
  <c r="W9" i="78"/>
  <c r="W27" i="78"/>
  <c r="Z20" i="78"/>
  <c r="W24" i="78"/>
  <c r="W32" i="78"/>
  <c r="BD37" i="78"/>
  <c r="W59" i="78"/>
  <c r="W35" i="78"/>
  <c r="W21" i="78"/>
  <c r="W28" i="78"/>
  <c r="W18" i="78"/>
  <c r="W8" i="78"/>
  <c r="W49" i="78"/>
  <c r="W19" i="78"/>
  <c r="W40" i="78"/>
  <c r="W30" i="78"/>
  <c r="W53" i="78"/>
  <c r="W22" i="78"/>
  <c r="W42" i="78"/>
  <c r="W51" i="78"/>
  <c r="W63" i="78"/>
  <c r="W65" i="78"/>
  <c r="W13" i="78"/>
  <c r="W60" i="78"/>
  <c r="W14" i="78"/>
  <c r="W50" i="78"/>
  <c r="W52" i="78"/>
  <c r="W54" i="78"/>
  <c r="W41" i="78"/>
  <c r="BC37" i="78"/>
  <c r="W57" i="78"/>
  <c r="W62" i="78"/>
  <c r="W34" i="78"/>
  <c r="W10" i="78"/>
  <c r="W66" i="78"/>
  <c r="W16" i="78"/>
  <c r="W38" i="78"/>
  <c r="W45" i="78"/>
  <c r="W33" i="78"/>
  <c r="W7" i="78"/>
  <c r="W46" i="78"/>
  <c r="W36" i="78"/>
  <c r="W56" i="78"/>
  <c r="W15" i="78"/>
  <c r="W25" i="78"/>
  <c r="W47" i="78"/>
  <c r="AU11" i="78" l="1"/>
  <c r="BE37" i="78"/>
  <c r="Z26" i="78"/>
  <c r="Z58" i="78"/>
  <c r="Z7" i="78"/>
  <c r="BE68" i="78" l="1"/>
  <c r="Z64" i="78"/>
  <c r="Z43" i="78"/>
  <c r="Z29" i="78"/>
  <c r="Z57" i="78"/>
  <c r="Z66" i="78"/>
  <c r="Z21" i="78"/>
  <c r="Z15" i="78"/>
  <c r="AC20" i="78"/>
  <c r="Z19" i="78"/>
  <c r="Z41" i="78"/>
  <c r="Z39" i="78"/>
  <c r="Z40" i="78"/>
  <c r="Z60" i="78"/>
  <c r="Z59" i="78"/>
  <c r="Z53" i="78"/>
  <c r="AC26" i="78"/>
  <c r="Z67" i="78"/>
  <c r="Z10" i="78"/>
  <c r="Z54" i="78"/>
  <c r="Z9" i="78"/>
  <c r="Z28" i="78"/>
  <c r="Z65" i="78"/>
  <c r="Z42" i="78"/>
  <c r="Z8" i="78"/>
  <c r="AC12" i="78"/>
  <c r="Z18" i="78"/>
  <c r="Z47" i="78"/>
  <c r="Z16" i="78"/>
  <c r="Z46" i="78"/>
  <c r="Z22" i="78"/>
  <c r="Z30" i="78"/>
  <c r="Z13" i="78"/>
  <c r="Z25" i="78"/>
  <c r="Z35" i="78"/>
  <c r="Z56" i="78"/>
  <c r="Z34" i="78"/>
  <c r="Z52" i="78"/>
  <c r="Z63" i="78"/>
  <c r="Z51" i="78"/>
  <c r="Z36" i="78"/>
  <c r="Z24" i="78"/>
  <c r="Z62" i="78"/>
  <c r="Z45" i="78"/>
  <c r="Z38" i="78"/>
  <c r="Z14" i="78"/>
  <c r="Z27" i="78"/>
  <c r="Z50" i="78"/>
  <c r="Z32" i="78"/>
  <c r="Z49" i="78"/>
  <c r="Z33" i="78"/>
  <c r="AC64" i="78" l="1"/>
  <c r="AC21" i="78"/>
  <c r="AC54" i="78"/>
  <c r="AC15" i="78"/>
  <c r="AC10" i="78"/>
  <c r="AC9" i="78"/>
  <c r="AC57" i="78"/>
  <c r="AC66" i="78"/>
  <c r="AC41" i="78"/>
  <c r="AC28" i="78"/>
  <c r="AC65" i="78"/>
  <c r="AC19" i="78"/>
  <c r="AC40" i="78"/>
  <c r="AC60" i="78"/>
  <c r="AC53" i="78"/>
  <c r="AC59" i="78"/>
  <c r="AC42" i="78"/>
  <c r="AF20" i="78"/>
  <c r="AC7" i="78"/>
  <c r="AC58" i="78"/>
  <c r="AC52" i="78" l="1"/>
  <c r="AC43" i="78"/>
  <c r="AC29" i="78"/>
  <c r="AF41" i="78"/>
  <c r="AC34" i="78"/>
  <c r="AF28" i="78"/>
  <c r="AF59" i="78"/>
  <c r="AC39" i="78"/>
  <c r="AF15" i="78"/>
  <c r="AC47" i="78"/>
  <c r="AC67" i="78"/>
  <c r="AC36" i="78"/>
  <c r="AF12" i="78"/>
  <c r="AC56" i="78"/>
  <c r="AC8" i="78"/>
  <c r="AC22" i="78"/>
  <c r="AC24" i="78"/>
  <c r="AC27" i="78"/>
  <c r="AC16" i="78"/>
  <c r="AC30" i="78"/>
  <c r="AC25" i="78"/>
  <c r="AC50" i="78"/>
  <c r="AF26" i="78"/>
  <c r="AC49" i="78"/>
  <c r="AC13" i="78"/>
  <c r="AC18" i="78"/>
  <c r="AC33" i="78"/>
  <c r="AC14" i="78"/>
  <c r="AC46" i="78"/>
  <c r="AC63" i="78"/>
  <c r="AC32" i="78"/>
  <c r="AC38" i="78"/>
  <c r="AC45" i="78"/>
  <c r="AC62" i="78"/>
  <c r="AF64" i="78"/>
  <c r="AC51" i="78"/>
  <c r="AC35" i="78"/>
  <c r="AF52" i="78" l="1"/>
  <c r="AF43" i="78"/>
  <c r="AF47" i="78"/>
  <c r="AF34" i="78"/>
  <c r="AF54" i="78"/>
  <c r="AI41" i="78"/>
  <c r="AF21" i="78"/>
  <c r="AF60" i="78"/>
  <c r="AF19" i="78"/>
  <c r="AF40" i="78"/>
  <c r="AF36" i="78"/>
  <c r="AF57" i="78"/>
  <c r="AF10" i="78"/>
  <c r="AF65" i="78"/>
  <c r="AF53" i="78"/>
  <c r="AI20" i="78"/>
  <c r="AF66" i="78"/>
  <c r="AF58" i="78"/>
  <c r="AF7" i="78"/>
  <c r="AF42" i="78"/>
  <c r="AF9" i="78"/>
  <c r="AI43" i="78" l="1"/>
  <c r="AI47" i="78"/>
  <c r="AI15" i="78"/>
  <c r="AF29" i="78"/>
  <c r="AF33" i="78"/>
  <c r="AI54" i="78"/>
  <c r="AI59" i="78"/>
  <c r="AI60" i="78"/>
  <c r="AF67" i="78"/>
  <c r="AI19" i="78"/>
  <c r="AF13" i="78"/>
  <c r="AF35" i="78"/>
  <c r="AF39" i="78"/>
  <c r="AI21" i="78"/>
  <c r="AF63" i="78"/>
  <c r="AF24" i="78"/>
  <c r="AI40" i="78"/>
  <c r="AI57" i="78"/>
  <c r="AI28" i="78"/>
  <c r="AF30" i="78"/>
  <c r="AF50" i="78"/>
  <c r="AF32" i="78"/>
  <c r="AF49" i="78"/>
  <c r="AI12" i="78"/>
  <c r="AF14" i="78"/>
  <c r="AF46" i="78"/>
  <c r="AF27" i="78"/>
  <c r="AF16" i="78"/>
  <c r="AF51" i="78"/>
  <c r="AF25" i="78"/>
  <c r="AF45" i="78"/>
  <c r="AF22" i="78"/>
  <c r="AF38" i="78"/>
  <c r="AF56" i="78"/>
  <c r="AF18" i="78"/>
  <c r="AI64" i="78"/>
  <c r="AI26" i="78"/>
  <c r="AF8" i="78"/>
  <c r="AF62" i="78"/>
  <c r="AL43" i="78" l="1"/>
  <c r="AS43" i="78" s="1"/>
  <c r="AI67" i="78"/>
  <c r="AI35" i="78"/>
  <c r="AL59" i="78"/>
  <c r="AL54" i="78"/>
  <c r="AT54" i="78" s="1"/>
  <c r="AI13" i="78"/>
  <c r="AI42" i="78"/>
  <c r="AL57" i="78"/>
  <c r="AI10" i="78"/>
  <c r="AI63" i="78"/>
  <c r="AI24" i="78"/>
  <c r="AL20" i="78"/>
  <c r="AT20" i="78" s="1"/>
  <c r="AL15" i="78"/>
  <c r="AT15" i="78" s="1"/>
  <c r="AI66" i="78"/>
  <c r="AI65" i="78"/>
  <c r="AI7" i="78"/>
  <c r="AI33" i="78"/>
  <c r="AI34" i="78"/>
  <c r="AL41" i="78"/>
  <c r="AI9" i="78"/>
  <c r="AI58" i="78"/>
  <c r="AI53" i="78"/>
  <c r="AI52" i="78"/>
  <c r="AI36" i="78"/>
  <c r="AI29" i="78" l="1"/>
  <c r="AL10" i="78"/>
  <c r="AS15" i="78"/>
  <c r="AU15" i="78" s="1"/>
  <c r="AS54" i="78"/>
  <c r="AU54" i="78" s="1"/>
  <c r="AI39" i="78"/>
  <c r="AS20" i="78"/>
  <c r="AU20" i="78" s="1"/>
  <c r="AL28" i="78"/>
  <c r="AS28" i="78" s="1"/>
  <c r="AL67" i="78"/>
  <c r="AL26" i="78"/>
  <c r="AT26" i="78" s="1"/>
  <c r="AL21" i="78"/>
  <c r="AS21" i="78" s="1"/>
  <c r="AL64" i="78"/>
  <c r="AS64" i="78" s="1"/>
  <c r="AI8" i="78"/>
  <c r="AL42" i="78"/>
  <c r="AS42" i="78" s="1"/>
  <c r="AI50" i="78"/>
  <c r="AL40" i="78"/>
  <c r="AL12" i="78"/>
  <c r="AI14" i="78"/>
  <c r="AI27" i="78"/>
  <c r="AI49" i="78"/>
  <c r="AL47" i="78"/>
  <c r="AI16" i="78"/>
  <c r="AT41" i="78"/>
  <c r="AS41" i="78"/>
  <c r="AI30" i="78"/>
  <c r="AI56" i="78"/>
  <c r="AL19" i="78"/>
  <c r="AI18" i="78"/>
  <c r="AL60" i="78"/>
  <c r="AI32" i="78"/>
  <c r="AI62" i="78"/>
  <c r="AI22" i="78"/>
  <c r="AI38" i="78"/>
  <c r="AT57" i="78"/>
  <c r="AS57" i="78"/>
  <c r="AI46" i="78"/>
  <c r="AI45" i="78"/>
  <c r="AI25" i="78"/>
  <c r="AT59" i="78"/>
  <c r="AS59" i="78"/>
  <c r="AI51" i="78"/>
  <c r="AU41" i="78" l="1"/>
  <c r="AO43" i="78"/>
  <c r="AT43" i="78"/>
  <c r="AU43" i="78" s="1"/>
  <c r="AU59" i="78"/>
  <c r="AU57" i="78"/>
  <c r="AO15" i="78"/>
  <c r="AL36" i="78"/>
  <c r="AT36" i="78" s="1"/>
  <c r="AO54" i="78"/>
  <c r="AS10" i="78"/>
  <c r="AO20" i="78"/>
  <c r="AL8" i="78"/>
  <c r="AT8" i="78" s="1"/>
  <c r="AL63" i="78"/>
  <c r="AS63" i="78" s="1"/>
  <c r="AS67" i="78"/>
  <c r="AT67" i="78"/>
  <c r="AL9" i="78"/>
  <c r="AT9" i="78" s="1"/>
  <c r="AO57" i="78"/>
  <c r="AL52" i="78"/>
  <c r="AT52" i="78" s="1"/>
  <c r="AL7" i="78"/>
  <c r="AT7" i="78" s="1"/>
  <c r="AL33" i="78"/>
  <c r="AT33" i="78" s="1"/>
  <c r="AL24" i="78"/>
  <c r="AS24" i="78" s="1"/>
  <c r="AS26" i="78"/>
  <c r="AU26" i="78" s="1"/>
  <c r="AL65" i="78"/>
  <c r="AL13" i="78"/>
  <c r="AL53" i="78"/>
  <c r="AO41" i="78"/>
  <c r="AL35" i="78"/>
  <c r="AT19" i="78"/>
  <c r="AS19" i="78"/>
  <c r="AT47" i="78"/>
  <c r="AS47" i="78"/>
  <c r="AT12" i="78"/>
  <c r="AS12" i="78"/>
  <c r="AO59" i="78"/>
  <c r="AT60" i="78"/>
  <c r="AS60" i="78"/>
  <c r="AL34" i="78"/>
  <c r="AS40" i="78"/>
  <c r="AT40" i="78"/>
  <c r="AL66" i="78"/>
  <c r="AL58" i="78"/>
  <c r="AU67" i="78" l="1"/>
  <c r="AU12" i="78"/>
  <c r="AU40" i="78"/>
  <c r="AL29" i="78"/>
  <c r="AO28" i="78"/>
  <c r="AT28" i="78"/>
  <c r="AU28" i="78" s="1"/>
  <c r="AU47" i="78"/>
  <c r="AU19" i="78"/>
  <c r="AO64" i="78"/>
  <c r="AT64" i="78"/>
  <c r="AU64" i="78" s="1"/>
  <c r="AU60" i="78"/>
  <c r="AO21" i="78"/>
  <c r="AT21" i="78"/>
  <c r="AU21" i="78" s="1"/>
  <c r="AO42" i="78"/>
  <c r="AT42" i="78"/>
  <c r="AU42" i="78" s="1"/>
  <c r="AO10" i="78"/>
  <c r="AT10" i="78"/>
  <c r="AU10" i="78" s="1"/>
  <c r="AR43" i="78"/>
  <c r="AL49" i="78"/>
  <c r="AT49" i="78" s="1"/>
  <c r="AL25" i="78"/>
  <c r="AS25" i="78" s="1"/>
  <c r="AL39" i="78"/>
  <c r="AT39" i="78" s="1"/>
  <c r="AL51" i="78"/>
  <c r="AS51" i="78" s="1"/>
  <c r="AS8" i="78"/>
  <c r="AU8" i="78" s="1"/>
  <c r="AO67" i="78"/>
  <c r="AS9" i="78"/>
  <c r="AU9" i="78" s="1"/>
  <c r="AS52" i="78"/>
  <c r="AU52" i="78" s="1"/>
  <c r="AO26" i="78"/>
  <c r="AL14" i="78"/>
  <c r="AS14" i="78" s="1"/>
  <c r="AS33" i="78"/>
  <c r="AU33" i="78" s="1"/>
  <c r="AS7" i="78"/>
  <c r="AU7" i="78" s="1"/>
  <c r="AT66" i="78"/>
  <c r="AS66" i="78"/>
  <c r="AL16" i="78"/>
  <c r="AP68" i="78"/>
  <c r="AO12" i="78"/>
  <c r="AL38" i="78"/>
  <c r="AL27" i="78"/>
  <c r="AQ68" i="78"/>
  <c r="AL62" i="78"/>
  <c r="AT35" i="78"/>
  <c r="AS35" i="78"/>
  <c r="AL18" i="78"/>
  <c r="AT53" i="78"/>
  <c r="AS53" i="78"/>
  <c r="AL30" i="78"/>
  <c r="AL22" i="78"/>
  <c r="AO19" i="78"/>
  <c r="AO60" i="78"/>
  <c r="AO47" i="78"/>
  <c r="AL56" i="78"/>
  <c r="AL45" i="78"/>
  <c r="AS13" i="78"/>
  <c r="AT13" i="78"/>
  <c r="AT34" i="78"/>
  <c r="AS34" i="78"/>
  <c r="AL32" i="78"/>
  <c r="AL46" i="78"/>
  <c r="AL50" i="78"/>
  <c r="AS58" i="78"/>
  <c r="AT58" i="78"/>
  <c r="AO40" i="78"/>
  <c r="AT65" i="78"/>
  <c r="AS65" i="78"/>
  <c r="AU58" i="78" l="1"/>
  <c r="AU13" i="78"/>
  <c r="AU66" i="78"/>
  <c r="AS29" i="78"/>
  <c r="AU65" i="78"/>
  <c r="AU35" i="78"/>
  <c r="AO24" i="78"/>
  <c r="AT24" i="78"/>
  <c r="AU24" i="78" s="1"/>
  <c r="AU34" i="78"/>
  <c r="AO36" i="78"/>
  <c r="AS36" i="78"/>
  <c r="AU36" i="78" s="1"/>
  <c r="AS49" i="78"/>
  <c r="AU49" i="78" s="1"/>
  <c r="AO63" i="78"/>
  <c r="AT63" i="78"/>
  <c r="AU63" i="78" s="1"/>
  <c r="AU53" i="78"/>
  <c r="AR41" i="78"/>
  <c r="AR42" i="78"/>
  <c r="AR54" i="78"/>
  <c r="AR19" i="78"/>
  <c r="AR10" i="78"/>
  <c r="AR59" i="78"/>
  <c r="AR20" i="78"/>
  <c r="AR21" i="78"/>
  <c r="AR57" i="78"/>
  <c r="AR15" i="78"/>
  <c r="AR28" i="78"/>
  <c r="AR64" i="78"/>
  <c r="AO8" i="78"/>
  <c r="AO9" i="78"/>
  <c r="AO52" i="78"/>
  <c r="AO58" i="78"/>
  <c r="AO13" i="78"/>
  <c r="AO33" i="78"/>
  <c r="AO53" i="78"/>
  <c r="AO34" i="78"/>
  <c r="AO7" i="78"/>
  <c r="AS50" i="78"/>
  <c r="AT50" i="78"/>
  <c r="AS38" i="78"/>
  <c r="AT38" i="78"/>
  <c r="AO35" i="78"/>
  <c r="AT22" i="78"/>
  <c r="AS22" i="78"/>
  <c r="AT30" i="78"/>
  <c r="AS30" i="78"/>
  <c r="AT62" i="78"/>
  <c r="AS62" i="78"/>
  <c r="AT45" i="78"/>
  <c r="AS45" i="78"/>
  <c r="AT16" i="78"/>
  <c r="AS16" i="78"/>
  <c r="AT46" i="78"/>
  <c r="AS46" i="78"/>
  <c r="AT18" i="78"/>
  <c r="AS18" i="78"/>
  <c r="AO65" i="78"/>
  <c r="AT32" i="78"/>
  <c r="AS32" i="78"/>
  <c r="AT56" i="78"/>
  <c r="AS56" i="78"/>
  <c r="AO66" i="78"/>
  <c r="AT27" i="78"/>
  <c r="AS27" i="78"/>
  <c r="AU38" i="78" l="1"/>
  <c r="AU50" i="78"/>
  <c r="AU27" i="78"/>
  <c r="AT29" i="78"/>
  <c r="AU29" i="78" s="1"/>
  <c r="AO29" i="78"/>
  <c r="AU32" i="78"/>
  <c r="AU62" i="78"/>
  <c r="AO39" i="78"/>
  <c r="AS39" i="78"/>
  <c r="AU39" i="78" s="1"/>
  <c r="AU46" i="78"/>
  <c r="AO49" i="78"/>
  <c r="AO51" i="78"/>
  <c r="AT51" i="78"/>
  <c r="AU51" i="78" s="1"/>
  <c r="AO25" i="78"/>
  <c r="AT25" i="78"/>
  <c r="AU25" i="78" s="1"/>
  <c r="AU45" i="78"/>
  <c r="AU30" i="78"/>
  <c r="AU16" i="78"/>
  <c r="AO14" i="78"/>
  <c r="AT14" i="78"/>
  <c r="AU14" i="78" s="1"/>
  <c r="AU56" i="78"/>
  <c r="AU18" i="78"/>
  <c r="AU22" i="78"/>
  <c r="AR29" i="78"/>
  <c r="AR60" i="78"/>
  <c r="AR47" i="78"/>
  <c r="AR67" i="78"/>
  <c r="AR24" i="78"/>
  <c r="AR26" i="78"/>
  <c r="AR40" i="78"/>
  <c r="AR63" i="78"/>
  <c r="AR25" i="78"/>
  <c r="AR12" i="78"/>
  <c r="AO22" i="78"/>
  <c r="AO46" i="78"/>
  <c r="AO30" i="78"/>
  <c r="AO38" i="78"/>
  <c r="AO16" i="78"/>
  <c r="AO45" i="78"/>
  <c r="AS68" i="78"/>
  <c r="AO56" i="78"/>
  <c r="AO27" i="78"/>
  <c r="AS37" i="78"/>
  <c r="AO32" i="78"/>
  <c r="AT37" i="78"/>
  <c r="AO50" i="78"/>
  <c r="AT68" i="78"/>
  <c r="AO62" i="78"/>
  <c r="AO18" i="78"/>
  <c r="AU37" i="78" l="1"/>
  <c r="AU68" i="78"/>
  <c r="AR49" i="78"/>
  <c r="AR33" i="78"/>
  <c r="AR8" i="78"/>
  <c r="AR66" i="78"/>
  <c r="AR14" i="78"/>
  <c r="AR53" i="78"/>
  <c r="AR51" i="78"/>
  <c r="AR52" i="78"/>
  <c r="AR9" i="78"/>
  <c r="AR58" i="78"/>
  <c r="AR34" i="78"/>
  <c r="AR7" i="78"/>
  <c r="AR13" i="78"/>
  <c r="AR27" i="78"/>
  <c r="AR65" i="78"/>
  <c r="AR35" i="78"/>
  <c r="AR39" i="78"/>
  <c r="AR16" i="78" l="1"/>
  <c r="AR56" i="78"/>
  <c r="AR45" i="78"/>
  <c r="AR30" i="78"/>
  <c r="AR46" i="78"/>
  <c r="AR22" i="78"/>
  <c r="AR18" i="78"/>
  <c r="AR50" i="78"/>
  <c r="AR38" i="78"/>
  <c r="AR32" i="78"/>
  <c r="AR37" i="78"/>
  <c r="G20" i="84" l="1" a="1"/>
  <c r="G20" i="84" s="1"/>
  <c r="G21" i="84" a="1"/>
  <c r="G21" i="84" s="1"/>
  <c r="BM12" i="78" a="1"/>
  <c r="BM12" i="78" s="1"/>
  <c r="AR68" i="78"/>
  <c r="G32" i="84" l="1"/>
  <c r="H32" i="84"/>
  <c r="G22" i="84"/>
  <c r="G76" i="74"/>
  <c r="M77" i="74" s="1"/>
  <c r="Z79" i="77"/>
  <c r="AF80" i="77" s="1"/>
  <c r="P78" i="77"/>
  <c r="J79" i="77" s="1"/>
  <c r="DJ63" i="77"/>
  <c r="DC63" i="77"/>
  <c r="CK63" i="77"/>
  <c r="CD63" i="77"/>
  <c r="BW63" i="77"/>
  <c r="BG63" i="77"/>
  <c r="BI63" i="77"/>
  <c r="AZ63" i="77"/>
  <c r="BB63" i="77"/>
  <c r="AU63" i="77"/>
  <c r="AL63" i="77"/>
  <c r="AE63" i="77"/>
  <c r="AG63" i="77"/>
  <c r="X63" i="77"/>
  <c r="Q63" i="77"/>
  <c r="S63" i="77"/>
  <c r="DJ62" i="77"/>
  <c r="DC62" i="77"/>
  <c r="CK62" i="77"/>
  <c r="CD62" i="77"/>
  <c r="BW62" i="77"/>
  <c r="BI62" i="77"/>
  <c r="AZ62" i="77"/>
  <c r="AS62" i="77"/>
  <c r="AU62" i="77"/>
  <c r="AL62" i="77"/>
  <c r="AN62" i="77"/>
  <c r="AE62" i="77"/>
  <c r="AG62" i="77"/>
  <c r="X62" i="77"/>
  <c r="DJ56" i="77"/>
  <c r="DC56" i="77"/>
  <c r="CK56" i="77"/>
  <c r="CD56" i="77"/>
  <c r="BW56" i="77"/>
  <c r="BG56" i="77"/>
  <c r="BI56" i="77"/>
  <c r="AZ56" i="77"/>
  <c r="AS56" i="77"/>
  <c r="AU56" i="77"/>
  <c r="AL56" i="77"/>
  <c r="AE56" i="77"/>
  <c r="AG56" i="77"/>
  <c r="X56" i="77"/>
  <c r="S56" i="77"/>
  <c r="L56" i="77"/>
  <c r="DJ61" i="77"/>
  <c r="DC61" i="77"/>
  <c r="CK61" i="77"/>
  <c r="CD61" i="77"/>
  <c r="BW61" i="77"/>
  <c r="BG61" i="77"/>
  <c r="BI61" i="77"/>
  <c r="AZ61" i="77"/>
  <c r="BB61" i="77"/>
  <c r="AU61" i="77"/>
  <c r="AL61" i="77"/>
  <c r="AE61" i="77"/>
  <c r="AG61" i="77"/>
  <c r="X61" i="77"/>
  <c r="Q61" i="77"/>
  <c r="S61" i="77"/>
  <c r="DJ55" i="77"/>
  <c r="DC55" i="77"/>
  <c r="CK55" i="77"/>
  <c r="CD55" i="77"/>
  <c r="BW55" i="77"/>
  <c r="BG55" i="77"/>
  <c r="BI55" i="77"/>
  <c r="AZ55" i="77"/>
  <c r="AU55" i="77"/>
  <c r="AL55" i="77"/>
  <c r="AN55" i="77"/>
  <c r="AE55" i="77"/>
  <c r="AG55" i="77"/>
  <c r="X55" i="77"/>
  <c r="S55" i="77"/>
  <c r="DJ60" i="77"/>
  <c r="DC60" i="77"/>
  <c r="CK60" i="77"/>
  <c r="CD60" i="77"/>
  <c r="BW60" i="77"/>
  <c r="BI60" i="77"/>
  <c r="BB60" i="77"/>
  <c r="AS60" i="77"/>
  <c r="AU60" i="77"/>
  <c r="AL60" i="77"/>
  <c r="AE60" i="77"/>
  <c r="X60" i="77"/>
  <c r="Q60" i="77"/>
  <c r="DJ59" i="77"/>
  <c r="DC59" i="77"/>
  <c r="CK59" i="77"/>
  <c r="CD59" i="77"/>
  <c r="BW59" i="77"/>
  <c r="BG59" i="77"/>
  <c r="BI59" i="77"/>
  <c r="AZ59" i="77"/>
  <c r="BB59" i="77"/>
  <c r="AU59" i="77"/>
  <c r="AL59" i="77"/>
  <c r="AG59" i="77"/>
  <c r="X59" i="77"/>
  <c r="Q59" i="77"/>
  <c r="S59" i="77"/>
  <c r="DJ58" i="77"/>
  <c r="DC58" i="77"/>
  <c r="CD58" i="77"/>
  <c r="BW58" i="77"/>
  <c r="AZ58" i="77"/>
  <c r="BB58" i="77"/>
  <c r="CB58" i="77"/>
  <c r="AU58" i="77"/>
  <c r="AG58" i="77"/>
  <c r="X58" i="77"/>
  <c r="DJ22" i="77"/>
  <c r="DC22" i="77"/>
  <c r="CK22" i="77"/>
  <c r="CD22" i="77"/>
  <c r="BW22" i="77"/>
  <c r="BG22" i="77"/>
  <c r="BI22" i="77"/>
  <c r="AZ22" i="77"/>
  <c r="AU22" i="77"/>
  <c r="AL22" i="77"/>
  <c r="AN22" i="77"/>
  <c r="AE22" i="77"/>
  <c r="AG22" i="77"/>
  <c r="Q22" i="77"/>
  <c r="L22" i="77"/>
  <c r="DJ49" i="77"/>
  <c r="DC49" i="77"/>
  <c r="CK49" i="77"/>
  <c r="CD49" i="77"/>
  <c r="BW49" i="77"/>
  <c r="BI49" i="77"/>
  <c r="AZ49" i="77"/>
  <c r="AS49" i="77"/>
  <c r="AU49" i="77"/>
  <c r="AL49" i="77"/>
  <c r="AN49" i="77"/>
  <c r="AE49" i="77"/>
  <c r="AG49" i="77"/>
  <c r="X49" i="77"/>
  <c r="S49" i="77"/>
  <c r="J49" i="77"/>
  <c r="DJ54" i="77"/>
  <c r="DC54" i="77"/>
  <c r="CK54" i="77"/>
  <c r="CD54" i="77"/>
  <c r="BW54" i="77"/>
  <c r="BG54" i="77"/>
  <c r="BI54" i="77"/>
  <c r="AZ54" i="77"/>
  <c r="BB54" i="77"/>
  <c r="CB54" i="77"/>
  <c r="AU54" i="77"/>
  <c r="AL54" i="77"/>
  <c r="AN54" i="77"/>
  <c r="X54" i="77"/>
  <c r="Q54" i="77"/>
  <c r="S54" i="77"/>
  <c r="DJ53" i="77"/>
  <c r="DC53" i="77"/>
  <c r="CK53" i="77"/>
  <c r="CD53" i="77"/>
  <c r="BW53" i="77"/>
  <c r="BG53" i="77"/>
  <c r="BI53" i="77"/>
  <c r="AZ53" i="77"/>
  <c r="BB53" i="77"/>
  <c r="AU53" i="77"/>
  <c r="AL53" i="77"/>
  <c r="AN53" i="77"/>
  <c r="AG53" i="77"/>
  <c r="Q53" i="77"/>
  <c r="S53" i="77"/>
  <c r="L53" i="77"/>
  <c r="DJ48" i="77"/>
  <c r="DC48" i="77"/>
  <c r="CD48" i="77"/>
  <c r="BW48" i="77"/>
  <c r="BG48" i="77"/>
  <c r="BI48" i="77"/>
  <c r="BB48" i="77"/>
  <c r="AU48" i="77"/>
  <c r="AL48" i="77"/>
  <c r="AN48" i="77"/>
  <c r="AE48" i="77"/>
  <c r="AG48" i="77"/>
  <c r="X48" i="77"/>
  <c r="Q48" i="77"/>
  <c r="DJ47" i="77"/>
  <c r="DC47" i="77"/>
  <c r="CK47" i="77"/>
  <c r="CD47" i="77"/>
  <c r="BW47" i="77"/>
  <c r="BG47" i="77"/>
  <c r="BI47" i="77"/>
  <c r="AZ47" i="77"/>
  <c r="AU47" i="77"/>
  <c r="AL47" i="77"/>
  <c r="AN47" i="77"/>
  <c r="AE47" i="77"/>
  <c r="AG47" i="77"/>
  <c r="Q47" i="77"/>
  <c r="S47" i="77"/>
  <c r="L47" i="77"/>
  <c r="DJ46" i="77"/>
  <c r="DC46" i="77"/>
  <c r="CK46" i="77"/>
  <c r="AN46" i="77"/>
  <c r="Q46" i="77"/>
  <c r="S46" i="77"/>
  <c r="J46" i="77"/>
  <c r="L46" i="77"/>
  <c r="DJ41" i="77"/>
  <c r="DC41" i="77"/>
  <c r="CK41" i="77"/>
  <c r="CD41" i="77"/>
  <c r="BW41" i="77"/>
  <c r="BG41" i="77"/>
  <c r="BI41" i="77"/>
  <c r="AZ41" i="77"/>
  <c r="BB41" i="77"/>
  <c r="AU41" i="77"/>
  <c r="AL41" i="77"/>
  <c r="AE41" i="77"/>
  <c r="AG41" i="77"/>
  <c r="X41" i="77"/>
  <c r="Q41" i="77"/>
  <c r="DJ52" i="77"/>
  <c r="DC52" i="77"/>
  <c r="CK52" i="77"/>
  <c r="CD52" i="77"/>
  <c r="BW52" i="77"/>
  <c r="BI52" i="77"/>
  <c r="AZ52" i="77"/>
  <c r="BB52" i="77"/>
  <c r="AS52" i="77"/>
  <c r="AU52" i="77"/>
  <c r="AN52" i="77"/>
  <c r="AE52" i="77"/>
  <c r="AG52" i="77"/>
  <c r="X52" i="77"/>
  <c r="DJ40" i="77"/>
  <c r="DC40" i="77"/>
  <c r="CK40" i="77"/>
  <c r="CD40" i="77"/>
  <c r="BW40" i="77"/>
  <c r="BG40" i="77"/>
  <c r="BI40" i="77"/>
  <c r="AZ40" i="77"/>
  <c r="BB40" i="77"/>
  <c r="AU40" i="77"/>
  <c r="AL40" i="77"/>
  <c r="AG40" i="77"/>
  <c r="X40" i="77"/>
  <c r="Q40" i="77"/>
  <c r="DJ39" i="77"/>
  <c r="DC39" i="77"/>
  <c r="CK39" i="77"/>
  <c r="CD39" i="77"/>
  <c r="BW39" i="77"/>
  <c r="BI39" i="77"/>
  <c r="AZ39" i="77"/>
  <c r="BB39" i="77"/>
  <c r="AU39" i="77"/>
  <c r="AL39" i="77"/>
  <c r="AN39" i="77"/>
  <c r="AE39" i="77"/>
  <c r="AG39" i="77"/>
  <c r="Q39" i="77"/>
  <c r="J39" i="77"/>
  <c r="DJ44" i="77"/>
  <c r="DC44" i="77"/>
  <c r="CK44" i="77"/>
  <c r="CD44" i="77"/>
  <c r="BW44" i="77"/>
  <c r="BI44" i="77"/>
  <c r="AZ44" i="77"/>
  <c r="BB44" i="77"/>
  <c r="AS44" i="77"/>
  <c r="AU44" i="77"/>
  <c r="AL44" i="77"/>
  <c r="AN44" i="77"/>
  <c r="AE44" i="77"/>
  <c r="AG44" i="77"/>
  <c r="Q44" i="77"/>
  <c r="S44" i="77"/>
  <c r="J44" i="77"/>
  <c r="DJ43" i="77"/>
  <c r="DC43" i="77"/>
  <c r="BW43" i="77"/>
  <c r="BI43" i="77"/>
  <c r="BB43" i="77"/>
  <c r="S43" i="77"/>
  <c r="CJ42" i="77"/>
  <c r="CJ66" i="77" s="1"/>
  <c r="CH42" i="77"/>
  <c r="CH66" i="77" s="1"/>
  <c r="BV42" i="77"/>
  <c r="BV66" i="77" s="1"/>
  <c r="P42" i="77"/>
  <c r="P66" i="77" s="1"/>
  <c r="DJ10" i="77"/>
  <c r="DC10" i="77"/>
  <c r="CK10" i="77"/>
  <c r="CD10" i="77"/>
  <c r="BW10" i="77"/>
  <c r="BG10" i="77"/>
  <c r="BI10" i="77"/>
  <c r="AZ10" i="77"/>
  <c r="BB10" i="77"/>
  <c r="AU10" i="77"/>
  <c r="AL10" i="77"/>
  <c r="AN10" i="77"/>
  <c r="AE10" i="77"/>
  <c r="X10" i="77"/>
  <c r="Q10" i="77"/>
  <c r="J10" i="77"/>
  <c r="L10" i="77"/>
  <c r="DJ16" i="77"/>
  <c r="DC16" i="77"/>
  <c r="CK16" i="77"/>
  <c r="CD16" i="77"/>
  <c r="BW16" i="77"/>
  <c r="BG16" i="77"/>
  <c r="BI16" i="77"/>
  <c r="CB16" i="77"/>
  <c r="AU16" i="77"/>
  <c r="AL16" i="77"/>
  <c r="AN16" i="77"/>
  <c r="AE16" i="77"/>
  <c r="AG16" i="77"/>
  <c r="X16" i="77"/>
  <c r="Q16" i="77"/>
  <c r="S16" i="77"/>
  <c r="DJ15" i="77"/>
  <c r="DC15" i="77"/>
  <c r="CK15" i="77"/>
  <c r="CD15" i="77"/>
  <c r="BW15" i="77"/>
  <c r="BG15" i="77"/>
  <c r="BI15" i="77"/>
  <c r="AZ15" i="77"/>
  <c r="BB15" i="77"/>
  <c r="CB15" i="77"/>
  <c r="AU15" i="77"/>
  <c r="AN15" i="77"/>
  <c r="AE15" i="77"/>
  <c r="X15" i="77"/>
  <c r="Q15" i="77"/>
  <c r="S15" i="77"/>
  <c r="DJ9" i="77"/>
  <c r="DC9" i="77"/>
  <c r="CK9" i="77"/>
  <c r="CD9" i="77"/>
  <c r="BG9" i="77"/>
  <c r="BB9" i="77"/>
  <c r="AS9" i="77"/>
  <c r="AU9" i="77"/>
  <c r="AL9" i="77"/>
  <c r="AE9" i="77"/>
  <c r="X9" i="77"/>
  <c r="J9" i="77"/>
  <c r="L9" i="77"/>
  <c r="DJ37" i="77"/>
  <c r="DC37" i="77"/>
  <c r="DJ35" i="77"/>
  <c r="DC35" i="77"/>
  <c r="CK35" i="77"/>
  <c r="CD35" i="77"/>
  <c r="BW35" i="77"/>
  <c r="BI35" i="77"/>
  <c r="AZ35" i="77"/>
  <c r="BB35" i="77"/>
  <c r="AS35" i="77"/>
  <c r="AU35" i="77"/>
  <c r="AL35" i="77"/>
  <c r="AN35" i="77"/>
  <c r="AE35" i="77"/>
  <c r="AG35" i="77"/>
  <c r="S35" i="77"/>
  <c r="J35" i="77"/>
  <c r="L35" i="77"/>
  <c r="DJ29" i="77"/>
  <c r="DC29" i="77"/>
  <c r="CK29" i="77"/>
  <c r="CD29" i="77"/>
  <c r="BW29" i="77"/>
  <c r="BG29" i="77"/>
  <c r="BI29" i="77"/>
  <c r="AZ29" i="77"/>
  <c r="BB29" i="77"/>
  <c r="AN29" i="77"/>
  <c r="AE29" i="77"/>
  <c r="AG29" i="77"/>
  <c r="Q29" i="77"/>
  <c r="S29" i="77"/>
  <c r="DJ34" i="77"/>
  <c r="DC34" i="77"/>
  <c r="CK34" i="77"/>
  <c r="CD34" i="77"/>
  <c r="BW34" i="77"/>
  <c r="BG34" i="77"/>
  <c r="BI34" i="77"/>
  <c r="AZ34" i="77"/>
  <c r="BB34" i="77"/>
  <c r="CB34" i="77"/>
  <c r="AU34" i="77"/>
  <c r="AN34" i="77"/>
  <c r="AE34" i="77"/>
  <c r="AG34" i="77"/>
  <c r="S34" i="77"/>
  <c r="DJ33" i="77"/>
  <c r="DC33" i="77"/>
  <c r="CK33" i="77"/>
  <c r="CD33" i="77"/>
  <c r="BW33" i="77"/>
  <c r="BG33" i="77"/>
  <c r="BI33" i="77"/>
  <c r="AZ33" i="77"/>
  <c r="BB33" i="77"/>
  <c r="AS33" i="77"/>
  <c r="AU33" i="77"/>
  <c r="AL33" i="77"/>
  <c r="AN33" i="77"/>
  <c r="AE33" i="77"/>
  <c r="AG33" i="77"/>
  <c r="X33" i="77"/>
  <c r="Q33" i="77"/>
  <c r="S33" i="77"/>
  <c r="DJ28" i="77"/>
  <c r="DC28" i="77"/>
  <c r="CK28" i="77"/>
  <c r="CD28" i="77"/>
  <c r="BW28" i="77"/>
  <c r="BG28" i="77"/>
  <c r="BI28" i="77"/>
  <c r="BB28" i="77"/>
  <c r="AS28" i="77"/>
  <c r="AU28" i="77"/>
  <c r="AL28" i="77"/>
  <c r="AE28" i="77"/>
  <c r="AG28" i="77"/>
  <c r="Q28" i="77"/>
  <c r="S28" i="77"/>
  <c r="J28" i="77"/>
  <c r="DJ27" i="77"/>
  <c r="DC27" i="77"/>
  <c r="CK27" i="77"/>
  <c r="CD27" i="77"/>
  <c r="BW27" i="77"/>
  <c r="BI27" i="77"/>
  <c r="BB27" i="77"/>
  <c r="AS27" i="77"/>
  <c r="AU27" i="77"/>
  <c r="AL27" i="77"/>
  <c r="AN27" i="77"/>
  <c r="AE27" i="77"/>
  <c r="AG27" i="77"/>
  <c r="Q27" i="77"/>
  <c r="DJ32" i="77"/>
  <c r="DC32" i="77"/>
  <c r="CK32" i="77"/>
  <c r="CD32" i="77"/>
  <c r="BW32" i="77"/>
  <c r="BG32" i="77"/>
  <c r="BI32" i="77"/>
  <c r="AZ32" i="77"/>
  <c r="BB32" i="77"/>
  <c r="AU32" i="77"/>
  <c r="AL32" i="77"/>
  <c r="AN32" i="77"/>
  <c r="AE32" i="77"/>
  <c r="AG32" i="77"/>
  <c r="X32" i="77"/>
  <c r="Q32" i="77"/>
  <c r="S32" i="77"/>
  <c r="DJ26" i="77"/>
  <c r="DC26" i="77"/>
  <c r="CK26" i="77"/>
  <c r="CD26" i="77"/>
  <c r="BW26" i="77"/>
  <c r="BI26" i="77"/>
  <c r="BB26" i="77"/>
  <c r="AU26" i="77"/>
  <c r="AL26" i="77"/>
  <c r="AN26" i="77"/>
  <c r="AE26" i="77"/>
  <c r="AG26" i="77"/>
  <c r="X26" i="77"/>
  <c r="Q26" i="77"/>
  <c r="J26" i="77"/>
  <c r="DJ25" i="77"/>
  <c r="DC25" i="77"/>
  <c r="CK25" i="77"/>
  <c r="CD25" i="77"/>
  <c r="BW25" i="77"/>
  <c r="BG25" i="77"/>
  <c r="BI25" i="77"/>
  <c r="AZ25" i="77"/>
  <c r="BB25" i="77"/>
  <c r="AL25" i="77"/>
  <c r="AN25" i="77"/>
  <c r="AE25" i="77"/>
  <c r="AG25" i="77"/>
  <c r="X25" i="77"/>
  <c r="Q25" i="77"/>
  <c r="S25" i="77"/>
  <c r="J25" i="77"/>
  <c r="DJ31" i="77"/>
  <c r="DC31" i="77"/>
  <c r="CD31" i="77"/>
  <c r="BG31" i="77"/>
  <c r="AZ31" i="77"/>
  <c r="AU31" i="77"/>
  <c r="AL31" i="77"/>
  <c r="AN31" i="77"/>
  <c r="X31" i="77"/>
  <c r="S31" i="77"/>
  <c r="J31" i="77"/>
  <c r="L31" i="77"/>
  <c r="DJ8" i="77"/>
  <c r="DC8" i="77"/>
  <c r="DJ21" i="77"/>
  <c r="DC21" i="77"/>
  <c r="CK21" i="77"/>
  <c r="CD21" i="77"/>
  <c r="BW21" i="77"/>
  <c r="BG21" i="77"/>
  <c r="BI21" i="77"/>
  <c r="AZ21" i="77"/>
  <c r="BB21" i="77"/>
  <c r="AS21" i="77"/>
  <c r="AU21" i="77"/>
  <c r="AN21" i="77"/>
  <c r="X21" i="77"/>
  <c r="S21" i="77"/>
  <c r="L21" i="77"/>
  <c r="DJ20" i="77"/>
  <c r="DC20" i="77"/>
  <c r="CK20" i="77"/>
  <c r="CD20" i="77"/>
  <c r="BW20" i="77"/>
  <c r="BG20" i="77"/>
  <c r="BI20" i="77"/>
  <c r="AZ20" i="77"/>
  <c r="BB20" i="77"/>
  <c r="AS20" i="77"/>
  <c r="AL20" i="77"/>
  <c r="AN20" i="77"/>
  <c r="AE20" i="77"/>
  <c r="AG20" i="77"/>
  <c r="X20" i="77"/>
  <c r="DJ19" i="77"/>
  <c r="DC19" i="77"/>
  <c r="CK19" i="77"/>
  <c r="CD19" i="77"/>
  <c r="BW19" i="77"/>
  <c r="BG19" i="77"/>
  <c r="BI19" i="77"/>
  <c r="AZ19" i="77"/>
  <c r="AU19" i="77"/>
  <c r="AL19" i="77"/>
  <c r="AE19" i="77"/>
  <c r="AG19" i="77"/>
  <c r="X19" i="77"/>
  <c r="S19" i="77"/>
  <c r="DJ14" i="77"/>
  <c r="DC14" i="77"/>
  <c r="CK14" i="77"/>
  <c r="CD14" i="77"/>
  <c r="BW14" i="77"/>
  <c r="BG14" i="77"/>
  <c r="AZ14" i="77"/>
  <c r="BB14" i="77"/>
  <c r="AU14" i="77"/>
  <c r="AL14" i="77"/>
  <c r="AE14" i="77"/>
  <c r="AG14" i="77"/>
  <c r="X14" i="77"/>
  <c r="Q14" i="77"/>
  <c r="S14" i="77"/>
  <c r="J14" i="77"/>
  <c r="DJ7" i="77"/>
  <c r="DC7" i="77"/>
  <c r="CK7" i="77"/>
  <c r="CD7" i="77"/>
  <c r="BW7" i="77"/>
  <c r="BG7" i="77"/>
  <c r="BI7" i="77"/>
  <c r="AZ7" i="77"/>
  <c r="BB7" i="77"/>
  <c r="AU7" i="77"/>
  <c r="AL7" i="77"/>
  <c r="AE7" i="77"/>
  <c r="AG7" i="77"/>
  <c r="Q7" i="77"/>
  <c r="S7" i="77"/>
  <c r="DJ13" i="77"/>
  <c r="DC13" i="77"/>
  <c r="CK13" i="77"/>
  <c r="CD13" i="77"/>
  <c r="BW13" i="77"/>
  <c r="BI13" i="77"/>
  <c r="AZ13" i="77"/>
  <c r="BB13" i="77"/>
  <c r="AN13" i="77"/>
  <c r="AG13" i="77"/>
  <c r="S13" i="77"/>
  <c r="J13" i="77"/>
  <c r="DJ18" i="77"/>
  <c r="DC18" i="77"/>
  <c r="CK18" i="77"/>
  <c r="CD18" i="77"/>
  <c r="BW18" i="77"/>
  <c r="BG18" i="77"/>
  <c r="AZ18" i="77"/>
  <c r="AL18" i="77"/>
  <c r="AN18" i="77"/>
  <c r="AG18" i="77"/>
  <c r="J18" i="77"/>
  <c r="DJ12" i="77"/>
  <c r="DC12" i="77"/>
  <c r="CK12" i="77"/>
  <c r="CD12" i="77"/>
  <c r="BW12" i="77"/>
  <c r="AZ12" i="77"/>
  <c r="AS12" i="77"/>
  <c r="AL12" i="77"/>
  <c r="AN12" i="77"/>
  <c r="AG12" i="77"/>
  <c r="Q12" i="77"/>
  <c r="S12" i="77"/>
  <c r="AD4" i="77"/>
  <c r="AK4" i="77" s="1"/>
  <c r="AR4" i="77" s="1"/>
  <c r="AY4" i="77" s="1"/>
  <c r="BF4" i="77" s="1"/>
  <c r="BM4" i="77" s="1"/>
  <c r="BT4" i="77" s="1"/>
  <c r="CA4" i="77" s="1"/>
  <c r="CH4" i="77" s="1"/>
  <c r="M4" i="77"/>
  <c r="T4" i="77" s="1"/>
  <c r="AA4" i="77" s="1"/>
  <c r="CI2" i="77"/>
  <c r="CH2" i="77"/>
  <c r="CF2" i="77"/>
  <c r="CE2" i="77"/>
  <c r="CB2" i="77"/>
  <c r="CA2" i="77"/>
  <c r="BY2" i="77"/>
  <c r="BX2" i="77"/>
  <c r="BU2" i="77"/>
  <c r="BT2" i="77"/>
  <c r="BR2" i="77"/>
  <c r="BQ2" i="77"/>
  <c r="BN2" i="77"/>
  <c r="BM2" i="77"/>
  <c r="BK2" i="77"/>
  <c r="BJ2" i="77"/>
  <c r="BG2" i="77"/>
  <c r="BF2" i="77"/>
  <c r="BD2" i="77"/>
  <c r="BC2" i="77"/>
  <c r="AZ2" i="77"/>
  <c r="AY2" i="77"/>
  <c r="AW2" i="77"/>
  <c r="AV2" i="77"/>
  <c r="AS2" i="77"/>
  <c r="AR2" i="77"/>
  <c r="AP2" i="77"/>
  <c r="AO2" i="77"/>
  <c r="AL2" i="77"/>
  <c r="AK2" i="77"/>
  <c r="AI2" i="77"/>
  <c r="AH2" i="77"/>
  <c r="AE2" i="77"/>
  <c r="AD2" i="77"/>
  <c r="AB2" i="77"/>
  <c r="AA2" i="77"/>
  <c r="X2" i="77"/>
  <c r="W2" i="77"/>
  <c r="U2" i="77"/>
  <c r="T2" i="77"/>
  <c r="Q2" i="77"/>
  <c r="P2" i="77"/>
  <c r="N2" i="77"/>
  <c r="M2" i="77"/>
  <c r="J2" i="77"/>
  <c r="I2" i="77"/>
  <c r="G2" i="77"/>
  <c r="F2" i="77"/>
  <c r="G75" i="76"/>
  <c r="G79" i="76" s="1"/>
  <c r="AO63" i="76"/>
  <c r="AN63" i="76"/>
  <c r="AL63" i="76"/>
  <c r="AK63" i="76"/>
  <c r="AI63" i="76"/>
  <c r="AH63" i="76"/>
  <c r="AO62" i="76"/>
  <c r="AN62" i="76"/>
  <c r="AL62" i="76"/>
  <c r="AK62" i="76"/>
  <c r="AI62" i="76"/>
  <c r="AH62" i="76"/>
  <c r="AO56" i="76"/>
  <c r="AN56" i="76"/>
  <c r="AL56" i="76"/>
  <c r="AK56" i="76"/>
  <c r="AI56" i="76"/>
  <c r="AH56" i="76"/>
  <c r="AO61" i="76"/>
  <c r="AN61" i="76"/>
  <c r="AL61" i="76"/>
  <c r="AK61" i="76"/>
  <c r="AI61" i="76"/>
  <c r="AH61" i="76"/>
  <c r="AO55" i="76"/>
  <c r="AN55" i="76"/>
  <c r="AL55" i="76"/>
  <c r="AK55" i="76"/>
  <c r="AI55" i="76"/>
  <c r="AH55" i="76"/>
  <c r="AO60" i="76"/>
  <c r="AN60" i="76"/>
  <c r="AL60" i="76"/>
  <c r="AK60" i="76"/>
  <c r="AI60" i="76"/>
  <c r="AH60" i="76"/>
  <c r="AO59" i="76"/>
  <c r="AN59" i="76"/>
  <c r="AL59" i="76"/>
  <c r="AK59" i="76"/>
  <c r="AI59" i="76"/>
  <c r="AH59" i="76"/>
  <c r="AO58" i="76"/>
  <c r="AN58" i="76"/>
  <c r="AL58" i="76"/>
  <c r="AK58" i="76"/>
  <c r="AI58" i="76"/>
  <c r="AH58" i="76"/>
  <c r="AO22" i="76"/>
  <c r="AN22" i="76"/>
  <c r="AL22" i="76"/>
  <c r="AK22" i="76"/>
  <c r="AI22" i="76"/>
  <c r="AH22" i="76"/>
  <c r="AO49" i="76"/>
  <c r="AN49" i="76"/>
  <c r="AL49" i="76"/>
  <c r="AK49" i="76"/>
  <c r="AI49" i="76"/>
  <c r="AH49" i="76"/>
  <c r="AO54" i="76"/>
  <c r="AN54" i="76"/>
  <c r="AL54" i="76"/>
  <c r="AK54" i="76"/>
  <c r="AI54" i="76"/>
  <c r="AH54" i="76"/>
  <c r="AO53" i="76"/>
  <c r="AN53" i="76"/>
  <c r="AL53" i="76"/>
  <c r="AK53" i="76"/>
  <c r="AI53" i="76"/>
  <c r="AH53" i="76"/>
  <c r="AO48" i="76"/>
  <c r="AN48" i="76"/>
  <c r="AL48" i="76"/>
  <c r="AK48" i="76"/>
  <c r="AI48" i="76"/>
  <c r="AH48" i="76"/>
  <c r="AO47" i="76"/>
  <c r="AN47" i="76"/>
  <c r="AL47" i="76"/>
  <c r="AK47" i="76"/>
  <c r="AI47" i="76"/>
  <c r="AH47" i="76"/>
  <c r="AO46" i="76"/>
  <c r="AN46" i="76"/>
  <c r="AL46" i="76"/>
  <c r="AK46" i="76"/>
  <c r="AI46" i="76"/>
  <c r="AH46" i="76"/>
  <c r="AO41" i="76"/>
  <c r="AN41" i="76"/>
  <c r="AL41" i="76"/>
  <c r="AK41" i="76"/>
  <c r="AI41" i="76"/>
  <c r="AH41" i="76"/>
  <c r="AO52" i="76"/>
  <c r="AN52" i="76"/>
  <c r="AL52" i="76"/>
  <c r="AK52" i="76"/>
  <c r="AI52" i="76"/>
  <c r="AH52" i="76"/>
  <c r="AO40" i="76"/>
  <c r="AN40" i="76"/>
  <c r="AL40" i="76"/>
  <c r="AK40" i="76"/>
  <c r="AI40" i="76"/>
  <c r="AH40" i="76"/>
  <c r="AO39" i="76"/>
  <c r="AN39" i="76"/>
  <c r="AL39" i="76"/>
  <c r="AK39" i="76"/>
  <c r="AI39" i="76"/>
  <c r="AH39" i="76"/>
  <c r="AO44" i="76"/>
  <c r="AN44" i="76"/>
  <c r="AL44" i="76"/>
  <c r="AK44" i="76"/>
  <c r="AI44" i="76"/>
  <c r="AH44" i="76"/>
  <c r="AO43" i="76"/>
  <c r="AN43" i="76"/>
  <c r="AL43" i="76"/>
  <c r="AK43" i="76"/>
  <c r="AI43" i="76"/>
  <c r="AH43" i="76"/>
  <c r="AO10" i="76"/>
  <c r="AN10" i="76"/>
  <c r="AL10" i="76"/>
  <c r="AK10" i="76"/>
  <c r="AI10" i="76"/>
  <c r="AH10" i="76"/>
  <c r="AO16" i="76"/>
  <c r="AN16" i="76"/>
  <c r="AL16" i="76"/>
  <c r="AK16" i="76"/>
  <c r="AI16" i="76"/>
  <c r="AH16" i="76"/>
  <c r="AO15" i="76"/>
  <c r="AN15" i="76"/>
  <c r="AL15" i="76"/>
  <c r="AK15" i="76"/>
  <c r="AI15" i="76"/>
  <c r="AH15" i="76"/>
  <c r="AO9" i="76"/>
  <c r="AN9" i="76"/>
  <c r="AL9" i="76"/>
  <c r="AK9" i="76"/>
  <c r="AI9" i="76"/>
  <c r="AH9" i="76"/>
  <c r="AO37" i="76"/>
  <c r="AN37" i="76"/>
  <c r="AL37" i="76"/>
  <c r="AK37" i="76"/>
  <c r="AI37" i="76"/>
  <c r="AH37" i="76"/>
  <c r="AO35" i="76"/>
  <c r="AN35" i="76"/>
  <c r="AL35" i="76"/>
  <c r="AK35" i="76"/>
  <c r="AI35" i="76"/>
  <c r="AH35" i="76"/>
  <c r="AO29" i="76"/>
  <c r="AN29" i="76"/>
  <c r="AL29" i="76"/>
  <c r="AK29" i="76"/>
  <c r="AI29" i="76"/>
  <c r="AH29" i="76"/>
  <c r="AO34" i="76"/>
  <c r="AN34" i="76"/>
  <c r="AL34" i="76"/>
  <c r="AK34" i="76"/>
  <c r="AI34" i="76"/>
  <c r="AH34" i="76"/>
  <c r="AO33" i="76"/>
  <c r="AN33" i="76"/>
  <c r="AL33" i="76"/>
  <c r="AK33" i="76"/>
  <c r="AI33" i="76"/>
  <c r="AH33" i="76"/>
  <c r="AO28" i="76"/>
  <c r="AN28" i="76"/>
  <c r="AL28" i="76"/>
  <c r="AK28" i="76"/>
  <c r="AI28" i="76"/>
  <c r="AH28" i="76"/>
  <c r="AO27" i="76"/>
  <c r="AN27" i="76"/>
  <c r="AL27" i="76"/>
  <c r="AK27" i="76"/>
  <c r="AI27" i="76"/>
  <c r="AH27" i="76"/>
  <c r="AO32" i="76"/>
  <c r="AN32" i="76"/>
  <c r="AL32" i="76"/>
  <c r="AK32" i="76"/>
  <c r="AI32" i="76"/>
  <c r="AH32" i="76"/>
  <c r="AO26" i="76"/>
  <c r="AN26" i="76"/>
  <c r="AL26" i="76"/>
  <c r="AK26" i="76"/>
  <c r="AI26" i="76"/>
  <c r="AH26" i="76"/>
  <c r="AO25" i="76"/>
  <c r="AN25" i="76"/>
  <c r="AL25" i="76"/>
  <c r="AK25" i="76"/>
  <c r="AI25" i="76"/>
  <c r="AH25" i="76"/>
  <c r="AO31" i="76"/>
  <c r="AN31" i="76"/>
  <c r="AL31" i="76"/>
  <c r="AK31" i="76"/>
  <c r="AI31" i="76"/>
  <c r="AH31" i="76"/>
  <c r="AO8" i="76"/>
  <c r="AN8" i="76"/>
  <c r="AL8" i="76"/>
  <c r="AK8" i="76"/>
  <c r="AI8" i="76"/>
  <c r="AH8" i="76"/>
  <c r="AO21" i="76"/>
  <c r="AN21" i="76"/>
  <c r="AL21" i="76"/>
  <c r="AK21" i="76"/>
  <c r="AI21" i="76"/>
  <c r="AH21" i="76"/>
  <c r="AO20" i="76"/>
  <c r="AN20" i="76"/>
  <c r="AL20" i="76"/>
  <c r="AK20" i="76"/>
  <c r="AI20" i="76"/>
  <c r="AH20" i="76"/>
  <c r="AO19" i="76"/>
  <c r="AN19" i="76"/>
  <c r="AL19" i="76"/>
  <c r="AK19" i="76"/>
  <c r="AI19" i="76"/>
  <c r="AH19" i="76"/>
  <c r="AO14" i="76"/>
  <c r="AN14" i="76"/>
  <c r="AL14" i="76"/>
  <c r="AK14" i="76"/>
  <c r="AI14" i="76"/>
  <c r="AH14" i="76"/>
  <c r="AO7" i="76"/>
  <c r="AN7" i="76"/>
  <c r="AL7" i="76"/>
  <c r="AK7" i="76"/>
  <c r="AI7" i="76"/>
  <c r="AH7" i="76"/>
  <c r="AO13" i="76"/>
  <c r="AN13" i="76"/>
  <c r="AL13" i="76"/>
  <c r="AK13" i="76"/>
  <c r="AI13" i="76"/>
  <c r="AH13" i="76"/>
  <c r="AO18" i="76"/>
  <c r="AN18" i="76"/>
  <c r="AL18" i="76"/>
  <c r="AK18" i="76"/>
  <c r="AI18" i="76"/>
  <c r="AH18" i="76"/>
  <c r="AO12" i="76"/>
  <c r="AN12" i="76"/>
  <c r="AL12" i="76"/>
  <c r="AK12" i="76"/>
  <c r="AI12" i="76"/>
  <c r="AH12" i="76"/>
  <c r="AC2" i="76"/>
  <c r="AB2" i="76"/>
  <c r="AA2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H2" i="76"/>
  <c r="G2" i="76"/>
  <c r="F2" i="76"/>
  <c r="AN61" i="74"/>
  <c r="AM61" i="74"/>
  <c r="AK61" i="74"/>
  <c r="AJ61" i="74"/>
  <c r="AG61" i="74"/>
  <c r="AD61" i="74"/>
  <c r="AN60" i="74"/>
  <c r="AM60" i="74"/>
  <c r="AK60" i="74"/>
  <c r="AJ60" i="74"/>
  <c r="AG60" i="74"/>
  <c r="AD60" i="74"/>
  <c r="AN54" i="74"/>
  <c r="AM54" i="74"/>
  <c r="AK54" i="74"/>
  <c r="AJ54" i="74"/>
  <c r="AG54" i="74"/>
  <c r="AD54" i="74"/>
  <c r="AN59" i="74"/>
  <c r="AM59" i="74"/>
  <c r="AK59" i="74"/>
  <c r="AJ59" i="74"/>
  <c r="AG59" i="74"/>
  <c r="AD59" i="74"/>
  <c r="AN53" i="74"/>
  <c r="AM53" i="74"/>
  <c r="AK53" i="74"/>
  <c r="AJ53" i="74"/>
  <c r="AG53" i="74"/>
  <c r="AD53" i="74"/>
  <c r="AN58" i="74"/>
  <c r="AM58" i="74"/>
  <c r="AK58" i="74"/>
  <c r="AJ58" i="74"/>
  <c r="AG58" i="74"/>
  <c r="AD58" i="74"/>
  <c r="AN57" i="74"/>
  <c r="AM57" i="74"/>
  <c r="AK57" i="74"/>
  <c r="AJ57" i="74"/>
  <c r="AG57" i="74"/>
  <c r="AD57" i="74"/>
  <c r="AN56" i="74"/>
  <c r="AM56" i="74"/>
  <c r="AK56" i="74"/>
  <c r="AJ56" i="74"/>
  <c r="AG56" i="74"/>
  <c r="AD56" i="74"/>
  <c r="AN20" i="74"/>
  <c r="AM20" i="74"/>
  <c r="AK20" i="74"/>
  <c r="AJ20" i="74"/>
  <c r="AG20" i="74"/>
  <c r="AD20" i="74"/>
  <c r="AN47" i="74"/>
  <c r="AM47" i="74"/>
  <c r="AK47" i="74"/>
  <c r="AJ47" i="74"/>
  <c r="AG47" i="74"/>
  <c r="AD47" i="74"/>
  <c r="AN52" i="74"/>
  <c r="AM52" i="74"/>
  <c r="AK52" i="74"/>
  <c r="AJ52" i="74"/>
  <c r="AG52" i="74"/>
  <c r="AD52" i="74"/>
  <c r="AN51" i="74"/>
  <c r="AM51" i="74"/>
  <c r="AK51" i="74"/>
  <c r="AJ51" i="74"/>
  <c r="AG51" i="74"/>
  <c r="AD51" i="74"/>
  <c r="AN46" i="74"/>
  <c r="AM46" i="74"/>
  <c r="AK46" i="74"/>
  <c r="AJ46" i="74"/>
  <c r="AG46" i="74"/>
  <c r="AD46" i="74"/>
  <c r="AN45" i="74"/>
  <c r="AM45" i="74"/>
  <c r="AK45" i="74"/>
  <c r="AJ45" i="74"/>
  <c r="AG45" i="74"/>
  <c r="AD45" i="74"/>
  <c r="AN44" i="74"/>
  <c r="AM44" i="74"/>
  <c r="AK44" i="74"/>
  <c r="AJ44" i="74"/>
  <c r="AG44" i="74"/>
  <c r="AD44" i="74"/>
  <c r="AN39" i="74"/>
  <c r="AM39" i="74"/>
  <c r="AK39" i="74"/>
  <c r="AJ39" i="74"/>
  <c r="AG39" i="74"/>
  <c r="AD39" i="74"/>
  <c r="AN50" i="74"/>
  <c r="AM50" i="74"/>
  <c r="AK50" i="74"/>
  <c r="AJ50" i="74"/>
  <c r="AG50" i="74"/>
  <c r="AD50" i="74"/>
  <c r="AN38" i="74"/>
  <c r="AM38" i="74"/>
  <c r="AK38" i="74"/>
  <c r="AJ38" i="74"/>
  <c r="AG38" i="74"/>
  <c r="AD38" i="74"/>
  <c r="AN37" i="74"/>
  <c r="AM37" i="74"/>
  <c r="AK37" i="74"/>
  <c r="AJ37" i="74"/>
  <c r="AG37" i="74"/>
  <c r="AD37" i="74"/>
  <c r="AN42" i="74"/>
  <c r="AM42" i="74"/>
  <c r="AK42" i="74"/>
  <c r="AJ42" i="74"/>
  <c r="AG42" i="74"/>
  <c r="AD42" i="74"/>
  <c r="AN41" i="74"/>
  <c r="AM41" i="74"/>
  <c r="AK41" i="74"/>
  <c r="AJ41" i="74"/>
  <c r="AG41" i="74"/>
  <c r="AD41" i="74"/>
  <c r="AC40" i="74"/>
  <c r="AC64" i="74" s="1"/>
  <c r="AB40" i="74"/>
  <c r="AB64" i="74" s="1"/>
  <c r="Z40" i="74"/>
  <c r="Z64" i="74" s="1"/>
  <c r="X40" i="74"/>
  <c r="X64" i="74" s="1"/>
  <c r="V40" i="74"/>
  <c r="V64" i="74" s="1"/>
  <c r="T40" i="74"/>
  <c r="T64" i="74" s="1"/>
  <c r="R40" i="74"/>
  <c r="R64" i="74" s="1"/>
  <c r="P40" i="74"/>
  <c r="P64" i="74" s="1"/>
  <c r="N40" i="74"/>
  <c r="N64" i="74" s="1"/>
  <c r="L40" i="74"/>
  <c r="L64" i="74" s="1"/>
  <c r="J40" i="74"/>
  <c r="J64" i="74" s="1"/>
  <c r="H40" i="74"/>
  <c r="H64" i="74" s="1"/>
  <c r="AN8" i="74"/>
  <c r="AM8" i="74"/>
  <c r="AK8" i="74"/>
  <c r="AJ8" i="74"/>
  <c r="AG8" i="74"/>
  <c r="AD8" i="74"/>
  <c r="AN14" i="74"/>
  <c r="AM14" i="74"/>
  <c r="AK14" i="74"/>
  <c r="AJ14" i="74"/>
  <c r="AG14" i="74"/>
  <c r="AD14" i="74"/>
  <c r="AN13" i="74"/>
  <c r="AM13" i="74"/>
  <c r="AK13" i="74"/>
  <c r="AJ13" i="74"/>
  <c r="AG13" i="74"/>
  <c r="AD13" i="74"/>
  <c r="AN7" i="74"/>
  <c r="AM7" i="74"/>
  <c r="AK7" i="74"/>
  <c r="AJ7" i="74"/>
  <c r="AG7" i="74"/>
  <c r="AD7" i="74"/>
  <c r="AN35" i="74"/>
  <c r="AM35" i="74"/>
  <c r="AK35" i="74"/>
  <c r="AJ35" i="74"/>
  <c r="AG35" i="74"/>
  <c r="AD35" i="74"/>
  <c r="AN33" i="74"/>
  <c r="AM33" i="74"/>
  <c r="AK33" i="74"/>
  <c r="AJ33" i="74"/>
  <c r="AG33" i="74"/>
  <c r="AD33" i="74"/>
  <c r="AN27" i="74"/>
  <c r="AM27" i="74"/>
  <c r="AK27" i="74"/>
  <c r="AJ27" i="74"/>
  <c r="AG27" i="74"/>
  <c r="AD27" i="74"/>
  <c r="AN32" i="74"/>
  <c r="AM32" i="74"/>
  <c r="AK32" i="74"/>
  <c r="AJ32" i="74"/>
  <c r="AG32" i="74"/>
  <c r="AD32" i="74"/>
  <c r="AN31" i="74"/>
  <c r="AM31" i="74"/>
  <c r="AK31" i="74"/>
  <c r="AJ31" i="74"/>
  <c r="AG31" i="74"/>
  <c r="AD31" i="74"/>
  <c r="AN26" i="74"/>
  <c r="AM26" i="74"/>
  <c r="AK26" i="74"/>
  <c r="AJ26" i="74"/>
  <c r="AG26" i="74"/>
  <c r="AD26" i="74"/>
  <c r="AN25" i="74"/>
  <c r="AM25" i="74"/>
  <c r="AK25" i="74"/>
  <c r="AJ25" i="74"/>
  <c r="AG25" i="74"/>
  <c r="AD25" i="74"/>
  <c r="AN30" i="74"/>
  <c r="AM30" i="74"/>
  <c r="AK30" i="74"/>
  <c r="AJ30" i="74"/>
  <c r="AG30" i="74"/>
  <c r="AD30" i="74"/>
  <c r="AN24" i="74"/>
  <c r="AM24" i="74"/>
  <c r="AK24" i="74"/>
  <c r="AJ24" i="74"/>
  <c r="AG24" i="74"/>
  <c r="AD24" i="74"/>
  <c r="AN23" i="74"/>
  <c r="AM23" i="74"/>
  <c r="AK23" i="74"/>
  <c r="AJ23" i="74"/>
  <c r="AG23" i="74"/>
  <c r="AD23" i="74"/>
  <c r="AN29" i="74"/>
  <c r="AM29" i="74"/>
  <c r="AK29" i="74"/>
  <c r="AJ29" i="74"/>
  <c r="AG29" i="74"/>
  <c r="AD29" i="74"/>
  <c r="AN6" i="74"/>
  <c r="AM6" i="74"/>
  <c r="AK6" i="74"/>
  <c r="AJ6" i="74"/>
  <c r="AG6" i="74"/>
  <c r="AD6" i="74"/>
  <c r="AN19" i="74"/>
  <c r="AM19" i="74"/>
  <c r="AK19" i="74"/>
  <c r="AJ19" i="74"/>
  <c r="AG19" i="74"/>
  <c r="AD19" i="74"/>
  <c r="AN18" i="74"/>
  <c r="AM18" i="74"/>
  <c r="AK18" i="74"/>
  <c r="AJ18" i="74"/>
  <c r="AG18" i="74"/>
  <c r="AD18" i="74"/>
  <c r="AN17" i="74"/>
  <c r="AM17" i="74"/>
  <c r="AK17" i="74"/>
  <c r="AJ17" i="74"/>
  <c r="AG17" i="74"/>
  <c r="AD17" i="74"/>
  <c r="AN12" i="74"/>
  <c r="AM12" i="74"/>
  <c r="AK12" i="74"/>
  <c r="AJ12" i="74"/>
  <c r="AG12" i="74"/>
  <c r="AD12" i="74"/>
  <c r="AN5" i="74"/>
  <c r="AM5" i="74"/>
  <c r="AK5" i="74"/>
  <c r="AJ5" i="74"/>
  <c r="AG5" i="74"/>
  <c r="AD5" i="74"/>
  <c r="AN11" i="74"/>
  <c r="AM11" i="74"/>
  <c r="AK11" i="74"/>
  <c r="AJ11" i="74"/>
  <c r="AG11" i="74"/>
  <c r="AD11" i="74"/>
  <c r="AN16" i="74"/>
  <c r="AM16" i="74"/>
  <c r="AK16" i="74"/>
  <c r="AJ16" i="74"/>
  <c r="AG16" i="74"/>
  <c r="AD16" i="74"/>
  <c r="AN10" i="74"/>
  <c r="AM10" i="74"/>
  <c r="AK10" i="74"/>
  <c r="AJ10" i="74"/>
  <c r="AG10" i="74"/>
  <c r="AD10" i="74"/>
  <c r="X85" i="73"/>
  <c r="AD86" i="73" s="1"/>
  <c r="N84" i="73"/>
  <c r="H85" i="73" s="1"/>
  <c r="CS68" i="73"/>
  <c r="BX68" i="73"/>
  <c r="P68" i="73"/>
  <c r="CX67" i="73"/>
  <c r="CS67" i="73"/>
  <c r="CQ67" i="73"/>
  <c r="BW67" i="73"/>
  <c r="BY67" i="73"/>
  <c r="BS67" i="73"/>
  <c r="BK67" i="73"/>
  <c r="BM67" i="73"/>
  <c r="BE67" i="73"/>
  <c r="BG67" i="73"/>
  <c r="AY67" i="73"/>
  <c r="BA67" i="73"/>
  <c r="AM67" i="73"/>
  <c r="AO67" i="73"/>
  <c r="AG67" i="73"/>
  <c r="AI67" i="73"/>
  <c r="AA67" i="73"/>
  <c r="AC67" i="73"/>
  <c r="U67" i="73"/>
  <c r="O67" i="73"/>
  <c r="Q67" i="73"/>
  <c r="CX66" i="73"/>
  <c r="CS66" i="73"/>
  <c r="CQ66" i="73"/>
  <c r="BW66" i="73"/>
  <c r="BY66" i="73"/>
  <c r="BS66" i="73"/>
  <c r="BK66" i="73"/>
  <c r="BM66" i="73"/>
  <c r="BE66" i="73"/>
  <c r="BG66" i="73"/>
  <c r="AY66" i="73"/>
  <c r="BA66" i="73"/>
  <c r="AM66" i="73"/>
  <c r="AO66" i="73"/>
  <c r="AG66" i="73"/>
  <c r="AI66" i="73"/>
  <c r="AA66" i="73"/>
  <c r="AC66" i="73"/>
  <c r="U66" i="73"/>
  <c r="O66" i="73"/>
  <c r="Q66" i="73"/>
  <c r="CX60" i="73"/>
  <c r="CS60" i="73"/>
  <c r="CQ60" i="73"/>
  <c r="BW60" i="73"/>
  <c r="BY60" i="73"/>
  <c r="BS60" i="73"/>
  <c r="BK60" i="73"/>
  <c r="BM60" i="73"/>
  <c r="BE60" i="73"/>
  <c r="BG60" i="73"/>
  <c r="AY60" i="73"/>
  <c r="AM60" i="73"/>
  <c r="AO60" i="73"/>
  <c r="AG60" i="73"/>
  <c r="AI60" i="73"/>
  <c r="AA60" i="73"/>
  <c r="AC60" i="73"/>
  <c r="U60" i="73"/>
  <c r="O60" i="73"/>
  <c r="Q60" i="73"/>
  <c r="CX65" i="73"/>
  <c r="CS65" i="73"/>
  <c r="CQ65" i="73"/>
  <c r="BW65" i="73"/>
  <c r="BY65" i="73"/>
  <c r="BS65" i="73"/>
  <c r="BK65" i="73"/>
  <c r="BM65" i="73"/>
  <c r="BE65" i="73"/>
  <c r="BG65" i="73"/>
  <c r="AY65" i="73"/>
  <c r="BA65" i="73"/>
  <c r="AM65" i="73"/>
  <c r="AO65" i="73"/>
  <c r="AG65" i="73"/>
  <c r="AI65" i="73"/>
  <c r="AA65" i="73"/>
  <c r="AC65" i="73"/>
  <c r="U65" i="73"/>
  <c r="Q65" i="73"/>
  <c r="CX59" i="73"/>
  <c r="CS59" i="73"/>
  <c r="CQ59" i="73"/>
  <c r="BW59" i="73"/>
  <c r="BY59" i="73"/>
  <c r="BS59" i="73"/>
  <c r="BK59" i="73"/>
  <c r="BM59" i="73"/>
  <c r="BG59" i="73"/>
  <c r="AY59" i="73"/>
  <c r="BA59" i="73"/>
  <c r="AM59" i="73"/>
  <c r="AO59" i="73"/>
  <c r="AG59" i="73"/>
  <c r="AI59" i="73"/>
  <c r="AA59" i="73"/>
  <c r="AC59" i="73"/>
  <c r="U59" i="73"/>
  <c r="O59" i="73"/>
  <c r="CX64" i="73"/>
  <c r="CS64" i="73"/>
  <c r="CQ64" i="73"/>
  <c r="BW64" i="73"/>
  <c r="BY64" i="73"/>
  <c r="BS64" i="73"/>
  <c r="BK64" i="73"/>
  <c r="BM64" i="73"/>
  <c r="BE64" i="73"/>
  <c r="BG64" i="73"/>
  <c r="AY64" i="73"/>
  <c r="BA64" i="73"/>
  <c r="AM64" i="73"/>
  <c r="AO64" i="73"/>
  <c r="AG64" i="73"/>
  <c r="AI64" i="73"/>
  <c r="AA64" i="73"/>
  <c r="AC64" i="73"/>
  <c r="U64" i="73"/>
  <c r="O64" i="73"/>
  <c r="Q64" i="73"/>
  <c r="CX63" i="73"/>
  <c r="CS63" i="73"/>
  <c r="CQ63" i="73"/>
  <c r="BW63" i="73"/>
  <c r="BY63" i="73"/>
  <c r="BS63" i="73"/>
  <c r="BK63" i="73"/>
  <c r="BM63" i="73"/>
  <c r="BE63" i="73"/>
  <c r="BG63" i="73"/>
  <c r="AY63" i="73"/>
  <c r="BA63" i="73"/>
  <c r="AM63" i="73"/>
  <c r="AO63" i="73"/>
  <c r="AG63" i="73"/>
  <c r="AI63" i="73"/>
  <c r="AA63" i="73"/>
  <c r="AC63" i="73"/>
  <c r="U63" i="73"/>
  <c r="O63" i="73"/>
  <c r="Q63" i="73"/>
  <c r="CX62" i="73"/>
  <c r="CS62" i="73"/>
  <c r="CQ62" i="73"/>
  <c r="BW62" i="73"/>
  <c r="BY62" i="73"/>
  <c r="BS62" i="73"/>
  <c r="BM62" i="73"/>
  <c r="BE62" i="73"/>
  <c r="BG62" i="73"/>
  <c r="BA62" i="73"/>
  <c r="AM62" i="73"/>
  <c r="AO62" i="73"/>
  <c r="AI62" i="73"/>
  <c r="AC62" i="73"/>
  <c r="U62" i="73"/>
  <c r="Q62" i="73"/>
  <c r="CS61" i="73"/>
  <c r="CX22" i="73"/>
  <c r="CS22" i="73"/>
  <c r="CQ22" i="73"/>
  <c r="BW22" i="73"/>
  <c r="BY22" i="73"/>
  <c r="BS22" i="73"/>
  <c r="BK22" i="73"/>
  <c r="BM22" i="73"/>
  <c r="BG22" i="73"/>
  <c r="AY22" i="73"/>
  <c r="BA22" i="73"/>
  <c r="AM22" i="73"/>
  <c r="AO22" i="73"/>
  <c r="AG22" i="73"/>
  <c r="AI22" i="73"/>
  <c r="AA22" i="73"/>
  <c r="AC22" i="73"/>
  <c r="O22" i="73"/>
  <c r="CX54" i="73"/>
  <c r="CS54" i="73"/>
  <c r="CQ54" i="73"/>
  <c r="BW54" i="73"/>
  <c r="BY54" i="73"/>
  <c r="BS54" i="73"/>
  <c r="BK54" i="73"/>
  <c r="BM54" i="73"/>
  <c r="BE54" i="73"/>
  <c r="BG54" i="73"/>
  <c r="AY54" i="73"/>
  <c r="BA54" i="73"/>
  <c r="AM54" i="73"/>
  <c r="AO54" i="73"/>
  <c r="AG54" i="73"/>
  <c r="AI54" i="73"/>
  <c r="AA54" i="73"/>
  <c r="AC54" i="73"/>
  <c r="U54" i="73"/>
  <c r="O54" i="73"/>
  <c r="Q54" i="73"/>
  <c r="CX53" i="73"/>
  <c r="CS53" i="73"/>
  <c r="CQ53" i="73"/>
  <c r="BW53" i="73"/>
  <c r="BY53" i="73"/>
  <c r="BS53" i="73"/>
  <c r="BK53" i="73"/>
  <c r="BM53" i="73"/>
  <c r="BE53" i="73"/>
  <c r="BG53" i="73"/>
  <c r="AY53" i="73"/>
  <c r="BA53" i="73"/>
  <c r="AM53" i="73"/>
  <c r="AO53" i="73"/>
  <c r="AG53" i="73"/>
  <c r="AI53" i="73"/>
  <c r="AA53" i="73"/>
  <c r="AC53" i="73"/>
  <c r="U53" i="73"/>
  <c r="O53" i="73"/>
  <c r="Q53" i="73"/>
  <c r="CX58" i="73"/>
  <c r="CS58" i="73"/>
  <c r="CQ58" i="73"/>
  <c r="BW58" i="73"/>
  <c r="BY58" i="73"/>
  <c r="BK58" i="73"/>
  <c r="BM58" i="73"/>
  <c r="BE58" i="73"/>
  <c r="BG58" i="73"/>
  <c r="AY58" i="73"/>
  <c r="BA58" i="73"/>
  <c r="AM58" i="73"/>
  <c r="AO58" i="73"/>
  <c r="AG58" i="73"/>
  <c r="AI58" i="73"/>
  <c r="AA58" i="73"/>
  <c r="AC58" i="73"/>
  <c r="U58" i="73"/>
  <c r="O58" i="73"/>
  <c r="Q58" i="73"/>
  <c r="CX57" i="73"/>
  <c r="CS57" i="73"/>
  <c r="CQ57" i="73"/>
  <c r="BW57" i="73"/>
  <c r="BY57" i="73"/>
  <c r="BS57" i="73"/>
  <c r="BK57" i="73"/>
  <c r="BM57" i="73"/>
  <c r="BE57" i="73"/>
  <c r="BG57" i="73"/>
  <c r="AY57" i="73"/>
  <c r="BA57" i="73"/>
  <c r="AM57" i="73"/>
  <c r="AO57" i="73"/>
  <c r="AG57" i="73"/>
  <c r="AI57" i="73"/>
  <c r="AA57" i="73"/>
  <c r="U57" i="73"/>
  <c r="Q57" i="73"/>
  <c r="CX52" i="73"/>
  <c r="CS52" i="73"/>
  <c r="CQ52" i="73"/>
  <c r="BW52" i="73"/>
  <c r="BY52" i="73"/>
  <c r="BS52" i="73"/>
  <c r="BK52" i="73"/>
  <c r="BM52" i="73"/>
  <c r="BE52" i="73"/>
  <c r="BG52" i="73"/>
  <c r="AY52" i="73"/>
  <c r="BA52" i="73"/>
  <c r="AM52" i="73"/>
  <c r="AO52" i="73"/>
  <c r="AG52" i="73"/>
  <c r="AI52" i="73"/>
  <c r="AA52" i="73"/>
  <c r="AC52" i="73"/>
  <c r="U52" i="73"/>
  <c r="Q52" i="73"/>
  <c r="CX51" i="73"/>
  <c r="CS51" i="73"/>
  <c r="CQ51" i="73"/>
  <c r="BW51" i="73"/>
  <c r="BY51" i="73"/>
  <c r="BS51" i="73"/>
  <c r="BM51" i="73"/>
  <c r="BE51" i="73"/>
  <c r="BG51" i="73"/>
  <c r="AY51" i="73"/>
  <c r="BA51" i="73"/>
  <c r="AM51" i="73"/>
  <c r="AO51" i="73"/>
  <c r="AG51" i="73"/>
  <c r="AI51" i="73"/>
  <c r="AA51" i="73"/>
  <c r="AC51" i="73"/>
  <c r="U51" i="73"/>
  <c r="O51" i="73"/>
  <c r="Q51" i="73"/>
  <c r="CX50" i="73"/>
  <c r="CS50" i="73"/>
  <c r="CQ50" i="73"/>
  <c r="BY50" i="73"/>
  <c r="BS50" i="73"/>
  <c r="BK50" i="73"/>
  <c r="BA50" i="73"/>
  <c r="AG50" i="73"/>
  <c r="AI50" i="73"/>
  <c r="AC50" i="73"/>
  <c r="U50" i="73"/>
  <c r="O50" i="73"/>
  <c r="CS55" i="73"/>
  <c r="P55" i="73"/>
  <c r="CX43" i="73"/>
  <c r="CS43" i="73"/>
  <c r="CQ43" i="73"/>
  <c r="BW43" i="73"/>
  <c r="BY43" i="73"/>
  <c r="BS43" i="73"/>
  <c r="BK43" i="73"/>
  <c r="BM43" i="73"/>
  <c r="BE43" i="73"/>
  <c r="BG43" i="73"/>
  <c r="AY43" i="73"/>
  <c r="BA43" i="73"/>
  <c r="AM43" i="73"/>
  <c r="AO43" i="73"/>
  <c r="AI43" i="73"/>
  <c r="AA43" i="73"/>
  <c r="AC43" i="73"/>
  <c r="U43" i="73"/>
  <c r="O43" i="73"/>
  <c r="Q43" i="73"/>
  <c r="CX56" i="73"/>
  <c r="CS56" i="73"/>
  <c r="CQ56" i="73"/>
  <c r="CX42" i="73"/>
  <c r="CS42" i="73"/>
  <c r="CQ42" i="73"/>
  <c r="BW42" i="73"/>
  <c r="BY42" i="73"/>
  <c r="BS42" i="73"/>
  <c r="BK42" i="73"/>
  <c r="BM42" i="73"/>
  <c r="BE42" i="73"/>
  <c r="BG42" i="73"/>
  <c r="AY42" i="73"/>
  <c r="BA42" i="73"/>
  <c r="AM42" i="73"/>
  <c r="AO42" i="73"/>
  <c r="AG42" i="73"/>
  <c r="AI42" i="73"/>
  <c r="AA42" i="73"/>
  <c r="AC42" i="73"/>
  <c r="U42" i="73"/>
  <c r="O42" i="73"/>
  <c r="Q42" i="73"/>
  <c r="CX41" i="73"/>
  <c r="CS41" i="73"/>
  <c r="CQ41" i="73"/>
  <c r="BW41" i="73"/>
  <c r="BY41" i="73"/>
  <c r="BS41" i="73"/>
  <c r="BK41" i="73"/>
  <c r="BM41" i="73"/>
  <c r="BE41" i="73"/>
  <c r="BG41" i="73"/>
  <c r="AY41" i="73"/>
  <c r="BA41" i="73"/>
  <c r="AM41" i="73"/>
  <c r="AO41" i="73"/>
  <c r="AG41" i="73"/>
  <c r="AI41" i="73"/>
  <c r="AA41" i="73"/>
  <c r="AC41" i="73"/>
  <c r="U41" i="73"/>
  <c r="O41" i="73"/>
  <c r="Q41" i="73"/>
  <c r="CX47" i="73"/>
  <c r="CS47" i="73"/>
  <c r="CQ47" i="73"/>
  <c r="BW47" i="73"/>
  <c r="BY47" i="73"/>
  <c r="BS47" i="73"/>
  <c r="BK47" i="73"/>
  <c r="BM47" i="73"/>
  <c r="BE47" i="73"/>
  <c r="BG47" i="73"/>
  <c r="AY47" i="73"/>
  <c r="BA47" i="73"/>
  <c r="AM47" i="73"/>
  <c r="AO47" i="73"/>
  <c r="AG47" i="73"/>
  <c r="AI47" i="73"/>
  <c r="AA47" i="73"/>
  <c r="AC47" i="73"/>
  <c r="U47" i="73"/>
  <c r="Q47" i="73"/>
  <c r="CX46" i="73"/>
  <c r="CS46" i="73"/>
  <c r="CQ46" i="73"/>
  <c r="CS48" i="73"/>
  <c r="CX49" i="73"/>
  <c r="CS49" i="73"/>
  <c r="CQ49" i="73"/>
  <c r="BW49" i="73"/>
  <c r="BY49" i="73"/>
  <c r="BS49" i="73"/>
  <c r="BK49" i="73"/>
  <c r="BM49" i="73"/>
  <c r="BE49" i="73"/>
  <c r="BG49" i="73"/>
  <c r="AY49" i="73"/>
  <c r="BA49" i="73"/>
  <c r="AM49" i="73"/>
  <c r="AO49" i="73"/>
  <c r="AG49" i="73"/>
  <c r="AI49" i="73"/>
  <c r="AA49" i="73"/>
  <c r="AC49" i="73"/>
  <c r="U49" i="73"/>
  <c r="Q49" i="73"/>
  <c r="CX10" i="73"/>
  <c r="CS10" i="73"/>
  <c r="CQ10" i="73"/>
  <c r="BW10" i="73"/>
  <c r="BY10" i="73"/>
  <c r="BS10" i="73"/>
  <c r="BK10" i="73"/>
  <c r="BM10" i="73"/>
  <c r="BE10" i="73"/>
  <c r="BG10" i="73"/>
  <c r="AY10" i="73"/>
  <c r="BA10" i="73"/>
  <c r="AM10" i="73"/>
  <c r="AO10" i="73"/>
  <c r="AG10" i="73"/>
  <c r="AI10" i="73"/>
  <c r="AA10" i="73"/>
  <c r="AC10" i="73"/>
  <c r="U10" i="73"/>
  <c r="O10" i="73"/>
  <c r="Q10" i="73"/>
  <c r="CX16" i="73"/>
  <c r="CS16" i="73"/>
  <c r="CQ16" i="73"/>
  <c r="BW16" i="73"/>
  <c r="BY16" i="73"/>
  <c r="BS16" i="73"/>
  <c r="BK16" i="73"/>
  <c r="BM16" i="73"/>
  <c r="BE16" i="73"/>
  <c r="BG16" i="73"/>
  <c r="AY16" i="73"/>
  <c r="BA16" i="73"/>
  <c r="AM16" i="73"/>
  <c r="AO16" i="73"/>
  <c r="AG16" i="73"/>
  <c r="AI16" i="73"/>
  <c r="AA16" i="73"/>
  <c r="AC16" i="73"/>
  <c r="U16" i="73"/>
  <c r="O16" i="73"/>
  <c r="Q16" i="73"/>
  <c r="CX40" i="73"/>
  <c r="CS40" i="73"/>
  <c r="CQ40" i="73"/>
  <c r="BW40" i="73"/>
  <c r="BY40" i="73"/>
  <c r="BS40" i="73"/>
  <c r="BK40" i="73"/>
  <c r="BM40" i="73"/>
  <c r="BE40" i="73"/>
  <c r="BG40" i="73"/>
  <c r="AY40" i="73"/>
  <c r="BA40" i="73"/>
  <c r="AM40" i="73"/>
  <c r="AO40" i="73"/>
  <c r="AG40" i="73"/>
  <c r="AI40" i="73"/>
  <c r="AA40" i="73"/>
  <c r="AC40" i="73"/>
  <c r="U40" i="73"/>
  <c r="O40" i="73"/>
  <c r="Q40" i="73"/>
  <c r="CX39" i="73"/>
  <c r="CS39" i="73"/>
  <c r="CQ39" i="73"/>
  <c r="BW39" i="73"/>
  <c r="BY39" i="73"/>
  <c r="BS39" i="73"/>
  <c r="BK39" i="73"/>
  <c r="BM39" i="73"/>
  <c r="BE39" i="73"/>
  <c r="CX15" i="73"/>
  <c r="CS15" i="73"/>
  <c r="CQ15" i="73"/>
  <c r="BW15" i="73"/>
  <c r="BY15" i="73"/>
  <c r="BS15" i="73"/>
  <c r="BK15" i="73"/>
  <c r="BM15" i="73"/>
  <c r="BE15" i="73"/>
  <c r="BG15" i="73"/>
  <c r="AY15" i="73"/>
  <c r="BA15" i="73"/>
  <c r="AM15" i="73"/>
  <c r="AO15" i="73"/>
  <c r="AG15" i="73"/>
  <c r="AI15" i="73"/>
  <c r="AA15" i="73"/>
  <c r="AC15" i="73"/>
  <c r="U15" i="73"/>
  <c r="O15" i="73"/>
  <c r="Q15" i="73"/>
  <c r="CX9" i="73"/>
  <c r="CS9" i="73"/>
  <c r="CQ9" i="73"/>
  <c r="BW9" i="73"/>
  <c r="BY9" i="73"/>
  <c r="BS9" i="73"/>
  <c r="BK9" i="73"/>
  <c r="BM9" i="73"/>
  <c r="BE9" i="73"/>
  <c r="BG9" i="73"/>
  <c r="AY9" i="73"/>
  <c r="BA9" i="73"/>
  <c r="AM9" i="73"/>
  <c r="AO9" i="73"/>
  <c r="AG9" i="73"/>
  <c r="AI9" i="73"/>
  <c r="AA9" i="73"/>
  <c r="AC9" i="73"/>
  <c r="U9" i="73"/>
  <c r="Q9" i="73"/>
  <c r="CX38" i="73"/>
  <c r="CS38" i="73"/>
  <c r="CQ38" i="73"/>
  <c r="CS37" i="73"/>
  <c r="CX36" i="73"/>
  <c r="CS36" i="73"/>
  <c r="CQ36" i="73"/>
  <c r="BW36" i="73"/>
  <c r="BY36" i="73"/>
  <c r="BS36" i="73"/>
  <c r="BK36" i="73"/>
  <c r="BM36" i="73"/>
  <c r="BE36" i="73"/>
  <c r="BG36" i="73"/>
  <c r="AY36" i="73"/>
  <c r="BA36" i="73"/>
  <c r="AM36" i="73"/>
  <c r="AO36" i="73"/>
  <c r="AG36" i="73"/>
  <c r="AI36" i="73"/>
  <c r="AA36" i="73"/>
  <c r="AC36" i="73"/>
  <c r="U36" i="73"/>
  <c r="O36" i="73"/>
  <c r="Q36" i="73"/>
  <c r="CX30" i="73"/>
  <c r="CS30" i="73"/>
  <c r="CQ30" i="73"/>
  <c r="BW30" i="73"/>
  <c r="BY30" i="73"/>
  <c r="BS30" i="73"/>
  <c r="BK30" i="73"/>
  <c r="BM30" i="73"/>
  <c r="BE30" i="73"/>
  <c r="BG30" i="73"/>
  <c r="AY30" i="73"/>
  <c r="BA30" i="73"/>
  <c r="AM30" i="73"/>
  <c r="AO30" i="73"/>
  <c r="AG30" i="73"/>
  <c r="AI30" i="73"/>
  <c r="AA30" i="73"/>
  <c r="AC30" i="73"/>
  <c r="U30" i="73"/>
  <c r="O30" i="73"/>
  <c r="Q30" i="73"/>
  <c r="CX29" i="73"/>
  <c r="CS29" i="73"/>
  <c r="CQ29" i="73"/>
  <c r="BW29" i="73"/>
  <c r="BY29" i="73"/>
  <c r="BS29" i="73"/>
  <c r="BK29" i="73"/>
  <c r="BM29" i="73"/>
  <c r="BE29" i="73"/>
  <c r="BG29" i="73"/>
  <c r="AY29" i="73"/>
  <c r="BA29" i="73"/>
  <c r="AM29" i="73"/>
  <c r="AO29" i="73"/>
  <c r="AG29" i="73"/>
  <c r="AI29" i="73"/>
  <c r="AA29" i="73"/>
  <c r="AC29" i="73"/>
  <c r="U29" i="73"/>
  <c r="Q29" i="73"/>
  <c r="CX35" i="73"/>
  <c r="CS35" i="73"/>
  <c r="CQ35" i="73"/>
  <c r="BW35" i="73"/>
  <c r="BY35" i="73"/>
  <c r="BS35" i="73"/>
  <c r="BK35" i="73"/>
  <c r="BM35" i="73"/>
  <c r="BE35" i="73"/>
  <c r="BG35" i="73"/>
  <c r="AY35" i="73"/>
  <c r="BA35" i="73"/>
  <c r="AM35" i="73"/>
  <c r="AO35" i="73"/>
  <c r="AG35" i="73"/>
  <c r="AI35" i="73"/>
  <c r="AA35" i="73"/>
  <c r="AC35" i="73"/>
  <c r="O35" i="73"/>
  <c r="CX34" i="73"/>
  <c r="CS34" i="73"/>
  <c r="CQ34" i="73"/>
  <c r="BW34" i="73"/>
  <c r="BY34" i="73"/>
  <c r="BS34" i="73"/>
  <c r="BK34" i="73"/>
  <c r="BM34" i="73"/>
  <c r="BE34" i="73"/>
  <c r="BG34" i="73"/>
  <c r="AY34" i="73"/>
  <c r="BA34" i="73"/>
  <c r="AM34" i="73"/>
  <c r="AO34" i="73"/>
  <c r="AG34" i="73"/>
  <c r="AI34" i="73"/>
  <c r="AA34" i="73"/>
  <c r="AC34" i="73"/>
  <c r="U34" i="73"/>
  <c r="O34" i="73"/>
  <c r="Q34" i="73"/>
  <c r="CX28" i="73"/>
  <c r="CS28" i="73"/>
  <c r="CQ28" i="73"/>
  <c r="BW28" i="73"/>
  <c r="BY28" i="73"/>
  <c r="BS28" i="73"/>
  <c r="BK28" i="73"/>
  <c r="BM28" i="73"/>
  <c r="BE28" i="73"/>
  <c r="BG28" i="73"/>
  <c r="AY28" i="73"/>
  <c r="BA28" i="73"/>
  <c r="AM28" i="73"/>
  <c r="AO28" i="73"/>
  <c r="AG28" i="73"/>
  <c r="AI28" i="73"/>
  <c r="AA28" i="73"/>
  <c r="AC28" i="73"/>
  <c r="U28" i="73"/>
  <c r="O28" i="73"/>
  <c r="Q28" i="73"/>
  <c r="CX27" i="73"/>
  <c r="CS27" i="73"/>
  <c r="CQ27" i="73"/>
  <c r="BW27" i="73"/>
  <c r="BY27" i="73"/>
  <c r="BS27" i="73"/>
  <c r="BK27" i="73"/>
  <c r="BM27" i="73"/>
  <c r="BE27" i="73"/>
  <c r="BG27" i="73"/>
  <c r="AY27" i="73"/>
  <c r="BA27" i="73"/>
  <c r="AM27" i="73"/>
  <c r="AO27" i="73"/>
  <c r="AG27" i="73"/>
  <c r="AI27" i="73"/>
  <c r="AA27" i="73"/>
  <c r="U27" i="73"/>
  <c r="O27" i="73"/>
  <c r="Q27" i="73"/>
  <c r="CX33" i="73"/>
  <c r="CS33" i="73"/>
  <c r="CQ33" i="73"/>
  <c r="BW33" i="73"/>
  <c r="BY33" i="73"/>
  <c r="BS33" i="73"/>
  <c r="BK33" i="73"/>
  <c r="BM33" i="73"/>
  <c r="BE33" i="73"/>
  <c r="BG33" i="73"/>
  <c r="AY33" i="73"/>
  <c r="BA33" i="73"/>
  <c r="AM33" i="73"/>
  <c r="AO33" i="73"/>
  <c r="AG33" i="73"/>
  <c r="AI33" i="73"/>
  <c r="AA33" i="73"/>
  <c r="AC33" i="73"/>
  <c r="U33" i="73"/>
  <c r="O33" i="73"/>
  <c r="Q33" i="73"/>
  <c r="CX26" i="73"/>
  <c r="CS26" i="73"/>
  <c r="CQ26" i="73"/>
  <c r="BW26" i="73"/>
  <c r="BY26" i="73"/>
  <c r="BS26" i="73"/>
  <c r="BK26" i="73"/>
  <c r="BM26" i="73"/>
  <c r="BE26" i="73"/>
  <c r="CX25" i="73"/>
  <c r="CS25" i="73"/>
  <c r="CQ25" i="73"/>
  <c r="BW25" i="73"/>
  <c r="BY25" i="73"/>
  <c r="BS25" i="73"/>
  <c r="BK25" i="73"/>
  <c r="BM25" i="73"/>
  <c r="BE25" i="73"/>
  <c r="BG25" i="73"/>
  <c r="AY25" i="73"/>
  <c r="BA25" i="73"/>
  <c r="AM25" i="73"/>
  <c r="AO25" i="73"/>
  <c r="AG25" i="73"/>
  <c r="AI25" i="73"/>
  <c r="AA25" i="73"/>
  <c r="AC25" i="73"/>
  <c r="U25" i="73"/>
  <c r="O25" i="73"/>
  <c r="Q25" i="73"/>
  <c r="CX24" i="73"/>
  <c r="CS24" i="73"/>
  <c r="CQ24" i="73"/>
  <c r="CX32" i="73"/>
  <c r="CS32" i="73"/>
  <c r="CQ32" i="73"/>
  <c r="CS17" i="73"/>
  <c r="CX8" i="73"/>
  <c r="CS8" i="73"/>
  <c r="CQ8" i="73"/>
  <c r="BW8" i="73"/>
  <c r="BY8" i="73"/>
  <c r="BS8" i="73"/>
  <c r="BK8" i="73"/>
  <c r="BM8" i="73"/>
  <c r="BE8" i="73"/>
  <c r="BG8" i="73"/>
  <c r="AY8" i="73"/>
  <c r="BA8" i="73"/>
  <c r="AM8" i="73"/>
  <c r="AG8" i="73"/>
  <c r="AI8" i="73"/>
  <c r="AA8" i="73"/>
  <c r="AC8" i="73"/>
  <c r="U8" i="73"/>
  <c r="O8" i="73"/>
  <c r="Q8" i="73"/>
  <c r="CX21" i="73"/>
  <c r="CS21" i="73"/>
  <c r="CQ21" i="73"/>
  <c r="BW21" i="73"/>
  <c r="BY21" i="73"/>
  <c r="BS21" i="73"/>
  <c r="BK21" i="73"/>
  <c r="BM21" i="73"/>
  <c r="BE21" i="73"/>
  <c r="AY21" i="73"/>
  <c r="BA21" i="73"/>
  <c r="AM21" i="73"/>
  <c r="AO21" i="73"/>
  <c r="AI21" i="73"/>
  <c r="AA21" i="73"/>
  <c r="AC21" i="73"/>
  <c r="U21" i="73"/>
  <c r="O21" i="73"/>
  <c r="CX20" i="73"/>
  <c r="CS20" i="73"/>
  <c r="CQ20" i="73"/>
  <c r="BW20" i="73"/>
  <c r="BY20" i="73"/>
  <c r="BS20" i="73"/>
  <c r="BK20" i="73"/>
  <c r="BM20" i="73"/>
  <c r="BE20" i="73"/>
  <c r="BG20" i="73"/>
  <c r="AY20" i="73"/>
  <c r="BA20" i="73"/>
  <c r="AM20" i="73"/>
  <c r="AO20" i="73"/>
  <c r="AG20" i="73"/>
  <c r="AI20" i="73"/>
  <c r="AA20" i="73"/>
  <c r="AC20" i="73"/>
  <c r="U20" i="73"/>
  <c r="O20" i="73"/>
  <c r="Q20" i="73"/>
  <c r="CX19" i="73"/>
  <c r="CS19" i="73"/>
  <c r="CQ19" i="73"/>
  <c r="BW19" i="73"/>
  <c r="BY19" i="73"/>
  <c r="BS19" i="73"/>
  <c r="BK19" i="73"/>
  <c r="BM19" i="73"/>
  <c r="BE19" i="73"/>
  <c r="BG19" i="73"/>
  <c r="AY19" i="73"/>
  <c r="BA19" i="73"/>
  <c r="AM19" i="73"/>
  <c r="AO19" i="73"/>
  <c r="AG19" i="73"/>
  <c r="AI19" i="73"/>
  <c r="AA19" i="73"/>
  <c r="AC19" i="73"/>
  <c r="U19" i="73"/>
  <c r="O19" i="73"/>
  <c r="Q19" i="73"/>
  <c r="CX14" i="73"/>
  <c r="CS14" i="73"/>
  <c r="CQ14" i="73"/>
  <c r="BW14" i="73"/>
  <c r="BY14" i="73"/>
  <c r="BS14" i="73"/>
  <c r="BK14" i="73"/>
  <c r="BM14" i="73"/>
  <c r="BE14" i="73"/>
  <c r="BG14" i="73"/>
  <c r="AY14" i="73"/>
  <c r="BA14" i="73"/>
  <c r="AM14" i="73"/>
  <c r="AO14" i="73"/>
  <c r="AG14" i="73"/>
  <c r="AI14" i="73"/>
  <c r="AA14" i="73"/>
  <c r="AC14" i="73"/>
  <c r="U14" i="73"/>
  <c r="O14" i="73"/>
  <c r="Q14" i="73"/>
  <c r="CX7" i="73"/>
  <c r="CS7" i="73"/>
  <c r="CQ7" i="73"/>
  <c r="BT11" i="73"/>
  <c r="F7" i="73"/>
  <c r="G12" i="82" s="1" a="1"/>
  <c r="G12" i="82" s="1"/>
  <c r="CX13" i="73"/>
  <c r="CS13" i="73"/>
  <c r="CQ13" i="73"/>
  <c r="BW13" i="73"/>
  <c r="BS13" i="73"/>
  <c r="BK13" i="73"/>
  <c r="BM13" i="73"/>
  <c r="BE13" i="73"/>
  <c r="BG13" i="73"/>
  <c r="AY13" i="73"/>
  <c r="BA13" i="73"/>
  <c r="AM13" i="73"/>
  <c r="AO13" i="73"/>
  <c r="AG13" i="73"/>
  <c r="AI13" i="73"/>
  <c r="AA13" i="73"/>
  <c r="AC13" i="73"/>
  <c r="U13" i="73"/>
  <c r="CX18" i="73"/>
  <c r="CS18" i="73"/>
  <c r="CQ18" i="73"/>
  <c r="BC23" i="73"/>
  <c r="BE23" i="73" s="1"/>
  <c r="CX12" i="73"/>
  <c r="CS12" i="73"/>
  <c r="CQ12" i="73"/>
  <c r="Z4" i="73"/>
  <c r="AF4" i="73" s="1"/>
  <c r="AL4" i="73" s="1"/>
  <c r="AR4" i="73" s="1"/>
  <c r="AX4" i="73" s="1"/>
  <c r="BD4" i="73" s="1"/>
  <c r="BJ4" i="73" s="1"/>
  <c r="L4" i="73"/>
  <c r="R4" i="73" s="1"/>
  <c r="X4" i="73" s="1"/>
  <c r="Y4" i="73" s="1"/>
  <c r="BW2" i="73"/>
  <c r="BV2" i="73"/>
  <c r="BU2" i="73"/>
  <c r="BT2" i="73"/>
  <c r="BQ2" i="73"/>
  <c r="BP2" i="73"/>
  <c r="BO2" i="73"/>
  <c r="BN2" i="73"/>
  <c r="BK2" i="73"/>
  <c r="BJ2" i="73"/>
  <c r="BI2" i="73"/>
  <c r="BH2" i="73"/>
  <c r="BE2" i="73"/>
  <c r="BD2" i="73"/>
  <c r="BC2" i="73"/>
  <c r="BB2" i="73"/>
  <c r="AY2" i="73"/>
  <c r="AX2" i="73"/>
  <c r="AW2" i="73"/>
  <c r="AV2" i="73"/>
  <c r="AS2" i="73"/>
  <c r="AR2" i="73"/>
  <c r="AQ2" i="73"/>
  <c r="AP2" i="73"/>
  <c r="AM2" i="73"/>
  <c r="AL2" i="73"/>
  <c r="AK2" i="73"/>
  <c r="AJ2" i="73"/>
  <c r="AG2" i="73"/>
  <c r="AF2" i="73"/>
  <c r="AE2" i="73"/>
  <c r="AD2" i="73"/>
  <c r="AA2" i="73"/>
  <c r="Z2" i="73"/>
  <c r="Y2" i="73"/>
  <c r="X2" i="73"/>
  <c r="U2" i="73"/>
  <c r="T2" i="73"/>
  <c r="S2" i="73"/>
  <c r="R2" i="73"/>
  <c r="O2" i="73"/>
  <c r="N2" i="73"/>
  <c r="M2" i="73"/>
  <c r="L2" i="73"/>
  <c r="I2" i="73"/>
  <c r="H2" i="73"/>
  <c r="G2" i="73"/>
  <c r="F2" i="73"/>
  <c r="I88" i="72"/>
  <c r="H88" i="72"/>
  <c r="G79" i="72"/>
  <c r="G83" i="72" s="1"/>
  <c r="AU70" i="72"/>
  <c r="AS68" i="72"/>
  <c r="AP68" i="72"/>
  <c r="AN68" i="72"/>
  <c r="AC68" i="72"/>
  <c r="AC70" i="72" s="1"/>
  <c r="AB68" i="72"/>
  <c r="AB70" i="72" s="1"/>
  <c r="K70" i="72"/>
  <c r="J70" i="72"/>
  <c r="F68" i="72"/>
  <c r="F70" i="72" s="1"/>
  <c r="AV67" i="72"/>
  <c r="AT67" i="72"/>
  <c r="AQ67" i="72"/>
  <c r="AO67" i="72"/>
  <c r="AL67" i="72"/>
  <c r="AK67" i="72"/>
  <c r="AJ67" i="72"/>
  <c r="AI67" i="72"/>
  <c r="AF67" i="72"/>
  <c r="AD67" i="72"/>
  <c r="AV66" i="72"/>
  <c r="AT66" i="72"/>
  <c r="AQ66" i="72"/>
  <c r="AO66" i="72"/>
  <c r="AL66" i="72"/>
  <c r="AK66" i="72"/>
  <c r="AJ66" i="72"/>
  <c r="AI66" i="72"/>
  <c r="AF66" i="72"/>
  <c r="AD66" i="72"/>
  <c r="AT60" i="72"/>
  <c r="AQ60" i="72"/>
  <c r="AO60" i="72"/>
  <c r="AK60" i="72"/>
  <c r="AJ60" i="72"/>
  <c r="AI60" i="72"/>
  <c r="AF60" i="72"/>
  <c r="AD60" i="72"/>
  <c r="AV65" i="72"/>
  <c r="AT65" i="72"/>
  <c r="AQ65" i="72"/>
  <c r="AO65" i="72"/>
  <c r="AL65" i="72"/>
  <c r="AK65" i="72"/>
  <c r="AJ65" i="72"/>
  <c r="AI65" i="72"/>
  <c r="AF65" i="72"/>
  <c r="AD65" i="72"/>
  <c r="AV59" i="72"/>
  <c r="AT59" i="72"/>
  <c r="AQ59" i="72"/>
  <c r="AO59" i="72"/>
  <c r="AL59" i="72"/>
  <c r="AK59" i="72"/>
  <c r="AJ59" i="72"/>
  <c r="AI59" i="72"/>
  <c r="AF59" i="72"/>
  <c r="AD59" i="72"/>
  <c r="AV64" i="72"/>
  <c r="AT64" i="72"/>
  <c r="AL64" i="72"/>
  <c r="AJ64" i="72"/>
  <c r="AV63" i="72"/>
  <c r="AT63" i="72"/>
  <c r="AQ63" i="72"/>
  <c r="AO63" i="72"/>
  <c r="AL63" i="72"/>
  <c r="AK63" i="72"/>
  <c r="AJ63" i="72"/>
  <c r="AI63" i="72"/>
  <c r="AF63" i="72"/>
  <c r="AD63" i="72"/>
  <c r="AV62" i="72"/>
  <c r="AT62" i="72"/>
  <c r="AQ62" i="72"/>
  <c r="AO62" i="72"/>
  <c r="AL62" i="72"/>
  <c r="AK62" i="72"/>
  <c r="AJ62" i="72"/>
  <c r="AI62" i="72"/>
  <c r="AF62" i="72"/>
  <c r="AD62" i="72"/>
  <c r="AV22" i="72"/>
  <c r="AT22" i="72"/>
  <c r="AQ22" i="72"/>
  <c r="AO22" i="72"/>
  <c r="AL22" i="72"/>
  <c r="AK22" i="72"/>
  <c r="AJ22" i="72"/>
  <c r="AI22" i="72"/>
  <c r="AF22" i="72"/>
  <c r="AD22" i="72"/>
  <c r="AV54" i="72"/>
  <c r="AT54" i="72"/>
  <c r="AQ54" i="72"/>
  <c r="AO54" i="72"/>
  <c r="AL54" i="72"/>
  <c r="AK54" i="72"/>
  <c r="AJ54" i="72"/>
  <c r="AI54" i="72"/>
  <c r="AF54" i="72"/>
  <c r="AD54" i="72"/>
  <c r="AV53" i="72"/>
  <c r="AT53" i="72"/>
  <c r="AQ53" i="72"/>
  <c r="AO53" i="72"/>
  <c r="AL53" i="72"/>
  <c r="AK53" i="72"/>
  <c r="AJ53" i="72"/>
  <c r="AI53" i="72"/>
  <c r="AF53" i="72"/>
  <c r="AD53" i="72"/>
  <c r="AV58" i="72"/>
  <c r="AT58" i="72"/>
  <c r="AQ58" i="72"/>
  <c r="AO58" i="72"/>
  <c r="AL58" i="72"/>
  <c r="AK58" i="72"/>
  <c r="AJ58" i="72"/>
  <c r="AI58" i="72"/>
  <c r="AF58" i="72"/>
  <c r="AD58" i="72"/>
  <c r="AV57" i="72"/>
  <c r="AT57" i="72"/>
  <c r="AQ57" i="72"/>
  <c r="AO57" i="72"/>
  <c r="AL57" i="72"/>
  <c r="AK57" i="72"/>
  <c r="AJ57" i="72"/>
  <c r="AI57" i="72"/>
  <c r="AF57" i="72"/>
  <c r="AD57" i="72"/>
  <c r="AV52" i="72"/>
  <c r="AT52" i="72"/>
  <c r="AQ52" i="72"/>
  <c r="AO52" i="72"/>
  <c r="AL52" i="72"/>
  <c r="AK52" i="72"/>
  <c r="AJ52" i="72"/>
  <c r="AI52" i="72"/>
  <c r="AF52" i="72"/>
  <c r="AD52" i="72"/>
  <c r="AT51" i="72"/>
  <c r="AQ51" i="72"/>
  <c r="AO51" i="72"/>
  <c r="AK51" i="72"/>
  <c r="AJ51" i="72"/>
  <c r="AI51" i="72"/>
  <c r="AF51" i="72"/>
  <c r="AD51" i="72"/>
  <c r="AV50" i="72"/>
  <c r="AT50" i="72"/>
  <c r="AQ50" i="72"/>
  <c r="AO50" i="72"/>
  <c r="AL50" i="72"/>
  <c r="AK50" i="72"/>
  <c r="AJ50" i="72"/>
  <c r="AI50" i="72"/>
  <c r="AF50" i="72"/>
  <c r="AD50" i="72"/>
  <c r="AV43" i="72"/>
  <c r="AT43" i="72"/>
  <c r="AQ43" i="72"/>
  <c r="AO43" i="72"/>
  <c r="AL43" i="72"/>
  <c r="AK43" i="72"/>
  <c r="AJ43" i="72"/>
  <c r="AI43" i="72"/>
  <c r="AF43" i="72"/>
  <c r="AD43" i="72"/>
  <c r="AV56" i="72"/>
  <c r="AT56" i="72"/>
  <c r="AQ56" i="72"/>
  <c r="AO56" i="72"/>
  <c r="AL56" i="72"/>
  <c r="AK56" i="72"/>
  <c r="AJ56" i="72"/>
  <c r="AI56" i="72"/>
  <c r="AF56" i="72"/>
  <c r="AD56" i="72"/>
  <c r="AV42" i="72"/>
  <c r="AT42" i="72"/>
  <c r="AQ42" i="72"/>
  <c r="AO42" i="72"/>
  <c r="AL42" i="72"/>
  <c r="AK42" i="72"/>
  <c r="AJ42" i="72"/>
  <c r="AI42" i="72"/>
  <c r="AF42" i="72"/>
  <c r="AD42" i="72"/>
  <c r="AV41" i="72"/>
  <c r="AT41" i="72"/>
  <c r="AQ41" i="72"/>
  <c r="AO41" i="72"/>
  <c r="AL41" i="72"/>
  <c r="AK41" i="72"/>
  <c r="AJ41" i="72"/>
  <c r="AI41" i="72"/>
  <c r="AF41" i="72"/>
  <c r="AD41" i="72"/>
  <c r="AV47" i="72"/>
  <c r="AT47" i="72"/>
  <c r="AQ47" i="72"/>
  <c r="AO47" i="72"/>
  <c r="AL47" i="72"/>
  <c r="AK47" i="72"/>
  <c r="AJ47" i="72"/>
  <c r="AI47" i="72"/>
  <c r="AF47" i="72"/>
  <c r="AD47" i="72"/>
  <c r="AV46" i="72"/>
  <c r="AT46" i="72"/>
  <c r="AQ46" i="72"/>
  <c r="AO46" i="72"/>
  <c r="AL46" i="72"/>
  <c r="AK46" i="72"/>
  <c r="AJ46" i="72"/>
  <c r="AI46" i="72"/>
  <c r="AF46" i="72"/>
  <c r="AD46" i="72"/>
  <c r="AV45" i="72"/>
  <c r="AT45" i="72"/>
  <c r="AQ45" i="72"/>
  <c r="AO45" i="72"/>
  <c r="AL45" i="72"/>
  <c r="AK45" i="72"/>
  <c r="AJ45" i="72"/>
  <c r="AI45" i="72"/>
  <c r="AF45" i="72"/>
  <c r="AD45" i="72"/>
  <c r="AV49" i="72"/>
  <c r="AT49" i="72"/>
  <c r="AQ49" i="72"/>
  <c r="AO49" i="72"/>
  <c r="AL49" i="72"/>
  <c r="AK49" i="72"/>
  <c r="AJ49" i="72"/>
  <c r="AI49" i="72"/>
  <c r="AF49" i="72"/>
  <c r="AD49" i="72"/>
  <c r="AV10" i="72"/>
  <c r="AT10" i="72"/>
  <c r="AQ10" i="72"/>
  <c r="AO10" i="72"/>
  <c r="AL10" i="72"/>
  <c r="AK10" i="72"/>
  <c r="AJ10" i="72"/>
  <c r="AI10" i="72"/>
  <c r="AF10" i="72"/>
  <c r="AD10" i="72"/>
  <c r="AV16" i="72"/>
  <c r="AT16" i="72"/>
  <c r="AQ16" i="72"/>
  <c r="AO16" i="72"/>
  <c r="AL16" i="72"/>
  <c r="AK16" i="72"/>
  <c r="AJ16" i="72"/>
  <c r="AI16" i="72"/>
  <c r="AF16" i="72"/>
  <c r="AD16" i="72"/>
  <c r="AV40" i="72"/>
  <c r="AT40" i="72"/>
  <c r="AQ40" i="72"/>
  <c r="AO40" i="72"/>
  <c r="AL40" i="72"/>
  <c r="AK40" i="72"/>
  <c r="AJ40" i="72"/>
  <c r="AI40" i="72"/>
  <c r="AF40" i="72"/>
  <c r="AD40" i="72"/>
  <c r="AV39" i="72"/>
  <c r="AT39" i="72"/>
  <c r="AQ39" i="72"/>
  <c r="AO39" i="72"/>
  <c r="AL39" i="72"/>
  <c r="AK39" i="72"/>
  <c r="AJ39" i="72"/>
  <c r="AI39" i="72"/>
  <c r="AF39" i="72"/>
  <c r="AD39" i="72"/>
  <c r="AV15" i="72"/>
  <c r="AT15" i="72"/>
  <c r="AQ15" i="72"/>
  <c r="AO15" i="72"/>
  <c r="AL15" i="72"/>
  <c r="AK15" i="72"/>
  <c r="AJ15" i="72"/>
  <c r="AI15" i="72"/>
  <c r="AF15" i="72"/>
  <c r="AD15" i="72"/>
  <c r="AV9" i="72"/>
  <c r="AT9" i="72"/>
  <c r="AQ9" i="72"/>
  <c r="AO9" i="72"/>
  <c r="AL9" i="72"/>
  <c r="AK9" i="72"/>
  <c r="AJ9" i="72"/>
  <c r="AI9" i="72"/>
  <c r="AF9" i="72"/>
  <c r="AD9" i="72"/>
  <c r="AV38" i="72"/>
  <c r="AT38" i="72"/>
  <c r="AQ38" i="72"/>
  <c r="AO38" i="72"/>
  <c r="AL38" i="72"/>
  <c r="AK38" i="72"/>
  <c r="AJ38" i="72"/>
  <c r="AI38" i="72"/>
  <c r="AF38" i="72"/>
  <c r="AD38" i="72"/>
  <c r="AV36" i="72"/>
  <c r="AT36" i="72"/>
  <c r="AQ36" i="72"/>
  <c r="AO36" i="72"/>
  <c r="AL36" i="72"/>
  <c r="AK36" i="72"/>
  <c r="AJ36" i="72"/>
  <c r="AI36" i="72"/>
  <c r="AF36" i="72"/>
  <c r="AD36" i="72"/>
  <c r="AV30" i="72"/>
  <c r="AT30" i="72"/>
  <c r="AQ30" i="72"/>
  <c r="AO30" i="72"/>
  <c r="AL30" i="72"/>
  <c r="AK30" i="72"/>
  <c r="AJ30" i="72"/>
  <c r="AI30" i="72"/>
  <c r="AF30" i="72"/>
  <c r="AD30" i="72"/>
  <c r="AV29" i="72"/>
  <c r="AT29" i="72"/>
  <c r="AQ29" i="72"/>
  <c r="AO29" i="72"/>
  <c r="AL29" i="72"/>
  <c r="AK29" i="72"/>
  <c r="AJ29" i="72"/>
  <c r="AI29" i="72"/>
  <c r="AF29" i="72"/>
  <c r="AD29" i="72"/>
  <c r="AV35" i="72"/>
  <c r="AT35" i="72"/>
  <c r="AQ35" i="72"/>
  <c r="AO35" i="72"/>
  <c r="AL35" i="72"/>
  <c r="AK35" i="72"/>
  <c r="AJ35" i="72"/>
  <c r="AI35" i="72"/>
  <c r="AF35" i="72"/>
  <c r="AD35" i="72"/>
  <c r="AV34" i="72"/>
  <c r="AT34" i="72"/>
  <c r="AQ34" i="72"/>
  <c r="AO34" i="72"/>
  <c r="AL34" i="72"/>
  <c r="AK34" i="72"/>
  <c r="AJ34" i="72"/>
  <c r="AI34" i="72"/>
  <c r="AF34" i="72"/>
  <c r="AD34" i="72"/>
  <c r="AV28" i="72"/>
  <c r="AT28" i="72"/>
  <c r="AQ28" i="72"/>
  <c r="AO28" i="72"/>
  <c r="AL28" i="72"/>
  <c r="AK28" i="72"/>
  <c r="AJ28" i="72"/>
  <c r="AI28" i="72"/>
  <c r="AF28" i="72"/>
  <c r="AD28" i="72"/>
  <c r="AV27" i="72"/>
  <c r="AT27" i="72"/>
  <c r="AQ27" i="72"/>
  <c r="AO27" i="72"/>
  <c r="AL27" i="72"/>
  <c r="AK27" i="72"/>
  <c r="AJ27" i="72"/>
  <c r="AI27" i="72"/>
  <c r="AF27" i="72"/>
  <c r="AD27" i="72"/>
  <c r="AV33" i="72"/>
  <c r="AT33" i="72"/>
  <c r="AQ33" i="72"/>
  <c r="AO33" i="72"/>
  <c r="AL33" i="72"/>
  <c r="AK33" i="72"/>
  <c r="AJ33" i="72"/>
  <c r="AI33" i="72"/>
  <c r="AF33" i="72"/>
  <c r="AD33" i="72"/>
  <c r="AV26" i="72"/>
  <c r="AT26" i="72"/>
  <c r="AQ26" i="72"/>
  <c r="AO26" i="72"/>
  <c r="AL26" i="72"/>
  <c r="AK26" i="72"/>
  <c r="AJ26" i="72"/>
  <c r="AI26" i="72"/>
  <c r="AF26" i="72"/>
  <c r="AD26" i="72"/>
  <c r="AV25" i="72"/>
  <c r="AT25" i="72"/>
  <c r="AQ25" i="72"/>
  <c r="AO25" i="72"/>
  <c r="AL25" i="72"/>
  <c r="AK25" i="72"/>
  <c r="AJ25" i="72"/>
  <c r="AI25" i="72"/>
  <c r="AF25" i="72"/>
  <c r="AD25" i="72"/>
  <c r="AV24" i="72"/>
  <c r="AT24" i="72"/>
  <c r="AQ24" i="72"/>
  <c r="AO24" i="72"/>
  <c r="AL24" i="72"/>
  <c r="AK24" i="72"/>
  <c r="AJ24" i="72"/>
  <c r="AI24" i="72"/>
  <c r="AF24" i="72"/>
  <c r="AD24" i="72"/>
  <c r="AV32" i="72"/>
  <c r="AT32" i="72"/>
  <c r="AQ32" i="72"/>
  <c r="AO32" i="72"/>
  <c r="AL32" i="72"/>
  <c r="AK32" i="72"/>
  <c r="AJ32" i="72"/>
  <c r="AI32" i="72"/>
  <c r="AF32" i="72"/>
  <c r="AD32" i="72"/>
  <c r="AP61" i="72"/>
  <c r="AT8" i="72"/>
  <c r="AQ8" i="72"/>
  <c r="AO8" i="72"/>
  <c r="AJ8" i="72"/>
  <c r="AV8" i="72"/>
  <c r="AV21" i="72"/>
  <c r="AT21" i="72"/>
  <c r="AQ21" i="72"/>
  <c r="AO21" i="72"/>
  <c r="AL21" i="72"/>
  <c r="AJ21" i="72"/>
  <c r="AV20" i="72"/>
  <c r="AT20" i="72"/>
  <c r="AQ20" i="72"/>
  <c r="AO20" i="72"/>
  <c r="AL20" i="72"/>
  <c r="AK20" i="72"/>
  <c r="AJ20" i="72"/>
  <c r="AI20" i="72"/>
  <c r="AF20" i="72"/>
  <c r="AD20" i="72"/>
  <c r="AV19" i="72"/>
  <c r="AT19" i="72"/>
  <c r="AQ19" i="72"/>
  <c r="AO19" i="72"/>
  <c r="AL19" i="72"/>
  <c r="AK19" i="72"/>
  <c r="AJ19" i="72"/>
  <c r="AI19" i="72"/>
  <c r="AF19" i="72"/>
  <c r="AD19" i="72"/>
  <c r="AV14" i="72"/>
  <c r="AT14" i="72"/>
  <c r="AQ14" i="72"/>
  <c r="AO14" i="72"/>
  <c r="AL14" i="72"/>
  <c r="AK14" i="72"/>
  <c r="AJ14" i="72"/>
  <c r="AI14" i="72"/>
  <c r="AF14" i="72"/>
  <c r="AD14" i="72"/>
  <c r="AT7" i="72"/>
  <c r="AQ7" i="72"/>
  <c r="AO7" i="72"/>
  <c r="AK7" i="72"/>
  <c r="AJ7" i="72"/>
  <c r="AI7" i="72"/>
  <c r="AF7" i="72"/>
  <c r="AD7" i="72"/>
  <c r="AV13" i="72"/>
  <c r="AT13" i="72"/>
  <c r="AQ13" i="72"/>
  <c r="AO13" i="72"/>
  <c r="AL13" i="72"/>
  <c r="AK13" i="72"/>
  <c r="AJ13" i="72"/>
  <c r="AI13" i="72"/>
  <c r="AF13" i="72"/>
  <c r="AD13" i="72"/>
  <c r="AV18" i="72"/>
  <c r="AT18" i="72"/>
  <c r="AQ18" i="72"/>
  <c r="AO18" i="72"/>
  <c r="AL18" i="72"/>
  <c r="AK18" i="72"/>
  <c r="AJ18" i="72"/>
  <c r="AI18" i="72"/>
  <c r="AF18" i="72"/>
  <c r="AD18" i="72"/>
  <c r="AV12" i="72"/>
  <c r="AT12" i="72"/>
  <c r="AQ12" i="72"/>
  <c r="AO12" i="72"/>
  <c r="AL12" i="72"/>
  <c r="AK12" i="72"/>
  <c r="AJ12" i="72"/>
  <c r="AI12" i="72"/>
  <c r="AF12" i="72"/>
  <c r="AD12" i="72"/>
  <c r="AC2" i="72"/>
  <c r="AB2" i="72"/>
  <c r="AA2" i="72"/>
  <c r="Z2" i="72"/>
  <c r="Y2" i="72"/>
  <c r="X2" i="72"/>
  <c r="W2" i="72"/>
  <c r="V2" i="72"/>
  <c r="U2" i="72"/>
  <c r="T2" i="72"/>
  <c r="S2" i="72"/>
  <c r="R2" i="72"/>
  <c r="Q2" i="72"/>
  <c r="P2" i="72"/>
  <c r="O2" i="72"/>
  <c r="N2" i="72"/>
  <c r="M2" i="72"/>
  <c r="L2" i="72"/>
  <c r="K2" i="72"/>
  <c r="J2" i="72"/>
  <c r="I2" i="72"/>
  <c r="H2" i="72"/>
  <c r="G2" i="72"/>
  <c r="F2" i="72"/>
  <c r="G77" i="70"/>
  <c r="M78" i="70" s="1"/>
  <c r="AN65" i="70"/>
  <c r="AM65" i="70"/>
  <c r="AK65" i="70"/>
  <c r="AJ65" i="70"/>
  <c r="AG65" i="70"/>
  <c r="AD65" i="70"/>
  <c r="AN64" i="70"/>
  <c r="AM64" i="70"/>
  <c r="AK64" i="70"/>
  <c r="AJ64" i="70"/>
  <c r="AG64" i="70"/>
  <c r="AD64" i="70"/>
  <c r="AN58" i="70"/>
  <c r="AM58" i="70"/>
  <c r="AK58" i="70"/>
  <c r="AJ58" i="70"/>
  <c r="AG58" i="70"/>
  <c r="AD58" i="70"/>
  <c r="AN63" i="70"/>
  <c r="AM63" i="70"/>
  <c r="AK63" i="70"/>
  <c r="AJ63" i="70"/>
  <c r="AG63" i="70"/>
  <c r="AD63" i="70"/>
  <c r="AN57" i="70"/>
  <c r="AM57" i="70"/>
  <c r="AK57" i="70"/>
  <c r="AJ57" i="70"/>
  <c r="AG57" i="70"/>
  <c r="AD57" i="70"/>
  <c r="AN62" i="70"/>
  <c r="AM62" i="70"/>
  <c r="AK62" i="70"/>
  <c r="AJ62" i="70"/>
  <c r="AG62" i="70"/>
  <c r="AD62" i="70"/>
  <c r="AN61" i="70"/>
  <c r="AM61" i="70"/>
  <c r="AK61" i="70"/>
  <c r="AJ61" i="70"/>
  <c r="AG61" i="70"/>
  <c r="AD61" i="70"/>
  <c r="AN60" i="70"/>
  <c r="AM60" i="70"/>
  <c r="AK60" i="70"/>
  <c r="AJ60" i="70"/>
  <c r="AG60" i="70"/>
  <c r="AD60" i="70"/>
  <c r="AN20" i="70"/>
  <c r="AM20" i="70"/>
  <c r="AK20" i="70"/>
  <c r="AJ20" i="70"/>
  <c r="AG20" i="70"/>
  <c r="AD20" i="70"/>
  <c r="AN52" i="70"/>
  <c r="AM52" i="70"/>
  <c r="AK52" i="70"/>
  <c r="AJ52" i="70"/>
  <c r="AG52" i="70"/>
  <c r="AD52" i="70"/>
  <c r="AN51" i="70"/>
  <c r="AM51" i="70"/>
  <c r="AK51" i="70"/>
  <c r="AJ51" i="70"/>
  <c r="AG51" i="70"/>
  <c r="AD51" i="70"/>
  <c r="AN56" i="70"/>
  <c r="AM56" i="70"/>
  <c r="AK56" i="70"/>
  <c r="AJ56" i="70"/>
  <c r="AG56" i="70"/>
  <c r="AD56" i="70"/>
  <c r="AN55" i="70"/>
  <c r="AM55" i="70"/>
  <c r="AK55" i="70"/>
  <c r="AJ55" i="70"/>
  <c r="AG55" i="70"/>
  <c r="AD55" i="70"/>
  <c r="AN50" i="70"/>
  <c r="AM50" i="70"/>
  <c r="AK50" i="70"/>
  <c r="AJ50" i="70"/>
  <c r="AG50" i="70"/>
  <c r="AD50" i="70"/>
  <c r="AN49" i="70"/>
  <c r="AM49" i="70"/>
  <c r="AK49" i="70"/>
  <c r="AJ49" i="70"/>
  <c r="AG49" i="70"/>
  <c r="AD49" i="70"/>
  <c r="AN48" i="70"/>
  <c r="AM48" i="70"/>
  <c r="AK48" i="70"/>
  <c r="AJ48" i="70"/>
  <c r="AG48" i="70"/>
  <c r="AD48" i="70"/>
  <c r="AN40" i="70"/>
  <c r="AM40" i="70"/>
  <c r="AK40" i="70"/>
  <c r="AJ40" i="70"/>
  <c r="AG40" i="70"/>
  <c r="AI40" i="70" s="1"/>
  <c r="AD40" i="70"/>
  <c r="AN54" i="70"/>
  <c r="AM54" i="70"/>
  <c r="AK54" i="70"/>
  <c r="AJ54" i="70"/>
  <c r="AG54" i="70"/>
  <c r="AD54" i="70"/>
  <c r="AN41" i="70"/>
  <c r="AM41" i="70"/>
  <c r="AK41" i="70"/>
  <c r="AJ41" i="70"/>
  <c r="AG41" i="70"/>
  <c r="AD41" i="70"/>
  <c r="AN39" i="70"/>
  <c r="AM39" i="70"/>
  <c r="AK39" i="70"/>
  <c r="AJ39" i="70"/>
  <c r="AG39" i="70"/>
  <c r="AI39" i="70" s="1"/>
  <c r="AD39" i="70"/>
  <c r="AN45" i="70"/>
  <c r="AM45" i="70"/>
  <c r="AK45" i="70"/>
  <c r="AJ45" i="70"/>
  <c r="AG45" i="70"/>
  <c r="AD45" i="70"/>
  <c r="AN44" i="70"/>
  <c r="AM44" i="70"/>
  <c r="AK44" i="70"/>
  <c r="AJ44" i="70"/>
  <c r="AG44" i="70"/>
  <c r="AD44" i="70"/>
  <c r="AN43" i="70"/>
  <c r="AM43" i="70"/>
  <c r="AK43" i="70"/>
  <c r="AJ43" i="70"/>
  <c r="AG43" i="70"/>
  <c r="AD43" i="70"/>
  <c r="AN47" i="70"/>
  <c r="AM47" i="70"/>
  <c r="AK47" i="70"/>
  <c r="AJ47" i="70"/>
  <c r="AG47" i="70"/>
  <c r="AD47" i="70"/>
  <c r="AN8" i="70"/>
  <c r="AM8" i="70"/>
  <c r="AK8" i="70"/>
  <c r="AJ8" i="70"/>
  <c r="AG8" i="70"/>
  <c r="AD8" i="70"/>
  <c r="AN14" i="70"/>
  <c r="AM14" i="70"/>
  <c r="AK14" i="70"/>
  <c r="AJ14" i="70"/>
  <c r="AG14" i="70"/>
  <c r="AD14" i="70"/>
  <c r="AN38" i="70"/>
  <c r="AM38" i="70"/>
  <c r="AK38" i="70"/>
  <c r="AJ38" i="70"/>
  <c r="AG38" i="70"/>
  <c r="AD38" i="70"/>
  <c r="AN37" i="70"/>
  <c r="AM37" i="70"/>
  <c r="AK37" i="70"/>
  <c r="AJ37" i="70"/>
  <c r="AG37" i="70"/>
  <c r="AD37" i="70"/>
  <c r="AN13" i="70"/>
  <c r="AM13" i="70"/>
  <c r="AK13" i="70"/>
  <c r="AJ13" i="70"/>
  <c r="AG13" i="70"/>
  <c r="AD13" i="70"/>
  <c r="AN7" i="70"/>
  <c r="AM7" i="70"/>
  <c r="AK7" i="70"/>
  <c r="AJ7" i="70"/>
  <c r="AG7" i="70"/>
  <c r="AD7" i="70"/>
  <c r="AN36" i="70"/>
  <c r="AM36" i="70"/>
  <c r="AK36" i="70"/>
  <c r="AJ36" i="70"/>
  <c r="AG36" i="70"/>
  <c r="AD36" i="70"/>
  <c r="AN34" i="70"/>
  <c r="AM34" i="70"/>
  <c r="AK34" i="70"/>
  <c r="AJ34" i="70"/>
  <c r="AG34" i="70"/>
  <c r="AD34" i="70"/>
  <c r="AN28" i="70"/>
  <c r="AM28" i="70"/>
  <c r="AK28" i="70"/>
  <c r="AJ28" i="70"/>
  <c r="AG28" i="70"/>
  <c r="AD28" i="70"/>
  <c r="AN27" i="70"/>
  <c r="AM27" i="70"/>
  <c r="AK27" i="70"/>
  <c r="AJ27" i="70"/>
  <c r="AG27" i="70"/>
  <c r="AD27" i="70"/>
  <c r="AN33" i="70"/>
  <c r="AM33" i="70"/>
  <c r="AK33" i="70"/>
  <c r="AJ33" i="70"/>
  <c r="AG33" i="70"/>
  <c r="AD33" i="70"/>
  <c r="AN32" i="70"/>
  <c r="AM32" i="70"/>
  <c r="AK32" i="70"/>
  <c r="AJ32" i="70"/>
  <c r="AG32" i="70"/>
  <c r="AD32" i="70"/>
  <c r="AN26" i="70"/>
  <c r="AM26" i="70"/>
  <c r="AK26" i="70"/>
  <c r="AJ26" i="70"/>
  <c r="AG26" i="70"/>
  <c r="AD26" i="70"/>
  <c r="AN25" i="70"/>
  <c r="AM25" i="70"/>
  <c r="AK25" i="70"/>
  <c r="AJ25" i="70"/>
  <c r="AG25" i="70"/>
  <c r="AD25" i="70"/>
  <c r="AN31" i="70"/>
  <c r="AM31" i="70"/>
  <c r="AK31" i="70"/>
  <c r="AJ31" i="70"/>
  <c r="AG31" i="70"/>
  <c r="AD31" i="70"/>
  <c r="AN24" i="70"/>
  <c r="AM24" i="70"/>
  <c r="AK24" i="70"/>
  <c r="AJ24" i="70"/>
  <c r="AG24" i="70"/>
  <c r="AD24" i="70"/>
  <c r="AN23" i="70"/>
  <c r="AM23" i="70"/>
  <c r="AK23" i="70"/>
  <c r="AJ23" i="70"/>
  <c r="AG23" i="70"/>
  <c r="AD23" i="70"/>
  <c r="AN22" i="70"/>
  <c r="AM22" i="70"/>
  <c r="AK22" i="70"/>
  <c r="AJ22" i="70"/>
  <c r="AG22" i="70"/>
  <c r="AD22" i="70"/>
  <c r="AN30" i="70"/>
  <c r="AM30" i="70"/>
  <c r="AK30" i="70"/>
  <c r="AJ30" i="70"/>
  <c r="AG30" i="70"/>
  <c r="AD30" i="70"/>
  <c r="AN6" i="70"/>
  <c r="AM6" i="70"/>
  <c r="AK6" i="70"/>
  <c r="AJ6" i="70"/>
  <c r="AG6" i="70"/>
  <c r="AD6" i="70"/>
  <c r="AN19" i="70"/>
  <c r="AM19" i="70"/>
  <c r="AK19" i="70"/>
  <c r="AJ19" i="70"/>
  <c r="AG19" i="70"/>
  <c r="AD19" i="70"/>
  <c r="AN18" i="70"/>
  <c r="AM18" i="70"/>
  <c r="AK18" i="70"/>
  <c r="AJ18" i="70"/>
  <c r="AG18" i="70"/>
  <c r="AD18" i="70"/>
  <c r="AN17" i="70"/>
  <c r="AM17" i="70"/>
  <c r="AK17" i="70"/>
  <c r="AJ17" i="70"/>
  <c r="AG17" i="70"/>
  <c r="AD17" i="70"/>
  <c r="AN12" i="70"/>
  <c r="AM12" i="70"/>
  <c r="AK12" i="70"/>
  <c r="AJ12" i="70"/>
  <c r="AG12" i="70"/>
  <c r="AD12" i="70"/>
  <c r="AN5" i="70"/>
  <c r="AM5" i="70"/>
  <c r="AK5" i="70"/>
  <c r="AJ5" i="70"/>
  <c r="AG5" i="70"/>
  <c r="AD5" i="70"/>
  <c r="AN11" i="70"/>
  <c r="AM11" i="70"/>
  <c r="AK11" i="70"/>
  <c r="AJ11" i="70"/>
  <c r="AG11" i="70"/>
  <c r="AD11" i="70"/>
  <c r="AN16" i="70"/>
  <c r="AM16" i="70"/>
  <c r="AK16" i="70"/>
  <c r="AJ16" i="70"/>
  <c r="AG16" i="70"/>
  <c r="AD16" i="70"/>
  <c r="AN10" i="70"/>
  <c r="AM10" i="70"/>
  <c r="AK10" i="70"/>
  <c r="AJ10" i="70"/>
  <c r="AG10" i="70"/>
  <c r="AD10" i="70"/>
  <c r="CT38" i="77" l="1"/>
  <c r="AN28" i="74"/>
  <c r="CT24" i="77"/>
  <c r="AK28" i="74"/>
  <c r="AM28" i="74"/>
  <c r="AD28" i="74"/>
  <c r="AF28" i="74" s="1"/>
  <c r="AG28" i="74"/>
  <c r="AI28" i="74" s="1"/>
  <c r="AJ28" i="74"/>
  <c r="CH69" i="73"/>
  <c r="CJ69" i="73"/>
  <c r="CT65" i="77"/>
  <c r="CT50" i="77"/>
  <c r="G49" i="82"/>
  <c r="M12" i="82"/>
  <c r="P70" i="73"/>
  <c r="BV70" i="73"/>
  <c r="BX70" i="73"/>
  <c r="AF49" i="74"/>
  <c r="X7" i="77"/>
  <c r="U11" i="77"/>
  <c r="AO17" i="76"/>
  <c r="AF17" i="76"/>
  <c r="AN17" i="76"/>
  <c r="AE17" i="76"/>
  <c r="AO11" i="76"/>
  <c r="AF11" i="76"/>
  <c r="AI11" i="76"/>
  <c r="AL11" i="76"/>
  <c r="AL17" i="76" s="1"/>
  <c r="AL23" i="76" s="1"/>
  <c r="AK11" i="76"/>
  <c r="AK17" i="76" s="1"/>
  <c r="AK23" i="76" s="1"/>
  <c r="AN11" i="76"/>
  <c r="AE11" i="76"/>
  <c r="AH11" i="76"/>
  <c r="AN37" i="77"/>
  <c r="AL37" i="77"/>
  <c r="AZ37" i="77"/>
  <c r="S37" i="77"/>
  <c r="X37" i="77"/>
  <c r="BW37" i="77"/>
  <c r="DJ45" i="77"/>
  <c r="BB37" i="77"/>
  <c r="BG37" i="77"/>
  <c r="Q37" i="77"/>
  <c r="CD37" i="77"/>
  <c r="CX30" i="77"/>
  <c r="AZ8" i="77"/>
  <c r="BI8" i="77"/>
  <c r="AU8" i="77"/>
  <c r="X8" i="77"/>
  <c r="BW8" i="77"/>
  <c r="BB8" i="77"/>
  <c r="AG8" i="77"/>
  <c r="CD8" i="77"/>
  <c r="AE8" i="77"/>
  <c r="CK8" i="77"/>
  <c r="AN8" i="77"/>
  <c r="BG8" i="77"/>
  <c r="BP8" i="77"/>
  <c r="DC11" i="77"/>
  <c r="DC17" i="77" s="1"/>
  <c r="AM43" i="74"/>
  <c r="AO43" i="74" s="1"/>
  <c r="AD43" i="74"/>
  <c r="AF43" i="74" s="1"/>
  <c r="AG43" i="74"/>
  <c r="AI43" i="74" s="1"/>
  <c r="AJ43" i="74"/>
  <c r="AL43" i="74" s="1"/>
  <c r="AD55" i="74"/>
  <c r="BH23" i="73"/>
  <c r="BM23" i="73" s="1"/>
  <c r="BE56" i="73"/>
  <c r="BC61" i="73"/>
  <c r="BE61" i="73" s="1"/>
  <c r="BO23" i="73"/>
  <c r="BQ23" i="73" s="1"/>
  <c r="BC11" i="73"/>
  <c r="BS56" i="73"/>
  <c r="BN61" i="73"/>
  <c r="BS61" i="73" s="1"/>
  <c r="BO61" i="73"/>
  <c r="BQ61" i="73" s="1"/>
  <c r="BY11" i="73"/>
  <c r="BU11" i="73"/>
  <c r="BN23" i="73"/>
  <c r="BS23" i="73" s="1"/>
  <c r="BM56" i="73"/>
  <c r="BH61" i="73"/>
  <c r="BM61" i="73" s="1"/>
  <c r="BT23" i="73"/>
  <c r="BY23" i="73" s="1"/>
  <c r="BU23" i="73"/>
  <c r="BW23" i="73" s="1"/>
  <c r="F55" i="73"/>
  <c r="K55" i="73" s="1"/>
  <c r="F23" i="73"/>
  <c r="BH11" i="73"/>
  <c r="BI11" i="73"/>
  <c r="BY56" i="73"/>
  <c r="BT61" i="73"/>
  <c r="BY61" i="73" s="1"/>
  <c r="BI23" i="73"/>
  <c r="BK23" i="73" s="1"/>
  <c r="BK56" i="73"/>
  <c r="BI61" i="73"/>
  <c r="BK61" i="73" s="1"/>
  <c r="BN11" i="73"/>
  <c r="BW56" i="73"/>
  <c r="BU61" i="73"/>
  <c r="BW61" i="73" s="1"/>
  <c r="F68" i="73"/>
  <c r="K68" i="73" s="1"/>
  <c r="BO11" i="73"/>
  <c r="F48" i="73"/>
  <c r="K48" i="73" s="1"/>
  <c r="F61" i="73"/>
  <c r="G68" i="73"/>
  <c r="I68" i="73" s="1"/>
  <c r="G48" i="73"/>
  <c r="I48" i="73" s="1"/>
  <c r="G61" i="73"/>
  <c r="AQ61" i="73"/>
  <c r="AS61" i="73" s="1"/>
  <c r="BG56" i="73"/>
  <c r="BB61" i="73"/>
  <c r="BG61" i="73" s="1"/>
  <c r="AY56" i="73"/>
  <c r="AW61" i="73"/>
  <c r="AY61" i="73" s="1"/>
  <c r="BA56" i="73"/>
  <c r="AV61" i="73"/>
  <c r="BA61" i="73" s="1"/>
  <c r="AP61" i="73"/>
  <c r="AU61" i="73" s="1"/>
  <c r="AO56" i="73"/>
  <c r="AJ61" i="73"/>
  <c r="AO61" i="73" s="1"/>
  <c r="AM56" i="73"/>
  <c r="AK61" i="73"/>
  <c r="AM61" i="73" s="1"/>
  <c r="AG56" i="73"/>
  <c r="AE61" i="73"/>
  <c r="AG61" i="73" s="1"/>
  <c r="AI56" i="73"/>
  <c r="AD61" i="73"/>
  <c r="AI61" i="73" s="1"/>
  <c r="AC56" i="73"/>
  <c r="X61" i="73"/>
  <c r="AC61" i="73" s="1"/>
  <c r="AA56" i="73"/>
  <c r="Y61" i="73"/>
  <c r="AA61" i="73" s="1"/>
  <c r="U56" i="73"/>
  <c r="S61" i="73"/>
  <c r="U61" i="73" s="1"/>
  <c r="R61" i="73"/>
  <c r="W61" i="73" s="1"/>
  <c r="Q56" i="73"/>
  <c r="L61" i="73"/>
  <c r="Q61" i="73" s="1"/>
  <c r="M61" i="73"/>
  <c r="O61" i="73" s="1"/>
  <c r="G55" i="73"/>
  <c r="I55" i="73" s="1"/>
  <c r="G44" i="73"/>
  <c r="I44" i="73" s="1"/>
  <c r="F44" i="73"/>
  <c r="K44" i="73" s="1"/>
  <c r="G31" i="73"/>
  <c r="I31" i="73" s="1"/>
  <c r="F37" i="73"/>
  <c r="K37" i="73" s="1"/>
  <c r="G37" i="73"/>
  <c r="I37" i="73" s="1"/>
  <c r="F31" i="73"/>
  <c r="K31" i="73" s="1"/>
  <c r="R23" i="73"/>
  <c r="W23" i="73" s="1"/>
  <c r="BB23" i="73"/>
  <c r="BG23" i="73" s="1"/>
  <c r="AJ11" i="73"/>
  <c r="G17" i="73"/>
  <c r="I17" i="73" s="1"/>
  <c r="S23" i="73"/>
  <c r="U23" i="73" s="1"/>
  <c r="AV23" i="73"/>
  <c r="BA23" i="73" s="1"/>
  <c r="AW23" i="73"/>
  <c r="AY23" i="73" s="1"/>
  <c r="AP23" i="73"/>
  <c r="AU23" i="73" s="1"/>
  <c r="AQ23" i="73"/>
  <c r="AS23" i="73" s="1"/>
  <c r="AJ23" i="73"/>
  <c r="AO23" i="73" s="1"/>
  <c r="AK23" i="73"/>
  <c r="AM23" i="73" s="1"/>
  <c r="AD23" i="73"/>
  <c r="AI23" i="73" s="1"/>
  <c r="AE23" i="73"/>
  <c r="AG23" i="73" s="1"/>
  <c r="X23" i="73"/>
  <c r="AC23" i="73" s="1"/>
  <c r="Y23" i="73"/>
  <c r="AA23" i="73" s="1"/>
  <c r="L23" i="73"/>
  <c r="Q23" i="73" s="1"/>
  <c r="M23" i="73"/>
  <c r="O23" i="73" s="1"/>
  <c r="G23" i="73"/>
  <c r="I23" i="73" s="1"/>
  <c r="F17" i="73"/>
  <c r="K17" i="73" s="1"/>
  <c r="BB11" i="73"/>
  <c r="AV11" i="73"/>
  <c r="AW11" i="73"/>
  <c r="AQ11" i="73"/>
  <c r="AP11" i="73"/>
  <c r="AK11" i="73"/>
  <c r="AD11" i="73"/>
  <c r="X11" i="73"/>
  <c r="AE11" i="73"/>
  <c r="Y11" i="73"/>
  <c r="R11" i="73"/>
  <c r="S11" i="73"/>
  <c r="L11" i="73"/>
  <c r="M11" i="73"/>
  <c r="G11" i="73"/>
  <c r="F11" i="73"/>
  <c r="AP48" i="73"/>
  <c r="AU48" i="73" s="1"/>
  <c r="AQ48" i="73"/>
  <c r="AS48" i="73" s="1"/>
  <c r="BW46" i="73"/>
  <c r="BU48" i="73"/>
  <c r="BW48" i="73" s="1"/>
  <c r="BK46" i="73"/>
  <c r="BI48" i="73"/>
  <c r="BK48" i="73" s="1"/>
  <c r="BS46" i="73"/>
  <c r="BN48" i="73"/>
  <c r="BS48" i="73" s="1"/>
  <c r="BE46" i="73"/>
  <c r="BC48" i="73"/>
  <c r="BE48" i="73" s="1"/>
  <c r="BM46" i="73"/>
  <c r="BH48" i="73"/>
  <c r="BM48" i="73" s="1"/>
  <c r="BO48" i="73"/>
  <c r="BQ48" i="73" s="1"/>
  <c r="BY46" i="73"/>
  <c r="BT48" i="73"/>
  <c r="BY48" i="73" s="1"/>
  <c r="BG46" i="73"/>
  <c r="BB48" i="73"/>
  <c r="BG48" i="73" s="1"/>
  <c r="AY46" i="73"/>
  <c r="AW48" i="73"/>
  <c r="AY48" i="73" s="1"/>
  <c r="BA46" i="73"/>
  <c r="AV48" i="73"/>
  <c r="BA48" i="73" s="1"/>
  <c r="AM46" i="73"/>
  <c r="AK48" i="73"/>
  <c r="AM48" i="73" s="1"/>
  <c r="R48" i="73"/>
  <c r="W48" i="73" s="1"/>
  <c r="AO46" i="73"/>
  <c r="AJ48" i="73"/>
  <c r="AO48" i="73" s="1"/>
  <c r="AI46" i="73"/>
  <c r="AD48" i="73"/>
  <c r="AI48" i="73" s="1"/>
  <c r="AG46" i="73"/>
  <c r="AE48" i="73"/>
  <c r="AG48" i="73" s="1"/>
  <c r="AC46" i="73"/>
  <c r="X48" i="73"/>
  <c r="AC48" i="73" s="1"/>
  <c r="AA46" i="73"/>
  <c r="Y48" i="73"/>
  <c r="AA48" i="73" s="1"/>
  <c r="U46" i="73"/>
  <c r="S48" i="73"/>
  <c r="U48" i="73" s="1"/>
  <c r="Q46" i="73"/>
  <c r="L48" i="73"/>
  <c r="Q48" i="73" s="1"/>
  <c r="O46" i="73"/>
  <c r="M48" i="73"/>
  <c r="O48" i="73" s="1"/>
  <c r="BU37" i="73"/>
  <c r="BW37" i="73" s="1"/>
  <c r="CH45" i="73"/>
  <c r="BU44" i="73"/>
  <c r="BW44" i="73" s="1"/>
  <c r="CJ45" i="73"/>
  <c r="BY38" i="73"/>
  <c r="BT44" i="73"/>
  <c r="BY44" i="73" s="1"/>
  <c r="BE38" i="73"/>
  <c r="BC44" i="73"/>
  <c r="BE44" i="73" s="1"/>
  <c r="BN44" i="73"/>
  <c r="BS44" i="73" s="1"/>
  <c r="BM38" i="73"/>
  <c r="BH44" i="73"/>
  <c r="BM44" i="73" s="1"/>
  <c r="BK38" i="73"/>
  <c r="BI44" i="73"/>
  <c r="BK44" i="73" s="1"/>
  <c r="BO44" i="73"/>
  <c r="BQ44" i="73" s="1"/>
  <c r="AJ44" i="73"/>
  <c r="AO44" i="73" s="1"/>
  <c r="AK44" i="73"/>
  <c r="AM44" i="73" s="1"/>
  <c r="AP44" i="73"/>
  <c r="AU44" i="73" s="1"/>
  <c r="BB44" i="73"/>
  <c r="BG44" i="73" s="1"/>
  <c r="AV44" i="73"/>
  <c r="BA44" i="73" s="1"/>
  <c r="AW44" i="73"/>
  <c r="AY44" i="73" s="1"/>
  <c r="AQ44" i="73"/>
  <c r="AS44" i="73" s="1"/>
  <c r="AI38" i="73"/>
  <c r="AD44" i="73"/>
  <c r="AI44" i="73" s="1"/>
  <c r="AE44" i="73"/>
  <c r="AG44" i="73" s="1"/>
  <c r="AC38" i="73"/>
  <c r="X44" i="73"/>
  <c r="AC44" i="73" s="1"/>
  <c r="AA38" i="73"/>
  <c r="Y44" i="73"/>
  <c r="AA44" i="73" s="1"/>
  <c r="R44" i="73"/>
  <c r="W44" i="73" s="1"/>
  <c r="S44" i="73"/>
  <c r="U44" i="73" s="1"/>
  <c r="L44" i="73"/>
  <c r="Q44" i="73" s="1"/>
  <c r="O38" i="73"/>
  <c r="M44" i="73"/>
  <c r="O44" i="73" s="1"/>
  <c r="AI39" i="73"/>
  <c r="Q39" i="73"/>
  <c r="AY39" i="73"/>
  <c r="AG39" i="73"/>
  <c r="AO39" i="73"/>
  <c r="BG39" i="73"/>
  <c r="U39" i="73"/>
  <c r="AC39" i="73"/>
  <c r="AA39" i="73"/>
  <c r="AM39" i="73"/>
  <c r="BA39" i="73"/>
  <c r="O39" i="73"/>
  <c r="AQ37" i="73"/>
  <c r="AS37" i="73" s="1"/>
  <c r="BO37" i="73"/>
  <c r="BQ37" i="73" s="1"/>
  <c r="BM32" i="73"/>
  <c r="BH37" i="73"/>
  <c r="BM37" i="73" s="1"/>
  <c r="BK32" i="73"/>
  <c r="BI37" i="73"/>
  <c r="BK37" i="73" s="1"/>
  <c r="BN37" i="73"/>
  <c r="BS37" i="73" s="1"/>
  <c r="BE32" i="73"/>
  <c r="BC37" i="73"/>
  <c r="BE37" i="73" s="1"/>
  <c r="BT37" i="73"/>
  <c r="BY37" i="73" s="1"/>
  <c r="AP37" i="73"/>
  <c r="AU37" i="73" s="1"/>
  <c r="BB37" i="73"/>
  <c r="BG37" i="73" s="1"/>
  <c r="AV37" i="73"/>
  <c r="BA37" i="73" s="1"/>
  <c r="AY32" i="73"/>
  <c r="AW37" i="73"/>
  <c r="AY37" i="73" s="1"/>
  <c r="AM32" i="73"/>
  <c r="AK37" i="73"/>
  <c r="AM37" i="73" s="1"/>
  <c r="AE37" i="73"/>
  <c r="AG37" i="73" s="1"/>
  <c r="AO32" i="73"/>
  <c r="AJ37" i="73"/>
  <c r="AO37" i="73" s="1"/>
  <c r="AD37" i="73"/>
  <c r="AI37" i="73" s="1"/>
  <c r="X37" i="73"/>
  <c r="AC37" i="73" s="1"/>
  <c r="Y37" i="73"/>
  <c r="AA37" i="73" s="1"/>
  <c r="S37" i="73"/>
  <c r="U37" i="73" s="1"/>
  <c r="R37" i="73"/>
  <c r="W37" i="73" s="1"/>
  <c r="M37" i="73"/>
  <c r="O37" i="73" s="1"/>
  <c r="L37" i="73"/>
  <c r="Q37" i="73" s="1"/>
  <c r="R31" i="73"/>
  <c r="W31" i="73" s="1"/>
  <c r="BM24" i="73"/>
  <c r="BH31" i="73"/>
  <c r="BM31" i="73" s="1"/>
  <c r="BE24" i="73"/>
  <c r="BC31" i="73"/>
  <c r="BE31" i="73" s="1"/>
  <c r="BK24" i="73"/>
  <c r="BI31" i="73"/>
  <c r="BK31" i="73" s="1"/>
  <c r="BY24" i="73"/>
  <c r="BT31" i="73"/>
  <c r="BY31" i="73" s="1"/>
  <c r="BS24" i="73"/>
  <c r="BN31" i="73"/>
  <c r="BS31" i="73" s="1"/>
  <c r="BO31" i="73"/>
  <c r="BQ31" i="73" s="1"/>
  <c r="BW24" i="73"/>
  <c r="BU31" i="73"/>
  <c r="BW31" i="73" s="1"/>
  <c r="L31" i="73"/>
  <c r="Q31" i="73" s="1"/>
  <c r="BG24" i="73"/>
  <c r="BB31" i="73"/>
  <c r="BG31" i="73" s="1"/>
  <c r="AP31" i="73"/>
  <c r="AU31" i="73" s="1"/>
  <c r="AQ31" i="73"/>
  <c r="AS31" i="73" s="1"/>
  <c r="AY24" i="73"/>
  <c r="AW31" i="73"/>
  <c r="AY31" i="73" s="1"/>
  <c r="BA24" i="73"/>
  <c r="AV31" i="73"/>
  <c r="BA31" i="73" s="1"/>
  <c r="AO24" i="73"/>
  <c r="AJ31" i="73"/>
  <c r="AO31" i="73" s="1"/>
  <c r="AM24" i="73"/>
  <c r="AK31" i="73"/>
  <c r="AM31" i="73" s="1"/>
  <c r="AI24" i="73"/>
  <c r="AD31" i="73"/>
  <c r="AI31" i="73" s="1"/>
  <c r="AG24" i="73"/>
  <c r="AE31" i="73"/>
  <c r="AG31" i="73" s="1"/>
  <c r="AC24" i="73"/>
  <c r="X31" i="73"/>
  <c r="AC31" i="73" s="1"/>
  <c r="AA24" i="73"/>
  <c r="Y31" i="73"/>
  <c r="AA31" i="73" s="1"/>
  <c r="U24" i="73"/>
  <c r="S31" i="73"/>
  <c r="U31" i="73" s="1"/>
  <c r="O24" i="73"/>
  <c r="M31" i="73"/>
  <c r="O31" i="73" s="1"/>
  <c r="AC26" i="73"/>
  <c r="Q26" i="73"/>
  <c r="O26" i="73"/>
  <c r="AY26" i="73"/>
  <c r="AA26" i="73"/>
  <c r="AG26" i="73"/>
  <c r="AI26" i="73"/>
  <c r="AO26" i="73"/>
  <c r="AM26" i="73"/>
  <c r="BA26" i="73"/>
  <c r="BG26" i="73"/>
  <c r="U26" i="73"/>
  <c r="BM18" i="73"/>
  <c r="BE18" i="73"/>
  <c r="BS18" i="73"/>
  <c r="BY18" i="73"/>
  <c r="BK18" i="73"/>
  <c r="BW18" i="73"/>
  <c r="BG18" i="73"/>
  <c r="AO18" i="73"/>
  <c r="U18" i="73"/>
  <c r="AI18" i="73"/>
  <c r="AG18" i="73"/>
  <c r="AM18" i="73"/>
  <c r="Q18" i="73"/>
  <c r="BA18" i="73"/>
  <c r="AC18" i="73"/>
  <c r="AA18" i="73"/>
  <c r="O18" i="73"/>
  <c r="AY18" i="73"/>
  <c r="BM12" i="73"/>
  <c r="BH17" i="73"/>
  <c r="BM17" i="73" s="1"/>
  <c r="BS12" i="73"/>
  <c r="BN17" i="73"/>
  <c r="BS17" i="73" s="1"/>
  <c r="BW12" i="73"/>
  <c r="BU17" i="73"/>
  <c r="BW17" i="73" s="1"/>
  <c r="CQ11" i="73"/>
  <c r="BI17" i="73"/>
  <c r="BK17" i="73" s="1"/>
  <c r="BO17" i="73"/>
  <c r="BQ17" i="73" s="1"/>
  <c r="BY13" i="73"/>
  <c r="BT17" i="73"/>
  <c r="BY17" i="73" s="1"/>
  <c r="BE12" i="73"/>
  <c r="BC17" i="73"/>
  <c r="BE17" i="73" s="1"/>
  <c r="BG12" i="73"/>
  <c r="BB17" i="73"/>
  <c r="BG17" i="73" s="1"/>
  <c r="AP17" i="73"/>
  <c r="AU17" i="73" s="1"/>
  <c r="AQ17" i="73"/>
  <c r="AS17" i="73" s="1"/>
  <c r="BA12" i="73"/>
  <c r="AV17" i="73"/>
  <c r="BA17" i="73" s="1"/>
  <c r="AY12" i="73"/>
  <c r="AW17" i="73"/>
  <c r="AY17" i="73" s="1"/>
  <c r="AO12" i="73"/>
  <c r="AJ17" i="73"/>
  <c r="AO17" i="73" s="1"/>
  <c r="AM12" i="73"/>
  <c r="AK17" i="73"/>
  <c r="AM17" i="73" s="1"/>
  <c r="AD17" i="73"/>
  <c r="AI17" i="73" s="1"/>
  <c r="AE17" i="73"/>
  <c r="AG17" i="73" s="1"/>
  <c r="AC12" i="73"/>
  <c r="X17" i="73"/>
  <c r="AC17" i="73" s="1"/>
  <c r="Y17" i="73"/>
  <c r="AA17" i="73" s="1"/>
  <c r="R17" i="73"/>
  <c r="W17" i="73" s="1"/>
  <c r="U12" i="73"/>
  <c r="S17" i="73"/>
  <c r="U17" i="73" s="1"/>
  <c r="Q13" i="73"/>
  <c r="L17" i="73"/>
  <c r="Q17" i="73" s="1"/>
  <c r="O13" i="73"/>
  <c r="M17" i="73"/>
  <c r="O17" i="73" s="1"/>
  <c r="BE7" i="73"/>
  <c r="BM7" i="73"/>
  <c r="BY7" i="73"/>
  <c r="BS7" i="73"/>
  <c r="BW7" i="73"/>
  <c r="BK7" i="73"/>
  <c r="Q7" i="73"/>
  <c r="BA7" i="73"/>
  <c r="U7" i="73"/>
  <c r="AC7" i="73"/>
  <c r="O7" i="73"/>
  <c r="AI7" i="73"/>
  <c r="AY7" i="73"/>
  <c r="AG7" i="73"/>
  <c r="AA7" i="73"/>
  <c r="BG7" i="73"/>
  <c r="AO7" i="73"/>
  <c r="AM7" i="73"/>
  <c r="AD55" i="72"/>
  <c r="AP70" i="72"/>
  <c r="AD48" i="72"/>
  <c r="AD44" i="72"/>
  <c r="AF44" i="72"/>
  <c r="AI44" i="72"/>
  <c r="AK44" i="72"/>
  <c r="AO44" i="72"/>
  <c r="AQ44" i="72"/>
  <c r="AK37" i="72"/>
  <c r="AD37" i="72"/>
  <c r="AF37" i="72"/>
  <c r="AQ37" i="72"/>
  <c r="AO37" i="72"/>
  <c r="AI37" i="72"/>
  <c r="AQ31" i="72"/>
  <c r="AO31" i="72"/>
  <c r="AI31" i="72"/>
  <c r="AD31" i="72"/>
  <c r="AF31" i="72"/>
  <c r="AK31" i="72"/>
  <c r="AF23" i="72"/>
  <c r="AD23" i="72"/>
  <c r="AI23" i="72"/>
  <c r="AQ23" i="72"/>
  <c r="AK23" i="72"/>
  <c r="AO11" i="72"/>
  <c r="AD17" i="72"/>
  <c r="AO23" i="72"/>
  <c r="AF17" i="72"/>
  <c r="AK11" i="72"/>
  <c r="AI17" i="72"/>
  <c r="AK17" i="72"/>
  <c r="AO17" i="72"/>
  <c r="AQ17" i="72"/>
  <c r="AD11" i="72"/>
  <c r="AF11" i="72"/>
  <c r="AI11" i="72"/>
  <c r="AQ11" i="72"/>
  <c r="AA12" i="73"/>
  <c r="J12" i="77"/>
  <c r="P80" i="77"/>
  <c r="P79" i="77"/>
  <c r="N85" i="73"/>
  <c r="N86" i="73"/>
  <c r="BE22" i="73"/>
  <c r="W14" i="84" a="1"/>
  <c r="W14" i="84" s="1"/>
  <c r="BE59" i="73"/>
  <c r="BB22" i="77"/>
  <c r="X12" i="84" a="1"/>
  <c r="X12" i="84" s="1"/>
  <c r="W12" i="84" a="1"/>
  <c r="W12" i="84" s="1"/>
  <c r="V12" i="84" a="1"/>
  <c r="V12" i="84" s="1"/>
  <c r="AB16" i="75"/>
  <c r="AB26" i="75"/>
  <c r="AD34" i="74"/>
  <c r="DK28" i="73"/>
  <c r="AD62" i="74"/>
  <c r="AB25" i="75"/>
  <c r="AB24" i="75"/>
  <c r="AB10" i="75"/>
  <c r="AB14" i="75"/>
  <c r="AB15" i="75"/>
  <c r="DK7" i="73"/>
  <c r="DK47" i="73"/>
  <c r="DK30" i="73"/>
  <c r="DK21" i="73"/>
  <c r="DK43" i="73"/>
  <c r="AR65" i="72"/>
  <c r="AQ29" i="77"/>
  <c r="CB21" i="77"/>
  <c r="DL13" i="73"/>
  <c r="DL20" i="73"/>
  <c r="DL46" i="73"/>
  <c r="DL52" i="73"/>
  <c r="DL54" i="73"/>
  <c r="DL7" i="73"/>
  <c r="DL21" i="73"/>
  <c r="DL43" i="73"/>
  <c r="DL66" i="73"/>
  <c r="DL15" i="73"/>
  <c r="DL10" i="73"/>
  <c r="DL28" i="73"/>
  <c r="DL30" i="73"/>
  <c r="AJ14" i="77"/>
  <c r="AJ56" i="76"/>
  <c r="AP55" i="76"/>
  <c r="AR38" i="72"/>
  <c r="AW64" i="72"/>
  <c r="AM64" i="72"/>
  <c r="AR59" i="72"/>
  <c r="AR16" i="72"/>
  <c r="DK15" i="73"/>
  <c r="DK10" i="73"/>
  <c r="DK52" i="73"/>
  <c r="DK54" i="73"/>
  <c r="DK39" i="73"/>
  <c r="DK49" i="73"/>
  <c r="DK57" i="73"/>
  <c r="H59" i="77"/>
  <c r="AC9" i="77"/>
  <c r="BB12" i="77"/>
  <c r="DN12" i="77"/>
  <c r="BB19" i="77"/>
  <c r="DN19" i="77"/>
  <c r="DK18" i="73"/>
  <c r="DK19" i="73"/>
  <c r="DL32" i="73"/>
  <c r="DL33" i="73"/>
  <c r="DK63" i="73"/>
  <c r="DK60" i="73"/>
  <c r="DL18" i="73"/>
  <c r="DL19" i="73"/>
  <c r="DK9" i="73"/>
  <c r="DK16" i="73"/>
  <c r="DL42" i="73"/>
  <c r="DK53" i="73"/>
  <c r="DL63" i="73"/>
  <c r="DL60" i="73"/>
  <c r="I56" i="73"/>
  <c r="DL56" i="73"/>
  <c r="K25" i="73"/>
  <c r="DK25" i="73"/>
  <c r="DL64" i="73"/>
  <c r="DL49" i="73"/>
  <c r="K42" i="73"/>
  <c r="DK42" i="73"/>
  <c r="I59" i="73"/>
  <c r="DL59" i="73"/>
  <c r="DK34" i="73"/>
  <c r="I57" i="73"/>
  <c r="DL57" i="73"/>
  <c r="DL22" i="73"/>
  <c r="DK14" i="73"/>
  <c r="K8" i="73"/>
  <c r="DK8" i="73"/>
  <c r="I26" i="73"/>
  <c r="DL26" i="73"/>
  <c r="DL34" i="73"/>
  <c r="DL36" i="73"/>
  <c r="DK41" i="73"/>
  <c r="K62" i="73"/>
  <c r="DK62" i="73"/>
  <c r="DK65" i="73"/>
  <c r="DK67" i="73"/>
  <c r="I25" i="73"/>
  <c r="DL25" i="73"/>
  <c r="K59" i="73"/>
  <c r="DK59" i="73"/>
  <c r="I47" i="73"/>
  <c r="DL47" i="73"/>
  <c r="K22" i="73"/>
  <c r="DK22" i="73"/>
  <c r="K26" i="73"/>
  <c r="DK26" i="73"/>
  <c r="DK36" i="73"/>
  <c r="DL39" i="73"/>
  <c r="DK12" i="73"/>
  <c r="DL14" i="73"/>
  <c r="DL8" i="73"/>
  <c r="DK38" i="73"/>
  <c r="DK40" i="73"/>
  <c r="DL41" i="73"/>
  <c r="DK58" i="73"/>
  <c r="DL62" i="73"/>
  <c r="I65" i="73"/>
  <c r="DL65" i="73"/>
  <c r="I67" i="73"/>
  <c r="DL67" i="73"/>
  <c r="I50" i="73"/>
  <c r="DL50" i="73"/>
  <c r="DL12" i="73"/>
  <c r="DK32" i="73"/>
  <c r="K33" i="73"/>
  <c r="DK33" i="73"/>
  <c r="DK35" i="73"/>
  <c r="DL38" i="73"/>
  <c r="I40" i="73"/>
  <c r="DL40" i="73"/>
  <c r="DK50" i="73"/>
  <c r="DL58" i="73"/>
  <c r="K51" i="73"/>
  <c r="DK51" i="73"/>
  <c r="DK29" i="73"/>
  <c r="DL9" i="73"/>
  <c r="DL16" i="73"/>
  <c r="DL51" i="73"/>
  <c r="I53" i="73"/>
  <c r="DL53" i="73"/>
  <c r="I35" i="73"/>
  <c r="DL35" i="73"/>
  <c r="DK24" i="73"/>
  <c r="DK27" i="73"/>
  <c r="DK13" i="73"/>
  <c r="DK20" i="73"/>
  <c r="DL24" i="73"/>
  <c r="DL27" i="73"/>
  <c r="DL29" i="73"/>
  <c r="DK46" i="73"/>
  <c r="K56" i="73"/>
  <c r="DK56" i="73"/>
  <c r="DK64" i="73"/>
  <c r="K66" i="73"/>
  <c r="DK66" i="73"/>
  <c r="H89" i="73"/>
  <c r="CL67" i="73"/>
  <c r="CZ67" i="73"/>
  <c r="CL66" i="73"/>
  <c r="CZ66" i="73"/>
  <c r="CZ60" i="73"/>
  <c r="CL60" i="73"/>
  <c r="CZ65" i="73"/>
  <c r="CL65" i="73"/>
  <c r="CL59" i="73"/>
  <c r="CZ59" i="73"/>
  <c r="CZ64" i="73"/>
  <c r="CL64" i="73"/>
  <c r="CL63" i="73"/>
  <c r="CZ63" i="73"/>
  <c r="V68" i="73"/>
  <c r="CL68" i="73" s="1"/>
  <c r="CZ62" i="73"/>
  <c r="CL62" i="73"/>
  <c r="CZ22" i="73"/>
  <c r="CL22" i="73"/>
  <c r="CL54" i="73"/>
  <c r="CZ54" i="73"/>
  <c r="CZ53" i="73"/>
  <c r="CL53" i="73"/>
  <c r="CL58" i="73"/>
  <c r="CZ58" i="73"/>
  <c r="CZ57" i="73"/>
  <c r="CL57" i="73"/>
  <c r="CZ52" i="73"/>
  <c r="CL52" i="73"/>
  <c r="CZ51" i="73"/>
  <c r="CL51" i="73"/>
  <c r="CZ50" i="73"/>
  <c r="CL50" i="73"/>
  <c r="CZ43" i="73"/>
  <c r="CL43" i="73"/>
  <c r="CZ56" i="73"/>
  <c r="CL56" i="73"/>
  <c r="CL42" i="73"/>
  <c r="CZ42" i="73"/>
  <c r="CZ41" i="73"/>
  <c r="CL41" i="73"/>
  <c r="CL47" i="73"/>
  <c r="CZ47" i="73"/>
  <c r="CZ46" i="73"/>
  <c r="CL46" i="73"/>
  <c r="CZ49" i="73"/>
  <c r="CL49" i="73"/>
  <c r="CL10" i="73"/>
  <c r="CZ10" i="73"/>
  <c r="CZ16" i="73"/>
  <c r="CL16" i="73"/>
  <c r="CL40" i="73"/>
  <c r="CZ40" i="73"/>
  <c r="CZ39" i="73"/>
  <c r="CL39" i="73"/>
  <c r="CZ15" i="73"/>
  <c r="CL15" i="73"/>
  <c r="CL9" i="73"/>
  <c r="CZ9" i="73"/>
  <c r="CZ38" i="73"/>
  <c r="CL38" i="73"/>
  <c r="CZ36" i="73"/>
  <c r="CL36" i="73"/>
  <c r="CZ30" i="73"/>
  <c r="CL30" i="73"/>
  <c r="CL29" i="73"/>
  <c r="CZ29" i="73"/>
  <c r="CL35" i="73"/>
  <c r="CZ35" i="73"/>
  <c r="CZ34" i="73"/>
  <c r="CL34" i="73"/>
  <c r="CL28" i="73"/>
  <c r="CZ28" i="73"/>
  <c r="CZ27" i="73"/>
  <c r="CL27" i="73"/>
  <c r="CZ33" i="73"/>
  <c r="CL33" i="73"/>
  <c r="CL26" i="73"/>
  <c r="CZ26" i="73"/>
  <c r="CZ25" i="73"/>
  <c r="CL25" i="73"/>
  <c r="CL24" i="73"/>
  <c r="CZ24" i="73"/>
  <c r="CZ32" i="73"/>
  <c r="CL32" i="73"/>
  <c r="CZ8" i="73"/>
  <c r="CL8" i="73"/>
  <c r="CL21" i="73"/>
  <c r="CZ21" i="73"/>
  <c r="CZ20" i="73"/>
  <c r="CL20" i="73"/>
  <c r="CL19" i="73"/>
  <c r="CZ19" i="73"/>
  <c r="CZ14" i="73"/>
  <c r="CL14" i="73"/>
  <c r="CZ7" i="73"/>
  <c r="CL7" i="73"/>
  <c r="CZ13" i="73"/>
  <c r="CL13" i="73"/>
  <c r="CL18" i="73"/>
  <c r="CZ18" i="73"/>
  <c r="CL12" i="73"/>
  <c r="CZ12" i="73"/>
  <c r="W21" i="73"/>
  <c r="W26" i="73"/>
  <c r="W59" i="73"/>
  <c r="W35" i="73"/>
  <c r="W9" i="73"/>
  <c r="W67" i="73"/>
  <c r="W10" i="73"/>
  <c r="W58" i="73"/>
  <c r="W63" i="73"/>
  <c r="W40" i="73"/>
  <c r="W52" i="73"/>
  <c r="W8" i="73"/>
  <c r="W33" i="73"/>
  <c r="W56" i="73"/>
  <c r="W22" i="73"/>
  <c r="W65" i="73"/>
  <c r="W18" i="73"/>
  <c r="W29" i="73"/>
  <c r="W15" i="73"/>
  <c r="W42" i="73"/>
  <c r="W54" i="73"/>
  <c r="W12" i="73"/>
  <c r="W19" i="73"/>
  <c r="W24" i="73"/>
  <c r="W47" i="73"/>
  <c r="W28" i="73"/>
  <c r="W7" i="73"/>
  <c r="W36" i="73"/>
  <c r="W49" i="73"/>
  <c r="W41" i="73"/>
  <c r="W53" i="73"/>
  <c r="W64" i="73"/>
  <c r="W20" i="73"/>
  <c r="W34" i="73"/>
  <c r="W14" i="73"/>
  <c r="W32" i="73"/>
  <c r="W16" i="73"/>
  <c r="W46" i="73"/>
  <c r="W57" i="73"/>
  <c r="W62" i="73"/>
  <c r="W27" i="73"/>
  <c r="W43" i="73"/>
  <c r="W60" i="73"/>
  <c r="W13" i="73"/>
  <c r="W30" i="73"/>
  <c r="W39" i="73"/>
  <c r="V54" i="77"/>
  <c r="AC11" i="75"/>
  <c r="AF12" i="75"/>
  <c r="AC15" i="75"/>
  <c r="AF16" i="75"/>
  <c r="AF20" i="75"/>
  <c r="AF22" i="75"/>
  <c r="AF23" i="75"/>
  <c r="AC24" i="75"/>
  <c r="AC25" i="75"/>
  <c r="AC26" i="75"/>
  <c r="AC27" i="75"/>
  <c r="AF28" i="75"/>
  <c r="AF29" i="75"/>
  <c r="AF10" i="75"/>
  <c r="AF5" i="75"/>
  <c r="AF6" i="75"/>
  <c r="AF8" i="75"/>
  <c r="AC10" i="75"/>
  <c r="AL63" i="70"/>
  <c r="AO51" i="70"/>
  <c r="AO44" i="70"/>
  <c r="AO50" i="70"/>
  <c r="AO41" i="70"/>
  <c r="AJ60" i="76"/>
  <c r="AT68" i="72"/>
  <c r="AR28" i="72"/>
  <c r="AR27" i="72"/>
  <c r="AR36" i="72"/>
  <c r="AR40" i="72"/>
  <c r="AF15" i="75"/>
  <c r="AJ59" i="77"/>
  <c r="CA52" i="73"/>
  <c r="AJ7" i="77"/>
  <c r="AJ60" i="77"/>
  <c r="AC46" i="77"/>
  <c r="AJ61" i="77"/>
  <c r="H40" i="77"/>
  <c r="DB62" i="73"/>
  <c r="DH62" i="73" s="1"/>
  <c r="DC62" i="73"/>
  <c r="AL61" i="70"/>
  <c r="AL58" i="70"/>
  <c r="AU33" i="73"/>
  <c r="DB33" i="73"/>
  <c r="DH33" i="73" s="1"/>
  <c r="AS10" i="73"/>
  <c r="DC10" i="73"/>
  <c r="AU14" i="73"/>
  <c r="DB14" i="73"/>
  <c r="DH14" i="73" s="1"/>
  <c r="AS14" i="73"/>
  <c r="DC14" i="73"/>
  <c r="AU15" i="73"/>
  <c r="DB15" i="73"/>
  <c r="DH15" i="73" s="1"/>
  <c r="AU13" i="73"/>
  <c r="DB13" i="73"/>
  <c r="DH13" i="73" s="1"/>
  <c r="AS34" i="73"/>
  <c r="DC34" i="73"/>
  <c r="AU56" i="73"/>
  <c r="DB56" i="73"/>
  <c r="DH56" i="73" s="1"/>
  <c r="AS38" i="73"/>
  <c r="DC38" i="73"/>
  <c r="AU16" i="73"/>
  <c r="DB16" i="73"/>
  <c r="DH16" i="73" s="1"/>
  <c r="AU22" i="73"/>
  <c r="DB22" i="73"/>
  <c r="AU12" i="73"/>
  <c r="DB12" i="73"/>
  <c r="AS30" i="73"/>
  <c r="DC30" i="73"/>
  <c r="AS16" i="73"/>
  <c r="DC16" i="73"/>
  <c r="AS41" i="73"/>
  <c r="DC41" i="73"/>
  <c r="AS22" i="73"/>
  <c r="DC22" i="73"/>
  <c r="AS66" i="73"/>
  <c r="DC66" i="73"/>
  <c r="AS18" i="73"/>
  <c r="DC18" i="73"/>
  <c r="AU20" i="73"/>
  <c r="DB20" i="73"/>
  <c r="DH20" i="73" s="1"/>
  <c r="AS42" i="73"/>
  <c r="DC42" i="73"/>
  <c r="AU40" i="73"/>
  <c r="DB40" i="73"/>
  <c r="DH40" i="73" s="1"/>
  <c r="AU60" i="73"/>
  <c r="DB60" i="73"/>
  <c r="DH60" i="73" s="1"/>
  <c r="AS40" i="73"/>
  <c r="DC40" i="73"/>
  <c r="AS60" i="73"/>
  <c r="DC60" i="73"/>
  <c r="AU32" i="73"/>
  <c r="DB32" i="73"/>
  <c r="AU49" i="73"/>
  <c r="DB49" i="73"/>
  <c r="DH49" i="73" s="1"/>
  <c r="AS58" i="73"/>
  <c r="DC58" i="73"/>
  <c r="AS59" i="73"/>
  <c r="DC59" i="73"/>
  <c r="AU67" i="73"/>
  <c r="DB67" i="73"/>
  <c r="DH67" i="73" s="1"/>
  <c r="AS13" i="73"/>
  <c r="DC13" i="73"/>
  <c r="AU21" i="73"/>
  <c r="DB21" i="73"/>
  <c r="DH21" i="73" s="1"/>
  <c r="DC32" i="73"/>
  <c r="AU38" i="73"/>
  <c r="DB38" i="73"/>
  <c r="AS56" i="73"/>
  <c r="DC56" i="73"/>
  <c r="AU63" i="73"/>
  <c r="DB63" i="73"/>
  <c r="DH63" i="73" s="1"/>
  <c r="AS67" i="73"/>
  <c r="DC67" i="73"/>
  <c r="AS27" i="73"/>
  <c r="DC27" i="73"/>
  <c r="AU30" i="73"/>
  <c r="DB30" i="73"/>
  <c r="AU41" i="73"/>
  <c r="DB41" i="73"/>
  <c r="DH41" i="73" s="1"/>
  <c r="AS52" i="73"/>
  <c r="DC52" i="73"/>
  <c r="AS63" i="73"/>
  <c r="DC63" i="73"/>
  <c r="AU66" i="73"/>
  <c r="DB66" i="73"/>
  <c r="DH66" i="73" s="1"/>
  <c r="AU19" i="73"/>
  <c r="DB19" i="73"/>
  <c r="DH19" i="73" s="1"/>
  <c r="AU26" i="73"/>
  <c r="DB26" i="73"/>
  <c r="AS12" i="73"/>
  <c r="DC12" i="73"/>
  <c r="AS19" i="73"/>
  <c r="DC19" i="73"/>
  <c r="AS26" i="73"/>
  <c r="DC26" i="73"/>
  <c r="AU35" i="73"/>
  <c r="DB35" i="73"/>
  <c r="AU39" i="73"/>
  <c r="DB39" i="73"/>
  <c r="DH39" i="73" s="1"/>
  <c r="AU46" i="73"/>
  <c r="DB46" i="73"/>
  <c r="DH46" i="73" s="1"/>
  <c r="AU50" i="73"/>
  <c r="DB50" i="73"/>
  <c r="AU53" i="73"/>
  <c r="DB53" i="73"/>
  <c r="DH53" i="73" s="1"/>
  <c r="AU65" i="73"/>
  <c r="DB65" i="73"/>
  <c r="DH65" i="73" s="1"/>
  <c r="AS20" i="73"/>
  <c r="DC20" i="73"/>
  <c r="AS51" i="73"/>
  <c r="DC51" i="73"/>
  <c r="AU54" i="73"/>
  <c r="DB54" i="73"/>
  <c r="DH54" i="73" s="1"/>
  <c r="AS29" i="73"/>
  <c r="DC29" i="73"/>
  <c r="AS54" i="73"/>
  <c r="DC54" i="73"/>
  <c r="AU59" i="73"/>
  <c r="DB59" i="73"/>
  <c r="DH59" i="73" s="1"/>
  <c r="AU27" i="73"/>
  <c r="DB27" i="73"/>
  <c r="DH27" i="73" s="1"/>
  <c r="AS21" i="73"/>
  <c r="DC21" i="73"/>
  <c r="AU7" i="73"/>
  <c r="DB7" i="73"/>
  <c r="AU24" i="73"/>
  <c r="DB24" i="73"/>
  <c r="DH24" i="73" s="1"/>
  <c r="AS35" i="73"/>
  <c r="DC35" i="73"/>
  <c r="AS39" i="73"/>
  <c r="DC39" i="73"/>
  <c r="AS46" i="73"/>
  <c r="DC46" i="73"/>
  <c r="AU43" i="73"/>
  <c r="DB43" i="73"/>
  <c r="DH43" i="73" s="1"/>
  <c r="AS50" i="73"/>
  <c r="DC50" i="73"/>
  <c r="AS53" i="73"/>
  <c r="DC53" i="73"/>
  <c r="AS65" i="73"/>
  <c r="DC65" i="73"/>
  <c r="AS49" i="73"/>
  <c r="DC49" i="73"/>
  <c r="AU52" i="73"/>
  <c r="DB52" i="73"/>
  <c r="DH52" i="73" s="1"/>
  <c r="AS7" i="73"/>
  <c r="DC7" i="73"/>
  <c r="AU8" i="73"/>
  <c r="DB8" i="73"/>
  <c r="DH8" i="73" s="1"/>
  <c r="AS24" i="73"/>
  <c r="DC24" i="73"/>
  <c r="AU28" i="73"/>
  <c r="DB28" i="73"/>
  <c r="DH28" i="73" s="1"/>
  <c r="AU9" i="73"/>
  <c r="DB9" i="73"/>
  <c r="AS43" i="73"/>
  <c r="DC43" i="73"/>
  <c r="AU57" i="73"/>
  <c r="DB57" i="73"/>
  <c r="DH57" i="73" s="1"/>
  <c r="AU64" i="73"/>
  <c r="DB64" i="73"/>
  <c r="DH64" i="73" s="1"/>
  <c r="AS36" i="73"/>
  <c r="DC36" i="73"/>
  <c r="AU51" i="73"/>
  <c r="DB51" i="73"/>
  <c r="DH51" i="73" s="1"/>
  <c r="AS33" i="73"/>
  <c r="DC33" i="73"/>
  <c r="AU29" i="73"/>
  <c r="DB29" i="73"/>
  <c r="DH29" i="73" s="1"/>
  <c r="AU47" i="73"/>
  <c r="DB47" i="73"/>
  <c r="DH47" i="73" s="1"/>
  <c r="AU25" i="73"/>
  <c r="DB25" i="73"/>
  <c r="DH25" i="73" s="1"/>
  <c r="AS47" i="73"/>
  <c r="DC47" i="73"/>
  <c r="AS25" i="73"/>
  <c r="DC25" i="73"/>
  <c r="AU34" i="73"/>
  <c r="DB34" i="73"/>
  <c r="DH34" i="73" s="1"/>
  <c r="AU58" i="73"/>
  <c r="DB58" i="73"/>
  <c r="DH58" i="73" s="1"/>
  <c r="AS15" i="73"/>
  <c r="DC15" i="73"/>
  <c r="AU18" i="73"/>
  <c r="DB18" i="73"/>
  <c r="AS8" i="73"/>
  <c r="DC8" i="73"/>
  <c r="AS28" i="73"/>
  <c r="DC28" i="73"/>
  <c r="AU36" i="73"/>
  <c r="DB36" i="73"/>
  <c r="AS9" i="73"/>
  <c r="DC9" i="73"/>
  <c r="AU10" i="73"/>
  <c r="DB10" i="73"/>
  <c r="AU42" i="73"/>
  <c r="DB42" i="73"/>
  <c r="DH42" i="73" s="1"/>
  <c r="AS57" i="73"/>
  <c r="DC57" i="73"/>
  <c r="AS64" i="73"/>
  <c r="DC64" i="73"/>
  <c r="DN46" i="77"/>
  <c r="BE14" i="77"/>
  <c r="AX56" i="77"/>
  <c r="AI24" i="75"/>
  <c r="AI25" i="75"/>
  <c r="AX46" i="77"/>
  <c r="BU16" i="77"/>
  <c r="H63" i="77"/>
  <c r="AJ19" i="77"/>
  <c r="H26" i="77"/>
  <c r="AJ41" i="77"/>
  <c r="BU22" i="77"/>
  <c r="BU10" i="77"/>
  <c r="BU25" i="77"/>
  <c r="AL13" i="77"/>
  <c r="AC60" i="77"/>
  <c r="CA41" i="73"/>
  <c r="CA22" i="73"/>
  <c r="CA12" i="73"/>
  <c r="AI22" i="75"/>
  <c r="AI23" i="75"/>
  <c r="AF25" i="75"/>
  <c r="AI26" i="75"/>
  <c r="AF27" i="75"/>
  <c r="CA13" i="73"/>
  <c r="CA32" i="73"/>
  <c r="CA49" i="73"/>
  <c r="CA33" i="73"/>
  <c r="CA62" i="73"/>
  <c r="CA8" i="73"/>
  <c r="CA28" i="73"/>
  <c r="CA9" i="73"/>
  <c r="CA39" i="73"/>
  <c r="AF6" i="71"/>
  <c r="AC7" i="71"/>
  <c r="AC8" i="71"/>
  <c r="AC9" i="71"/>
  <c r="AC10" i="71"/>
  <c r="AC11" i="71"/>
  <c r="AF12" i="71"/>
  <c r="AF15" i="71"/>
  <c r="AF16" i="71"/>
  <c r="AF17" i="71"/>
  <c r="AF18" i="71"/>
  <c r="AC20" i="71"/>
  <c r="AF21" i="71"/>
  <c r="AF22" i="71"/>
  <c r="AF23" i="71"/>
  <c r="AC25" i="71"/>
  <c r="AF26" i="71"/>
  <c r="AF27" i="71"/>
  <c r="AF28" i="71"/>
  <c r="AF30" i="71"/>
  <c r="AF31" i="71"/>
  <c r="AF32" i="71"/>
  <c r="AC33" i="71"/>
  <c r="CA29" i="73"/>
  <c r="CA60" i="73"/>
  <c r="DC42" i="77"/>
  <c r="DC45" i="77" s="1"/>
  <c r="BZ57" i="73"/>
  <c r="CL34" i="77"/>
  <c r="AD40" i="74"/>
  <c r="L54" i="77"/>
  <c r="AB5" i="71"/>
  <c r="AB10" i="71"/>
  <c r="AB15" i="71"/>
  <c r="AB17" i="71"/>
  <c r="AB22" i="71"/>
  <c r="AB25" i="71"/>
  <c r="AB26" i="71"/>
  <c r="AB27" i="71"/>
  <c r="AB31" i="71"/>
  <c r="AB6" i="71"/>
  <c r="AB9" i="71"/>
  <c r="AB11" i="71"/>
  <c r="AB16" i="71"/>
  <c r="AB21" i="71"/>
  <c r="AB30" i="71"/>
  <c r="BZ21" i="73"/>
  <c r="BZ46" i="73"/>
  <c r="Q22" i="73"/>
  <c r="BZ20" i="73"/>
  <c r="BZ47" i="73"/>
  <c r="BZ43" i="73"/>
  <c r="BZ67" i="73"/>
  <c r="AP58" i="76"/>
  <c r="AR53" i="72"/>
  <c r="AR57" i="72"/>
  <c r="AR52" i="72"/>
  <c r="AR63" i="72"/>
  <c r="AR62" i="72"/>
  <c r="AR50" i="72"/>
  <c r="AR58" i="72"/>
  <c r="AR22" i="72"/>
  <c r="AR9" i="72"/>
  <c r="AR39" i="72"/>
  <c r="AR35" i="72"/>
  <c r="AR24" i="72"/>
  <c r="AR34" i="72"/>
  <c r="AR14" i="72"/>
  <c r="AR19" i="72"/>
  <c r="AR18" i="72"/>
  <c r="AR7" i="72"/>
  <c r="AM65" i="72"/>
  <c r="AM63" i="72"/>
  <c r="AW66" i="72"/>
  <c r="AW59" i="72"/>
  <c r="AW65" i="72"/>
  <c r="AM67" i="72"/>
  <c r="AR67" i="72"/>
  <c r="AW67" i="72"/>
  <c r="AW62" i="72"/>
  <c r="AR66" i="72"/>
  <c r="AW63" i="72"/>
  <c r="AQ68" i="72"/>
  <c r="AM22" i="72"/>
  <c r="AM54" i="72"/>
  <c r="AW54" i="72"/>
  <c r="AM57" i="72"/>
  <c r="AM58" i="72"/>
  <c r="AM53" i="72"/>
  <c r="AW53" i="72"/>
  <c r="AW58" i="72"/>
  <c r="AW57" i="72"/>
  <c r="AW52" i="72"/>
  <c r="AR51" i="72"/>
  <c r="AM50" i="72"/>
  <c r="AW50" i="72"/>
  <c r="AW9" i="72"/>
  <c r="AW10" i="72"/>
  <c r="AW47" i="72"/>
  <c r="AW41" i="72"/>
  <c r="AW42" i="72"/>
  <c r="AW56" i="72"/>
  <c r="AW43" i="72"/>
  <c r="AR43" i="72"/>
  <c r="AM43" i="72"/>
  <c r="AR56" i="72"/>
  <c r="AM56" i="72"/>
  <c r="AM42" i="72"/>
  <c r="AR41" i="72"/>
  <c r="AM47" i="72"/>
  <c r="AM46" i="72"/>
  <c r="AW49" i="72"/>
  <c r="AR45" i="72"/>
  <c r="AW15" i="72"/>
  <c r="AM45" i="72"/>
  <c r="AM49" i="72"/>
  <c r="AR10" i="72"/>
  <c r="AM10" i="72"/>
  <c r="AM16" i="72"/>
  <c r="AM39" i="72"/>
  <c r="AR15" i="72"/>
  <c r="AM13" i="72"/>
  <c r="AM32" i="72"/>
  <c r="AM25" i="72"/>
  <c r="AM33" i="72"/>
  <c r="AM27" i="72"/>
  <c r="AM34" i="72"/>
  <c r="AM35" i="72"/>
  <c r="AM30" i="72"/>
  <c r="AM36" i="72"/>
  <c r="AM9" i="72"/>
  <c r="AM15" i="72"/>
  <c r="AM24" i="72"/>
  <c r="AW38" i="72"/>
  <c r="AW36" i="72"/>
  <c r="AW30" i="72"/>
  <c r="AW29" i="72"/>
  <c r="AW35" i="72"/>
  <c r="AW28" i="72"/>
  <c r="AW27" i="72"/>
  <c r="AW26" i="72"/>
  <c r="AW25" i="72"/>
  <c r="AW32" i="72"/>
  <c r="AM21" i="72"/>
  <c r="AW21" i="72"/>
  <c r="AW8" i="72"/>
  <c r="AM20" i="72"/>
  <c r="AW20" i="72"/>
  <c r="AM14" i="72"/>
  <c r="AM19" i="72"/>
  <c r="AW14" i="72"/>
  <c r="AW13" i="72"/>
  <c r="AW12" i="72"/>
  <c r="AW18" i="72"/>
  <c r="AR13" i="72"/>
  <c r="AM66" i="72"/>
  <c r="AJ68" i="72"/>
  <c r="AM59" i="72"/>
  <c r="AM62" i="72"/>
  <c r="AW22" i="72"/>
  <c r="AM52" i="72"/>
  <c r="AM41" i="72"/>
  <c r="AW46" i="72"/>
  <c r="AW45" i="72"/>
  <c r="AW16" i="72"/>
  <c r="AM40" i="72"/>
  <c r="AW40" i="72"/>
  <c r="AR30" i="72"/>
  <c r="AM29" i="72"/>
  <c r="AW34" i="72"/>
  <c r="AW33" i="72"/>
  <c r="AM28" i="72"/>
  <c r="AR33" i="72"/>
  <c r="AM26" i="72"/>
  <c r="AR25" i="72"/>
  <c r="AW24" i="72"/>
  <c r="AR8" i="72"/>
  <c r="AR21" i="72"/>
  <c r="AR20" i="72"/>
  <c r="AW19" i="72"/>
  <c r="AM12" i="72"/>
  <c r="AD68" i="72"/>
  <c r="AF68" i="72"/>
  <c r="V43" i="77"/>
  <c r="CM35" i="77"/>
  <c r="AH62" i="74"/>
  <c r="CM54" i="77"/>
  <c r="AH40" i="74"/>
  <c r="AE34" i="74"/>
  <c r="O41" i="77"/>
  <c r="CM53" i="77"/>
  <c r="CM40" i="77"/>
  <c r="CM48" i="77"/>
  <c r="CM62" i="77"/>
  <c r="CM28" i="77"/>
  <c r="CM19" i="77"/>
  <c r="O52" i="77"/>
  <c r="N42" i="77"/>
  <c r="N66" i="77" s="1"/>
  <c r="CM39" i="77"/>
  <c r="DA46" i="77"/>
  <c r="DD46" i="77" s="1"/>
  <c r="O10" i="77"/>
  <c r="CM12" i="77"/>
  <c r="O8" i="77"/>
  <c r="CM55" i="77"/>
  <c r="CM13" i="77"/>
  <c r="CM27" i="77"/>
  <c r="AF65" i="70"/>
  <c r="AL64" i="70"/>
  <c r="AL60" i="70"/>
  <c r="AF62" i="70"/>
  <c r="AL57" i="70"/>
  <c r="AF61" i="70"/>
  <c r="AL62" i="70"/>
  <c r="AL24" i="70"/>
  <c r="AL26" i="70"/>
  <c r="AL27" i="70"/>
  <c r="AO20" i="70"/>
  <c r="AO52" i="70"/>
  <c r="AO56" i="70"/>
  <c r="AO43" i="70"/>
  <c r="AO54" i="70"/>
  <c r="AO48" i="70"/>
  <c r="AO55" i="70"/>
  <c r="AL50" i="70"/>
  <c r="AL40" i="70"/>
  <c r="AO49" i="70"/>
  <c r="AO45" i="70"/>
  <c r="AI45" i="70"/>
  <c r="AO39" i="70"/>
  <c r="AI54" i="70"/>
  <c r="AO40" i="70"/>
  <c r="AF39" i="70"/>
  <c r="AI43" i="70"/>
  <c r="AI23" i="70"/>
  <c r="AI34" i="70"/>
  <c r="AI13" i="70"/>
  <c r="AI14" i="70"/>
  <c r="AL28" i="70"/>
  <c r="AO18" i="70"/>
  <c r="AI8" i="70"/>
  <c r="AO14" i="70"/>
  <c r="AF10" i="70"/>
  <c r="AF18" i="70"/>
  <c r="AL22" i="70"/>
  <c r="AI37" i="70"/>
  <c r="AI36" i="70"/>
  <c r="AL34" i="70"/>
  <c r="AL33" i="70"/>
  <c r="AI28" i="70"/>
  <c r="AL31" i="70"/>
  <c r="AL32" i="70"/>
  <c r="AO33" i="70"/>
  <c r="AO32" i="70"/>
  <c r="AL25" i="70"/>
  <c r="AO25" i="70"/>
  <c r="AL23" i="70"/>
  <c r="AL30" i="70"/>
  <c r="AI18" i="70"/>
  <c r="AI10" i="70"/>
  <c r="AO16" i="70"/>
  <c r="AI5" i="70"/>
  <c r="AI7" i="70"/>
  <c r="AI38" i="70"/>
  <c r="AI47" i="70"/>
  <c r="AF44" i="70"/>
  <c r="AF41" i="70"/>
  <c r="AI11" i="70"/>
  <c r="AI17" i="70"/>
  <c r="AI44" i="70"/>
  <c r="AI41" i="70"/>
  <c r="AF16" i="70"/>
  <c r="AI16" i="70"/>
  <c r="AI12" i="70"/>
  <c r="AI19" i="70"/>
  <c r="AF49" i="70"/>
  <c r="AF20" i="70"/>
  <c r="CL18" i="77"/>
  <c r="CL58" i="77"/>
  <c r="CL39" i="77"/>
  <c r="CL52" i="77"/>
  <c r="CL29" i="77"/>
  <c r="CL55" i="77"/>
  <c r="CL20" i="77"/>
  <c r="CL16" i="77"/>
  <c r="CL48" i="77"/>
  <c r="CL62" i="77"/>
  <c r="CL15" i="77"/>
  <c r="CL13" i="77"/>
  <c r="CL12" i="77"/>
  <c r="CL27" i="77"/>
  <c r="L44" i="77"/>
  <c r="K64" i="73"/>
  <c r="DC64" i="77"/>
  <c r="DN33" i="77"/>
  <c r="DT33" i="77" s="1"/>
  <c r="DN37" i="77"/>
  <c r="BE12" i="77"/>
  <c r="BP14" i="77"/>
  <c r="DN14" i="77"/>
  <c r="BP20" i="77"/>
  <c r="DN20" i="77"/>
  <c r="DN8" i="77"/>
  <c r="BP25" i="77"/>
  <c r="DN25" i="77"/>
  <c r="BP13" i="77"/>
  <c r="DN13" i="77"/>
  <c r="BL8" i="77"/>
  <c r="BP10" i="77"/>
  <c r="DN10" i="77"/>
  <c r="BP44" i="77"/>
  <c r="DN44" i="77"/>
  <c r="BP40" i="77"/>
  <c r="DN40" i="77"/>
  <c r="BP59" i="77"/>
  <c r="DN59" i="77"/>
  <c r="BP41" i="77"/>
  <c r="DN41" i="77"/>
  <c r="BP62" i="77"/>
  <c r="DN62" i="77"/>
  <c r="BP48" i="77"/>
  <c r="DN48" i="77"/>
  <c r="BP29" i="77"/>
  <c r="DN29" i="77"/>
  <c r="BP61" i="77"/>
  <c r="DN61" i="77"/>
  <c r="BP26" i="77"/>
  <c r="DN26" i="77"/>
  <c r="BP33" i="77"/>
  <c r="BP60" i="77"/>
  <c r="DN60" i="77"/>
  <c r="BP22" i="77"/>
  <c r="DN22" i="77"/>
  <c r="BP15" i="77"/>
  <c r="DN15" i="77"/>
  <c r="BP54" i="77"/>
  <c r="DN54" i="77"/>
  <c r="BL33" i="77"/>
  <c r="BP21" i="77"/>
  <c r="DN21" i="77"/>
  <c r="BP18" i="77"/>
  <c r="DN18" i="77"/>
  <c r="DN7" i="77"/>
  <c r="BP19" i="77"/>
  <c r="DN31" i="77"/>
  <c r="BP39" i="77"/>
  <c r="DN39" i="77"/>
  <c r="DN52" i="77"/>
  <c r="BP63" i="77"/>
  <c r="DN63" i="77"/>
  <c r="BP16" i="77"/>
  <c r="DN16" i="77"/>
  <c r="DN43" i="77"/>
  <c r="BP58" i="77"/>
  <c r="DN58" i="77"/>
  <c r="BP7" i="77"/>
  <c r="BP28" i="77"/>
  <c r="DN28" i="77"/>
  <c r="BP52" i="77"/>
  <c r="BP47" i="77"/>
  <c r="DN47" i="77"/>
  <c r="BP53" i="77"/>
  <c r="DN53" i="77"/>
  <c r="BP49" i="77"/>
  <c r="DN49" i="77"/>
  <c r="BP56" i="77"/>
  <c r="DN56" i="77"/>
  <c r="BP27" i="77"/>
  <c r="DN27" i="77"/>
  <c r="BP32" i="77"/>
  <c r="DN32" i="77"/>
  <c r="BP35" i="77"/>
  <c r="DN35" i="77"/>
  <c r="BP9" i="77"/>
  <c r="DN9" i="77"/>
  <c r="BP34" i="77"/>
  <c r="DN34" i="77"/>
  <c r="BP55" i="77"/>
  <c r="DN55" i="77"/>
  <c r="AH25" i="75"/>
  <c r="BZ9" i="73"/>
  <c r="K36" i="73"/>
  <c r="BZ30" i="73"/>
  <c r="K10" i="73"/>
  <c r="K13" i="73"/>
  <c r="K12" i="73"/>
  <c r="CU12" i="73"/>
  <c r="X89" i="73"/>
  <c r="AM12" i="76"/>
  <c r="AM31" i="76"/>
  <c r="AM10" i="76"/>
  <c r="AM54" i="76"/>
  <c r="AM22" i="76"/>
  <c r="AM56" i="76"/>
  <c r="AP12" i="76"/>
  <c r="AP31" i="76"/>
  <c r="AP26" i="76"/>
  <c r="AJ27" i="76"/>
  <c r="AJ15" i="76"/>
  <c r="AP10" i="76"/>
  <c r="AJ43" i="76"/>
  <c r="AP39" i="76"/>
  <c r="AP47" i="76"/>
  <c r="AJ53" i="76"/>
  <c r="AP54" i="76"/>
  <c r="AP22" i="76"/>
  <c r="AM27" i="76"/>
  <c r="AM59" i="76"/>
  <c r="AP9" i="76"/>
  <c r="AP13" i="76"/>
  <c r="AJ14" i="76"/>
  <c r="AP19" i="76"/>
  <c r="AP25" i="76"/>
  <c r="AP27" i="76"/>
  <c r="AM48" i="76"/>
  <c r="AP21" i="76"/>
  <c r="AJ31" i="76"/>
  <c r="AJ26" i="76"/>
  <c r="AP32" i="76"/>
  <c r="AJ28" i="76"/>
  <c r="AP33" i="76"/>
  <c r="AM58" i="76"/>
  <c r="AM62" i="76"/>
  <c r="AP7" i="76"/>
  <c r="AM13" i="76"/>
  <c r="AM19" i="76"/>
  <c r="AP60" i="76"/>
  <c r="AJ61" i="76"/>
  <c r="AP56" i="76"/>
  <c r="AP16" i="76"/>
  <c r="AP43" i="76"/>
  <c r="AJ18" i="76"/>
  <c r="AM25" i="76"/>
  <c r="AM41" i="76"/>
  <c r="AJ63" i="76"/>
  <c r="AJ7" i="76"/>
  <c r="AP14" i="76"/>
  <c r="AJ20" i="76"/>
  <c r="AM32" i="76"/>
  <c r="AP34" i="76"/>
  <c r="AJ29" i="76"/>
  <c r="AP35" i="76"/>
  <c r="AP46" i="76"/>
  <c r="AJ49" i="76"/>
  <c r="AM61" i="76"/>
  <c r="AP41" i="76"/>
  <c r="AM35" i="76"/>
  <c r="AM20" i="76"/>
  <c r="AM29" i="76"/>
  <c r="AM9" i="76"/>
  <c r="AM44" i="76"/>
  <c r="AM40" i="76"/>
  <c r="AP59" i="76"/>
  <c r="AP61" i="76"/>
  <c r="AP29" i="76"/>
  <c r="AJ37" i="76"/>
  <c r="AP44" i="76"/>
  <c r="AP40" i="76"/>
  <c r="AJ41" i="76"/>
  <c r="AJ47" i="76"/>
  <c r="AP49" i="76"/>
  <c r="AM63" i="76"/>
  <c r="AP28" i="76"/>
  <c r="AM53" i="76"/>
  <c r="AP63" i="76"/>
  <c r="AM7" i="76"/>
  <c r="AM8" i="76"/>
  <c r="AJ34" i="76"/>
  <c r="AM39" i="76"/>
  <c r="AJ48" i="76"/>
  <c r="AJ62" i="76"/>
  <c r="AM18" i="76"/>
  <c r="AM16" i="76"/>
  <c r="AJ59" i="76"/>
  <c r="AM60" i="76"/>
  <c r="AP20" i="76"/>
  <c r="AM15" i="76"/>
  <c r="AM14" i="76"/>
  <c r="AP15" i="76"/>
  <c r="AM21" i="76"/>
  <c r="AP8" i="76"/>
  <c r="AM34" i="76"/>
  <c r="AJ35" i="76"/>
  <c r="AP52" i="76"/>
  <c r="AM28" i="76"/>
  <c r="AM26" i="76"/>
  <c r="AM33" i="76"/>
  <c r="AP37" i="76"/>
  <c r="AM52" i="76"/>
  <c r="AP48" i="76"/>
  <c r="AM49" i="76"/>
  <c r="BL13" i="77"/>
  <c r="BE27" i="77"/>
  <c r="AF26" i="75"/>
  <c r="CM18" i="77"/>
  <c r="J27" i="77"/>
  <c r="J58" i="77"/>
  <c r="BL63" i="77"/>
  <c r="DA27" i="77"/>
  <c r="DD27" i="77" s="1"/>
  <c r="AI13" i="75"/>
  <c r="AI14" i="75"/>
  <c r="AI15" i="75"/>
  <c r="AH28" i="75"/>
  <c r="AC10" i="77"/>
  <c r="O40" i="77"/>
  <c r="BE49" i="77"/>
  <c r="J62" i="77"/>
  <c r="DH33" i="77"/>
  <c r="DK33" i="77" s="1"/>
  <c r="J55" i="77"/>
  <c r="BL14" i="77"/>
  <c r="BL29" i="77"/>
  <c r="AI11" i="75"/>
  <c r="AI17" i="75"/>
  <c r="DA20" i="77"/>
  <c r="DD20" i="77" s="1"/>
  <c r="J34" i="77"/>
  <c r="J8" i="77"/>
  <c r="AS26" i="77"/>
  <c r="CG26" i="77" s="1"/>
  <c r="AQ13" i="77"/>
  <c r="O26" i="77"/>
  <c r="BL32" i="77"/>
  <c r="CM9" i="77"/>
  <c r="BE39" i="77"/>
  <c r="DA39" i="77"/>
  <c r="DD39" i="77" s="1"/>
  <c r="BE62" i="77"/>
  <c r="J54" i="77"/>
  <c r="AH23" i="75"/>
  <c r="DA18" i="77"/>
  <c r="DD18" i="77" s="1"/>
  <c r="J19" i="77"/>
  <c r="DA60" i="77"/>
  <c r="DD60" i="77" s="1"/>
  <c r="AH6" i="75"/>
  <c r="AH8" i="75"/>
  <c r="AI7" i="75"/>
  <c r="AH10" i="75"/>
  <c r="AI27" i="75"/>
  <c r="AI10" i="75"/>
  <c r="AH11" i="75"/>
  <c r="AI28" i="75"/>
  <c r="AH30" i="75"/>
  <c r="AI12" i="75"/>
  <c r="AH13" i="75"/>
  <c r="AH14" i="75"/>
  <c r="AH15" i="75"/>
  <c r="AH18" i="75"/>
  <c r="AH19" i="75"/>
  <c r="AH20" i="75"/>
  <c r="AI29" i="75"/>
  <c r="AI30" i="75"/>
  <c r="AI18" i="75"/>
  <c r="AI20" i="75"/>
  <c r="AH22" i="75"/>
  <c r="AI6" i="75"/>
  <c r="BL20" i="77"/>
  <c r="BL55" i="77"/>
  <c r="BL39" i="77"/>
  <c r="BS22" i="77"/>
  <c r="BL60" i="77"/>
  <c r="BL35" i="77"/>
  <c r="CG9" i="77"/>
  <c r="BL49" i="77"/>
  <c r="CK58" i="77"/>
  <c r="BL56" i="77"/>
  <c r="BP12" i="77"/>
  <c r="BL18" i="77"/>
  <c r="BL10" i="77"/>
  <c r="BL7" i="77"/>
  <c r="BW31" i="77"/>
  <c r="CK43" i="77"/>
  <c r="BL52" i="77"/>
  <c r="BW46" i="77"/>
  <c r="BE15" i="77"/>
  <c r="BG62" i="77"/>
  <c r="BE58" i="77"/>
  <c r="BE20" i="77"/>
  <c r="BG58" i="77"/>
  <c r="BE21" i="77"/>
  <c r="BE44" i="77"/>
  <c r="BE52" i="77"/>
  <c r="BG49" i="77"/>
  <c r="BI58" i="77"/>
  <c r="BI31" i="77"/>
  <c r="BG39" i="77"/>
  <c r="BG52" i="77"/>
  <c r="BE61" i="77"/>
  <c r="BC42" i="77"/>
  <c r="BC66" i="77" s="1"/>
  <c r="BI66" i="77" s="1"/>
  <c r="BE40" i="77"/>
  <c r="AO61" i="74"/>
  <c r="BI14" i="77"/>
  <c r="BD42" i="77"/>
  <c r="BD66" i="77" s="1"/>
  <c r="BE43" i="77"/>
  <c r="BE53" i="77"/>
  <c r="BE55" i="77"/>
  <c r="BE7" i="77"/>
  <c r="BG43" i="77"/>
  <c r="BE63" i="77"/>
  <c r="BE26" i="77"/>
  <c r="BE19" i="77"/>
  <c r="BE34" i="77"/>
  <c r="BI37" i="77"/>
  <c r="BE48" i="77"/>
  <c r="BE25" i="77"/>
  <c r="BE31" i="77"/>
  <c r="BG27" i="77"/>
  <c r="BE16" i="77"/>
  <c r="AX52" i="77"/>
  <c r="AX41" i="77"/>
  <c r="AZ46" i="77"/>
  <c r="AX58" i="77"/>
  <c r="AF57" i="74"/>
  <c r="AF59" i="74"/>
  <c r="AX47" i="77"/>
  <c r="AS13" i="77"/>
  <c r="CI13" i="77" s="1"/>
  <c r="DO33" i="77"/>
  <c r="AQ43" i="77"/>
  <c r="AO60" i="74"/>
  <c r="AF58" i="74"/>
  <c r="BZ20" i="77"/>
  <c r="AS15" i="77"/>
  <c r="CI15" i="77" s="1"/>
  <c r="BS59" i="77"/>
  <c r="BU59" i="77"/>
  <c r="BS9" i="77"/>
  <c r="BU9" i="77"/>
  <c r="BS53" i="77"/>
  <c r="BU53" i="77"/>
  <c r="BS40" i="77"/>
  <c r="BU40" i="77"/>
  <c r="BS61" i="77"/>
  <c r="BU61" i="77"/>
  <c r="BS25" i="77"/>
  <c r="AI5" i="74"/>
  <c r="AI18" i="74"/>
  <c r="AO19" i="74"/>
  <c r="AI29" i="74"/>
  <c r="AO23" i="74"/>
  <c r="AI30" i="74"/>
  <c r="AI31" i="74"/>
  <c r="AO32" i="74"/>
  <c r="AI33" i="74"/>
  <c r="AO35" i="74"/>
  <c r="AG55" i="74"/>
  <c r="AJ28" i="77"/>
  <c r="AJ40" i="77"/>
  <c r="AF16" i="74"/>
  <c r="AL37" i="74"/>
  <c r="AI16" i="74"/>
  <c r="AO11" i="74"/>
  <c r="AO24" i="74"/>
  <c r="AI25" i="74"/>
  <c r="AO26" i="74"/>
  <c r="AI32" i="74"/>
  <c r="AO27" i="74"/>
  <c r="AM34" i="74"/>
  <c r="AO7" i="74"/>
  <c r="AI14" i="74"/>
  <c r="AI42" i="74"/>
  <c r="AI44" i="74"/>
  <c r="AI51" i="74"/>
  <c r="AF45" i="74"/>
  <c r="AO38" i="74"/>
  <c r="AI42" i="77"/>
  <c r="AI66" i="77" s="1"/>
  <c r="DH60" i="77"/>
  <c r="DK60" i="77" s="1"/>
  <c r="AO13" i="74"/>
  <c r="AL42" i="74"/>
  <c r="AL50" i="74"/>
  <c r="AJ63" i="77"/>
  <c r="AF46" i="74"/>
  <c r="AO56" i="74"/>
  <c r="AF19" i="74"/>
  <c r="AL27" i="74"/>
  <c r="AI52" i="74"/>
  <c r="AI56" i="74"/>
  <c r="AI53" i="74"/>
  <c r="AI60" i="74"/>
  <c r="AE58" i="77"/>
  <c r="AI47" i="74"/>
  <c r="AF5" i="74"/>
  <c r="AI38" i="74"/>
  <c r="AF6" i="74"/>
  <c r="AL29" i="74"/>
  <c r="AF24" i="74"/>
  <c r="AL30" i="74"/>
  <c r="AF26" i="74"/>
  <c r="AL31" i="74"/>
  <c r="AF27" i="74"/>
  <c r="AL33" i="74"/>
  <c r="AL13" i="74"/>
  <c r="AI57" i="74"/>
  <c r="AO58" i="74"/>
  <c r="AI59" i="74"/>
  <c r="AI61" i="74"/>
  <c r="DH22" i="77"/>
  <c r="DK22" i="77" s="1"/>
  <c r="AO16" i="74"/>
  <c r="AO50" i="74"/>
  <c r="AI11" i="74"/>
  <c r="AF56" i="74"/>
  <c r="AF53" i="74"/>
  <c r="AF60" i="74"/>
  <c r="AL11" i="75"/>
  <c r="AL28" i="75"/>
  <c r="AL24" i="74"/>
  <c r="AF35" i="74"/>
  <c r="AO46" i="74"/>
  <c r="DA54" i="77"/>
  <c r="DD54" i="77" s="1"/>
  <c r="AI35" i="74"/>
  <c r="AO39" i="74"/>
  <c r="AL12" i="74"/>
  <c r="AL23" i="74"/>
  <c r="AF33" i="74"/>
  <c r="AF41" i="74"/>
  <c r="AL52" i="74"/>
  <c r="X22" i="77"/>
  <c r="AL60" i="74"/>
  <c r="X43" i="77"/>
  <c r="AF11" i="74"/>
  <c r="AO14" i="74"/>
  <c r="AI41" i="74"/>
  <c r="AI20" i="74"/>
  <c r="AI58" i="74"/>
  <c r="AI54" i="74"/>
  <c r="V40" i="77"/>
  <c r="AF23" i="74"/>
  <c r="AI50" i="74"/>
  <c r="AO59" i="74"/>
  <c r="AL32" i="74"/>
  <c r="AF7" i="74"/>
  <c r="AF8" i="74"/>
  <c r="AM62" i="74"/>
  <c r="DA13" i="77"/>
  <c r="DD13" i="77" s="1"/>
  <c r="DA49" i="77"/>
  <c r="DD49" i="77" s="1"/>
  <c r="V59" i="77"/>
  <c r="AL26" i="74"/>
  <c r="AL45" i="74"/>
  <c r="AF31" i="74"/>
  <c r="AL20" i="75"/>
  <c r="DA52" i="77"/>
  <c r="DD52" i="77" s="1"/>
  <c r="AF14" i="74"/>
  <c r="AL47" i="74"/>
  <c r="AI45" i="74"/>
  <c r="AL16" i="74"/>
  <c r="AL25" i="74"/>
  <c r="AF13" i="74"/>
  <c r="AI17" i="74"/>
  <c r="AI6" i="74"/>
  <c r="AO29" i="74"/>
  <c r="AO30" i="74"/>
  <c r="AI26" i="74"/>
  <c r="AO31" i="74"/>
  <c r="AI27" i="74"/>
  <c r="AI7" i="74"/>
  <c r="AI8" i="74"/>
  <c r="AI37" i="74"/>
  <c r="AL38" i="74"/>
  <c r="AI46" i="74"/>
  <c r="AL58" i="74"/>
  <c r="AF61" i="74"/>
  <c r="AL6" i="74"/>
  <c r="AF42" i="74"/>
  <c r="AO57" i="74"/>
  <c r="AF30" i="74"/>
  <c r="AO54" i="74"/>
  <c r="AL6" i="75"/>
  <c r="DA35" i="77"/>
  <c r="DD35" i="77" s="1"/>
  <c r="V61" i="77"/>
  <c r="Q18" i="77"/>
  <c r="AF10" i="74"/>
  <c r="AL46" i="74"/>
  <c r="AF52" i="74"/>
  <c r="AF20" i="74"/>
  <c r="AL57" i="74"/>
  <c r="AL39" i="74"/>
  <c r="AO42" i="74"/>
  <c r="AL56" i="74"/>
  <c r="AL18" i="74"/>
  <c r="AL27" i="75"/>
  <c r="Q35" i="77"/>
  <c r="AO18" i="74"/>
  <c r="AF32" i="74"/>
  <c r="AF12" i="74"/>
  <c r="AO33" i="74"/>
  <c r="AO20" i="74"/>
  <c r="AO53" i="74"/>
  <c r="AF54" i="74"/>
  <c r="DA44" i="77"/>
  <c r="DD44" i="77" s="1"/>
  <c r="DA56" i="77"/>
  <c r="DD56" i="77" s="1"/>
  <c r="AF29" i="74"/>
  <c r="AO44" i="74"/>
  <c r="Q20" i="77"/>
  <c r="AO12" i="74"/>
  <c r="AO52" i="74"/>
  <c r="AF25" i="74"/>
  <c r="AL5" i="74"/>
  <c r="AF47" i="74"/>
  <c r="AL59" i="74"/>
  <c r="AL25" i="75"/>
  <c r="AL26" i="75"/>
  <c r="AF44" i="74"/>
  <c r="AL20" i="74"/>
  <c r="AL61" i="74"/>
  <c r="Q52" i="77"/>
  <c r="AI10" i="74"/>
  <c r="AI12" i="74"/>
  <c r="AO17" i="74"/>
  <c r="AI19" i="74"/>
  <c r="AI24" i="74"/>
  <c r="AO25" i="74"/>
  <c r="AI13" i="74"/>
  <c r="AO8" i="74"/>
  <c r="DH14" i="77"/>
  <c r="DK14" i="77" s="1"/>
  <c r="Q13" i="77"/>
  <c r="DA14" i="77"/>
  <c r="DD14" i="77" s="1"/>
  <c r="AL11" i="74"/>
  <c r="AJ34" i="74"/>
  <c r="AO5" i="74"/>
  <c r="AF18" i="74"/>
  <c r="AO6" i="74"/>
  <c r="AI23" i="74"/>
  <c r="AL14" i="74"/>
  <c r="AO37" i="74"/>
  <c r="AI39" i="74"/>
  <c r="AL44" i="74"/>
  <c r="AO45" i="74"/>
  <c r="AO47" i="74"/>
  <c r="O18" i="77"/>
  <c r="O20" i="77"/>
  <c r="CL26" i="77"/>
  <c r="CL46" i="77"/>
  <c r="AL19" i="74"/>
  <c r="CQ55" i="73"/>
  <c r="CQ61" i="73" s="1"/>
  <c r="AI26" i="71"/>
  <c r="CO20" i="73"/>
  <c r="CR20" i="73" s="1"/>
  <c r="AC27" i="71"/>
  <c r="AI65" i="70"/>
  <c r="AF47" i="70"/>
  <c r="AO13" i="70"/>
  <c r="AF37" i="70"/>
  <c r="AF63" i="70"/>
  <c r="AL10" i="70"/>
  <c r="AF11" i="70"/>
  <c r="AO10" i="70"/>
  <c r="AO62" i="70"/>
  <c r="AF36" i="70"/>
  <c r="AO26" i="70"/>
  <c r="AO27" i="70"/>
  <c r="AF32" i="70"/>
  <c r="AF28" i="70"/>
  <c r="AI32" i="70"/>
  <c r="AL54" i="70"/>
  <c r="AL44" i="70"/>
  <c r="AF22" i="70"/>
  <c r="AO6" i="70"/>
  <c r="AL49" i="70"/>
  <c r="AL6" i="70"/>
  <c r="AL43" i="70"/>
  <c r="AF45" i="70"/>
  <c r="AL41" i="70"/>
  <c r="AL56" i="70"/>
  <c r="AO31" i="70"/>
  <c r="AF26" i="70"/>
  <c r="AO38" i="70"/>
  <c r="AF30" i="70"/>
  <c r="AO36" i="70"/>
  <c r="AL37" i="70"/>
  <c r="AL39" i="70"/>
  <c r="AF40" i="70"/>
  <c r="AL48" i="70"/>
  <c r="AO5" i="70"/>
  <c r="AO19" i="70"/>
  <c r="AF25" i="70"/>
  <c r="AI26" i="70"/>
  <c r="AF27" i="70"/>
  <c r="AO34" i="70"/>
  <c r="AF14" i="70"/>
  <c r="AO47" i="70"/>
  <c r="AL45" i="70"/>
  <c r="AI62" i="70"/>
  <c r="AO22" i="70"/>
  <c r="AI25" i="70"/>
  <c r="AL13" i="70"/>
  <c r="AF54" i="70"/>
  <c r="AI50" i="70"/>
  <c r="AL16" i="70"/>
  <c r="AO11" i="70"/>
  <c r="AF31" i="70"/>
  <c r="AF33" i="70"/>
  <c r="AO28" i="70"/>
  <c r="AF38" i="70"/>
  <c r="AF60" i="70"/>
  <c r="AO12" i="70"/>
  <c r="AF23" i="70"/>
  <c r="AF52" i="70"/>
  <c r="AF50" i="70"/>
  <c r="AL52" i="70"/>
  <c r="AI27" i="70"/>
  <c r="AF13" i="70"/>
  <c r="AL18" i="70"/>
  <c r="AO24" i="70"/>
  <c r="AO37" i="70"/>
  <c r="AF51" i="70"/>
  <c r="AF58" i="70"/>
  <c r="AF5" i="70"/>
  <c r="AO23" i="70"/>
  <c r="AI31" i="70"/>
  <c r="AI33" i="70"/>
  <c r="AF34" i="70"/>
  <c r="AF43" i="70"/>
  <c r="AF56" i="70"/>
  <c r="AL51" i="70"/>
  <c r="AO64" i="70"/>
  <c r="AL20" i="70"/>
  <c r="AO60" i="70"/>
  <c r="AF64" i="70"/>
  <c r="AL65" i="70"/>
  <c r="AI24" i="70"/>
  <c r="AF24" i="70"/>
  <c r="AF48" i="70"/>
  <c r="CH47" i="73"/>
  <c r="AO65" i="70"/>
  <c r="AL10" i="71"/>
  <c r="CO27" i="73"/>
  <c r="CR27" i="73" s="1"/>
  <c r="CH12" i="73"/>
  <c r="AL31" i="71"/>
  <c r="AI31" i="71"/>
  <c r="AL32" i="71"/>
  <c r="CO21" i="73"/>
  <c r="CR21" i="73" s="1"/>
  <c r="AF11" i="71"/>
  <c r="CV63" i="73"/>
  <c r="CY63" i="73" s="1"/>
  <c r="AF8" i="71"/>
  <c r="CO15" i="73"/>
  <c r="CR15" i="73" s="1"/>
  <c r="CO16" i="73"/>
  <c r="CR16" i="73" s="1"/>
  <c r="AL28" i="71"/>
  <c r="BZ26" i="73"/>
  <c r="CA25" i="73"/>
  <c r="CA35" i="73"/>
  <c r="AH5" i="71"/>
  <c r="AF6" i="70"/>
  <c r="CV43" i="73"/>
  <c r="CY43" i="73" s="1"/>
  <c r="CV21" i="73"/>
  <c r="CY21" i="73" s="1"/>
  <c r="AH22" i="71"/>
  <c r="AH24" i="71"/>
  <c r="AH25" i="71"/>
  <c r="CA50" i="73"/>
  <c r="AI6" i="70"/>
  <c r="AF7" i="71"/>
  <c r="AH8" i="71"/>
  <c r="AI14" i="71"/>
  <c r="AI16" i="71"/>
  <c r="AI19" i="71"/>
  <c r="AI21" i="71"/>
  <c r="AI25" i="71"/>
  <c r="AH27" i="71"/>
  <c r="AY38" i="73"/>
  <c r="CA47" i="73"/>
  <c r="CO43" i="73"/>
  <c r="CR43" i="73" s="1"/>
  <c r="CO54" i="73"/>
  <c r="CR54" i="73" s="1"/>
  <c r="O47" i="73"/>
  <c r="CO47" i="73"/>
  <c r="CR47" i="73" s="1"/>
  <c r="O57" i="73"/>
  <c r="CV57" i="73"/>
  <c r="CY57" i="73" s="1"/>
  <c r="U35" i="73"/>
  <c r="CO35" i="73"/>
  <c r="I36" i="73"/>
  <c r="CO36" i="73"/>
  <c r="CR36" i="73" s="1"/>
  <c r="CA36" i="73"/>
  <c r="CV7" i="73"/>
  <c r="CY7" i="73" s="1"/>
  <c r="M68" i="73"/>
  <c r="O68" i="73" s="1"/>
  <c r="O62" i="73"/>
  <c r="I14" i="73"/>
  <c r="CA14" i="73"/>
  <c r="U32" i="73"/>
  <c r="AG43" i="73"/>
  <c r="AL12" i="71"/>
  <c r="I20" i="73"/>
  <c r="AI18" i="71"/>
  <c r="AI20" i="71"/>
  <c r="AI27" i="71"/>
  <c r="CA43" i="73"/>
  <c r="CV42" i="73"/>
  <c r="CY42" i="73" s="1"/>
  <c r="AY50" i="73"/>
  <c r="CV27" i="73"/>
  <c r="CY27" i="73" s="1"/>
  <c r="AI13" i="71"/>
  <c r="CA59" i="73"/>
  <c r="AI22" i="71"/>
  <c r="CA40" i="73"/>
  <c r="AI5" i="71"/>
  <c r="AH26" i="71"/>
  <c r="AL30" i="71"/>
  <c r="CO24" i="73"/>
  <c r="CR24" i="73" s="1"/>
  <c r="CA54" i="73"/>
  <c r="CA56" i="73"/>
  <c r="AI8" i="71"/>
  <c r="AL22" i="71"/>
  <c r="AH30" i="71"/>
  <c r="CO18" i="73"/>
  <c r="AI9" i="71"/>
  <c r="AH10" i="71"/>
  <c r="AI30" i="71"/>
  <c r="AI33" i="71"/>
  <c r="CA27" i="73"/>
  <c r="CO40" i="73"/>
  <c r="CR40" i="73" s="1"/>
  <c r="CV46" i="73"/>
  <c r="CY46" i="73" s="1"/>
  <c r="CV51" i="73"/>
  <c r="CY51" i="73" s="1"/>
  <c r="CO58" i="73"/>
  <c r="CR58" i="73" s="1"/>
  <c r="CO62" i="73"/>
  <c r="CR62" i="73" s="1"/>
  <c r="AI12" i="71"/>
  <c r="I43" i="73"/>
  <c r="AI10" i="71"/>
  <c r="CV34" i="73"/>
  <c r="CY34" i="73" s="1"/>
  <c r="BO68" i="73"/>
  <c r="AH15" i="71"/>
  <c r="AH16" i="71"/>
  <c r="AH12" i="71"/>
  <c r="AH18" i="71"/>
  <c r="AH19" i="71"/>
  <c r="AH20" i="71"/>
  <c r="AH21" i="71"/>
  <c r="BS38" i="73"/>
  <c r="BS58" i="73"/>
  <c r="AH13" i="71"/>
  <c r="AH14" i="71"/>
  <c r="AH23" i="71"/>
  <c r="AH32" i="71"/>
  <c r="AH33" i="71"/>
  <c r="AH9" i="71"/>
  <c r="AP68" i="73"/>
  <c r="AU68" i="73" s="1"/>
  <c r="AU62" i="73"/>
  <c r="AF57" i="70"/>
  <c r="AI57" i="70"/>
  <c r="BZ13" i="73"/>
  <c r="AX13" i="77"/>
  <c r="AX25" i="77"/>
  <c r="AX34" i="77"/>
  <c r="AX21" i="77"/>
  <c r="AX35" i="77"/>
  <c r="AX40" i="77"/>
  <c r="BB46" i="77"/>
  <c r="AX59" i="77"/>
  <c r="AX61" i="77"/>
  <c r="AX19" i="77"/>
  <c r="AX8" i="77"/>
  <c r="AX27" i="77"/>
  <c r="AX9" i="77"/>
  <c r="BB47" i="77"/>
  <c r="AX22" i="77"/>
  <c r="BB56" i="77"/>
  <c r="AL53" i="74"/>
  <c r="AJ62" i="74"/>
  <c r="AF7" i="70"/>
  <c r="AO7" i="70"/>
  <c r="S26" i="77"/>
  <c r="AL7" i="74"/>
  <c r="V48" i="77"/>
  <c r="S8" i="77"/>
  <c r="AF51" i="74"/>
  <c r="AL51" i="74"/>
  <c r="AO51" i="74"/>
  <c r="L26" i="77"/>
  <c r="AL55" i="70"/>
  <c r="CV41" i="73"/>
  <c r="CY41" i="73" s="1"/>
  <c r="AL7" i="71"/>
  <c r="I9" i="73"/>
  <c r="I16" i="73"/>
  <c r="I12" i="73"/>
  <c r="CO52" i="73"/>
  <c r="CR52" i="73" s="1"/>
  <c r="I7" i="73"/>
  <c r="I24" i="73"/>
  <c r="AL6" i="71"/>
  <c r="CO60" i="73"/>
  <c r="CR60" i="73" s="1"/>
  <c r="CA7" i="73"/>
  <c r="AL16" i="71"/>
  <c r="I18" i="73"/>
  <c r="CA15" i="73"/>
  <c r="CA57" i="73"/>
  <c r="I41" i="73"/>
  <c r="I22" i="73"/>
  <c r="I32" i="73"/>
  <c r="I29" i="73"/>
  <c r="I52" i="73"/>
  <c r="CV32" i="73"/>
  <c r="CY32" i="73" s="1"/>
  <c r="I15" i="73"/>
  <c r="AL17" i="71"/>
  <c r="I33" i="73"/>
  <c r="I54" i="73"/>
  <c r="CO22" i="73"/>
  <c r="CR22" i="73" s="1"/>
  <c r="CA65" i="73"/>
  <c r="CO59" i="73"/>
  <c r="CR59" i="73" s="1"/>
  <c r="CA21" i="73"/>
  <c r="CV8" i="73"/>
  <c r="CY8" i="73" s="1"/>
  <c r="CV33" i="73"/>
  <c r="CY33" i="73" s="1"/>
  <c r="CA16" i="73"/>
  <c r="CO49" i="73"/>
  <c r="CR49" i="73" s="1"/>
  <c r="AL11" i="71"/>
  <c r="CO56" i="73"/>
  <c r="CR56" i="73" s="1"/>
  <c r="AC6" i="71"/>
  <c r="I27" i="73"/>
  <c r="AF55" i="70"/>
  <c r="BZ66" i="73"/>
  <c r="BZ25" i="73"/>
  <c r="CN20" i="73"/>
  <c r="CT20" i="73" s="1"/>
  <c r="CN35" i="73"/>
  <c r="AO8" i="70"/>
  <c r="K20" i="73"/>
  <c r="CN53" i="73"/>
  <c r="CT53" i="73" s="1"/>
  <c r="AF8" i="70"/>
  <c r="K35" i="73"/>
  <c r="AO38" i="73"/>
  <c r="AK21" i="71"/>
  <c r="CU7" i="73"/>
  <c r="CG65" i="73"/>
  <c r="AE28" i="71"/>
  <c r="CG35" i="73"/>
  <c r="CG62" i="73"/>
  <c r="CU29" i="73"/>
  <c r="CU16" i="73"/>
  <c r="CG67" i="73"/>
  <c r="CU52" i="73"/>
  <c r="CU50" i="73"/>
  <c r="CU62" i="73"/>
  <c r="AK10" i="71"/>
  <c r="AK33" i="71"/>
  <c r="CU28" i="73"/>
  <c r="CU63" i="73"/>
  <c r="L68" i="73"/>
  <c r="Q68" i="73" s="1"/>
  <c r="AK7" i="71"/>
  <c r="AK9" i="71"/>
  <c r="CG34" i="73"/>
  <c r="Q35" i="73"/>
  <c r="AK27" i="71"/>
  <c r="CU26" i="73"/>
  <c r="CN41" i="73"/>
  <c r="CT41" i="73" s="1"/>
  <c r="CN58" i="73"/>
  <c r="CT58" i="73" s="1"/>
  <c r="AO17" i="70"/>
  <c r="CN43" i="73"/>
  <c r="AE14" i="71"/>
  <c r="AE26" i="71"/>
  <c r="K47" i="73"/>
  <c r="AE7" i="71"/>
  <c r="CN29" i="73"/>
  <c r="CT29" i="73" s="1"/>
  <c r="CN47" i="73"/>
  <c r="AE6" i="71"/>
  <c r="BZ8" i="73"/>
  <c r="CN59" i="73"/>
  <c r="CT59" i="73" s="1"/>
  <c r="AE16" i="71"/>
  <c r="AK16" i="71"/>
  <c r="AK17" i="71"/>
  <c r="CN42" i="73"/>
  <c r="CT42" i="73" s="1"/>
  <c r="AE11" i="71"/>
  <c r="AK22" i="71"/>
  <c r="BZ59" i="73"/>
  <c r="AK30" i="71"/>
  <c r="K65" i="73"/>
  <c r="K7" i="73"/>
  <c r="CN7" i="73"/>
  <c r="K21" i="73"/>
  <c r="AK25" i="71"/>
  <c r="AK6" i="71"/>
  <c r="AK31" i="71"/>
  <c r="BZ7" i="73"/>
  <c r="CN57" i="73"/>
  <c r="CT57" i="73" s="1"/>
  <c r="AK11" i="71"/>
  <c r="AE21" i="71"/>
  <c r="CN33" i="73"/>
  <c r="CT33" i="73" s="1"/>
  <c r="AE20" i="71"/>
  <c r="CN8" i="73"/>
  <c r="CT8" i="73" s="1"/>
  <c r="CG63" i="73"/>
  <c r="CU67" i="73"/>
  <c r="AN61" i="77"/>
  <c r="AN7" i="77"/>
  <c r="AJ53" i="77"/>
  <c r="AJ18" i="77"/>
  <c r="AN59" i="77"/>
  <c r="AG60" i="77"/>
  <c r="V32" i="77"/>
  <c r="V49" i="77"/>
  <c r="S10" i="77"/>
  <c r="S52" i="77"/>
  <c r="AL10" i="74"/>
  <c r="H39" i="77"/>
  <c r="L12" i="77"/>
  <c r="CZ26" i="77"/>
  <c r="CL35" i="77"/>
  <c r="AO10" i="74"/>
  <c r="CG35" i="77"/>
  <c r="CI35" i="77"/>
  <c r="CB43" i="77"/>
  <c r="BZ43" i="77"/>
  <c r="CI56" i="77"/>
  <c r="CG56" i="77"/>
  <c r="CB7" i="77"/>
  <c r="BZ7" i="77"/>
  <c r="AS31" i="77"/>
  <c r="DO31" i="77" s="1"/>
  <c r="BZ58" i="77"/>
  <c r="AS18" i="77"/>
  <c r="CI18" i="77" s="1"/>
  <c r="AL23" i="75"/>
  <c r="AS32" i="77"/>
  <c r="CI32" i="77" s="1"/>
  <c r="AS34" i="77"/>
  <c r="AS40" i="77"/>
  <c r="CI40" i="77" s="1"/>
  <c r="DH34" i="77"/>
  <c r="DK34" i="77" s="1"/>
  <c r="CB62" i="77"/>
  <c r="AS14" i="77"/>
  <c r="DO14" i="77" s="1"/>
  <c r="BZ34" i="77"/>
  <c r="DH40" i="77"/>
  <c r="DK40" i="77" s="1"/>
  <c r="AQ12" i="77"/>
  <c r="DH15" i="77"/>
  <c r="DK15" i="77" s="1"/>
  <c r="AS47" i="77"/>
  <c r="CI47" i="77" s="1"/>
  <c r="AL29" i="75"/>
  <c r="BZ54" i="77"/>
  <c r="DH47" i="77"/>
  <c r="DK47" i="77" s="1"/>
  <c r="DH16" i="77"/>
  <c r="DK16" i="77" s="1"/>
  <c r="AF17" i="74"/>
  <c r="AL17" i="75"/>
  <c r="BZ15" i="77"/>
  <c r="AS54" i="77"/>
  <c r="CI54" i="77" s="1"/>
  <c r="AS55" i="77"/>
  <c r="CG55" i="77" s="1"/>
  <c r="BZ52" i="77"/>
  <c r="AU12" i="77"/>
  <c r="AU13" i="77"/>
  <c r="AQ14" i="77"/>
  <c r="AJ26" i="77"/>
  <c r="AJ33" i="77"/>
  <c r="AJ29" i="77"/>
  <c r="AN14" i="77"/>
  <c r="AN41" i="77"/>
  <c r="AC19" i="77"/>
  <c r="AC27" i="77"/>
  <c r="CZ14" i="77"/>
  <c r="V25" i="77"/>
  <c r="V39" i="77"/>
  <c r="DG49" i="77"/>
  <c r="V22" i="77"/>
  <c r="V14" i="77"/>
  <c r="V26" i="77"/>
  <c r="V41" i="77"/>
  <c r="V52" i="77"/>
  <c r="V7" i="77"/>
  <c r="S41" i="77"/>
  <c r="O14" i="77"/>
  <c r="S18" i="77"/>
  <c r="O16" i="77"/>
  <c r="AG21" i="74"/>
  <c r="H13" i="77"/>
  <c r="L16" i="77"/>
  <c r="AL17" i="74"/>
  <c r="L13" i="77"/>
  <c r="L18" i="77"/>
  <c r="L49" i="77"/>
  <c r="CL63" i="77"/>
  <c r="L14" i="77"/>
  <c r="H35" i="77"/>
  <c r="CL9" i="77"/>
  <c r="AQ44" i="77"/>
  <c r="AQ26" i="77"/>
  <c r="AQ34" i="77"/>
  <c r="AU29" i="77"/>
  <c r="AQ62" i="77"/>
  <c r="AQ55" i="77"/>
  <c r="AQ15" i="77"/>
  <c r="AQ39" i="77"/>
  <c r="AQ54" i="77"/>
  <c r="AE28" i="75"/>
  <c r="AQ32" i="77"/>
  <c r="AQ31" i="77"/>
  <c r="AQ58" i="77"/>
  <c r="AJ27" i="77"/>
  <c r="AJ12" i="77"/>
  <c r="AJ13" i="77"/>
  <c r="AJ39" i="77"/>
  <c r="AN63" i="77"/>
  <c r="AJ20" i="77"/>
  <c r="AJ8" i="77"/>
  <c r="DG27" i="77"/>
  <c r="AJ32" i="77"/>
  <c r="AN19" i="77"/>
  <c r="AJ21" i="77"/>
  <c r="AN28" i="77"/>
  <c r="AN40" i="77"/>
  <c r="AJ22" i="77"/>
  <c r="AJ16" i="77"/>
  <c r="DG16" i="77"/>
  <c r="AN43" i="77"/>
  <c r="AN60" i="77"/>
  <c r="AJ47" i="77"/>
  <c r="AJ54" i="77"/>
  <c r="AG40" i="74"/>
  <c r="AJ10" i="77"/>
  <c r="AC7" i="77"/>
  <c r="AC8" i="77"/>
  <c r="AC48" i="77"/>
  <c r="AC22" i="77"/>
  <c r="AC56" i="77"/>
  <c r="AC52" i="77"/>
  <c r="AC13" i="77"/>
  <c r="AG10" i="77"/>
  <c r="AC47" i="77"/>
  <c r="AC20" i="77"/>
  <c r="AC16" i="77"/>
  <c r="AC39" i="77"/>
  <c r="AC35" i="77"/>
  <c r="AG9" i="77"/>
  <c r="V58" i="77"/>
  <c r="DG60" i="77"/>
  <c r="V44" i="77"/>
  <c r="AK12" i="75"/>
  <c r="AK15" i="75"/>
  <c r="V18" i="77"/>
  <c r="V21" i="77"/>
  <c r="V16" i="77"/>
  <c r="V15" i="77"/>
  <c r="CZ35" i="77"/>
  <c r="AK13" i="75"/>
  <c r="V55" i="77"/>
  <c r="AK8" i="75"/>
  <c r="O25" i="77"/>
  <c r="CZ21" i="77"/>
  <c r="O28" i="77"/>
  <c r="S40" i="77"/>
  <c r="O27" i="77"/>
  <c r="O55" i="77"/>
  <c r="DG19" i="77"/>
  <c r="S27" i="77"/>
  <c r="O33" i="77"/>
  <c r="DG37" i="77"/>
  <c r="O47" i="77"/>
  <c r="CZ54" i="77"/>
  <c r="S60" i="77"/>
  <c r="AE18" i="75"/>
  <c r="O13" i="77"/>
  <c r="AK26" i="75"/>
  <c r="H21" i="77"/>
  <c r="H54" i="77"/>
  <c r="H12" i="77"/>
  <c r="L39" i="77"/>
  <c r="L48" i="77"/>
  <c r="CL31" i="77"/>
  <c r="AE8" i="75"/>
  <c r="L29" i="77"/>
  <c r="H58" i="77"/>
  <c r="CZ62" i="77"/>
  <c r="L15" i="77"/>
  <c r="H53" i="77"/>
  <c r="AE20" i="75"/>
  <c r="AE22" i="75"/>
  <c r="H20" i="77"/>
  <c r="L27" i="77"/>
  <c r="CL10" i="77"/>
  <c r="L58" i="77"/>
  <c r="H62" i="77"/>
  <c r="DG47" i="77"/>
  <c r="H31" i="77"/>
  <c r="L20" i="77"/>
  <c r="H34" i="77"/>
  <c r="CZ34" i="77"/>
  <c r="DG15" i="77"/>
  <c r="H55" i="77"/>
  <c r="AE11" i="75"/>
  <c r="AK28" i="75"/>
  <c r="H27" i="77"/>
  <c r="H44" i="77"/>
  <c r="CZ27" i="77"/>
  <c r="L62" i="77"/>
  <c r="AE23" i="75"/>
  <c r="L34" i="77"/>
  <c r="L55" i="77"/>
  <c r="K9" i="73"/>
  <c r="BZ10" i="73"/>
  <c r="CN30" i="73"/>
  <c r="CT30" i="73" s="1"/>
  <c r="CN9" i="73"/>
  <c r="CT9" i="73" s="1"/>
  <c r="CN10" i="73"/>
  <c r="CT10" i="73" s="1"/>
  <c r="AB33" i="71"/>
  <c r="AK8" i="71"/>
  <c r="AE8" i="71"/>
  <c r="AB8" i="71"/>
  <c r="AE10" i="71"/>
  <c r="AF13" i="71"/>
  <c r="AL13" i="71"/>
  <c r="AC13" i="71"/>
  <c r="AI15" i="71"/>
  <c r="AF19" i="71"/>
  <c r="AL19" i="71"/>
  <c r="AC19" i="71"/>
  <c r="AE25" i="71"/>
  <c r="AL27" i="71"/>
  <c r="AH28" i="71"/>
  <c r="AH29" i="71"/>
  <c r="AL51" i="72"/>
  <c r="AM51" i="72" s="1"/>
  <c r="AV51" i="72"/>
  <c r="AW51" i="72" s="1"/>
  <c r="CG32" i="73"/>
  <c r="CN32" i="73"/>
  <c r="BZ32" i="73"/>
  <c r="K32" i="73"/>
  <c r="CU32" i="73"/>
  <c r="AE5" i="71"/>
  <c r="AK14" i="71"/>
  <c r="AB14" i="71"/>
  <c r="AI17" i="71"/>
  <c r="AI28" i="71"/>
  <c r="AI29" i="71"/>
  <c r="AV7" i="72"/>
  <c r="AW7" i="72" s="1"/>
  <c r="BG21" i="73"/>
  <c r="K38" i="73"/>
  <c r="CN38" i="73"/>
  <c r="BZ38" i="73"/>
  <c r="CU38" i="73"/>
  <c r="CG38" i="73"/>
  <c r="AL12" i="70"/>
  <c r="AI52" i="70"/>
  <c r="AR12" i="72"/>
  <c r="AR47" i="72"/>
  <c r="AL17" i="70"/>
  <c r="AI49" i="70"/>
  <c r="AI20" i="70"/>
  <c r="AO58" i="70"/>
  <c r="AF5" i="71"/>
  <c r="AC5" i="71"/>
  <c r="AH6" i="71"/>
  <c r="AF14" i="71"/>
  <c r="AL14" i="71"/>
  <c r="AC14" i="71"/>
  <c r="AH17" i="71"/>
  <c r="AK20" i="71"/>
  <c r="AI23" i="71"/>
  <c r="AI24" i="71"/>
  <c r="AH31" i="71"/>
  <c r="AM18" i="72"/>
  <c r="AG21" i="73"/>
  <c r="AM38" i="73"/>
  <c r="K39" i="73"/>
  <c r="CU39" i="73"/>
  <c r="CG39" i="73"/>
  <c r="CN39" i="73"/>
  <c r="CT39" i="73" s="1"/>
  <c r="BZ39" i="73"/>
  <c r="AI48" i="70"/>
  <c r="AL5" i="70"/>
  <c r="AO57" i="70"/>
  <c r="AE29" i="71"/>
  <c r="AK29" i="71"/>
  <c r="AB29" i="71"/>
  <c r="AO30" i="70"/>
  <c r="AL8" i="70"/>
  <c r="AI60" i="70"/>
  <c r="AI64" i="70"/>
  <c r="AL5" i="71"/>
  <c r="AK24" i="71"/>
  <c r="AE24" i="71"/>
  <c r="AB24" i="71"/>
  <c r="AF29" i="71"/>
  <c r="AL29" i="71"/>
  <c r="AC29" i="71"/>
  <c r="AI32" i="71"/>
  <c r="AE33" i="71"/>
  <c r="AR26" i="72"/>
  <c r="AR60" i="72"/>
  <c r="CN12" i="73"/>
  <c r="Q12" i="73"/>
  <c r="CG12" i="73"/>
  <c r="CO26" i="73"/>
  <c r="CA26" i="73"/>
  <c r="CV26" i="73"/>
  <c r="AF19" i="70"/>
  <c r="AL7" i="70"/>
  <c r="AK5" i="71"/>
  <c r="AL11" i="70"/>
  <c r="AE17" i="71"/>
  <c r="AF24" i="71"/>
  <c r="AL24" i="71"/>
  <c r="AC24" i="71"/>
  <c r="AL7" i="72"/>
  <c r="AM7" i="72" s="1"/>
  <c r="CO12" i="73"/>
  <c r="O12" i="73"/>
  <c r="CV12" i="73"/>
  <c r="AO63" i="70"/>
  <c r="AL47" i="70"/>
  <c r="AI61" i="70"/>
  <c r="AI51" i="70"/>
  <c r="AL14" i="70"/>
  <c r="AE18" i="71"/>
  <c r="AK18" i="71"/>
  <c r="AB18" i="71"/>
  <c r="AE27" i="71"/>
  <c r="AF20" i="71"/>
  <c r="AL20" i="71"/>
  <c r="AL9" i="71"/>
  <c r="AF9" i="71"/>
  <c r="AI56" i="70"/>
  <c r="AF17" i="70"/>
  <c r="AI11" i="71"/>
  <c r="AE31" i="71"/>
  <c r="CV18" i="73"/>
  <c r="AK23" i="71"/>
  <c r="AE23" i="71"/>
  <c r="AB23" i="71"/>
  <c r="AF33" i="71"/>
  <c r="AL33" i="71"/>
  <c r="AL36" i="70"/>
  <c r="AI22" i="70"/>
  <c r="AI58" i="70"/>
  <c r="AH7" i="71"/>
  <c r="AH11" i="71"/>
  <c r="AE12" i="71"/>
  <c r="AL19" i="70"/>
  <c r="AI55" i="70"/>
  <c r="AO61" i="70"/>
  <c r="AE22" i="71"/>
  <c r="AF12" i="70"/>
  <c r="AL38" i="70"/>
  <c r="AI63" i="70"/>
  <c r="G81" i="70"/>
  <c r="AK13" i="71"/>
  <c r="AE13" i="71"/>
  <c r="AB13" i="71"/>
  <c r="AE19" i="71"/>
  <c r="AK19" i="71"/>
  <c r="AB19" i="71"/>
  <c r="AF25" i="71"/>
  <c r="AL25" i="71"/>
  <c r="CG49" i="73"/>
  <c r="CN49" i="73"/>
  <c r="CT49" i="73" s="1"/>
  <c r="BZ49" i="73"/>
  <c r="CU49" i="73"/>
  <c r="K49" i="73"/>
  <c r="AB7" i="71"/>
  <c r="AE9" i="71"/>
  <c r="AF10" i="71"/>
  <c r="AC21" i="71"/>
  <c r="AC26" i="71"/>
  <c r="AK68" i="72"/>
  <c r="CN18" i="73"/>
  <c r="CO9" i="73"/>
  <c r="O9" i="73"/>
  <c r="CV9" i="73"/>
  <c r="CU54" i="73"/>
  <c r="AK12" i="71"/>
  <c r="AE15" i="71"/>
  <c r="AL18" i="71"/>
  <c r="AB20" i="71"/>
  <c r="AL23" i="71"/>
  <c r="AK28" i="71"/>
  <c r="AE30" i="71"/>
  <c r="AR49" i="72"/>
  <c r="AG12" i="73"/>
  <c r="CG14" i="73"/>
  <c r="BZ14" i="73"/>
  <c r="CU14" i="73"/>
  <c r="K14" i="73"/>
  <c r="CN14" i="73"/>
  <c r="CT14" i="73" s="1"/>
  <c r="CN24" i="73"/>
  <c r="Q24" i="73"/>
  <c r="CU24" i="73"/>
  <c r="CV24" i="73"/>
  <c r="AB12" i="71"/>
  <c r="AC23" i="71"/>
  <c r="AB28" i="71"/>
  <c r="AK32" i="71"/>
  <c r="AB32" i="71"/>
  <c r="Q21" i="73"/>
  <c r="CN21" i="73"/>
  <c r="CT21" i="73" s="1"/>
  <c r="BS32" i="73"/>
  <c r="AI30" i="70"/>
  <c r="AK15" i="71"/>
  <c r="AC18" i="71"/>
  <c r="AI7" i="71"/>
  <c r="AL8" i="71"/>
  <c r="AC12" i="71"/>
  <c r="AL15" i="71"/>
  <c r="AL21" i="71"/>
  <c r="AK26" i="71"/>
  <c r="AC28" i="71"/>
  <c r="AC32" i="71"/>
  <c r="AN70" i="72"/>
  <c r="AE68" i="72"/>
  <c r="CH7" i="73"/>
  <c r="CO7" i="73"/>
  <c r="AO8" i="73"/>
  <c r="CU8" i="73"/>
  <c r="AI6" i="71"/>
  <c r="AC22" i="71"/>
  <c r="AL26" i="71"/>
  <c r="AR32" i="72"/>
  <c r="AR29" i="72"/>
  <c r="AR42" i="72"/>
  <c r="AV60" i="72"/>
  <c r="AW60" i="72" s="1"/>
  <c r="AL60" i="72"/>
  <c r="AM60" i="72" s="1"/>
  <c r="G68" i="72"/>
  <c r="G70" i="72" s="1"/>
  <c r="AD4" i="73"/>
  <c r="CG20" i="73"/>
  <c r="AS32" i="73"/>
  <c r="O29" i="73"/>
  <c r="CV29" i="73"/>
  <c r="AC16" i="71"/>
  <c r="AC31" i="71"/>
  <c r="AE32" i="71"/>
  <c r="AW39" i="72"/>
  <c r="BY12" i="73"/>
  <c r="K19" i="73"/>
  <c r="BZ19" i="73"/>
  <c r="CU19" i="73"/>
  <c r="CG19" i="73"/>
  <c r="CN19" i="73"/>
  <c r="CT19" i="73" s="1"/>
  <c r="AC27" i="73"/>
  <c r="CU27" i="73"/>
  <c r="AA50" i="73"/>
  <c r="CV50" i="73"/>
  <c r="AI68" i="72"/>
  <c r="CO19" i="73"/>
  <c r="CA19" i="73"/>
  <c r="CV19" i="73"/>
  <c r="I19" i="73"/>
  <c r="CU21" i="73"/>
  <c r="AC32" i="73"/>
  <c r="AC15" i="71"/>
  <c r="AC30" i="71"/>
  <c r="AL8" i="72"/>
  <c r="AM8" i="72" s="1"/>
  <c r="AA32" i="73"/>
  <c r="W25" i="73"/>
  <c r="CN25" i="73"/>
  <c r="CT25" i="73" s="1"/>
  <c r="CU18" i="73"/>
  <c r="CV13" i="73"/>
  <c r="I21" i="73"/>
  <c r="CG8" i="73"/>
  <c r="K24" i="73"/>
  <c r="BZ24" i="73"/>
  <c r="CG24" i="73"/>
  <c r="CH33" i="73"/>
  <c r="AG38" i="73"/>
  <c r="CU15" i="73"/>
  <c r="CU40" i="73"/>
  <c r="CV10" i="73"/>
  <c r="CO14" i="73"/>
  <c r="CH21" i="73"/>
  <c r="CH8" i="73"/>
  <c r="CH24" i="73"/>
  <c r="CH26" i="73"/>
  <c r="CN16" i="73"/>
  <c r="CT16" i="73" s="1"/>
  <c r="BW50" i="73"/>
  <c r="BK51" i="73"/>
  <c r="AC17" i="71"/>
  <c r="AR46" i="72"/>
  <c r="AI12" i="73"/>
  <c r="BZ18" i="73"/>
  <c r="CH20" i="73"/>
  <c r="CU20" i="73"/>
  <c r="CH32" i="73"/>
  <c r="BZ33" i="73"/>
  <c r="CH27" i="73"/>
  <c r="BZ35" i="73"/>
  <c r="CU35" i="73"/>
  <c r="Q38" i="73"/>
  <c r="AO68" i="72"/>
  <c r="CA18" i="73"/>
  <c r="CN13" i="73"/>
  <c r="CT13" i="73" s="1"/>
  <c r="CV20" i="73"/>
  <c r="BA32" i="73"/>
  <c r="BZ27" i="73"/>
  <c r="CG27" i="73"/>
  <c r="K27" i="73"/>
  <c r="CH28" i="73"/>
  <c r="CV35" i="73"/>
  <c r="CH49" i="73"/>
  <c r="W51" i="73"/>
  <c r="CN51" i="73"/>
  <c r="CT51" i="73" s="1"/>
  <c r="CG52" i="73"/>
  <c r="AR54" i="72"/>
  <c r="BZ12" i="73"/>
  <c r="CH14" i="73"/>
  <c r="CH19" i="73"/>
  <c r="AI32" i="73"/>
  <c r="BY32" i="73"/>
  <c r="CA24" i="73"/>
  <c r="BE50" i="73"/>
  <c r="Q32" i="73"/>
  <c r="CO25" i="73"/>
  <c r="CG25" i="73"/>
  <c r="CU25" i="73"/>
  <c r="CN26" i="73"/>
  <c r="CN27" i="73"/>
  <c r="CG28" i="73"/>
  <c r="BZ28" i="73"/>
  <c r="K34" i="73"/>
  <c r="CU34" i="73"/>
  <c r="CN34" i="73"/>
  <c r="CT34" i="73" s="1"/>
  <c r="CV30" i="73"/>
  <c r="W38" i="73"/>
  <c r="CG18" i="73"/>
  <c r="CO13" i="73"/>
  <c r="CG7" i="73"/>
  <c r="CV14" i="73"/>
  <c r="AG32" i="73"/>
  <c r="BW32" i="73"/>
  <c r="CH25" i="73"/>
  <c r="CV25" i="73"/>
  <c r="CO28" i="73"/>
  <c r="CV28" i="73"/>
  <c r="CO34" i="73"/>
  <c r="CA34" i="73"/>
  <c r="CN15" i="73"/>
  <c r="CT15" i="73" s="1"/>
  <c r="CV39" i="73"/>
  <c r="CO10" i="73"/>
  <c r="CA10" i="73"/>
  <c r="I10" i="73"/>
  <c r="CN56" i="73"/>
  <c r="CT56" i="73" s="1"/>
  <c r="AM38" i="72"/>
  <c r="AS70" i="72"/>
  <c r="BK12" i="73"/>
  <c r="I13" i="73"/>
  <c r="CA20" i="73"/>
  <c r="O32" i="73"/>
  <c r="I28" i="73"/>
  <c r="CN28" i="73"/>
  <c r="CT28" i="73" s="1"/>
  <c r="I34" i="73"/>
  <c r="BZ34" i="73"/>
  <c r="K46" i="73"/>
  <c r="CU46" i="73"/>
  <c r="CG46" i="73"/>
  <c r="CN46" i="73"/>
  <c r="CT46" i="73" s="1"/>
  <c r="CG13" i="73"/>
  <c r="CG21" i="73"/>
  <c r="CO8" i="73"/>
  <c r="BG32" i="73"/>
  <c r="K28" i="73"/>
  <c r="CG29" i="73"/>
  <c r="K29" i="73"/>
  <c r="BZ29" i="73"/>
  <c r="K30" i="73"/>
  <c r="CU30" i="73"/>
  <c r="CG30" i="73"/>
  <c r="CG16" i="73"/>
  <c r="BZ16" i="73"/>
  <c r="K16" i="73"/>
  <c r="AE25" i="75"/>
  <c r="AK25" i="75"/>
  <c r="CH60" i="73"/>
  <c r="CH67" i="73"/>
  <c r="CH64" i="73"/>
  <c r="CH66" i="73"/>
  <c r="CH58" i="73"/>
  <c r="CH57" i="73"/>
  <c r="CH43" i="73"/>
  <c r="CH53" i="73"/>
  <c r="CH46" i="73"/>
  <c r="CH63" i="73"/>
  <c r="CH62" i="73"/>
  <c r="CH54" i="73"/>
  <c r="CH51" i="73"/>
  <c r="CH50" i="73"/>
  <c r="CH42" i="73"/>
  <c r="CH41" i="73"/>
  <c r="CH22" i="73"/>
  <c r="CH59" i="73"/>
  <c r="CH52" i="73"/>
  <c r="CH56" i="73"/>
  <c r="CH39" i="73"/>
  <c r="CH15" i="73"/>
  <c r="CH30" i="73"/>
  <c r="CH29" i="73"/>
  <c r="CH65" i="73"/>
  <c r="CH40" i="73"/>
  <c r="CH36" i="73"/>
  <c r="CH10" i="73"/>
  <c r="CH16" i="73"/>
  <c r="CH38" i="73"/>
  <c r="CH34" i="73"/>
  <c r="CH9" i="73"/>
  <c r="CH35" i="73"/>
  <c r="K18" i="73"/>
  <c r="CH18" i="73"/>
  <c r="CH13" i="73"/>
  <c r="CU13" i="73"/>
  <c r="I8" i="73"/>
  <c r="CO32" i="73"/>
  <c r="CG33" i="73"/>
  <c r="CU33" i="73"/>
  <c r="CO29" i="73"/>
  <c r="CO30" i="73"/>
  <c r="I30" i="73"/>
  <c r="CA30" i="73"/>
  <c r="CU36" i="73"/>
  <c r="CG54" i="73"/>
  <c r="BZ54" i="73"/>
  <c r="K54" i="73"/>
  <c r="CN54" i="73"/>
  <c r="CT54" i="73" s="1"/>
  <c r="O65" i="73"/>
  <c r="CO65" i="73"/>
  <c r="CV65" i="73"/>
  <c r="BA60" i="73"/>
  <c r="CG60" i="73"/>
  <c r="BZ36" i="73"/>
  <c r="CO38" i="73"/>
  <c r="CG9" i="73"/>
  <c r="CV15" i="73"/>
  <c r="BZ40" i="73"/>
  <c r="CG41" i="73"/>
  <c r="BZ41" i="73"/>
  <c r="K41" i="73"/>
  <c r="CN50" i="73"/>
  <c r="K52" i="73"/>
  <c r="AC57" i="73"/>
  <c r="CV54" i="73"/>
  <c r="BB68" i="73"/>
  <c r="CN36" i="73"/>
  <c r="I38" i="73"/>
  <c r="CU9" i="73"/>
  <c r="CN40" i="73"/>
  <c r="CT40" i="73" s="1"/>
  <c r="I49" i="73"/>
  <c r="CG47" i="73"/>
  <c r="CO41" i="73"/>
  <c r="AV68" i="73"/>
  <c r="BU68" i="73"/>
  <c r="CV64" i="73"/>
  <c r="AK62" i="74"/>
  <c r="BA38" i="73"/>
  <c r="BZ15" i="73"/>
  <c r="L55" i="73"/>
  <c r="Q55" i="73" s="1"/>
  <c r="K58" i="73"/>
  <c r="CU58" i="73"/>
  <c r="BZ58" i="73"/>
  <c r="CI49" i="77"/>
  <c r="CG49" i="77"/>
  <c r="CV38" i="73"/>
  <c r="CG10" i="73"/>
  <c r="CV49" i="73"/>
  <c r="CO42" i="73"/>
  <c r="CA42" i="73"/>
  <c r="I42" i="73"/>
  <c r="CU56" i="73"/>
  <c r="BZ56" i="73"/>
  <c r="CG50" i="73"/>
  <c r="BZ50" i="73"/>
  <c r="K50" i="73"/>
  <c r="BZ63" i="73"/>
  <c r="K63" i="73"/>
  <c r="CG26" i="73"/>
  <c r="CO33" i="73"/>
  <c r="BW38" i="73"/>
  <c r="CU10" i="73"/>
  <c r="O49" i="73"/>
  <c r="BG50" i="73"/>
  <c r="CN52" i="73"/>
  <c r="CT52" i="73" s="1"/>
  <c r="S68" i="73"/>
  <c r="U68" i="73" s="1"/>
  <c r="CG36" i="73"/>
  <c r="BG38" i="73"/>
  <c r="CG15" i="73"/>
  <c r="CO39" i="73"/>
  <c r="K40" i="73"/>
  <c r="CG40" i="73"/>
  <c r="CV16" i="73"/>
  <c r="CO46" i="73"/>
  <c r="CA46" i="73"/>
  <c r="Q50" i="73"/>
  <c r="CO57" i="73"/>
  <c r="CU53" i="73"/>
  <c r="CG53" i="73"/>
  <c r="K53" i="73"/>
  <c r="W66" i="73"/>
  <c r="CG66" i="73"/>
  <c r="U38" i="73"/>
  <c r="CA38" i="73"/>
  <c r="I39" i="73"/>
  <c r="I46" i="73"/>
  <c r="CU47" i="73"/>
  <c r="CG58" i="73"/>
  <c r="CV53" i="73"/>
  <c r="CO53" i="73"/>
  <c r="CA53" i="73"/>
  <c r="BZ53" i="73"/>
  <c r="CG64" i="73"/>
  <c r="CV36" i="73"/>
  <c r="CV40" i="73"/>
  <c r="CG56" i="73"/>
  <c r="AO50" i="73"/>
  <c r="CO51" i="73"/>
  <c r="CA51" i="73"/>
  <c r="I51" i="73"/>
  <c r="BZ52" i="73"/>
  <c r="CN62" i="73"/>
  <c r="BZ62" i="73"/>
  <c r="AA62" i="73"/>
  <c r="Y68" i="73"/>
  <c r="AA68" i="73" s="1"/>
  <c r="CN63" i="73"/>
  <c r="CT63" i="73" s="1"/>
  <c r="AE7" i="75"/>
  <c r="K15" i="73"/>
  <c r="CV47" i="73"/>
  <c r="CU41" i="73"/>
  <c r="BM50" i="73"/>
  <c r="CV62" i="73"/>
  <c r="I62" i="73"/>
  <c r="AW68" i="73"/>
  <c r="AY62" i="73"/>
  <c r="CG22" i="73"/>
  <c r="CU22" i="73"/>
  <c r="CX61" i="73"/>
  <c r="BH68" i="73"/>
  <c r="CO63" i="73"/>
  <c r="CA63" i="73"/>
  <c r="I63" i="73"/>
  <c r="CU66" i="73"/>
  <c r="AE12" i="75"/>
  <c r="CG42" i="73"/>
  <c r="CV56" i="73"/>
  <c r="CG51" i="73"/>
  <c r="CV52" i="73"/>
  <c r="CV22" i="73"/>
  <c r="BK62" i="73"/>
  <c r="BI68" i="73"/>
  <c r="BK68" i="73" s="1"/>
  <c r="AK68" i="73"/>
  <c r="BZ65" i="73"/>
  <c r="CU65" i="73"/>
  <c r="AL16" i="75"/>
  <c r="AI16" i="75"/>
  <c r="AB28" i="75"/>
  <c r="CU42" i="73"/>
  <c r="CU51" i="73"/>
  <c r="O52" i="73"/>
  <c r="CA58" i="73"/>
  <c r="X68" i="73"/>
  <c r="AQ68" i="73"/>
  <c r="AS68" i="73" s="1"/>
  <c r="AS62" i="73"/>
  <c r="AK7" i="75"/>
  <c r="AB7" i="75"/>
  <c r="BZ42" i="73"/>
  <c r="CG43" i="73"/>
  <c r="BZ51" i="73"/>
  <c r="CG57" i="73"/>
  <c r="BZ22" i="73"/>
  <c r="CN22" i="73"/>
  <c r="CT22" i="73" s="1"/>
  <c r="AE68" i="73"/>
  <c r="CU59" i="73"/>
  <c r="CG59" i="73"/>
  <c r="CX68" i="73"/>
  <c r="AG62" i="74"/>
  <c r="AM50" i="73"/>
  <c r="I58" i="73"/>
  <c r="U22" i="73"/>
  <c r="AG62" i="73"/>
  <c r="BT68" i="73"/>
  <c r="CN60" i="73"/>
  <c r="CT60" i="73" s="1"/>
  <c r="CU60" i="73"/>
  <c r="BZ60" i="73"/>
  <c r="K60" i="73"/>
  <c r="K43" i="73"/>
  <c r="W50" i="73"/>
  <c r="CO50" i="73"/>
  <c r="K57" i="73"/>
  <c r="AJ68" i="73"/>
  <c r="BC68" i="73"/>
  <c r="CN64" i="73"/>
  <c r="CT64" i="73" s="1"/>
  <c r="Q59" i="73"/>
  <c r="AL41" i="74"/>
  <c r="AK5" i="75"/>
  <c r="AK19" i="75"/>
  <c r="AE19" i="75"/>
  <c r="AB19" i="75"/>
  <c r="CU43" i="73"/>
  <c r="CU57" i="73"/>
  <c r="CV58" i="73"/>
  <c r="R68" i="73"/>
  <c r="BZ64" i="73"/>
  <c r="CU64" i="73"/>
  <c r="CN65" i="73"/>
  <c r="CT65" i="73" s="1"/>
  <c r="G80" i="74"/>
  <c r="AK10" i="75"/>
  <c r="AE10" i="75"/>
  <c r="CS13" i="77"/>
  <c r="CZ13" i="77"/>
  <c r="AE14" i="75"/>
  <c r="AK14" i="75"/>
  <c r="AM37" i="76"/>
  <c r="BL19" i="77"/>
  <c r="AL8" i="74"/>
  <c r="AF39" i="74"/>
  <c r="AN62" i="74"/>
  <c r="AI5" i="75"/>
  <c r="AL7" i="75"/>
  <c r="AF7" i="75"/>
  <c r="AC7" i="75"/>
  <c r="AE16" i="75"/>
  <c r="AH16" i="75"/>
  <c r="AK27" i="75"/>
  <c r="AM55" i="76"/>
  <c r="CB13" i="77"/>
  <c r="BZ13" i="77"/>
  <c r="CQ68" i="73"/>
  <c r="CN66" i="73"/>
  <c r="CT66" i="73" s="1"/>
  <c r="AL35" i="74"/>
  <c r="AL8" i="75"/>
  <c r="AL15" i="75"/>
  <c r="AJ46" i="76"/>
  <c r="AM47" i="76"/>
  <c r="CV66" i="73"/>
  <c r="CA66" i="73"/>
  <c r="CO66" i="73"/>
  <c r="CV67" i="73"/>
  <c r="CS70" i="73"/>
  <c r="AH34" i="74"/>
  <c r="AN34" i="74"/>
  <c r="AK34" i="74"/>
  <c r="AE5" i="75"/>
  <c r="AB13" i="75"/>
  <c r="AU25" i="77"/>
  <c r="AD68" i="73"/>
  <c r="BN68" i="73"/>
  <c r="BS68" i="73" s="1"/>
  <c r="I64" i="73"/>
  <c r="CO64" i="73"/>
  <c r="CA64" i="73"/>
  <c r="I60" i="73"/>
  <c r="CV60" i="73"/>
  <c r="I66" i="73"/>
  <c r="AG34" i="74"/>
  <c r="AM40" i="74"/>
  <c r="AJ40" i="74"/>
  <c r="AO41" i="74"/>
  <c r="AF13" i="75"/>
  <c r="AL13" i="75"/>
  <c r="AC13" i="75"/>
  <c r="AH27" i="75"/>
  <c r="AS25" i="77"/>
  <c r="AN40" i="74"/>
  <c r="AK40" i="74"/>
  <c r="AH55" i="74"/>
  <c r="AN55" i="74"/>
  <c r="AK55" i="74"/>
  <c r="AE55" i="74"/>
  <c r="AL5" i="75"/>
  <c r="AE13" i="75"/>
  <c r="AK16" i="75"/>
  <c r="AQ25" i="77"/>
  <c r="AM21" i="74"/>
  <c r="AJ21" i="74"/>
  <c r="AD21" i="74"/>
  <c r="AE6" i="75"/>
  <c r="AK6" i="75"/>
  <c r="AB6" i="75"/>
  <c r="AH24" i="75"/>
  <c r="AS8" i="77"/>
  <c r="AQ8" i="77"/>
  <c r="CV59" i="73"/>
  <c r="AH21" i="74"/>
  <c r="AN21" i="74"/>
  <c r="AK21" i="74"/>
  <c r="AE21" i="74"/>
  <c r="AL54" i="74"/>
  <c r="AC6" i="75"/>
  <c r="AH12" i="75"/>
  <c r="AL14" i="75"/>
  <c r="AC14" i="75"/>
  <c r="AF14" i="75"/>
  <c r="AE17" i="75"/>
  <c r="AK17" i="75"/>
  <c r="AB17" i="75"/>
  <c r="AK23" i="75"/>
  <c r="K67" i="73"/>
  <c r="AB8" i="75"/>
  <c r="AF11" i="75"/>
  <c r="AE15" i="75"/>
  <c r="AF18" i="75"/>
  <c r="AL18" i="75"/>
  <c r="AC18" i="75"/>
  <c r="AI19" i="75"/>
  <c r="AK20" i="75"/>
  <c r="AC20" i="75"/>
  <c r="AH29" i="75"/>
  <c r="AJ55" i="76"/>
  <c r="AU18" i="77"/>
  <c r="AQ18" i="77"/>
  <c r="CZ28" i="77"/>
  <c r="AC8" i="75"/>
  <c r="AB23" i="75"/>
  <c r="AJ21" i="76"/>
  <c r="DG13" i="77"/>
  <c r="BU19" i="77"/>
  <c r="BS19" i="77"/>
  <c r="CI27" i="77"/>
  <c r="CG27" i="77"/>
  <c r="X28" i="77"/>
  <c r="DH28" i="77"/>
  <c r="DA28" i="77"/>
  <c r="V28" i="77"/>
  <c r="AF50" i="74"/>
  <c r="AB5" i="75"/>
  <c r="AB12" i="75"/>
  <c r="AC17" i="75"/>
  <c r="AL19" i="75"/>
  <c r="AC19" i="75"/>
  <c r="AE26" i="75"/>
  <c r="AE29" i="75"/>
  <c r="AK29" i="75"/>
  <c r="AB29" i="75"/>
  <c r="AM43" i="76"/>
  <c r="AM46" i="76"/>
  <c r="BI18" i="77"/>
  <c r="BE18" i="77"/>
  <c r="X13" i="77"/>
  <c r="V13" i="77"/>
  <c r="CB14" i="77"/>
  <c r="BZ14" i="77"/>
  <c r="CB31" i="77"/>
  <c r="CA67" i="73"/>
  <c r="CO67" i="73"/>
  <c r="AF38" i="74"/>
  <c r="AC5" i="75"/>
  <c r="AI8" i="75"/>
  <c r="AL10" i="75"/>
  <c r="AC12" i="75"/>
  <c r="AL12" i="75"/>
  <c r="AK22" i="75"/>
  <c r="AC29" i="75"/>
  <c r="BU12" i="77"/>
  <c r="BS12" i="77"/>
  <c r="BZ31" i="77"/>
  <c r="AF37" i="74"/>
  <c r="AH7" i="75"/>
  <c r="AK11" i="75"/>
  <c r="AB11" i="75"/>
  <c r="AF17" i="75"/>
  <c r="AL22" i="75"/>
  <c r="AJ33" i="76"/>
  <c r="AH4" i="77"/>
  <c r="AB4" i="77"/>
  <c r="AC16" i="75"/>
  <c r="AF19" i="75"/>
  <c r="AL24" i="75"/>
  <c r="AF24" i="75"/>
  <c r="AE27" i="75"/>
  <c r="AB27" i="75"/>
  <c r="AP18" i="76"/>
  <c r="AJ16" i="76"/>
  <c r="O12" i="77"/>
  <c r="DH12" i="77"/>
  <c r="BL12" i="77"/>
  <c r="DG21" i="77"/>
  <c r="AG21" i="77"/>
  <c r="CN67" i="73"/>
  <c r="CT67" i="73" s="1"/>
  <c r="AE24" i="75"/>
  <c r="AH26" i="75"/>
  <c r="AE30" i="75"/>
  <c r="AK30" i="75"/>
  <c r="AB30" i="75"/>
  <c r="BU18" i="77"/>
  <c r="BS18" i="77"/>
  <c r="AE62" i="74"/>
  <c r="AH5" i="75"/>
  <c r="AH17" i="75"/>
  <c r="AK18" i="75"/>
  <c r="AB18" i="75"/>
  <c r="AF30" i="75"/>
  <c r="AL30" i="75"/>
  <c r="AC30" i="75"/>
  <c r="AJ8" i="76"/>
  <c r="CZ12" i="77"/>
  <c r="DA12" i="77"/>
  <c r="BE13" i="77"/>
  <c r="BG13" i="77"/>
  <c r="AP42" i="77"/>
  <c r="AP66" i="77" s="1"/>
  <c r="AS66" i="77" s="1"/>
  <c r="AS37" i="77"/>
  <c r="AH42" i="77"/>
  <c r="AH66" i="77" s="1"/>
  <c r="AN66" i="77" s="1"/>
  <c r="AN9" i="77"/>
  <c r="AJ9" i="77"/>
  <c r="AB22" i="75"/>
  <c r="AC23" i="75"/>
  <c r="BI12" i="77"/>
  <c r="CL7" i="77"/>
  <c r="DG7" i="77"/>
  <c r="L7" i="77"/>
  <c r="CS7" i="77"/>
  <c r="CZ7" i="77"/>
  <c r="L19" i="77"/>
  <c r="CS19" i="77"/>
  <c r="H19" i="77"/>
  <c r="CZ19" i="77"/>
  <c r="CL19" i="77"/>
  <c r="AX33" i="77"/>
  <c r="AQ37" i="77"/>
  <c r="AB20" i="75"/>
  <c r="AC22" i="75"/>
  <c r="AJ12" i="76"/>
  <c r="AJ10" i="76"/>
  <c r="AJ39" i="76"/>
  <c r="AP53" i="76"/>
  <c r="AP62" i="76"/>
  <c r="BG12" i="77"/>
  <c r="DH7" i="77"/>
  <c r="J7" i="77"/>
  <c r="H7" i="77"/>
  <c r="DA7" i="77"/>
  <c r="CM7" i="77"/>
  <c r="CG28" i="77"/>
  <c r="CI28" i="77"/>
  <c r="AC28" i="75"/>
  <c r="X12" i="77"/>
  <c r="CB18" i="77"/>
  <c r="BZ18" i="77"/>
  <c r="BU7" i="77"/>
  <c r="BS7" i="77"/>
  <c r="AX14" i="77"/>
  <c r="CS21" i="77"/>
  <c r="AC21" i="77"/>
  <c r="AE40" i="74"/>
  <c r="AK24" i="75"/>
  <c r="AJ19" i="76"/>
  <c r="AJ9" i="76"/>
  <c r="AJ58" i="76"/>
  <c r="CT63" i="77"/>
  <c r="CT61" i="77"/>
  <c r="CT59" i="77"/>
  <c r="CT22" i="77"/>
  <c r="CT62" i="77"/>
  <c r="CT55" i="77"/>
  <c r="CT56" i="77"/>
  <c r="CT60" i="77"/>
  <c r="CT53" i="77"/>
  <c r="CT48" i="77"/>
  <c r="CT54" i="77"/>
  <c r="CT40" i="77"/>
  <c r="CT16" i="77"/>
  <c r="CT37" i="77"/>
  <c r="CT47" i="77"/>
  <c r="CT41" i="77"/>
  <c r="CT49" i="77"/>
  <c r="CT10" i="77"/>
  <c r="CT39" i="77"/>
  <c r="CT9" i="77"/>
  <c r="CT28" i="77"/>
  <c r="CT26" i="77"/>
  <c r="CT44" i="77"/>
  <c r="CT34" i="77"/>
  <c r="CT33" i="77"/>
  <c r="CT35" i="77"/>
  <c r="CT14" i="77"/>
  <c r="CT31" i="77"/>
  <c r="CT25" i="77"/>
  <c r="CT32" i="77"/>
  <c r="CT8" i="77"/>
  <c r="CT19" i="77"/>
  <c r="CT13" i="77"/>
  <c r="CT18" i="77"/>
  <c r="CT27" i="77"/>
  <c r="CT7" i="77"/>
  <c r="CT20" i="77"/>
  <c r="V12" i="77"/>
  <c r="CG12" i="77"/>
  <c r="CI12" i="77"/>
  <c r="X18" i="77"/>
  <c r="DH18" i="77"/>
  <c r="H14" i="77"/>
  <c r="AC14" i="77"/>
  <c r="V19" i="77"/>
  <c r="AS19" i="77"/>
  <c r="AQ19" i="77"/>
  <c r="DH21" i="77"/>
  <c r="DA21" i="77"/>
  <c r="J21" i="77"/>
  <c r="AE21" i="77"/>
  <c r="AG31" i="77"/>
  <c r="DG31" i="77"/>
  <c r="Q34" i="77"/>
  <c r="O34" i="77"/>
  <c r="BB18" i="77"/>
  <c r="AX18" i="77"/>
  <c r="AU20" i="77"/>
  <c r="AQ20" i="77"/>
  <c r="L8" i="77"/>
  <c r="CZ8" i="77"/>
  <c r="CS8" i="77"/>
  <c r="DG8" i="77"/>
  <c r="H8" i="77"/>
  <c r="CL8" i="77"/>
  <c r="L32" i="77"/>
  <c r="CZ32" i="77"/>
  <c r="CL32" i="77"/>
  <c r="DG32" i="77"/>
  <c r="CS32" i="77"/>
  <c r="BU35" i="77"/>
  <c r="BS35" i="77"/>
  <c r="AC12" i="77"/>
  <c r="AE12" i="77"/>
  <c r="CS18" i="77"/>
  <c r="H18" i="77"/>
  <c r="DG18" i="77"/>
  <c r="AS7" i="77"/>
  <c r="DO7" i="77" s="1"/>
  <c r="AQ7" i="77"/>
  <c r="DH19" i="77"/>
  <c r="V20" i="77"/>
  <c r="CG20" i="77"/>
  <c r="CI20" i="77"/>
  <c r="H32" i="77"/>
  <c r="CM32" i="77"/>
  <c r="DA32" i="77"/>
  <c r="J32" i="77"/>
  <c r="DH32" i="77"/>
  <c r="BU32" i="77"/>
  <c r="BS32" i="77"/>
  <c r="BS16" i="77"/>
  <c r="AJ25" i="76"/>
  <c r="AC18" i="77"/>
  <c r="AE18" i="77"/>
  <c r="CZ18" i="77"/>
  <c r="BU14" i="77"/>
  <c r="BS14" i="77"/>
  <c r="CM14" i="77"/>
  <c r="BU33" i="77"/>
  <c r="BS33" i="77"/>
  <c r="AE13" i="77"/>
  <c r="DH13" i="77"/>
  <c r="O7" i="77"/>
  <c r="AX7" i="77"/>
  <c r="O19" i="77"/>
  <c r="BU20" i="77"/>
  <c r="BS20" i="77"/>
  <c r="AQ21" i="77"/>
  <c r="BL21" i="77"/>
  <c r="AL8" i="77"/>
  <c r="CM8" i="77" s="1"/>
  <c r="CZ20" i="77"/>
  <c r="S20" i="77"/>
  <c r="CS20" i="77"/>
  <c r="CI21" i="77"/>
  <c r="CG21" i="77"/>
  <c r="BU27" i="77"/>
  <c r="BS27" i="77"/>
  <c r="BU28" i="77"/>
  <c r="BS28" i="77"/>
  <c r="X29" i="77"/>
  <c r="V29" i="77"/>
  <c r="DH37" i="77"/>
  <c r="BP37" i="77"/>
  <c r="BJ42" i="77"/>
  <c r="BJ66" i="77" s="1"/>
  <c r="BP66" i="77" s="1"/>
  <c r="AS10" i="77"/>
  <c r="AQ10" i="77"/>
  <c r="AX12" i="77"/>
  <c r="CS14" i="77"/>
  <c r="CL14" i="77"/>
  <c r="V8" i="77"/>
  <c r="DH26" i="77"/>
  <c r="CM26" i="77"/>
  <c r="DA26" i="77"/>
  <c r="AC32" i="77"/>
  <c r="AJ34" i="77"/>
  <c r="AL34" i="77"/>
  <c r="CM34" i="77" s="1"/>
  <c r="M42" i="77"/>
  <c r="M66" i="77" s="1"/>
  <c r="S66" i="77" s="1"/>
  <c r="AO42" i="77"/>
  <c r="AO66" i="77" s="1"/>
  <c r="AU37" i="77"/>
  <c r="BL37" i="77"/>
  <c r="BK42" i="77"/>
  <c r="BK66" i="77" s="1"/>
  <c r="AJ13" i="76"/>
  <c r="AJ32" i="76"/>
  <c r="AJ52" i="76"/>
  <c r="DG12" i="77"/>
  <c r="DH31" i="77"/>
  <c r="DA31" i="77"/>
  <c r="CM31" i="77"/>
  <c r="AE31" i="77"/>
  <c r="AC31" i="77"/>
  <c r="AC33" i="77"/>
  <c r="CS16" i="77"/>
  <c r="BB16" i="77"/>
  <c r="AJ40" i="76"/>
  <c r="AJ22" i="76"/>
  <c r="CT12" i="77"/>
  <c r="BU26" i="77"/>
  <c r="BS26" i="77"/>
  <c r="L33" i="77"/>
  <c r="CZ33" i="77"/>
  <c r="DG33" i="77"/>
  <c r="CS33" i="77"/>
  <c r="CM20" i="77"/>
  <c r="BS31" i="77"/>
  <c r="BU31" i="77"/>
  <c r="CL25" i="77"/>
  <c r="DG25" i="77"/>
  <c r="L25" i="77"/>
  <c r="CS25" i="77"/>
  <c r="CZ25" i="77"/>
  <c r="BL26" i="77"/>
  <c r="H33" i="77"/>
  <c r="DA33" i="77"/>
  <c r="DG34" i="77"/>
  <c r="S9" i="77"/>
  <c r="CZ9" i="77"/>
  <c r="Q21" i="77"/>
  <c r="O21" i="77"/>
  <c r="DA8" i="77"/>
  <c r="BE8" i="77"/>
  <c r="DH8" i="77"/>
  <c r="BP31" i="77"/>
  <c r="DH25" i="77"/>
  <c r="CM25" i="77"/>
  <c r="DA25" i="77"/>
  <c r="CS27" i="77"/>
  <c r="J33" i="77"/>
  <c r="CL33" i="77"/>
  <c r="BZ29" i="77"/>
  <c r="CB29" i="77"/>
  <c r="CI44" i="77"/>
  <c r="CG44" i="77"/>
  <c r="AJ44" i="76"/>
  <c r="AJ54" i="76"/>
  <c r="CS12" i="77"/>
  <c r="DG14" i="77"/>
  <c r="DA19" i="77"/>
  <c r="J20" i="77"/>
  <c r="AX20" i="77"/>
  <c r="DH20" i="77"/>
  <c r="BL31" i="77"/>
  <c r="H25" i="77"/>
  <c r="CS26" i="77"/>
  <c r="CB26" i="77"/>
  <c r="BZ26" i="77"/>
  <c r="CS28" i="77"/>
  <c r="CM33" i="77"/>
  <c r="CS37" i="77"/>
  <c r="AL21" i="77"/>
  <c r="CT21" i="77" s="1"/>
  <c r="BG26" i="77"/>
  <c r="CB32" i="77"/>
  <c r="BZ32" i="77"/>
  <c r="AZ27" i="77"/>
  <c r="V33" i="77"/>
  <c r="CG33" i="77"/>
  <c r="CI33" i="77"/>
  <c r="AC34" i="77"/>
  <c r="O29" i="77"/>
  <c r="H37" i="77"/>
  <c r="BS37" i="77"/>
  <c r="BU37" i="77"/>
  <c r="AZ9" i="77"/>
  <c r="CI9" i="77"/>
  <c r="Q19" i="77"/>
  <c r="CL21" i="77"/>
  <c r="Q8" i="77"/>
  <c r="CZ31" i="77"/>
  <c r="V31" i="77"/>
  <c r="DG26" i="77"/>
  <c r="DO27" i="77"/>
  <c r="BE28" i="77"/>
  <c r="DO28" i="77"/>
  <c r="AQ33" i="77"/>
  <c r="J37" i="77"/>
  <c r="BI9" i="77"/>
  <c r="BE9" i="77"/>
  <c r="AG15" i="77"/>
  <c r="AC15" i="77"/>
  <c r="BL28" i="77"/>
  <c r="BG35" i="77"/>
  <c r="BE35" i="77"/>
  <c r="CM15" i="77"/>
  <c r="DA15" i="77"/>
  <c r="J15" i="77"/>
  <c r="H15" i="77"/>
  <c r="AX16" i="77"/>
  <c r="CS10" i="77"/>
  <c r="AJ52" i="77"/>
  <c r="AL52" i="77"/>
  <c r="CM52" i="77" s="1"/>
  <c r="DG20" i="77"/>
  <c r="CS31" i="77"/>
  <c r="BL25" i="77"/>
  <c r="AC26" i="77"/>
  <c r="AX32" i="77"/>
  <c r="X27" i="77"/>
  <c r="V27" i="77"/>
  <c r="AQ27" i="77"/>
  <c r="AQ28" i="77"/>
  <c r="AC29" i="77"/>
  <c r="AX29" i="77"/>
  <c r="U42" i="77"/>
  <c r="AV42" i="77"/>
  <c r="AV66" i="77" s="1"/>
  <c r="BB66" i="77" s="1"/>
  <c r="BX42" i="77"/>
  <c r="BX66" i="77" s="1"/>
  <c r="O9" i="77"/>
  <c r="BQ42" i="77"/>
  <c r="BQ66" i="77" s="1"/>
  <c r="BW66" i="77" s="1"/>
  <c r="BW9" i="77"/>
  <c r="CS15" i="77"/>
  <c r="AZ16" i="77"/>
  <c r="AC25" i="77"/>
  <c r="AZ26" i="77"/>
  <c r="AX26" i="77"/>
  <c r="BL27" i="77"/>
  <c r="DG28" i="77"/>
  <c r="CL28" i="77"/>
  <c r="DA29" i="77"/>
  <c r="DH29" i="77"/>
  <c r="J29" i="77"/>
  <c r="AJ35" i="77"/>
  <c r="Q9" i="77"/>
  <c r="BL15" i="77"/>
  <c r="AX43" i="77"/>
  <c r="AZ43" i="77"/>
  <c r="DG39" i="77"/>
  <c r="CS39" i="77"/>
  <c r="S39" i="77"/>
  <c r="CZ39" i="77"/>
  <c r="BL53" i="77"/>
  <c r="O31" i="77"/>
  <c r="O32" i="77"/>
  <c r="BE33" i="77"/>
  <c r="H29" i="77"/>
  <c r="DH46" i="77"/>
  <c r="BG46" i="77"/>
  <c r="BE46" i="77"/>
  <c r="Q31" i="77"/>
  <c r="AX31" i="77"/>
  <c r="H28" i="77"/>
  <c r="AC28" i="77"/>
  <c r="X34" i="77"/>
  <c r="V34" i="77"/>
  <c r="BL34" i="77"/>
  <c r="AG37" i="77"/>
  <c r="AA42" i="77"/>
  <c r="AA66" i="77" s="1"/>
  <c r="AG66" i="77" s="1"/>
  <c r="AJ46" i="77"/>
  <c r="AZ28" i="77"/>
  <c r="AX28" i="77"/>
  <c r="CZ29" i="77"/>
  <c r="DG29" i="77"/>
  <c r="CS29" i="77"/>
  <c r="CZ37" i="77"/>
  <c r="CL37" i="77"/>
  <c r="L37" i="77"/>
  <c r="AE37" i="77"/>
  <c r="AC37" i="77"/>
  <c r="AB42" i="77"/>
  <c r="AB66" i="77" s="1"/>
  <c r="DA9" i="77"/>
  <c r="DH10" i="77"/>
  <c r="AL46" i="77"/>
  <c r="CM46" i="77" s="1"/>
  <c r="AJ31" i="77"/>
  <c r="BB31" i="77"/>
  <c r="CK31" i="77"/>
  <c r="AJ25" i="77"/>
  <c r="BE32" i="77"/>
  <c r="L28" i="77"/>
  <c r="DA34" i="77"/>
  <c r="CS34" i="77"/>
  <c r="AL29" i="77"/>
  <c r="CT29" i="77" s="1"/>
  <c r="X35" i="77"/>
  <c r="V35" i="77"/>
  <c r="DA37" i="77"/>
  <c r="CM37" i="77"/>
  <c r="DG35" i="77"/>
  <c r="T42" i="77"/>
  <c r="T66" i="77" s="1"/>
  <c r="Z66" i="77" s="1"/>
  <c r="AJ37" i="77"/>
  <c r="AQ9" i="77"/>
  <c r="DH9" i="77"/>
  <c r="O15" i="77"/>
  <c r="AJ15" i="77"/>
  <c r="DA16" i="77"/>
  <c r="CM16" i="77"/>
  <c r="AQ16" i="77"/>
  <c r="DJ42" i="77"/>
  <c r="Q43" i="77"/>
  <c r="O43" i="77"/>
  <c r="BP43" i="77"/>
  <c r="AE40" i="77"/>
  <c r="AC40" i="77"/>
  <c r="AS29" i="77"/>
  <c r="DH35" i="77"/>
  <c r="H9" i="77"/>
  <c r="BL9" i="77"/>
  <c r="AL15" i="77"/>
  <c r="CT15" i="77" s="1"/>
  <c r="H16" i="77"/>
  <c r="AS16" i="77"/>
  <c r="DO16" i="77" s="1"/>
  <c r="BL16" i="77"/>
  <c r="AU43" i="77"/>
  <c r="BU44" i="77"/>
  <c r="BS44" i="77"/>
  <c r="CS44" i="77"/>
  <c r="CZ40" i="77"/>
  <c r="DG40" i="77"/>
  <c r="CS40" i="77"/>
  <c r="L40" i="77"/>
  <c r="CL40" i="77"/>
  <c r="O35" i="77"/>
  <c r="V37" i="77"/>
  <c r="BE37" i="77"/>
  <c r="J16" i="77"/>
  <c r="AS43" i="77"/>
  <c r="BL44" i="77"/>
  <c r="J40" i="77"/>
  <c r="DA40" i="77"/>
  <c r="DH27" i="77"/>
  <c r="CE42" i="77"/>
  <c r="CE66" i="77" s="1"/>
  <c r="CK66" i="77" s="1"/>
  <c r="BZ16" i="77"/>
  <c r="CB40" i="77"/>
  <c r="BZ40" i="77"/>
  <c r="CK48" i="77"/>
  <c r="CZ43" i="77"/>
  <c r="CL43" i="77"/>
  <c r="DG43" i="77"/>
  <c r="CS43" i="77"/>
  <c r="DG44" i="77"/>
  <c r="AS41" i="77"/>
  <c r="AQ41" i="77"/>
  <c r="BE29" i="77"/>
  <c r="DO35" i="77"/>
  <c r="AW42" i="77"/>
  <c r="AW66" i="77" s="1"/>
  <c r="AX37" i="77"/>
  <c r="CK37" i="77"/>
  <c r="V9" i="77"/>
  <c r="DO9" i="77"/>
  <c r="AX15" i="77"/>
  <c r="AX10" i="77"/>
  <c r="BS10" i="77"/>
  <c r="DH43" i="77"/>
  <c r="J43" i="77"/>
  <c r="DA43" i="77"/>
  <c r="AG43" i="77"/>
  <c r="AX39" i="77"/>
  <c r="AQ35" i="77"/>
  <c r="O37" i="77"/>
  <c r="CS9" i="77"/>
  <c r="CZ15" i="77"/>
  <c r="H43" i="77"/>
  <c r="AC44" i="77"/>
  <c r="CS35" i="77"/>
  <c r="DG9" i="77"/>
  <c r="CZ16" i="77"/>
  <c r="H10" i="77"/>
  <c r="DA10" i="77"/>
  <c r="CM10" i="77"/>
  <c r="S58" i="77"/>
  <c r="CZ58" i="77"/>
  <c r="AL43" i="77"/>
  <c r="CM43" i="77" s="1"/>
  <c r="X44" i="77"/>
  <c r="BG44" i="77"/>
  <c r="DH39" i="77"/>
  <c r="AS39" i="77"/>
  <c r="AQ40" i="77"/>
  <c r="AG54" i="77"/>
  <c r="CS54" i="77"/>
  <c r="CI60" i="77"/>
  <c r="CG60" i="77"/>
  <c r="DO44" i="77"/>
  <c r="BI46" i="77"/>
  <c r="AN58" i="77"/>
  <c r="CZ10" i="77"/>
  <c r="CD43" i="77"/>
  <c r="DH44" i="77"/>
  <c r="DJ64" i="77"/>
  <c r="V10" i="77"/>
  <c r="BE10" i="77"/>
  <c r="AC43" i="77"/>
  <c r="BL43" i="77"/>
  <c r="O44" i="77"/>
  <c r="AX44" i="77"/>
  <c r="O39" i="77"/>
  <c r="CI52" i="77"/>
  <c r="CG52" i="77"/>
  <c r="BB49" i="77"/>
  <c r="AX49" i="77"/>
  <c r="AE43" i="77"/>
  <c r="CS41" i="77"/>
  <c r="L41" i="77"/>
  <c r="DG41" i="77"/>
  <c r="CZ41" i="77"/>
  <c r="CL41" i="77"/>
  <c r="BU39" i="77"/>
  <c r="BS39" i="77"/>
  <c r="DH41" i="77"/>
  <c r="J41" i="77"/>
  <c r="H41" i="77"/>
  <c r="DA41" i="77"/>
  <c r="CM41" i="77"/>
  <c r="CD46" i="77"/>
  <c r="BU47" i="77"/>
  <c r="BS47" i="77"/>
  <c r="S48" i="77"/>
  <c r="CS48" i="77"/>
  <c r="AN56" i="77"/>
  <c r="CS56" i="77"/>
  <c r="DG56" i="77"/>
  <c r="AJ44" i="77"/>
  <c r="CL44" i="77"/>
  <c r="CB46" i="77"/>
  <c r="BZ46" i="77"/>
  <c r="BL47" i="77"/>
  <c r="CZ48" i="77"/>
  <c r="AQ53" i="77"/>
  <c r="AS53" i="77"/>
  <c r="BU56" i="77"/>
  <c r="BS56" i="77"/>
  <c r="CM44" i="77"/>
  <c r="CZ44" i="77"/>
  <c r="DG52" i="77"/>
  <c r="L52" i="77"/>
  <c r="CS52" i="77"/>
  <c r="BE41" i="77"/>
  <c r="DG46" i="77"/>
  <c r="BZ47" i="77"/>
  <c r="CB47" i="77"/>
  <c r="O48" i="77"/>
  <c r="BU48" i="77"/>
  <c r="BS48" i="77"/>
  <c r="CS53" i="77"/>
  <c r="AJ56" i="77"/>
  <c r="DG10" i="77"/>
  <c r="AJ43" i="77"/>
  <c r="X39" i="77"/>
  <c r="CZ52" i="77"/>
  <c r="BU41" i="77"/>
  <c r="BS41" i="77"/>
  <c r="V53" i="77"/>
  <c r="X53" i="77"/>
  <c r="AE46" i="77"/>
  <c r="DA47" i="77"/>
  <c r="AZ48" i="77"/>
  <c r="AX48" i="77"/>
  <c r="DA53" i="77"/>
  <c r="J53" i="77"/>
  <c r="DH53" i="77"/>
  <c r="BU49" i="77"/>
  <c r="BS49" i="77"/>
  <c r="CB55" i="77"/>
  <c r="BZ55" i="77"/>
  <c r="DH48" i="77"/>
  <c r="DA48" i="77"/>
  <c r="J48" i="77"/>
  <c r="DG59" i="77"/>
  <c r="CS59" i="77"/>
  <c r="CL59" i="77"/>
  <c r="CZ59" i="77"/>
  <c r="L59" i="77"/>
  <c r="AE59" i="77"/>
  <c r="AC59" i="77"/>
  <c r="O46" i="77"/>
  <c r="H48" i="77"/>
  <c r="S22" i="77"/>
  <c r="O22" i="77"/>
  <c r="DA59" i="77"/>
  <c r="J59" i="77"/>
  <c r="CM59" i="77"/>
  <c r="DH59" i="77"/>
  <c r="DH52" i="77"/>
  <c r="X47" i="77"/>
  <c r="V47" i="77"/>
  <c r="AE54" i="77"/>
  <c r="AC54" i="77"/>
  <c r="AZ60" i="77"/>
  <c r="AX60" i="77"/>
  <c r="DG61" i="77"/>
  <c r="CS61" i="77"/>
  <c r="L61" i="77"/>
  <c r="CL61" i="77"/>
  <c r="CZ61" i="77"/>
  <c r="CI62" i="77"/>
  <c r="CG62" i="77"/>
  <c r="H52" i="77"/>
  <c r="AQ52" i="77"/>
  <c r="V46" i="77"/>
  <c r="AQ48" i="77"/>
  <c r="BL48" i="77"/>
  <c r="DG22" i="77"/>
  <c r="Q56" i="77"/>
  <c r="DH56" i="77"/>
  <c r="O56" i="77"/>
  <c r="Q62" i="77"/>
  <c r="O62" i="77"/>
  <c r="DA62" i="77"/>
  <c r="DA63" i="77"/>
  <c r="J63" i="77"/>
  <c r="CM63" i="77"/>
  <c r="BU63" i="77"/>
  <c r="BS63" i="77"/>
  <c r="BL40" i="77"/>
  <c r="J52" i="77"/>
  <c r="BL41" i="77"/>
  <c r="CS46" i="77"/>
  <c r="X46" i="77"/>
  <c r="AQ46" i="77"/>
  <c r="AS48" i="77"/>
  <c r="BS54" i="77"/>
  <c r="BU54" i="77"/>
  <c r="AC49" i="77"/>
  <c r="J83" i="77"/>
  <c r="AC41" i="77"/>
  <c r="AS46" i="77"/>
  <c r="BP46" i="77"/>
  <c r="AE53" i="77"/>
  <c r="AC53" i="77"/>
  <c r="H46" i="77"/>
  <c r="AG46" i="77"/>
  <c r="AU46" i="77"/>
  <c r="CZ46" i="77"/>
  <c r="CL53" i="77"/>
  <c r="DG53" i="77"/>
  <c r="CZ53" i="77"/>
  <c r="BL54" i="77"/>
  <c r="L60" i="77"/>
  <c r="CZ60" i="77"/>
  <c r="CS60" i="77"/>
  <c r="CL60" i="77"/>
  <c r="DH63" i="77"/>
  <c r="CS49" i="77"/>
  <c r="DO49" i="77"/>
  <c r="CS22" i="77"/>
  <c r="AQ22" i="77"/>
  <c r="BL22" i="77"/>
  <c r="CZ22" i="77"/>
  <c r="AQ59" i="77"/>
  <c r="BU55" i="77"/>
  <c r="BS55" i="77"/>
  <c r="BU62" i="77"/>
  <c r="BS62" i="77"/>
  <c r="BE54" i="77"/>
  <c r="AQ49" i="77"/>
  <c r="DA22" i="77"/>
  <c r="J22" i="77"/>
  <c r="AS22" i="77"/>
  <c r="CL22" i="77"/>
  <c r="AS59" i="77"/>
  <c r="AS61" i="77"/>
  <c r="AQ61" i="77"/>
  <c r="CS47" i="77"/>
  <c r="H49" i="77"/>
  <c r="H22" i="77"/>
  <c r="CM22" i="77"/>
  <c r="AC58" i="77"/>
  <c r="V60" i="77"/>
  <c r="Q55" i="77"/>
  <c r="S62" i="77"/>
  <c r="CS62" i="77"/>
  <c r="BL62" i="77"/>
  <c r="DG63" i="77"/>
  <c r="CS63" i="77"/>
  <c r="L63" i="77"/>
  <c r="CZ63" i="77"/>
  <c r="DG54" i="77"/>
  <c r="O49" i="77"/>
  <c r="DH49" i="77"/>
  <c r="O58" i="77"/>
  <c r="DA58" i="77"/>
  <c r="BS60" i="77"/>
  <c r="BB55" i="77"/>
  <c r="AX55" i="77"/>
  <c r="DA61" i="77"/>
  <c r="J61" i="77"/>
  <c r="BB62" i="77"/>
  <c r="AX62" i="77"/>
  <c r="CL47" i="77"/>
  <c r="DH54" i="77"/>
  <c r="Q49" i="77"/>
  <c r="Q58" i="77"/>
  <c r="BU60" i="77"/>
  <c r="H61" i="77"/>
  <c r="BE47" i="77"/>
  <c r="CM47" i="77"/>
  <c r="DG48" i="77"/>
  <c r="O54" i="77"/>
  <c r="AX54" i="77"/>
  <c r="AJ49" i="77"/>
  <c r="BE59" i="77"/>
  <c r="CZ55" i="77"/>
  <c r="BL46" i="77"/>
  <c r="H47" i="77"/>
  <c r="CZ47" i="77"/>
  <c r="AJ48" i="77"/>
  <c r="O53" i="77"/>
  <c r="AX53" i="77"/>
  <c r="CL49" i="77"/>
  <c r="BE22" i="77"/>
  <c r="AS58" i="77"/>
  <c r="O60" i="77"/>
  <c r="AC55" i="77"/>
  <c r="DA55" i="77"/>
  <c r="DH61" i="77"/>
  <c r="V56" i="77"/>
  <c r="AC62" i="77"/>
  <c r="AS63" i="77"/>
  <c r="AQ63" i="77"/>
  <c r="Z83" i="77"/>
  <c r="J47" i="77"/>
  <c r="AQ47" i="77"/>
  <c r="CL54" i="77"/>
  <c r="CM49" i="77"/>
  <c r="CZ49" i="77"/>
  <c r="BL58" i="77"/>
  <c r="BG60" i="77"/>
  <c r="BE60" i="77"/>
  <c r="CM61" i="77"/>
  <c r="V63" i="77"/>
  <c r="CS58" i="77"/>
  <c r="CS55" i="77"/>
  <c r="CL56" i="77"/>
  <c r="DG58" i="77"/>
  <c r="CM60" i="77"/>
  <c r="DG55" i="77"/>
  <c r="AC61" i="77"/>
  <c r="BE56" i="77"/>
  <c r="CM56" i="77"/>
  <c r="DG62" i="77"/>
  <c r="AC63" i="77"/>
  <c r="J64" i="77"/>
  <c r="AJ58" i="77"/>
  <c r="DH58" i="77"/>
  <c r="BL59" i="77"/>
  <c r="H60" i="77"/>
  <c r="AJ55" i="77"/>
  <c r="DH55" i="77"/>
  <c r="BL61" i="77"/>
  <c r="H56" i="77"/>
  <c r="CZ56" i="77"/>
  <c r="AJ62" i="77"/>
  <c r="DH62" i="77"/>
  <c r="AL58" i="77"/>
  <c r="CM58" i="77" s="1"/>
  <c r="O59" i="77"/>
  <c r="J60" i="77"/>
  <c r="AQ60" i="77"/>
  <c r="DO60" i="77"/>
  <c r="O61" i="77"/>
  <c r="J56" i="77"/>
  <c r="AQ56" i="77"/>
  <c r="DO56" i="77"/>
  <c r="O63" i="77"/>
  <c r="V62" i="77"/>
  <c r="AX63" i="77"/>
  <c r="I65" i="74"/>
  <c r="K65" i="74"/>
  <c r="K66" i="74"/>
  <c r="I67" i="74"/>
  <c r="M67" i="74"/>
  <c r="K67" i="74"/>
  <c r="M66" i="74"/>
  <c r="M65" i="74"/>
  <c r="I66" i="74"/>
  <c r="CW38" i="77" l="1"/>
  <c r="CU38" i="77"/>
  <c r="AL28" i="74"/>
  <c r="AO28" i="74"/>
  <c r="AW48" i="72"/>
  <c r="CW24" i="77"/>
  <c r="CU24" i="77"/>
  <c r="CL30" i="77"/>
  <c r="CS30" i="77"/>
  <c r="CT30" i="77"/>
  <c r="AP23" i="76"/>
  <c r="AJ57" i="76"/>
  <c r="AR68" i="72"/>
  <c r="AM61" i="72"/>
  <c r="U66" i="77"/>
  <c r="V66" i="77" s="1"/>
  <c r="AT69" i="87"/>
  <c r="AT70" i="87" s="1"/>
  <c r="AU70" i="87" s="1"/>
  <c r="CI69" i="73"/>
  <c r="CK69" i="73"/>
  <c r="CW65" i="77"/>
  <c r="CU65" i="77"/>
  <c r="CM36" i="77"/>
  <c r="CM17" i="77"/>
  <c r="CM57" i="77"/>
  <c r="CM64" i="77"/>
  <c r="CM45" i="77"/>
  <c r="CM42" i="77"/>
  <c r="CM51" i="77"/>
  <c r="AJ64" i="76"/>
  <c r="AP51" i="76"/>
  <c r="AP64" i="76"/>
  <c r="AP57" i="76"/>
  <c r="AJ51" i="76"/>
  <c r="AP45" i="76"/>
  <c r="AJ45" i="76"/>
  <c r="AJ42" i="76"/>
  <c r="AP42" i="76"/>
  <c r="AP36" i="76"/>
  <c r="AJ36" i="76"/>
  <c r="AJ30" i="76"/>
  <c r="AP30" i="76"/>
  <c r="AJ23" i="76"/>
  <c r="AP17" i="76"/>
  <c r="AJ17" i="76"/>
  <c r="AJ11" i="76"/>
  <c r="AP11" i="76"/>
  <c r="AM48" i="72"/>
  <c r="AW68" i="72"/>
  <c r="AM68" i="72"/>
  <c r="AW61" i="72"/>
  <c r="AR61" i="72"/>
  <c r="AW55" i="72"/>
  <c r="AR55" i="72"/>
  <c r="AM55" i="72"/>
  <c r="AR48" i="72"/>
  <c r="AM44" i="72"/>
  <c r="AR44" i="72"/>
  <c r="AW44" i="72"/>
  <c r="AW37" i="72"/>
  <c r="AM37" i="72"/>
  <c r="AR37" i="72"/>
  <c r="AR31" i="72"/>
  <c r="AM31" i="72"/>
  <c r="AW31" i="72"/>
  <c r="AW23" i="72"/>
  <c r="AR23" i="72"/>
  <c r="AM23" i="72"/>
  <c r="CM11" i="77"/>
  <c r="CW50" i="77"/>
  <c r="CU50" i="77"/>
  <c r="BZ11" i="73"/>
  <c r="BZ37" i="73"/>
  <c r="CG37" i="73"/>
  <c r="CH37" i="73"/>
  <c r="V70" i="73"/>
  <c r="AN64" i="74"/>
  <c r="G24" i="82"/>
  <c r="I14" i="82"/>
  <c r="I30" i="82"/>
  <c r="I27" i="82"/>
  <c r="J27" i="82"/>
  <c r="G27" i="82"/>
  <c r="H27" i="82"/>
  <c r="I20" i="82"/>
  <c r="J33" i="82"/>
  <c r="I33" i="82"/>
  <c r="G33" i="82"/>
  <c r="H33" i="82"/>
  <c r="G20" i="82"/>
  <c r="CL51" i="77"/>
  <c r="CS51" i="77"/>
  <c r="CD66" i="77"/>
  <c r="BZ66" i="77"/>
  <c r="BL66" i="77"/>
  <c r="BN66" i="77"/>
  <c r="BE66" i="77"/>
  <c r="BG66" i="77"/>
  <c r="AX66" i="77"/>
  <c r="AZ66" i="77"/>
  <c r="O66" i="77"/>
  <c r="Q66" i="77"/>
  <c r="AU66" i="77"/>
  <c r="AQ66" i="77"/>
  <c r="AJ66" i="77"/>
  <c r="AL66" i="77"/>
  <c r="AC66" i="77"/>
  <c r="AE66" i="77"/>
  <c r="BU70" i="73"/>
  <c r="BW70" i="73" s="1"/>
  <c r="BT70" i="73"/>
  <c r="BY70" i="73" s="1"/>
  <c r="BO70" i="73"/>
  <c r="BN70" i="73"/>
  <c r="BS70" i="73" s="1"/>
  <c r="BI70" i="73"/>
  <c r="BK70" i="73" s="1"/>
  <c r="BH70" i="73"/>
  <c r="BM70" i="73" s="1"/>
  <c r="BC70" i="73"/>
  <c r="BE70" i="73" s="1"/>
  <c r="R70" i="73"/>
  <c r="BB70" i="73"/>
  <c r="BG70" i="73" s="1"/>
  <c r="AW70" i="73"/>
  <c r="AY70" i="73" s="1"/>
  <c r="AV70" i="73"/>
  <c r="BA70" i="73" s="1"/>
  <c r="AP70" i="73"/>
  <c r="AU70" i="73" s="1"/>
  <c r="AQ70" i="73"/>
  <c r="AS70" i="73" s="1"/>
  <c r="AJ70" i="73"/>
  <c r="AO70" i="73" s="1"/>
  <c r="AK70" i="73"/>
  <c r="AM70" i="73" s="1"/>
  <c r="AE70" i="73"/>
  <c r="AG70" i="73" s="1"/>
  <c r="AD70" i="73"/>
  <c r="AI70" i="73" s="1"/>
  <c r="Y70" i="73"/>
  <c r="AA70" i="73" s="1"/>
  <c r="X70" i="73"/>
  <c r="AC70" i="73" s="1"/>
  <c r="S70" i="73"/>
  <c r="U70" i="73" s="1"/>
  <c r="M70" i="73"/>
  <c r="L70" i="73"/>
  <c r="Q70" i="73" s="1"/>
  <c r="G70" i="73"/>
  <c r="F70" i="73"/>
  <c r="K70" i="73" s="1"/>
  <c r="CL23" i="73"/>
  <c r="CS57" i="77"/>
  <c r="X11" i="77"/>
  <c r="V11" i="77"/>
  <c r="AF23" i="76"/>
  <c r="AK30" i="76"/>
  <c r="AH23" i="76"/>
  <c r="AI23" i="76"/>
  <c r="AL30" i="76"/>
  <c r="AE23" i="76"/>
  <c r="AN23" i="76"/>
  <c r="AO23" i="76"/>
  <c r="AG17" i="76"/>
  <c r="AM11" i="76"/>
  <c r="AM17" i="76" s="1"/>
  <c r="AM23" i="76" s="1"/>
  <c r="AG11" i="76"/>
  <c r="CK42" i="77"/>
  <c r="CD42" i="77"/>
  <c r="BW42" i="77"/>
  <c r="CT17" i="77"/>
  <c r="BP42" i="77"/>
  <c r="BI42" i="77"/>
  <c r="BG42" i="77"/>
  <c r="AU42" i="77"/>
  <c r="AL42" i="77"/>
  <c r="AG42" i="77"/>
  <c r="X42" i="77"/>
  <c r="S42" i="77"/>
  <c r="CL64" i="77"/>
  <c r="CL57" i="77"/>
  <c r="CS45" i="77"/>
  <c r="CL45" i="77"/>
  <c r="CS36" i="77"/>
  <c r="CL36" i="77"/>
  <c r="CT36" i="77"/>
  <c r="CT23" i="77"/>
  <c r="CL23" i="77"/>
  <c r="CS23" i="77"/>
  <c r="CL17" i="77"/>
  <c r="CS17" i="77"/>
  <c r="CS11" i="77"/>
  <c r="CY11" i="77" s="1"/>
  <c r="CL11" i="77"/>
  <c r="CT11" i="77"/>
  <c r="K45" i="77"/>
  <c r="K66" i="77" s="1"/>
  <c r="H45" i="77"/>
  <c r="J45" i="77"/>
  <c r="DH45" i="77"/>
  <c r="J36" i="77"/>
  <c r="J23" i="77"/>
  <c r="DJ17" i="77"/>
  <c r="J17" i="77"/>
  <c r="H17" i="77"/>
  <c r="DC23" i="77"/>
  <c r="DC30" i="77" s="1"/>
  <c r="DN11" i="77"/>
  <c r="DT11" i="77" s="1"/>
  <c r="CZ11" i="77"/>
  <c r="DF11" i="77" s="1"/>
  <c r="DA11" i="77"/>
  <c r="DA17" i="77" s="1"/>
  <c r="DJ11" i="77"/>
  <c r="AJ55" i="74"/>
  <c r="AL55" i="74" s="1"/>
  <c r="AM55" i="74"/>
  <c r="AO55" i="74" s="1"/>
  <c r="L43" i="77"/>
  <c r="CL48" i="73"/>
  <c r="BZ48" i="73"/>
  <c r="CA48" i="73"/>
  <c r="CI45" i="73"/>
  <c r="CH48" i="73"/>
  <c r="CG48" i="73"/>
  <c r="BS11" i="73"/>
  <c r="BW11" i="73"/>
  <c r="BM11" i="73"/>
  <c r="CL61" i="73"/>
  <c r="BK11" i="73"/>
  <c r="CL11" i="73"/>
  <c r="BQ11" i="73"/>
  <c r="CL55" i="73"/>
  <c r="BE11" i="73"/>
  <c r="BZ61" i="73"/>
  <c r="BZ23" i="73"/>
  <c r="BG11" i="73"/>
  <c r="BA11" i="73"/>
  <c r="AY11" i="73"/>
  <c r="AS11" i="73"/>
  <c r="AU11" i="73"/>
  <c r="AO11" i="73"/>
  <c r="AM11" i="73"/>
  <c r="AG11" i="73"/>
  <c r="AI11" i="73"/>
  <c r="AA11" i="73"/>
  <c r="AC11" i="73"/>
  <c r="U11" i="73"/>
  <c r="W11" i="73"/>
  <c r="O11" i="73"/>
  <c r="Q11" i="73"/>
  <c r="I11" i="73"/>
  <c r="CH61" i="73"/>
  <c r="CG61" i="73"/>
  <c r="CA61" i="73"/>
  <c r="DL44" i="73"/>
  <c r="CH23" i="73"/>
  <c r="CG23" i="73"/>
  <c r="CA23" i="73"/>
  <c r="CH11" i="73"/>
  <c r="CG11" i="73"/>
  <c r="CA11" i="73"/>
  <c r="K11" i="73"/>
  <c r="CK45" i="73"/>
  <c r="CH44" i="73"/>
  <c r="CG44" i="73"/>
  <c r="CA44" i="73"/>
  <c r="CA37" i="73"/>
  <c r="BZ44" i="73"/>
  <c r="DH35" i="73"/>
  <c r="DK44" i="73"/>
  <c r="CU44" i="73"/>
  <c r="DA44" i="73" s="1"/>
  <c r="CV44" i="73"/>
  <c r="CR35" i="73"/>
  <c r="CH31" i="73"/>
  <c r="CG31" i="73"/>
  <c r="CM31" i="73" s="1"/>
  <c r="CA31" i="73"/>
  <c r="BZ31" i="73"/>
  <c r="DL31" i="73"/>
  <c r="CV31" i="73"/>
  <c r="DH26" i="73"/>
  <c r="DK31" i="73"/>
  <c r="CU31" i="73"/>
  <c r="DA31" i="73" s="1"/>
  <c r="CT26" i="73"/>
  <c r="K23" i="73"/>
  <c r="DK23" i="73"/>
  <c r="CU23" i="73"/>
  <c r="DA23" i="73" s="1"/>
  <c r="DH18" i="73"/>
  <c r="CT18" i="73"/>
  <c r="CV23" i="73"/>
  <c r="DL23" i="73"/>
  <c r="CG17" i="73"/>
  <c r="CR18" i="73"/>
  <c r="CH17" i="73"/>
  <c r="BZ17" i="73"/>
  <c r="CA17" i="73"/>
  <c r="CT7" i="73"/>
  <c r="CN11" i="73"/>
  <c r="CT11" i="73" s="1"/>
  <c r="DH7" i="73"/>
  <c r="DB11" i="73"/>
  <c r="DH11" i="73" s="1"/>
  <c r="DC11" i="73"/>
  <c r="CO11" i="73"/>
  <c r="DL11" i="73"/>
  <c r="CV11" i="73"/>
  <c r="DK11" i="73"/>
  <c r="CU11" i="73"/>
  <c r="DA11" i="73" s="1"/>
  <c r="AV68" i="72"/>
  <c r="AQ48" i="72"/>
  <c r="AK48" i="72"/>
  <c r="AK55" i="72" s="1"/>
  <c r="AI48" i="72"/>
  <c r="AI55" i="72" s="1"/>
  <c r="AO48" i="72"/>
  <c r="AO55" i="72" s="1"/>
  <c r="AF48" i="72"/>
  <c r="AF55" i="72" s="1"/>
  <c r="AE61" i="72"/>
  <c r="AE70" i="72" s="1"/>
  <c r="AJ61" i="72"/>
  <c r="AJ70" i="72" s="1"/>
  <c r="AT61" i="72"/>
  <c r="AT70" i="72" s="1"/>
  <c r="AD61" i="72"/>
  <c r="AM17" i="72"/>
  <c r="AR17" i="72"/>
  <c r="AW17" i="72"/>
  <c r="AR11" i="72"/>
  <c r="AM11" i="72"/>
  <c r="AW11" i="72"/>
  <c r="G14" i="82"/>
  <c r="DN67" i="73"/>
  <c r="CC67" i="73"/>
  <c r="CD67" i="73" s="1"/>
  <c r="DE67" i="73"/>
  <c r="CJ67" i="73"/>
  <c r="CK67" i="73" s="1"/>
  <c r="BQ67" i="73"/>
  <c r="DN66" i="73"/>
  <c r="CC66" i="73"/>
  <c r="DO66" i="73" s="1"/>
  <c r="DE66" i="73"/>
  <c r="DF66" i="73" s="1"/>
  <c r="CJ66" i="73"/>
  <c r="CK66" i="73" s="1"/>
  <c r="BQ66" i="73"/>
  <c r="DN60" i="73"/>
  <c r="CC60" i="73"/>
  <c r="CD60" i="73" s="1"/>
  <c r="DE60" i="73"/>
  <c r="DF60" i="73" s="1"/>
  <c r="CJ60" i="73"/>
  <c r="CK60" i="73" s="1"/>
  <c r="BQ60" i="73"/>
  <c r="DN65" i="73"/>
  <c r="CC65" i="73"/>
  <c r="CD65" i="73" s="1"/>
  <c r="DE65" i="73"/>
  <c r="DF65" i="73" s="1"/>
  <c r="BQ65" i="73"/>
  <c r="CJ65" i="73"/>
  <c r="CK65" i="73" s="1"/>
  <c r="G16" i="82"/>
  <c r="DN59" i="73"/>
  <c r="CC59" i="73"/>
  <c r="CD59" i="73" s="1"/>
  <c r="DE59" i="73"/>
  <c r="DF59" i="73" s="1"/>
  <c r="BQ59" i="73"/>
  <c r="CJ59" i="73"/>
  <c r="CK59" i="73" s="1"/>
  <c r="DN64" i="73"/>
  <c r="CC64" i="73"/>
  <c r="CD64" i="73" s="1"/>
  <c r="DE64" i="73"/>
  <c r="DF64" i="73" s="1"/>
  <c r="BQ64" i="73"/>
  <c r="CJ64" i="73"/>
  <c r="CK64" i="73" s="1"/>
  <c r="DN63" i="73"/>
  <c r="CC63" i="73"/>
  <c r="DO63" i="73" s="1"/>
  <c r="DE63" i="73"/>
  <c r="DF63" i="73" s="1"/>
  <c r="BQ63" i="73"/>
  <c r="CJ63" i="73"/>
  <c r="CK63" i="73" s="1"/>
  <c r="BP68" i="73"/>
  <c r="BQ68" i="73" s="1"/>
  <c r="DN62" i="73"/>
  <c r="CC62" i="73"/>
  <c r="DE62" i="73"/>
  <c r="BQ62" i="73"/>
  <c r="CJ62" i="73"/>
  <c r="CK62" i="73" s="1"/>
  <c r="W16" i="84" a="1"/>
  <c r="W16" i="84" s="1"/>
  <c r="DN22" i="73"/>
  <c r="CC22" i="73"/>
  <c r="CD22" i="73" s="1"/>
  <c r="DE22" i="73"/>
  <c r="CJ22" i="73"/>
  <c r="CK22" i="73" s="1"/>
  <c r="BQ22" i="73"/>
  <c r="DN54" i="73"/>
  <c r="CC54" i="73"/>
  <c r="DO54" i="73" s="1"/>
  <c r="DE54" i="73"/>
  <c r="DF54" i="73" s="1"/>
  <c r="BQ54" i="73"/>
  <c r="CJ54" i="73"/>
  <c r="CK54" i="73" s="1"/>
  <c r="DN53" i="73"/>
  <c r="CC53" i="73"/>
  <c r="CD53" i="73" s="1"/>
  <c r="DE53" i="73"/>
  <c r="BQ53" i="73"/>
  <c r="CJ53" i="73"/>
  <c r="CK53" i="73" s="1"/>
  <c r="DN58" i="73"/>
  <c r="CC58" i="73"/>
  <c r="CD58" i="73" s="1"/>
  <c r="DE58" i="73"/>
  <c r="DF58" i="73" s="1"/>
  <c r="BQ58" i="73"/>
  <c r="CJ58" i="73"/>
  <c r="CK58" i="73" s="1"/>
  <c r="DN57" i="73"/>
  <c r="CC57" i="73"/>
  <c r="CD57" i="73" s="1"/>
  <c r="DE57" i="73"/>
  <c r="DF57" i="73" s="1"/>
  <c r="BQ57" i="73"/>
  <c r="CJ57" i="73"/>
  <c r="CK57" i="73" s="1"/>
  <c r="DN52" i="73"/>
  <c r="CC52" i="73"/>
  <c r="DO52" i="73" s="1"/>
  <c r="DE52" i="73"/>
  <c r="BQ52" i="73"/>
  <c r="CJ52" i="73"/>
  <c r="CK52" i="73" s="1"/>
  <c r="DN51" i="73"/>
  <c r="CC51" i="73"/>
  <c r="DO51" i="73" s="1"/>
  <c r="DE51" i="73"/>
  <c r="DF51" i="73" s="1"/>
  <c r="CJ51" i="73"/>
  <c r="BQ51" i="73"/>
  <c r="DN50" i="73"/>
  <c r="CC50" i="73"/>
  <c r="CD50" i="73" s="1"/>
  <c r="DE50" i="73"/>
  <c r="DF50" i="73" s="1"/>
  <c r="BQ50" i="73"/>
  <c r="CJ50" i="73"/>
  <c r="CK50" i="73" s="1"/>
  <c r="DN43" i="73"/>
  <c r="CC43" i="73"/>
  <c r="CD43" i="73" s="1"/>
  <c r="DE43" i="73"/>
  <c r="DF43" i="73" s="1"/>
  <c r="BQ43" i="73"/>
  <c r="CJ43" i="73"/>
  <c r="CK43" i="73" s="1"/>
  <c r="DN56" i="73"/>
  <c r="DE56" i="73"/>
  <c r="DF56" i="73" s="1"/>
  <c r="BQ56" i="73"/>
  <c r="CJ56" i="73"/>
  <c r="DN42" i="73"/>
  <c r="CC42" i="73"/>
  <c r="DO42" i="73" s="1"/>
  <c r="DE42" i="73"/>
  <c r="DF42" i="73" s="1"/>
  <c r="BQ42" i="73"/>
  <c r="CJ42" i="73"/>
  <c r="CK42" i="73" s="1"/>
  <c r="DN41" i="73"/>
  <c r="CC41" i="73"/>
  <c r="DO41" i="73" s="1"/>
  <c r="DE41" i="73"/>
  <c r="DF41" i="73" s="1"/>
  <c r="CJ41" i="73"/>
  <c r="CK41" i="73" s="1"/>
  <c r="BQ41" i="73"/>
  <c r="DN47" i="73"/>
  <c r="CC47" i="73"/>
  <c r="CD47" i="73" s="1"/>
  <c r="DE47" i="73"/>
  <c r="DF47" i="73" s="1"/>
  <c r="BQ47" i="73"/>
  <c r="CJ47" i="73"/>
  <c r="CK47" i="73" s="1"/>
  <c r="DN46" i="73"/>
  <c r="CC46" i="73"/>
  <c r="DE46" i="73"/>
  <c r="BQ46" i="73"/>
  <c r="CJ46" i="73"/>
  <c r="CK46" i="73" s="1"/>
  <c r="DN49" i="73"/>
  <c r="CC49" i="73"/>
  <c r="CD49" i="73" s="1"/>
  <c r="DE49" i="73"/>
  <c r="DF49" i="73" s="1"/>
  <c r="CJ49" i="73"/>
  <c r="CK49" i="73" s="1"/>
  <c r="BQ49" i="73"/>
  <c r="DN10" i="73"/>
  <c r="CC10" i="73"/>
  <c r="DO10" i="73" s="1"/>
  <c r="DE10" i="73"/>
  <c r="DF10" i="73" s="1"/>
  <c r="CJ10" i="73"/>
  <c r="CK10" i="73" s="1"/>
  <c r="BQ10" i="73"/>
  <c r="DN16" i="73"/>
  <c r="CC16" i="73"/>
  <c r="CD16" i="73" s="1"/>
  <c r="DE16" i="73"/>
  <c r="DF16" i="73" s="1"/>
  <c r="CJ16" i="73"/>
  <c r="CK16" i="73" s="1"/>
  <c r="BQ16" i="73"/>
  <c r="DN40" i="73"/>
  <c r="CC40" i="73"/>
  <c r="DO40" i="73" s="1"/>
  <c r="DE40" i="73"/>
  <c r="DF40" i="73" s="1"/>
  <c r="BQ40" i="73"/>
  <c r="CJ40" i="73"/>
  <c r="CK40" i="73" s="1"/>
  <c r="DN39" i="73"/>
  <c r="CC39" i="73"/>
  <c r="CD39" i="73" s="1"/>
  <c r="DE39" i="73"/>
  <c r="DF39" i="73" s="1"/>
  <c r="BQ39" i="73"/>
  <c r="CJ39" i="73"/>
  <c r="CK39" i="73" s="1"/>
  <c r="DN15" i="73"/>
  <c r="CC15" i="73"/>
  <c r="CD15" i="73" s="1"/>
  <c r="DE15" i="73"/>
  <c r="DF15" i="73" s="1"/>
  <c r="BQ15" i="73"/>
  <c r="CJ15" i="73"/>
  <c r="CK15" i="73" s="1"/>
  <c r="DN9" i="73"/>
  <c r="CC9" i="73"/>
  <c r="CD9" i="73" s="1"/>
  <c r="DE9" i="73"/>
  <c r="DF9" i="73" s="1"/>
  <c r="BQ9" i="73"/>
  <c r="CJ9" i="73"/>
  <c r="CK9" i="73" s="1"/>
  <c r="DN38" i="73"/>
  <c r="CC38" i="73"/>
  <c r="DE38" i="73"/>
  <c r="DF38" i="73" s="1"/>
  <c r="CJ38" i="73"/>
  <c r="BQ38" i="73"/>
  <c r="DN36" i="73"/>
  <c r="CC36" i="73"/>
  <c r="CD36" i="73" s="1"/>
  <c r="DE36" i="73"/>
  <c r="DF36" i="73" s="1"/>
  <c r="BQ36" i="73"/>
  <c r="CJ36" i="73"/>
  <c r="CK36" i="73" s="1"/>
  <c r="DN30" i="73"/>
  <c r="CC30" i="73"/>
  <c r="DO30" i="73" s="1"/>
  <c r="DE30" i="73"/>
  <c r="BQ30" i="73"/>
  <c r="CJ30" i="73"/>
  <c r="CK30" i="73" s="1"/>
  <c r="DN29" i="73"/>
  <c r="CC29" i="73"/>
  <c r="DO29" i="73" s="1"/>
  <c r="DE29" i="73"/>
  <c r="DF29" i="73" s="1"/>
  <c r="CJ29" i="73"/>
  <c r="CK29" i="73" s="1"/>
  <c r="BQ29" i="73"/>
  <c r="DN35" i="73"/>
  <c r="CC35" i="73"/>
  <c r="DO35" i="73" s="1"/>
  <c r="DE35" i="73"/>
  <c r="DF35" i="73" s="1"/>
  <c r="CJ35" i="73"/>
  <c r="CK35" i="73" s="1"/>
  <c r="BQ35" i="73"/>
  <c r="DN34" i="73"/>
  <c r="CC34" i="73"/>
  <c r="CD34" i="73" s="1"/>
  <c r="DE34" i="73"/>
  <c r="DF34" i="73" s="1"/>
  <c r="CJ34" i="73"/>
  <c r="CK34" i="73" s="1"/>
  <c r="BQ34" i="73"/>
  <c r="DN28" i="73"/>
  <c r="CC28" i="73"/>
  <c r="CD28" i="73" s="1"/>
  <c r="DE28" i="73"/>
  <c r="DF28" i="73" s="1"/>
  <c r="CJ28" i="73"/>
  <c r="CK28" i="73" s="1"/>
  <c r="BQ28" i="73"/>
  <c r="DN27" i="73"/>
  <c r="CC27" i="73"/>
  <c r="DO27" i="73" s="1"/>
  <c r="DE27" i="73"/>
  <c r="DF27" i="73" s="1"/>
  <c r="BQ27" i="73"/>
  <c r="CJ27" i="73"/>
  <c r="CK27" i="73" s="1"/>
  <c r="DN33" i="73"/>
  <c r="CC33" i="73"/>
  <c r="CD33" i="73" s="1"/>
  <c r="DE33" i="73"/>
  <c r="DF33" i="73" s="1"/>
  <c r="BQ33" i="73"/>
  <c r="CJ33" i="73"/>
  <c r="CK33" i="73" s="1"/>
  <c r="DN26" i="73"/>
  <c r="CC26" i="73"/>
  <c r="CD26" i="73" s="1"/>
  <c r="DE26" i="73"/>
  <c r="CJ26" i="73"/>
  <c r="CK26" i="73" s="1"/>
  <c r="BQ26" i="73"/>
  <c r="DN25" i="73"/>
  <c r="CC25" i="73"/>
  <c r="CD25" i="73" s="1"/>
  <c r="DE25" i="73"/>
  <c r="DF25" i="73" s="1"/>
  <c r="CJ25" i="73"/>
  <c r="CK25" i="73" s="1"/>
  <c r="BQ25" i="73"/>
  <c r="DN24" i="73"/>
  <c r="CC24" i="73"/>
  <c r="DE24" i="73"/>
  <c r="DF24" i="73" s="1"/>
  <c r="CJ24" i="73"/>
  <c r="BQ24" i="73"/>
  <c r="DN32" i="73"/>
  <c r="CC32" i="73"/>
  <c r="DE32" i="73"/>
  <c r="DF32" i="73" s="1"/>
  <c r="BQ32" i="73"/>
  <c r="CJ32" i="73"/>
  <c r="DN8" i="73"/>
  <c r="CC8" i="73"/>
  <c r="DE8" i="73"/>
  <c r="CJ8" i="73"/>
  <c r="BQ8" i="73"/>
  <c r="DN21" i="73"/>
  <c r="CC21" i="73"/>
  <c r="CD21" i="73" s="1"/>
  <c r="DE21" i="73"/>
  <c r="DF21" i="73" s="1"/>
  <c r="BQ21" i="73"/>
  <c r="CJ21" i="73"/>
  <c r="CK21" i="73" s="1"/>
  <c r="DN20" i="73"/>
  <c r="CC20" i="73"/>
  <c r="CD20" i="73" s="1"/>
  <c r="DE20" i="73"/>
  <c r="DF20" i="73" s="1"/>
  <c r="BQ20" i="73"/>
  <c r="CJ20" i="73"/>
  <c r="CK20" i="73" s="1"/>
  <c r="DN19" i="73"/>
  <c r="CC19" i="73"/>
  <c r="CD19" i="73" s="1"/>
  <c r="DE19" i="73"/>
  <c r="CJ19" i="73"/>
  <c r="CK19" i="73" s="1"/>
  <c r="BQ19" i="73"/>
  <c r="DN14" i="73"/>
  <c r="CC14" i="73"/>
  <c r="DO14" i="73" s="1"/>
  <c r="DE14" i="73"/>
  <c r="DF14" i="73" s="1"/>
  <c r="CJ14" i="73"/>
  <c r="CK14" i="73" s="1"/>
  <c r="BQ14" i="73"/>
  <c r="DN7" i="73"/>
  <c r="CC7" i="73"/>
  <c r="DE7" i="73"/>
  <c r="DF7" i="73" s="1"/>
  <c r="BQ7" i="73"/>
  <c r="CJ7" i="73"/>
  <c r="DN13" i="73"/>
  <c r="CC13" i="73"/>
  <c r="CD13" i="73" s="1"/>
  <c r="DE13" i="73"/>
  <c r="DF13" i="73" s="1"/>
  <c r="BQ13" i="73"/>
  <c r="CJ13" i="73"/>
  <c r="DN18" i="73"/>
  <c r="CC18" i="73"/>
  <c r="DE18" i="73"/>
  <c r="DF18" i="73" s="1"/>
  <c r="BQ18" i="73"/>
  <c r="CJ18" i="73"/>
  <c r="DN12" i="73"/>
  <c r="CC12" i="73"/>
  <c r="DE12" i="73"/>
  <c r="DF12" i="73" s="1"/>
  <c r="CJ12" i="73"/>
  <c r="BQ12" i="73"/>
  <c r="DF30" i="73"/>
  <c r="CM29" i="77"/>
  <c r="CM30" i="77" s="1"/>
  <c r="CT52" i="77"/>
  <c r="CT46" i="77"/>
  <c r="CT51" i="77" s="1"/>
  <c r="CT43" i="77"/>
  <c r="CT45" i="77" s="1"/>
  <c r="CT58" i="77"/>
  <c r="CU58" i="77" s="1"/>
  <c r="CM21" i="77"/>
  <c r="CN21" i="77" s="1"/>
  <c r="AF62" i="74"/>
  <c r="CO63" i="77"/>
  <c r="CP63" i="77" s="1"/>
  <c r="CO62" i="77"/>
  <c r="CP62" i="77" s="1"/>
  <c r="CO56" i="77"/>
  <c r="CP56" i="77" s="1"/>
  <c r="CO61" i="77"/>
  <c r="CP61" i="77" s="1"/>
  <c r="CO55" i="77"/>
  <c r="CP55" i="77" s="1"/>
  <c r="CO60" i="77"/>
  <c r="CP60" i="77" s="1"/>
  <c r="CO59" i="77"/>
  <c r="CP59" i="77" s="1"/>
  <c r="CO58" i="77"/>
  <c r="CP58" i="77" s="1"/>
  <c r="CO22" i="77"/>
  <c r="CP22" i="77" s="1"/>
  <c r="CO49" i="77"/>
  <c r="CP49" i="77" s="1"/>
  <c r="CO54" i="77"/>
  <c r="CP54" i="77" s="1"/>
  <c r="CO53" i="77"/>
  <c r="CP53" i="77" s="1"/>
  <c r="CO48" i="77"/>
  <c r="CP48" i="77" s="1"/>
  <c r="CO47" i="77"/>
  <c r="CP47" i="77" s="1"/>
  <c r="CO46" i="77"/>
  <c r="CO41" i="77"/>
  <c r="CP41" i="77" s="1"/>
  <c r="CO52" i="77"/>
  <c r="CO40" i="77"/>
  <c r="CP40" i="77" s="1"/>
  <c r="CO39" i="77"/>
  <c r="CP39" i="77" s="1"/>
  <c r="CO44" i="77"/>
  <c r="CP44" i="77" s="1"/>
  <c r="CO43" i="77"/>
  <c r="CO10" i="77"/>
  <c r="CP10" i="77" s="1"/>
  <c r="CO16" i="77"/>
  <c r="CP16" i="77" s="1"/>
  <c r="CO15" i="77"/>
  <c r="CP15" i="77" s="1"/>
  <c r="CO9" i="77"/>
  <c r="CP9" i="77" s="1"/>
  <c r="CO37" i="77"/>
  <c r="CO35" i="77"/>
  <c r="CP35" i="77" s="1"/>
  <c r="CO29" i="77"/>
  <c r="CO34" i="77"/>
  <c r="CP34" i="77" s="1"/>
  <c r="CO33" i="77"/>
  <c r="CP33" i="77" s="1"/>
  <c r="CO28" i="77"/>
  <c r="CP28" i="77" s="1"/>
  <c r="CO27" i="77"/>
  <c r="CP27" i="77" s="1"/>
  <c r="CO32" i="77"/>
  <c r="CP32" i="77" s="1"/>
  <c r="CO26" i="77"/>
  <c r="CP26" i="77" s="1"/>
  <c r="CO25" i="77"/>
  <c r="CO31" i="77"/>
  <c r="CO8" i="77"/>
  <c r="CO21" i="77"/>
  <c r="CO20" i="77"/>
  <c r="CP20" i="77" s="1"/>
  <c r="CO19" i="77"/>
  <c r="CP19" i="77" s="1"/>
  <c r="CO14" i="77"/>
  <c r="CP14" i="77" s="1"/>
  <c r="CO7" i="77"/>
  <c r="CO13" i="77"/>
  <c r="CP13" i="77" s="1"/>
  <c r="CO18" i="77"/>
  <c r="CO12" i="77"/>
  <c r="DQ63" i="77"/>
  <c r="CV63" i="77"/>
  <c r="CW63" i="77" s="1"/>
  <c r="BN63" i="77"/>
  <c r="DQ62" i="77"/>
  <c r="CV62" i="77"/>
  <c r="CW62" i="77" s="1"/>
  <c r="BN62" i="77"/>
  <c r="DQ56" i="77"/>
  <c r="DR56" i="77" s="1"/>
  <c r="CV56" i="77"/>
  <c r="CW56" i="77" s="1"/>
  <c r="BN56" i="77"/>
  <c r="DQ61" i="77"/>
  <c r="CV61" i="77"/>
  <c r="CW61" i="77" s="1"/>
  <c r="BN61" i="77"/>
  <c r="DQ55" i="77"/>
  <c r="CV55" i="77"/>
  <c r="CW55" i="77" s="1"/>
  <c r="BN55" i="77"/>
  <c r="DQ60" i="77"/>
  <c r="DR60" i="77" s="1"/>
  <c r="CV60" i="77"/>
  <c r="CW60" i="77" s="1"/>
  <c r="BN60" i="77"/>
  <c r="DQ59" i="77"/>
  <c r="CV59" i="77"/>
  <c r="CW59" i="77" s="1"/>
  <c r="BN59" i="77"/>
  <c r="DQ58" i="77"/>
  <c r="CV58" i="77"/>
  <c r="BN58" i="77"/>
  <c r="X16" i="84" a="1"/>
  <c r="X16" i="84" s="1"/>
  <c r="DQ22" i="77"/>
  <c r="CV22" i="77"/>
  <c r="CW22" i="77" s="1"/>
  <c r="BN22" i="77"/>
  <c r="DQ49" i="77"/>
  <c r="DR49" i="77" s="1"/>
  <c r="CV49" i="77"/>
  <c r="CW49" i="77" s="1"/>
  <c r="BN49" i="77"/>
  <c r="DQ54" i="77"/>
  <c r="CV54" i="77"/>
  <c r="CW54" i="77" s="1"/>
  <c r="BN54" i="77"/>
  <c r="DQ53" i="77"/>
  <c r="CV53" i="77"/>
  <c r="CW53" i="77" s="1"/>
  <c r="BN53" i="77"/>
  <c r="DQ48" i="77"/>
  <c r="CV48" i="77"/>
  <c r="CW48" i="77" s="1"/>
  <c r="BN48" i="77"/>
  <c r="DQ47" i="77"/>
  <c r="CV47" i="77"/>
  <c r="CW47" i="77" s="1"/>
  <c r="BN47" i="77"/>
  <c r="DQ46" i="77"/>
  <c r="CV46" i="77"/>
  <c r="BN46" i="77"/>
  <c r="DQ41" i="77"/>
  <c r="CV41" i="77"/>
  <c r="CW41" i="77" s="1"/>
  <c r="BN41" i="77"/>
  <c r="DQ52" i="77"/>
  <c r="CV52" i="77"/>
  <c r="BN52" i="77"/>
  <c r="DQ40" i="77"/>
  <c r="CV40" i="77"/>
  <c r="CW40" i="77" s="1"/>
  <c r="BN40" i="77"/>
  <c r="DQ39" i="77"/>
  <c r="CV39" i="77"/>
  <c r="CW39" i="77" s="1"/>
  <c r="BN39" i="77"/>
  <c r="DQ44" i="77"/>
  <c r="DR44" i="77" s="1"/>
  <c r="CV44" i="77"/>
  <c r="CW44" i="77" s="1"/>
  <c r="BN44" i="77"/>
  <c r="DQ43" i="77"/>
  <c r="CV43" i="77"/>
  <c r="BN43" i="77"/>
  <c r="DQ10" i="77"/>
  <c r="CV10" i="77"/>
  <c r="CW10" i="77" s="1"/>
  <c r="BN10" i="77"/>
  <c r="DQ16" i="77"/>
  <c r="DR16" i="77" s="1"/>
  <c r="CV16" i="77"/>
  <c r="CW16" i="77" s="1"/>
  <c r="BN16" i="77"/>
  <c r="DQ15" i="77"/>
  <c r="CV15" i="77"/>
  <c r="CW15" i="77" s="1"/>
  <c r="BN15" i="77"/>
  <c r="DQ9" i="77"/>
  <c r="DR9" i="77" s="1"/>
  <c r="CV9" i="77"/>
  <c r="CW9" i="77" s="1"/>
  <c r="BN9" i="77"/>
  <c r="BN42" i="77"/>
  <c r="DQ37" i="77"/>
  <c r="CV37" i="77"/>
  <c r="BN37" i="77"/>
  <c r="DQ35" i="77"/>
  <c r="DR35" i="77" s="1"/>
  <c r="CV35" i="77"/>
  <c r="CW35" i="77" s="1"/>
  <c r="BN35" i="77"/>
  <c r="DQ29" i="77"/>
  <c r="CV29" i="77"/>
  <c r="CW29" i="77" s="1"/>
  <c r="BN29" i="77"/>
  <c r="DQ34" i="77"/>
  <c r="CV34" i="77"/>
  <c r="CW34" i="77" s="1"/>
  <c r="BN34" i="77"/>
  <c r="DQ33" i="77"/>
  <c r="DR33" i="77" s="1"/>
  <c r="CV33" i="77"/>
  <c r="CW33" i="77" s="1"/>
  <c r="BN33" i="77"/>
  <c r="DQ28" i="77"/>
  <c r="DR28" i="77" s="1"/>
  <c r="CV28" i="77"/>
  <c r="CW28" i="77" s="1"/>
  <c r="BN28" i="77"/>
  <c r="DQ27" i="77"/>
  <c r="DR27" i="77" s="1"/>
  <c r="CV27" i="77"/>
  <c r="CW27" i="77" s="1"/>
  <c r="BN27" i="77"/>
  <c r="DQ32" i="77"/>
  <c r="CV32" i="77"/>
  <c r="CW32" i="77" s="1"/>
  <c r="BN32" i="77"/>
  <c r="DQ26" i="77"/>
  <c r="CV26" i="77"/>
  <c r="CW26" i="77" s="1"/>
  <c r="BN26" i="77"/>
  <c r="DQ25" i="77"/>
  <c r="CV25" i="77"/>
  <c r="BN25" i="77"/>
  <c r="DQ31" i="77"/>
  <c r="DR31" i="77" s="1"/>
  <c r="CV31" i="77"/>
  <c r="BN31" i="77"/>
  <c r="DQ8" i="77"/>
  <c r="CV8" i="77"/>
  <c r="BN8" i="77"/>
  <c r="DQ21" i="77"/>
  <c r="CV21" i="77"/>
  <c r="CW21" i="77" s="1"/>
  <c r="BN21" i="77"/>
  <c r="DQ20" i="77"/>
  <c r="CV20" i="77"/>
  <c r="CW20" i="77" s="1"/>
  <c r="BN20" i="77"/>
  <c r="DQ19" i="77"/>
  <c r="CV19" i="77"/>
  <c r="CW19" i="77" s="1"/>
  <c r="BN19" i="77"/>
  <c r="DQ14" i="77"/>
  <c r="DR14" i="77" s="1"/>
  <c r="CV14" i="77"/>
  <c r="CW14" i="77" s="1"/>
  <c r="BN14" i="77"/>
  <c r="DQ7" i="77"/>
  <c r="CV7" i="77"/>
  <c r="BN7" i="77"/>
  <c r="DQ13" i="77"/>
  <c r="CV13" i="77"/>
  <c r="CW13" i="77" s="1"/>
  <c r="BN13" i="77"/>
  <c r="DQ18" i="77"/>
  <c r="CV18" i="77"/>
  <c r="BN18" i="77"/>
  <c r="DQ12" i="77"/>
  <c r="CV12" i="77"/>
  <c r="BN12" i="77"/>
  <c r="BZ21" i="77"/>
  <c r="DO21" i="77"/>
  <c r="X14" i="84" a="1"/>
  <c r="X14" i="84" s="1"/>
  <c r="G50" i="82"/>
  <c r="AD26" i="75"/>
  <c r="AD16" i="75"/>
  <c r="DH22" i="73"/>
  <c r="U12" i="84" a="1"/>
  <c r="U12" i="84" s="1"/>
  <c r="AF34" i="74"/>
  <c r="AD25" i="75"/>
  <c r="AD24" i="75"/>
  <c r="AD14" i="75"/>
  <c r="AD10" i="75"/>
  <c r="AD15" i="75"/>
  <c r="DT12" i="73" a="1"/>
  <c r="DT12" i="73" s="1"/>
  <c r="DX12" i="77" a="1"/>
  <c r="DX12" i="77" s="1"/>
  <c r="CI12" i="73"/>
  <c r="DS12" i="73" a="1"/>
  <c r="DS12" i="73" s="1"/>
  <c r="DO41" i="77"/>
  <c r="DO63" i="77"/>
  <c r="CG13" i="77"/>
  <c r="DO25" i="77"/>
  <c r="DO54" i="77"/>
  <c r="DO22" i="77"/>
  <c r="DO61" i="77"/>
  <c r="CM62" i="73"/>
  <c r="DA50" i="73"/>
  <c r="DA42" i="73"/>
  <c r="CM9" i="73"/>
  <c r="DA28" i="73"/>
  <c r="DA27" i="73"/>
  <c r="CM21" i="73"/>
  <c r="CM25" i="73"/>
  <c r="DX12" i="73" a="1"/>
  <c r="DX12" i="73" s="1"/>
  <c r="DA12" i="73"/>
  <c r="AG29" i="75"/>
  <c r="AD11" i="75"/>
  <c r="AG28" i="75"/>
  <c r="AF40" i="74"/>
  <c r="DQ24" i="73"/>
  <c r="DQ14" i="73"/>
  <c r="DQ8" i="73"/>
  <c r="DQ34" i="73"/>
  <c r="DQ51" i="73"/>
  <c r="DQ65" i="73"/>
  <c r="DO26" i="77"/>
  <c r="DO52" i="77"/>
  <c r="CI26" i="77"/>
  <c r="DT46" i="77"/>
  <c r="DO34" i="77"/>
  <c r="DO10" i="77"/>
  <c r="DO19" i="77"/>
  <c r="DO39" i="77"/>
  <c r="DN64" i="77"/>
  <c r="DT64" i="77" s="1"/>
  <c r="DN42" i="77"/>
  <c r="DN45" i="77" s="1"/>
  <c r="DQ13" i="73"/>
  <c r="DQ29" i="73"/>
  <c r="DQ64" i="73"/>
  <c r="DA56" i="73"/>
  <c r="DQ56" i="73"/>
  <c r="DK68" i="73"/>
  <c r="CF19" i="73"/>
  <c r="CZ68" i="73"/>
  <c r="DK55" i="73"/>
  <c r="CM24" i="73"/>
  <c r="DQ28" i="73"/>
  <c r="DQ50" i="73"/>
  <c r="DQ62" i="73"/>
  <c r="DQ18" i="73"/>
  <c r="CM10" i="73"/>
  <c r="DQ12" i="73"/>
  <c r="DQ58" i="73"/>
  <c r="DM46" i="73"/>
  <c r="DM21" i="73"/>
  <c r="DQ25" i="73"/>
  <c r="DM35" i="73"/>
  <c r="DM12" i="73"/>
  <c r="DQ67" i="73"/>
  <c r="CF58" i="73"/>
  <c r="DQ46" i="73"/>
  <c r="CF34" i="73"/>
  <c r="DM60" i="73"/>
  <c r="DM22" i="73"/>
  <c r="DQ26" i="73"/>
  <c r="DL61" i="73"/>
  <c r="DM51" i="73"/>
  <c r="DM57" i="73"/>
  <c r="DM29" i="73"/>
  <c r="DM49" i="73"/>
  <c r="DM41" i="73"/>
  <c r="DQ19" i="73"/>
  <c r="DQ53" i="73"/>
  <c r="DQ60" i="73"/>
  <c r="DM42" i="73"/>
  <c r="DM67" i="73"/>
  <c r="DA65" i="73"/>
  <c r="CZ61" i="73"/>
  <c r="CM53" i="73"/>
  <c r="DM34" i="73"/>
  <c r="DM18" i="73"/>
  <c r="DM43" i="73"/>
  <c r="DM32" i="73"/>
  <c r="DQ32" i="73"/>
  <c r="DQ49" i="73"/>
  <c r="DQ47" i="73"/>
  <c r="DQ63" i="73"/>
  <c r="DM66" i="73"/>
  <c r="DM14" i="73"/>
  <c r="DM13" i="73"/>
  <c r="DQ35" i="73"/>
  <c r="DQ43" i="73"/>
  <c r="DQ52" i="73"/>
  <c r="DQ66" i="73"/>
  <c r="DP68" i="73"/>
  <c r="DM54" i="73"/>
  <c r="DM62" i="73"/>
  <c r="DM65" i="73"/>
  <c r="DM47" i="73"/>
  <c r="DM50" i="73"/>
  <c r="DM25" i="73"/>
  <c r="DM33" i="73"/>
  <c r="DM58" i="73"/>
  <c r="CM26" i="73"/>
  <c r="CF51" i="73"/>
  <c r="CF65" i="73"/>
  <c r="DQ20" i="73"/>
  <c r="DQ33" i="73"/>
  <c r="DQ41" i="73"/>
  <c r="DQ54" i="73"/>
  <c r="DP55" i="73"/>
  <c r="DL68" i="73"/>
  <c r="DL55" i="73"/>
  <c r="DA30" i="73"/>
  <c r="DM24" i="73"/>
  <c r="DM7" i="73"/>
  <c r="DP61" i="73"/>
  <c r="DM64" i="73"/>
  <c r="DM20" i="73"/>
  <c r="CF24" i="73"/>
  <c r="DM26" i="73"/>
  <c r="CM67" i="73"/>
  <c r="DM27" i="73"/>
  <c r="DM28" i="73"/>
  <c r="DQ27" i="73"/>
  <c r="K61" i="73"/>
  <c r="DK61" i="73"/>
  <c r="DM56" i="73"/>
  <c r="DM8" i="73"/>
  <c r="DM52" i="73"/>
  <c r="DQ21" i="73"/>
  <c r="DQ42" i="73"/>
  <c r="DQ57" i="73"/>
  <c r="DQ22" i="73"/>
  <c r="DM53" i="73"/>
  <c r="DA14" i="73"/>
  <c r="DM63" i="73"/>
  <c r="DM19" i="73"/>
  <c r="DM59" i="73"/>
  <c r="DQ7" i="73"/>
  <c r="DQ59" i="73"/>
  <c r="DM38" i="73"/>
  <c r="DQ38" i="73"/>
  <c r="CF15" i="73"/>
  <c r="DQ15" i="73"/>
  <c r="DM15" i="73"/>
  <c r="DQ36" i="73"/>
  <c r="DM36" i="73"/>
  <c r="CF10" i="73"/>
  <c r="DQ10" i="73"/>
  <c r="DM10" i="73"/>
  <c r="DQ39" i="73"/>
  <c r="DM39" i="73"/>
  <c r="DM40" i="73"/>
  <c r="DQ40" i="73"/>
  <c r="CF30" i="73"/>
  <c r="DM30" i="73"/>
  <c r="DQ30" i="73"/>
  <c r="DQ16" i="73"/>
  <c r="DM16" i="73"/>
  <c r="DM9" i="73"/>
  <c r="DQ9" i="73"/>
  <c r="CM28" i="73"/>
  <c r="CF12" i="73"/>
  <c r="DA10" i="73"/>
  <c r="CM8" i="73"/>
  <c r="CF25" i="73"/>
  <c r="DA67" i="73"/>
  <c r="DA15" i="73"/>
  <c r="CZ55" i="73"/>
  <c r="DB55" i="73"/>
  <c r="DB61" i="73" s="1"/>
  <c r="DH12" i="73"/>
  <c r="DH32" i="73"/>
  <c r="DH50" i="73"/>
  <c r="CQ63" i="77"/>
  <c r="CR63" i="77" s="1"/>
  <c r="CX63" i="77"/>
  <c r="CY63" i="77" s="1"/>
  <c r="DL63" i="77"/>
  <c r="DM63" i="77" s="1"/>
  <c r="DE63" i="77"/>
  <c r="DF63" i="77" s="1"/>
  <c r="Z63" i="77"/>
  <c r="CQ62" i="77"/>
  <c r="CR62" i="77" s="1"/>
  <c r="DL62" i="77"/>
  <c r="DM62" i="77" s="1"/>
  <c r="DE62" i="77"/>
  <c r="DF62" i="77" s="1"/>
  <c r="CX62" i="77"/>
  <c r="CY62" i="77" s="1"/>
  <c r="Z62" i="77"/>
  <c r="CQ56" i="77"/>
  <c r="CR56" i="77" s="1"/>
  <c r="DE56" i="77"/>
  <c r="DF56" i="77" s="1"/>
  <c r="CX56" i="77"/>
  <c r="CY56" i="77" s="1"/>
  <c r="DL56" i="77"/>
  <c r="DM56" i="77" s="1"/>
  <c r="Z56" i="77"/>
  <c r="CQ61" i="77"/>
  <c r="CR61" i="77" s="1"/>
  <c r="CX61" i="77"/>
  <c r="CY61" i="77" s="1"/>
  <c r="DL61" i="77"/>
  <c r="DM61" i="77" s="1"/>
  <c r="DE61" i="77"/>
  <c r="DF61" i="77" s="1"/>
  <c r="Z61" i="77"/>
  <c r="CQ55" i="77"/>
  <c r="CR55" i="77" s="1"/>
  <c r="DL55" i="77"/>
  <c r="DM55" i="77" s="1"/>
  <c r="DE55" i="77"/>
  <c r="DF55" i="77" s="1"/>
  <c r="CX55" i="77"/>
  <c r="CY55" i="77" s="1"/>
  <c r="Z55" i="77"/>
  <c r="CQ60" i="77"/>
  <c r="CR60" i="77" s="1"/>
  <c r="DL60" i="77"/>
  <c r="DM60" i="77" s="1"/>
  <c r="DE60" i="77"/>
  <c r="DF60" i="77" s="1"/>
  <c r="CX60" i="77"/>
  <c r="CY60" i="77" s="1"/>
  <c r="Z60" i="77"/>
  <c r="CQ59" i="77"/>
  <c r="CR59" i="77" s="1"/>
  <c r="DE59" i="77"/>
  <c r="DF59" i="77" s="1"/>
  <c r="CX59" i="77"/>
  <c r="CY59" i="77" s="1"/>
  <c r="DL59" i="77"/>
  <c r="DM59" i="77" s="1"/>
  <c r="Z59" i="77"/>
  <c r="CQ58" i="77"/>
  <c r="CR58" i="77" s="1"/>
  <c r="DE58" i="77"/>
  <c r="DF58" i="77" s="1"/>
  <c r="CX58" i="77"/>
  <c r="CY58" i="77" s="1"/>
  <c r="DL58" i="77"/>
  <c r="DM58" i="77" s="1"/>
  <c r="Z58" i="77"/>
  <c r="CQ22" i="77"/>
  <c r="CR22" i="77" s="1"/>
  <c r="DL22" i="77"/>
  <c r="DM22" i="77" s="1"/>
  <c r="DE22" i="77"/>
  <c r="DF22" i="77" s="1"/>
  <c r="CX22" i="77"/>
  <c r="CY22" i="77" s="1"/>
  <c r="Z22" i="77"/>
  <c r="CQ49" i="77"/>
  <c r="CR49" i="77" s="1"/>
  <c r="DL49" i="77"/>
  <c r="DM49" i="77" s="1"/>
  <c r="DE49" i="77"/>
  <c r="DF49" i="77" s="1"/>
  <c r="CX49" i="77"/>
  <c r="CY49" i="77" s="1"/>
  <c r="Z49" i="77"/>
  <c r="CQ54" i="77"/>
  <c r="CR54" i="77" s="1"/>
  <c r="CX54" i="77"/>
  <c r="CY54" i="77" s="1"/>
  <c r="DL54" i="77"/>
  <c r="DM54" i="77" s="1"/>
  <c r="DE54" i="77"/>
  <c r="DF54" i="77" s="1"/>
  <c r="Z54" i="77"/>
  <c r="CQ53" i="77"/>
  <c r="CR53" i="77" s="1"/>
  <c r="DE53" i="77"/>
  <c r="DF53" i="77" s="1"/>
  <c r="CX53" i="77"/>
  <c r="CY53" i="77" s="1"/>
  <c r="DL53" i="77"/>
  <c r="DM53" i="77" s="1"/>
  <c r="Z53" i="77"/>
  <c r="CQ48" i="77"/>
  <c r="CR48" i="77" s="1"/>
  <c r="DL48" i="77"/>
  <c r="DM48" i="77" s="1"/>
  <c r="DE48" i="77"/>
  <c r="DF48" i="77" s="1"/>
  <c r="CX48" i="77"/>
  <c r="CY48" i="77" s="1"/>
  <c r="Z48" i="77"/>
  <c r="CQ47" i="77"/>
  <c r="CR47" i="77" s="1"/>
  <c r="DL47" i="77"/>
  <c r="DM47" i="77" s="1"/>
  <c r="DE47" i="77"/>
  <c r="DF47" i="77" s="1"/>
  <c r="CX47" i="77"/>
  <c r="CY47" i="77" s="1"/>
  <c r="Z47" i="77"/>
  <c r="CQ46" i="77"/>
  <c r="CX46" i="77"/>
  <c r="CY46" i="77" s="1"/>
  <c r="DL46" i="77"/>
  <c r="DM46" i="77" s="1"/>
  <c r="DE46" i="77"/>
  <c r="DF46" i="77" s="1"/>
  <c r="Z46" i="77"/>
  <c r="CQ41" i="77"/>
  <c r="CR41" i="77" s="1"/>
  <c r="DE41" i="77"/>
  <c r="DF41" i="77" s="1"/>
  <c r="CX41" i="77"/>
  <c r="CY41" i="77" s="1"/>
  <c r="DL41" i="77"/>
  <c r="DM41" i="77" s="1"/>
  <c r="Z41" i="77"/>
  <c r="CQ52" i="77"/>
  <c r="DL52" i="77"/>
  <c r="DM52" i="77" s="1"/>
  <c r="DE52" i="77"/>
  <c r="DF52" i="77" s="1"/>
  <c r="CX52" i="77"/>
  <c r="CY52" i="77" s="1"/>
  <c r="Z52" i="77"/>
  <c r="CQ40" i="77"/>
  <c r="CR40" i="77" s="1"/>
  <c r="CX40" i="77"/>
  <c r="CY40" i="77" s="1"/>
  <c r="DL40" i="77"/>
  <c r="DM40" i="77" s="1"/>
  <c r="DE40" i="77"/>
  <c r="DF40" i="77" s="1"/>
  <c r="Z40" i="77"/>
  <c r="CQ39" i="77"/>
  <c r="CR39" i="77" s="1"/>
  <c r="CX39" i="77"/>
  <c r="CY39" i="77" s="1"/>
  <c r="DL39" i="77"/>
  <c r="DM39" i="77" s="1"/>
  <c r="DE39" i="77"/>
  <c r="DF39" i="77" s="1"/>
  <c r="Z39" i="77"/>
  <c r="CQ44" i="77"/>
  <c r="CR44" i="77" s="1"/>
  <c r="DL44" i="77"/>
  <c r="DM44" i="77" s="1"/>
  <c r="DE44" i="77"/>
  <c r="DF44" i="77" s="1"/>
  <c r="CX44" i="77"/>
  <c r="CY44" i="77" s="1"/>
  <c r="Z44" i="77"/>
  <c r="CQ43" i="77"/>
  <c r="DE43" i="77"/>
  <c r="DF43" i="77" s="1"/>
  <c r="CX43" i="77"/>
  <c r="CY43" i="77" s="1"/>
  <c r="DL43" i="77"/>
  <c r="DM43" i="77" s="1"/>
  <c r="Z43" i="77"/>
  <c r="CQ10" i="77"/>
  <c r="CR10" i="77" s="1"/>
  <c r="DL10" i="77"/>
  <c r="DM10" i="77" s="1"/>
  <c r="DE10" i="77"/>
  <c r="DF10" i="77" s="1"/>
  <c r="CX10" i="77"/>
  <c r="CY10" i="77" s="1"/>
  <c r="Z10" i="77"/>
  <c r="CQ16" i="77"/>
  <c r="CR16" i="77" s="1"/>
  <c r="DE16" i="77"/>
  <c r="DF16" i="77" s="1"/>
  <c r="DL16" i="77"/>
  <c r="DM16" i="77" s="1"/>
  <c r="CX16" i="77"/>
  <c r="CY16" i="77" s="1"/>
  <c r="Z16" i="77"/>
  <c r="CQ15" i="77"/>
  <c r="CR15" i="77" s="1"/>
  <c r="DL15" i="77"/>
  <c r="DM15" i="77" s="1"/>
  <c r="DE15" i="77"/>
  <c r="DF15" i="77" s="1"/>
  <c r="CX15" i="77"/>
  <c r="CY15" i="77" s="1"/>
  <c r="Z15" i="77"/>
  <c r="CQ9" i="77"/>
  <c r="CR9" i="77" s="1"/>
  <c r="CX9" i="77"/>
  <c r="CY9" i="77" s="1"/>
  <c r="DE9" i="77"/>
  <c r="DF9" i="77" s="1"/>
  <c r="DL9" i="77"/>
  <c r="DM9" i="77" s="1"/>
  <c r="Z9" i="77"/>
  <c r="Z42" i="77"/>
  <c r="CQ37" i="77"/>
  <c r="CR37" i="77" s="1"/>
  <c r="DL37" i="77"/>
  <c r="DM37" i="77" s="1"/>
  <c r="DE37" i="77"/>
  <c r="DF37" i="77" s="1"/>
  <c r="CX37" i="77"/>
  <c r="CY37" i="77" s="1"/>
  <c r="Z37" i="77"/>
  <c r="CQ35" i="77"/>
  <c r="CR35" i="77" s="1"/>
  <c r="DE35" i="77"/>
  <c r="DF35" i="77" s="1"/>
  <c r="CX35" i="77"/>
  <c r="CY35" i="77" s="1"/>
  <c r="DL35" i="77"/>
  <c r="DM35" i="77" s="1"/>
  <c r="Z35" i="77"/>
  <c r="CQ29" i="77"/>
  <c r="CR29" i="77" s="1"/>
  <c r="DL29" i="77"/>
  <c r="DM29" i="77" s="1"/>
  <c r="DE29" i="77"/>
  <c r="DF29" i="77" s="1"/>
  <c r="CX29" i="77"/>
  <c r="CY29" i="77" s="1"/>
  <c r="Z29" i="77"/>
  <c r="CQ34" i="77"/>
  <c r="CR34" i="77" s="1"/>
  <c r="DL34" i="77"/>
  <c r="DM34" i="77" s="1"/>
  <c r="CX34" i="77"/>
  <c r="CY34" i="77" s="1"/>
  <c r="DE34" i="77"/>
  <c r="DF34" i="77" s="1"/>
  <c r="Z34" i="77"/>
  <c r="CQ33" i="77"/>
  <c r="CR33" i="77" s="1"/>
  <c r="DE33" i="77"/>
  <c r="DF33" i="77" s="1"/>
  <c r="CX33" i="77"/>
  <c r="CY33" i="77" s="1"/>
  <c r="DL33" i="77"/>
  <c r="DM33" i="77" s="1"/>
  <c r="Z33" i="77"/>
  <c r="CQ28" i="77"/>
  <c r="CR28" i="77" s="1"/>
  <c r="CX28" i="77"/>
  <c r="CY28" i="77" s="1"/>
  <c r="DL28" i="77"/>
  <c r="DM28" i="77" s="1"/>
  <c r="DE28" i="77"/>
  <c r="DF28" i="77" s="1"/>
  <c r="Z28" i="77"/>
  <c r="CQ27" i="77"/>
  <c r="CR27" i="77" s="1"/>
  <c r="DL27" i="77"/>
  <c r="DM27" i="77" s="1"/>
  <c r="DE27" i="77"/>
  <c r="DF27" i="77" s="1"/>
  <c r="CX27" i="77"/>
  <c r="CY27" i="77" s="1"/>
  <c r="Z27" i="77"/>
  <c r="CQ32" i="77"/>
  <c r="CR32" i="77" s="1"/>
  <c r="DL32" i="77"/>
  <c r="DM32" i="77" s="1"/>
  <c r="DE32" i="77"/>
  <c r="DF32" i="77" s="1"/>
  <c r="CX32" i="77"/>
  <c r="CY32" i="77" s="1"/>
  <c r="Z32" i="77"/>
  <c r="CQ26" i="77"/>
  <c r="CR26" i="77" s="1"/>
  <c r="DE26" i="77"/>
  <c r="DF26" i="77" s="1"/>
  <c r="CX26" i="77"/>
  <c r="CY26" i="77" s="1"/>
  <c r="DL26" i="77"/>
  <c r="DM26" i="77" s="1"/>
  <c r="Z26" i="77"/>
  <c r="CQ25" i="77"/>
  <c r="CX25" i="77"/>
  <c r="CY25" i="77" s="1"/>
  <c r="DL25" i="77"/>
  <c r="DM25" i="77" s="1"/>
  <c r="DE25" i="77"/>
  <c r="DF25" i="77" s="1"/>
  <c r="Z25" i="77"/>
  <c r="CQ31" i="77"/>
  <c r="DL31" i="77"/>
  <c r="DM31" i="77" s="1"/>
  <c r="DE31" i="77"/>
  <c r="DF31" i="77" s="1"/>
  <c r="CX31" i="77"/>
  <c r="CY31" i="77" s="1"/>
  <c r="Z31" i="77"/>
  <c r="CQ8" i="77"/>
  <c r="CR8" i="77" s="1"/>
  <c r="DL8" i="77"/>
  <c r="DM8" i="77" s="1"/>
  <c r="DE8" i="77"/>
  <c r="DF8" i="77" s="1"/>
  <c r="CX8" i="77"/>
  <c r="CY8" i="77" s="1"/>
  <c r="Z8" i="77"/>
  <c r="CQ21" i="77"/>
  <c r="CR21" i="77" s="1"/>
  <c r="CX21" i="77"/>
  <c r="CY21" i="77" s="1"/>
  <c r="DL21" i="77"/>
  <c r="DM21" i="77" s="1"/>
  <c r="DE21" i="77"/>
  <c r="DF21" i="77" s="1"/>
  <c r="Z21" i="77"/>
  <c r="CQ20" i="77"/>
  <c r="CR20" i="77" s="1"/>
  <c r="DL20" i="77"/>
  <c r="DM20" i="77" s="1"/>
  <c r="DE20" i="77"/>
  <c r="DF20" i="77" s="1"/>
  <c r="CX20" i="77"/>
  <c r="CY20" i="77" s="1"/>
  <c r="Z20" i="77"/>
  <c r="CQ19" i="77"/>
  <c r="CR19" i="77" s="1"/>
  <c r="DL19" i="77"/>
  <c r="DM19" i="77" s="1"/>
  <c r="DE19" i="77"/>
  <c r="DF19" i="77" s="1"/>
  <c r="CX19" i="77"/>
  <c r="CY19" i="77" s="1"/>
  <c r="Z19" i="77"/>
  <c r="CQ14" i="77"/>
  <c r="CR14" i="77" s="1"/>
  <c r="DL14" i="77"/>
  <c r="DM14" i="77" s="1"/>
  <c r="DE14" i="77"/>
  <c r="DF14" i="77" s="1"/>
  <c r="CX14" i="77"/>
  <c r="CY14" i="77" s="1"/>
  <c r="Z14" i="77"/>
  <c r="CQ7" i="77"/>
  <c r="CX7" i="77"/>
  <c r="CY7" i="77" s="1"/>
  <c r="DL7" i="77"/>
  <c r="DM7" i="77" s="1"/>
  <c r="DE7" i="77"/>
  <c r="DF7" i="77" s="1"/>
  <c r="Z7" i="77"/>
  <c r="CQ13" i="77"/>
  <c r="CR13" i="77" s="1"/>
  <c r="DE13" i="77"/>
  <c r="DF13" i="77" s="1"/>
  <c r="CX13" i="77"/>
  <c r="CY13" i="77" s="1"/>
  <c r="DL13" i="77"/>
  <c r="DM13" i="77" s="1"/>
  <c r="Z13" i="77"/>
  <c r="CQ18" i="77"/>
  <c r="DL18" i="77"/>
  <c r="DM18" i="77" s="1"/>
  <c r="DE18" i="77"/>
  <c r="DF18" i="77" s="1"/>
  <c r="CX18" i="77"/>
  <c r="CY18" i="77" s="1"/>
  <c r="Z18" i="77"/>
  <c r="CQ12" i="77"/>
  <c r="DL12" i="77"/>
  <c r="DM12" i="77" s="1"/>
  <c r="DE12" i="77"/>
  <c r="DF12" i="77" s="1"/>
  <c r="CX12" i="77"/>
  <c r="CY12" i="77" s="1"/>
  <c r="Z12" i="77"/>
  <c r="CM20" i="73"/>
  <c r="DA49" i="73"/>
  <c r="CM56" i="73"/>
  <c r="CM46" i="73"/>
  <c r="CF46" i="73"/>
  <c r="DA62" i="73"/>
  <c r="CM27" i="73"/>
  <c r="CM65" i="73"/>
  <c r="CF67" i="73"/>
  <c r="DA41" i="73"/>
  <c r="CF27" i="73"/>
  <c r="DA26" i="73"/>
  <c r="DA22" i="73"/>
  <c r="CM59" i="73"/>
  <c r="CM58" i="73"/>
  <c r="DA25" i="73"/>
  <c r="CM14" i="73"/>
  <c r="CM42" i="73"/>
  <c r="DA58" i="73"/>
  <c r="DA16" i="73"/>
  <c r="CM43" i="73"/>
  <c r="CF53" i="73"/>
  <c r="DA36" i="73"/>
  <c r="DA63" i="73"/>
  <c r="CM35" i="73"/>
  <c r="CF26" i="73"/>
  <c r="CM63" i="73"/>
  <c r="DA7" i="73"/>
  <c r="CF9" i="73"/>
  <c r="CF56" i="73"/>
  <c r="CF41" i="73"/>
  <c r="CF18" i="73"/>
  <c r="DA47" i="73"/>
  <c r="CM36" i="73"/>
  <c r="CM41" i="73"/>
  <c r="CM29" i="73"/>
  <c r="CM52" i="73"/>
  <c r="CM66" i="73"/>
  <c r="CM49" i="73"/>
  <c r="DA64" i="73"/>
  <c r="CF22" i="73"/>
  <c r="CM22" i="73"/>
  <c r="CM39" i="73"/>
  <c r="CF64" i="73"/>
  <c r="CM57" i="73"/>
  <c r="DA18" i="73"/>
  <c r="DA54" i="73"/>
  <c r="CF38" i="73"/>
  <c r="CM51" i="73"/>
  <c r="CM15" i="73"/>
  <c r="CM50" i="73"/>
  <c r="DA9" i="73"/>
  <c r="CF29" i="73"/>
  <c r="DA20" i="73"/>
  <c r="CF49" i="73"/>
  <c r="CF66" i="73"/>
  <c r="CF21" i="73"/>
  <c r="CF39" i="73"/>
  <c r="CF47" i="73"/>
  <c r="DA57" i="73"/>
  <c r="CF42" i="73"/>
  <c r="DA53" i="73"/>
  <c r="DA13" i="73"/>
  <c r="CM16" i="73"/>
  <c r="CM7" i="73"/>
  <c r="CF33" i="73"/>
  <c r="DA52" i="73"/>
  <c r="CF20" i="73"/>
  <c r="DA60" i="73"/>
  <c r="DA59" i="73"/>
  <c r="CM40" i="73"/>
  <c r="CF63" i="73"/>
  <c r="CM30" i="73"/>
  <c r="CM13" i="73"/>
  <c r="CM18" i="73"/>
  <c r="DA19" i="73"/>
  <c r="DA24" i="73"/>
  <c r="DA39" i="73"/>
  <c r="CF57" i="73"/>
  <c r="CM33" i="73"/>
  <c r="CF52" i="73"/>
  <c r="CM64" i="73"/>
  <c r="DA35" i="73"/>
  <c r="CM47" i="73"/>
  <c r="CF54" i="73"/>
  <c r="CF43" i="73"/>
  <c r="DA66" i="73"/>
  <c r="CM54" i="73"/>
  <c r="CF16" i="73"/>
  <c r="DA40" i="73"/>
  <c r="CM19" i="73"/>
  <c r="CM34" i="73"/>
  <c r="DA43" i="73"/>
  <c r="CM60" i="73"/>
  <c r="DA38" i="73"/>
  <c r="DA29" i="73"/>
  <c r="CQ70" i="73"/>
  <c r="AG16" i="75"/>
  <c r="AG5" i="75"/>
  <c r="AG10" i="75"/>
  <c r="AG12" i="75"/>
  <c r="AD5" i="75"/>
  <c r="AG22" i="75"/>
  <c r="AG20" i="75"/>
  <c r="AD27" i="75"/>
  <c r="AG23" i="75"/>
  <c r="AG8" i="75"/>
  <c r="AG6" i="75"/>
  <c r="AG25" i="75"/>
  <c r="DC55" i="73"/>
  <c r="DC61" i="73" s="1"/>
  <c r="AG15" i="75"/>
  <c r="AG27" i="75"/>
  <c r="AJ42" i="77"/>
  <c r="DD10" i="73"/>
  <c r="DD62" i="73"/>
  <c r="DC68" i="73"/>
  <c r="DD38" i="73"/>
  <c r="DH10" i="73"/>
  <c r="DD46" i="73"/>
  <c r="DF46" i="73"/>
  <c r="DD20" i="73"/>
  <c r="DD57" i="73"/>
  <c r="DD7" i="73"/>
  <c r="DD56" i="73"/>
  <c r="DD18" i="73"/>
  <c r="DD39" i="73"/>
  <c r="DD8" i="73"/>
  <c r="DD25" i="73"/>
  <c r="DD33" i="73"/>
  <c r="DD43" i="73"/>
  <c r="DD21" i="73"/>
  <c r="DD12" i="73"/>
  <c r="DD58" i="73"/>
  <c r="DD27" i="73"/>
  <c r="DD40" i="73"/>
  <c r="DD24" i="73"/>
  <c r="DB68" i="73"/>
  <c r="DF67" i="73"/>
  <c r="DD67" i="73"/>
  <c r="DD42" i="73"/>
  <c r="DD32" i="73"/>
  <c r="DD47" i="73"/>
  <c r="DD35" i="73"/>
  <c r="DD15" i="73"/>
  <c r="DF53" i="73"/>
  <c r="DD53" i="73"/>
  <c r="DD54" i="73"/>
  <c r="DF26" i="73"/>
  <c r="DD26" i="73"/>
  <c r="DD63" i="73"/>
  <c r="DD60" i="73"/>
  <c r="DH38" i="73"/>
  <c r="DD14" i="73"/>
  <c r="DD41" i="73"/>
  <c r="DD64" i="73"/>
  <c r="DD34" i="73"/>
  <c r="DD66" i="73"/>
  <c r="DD51" i="73"/>
  <c r="DF22" i="73"/>
  <c r="DD22" i="73"/>
  <c r="DD49" i="73"/>
  <c r="DD65" i="73"/>
  <c r="DD13" i="73"/>
  <c r="DD16" i="73"/>
  <c r="DD28" i="73"/>
  <c r="DD50" i="73"/>
  <c r="DD29" i="73"/>
  <c r="DF19" i="73"/>
  <c r="DD19" i="73"/>
  <c r="DF52" i="73"/>
  <c r="DD52" i="73"/>
  <c r="DD59" i="73"/>
  <c r="DO48" i="77"/>
  <c r="DO37" i="77"/>
  <c r="BZ33" i="77"/>
  <c r="DO53" i="77"/>
  <c r="DO46" i="77"/>
  <c r="CB33" i="77"/>
  <c r="DO18" i="77"/>
  <c r="DO59" i="77"/>
  <c r="DO62" i="77"/>
  <c r="DO29" i="77"/>
  <c r="DO47" i="77"/>
  <c r="DO8" i="77"/>
  <c r="CG14" i="77"/>
  <c r="CI14" i="77"/>
  <c r="DO12" i="77"/>
  <c r="DO43" i="77"/>
  <c r="DO40" i="77"/>
  <c r="DO32" i="77"/>
  <c r="AJ23" i="75"/>
  <c r="DO58" i="77"/>
  <c r="AI62" i="74"/>
  <c r="AJ25" i="75"/>
  <c r="DO55" i="77"/>
  <c r="DO20" i="77"/>
  <c r="AJ24" i="75"/>
  <c r="DO13" i="77"/>
  <c r="BU13" i="77"/>
  <c r="BS13" i="77"/>
  <c r="AJ15" i="75"/>
  <c r="BR42" i="77"/>
  <c r="BR66" i="77" s="1"/>
  <c r="DO15" i="77"/>
  <c r="AJ22" i="75"/>
  <c r="CB13" i="73"/>
  <c r="CB32" i="73"/>
  <c r="AJ26" i="75"/>
  <c r="AJ14" i="75"/>
  <c r="AG16" i="71"/>
  <c r="AG28" i="71"/>
  <c r="AD10" i="71"/>
  <c r="AD9" i="71"/>
  <c r="CB28" i="73"/>
  <c r="AG12" i="71"/>
  <c r="AG23" i="71"/>
  <c r="CB8" i="73"/>
  <c r="AG21" i="71"/>
  <c r="CB60" i="73"/>
  <c r="AG22" i="71"/>
  <c r="AD8" i="71"/>
  <c r="AG30" i="71"/>
  <c r="AD7" i="71"/>
  <c r="AG18" i="71"/>
  <c r="AD20" i="71"/>
  <c r="AG17" i="71"/>
  <c r="AD33" i="71"/>
  <c r="AG6" i="71"/>
  <c r="AG27" i="71"/>
  <c r="AG31" i="71"/>
  <c r="AG15" i="71"/>
  <c r="AD11" i="71"/>
  <c r="AG26" i="71"/>
  <c r="AG32" i="71"/>
  <c r="AD25" i="71"/>
  <c r="CN52" i="77"/>
  <c r="AD16" i="71"/>
  <c r="AD15" i="71"/>
  <c r="AD17" i="71"/>
  <c r="AD21" i="71"/>
  <c r="CN58" i="77"/>
  <c r="AD6" i="71"/>
  <c r="AD30" i="71"/>
  <c r="AD22" i="71"/>
  <c r="AD31" i="71"/>
  <c r="AD26" i="71"/>
  <c r="AD27" i="71"/>
  <c r="AL68" i="72"/>
  <c r="AH70" i="72"/>
  <c r="CN35" i="77"/>
  <c r="AJ7" i="75"/>
  <c r="AJ17" i="75"/>
  <c r="AI40" i="74"/>
  <c r="DB18" i="77"/>
  <c r="CN34" i="77"/>
  <c r="CN46" i="77"/>
  <c r="CN19" i="77"/>
  <c r="CN9" i="77"/>
  <c r="CN48" i="77"/>
  <c r="CN39" i="77"/>
  <c r="CN18" i="77"/>
  <c r="AJ11" i="75"/>
  <c r="CN55" i="77"/>
  <c r="CN27" i="77"/>
  <c r="CN13" i="77"/>
  <c r="AJ18" i="75"/>
  <c r="AJ28" i="75"/>
  <c r="CN12" i="77"/>
  <c r="AG26" i="75"/>
  <c r="AJ27" i="75"/>
  <c r="Q42" i="77"/>
  <c r="AJ18" i="71"/>
  <c r="AJ14" i="71"/>
  <c r="AJ20" i="71"/>
  <c r="CN62" i="77"/>
  <c r="DT37" i="77"/>
  <c r="DP33" i="77"/>
  <c r="BB42" i="77"/>
  <c r="DP16" i="77"/>
  <c r="DT16" i="77"/>
  <c r="DT13" i="77"/>
  <c r="DP27" i="77"/>
  <c r="DT27" i="77"/>
  <c r="DT32" i="77"/>
  <c r="DT21" i="77"/>
  <c r="DT26" i="77"/>
  <c r="DT41" i="77"/>
  <c r="DT52" i="77"/>
  <c r="DT54" i="77"/>
  <c r="DT55" i="77"/>
  <c r="DT56" i="77"/>
  <c r="DP56" i="77"/>
  <c r="DT39" i="77"/>
  <c r="DT40" i="77"/>
  <c r="DT25" i="77"/>
  <c r="DP28" i="77"/>
  <c r="DT28" i="77"/>
  <c r="DT15" i="77"/>
  <c r="DT59" i="77"/>
  <c r="DT34" i="77"/>
  <c r="DP49" i="77"/>
  <c r="DT49" i="77"/>
  <c r="DT58" i="77"/>
  <c r="DT31" i="77"/>
  <c r="DP31" i="77"/>
  <c r="DT29" i="77"/>
  <c r="DT44" i="77"/>
  <c r="DP44" i="77"/>
  <c r="DT8" i="77"/>
  <c r="DT19" i="77"/>
  <c r="DT22" i="77"/>
  <c r="DT20" i="77"/>
  <c r="DT9" i="77"/>
  <c r="DP9" i="77"/>
  <c r="DT53" i="77"/>
  <c r="DT48" i="77"/>
  <c r="DT10" i="77"/>
  <c r="DT12" i="77"/>
  <c r="DT7" i="77"/>
  <c r="DP7" i="77"/>
  <c r="DP60" i="77"/>
  <c r="DT60" i="77"/>
  <c r="DT14" i="77"/>
  <c r="DP14" i="77"/>
  <c r="DT63" i="77"/>
  <c r="DT61" i="77"/>
  <c r="DT35" i="77"/>
  <c r="DP35" i="77"/>
  <c r="DT47" i="77"/>
  <c r="DT43" i="77"/>
  <c r="DT18" i="77"/>
  <c r="DT62" i="77"/>
  <c r="CB9" i="73"/>
  <c r="DD9" i="73"/>
  <c r="DH9" i="73"/>
  <c r="DD30" i="73"/>
  <c r="DH30" i="73"/>
  <c r="DD36" i="73"/>
  <c r="DH36" i="73"/>
  <c r="AJ20" i="75"/>
  <c r="AJ6" i="75"/>
  <c r="AJ13" i="75"/>
  <c r="AJ8" i="75"/>
  <c r="AM10" i="71"/>
  <c r="AJ26" i="71"/>
  <c r="AG8" i="71"/>
  <c r="CG40" i="77"/>
  <c r="BL42" i="77"/>
  <c r="AJ30" i="75"/>
  <c r="AJ10" i="75"/>
  <c r="AI32" i="75"/>
  <c r="AJ12" i="75"/>
  <c r="AJ19" i="75"/>
  <c r="AJ29" i="75"/>
  <c r="BZ62" i="77"/>
  <c r="CB52" i="77"/>
  <c r="BE42" i="77"/>
  <c r="AM26" i="75"/>
  <c r="AX42" i="77"/>
  <c r="AM25" i="75"/>
  <c r="DI22" i="77"/>
  <c r="DB52" i="77"/>
  <c r="CI55" i="77"/>
  <c r="CB20" i="77"/>
  <c r="CG47" i="77"/>
  <c r="CG15" i="77"/>
  <c r="CG32" i="77"/>
  <c r="AM23" i="75"/>
  <c r="AO34" i="74"/>
  <c r="AM28" i="75"/>
  <c r="AI55" i="74"/>
  <c r="AM11" i="75"/>
  <c r="AM20" i="75"/>
  <c r="AM6" i="75"/>
  <c r="AM27" i="75"/>
  <c r="AL34" i="74"/>
  <c r="DB14" i="77"/>
  <c r="DI34" i="77"/>
  <c r="AL62" i="74"/>
  <c r="AF55" i="74"/>
  <c r="AM29" i="75"/>
  <c r="AJ25" i="71"/>
  <c r="AM12" i="71"/>
  <c r="AM31" i="71"/>
  <c r="AJ9" i="71"/>
  <c r="AM28" i="71"/>
  <c r="CB57" i="73"/>
  <c r="CB59" i="73"/>
  <c r="CP62" i="73"/>
  <c r="CW33" i="73"/>
  <c r="CP24" i="73"/>
  <c r="CP27" i="73"/>
  <c r="AJ19" i="71"/>
  <c r="AJ15" i="71"/>
  <c r="AJ12" i="71"/>
  <c r="AJ10" i="71"/>
  <c r="AJ33" i="71"/>
  <c r="AJ8" i="71"/>
  <c r="AJ21" i="71"/>
  <c r="AJ27" i="71"/>
  <c r="AM32" i="71"/>
  <c r="AG11" i="71"/>
  <c r="AG7" i="71"/>
  <c r="AJ31" i="71"/>
  <c r="AJ22" i="71"/>
  <c r="AJ24" i="71"/>
  <c r="CW8" i="73"/>
  <c r="AJ16" i="71"/>
  <c r="CW51" i="73"/>
  <c r="CW46" i="73"/>
  <c r="CW21" i="73"/>
  <c r="AM16" i="71"/>
  <c r="CB47" i="73"/>
  <c r="BE68" i="73"/>
  <c r="AJ30" i="71"/>
  <c r="AJ5" i="71"/>
  <c r="CB21" i="73"/>
  <c r="AM7" i="71"/>
  <c r="AM17" i="71"/>
  <c r="CW34" i="73"/>
  <c r="CB50" i="73"/>
  <c r="CP36" i="73"/>
  <c r="CP35" i="73"/>
  <c r="AI35" i="71"/>
  <c r="CP47" i="73"/>
  <c r="CB43" i="73"/>
  <c r="AM30" i="71"/>
  <c r="AJ13" i="71"/>
  <c r="CV55" i="73"/>
  <c r="AM22" i="71"/>
  <c r="AM11" i="71"/>
  <c r="AJ32" i="71"/>
  <c r="AJ23" i="71"/>
  <c r="CF13" i="73"/>
  <c r="CT35" i="73"/>
  <c r="CB65" i="73"/>
  <c r="CO68" i="73"/>
  <c r="CR68" i="73" s="1"/>
  <c r="AM6" i="71"/>
  <c r="CA68" i="73"/>
  <c r="CW32" i="73"/>
  <c r="CP20" i="73"/>
  <c r="CB25" i="73"/>
  <c r="CP58" i="73"/>
  <c r="CP59" i="73"/>
  <c r="AM21" i="71"/>
  <c r="CF60" i="73"/>
  <c r="CW7" i="73"/>
  <c r="CP56" i="73"/>
  <c r="CP54" i="73"/>
  <c r="AJ7" i="71"/>
  <c r="CW63" i="73"/>
  <c r="CP60" i="73"/>
  <c r="AM33" i="71"/>
  <c r="CF8" i="73"/>
  <c r="CP22" i="73"/>
  <c r="AG33" i="71"/>
  <c r="AM19" i="71"/>
  <c r="DA8" i="73"/>
  <c r="AG19" i="71"/>
  <c r="CT47" i="73"/>
  <c r="AM27" i="71"/>
  <c r="AG10" i="71"/>
  <c r="CP21" i="73"/>
  <c r="AD19" i="71"/>
  <c r="AJ6" i="71"/>
  <c r="CB52" i="73"/>
  <c r="AM9" i="71"/>
  <c r="CI47" i="73"/>
  <c r="DA32" i="73"/>
  <c r="DA34" i="73"/>
  <c r="AM25" i="71"/>
  <c r="AG14" i="71"/>
  <c r="DA21" i="73"/>
  <c r="AD24" i="71"/>
  <c r="AM24" i="71"/>
  <c r="AG24" i="71"/>
  <c r="CF59" i="73"/>
  <c r="CG55" i="73"/>
  <c r="AD32" i="71"/>
  <c r="AG20" i="71"/>
  <c r="AD14" i="71"/>
  <c r="DA46" i="73"/>
  <c r="CW42" i="73"/>
  <c r="AM14" i="71"/>
  <c r="CF7" i="73"/>
  <c r="CB7" i="73"/>
  <c r="AD29" i="71"/>
  <c r="CB33" i="73"/>
  <c r="CW57" i="73"/>
  <c r="AM23" i="71"/>
  <c r="AM29" i="71"/>
  <c r="CT43" i="73"/>
  <c r="CP43" i="73"/>
  <c r="AD23" i="71"/>
  <c r="CW27" i="73"/>
  <c r="AM15" i="71"/>
  <c r="AJ28" i="71"/>
  <c r="AM17" i="75"/>
  <c r="CG54" i="77"/>
  <c r="CG31" i="77"/>
  <c r="CG18" i="77"/>
  <c r="CG34" i="77"/>
  <c r="CI34" i="77"/>
  <c r="CI31" i="77"/>
  <c r="AN42" i="77"/>
  <c r="DB35" i="77"/>
  <c r="AI21" i="74"/>
  <c r="DI15" i="77"/>
  <c r="DI16" i="77"/>
  <c r="DI47" i="77"/>
  <c r="AO21" i="74"/>
  <c r="DI60" i="77"/>
  <c r="AD22" i="75"/>
  <c r="AG14" i="75"/>
  <c r="AM8" i="75"/>
  <c r="AM13" i="75"/>
  <c r="AM22" i="75"/>
  <c r="CN8" i="77"/>
  <c r="AM12" i="75"/>
  <c r="AG18" i="75"/>
  <c r="AM24" i="75"/>
  <c r="AM15" i="75"/>
  <c r="DB54" i="77"/>
  <c r="AG19" i="75"/>
  <c r="DG42" i="77"/>
  <c r="DB56" i="77"/>
  <c r="AG24" i="75"/>
  <c r="AG17" i="75"/>
  <c r="CN28" i="77"/>
  <c r="CN40" i="77"/>
  <c r="AM14" i="75"/>
  <c r="DB13" i="77"/>
  <c r="DB27" i="77"/>
  <c r="AD29" i="75"/>
  <c r="AD6" i="75"/>
  <c r="O42" i="77"/>
  <c r="AG7" i="75"/>
  <c r="AD12" i="75"/>
  <c r="AD18" i="75"/>
  <c r="DI14" i="77"/>
  <c r="DB60" i="77"/>
  <c r="AD19" i="75"/>
  <c r="AG13" i="75"/>
  <c r="CZ42" i="77"/>
  <c r="CZ45" i="77" s="1"/>
  <c r="DB20" i="77"/>
  <c r="AG11" i="75"/>
  <c r="DI40" i="77"/>
  <c r="AD28" i="75"/>
  <c r="AD23" i="75"/>
  <c r="AD20" i="75"/>
  <c r="AD13" i="75"/>
  <c r="CB39" i="73"/>
  <c r="CB15" i="73"/>
  <c r="CP16" i="73"/>
  <c r="CB16" i="73"/>
  <c r="CP15" i="73"/>
  <c r="DB32" i="77"/>
  <c r="DD32" i="77"/>
  <c r="CI58" i="77"/>
  <c r="CG58" i="77"/>
  <c r="CB37" i="77"/>
  <c r="BZ37" i="77"/>
  <c r="CY22" i="73"/>
  <c r="CW22" i="73"/>
  <c r="BU8" i="77"/>
  <c r="BS8" i="77"/>
  <c r="CU12" i="77"/>
  <c r="CB39" i="77"/>
  <c r="BZ39" i="77"/>
  <c r="DB44" i="77"/>
  <c r="DB39" i="77"/>
  <c r="CY59" i="73"/>
  <c r="CW59" i="73"/>
  <c r="CS64" i="77"/>
  <c r="DB55" i="77"/>
  <c r="DD55" i="77"/>
  <c r="CN47" i="77"/>
  <c r="CB48" i="77"/>
  <c r="BZ48" i="77"/>
  <c r="CB53" i="77"/>
  <c r="BZ53" i="77"/>
  <c r="DB10" i="77"/>
  <c r="DD10" i="77"/>
  <c r="CI29" i="77"/>
  <c r="CG29" i="77"/>
  <c r="DD16" i="77"/>
  <c r="DB16" i="77"/>
  <c r="DD15" i="77"/>
  <c r="DB15" i="77"/>
  <c r="DK8" i="77"/>
  <c r="DI8" i="77"/>
  <c r="CN20" i="77"/>
  <c r="DD31" i="77"/>
  <c r="DB31" i="77"/>
  <c r="CN14" i="77"/>
  <c r="DK19" i="77"/>
  <c r="DI19" i="77"/>
  <c r="DI18" i="77"/>
  <c r="DK18" i="77"/>
  <c r="CU32" i="77"/>
  <c r="CU9" i="77"/>
  <c r="CU40" i="77"/>
  <c r="CU61" i="77"/>
  <c r="AM19" i="75"/>
  <c r="AD8" i="75"/>
  <c r="AH32" i="75"/>
  <c r="AL21" i="74"/>
  <c r="AI34" i="74"/>
  <c r="AJ5" i="75"/>
  <c r="AJ16" i="75"/>
  <c r="CB53" i="73"/>
  <c r="BA68" i="73"/>
  <c r="CY54" i="73"/>
  <c r="CW54" i="73"/>
  <c r="CP32" i="73"/>
  <c r="CR32" i="73"/>
  <c r="CH55" i="73"/>
  <c r="CI39" i="73"/>
  <c r="CW35" i="73"/>
  <c r="CY35" i="73"/>
  <c r="CB49" i="73"/>
  <c r="CI27" i="73"/>
  <c r="CR14" i="73"/>
  <c r="CP14" i="73"/>
  <c r="CB27" i="73"/>
  <c r="CY18" i="73"/>
  <c r="CW18" i="73"/>
  <c r="CM12" i="73"/>
  <c r="AF35" i="71"/>
  <c r="AC35" i="71"/>
  <c r="AJ17" i="71"/>
  <c r="BU52" i="77"/>
  <c r="BS52" i="77"/>
  <c r="DI26" i="77"/>
  <c r="DK26" i="77"/>
  <c r="CI59" i="73"/>
  <c r="CG16" i="77"/>
  <c r="CI16" i="77"/>
  <c r="CP41" i="73"/>
  <c r="CR41" i="73"/>
  <c r="CN55" i="73"/>
  <c r="CT55" i="73" s="1"/>
  <c r="CU20" i="77"/>
  <c r="CB63" i="77"/>
  <c r="BZ63" i="77"/>
  <c r="DK41" i="77"/>
  <c r="DI41" i="77"/>
  <c r="CU56" i="77"/>
  <c r="CB67" i="73"/>
  <c r="DI54" i="77"/>
  <c r="DK54" i="77"/>
  <c r="H64" i="77"/>
  <c r="DH64" i="77"/>
  <c r="CB49" i="77"/>
  <c r="BZ49" i="77"/>
  <c r="DD63" i="77"/>
  <c r="DB63" i="77"/>
  <c r="DI59" i="77"/>
  <c r="DK59" i="77"/>
  <c r="DB53" i="77"/>
  <c r="DD53" i="77"/>
  <c r="CN53" i="77"/>
  <c r="BZ35" i="77"/>
  <c r="CB35" i="77"/>
  <c r="L42" i="77"/>
  <c r="CN37" i="77"/>
  <c r="CN15" i="77"/>
  <c r="DK31" i="77"/>
  <c r="DI31" i="77"/>
  <c r="DD26" i="77"/>
  <c r="DB26" i="77"/>
  <c r="DI32" i="77"/>
  <c r="DK32" i="77"/>
  <c r="DI21" i="77"/>
  <c r="DK21" i="77"/>
  <c r="CU25" i="77"/>
  <c r="CU29" i="77"/>
  <c r="CU63" i="77"/>
  <c r="DK7" i="77"/>
  <c r="DI7" i="77"/>
  <c r="AD17" i="75"/>
  <c r="CB25" i="77"/>
  <c r="BZ25" i="77"/>
  <c r="BY68" i="73"/>
  <c r="CB58" i="73"/>
  <c r="AM16" i="75"/>
  <c r="CB51" i="73"/>
  <c r="CW40" i="73"/>
  <c r="CY40" i="73"/>
  <c r="CP53" i="73"/>
  <c r="CR53" i="73"/>
  <c r="CB22" i="73"/>
  <c r="CB54" i="73"/>
  <c r="CY65" i="73"/>
  <c r="CW65" i="73"/>
  <c r="CI34" i="73"/>
  <c r="CI56" i="73"/>
  <c r="CI46" i="73"/>
  <c r="CG68" i="73"/>
  <c r="CM68" i="73" s="1"/>
  <c r="CT36" i="73"/>
  <c r="CI28" i="73"/>
  <c r="CP40" i="73"/>
  <c r="DA33" i="73"/>
  <c r="CY19" i="73"/>
  <c r="CW19" i="73"/>
  <c r="CU68" i="73"/>
  <c r="CY24" i="73"/>
  <c r="CW24" i="73"/>
  <c r="AG5" i="71"/>
  <c r="AD5" i="71"/>
  <c r="DK55" i="77"/>
  <c r="DI55" i="77"/>
  <c r="DK49" i="77"/>
  <c r="DI49" i="77"/>
  <c r="CL42" i="77"/>
  <c r="AJ4" i="73"/>
  <c r="AE4" i="73"/>
  <c r="DB49" i="77"/>
  <c r="DB47" i="77"/>
  <c r="DD47" i="77"/>
  <c r="AO4" i="77"/>
  <c r="AI4" i="77"/>
  <c r="AC32" i="75"/>
  <c r="AF32" i="75"/>
  <c r="CI14" i="73"/>
  <c r="CI19" i="77"/>
  <c r="CG19" i="77"/>
  <c r="CI36" i="73"/>
  <c r="CU55" i="73"/>
  <c r="BU15" i="77"/>
  <c r="BS15" i="77"/>
  <c r="CB56" i="77"/>
  <c r="BZ56" i="77"/>
  <c r="CB60" i="77"/>
  <c r="BZ60" i="77"/>
  <c r="CN56" i="77"/>
  <c r="CI22" i="77"/>
  <c r="CG22" i="77"/>
  <c r="DD62" i="77"/>
  <c r="DB62" i="77"/>
  <c r="CN59" i="77"/>
  <c r="CN41" i="77"/>
  <c r="DK44" i="77"/>
  <c r="DI44" i="77"/>
  <c r="CG43" i="77"/>
  <c r="CI43" i="77"/>
  <c r="DD37" i="77"/>
  <c r="DA42" i="77"/>
  <c r="DA45" i="77" s="1"/>
  <c r="DB37" i="77"/>
  <c r="DK46" i="77"/>
  <c r="DI46" i="77"/>
  <c r="DD8" i="77"/>
  <c r="DB8" i="77"/>
  <c r="CN26" i="77"/>
  <c r="DK13" i="77"/>
  <c r="DI13" i="77"/>
  <c r="CU31" i="77"/>
  <c r="CU39" i="77"/>
  <c r="CU54" i="77"/>
  <c r="CI25" i="77"/>
  <c r="CG25" i="77"/>
  <c r="CY60" i="73"/>
  <c r="CW60" i="73"/>
  <c r="CY67" i="73"/>
  <c r="CW67" i="73"/>
  <c r="AB32" i="75"/>
  <c r="AE32" i="75"/>
  <c r="AG68" i="73"/>
  <c r="CP51" i="73"/>
  <c r="CR51" i="73"/>
  <c r="CW36" i="73"/>
  <c r="CY36" i="73"/>
  <c r="CW53" i="73"/>
  <c r="CY53" i="73"/>
  <c r="CY16" i="73"/>
  <c r="CW16" i="73"/>
  <c r="CY49" i="73"/>
  <c r="CW49" i="73"/>
  <c r="CR65" i="73"/>
  <c r="CP65" i="73"/>
  <c r="CI38" i="73"/>
  <c r="CI52" i="73"/>
  <c r="CI53" i="73"/>
  <c r="CP49" i="73"/>
  <c r="CB19" i="73"/>
  <c r="CI7" i="73"/>
  <c r="AD28" i="71"/>
  <c r="CW9" i="73"/>
  <c r="CY9" i="73"/>
  <c r="AM20" i="71"/>
  <c r="CF32" i="73"/>
  <c r="DD41" i="77"/>
  <c r="DB41" i="77"/>
  <c r="DH42" i="77"/>
  <c r="H42" i="77"/>
  <c r="CU15" i="77"/>
  <c r="CI43" i="73"/>
  <c r="CW13" i="73"/>
  <c r="CY13" i="73"/>
  <c r="CP19" i="73"/>
  <c r="CR19" i="73"/>
  <c r="CT12" i="73"/>
  <c r="CB59" i="77"/>
  <c r="BZ59" i="77"/>
  <c r="DK63" i="77"/>
  <c r="DI63" i="77"/>
  <c r="DD59" i="77"/>
  <c r="DB59" i="77"/>
  <c r="CU14" i="77"/>
  <c r="AG29" i="71"/>
  <c r="CI39" i="77"/>
  <c r="CG39" i="77"/>
  <c r="DK27" i="77"/>
  <c r="DI27" i="77"/>
  <c r="CB28" i="77"/>
  <c r="BZ28" i="77"/>
  <c r="AS42" i="77"/>
  <c r="AQ42" i="77"/>
  <c r="CW52" i="73"/>
  <c r="CY52" i="73"/>
  <c r="CR39" i="73"/>
  <c r="CP39" i="73"/>
  <c r="CB42" i="73"/>
  <c r="CG61" i="77"/>
  <c r="CI61" i="77"/>
  <c r="CI10" i="77"/>
  <c r="CG10" i="77"/>
  <c r="CB63" i="73"/>
  <c r="CB38" i="73"/>
  <c r="CP42" i="73"/>
  <c r="CR42" i="73"/>
  <c r="CY15" i="73"/>
  <c r="CW15" i="73"/>
  <c r="CI40" i="73"/>
  <c r="CI42" i="73"/>
  <c r="CI58" i="73"/>
  <c r="CB20" i="73"/>
  <c r="BZ55" i="73"/>
  <c r="CF55" i="73" s="1"/>
  <c r="CI24" i="73"/>
  <c r="CI33" i="73"/>
  <c r="CY29" i="73"/>
  <c r="CW29" i="73"/>
  <c r="AD12" i="71"/>
  <c r="AM18" i="71"/>
  <c r="CM38" i="73"/>
  <c r="AG25" i="71"/>
  <c r="CF42" i="77"/>
  <c r="CF66" i="77" s="1"/>
  <c r="CI37" i="77"/>
  <c r="CG37" i="77"/>
  <c r="CR66" i="73"/>
  <c r="CP66" i="73"/>
  <c r="CI19" i="73"/>
  <c r="CN49" i="77"/>
  <c r="DD61" i="77"/>
  <c r="DB61" i="77"/>
  <c r="DD22" i="77"/>
  <c r="DB22" i="77"/>
  <c r="BZ10" i="77"/>
  <c r="CB10" i="77"/>
  <c r="CB64" i="73"/>
  <c r="CB66" i="73"/>
  <c r="CY38" i="73"/>
  <c r="CW38" i="73"/>
  <c r="CB41" i="77"/>
  <c r="BZ41" i="77"/>
  <c r="CY66" i="73"/>
  <c r="CW66" i="73"/>
  <c r="CI41" i="73"/>
  <c r="CB24" i="73"/>
  <c r="CF28" i="73"/>
  <c r="CM32" i="73"/>
  <c r="CI46" i="77"/>
  <c r="CG46" i="77"/>
  <c r="DK56" i="77"/>
  <c r="DI56" i="77"/>
  <c r="BU21" i="77"/>
  <c r="BS21" i="77"/>
  <c r="DD25" i="77"/>
  <c r="DB25" i="77"/>
  <c r="DK58" i="77"/>
  <c r="DI58" i="77"/>
  <c r="CG63" i="77"/>
  <c r="CI63" i="77"/>
  <c r="CN22" i="77"/>
  <c r="CG59" i="77"/>
  <c r="CI59" i="77"/>
  <c r="DK52" i="77"/>
  <c r="DI52" i="77"/>
  <c r="BZ9" i="77"/>
  <c r="CB9" i="77"/>
  <c r="CI41" i="77"/>
  <c r="CG41" i="77"/>
  <c r="CB27" i="77"/>
  <c r="BZ27" i="77"/>
  <c r="CN25" i="77"/>
  <c r="CU27" i="77"/>
  <c r="CU33" i="77"/>
  <c r="AM18" i="75"/>
  <c r="CR63" i="73"/>
  <c r="CP63" i="73"/>
  <c r="CW47" i="73"/>
  <c r="CY47" i="73"/>
  <c r="CB46" i="73"/>
  <c r="CT50" i="73"/>
  <c r="CP30" i="73"/>
  <c r="CR30" i="73"/>
  <c r="CI13" i="73"/>
  <c r="CI50" i="73"/>
  <c r="CI66" i="73"/>
  <c r="CY28" i="73"/>
  <c r="CW28" i="73"/>
  <c r="CY50" i="73"/>
  <c r="CW50" i="73"/>
  <c r="AM8" i="71"/>
  <c r="CT24" i="73"/>
  <c r="AE35" i="71"/>
  <c r="AB35" i="71"/>
  <c r="CU10" i="77"/>
  <c r="AM5" i="75"/>
  <c r="AL32" i="75"/>
  <c r="CR8" i="73"/>
  <c r="CP8" i="73"/>
  <c r="BZ44" i="77"/>
  <c r="CB44" i="77"/>
  <c r="CN32" i="77"/>
  <c r="AO62" i="74"/>
  <c r="CR9" i="73"/>
  <c r="CP9" i="73"/>
  <c r="CN44" i="77"/>
  <c r="CU60" i="77"/>
  <c r="CP64" i="73"/>
  <c r="CR64" i="73"/>
  <c r="I61" i="73"/>
  <c r="CB40" i="73"/>
  <c r="CF40" i="73"/>
  <c r="CB30" i="73"/>
  <c r="CY14" i="73"/>
  <c r="CW14" i="73"/>
  <c r="CN60" i="77"/>
  <c r="DI39" i="77"/>
  <c r="DK39" i="77"/>
  <c r="CN61" i="77"/>
  <c r="CI48" i="77"/>
  <c r="CG48" i="77"/>
  <c r="DB43" i="77"/>
  <c r="DD43" i="77"/>
  <c r="J42" i="77"/>
  <c r="BS46" i="77"/>
  <c r="BU46" i="77"/>
  <c r="DI20" i="77"/>
  <c r="DK20" i="77"/>
  <c r="DK25" i="77"/>
  <c r="DI25" i="77"/>
  <c r="CU18" i="77"/>
  <c r="CU34" i="77"/>
  <c r="CU47" i="77"/>
  <c r="CU55" i="77"/>
  <c r="AH64" i="74"/>
  <c r="AK64" i="74"/>
  <c r="AE64" i="74"/>
  <c r="AI68" i="73"/>
  <c r="W68" i="73"/>
  <c r="AO68" i="73"/>
  <c r="BM68" i="73"/>
  <c r="BZ68" i="73"/>
  <c r="CF68" i="73" s="1"/>
  <c r="CF62" i="73"/>
  <c r="CP46" i="73"/>
  <c r="CR46" i="73"/>
  <c r="CW43" i="73"/>
  <c r="BG68" i="73"/>
  <c r="CW41" i="73"/>
  <c r="CR29" i="73"/>
  <c r="CP29" i="73"/>
  <c r="CI18" i="73"/>
  <c r="CI65" i="73"/>
  <c r="CI51" i="73"/>
  <c r="CI64" i="73"/>
  <c r="CB10" i="73"/>
  <c r="CP28" i="73"/>
  <c r="CR28" i="73"/>
  <c r="CR13" i="73"/>
  <c r="CP13" i="73"/>
  <c r="CB41" i="73"/>
  <c r="AG68" i="72"/>
  <c r="CA55" i="73"/>
  <c r="CY26" i="73"/>
  <c r="CW26" i="73"/>
  <c r="CT38" i="73"/>
  <c r="DK9" i="77"/>
  <c r="DI9" i="77"/>
  <c r="CI16" i="73"/>
  <c r="BZ19" i="77"/>
  <c r="CB19" i="77"/>
  <c r="CI10" i="73"/>
  <c r="CB34" i="73"/>
  <c r="CY10" i="73"/>
  <c r="CW10" i="73"/>
  <c r="CR67" i="73"/>
  <c r="CP67" i="73"/>
  <c r="CI57" i="73"/>
  <c r="CP34" i="73"/>
  <c r="CR34" i="73"/>
  <c r="DB46" i="77"/>
  <c r="CU7" i="77"/>
  <c r="DI33" i="77"/>
  <c r="DA64" i="77"/>
  <c r="DD58" i="77"/>
  <c r="DB58" i="77"/>
  <c r="BU43" i="77"/>
  <c r="BS43" i="77"/>
  <c r="BU29" i="77"/>
  <c r="BS29" i="77"/>
  <c r="DK10" i="77"/>
  <c r="DI10" i="77"/>
  <c r="DI29" i="77"/>
  <c r="DK29" i="77"/>
  <c r="V42" i="77"/>
  <c r="CS42" i="77"/>
  <c r="BU34" i="77"/>
  <c r="BS34" i="77"/>
  <c r="DK37" i="77"/>
  <c r="DI37" i="77"/>
  <c r="AZ42" i="77"/>
  <c r="CU13" i="77"/>
  <c r="CU44" i="77"/>
  <c r="CT42" i="77"/>
  <c r="CU37" i="77"/>
  <c r="CU62" i="77"/>
  <c r="CN7" i="77"/>
  <c r="DD12" i="77"/>
  <c r="DB12" i="77"/>
  <c r="AD30" i="75"/>
  <c r="DD28" i="77"/>
  <c r="DB28" i="77"/>
  <c r="AL40" i="74"/>
  <c r="AD7" i="75"/>
  <c r="DA51" i="73"/>
  <c r="CW56" i="73"/>
  <c r="CY56" i="73"/>
  <c r="CN68" i="73"/>
  <c r="CT68" i="73" s="1"/>
  <c r="CT62" i="73"/>
  <c r="CO55" i="73"/>
  <c r="CO61" i="73" s="1"/>
  <c r="CF50" i="73"/>
  <c r="CP38" i="73"/>
  <c r="CR38" i="73"/>
  <c r="CI29" i="73"/>
  <c r="CI54" i="73"/>
  <c r="CI67" i="73"/>
  <c r="CP10" i="73"/>
  <c r="CR10" i="73"/>
  <c r="CW25" i="73"/>
  <c r="CY25" i="73"/>
  <c r="CR25" i="73"/>
  <c r="CP25" i="73"/>
  <c r="CI49" i="73"/>
  <c r="CW20" i="73"/>
  <c r="CY20" i="73"/>
  <c r="CI20" i="73"/>
  <c r="AM26" i="71"/>
  <c r="CF14" i="73"/>
  <c r="CB14" i="73"/>
  <c r="AG9" i="71"/>
  <c r="CW12" i="73"/>
  <c r="CY12" i="73"/>
  <c r="AK35" i="71"/>
  <c r="CB26" i="73"/>
  <c r="AM5" i="71"/>
  <c r="AL35" i="71"/>
  <c r="AH35" i="71"/>
  <c r="AD13" i="71"/>
  <c r="CU48" i="77"/>
  <c r="CT32" i="73"/>
  <c r="CU53" i="77"/>
  <c r="CI22" i="73"/>
  <c r="CU21" i="77"/>
  <c r="CI26" i="73"/>
  <c r="BU58" i="77"/>
  <c r="BS58" i="77"/>
  <c r="CU41" i="77"/>
  <c r="DI12" i="77"/>
  <c r="DK12" i="77"/>
  <c r="DG64" i="77"/>
  <c r="L64" i="77"/>
  <c r="CN54" i="77"/>
  <c r="DB48" i="77"/>
  <c r="DD48" i="77"/>
  <c r="CI53" i="77"/>
  <c r="CG53" i="77"/>
  <c r="CZ64" i="77"/>
  <c r="DK43" i="77"/>
  <c r="DI43" i="77"/>
  <c r="DB9" i="77"/>
  <c r="DD9" i="77"/>
  <c r="CU19" i="77"/>
  <c r="CU26" i="77"/>
  <c r="CU16" i="77"/>
  <c r="CU22" i="77"/>
  <c r="DD7" i="77"/>
  <c r="DB7" i="77"/>
  <c r="AM30" i="75"/>
  <c r="AM10" i="75"/>
  <c r="DK28" i="77"/>
  <c r="DI28" i="77"/>
  <c r="CB8" i="77"/>
  <c r="BZ8" i="77"/>
  <c r="AO40" i="74"/>
  <c r="AM68" i="73"/>
  <c r="CR33" i="73"/>
  <c r="CP33" i="73"/>
  <c r="CY64" i="73"/>
  <c r="CW64" i="73"/>
  <c r="CB36" i="73"/>
  <c r="CF36" i="73"/>
  <c r="CI35" i="73"/>
  <c r="CI30" i="73"/>
  <c r="CI62" i="73"/>
  <c r="CH68" i="73"/>
  <c r="CI60" i="73"/>
  <c r="CP52" i="73"/>
  <c r="CW39" i="73"/>
  <c r="CY39" i="73"/>
  <c r="CI25" i="73"/>
  <c r="CB12" i="73"/>
  <c r="CI8" i="73"/>
  <c r="AD18" i="71"/>
  <c r="CR26" i="73"/>
  <c r="CP26" i="73"/>
  <c r="AJ29" i="71"/>
  <c r="AM13" i="71"/>
  <c r="CG7" i="77"/>
  <c r="CI7" i="77"/>
  <c r="CI32" i="73"/>
  <c r="CU49" i="77"/>
  <c r="CB61" i="77"/>
  <c r="BZ61" i="77"/>
  <c r="CT27" i="73"/>
  <c r="CU35" i="77"/>
  <c r="DK62" i="77"/>
  <c r="DI62" i="77"/>
  <c r="DI61" i="77"/>
  <c r="DK61" i="77"/>
  <c r="CB22" i="77"/>
  <c r="BZ22" i="77"/>
  <c r="CN63" i="77"/>
  <c r="DI48" i="77"/>
  <c r="DK48" i="77"/>
  <c r="DK53" i="77"/>
  <c r="DI53" i="77"/>
  <c r="CN10" i="77"/>
  <c r="CN43" i="77"/>
  <c r="DD40" i="77"/>
  <c r="DB40" i="77"/>
  <c r="DI35" i="77"/>
  <c r="DK35" i="77"/>
  <c r="CN16" i="77"/>
  <c r="DB34" i="77"/>
  <c r="DD34" i="77"/>
  <c r="AE42" i="77"/>
  <c r="AC42" i="77"/>
  <c r="DD29" i="77"/>
  <c r="DB29" i="77"/>
  <c r="CN33" i="77"/>
  <c r="DD19" i="77"/>
  <c r="DB19" i="77"/>
  <c r="DB33" i="77"/>
  <c r="DD33" i="77"/>
  <c r="BZ12" i="77"/>
  <c r="CB12" i="77"/>
  <c r="CN31" i="77"/>
  <c r="DD21" i="77"/>
  <c r="DB21" i="77"/>
  <c r="CU8" i="77"/>
  <c r="CU28" i="77"/>
  <c r="CU59" i="77"/>
  <c r="AG30" i="75"/>
  <c r="AF21" i="74"/>
  <c r="CI8" i="77"/>
  <c r="CG8" i="77"/>
  <c r="AM7" i="75"/>
  <c r="CY58" i="73"/>
  <c r="CW58" i="73"/>
  <c r="AK32" i="75"/>
  <c r="CP50" i="73"/>
  <c r="CR50" i="73"/>
  <c r="AC68" i="73"/>
  <c r="CV68" i="73"/>
  <c r="CW62" i="73"/>
  <c r="CY62" i="73"/>
  <c r="CR57" i="73"/>
  <c r="CP57" i="73"/>
  <c r="CB56" i="73"/>
  <c r="AY68" i="73"/>
  <c r="BW68" i="73"/>
  <c r="CI9" i="73"/>
  <c r="CI15" i="73"/>
  <c r="CI63" i="73"/>
  <c r="CB29" i="73"/>
  <c r="CB62" i="73"/>
  <c r="CW30" i="73"/>
  <c r="CY30" i="73"/>
  <c r="CB18" i="73"/>
  <c r="CF35" i="73"/>
  <c r="CB35" i="73"/>
  <c r="CI21" i="73"/>
  <c r="CR7" i="73"/>
  <c r="CP7" i="73"/>
  <c r="CP18" i="73"/>
  <c r="AJ11" i="71"/>
  <c r="CR12" i="73"/>
  <c r="CP12" i="73"/>
  <c r="AG13" i="71"/>
  <c r="BP70" i="73" l="1"/>
  <c r="BQ70" i="73" s="1"/>
  <c r="CQ30" i="77"/>
  <c r="CV30" i="77"/>
  <c r="CO30" i="77"/>
  <c r="CP30" i="77" s="1"/>
  <c r="CW31" i="77"/>
  <c r="CV36" i="77"/>
  <c r="CM23" i="77"/>
  <c r="CM66" i="77" s="1"/>
  <c r="CJ37" i="73"/>
  <c r="X66" i="77"/>
  <c r="CK56" i="73"/>
  <c r="CJ61" i="73"/>
  <c r="CK61" i="73" s="1"/>
  <c r="CD32" i="73"/>
  <c r="CC37" i="73"/>
  <c r="CV51" i="77"/>
  <c r="CQ51" i="77"/>
  <c r="W70" i="73"/>
  <c r="CM23" i="73"/>
  <c r="AM64" i="74"/>
  <c r="J30" i="82"/>
  <c r="G30" i="82"/>
  <c r="H30" i="82"/>
  <c r="CO51" i="77"/>
  <c r="CV45" i="77"/>
  <c r="BS66" i="77"/>
  <c r="BU66" i="77"/>
  <c r="CG66" i="77"/>
  <c r="CI66" i="77"/>
  <c r="CL66" i="77"/>
  <c r="CS66" i="77"/>
  <c r="CP46" i="77"/>
  <c r="CR31" i="77"/>
  <c r="CQ36" i="77"/>
  <c r="CW12" i="77"/>
  <c r="CV17" i="77"/>
  <c r="CR52" i="77"/>
  <c r="CQ57" i="77"/>
  <c r="CV57" i="77"/>
  <c r="CP25" i="77"/>
  <c r="CQ17" i="77"/>
  <c r="CW18" i="77"/>
  <c r="CV23" i="77"/>
  <c r="CO17" i="77"/>
  <c r="CO45" i="77"/>
  <c r="CV11" i="77"/>
  <c r="CW11" i="77" s="1"/>
  <c r="CR46" i="77"/>
  <c r="CP31" i="77"/>
  <c r="CO36" i="77"/>
  <c r="CR25" i="77"/>
  <c r="CP18" i="77"/>
  <c r="CO23" i="77"/>
  <c r="CW25" i="77"/>
  <c r="CR18" i="77"/>
  <c r="CQ23" i="77"/>
  <c r="CP52" i="77"/>
  <c r="CO57" i="77"/>
  <c r="CR7" i="77"/>
  <c r="CQ11" i="77"/>
  <c r="CR11" i="77" s="1"/>
  <c r="CO11" i="77"/>
  <c r="CP11" i="77" s="1"/>
  <c r="AF30" i="76"/>
  <c r="AO30" i="76"/>
  <c r="AN30" i="76"/>
  <c r="AE30" i="76"/>
  <c r="AG23" i="76"/>
  <c r="AL36" i="76"/>
  <c r="AK36" i="76"/>
  <c r="AM30" i="76"/>
  <c r="CU52" i="77"/>
  <c r="CT57" i="77"/>
  <c r="CR43" i="77"/>
  <c r="CQ45" i="77"/>
  <c r="CN45" i="77"/>
  <c r="DT45" i="77"/>
  <c r="DB45" i="77"/>
  <c r="DD45" i="77"/>
  <c r="DG45" i="77"/>
  <c r="DI45" i="77" s="1"/>
  <c r="CW37" i="77"/>
  <c r="DK45" i="77"/>
  <c r="CY17" i="77"/>
  <c r="BS42" i="77"/>
  <c r="CP37" i="77"/>
  <c r="DE45" i="77"/>
  <c r="DF45" i="77" s="1"/>
  <c r="L45" i="77"/>
  <c r="DL45" i="77"/>
  <c r="CX45" i="77"/>
  <c r="DC36" i="77"/>
  <c r="H23" i="77"/>
  <c r="L17" i="77"/>
  <c r="DD17" i="77"/>
  <c r="DA23" i="77"/>
  <c r="DD23" i="77" s="1"/>
  <c r="DG17" i="77"/>
  <c r="DM17" i="77" s="1"/>
  <c r="CZ17" i="77"/>
  <c r="DB17" i="77" s="1"/>
  <c r="CP8" i="77"/>
  <c r="DJ23" i="77"/>
  <c r="CW8" i="77"/>
  <c r="DN17" i="77"/>
  <c r="DO11" i="77"/>
  <c r="DP11" i="77" s="1"/>
  <c r="DR7" i="77"/>
  <c r="DQ11" i="77"/>
  <c r="DQ17" i="77" s="1"/>
  <c r="DQ23" i="77" s="1"/>
  <c r="DQ30" i="77" s="1"/>
  <c r="DQ36" i="77" s="1"/>
  <c r="CN11" i="77"/>
  <c r="DB11" i="77"/>
  <c r="DD11" i="77"/>
  <c r="CP7" i="77"/>
  <c r="CU11" i="77"/>
  <c r="DG11" i="77"/>
  <c r="DM11" i="77" s="1"/>
  <c r="CW7" i="77"/>
  <c r="DO46" i="73"/>
  <c r="CC48" i="73"/>
  <c r="CM55" i="73"/>
  <c r="CJ48" i="73"/>
  <c r="CD7" i="73"/>
  <c r="CC11" i="73"/>
  <c r="DO11" i="73" s="1"/>
  <c r="CD56" i="73"/>
  <c r="CC61" i="73"/>
  <c r="CM11" i="73"/>
  <c r="CC23" i="73"/>
  <c r="DO23" i="73" s="1"/>
  <c r="CJ23" i="73"/>
  <c r="CK23" i="73" s="1"/>
  <c r="CK7" i="73"/>
  <c r="CJ11" i="73"/>
  <c r="CK11" i="73" s="1"/>
  <c r="CF61" i="73"/>
  <c r="DN61" i="73"/>
  <c r="CV61" i="73"/>
  <c r="CY61" i="73" s="1"/>
  <c r="CN61" i="73"/>
  <c r="CT61" i="73" s="1"/>
  <c r="CU61" i="73"/>
  <c r="DA61" i="73" s="1"/>
  <c r="CM61" i="73"/>
  <c r="DO38" i="73"/>
  <c r="CC44" i="73"/>
  <c r="CK38" i="73"/>
  <c r="CJ44" i="73"/>
  <c r="CY44" i="73"/>
  <c r="CW44" i="73"/>
  <c r="CK24" i="73"/>
  <c r="CJ31" i="73"/>
  <c r="CK31" i="73" s="1"/>
  <c r="CD24" i="73"/>
  <c r="CC31" i="73"/>
  <c r="CD31" i="73" s="1"/>
  <c r="DO67" i="73"/>
  <c r="CB31" i="73"/>
  <c r="DM31" i="73"/>
  <c r="CY31" i="73"/>
  <c r="CW31" i="73"/>
  <c r="CF31" i="73"/>
  <c r="DQ31" i="73"/>
  <c r="CI31" i="73"/>
  <c r="DM23" i="73"/>
  <c r="CB23" i="73"/>
  <c r="DO18" i="73"/>
  <c r="CK18" i="73"/>
  <c r="DQ23" i="73"/>
  <c r="CF23" i="73"/>
  <c r="CI23" i="73"/>
  <c r="CW23" i="73"/>
  <c r="CY23" i="73"/>
  <c r="CD12" i="73"/>
  <c r="CC17" i="73"/>
  <c r="CK12" i="73"/>
  <c r="CJ17" i="73"/>
  <c r="DM11" i="73"/>
  <c r="CB11" i="73"/>
  <c r="CD8" i="73"/>
  <c r="CK8" i="73"/>
  <c r="DF8" i="73"/>
  <c r="DE11" i="73"/>
  <c r="CF11" i="73"/>
  <c r="DQ11" i="73"/>
  <c r="CI11" i="73"/>
  <c r="CP11" i="73"/>
  <c r="CR11" i="73"/>
  <c r="DF11" i="73"/>
  <c r="DD11" i="73"/>
  <c r="CY11" i="73"/>
  <c r="CW11" i="73"/>
  <c r="DO60" i="73"/>
  <c r="DO32" i="73"/>
  <c r="CD63" i="73"/>
  <c r="CD30" i="73"/>
  <c r="DO50" i="73"/>
  <c r="AK61" i="72"/>
  <c r="AQ55" i="72"/>
  <c r="AQ61" i="72" s="1"/>
  <c r="AO61" i="72"/>
  <c r="AO70" i="72" s="1"/>
  <c r="AF61" i="72"/>
  <c r="AI61" i="72"/>
  <c r="DO59" i="73"/>
  <c r="CD41" i="73"/>
  <c r="DO49" i="73"/>
  <c r="CD27" i="73"/>
  <c r="DY12" i="77" a="1"/>
  <c r="DY12" i="77" s="1"/>
  <c r="DO22" i="73"/>
  <c r="CD52" i="73"/>
  <c r="DO56" i="73"/>
  <c r="DO58" i="73"/>
  <c r="CD54" i="73"/>
  <c r="CD46" i="73"/>
  <c r="DO43" i="73"/>
  <c r="CD38" i="73"/>
  <c r="DO21" i="73"/>
  <c r="DO39" i="73"/>
  <c r="CD35" i="73"/>
  <c r="DO26" i="73"/>
  <c r="CN29" i="77"/>
  <c r="DZ12" i="77" s="1" a="1"/>
  <c r="DZ12" i="77" s="1"/>
  <c r="CP29" i="77"/>
  <c r="DO16" i="73"/>
  <c r="DO53" i="73"/>
  <c r="DO57" i="73"/>
  <c r="CD66" i="73"/>
  <c r="DO34" i="73"/>
  <c r="DO7" i="73"/>
  <c r="DO13" i="73"/>
  <c r="DO24" i="73"/>
  <c r="CD10" i="73"/>
  <c r="DO47" i="73"/>
  <c r="CD14" i="73"/>
  <c r="CJ55" i="73"/>
  <c r="CK55" i="73" s="1"/>
  <c r="DO9" i="73"/>
  <c r="CJ68" i="73"/>
  <c r="CK68" i="73" s="1"/>
  <c r="CK51" i="73"/>
  <c r="CK13" i="73"/>
  <c r="CD18" i="73"/>
  <c r="CD42" i="73"/>
  <c r="CD29" i="73"/>
  <c r="CC55" i="73"/>
  <c r="DO55" i="73" s="1"/>
  <c r="DO36" i="73"/>
  <c r="DE68" i="73"/>
  <c r="DF68" i="73" s="1"/>
  <c r="DO8" i="73"/>
  <c r="CD51" i="73"/>
  <c r="CD40" i="73"/>
  <c r="DO20" i="73"/>
  <c r="DO33" i="73"/>
  <c r="DO65" i="73"/>
  <c r="DF62" i="73"/>
  <c r="CC68" i="73"/>
  <c r="CD68" i="73" s="1"/>
  <c r="DO15" i="73"/>
  <c r="DN68" i="73"/>
  <c r="CK32" i="73"/>
  <c r="DO19" i="73"/>
  <c r="DO25" i="73"/>
  <c r="DO28" i="73"/>
  <c r="DO64" i="73"/>
  <c r="DO62" i="73"/>
  <c r="CD62" i="73"/>
  <c r="DO12" i="73"/>
  <c r="DE55" i="73"/>
  <c r="DF55" i="73" s="1"/>
  <c r="CT64" i="77"/>
  <c r="CP21" i="77"/>
  <c r="CW52" i="77"/>
  <c r="CW58" i="77"/>
  <c r="CU46" i="77"/>
  <c r="CU43" i="77"/>
  <c r="CW43" i="77"/>
  <c r="DR32" i="77"/>
  <c r="DR54" i="77"/>
  <c r="DR8" i="77"/>
  <c r="DR47" i="77"/>
  <c r="DR41" i="77"/>
  <c r="DR20" i="77"/>
  <c r="DR29" i="77"/>
  <c r="DR13" i="77"/>
  <c r="DR18" i="77"/>
  <c r="CP43" i="77"/>
  <c r="DR61" i="77"/>
  <c r="DR40" i="77"/>
  <c r="DR62" i="77"/>
  <c r="DR22" i="77"/>
  <c r="CO64" i="77"/>
  <c r="DR48" i="77"/>
  <c r="DR53" i="77"/>
  <c r="DR63" i="77"/>
  <c r="DR19" i="77"/>
  <c r="DR21" i="77"/>
  <c r="DR39" i="77"/>
  <c r="DR55" i="77"/>
  <c r="DR34" i="77"/>
  <c r="DR59" i="77"/>
  <c r="CP12" i="77"/>
  <c r="DR52" i="77"/>
  <c r="CV64" i="77"/>
  <c r="DQ64" i="77"/>
  <c r="CO42" i="77"/>
  <c r="CP42" i="77" s="1"/>
  <c r="DR15" i="77"/>
  <c r="DR10" i="77"/>
  <c r="DR25" i="77"/>
  <c r="DR26" i="77"/>
  <c r="CW46" i="77"/>
  <c r="CV42" i="77"/>
  <c r="CW42" i="77" s="1"/>
  <c r="DQ42" i="77"/>
  <c r="DQ45" i="77" s="1"/>
  <c r="DP21" i="77"/>
  <c r="G18" i="84" a="1"/>
  <c r="G18" i="84" s="1"/>
  <c r="G16" i="84" a="1"/>
  <c r="G16" i="84" s="1"/>
  <c r="G13" i="84" a="1"/>
  <c r="G13" i="84" s="1"/>
  <c r="G14" i="84" a="1"/>
  <c r="G14" i="84" s="1"/>
  <c r="DU12" i="73" a="1"/>
  <c r="DU12" i="73" s="1"/>
  <c r="DP63" i="77"/>
  <c r="DP41" i="77"/>
  <c r="DP25" i="77"/>
  <c r="DP54" i="77"/>
  <c r="DP61" i="77"/>
  <c r="DP22" i="77"/>
  <c r="DP10" i="77"/>
  <c r="DP26" i="77"/>
  <c r="CR12" i="77"/>
  <c r="EC12" i="77" a="1"/>
  <c r="EC12" i="77" s="1"/>
  <c r="DP34" i="77"/>
  <c r="DP19" i="77"/>
  <c r="DP39" i="77"/>
  <c r="DP52" i="77"/>
  <c r="DY12" i="73" a="1"/>
  <c r="DY12" i="73" s="1"/>
  <c r="DQ68" i="73"/>
  <c r="DM55" i="73"/>
  <c r="DM61" i="73"/>
  <c r="DM68" i="73"/>
  <c r="DQ55" i="73"/>
  <c r="DD55" i="73"/>
  <c r="I18" i="82"/>
  <c r="CX36" i="77"/>
  <c r="DL36" i="77"/>
  <c r="DE36" i="77"/>
  <c r="DL42" i="77"/>
  <c r="DM42" i="77" s="1"/>
  <c r="CX42" i="77"/>
  <c r="CY42" i="77" s="1"/>
  <c r="DE42" i="77"/>
  <c r="DF42" i="77" s="1"/>
  <c r="CQ42" i="77"/>
  <c r="CR42" i="77" s="1"/>
  <c r="DE64" i="77"/>
  <c r="DF64" i="77" s="1"/>
  <c r="DL64" i="77"/>
  <c r="DM64" i="77" s="1"/>
  <c r="CX64" i="77"/>
  <c r="CY64" i="77" s="1"/>
  <c r="CQ64" i="77"/>
  <c r="CR64" i="77" s="1"/>
  <c r="DL23" i="77"/>
  <c r="CX23" i="77"/>
  <c r="DE23" i="77"/>
  <c r="DR43" i="77"/>
  <c r="DP43" i="77"/>
  <c r="DR37" i="77"/>
  <c r="DO42" i="77"/>
  <c r="DO45" i="77" s="1"/>
  <c r="DR58" i="77"/>
  <c r="DO64" i="77"/>
  <c r="DR46" i="77"/>
  <c r="DR12" i="77"/>
  <c r="DP37" i="77"/>
  <c r="DP48" i="77"/>
  <c r="BU42" i="77"/>
  <c r="DP29" i="77"/>
  <c r="DP20" i="77"/>
  <c r="DP12" i="77"/>
  <c r="DP55" i="77"/>
  <c r="DP15" i="77"/>
  <c r="DP46" i="77"/>
  <c r="DP53" i="77"/>
  <c r="DP13" i="77"/>
  <c r="DD68" i="73"/>
  <c r="DP62" i="77"/>
  <c r="DP40" i="77"/>
  <c r="DP18" i="77"/>
  <c r="DP8" i="77"/>
  <c r="DP59" i="77"/>
  <c r="DP47" i="77"/>
  <c r="DP58" i="77"/>
  <c r="I16" i="82"/>
  <c r="I24" i="82"/>
  <c r="DP32" i="77"/>
  <c r="G18" i="82"/>
  <c r="DH55" i="73"/>
  <c r="DD61" i="73"/>
  <c r="DH61" i="73"/>
  <c r="DH68" i="73"/>
  <c r="DT42" i="77"/>
  <c r="AJ32" i="75"/>
  <c r="AJ35" i="71"/>
  <c r="CW55" i="73"/>
  <c r="CP68" i="73"/>
  <c r="CB55" i="73"/>
  <c r="AD32" i="75"/>
  <c r="CN42" i="77"/>
  <c r="AG32" i="75"/>
  <c r="AM32" i="75"/>
  <c r="CR61" i="73"/>
  <c r="CY68" i="73"/>
  <c r="CW68" i="73"/>
  <c r="BZ42" i="77"/>
  <c r="CB42" i="77"/>
  <c r="CI68" i="73"/>
  <c r="DA55" i="73"/>
  <c r="DA68" i="73"/>
  <c r="CI42" i="77"/>
  <c r="CG42" i="77"/>
  <c r="AP4" i="77"/>
  <c r="AV4" i="77"/>
  <c r="CU42" i="77"/>
  <c r="DB42" i="77"/>
  <c r="DD42" i="77"/>
  <c r="CB61" i="73"/>
  <c r="AD35" i="71"/>
  <c r="AM35" i="71"/>
  <c r="DK64" i="77"/>
  <c r="DI64" i="77"/>
  <c r="AG35" i="71"/>
  <c r="CR55" i="73"/>
  <c r="CP55" i="73"/>
  <c r="DB64" i="77"/>
  <c r="DD64" i="77"/>
  <c r="CI55" i="73"/>
  <c r="CN64" i="77"/>
  <c r="DK42" i="77"/>
  <c r="DI42" i="77"/>
  <c r="AP4" i="73"/>
  <c r="AK4" i="73"/>
  <c r="CB68" i="73"/>
  <c r="CD11" i="73" l="1"/>
  <c r="AQ70" i="72"/>
  <c r="AR70" i="72"/>
  <c r="AM70" i="72"/>
  <c r="CQ66" i="77"/>
  <c r="CR66" i="77" s="1"/>
  <c r="CO66" i="77"/>
  <c r="CP66" i="77" s="1"/>
  <c r="CN66" i="77"/>
  <c r="CU64" i="77"/>
  <c r="CT66" i="77"/>
  <c r="CP64" i="77"/>
  <c r="AK42" i="76"/>
  <c r="AK45" i="76" s="1"/>
  <c r="AL42" i="76"/>
  <c r="AE42" i="76"/>
  <c r="AE36" i="76"/>
  <c r="AO36" i="76"/>
  <c r="AN36" i="76"/>
  <c r="AF36" i="76"/>
  <c r="AG30" i="76"/>
  <c r="AM36" i="76"/>
  <c r="ED12" i="77" a="1"/>
  <c r="ED12" i="77" s="1"/>
  <c r="CY45" i="77"/>
  <c r="CR45" i="77"/>
  <c r="CU23" i="77"/>
  <c r="CU45" i="77"/>
  <c r="CP45" i="77"/>
  <c r="DM45" i="77"/>
  <c r="CU17" i="77"/>
  <c r="DR45" i="77"/>
  <c r="DP45" i="77"/>
  <c r="DJ30" i="77"/>
  <c r="DA30" i="77"/>
  <c r="L23" i="77"/>
  <c r="DO17" i="77"/>
  <c r="DO23" i="77" s="1"/>
  <c r="DO30" i="77" s="1"/>
  <c r="CP17" i="77"/>
  <c r="CW17" i="77"/>
  <c r="CR17" i="77"/>
  <c r="DF17" i="77"/>
  <c r="CZ23" i="77"/>
  <c r="CZ30" i="77" s="1"/>
  <c r="DT17" i="77"/>
  <c r="DN23" i="77"/>
  <c r="DN30" i="77" s="1"/>
  <c r="CN17" i="77"/>
  <c r="DH17" i="77"/>
  <c r="DR11" i="77"/>
  <c r="DH11" i="77"/>
  <c r="AG64" i="74"/>
  <c r="AI64" i="74" s="1"/>
  <c r="AD64" i="74"/>
  <c r="AF64" i="74" s="1"/>
  <c r="AJ64" i="74"/>
  <c r="AL64" i="74" s="1"/>
  <c r="AO64" i="74"/>
  <c r="DQ61" i="73"/>
  <c r="CP61" i="73"/>
  <c r="CI61" i="73"/>
  <c r="CW61" i="73"/>
  <c r="DE61" i="73"/>
  <c r="DF61" i="73" s="1"/>
  <c r="DO61" i="73"/>
  <c r="DO31" i="73"/>
  <c r="CD23" i="73"/>
  <c r="AD70" i="72"/>
  <c r="AK70" i="72"/>
  <c r="AW70" i="72"/>
  <c r="AV61" i="72"/>
  <c r="AV70" i="72" s="1"/>
  <c r="AG61" i="72"/>
  <c r="AG70" i="72" s="1"/>
  <c r="AL61" i="72"/>
  <c r="AL70" i="72" s="1"/>
  <c r="DW12" i="73" a="1"/>
  <c r="DW12" i="73" s="1"/>
  <c r="DO68" i="73"/>
  <c r="CD55" i="73"/>
  <c r="I14" i="84" a="1"/>
  <c r="I14" i="84" s="1"/>
  <c r="DR42" i="77"/>
  <c r="CW64" i="77"/>
  <c r="EB12" i="77" a="1"/>
  <c r="EB12" i="77" s="1"/>
  <c r="DR64" i="77"/>
  <c r="I13" i="84" a="1"/>
  <c r="I13" i="84" s="1"/>
  <c r="I16" i="84" a="1"/>
  <c r="I16" i="84" s="1"/>
  <c r="I18" i="84" a="1"/>
  <c r="I18" i="84" s="1"/>
  <c r="G48" i="84"/>
  <c r="L12" i="84" s="1"/>
  <c r="G15" i="84"/>
  <c r="G17" i="84"/>
  <c r="G26" i="84"/>
  <c r="H29" i="84"/>
  <c r="G29" i="84"/>
  <c r="G19" i="84"/>
  <c r="DP42" i="77"/>
  <c r="DP64" i="77"/>
  <c r="BC4" i="77"/>
  <c r="AW4" i="77"/>
  <c r="AV4" i="73"/>
  <c r="AQ4" i="73"/>
  <c r="CU66" i="77" l="1"/>
  <c r="AK51" i="76"/>
  <c r="AN42" i="76"/>
  <c r="AM42" i="76"/>
  <c r="AM45" i="76" s="1"/>
  <c r="AL45" i="76"/>
  <c r="AL51" i="76" s="1"/>
  <c r="AG36" i="76"/>
  <c r="AF42" i="76"/>
  <c r="AG42" i="76" s="1"/>
  <c r="AO42" i="76"/>
  <c r="AF45" i="76"/>
  <c r="CY23" i="77"/>
  <c r="DF23" i="77"/>
  <c r="CW45" i="77"/>
  <c r="DP17" i="77"/>
  <c r="DR23" i="77"/>
  <c r="DG23" i="77"/>
  <c r="DM23" i="77" s="1"/>
  <c r="DB30" i="77"/>
  <c r="DA36" i="77"/>
  <c r="DD30" i="77"/>
  <c r="CU36" i="77"/>
  <c r="CY30" i="77"/>
  <c r="DH23" i="77"/>
  <c r="DK23" i="77" s="1"/>
  <c r="DF30" i="77"/>
  <c r="CZ36" i="77"/>
  <c r="DF36" i="77" s="1"/>
  <c r="H30" i="77"/>
  <c r="DJ36" i="77"/>
  <c r="DT30" i="77"/>
  <c r="DN36" i="77"/>
  <c r="DT36" i="77" s="1"/>
  <c r="DR30" i="77"/>
  <c r="DP30" i="77"/>
  <c r="DO36" i="77"/>
  <c r="CU30" i="77"/>
  <c r="DP23" i="77"/>
  <c r="DR17" i="77"/>
  <c r="CN23" i="77"/>
  <c r="CR23" i="77"/>
  <c r="DK17" i="77"/>
  <c r="DI17" i="77"/>
  <c r="DT23" i="77"/>
  <c r="DB23" i="77"/>
  <c r="DK11" i="77"/>
  <c r="DI11" i="77"/>
  <c r="CD61" i="73"/>
  <c r="AF70" i="72"/>
  <c r="AI70" i="72"/>
  <c r="I15" i="84"/>
  <c r="G49" i="84"/>
  <c r="O12" i="84" s="1"/>
  <c r="I29" i="84"/>
  <c r="J29" i="84"/>
  <c r="I19" i="84"/>
  <c r="I17" i="84"/>
  <c r="I26" i="84"/>
  <c r="AW4" i="73"/>
  <c r="BB4" i="73"/>
  <c r="BJ4" i="77"/>
  <c r="BD4" i="77"/>
  <c r="AE45" i="76" l="1"/>
  <c r="AN45" i="76"/>
  <c r="AN51" i="76"/>
  <c r="AE51" i="76"/>
  <c r="AO45" i="76"/>
  <c r="AO51" i="76"/>
  <c r="AM51" i="76"/>
  <c r="AF51" i="76"/>
  <c r="CW30" i="77"/>
  <c r="CV66" i="77"/>
  <c r="CW66" i="77" s="1"/>
  <c r="DG30" i="77"/>
  <c r="DM30" i="77" s="1"/>
  <c r="DI23" i="77"/>
  <c r="CR30" i="77"/>
  <c r="CN30" i="77"/>
  <c r="L36" i="77"/>
  <c r="H36" i="77"/>
  <c r="DH30" i="77"/>
  <c r="CY36" i="77"/>
  <c r="DP36" i="77"/>
  <c r="DR36" i="77"/>
  <c r="DB36" i="77"/>
  <c r="DD36" i="77"/>
  <c r="CW23" i="77"/>
  <c r="CP23" i="77"/>
  <c r="BQ4" i="77"/>
  <c r="BK4" i="77"/>
  <c r="BH4" i="73"/>
  <c r="BC4" i="73"/>
  <c r="AG45" i="76" l="1"/>
  <c r="CW36" i="77"/>
  <c r="AG51" i="76"/>
  <c r="DG36" i="77"/>
  <c r="DM36" i="77" s="1"/>
  <c r="CN36" i="77"/>
  <c r="CR36" i="77"/>
  <c r="DK30" i="77"/>
  <c r="DI30" i="77"/>
  <c r="DH36" i="77"/>
  <c r="BN4" i="73"/>
  <c r="BI4" i="73"/>
  <c r="BX4" i="77"/>
  <c r="BR4" i="77"/>
  <c r="CP36" i="77" l="1"/>
  <c r="DI36" i="77"/>
  <c r="DK36" i="77"/>
  <c r="CE4" i="77"/>
  <c r="BY4" i="77"/>
  <c r="BT4" i="73"/>
  <c r="BU4" i="73" s="1"/>
  <c r="BO4" i="73"/>
  <c r="AD29" i="70"/>
  <c r="AE29" i="70"/>
  <c r="AH29" i="70"/>
  <c r="AK29" i="70"/>
  <c r="AJ29" i="70"/>
  <c r="CF4" i="77" l="1"/>
  <c r="AF29" i="70"/>
  <c r="AL29" i="70"/>
  <c r="AN29" i="70"/>
  <c r="AG29" i="70"/>
  <c r="AI29" i="70" s="1"/>
  <c r="AM29" i="70"/>
  <c r="AO29" i="70" l="1"/>
  <c r="AD42" i="70"/>
  <c r="AE42" i="70"/>
  <c r="AH42" i="70"/>
  <c r="AJ42" i="70"/>
  <c r="AK42" i="70"/>
  <c r="AE53" i="70" l="1"/>
  <c r="AK53" i="70"/>
  <c r="AH53" i="70"/>
  <c r="AD53" i="70"/>
  <c r="AL42" i="70"/>
  <c r="AJ53" i="70"/>
  <c r="AF42" i="70"/>
  <c r="AF53" i="70" l="1"/>
  <c r="AL53" i="70"/>
  <c r="AG42" i="70" l="1"/>
  <c r="AI42" i="70" s="1"/>
  <c r="AN53" i="70"/>
  <c r="AM42" i="70"/>
  <c r="AN42" i="70"/>
  <c r="AO42" i="70" l="1"/>
  <c r="AM53" i="70"/>
  <c r="AO53" i="70" s="1"/>
  <c r="AG53" i="70"/>
  <c r="AI53" i="70" s="1"/>
  <c r="AD59" i="70"/>
  <c r="AH59" i="70" l="1"/>
  <c r="AF59" i="70"/>
  <c r="AK59" i="70" l="1"/>
  <c r="AJ59" i="70"/>
  <c r="AL59" i="70" l="1"/>
  <c r="AG59" i="70" l="1"/>
  <c r="AI59" i="70" s="1"/>
  <c r="AM59" i="70"/>
  <c r="AN59" i="70"/>
  <c r="AO59" i="70" l="1"/>
  <c r="AD66" i="70"/>
  <c r="AE66" i="70"/>
  <c r="AH66" i="70"/>
  <c r="AK66" i="70"/>
  <c r="AJ66" i="70"/>
  <c r="AF66" i="70" l="1"/>
  <c r="AL66" i="70"/>
  <c r="AM66" i="70"/>
  <c r="AM68" i="70" s="1"/>
  <c r="AN66" i="70"/>
  <c r="AN68" i="70" s="1"/>
  <c r="AG66" i="70"/>
  <c r="AI66" i="70" s="1"/>
  <c r="AH68" i="70"/>
  <c r="AK68" i="70"/>
  <c r="AJ68" i="70"/>
  <c r="AO68" i="70" l="1"/>
  <c r="AL68" i="70"/>
  <c r="AF68" i="70"/>
  <c r="AI68" i="70"/>
  <c r="AO66" i="70"/>
  <c r="DK17" i="73" l="1"/>
  <c r="DL17" i="73"/>
  <c r="DN17" i="73"/>
  <c r="CX17" i="73" l="1"/>
  <c r="CZ17" i="73"/>
  <c r="CU17" i="73"/>
  <c r="CV17" i="73"/>
  <c r="DA17" i="73" l="1"/>
  <c r="CW17" i="73"/>
  <c r="CY17" i="73"/>
  <c r="DP17" i="73" l="1"/>
  <c r="CL17" i="73"/>
  <c r="CB17" i="73"/>
  <c r="DM17" i="73"/>
  <c r="CD17" i="73"/>
  <c r="DO17" i="73"/>
  <c r="CF17" i="73"/>
  <c r="DQ17" i="73"/>
  <c r="CM17" i="73" l="1"/>
  <c r="CI17" i="73"/>
  <c r="CK17" i="73"/>
  <c r="DK37" i="73"/>
  <c r="DL37" i="73" l="1"/>
  <c r="DN37" i="73" l="1"/>
  <c r="CU37" i="73" l="1"/>
  <c r="CX37" i="73"/>
  <c r="CV37" i="73"/>
  <c r="CZ37" i="73"/>
  <c r="DA37" i="73" l="1"/>
  <c r="CY37" i="73"/>
  <c r="CW37" i="73"/>
  <c r="CL37" i="73" l="1"/>
  <c r="DP37" i="73"/>
  <c r="DM44" i="73" l="1"/>
  <c r="CB44" i="73"/>
  <c r="DO44" i="73"/>
  <c r="CD44" i="73"/>
  <c r="CF44" i="73" l="1"/>
  <c r="DQ44" i="73"/>
  <c r="CM44" i="73"/>
  <c r="CI44" i="73"/>
  <c r="CK44" i="73"/>
  <c r="BZ70" i="73"/>
  <c r="DK48" i="73"/>
  <c r="DL48" i="73"/>
  <c r="CH70" i="73"/>
  <c r="CA70" i="73" l="1"/>
  <c r="CB70" i="73" l="1"/>
  <c r="DN48" i="73"/>
  <c r="I70" i="73" l="1"/>
  <c r="CO70" i="73" l="1"/>
  <c r="CN70" i="73"/>
  <c r="CT70" i="73" s="1"/>
  <c r="CR70" i="73" l="1"/>
  <c r="CP70" i="73"/>
  <c r="CV48" i="73"/>
  <c r="CX48" i="73"/>
  <c r="CZ48" i="73"/>
  <c r="CZ70" i="73" s="1"/>
  <c r="CU48" i="73"/>
  <c r="CU70" i="73" s="1"/>
  <c r="CW48" i="73" l="1"/>
  <c r="CY48" i="73"/>
  <c r="DA70" i="73"/>
  <c r="CV70" i="73"/>
  <c r="CW70" i="73" s="1"/>
  <c r="DA48" i="73"/>
  <c r="CL70" i="73" l="1"/>
  <c r="DP48" i="73"/>
  <c r="CG70" i="73" l="1"/>
  <c r="CI70" i="73" s="1"/>
  <c r="CM70" i="73" l="1"/>
  <c r="DQ48" i="73"/>
  <c r="CF48" i="73"/>
  <c r="DM48" i="73"/>
  <c r="DO48" i="73"/>
  <c r="CB48" i="73"/>
  <c r="CD48" i="73"/>
  <c r="CM48" i="73"/>
  <c r="CI48" i="73"/>
  <c r="CK48" i="73"/>
  <c r="AP23" i="78"/>
  <c r="AP17" i="78"/>
  <c r="AQ23" i="78"/>
  <c r="AQ17" i="78"/>
  <c r="H23" i="78"/>
  <c r="H17" i="78"/>
  <c r="AR23" i="78" l="1"/>
  <c r="AR17" i="78"/>
  <c r="BD17" i="78"/>
  <c r="BC23" i="78"/>
  <c r="BD23" i="78"/>
  <c r="BE17" i="78" l="1"/>
  <c r="BE23" i="78"/>
  <c r="AS17" i="78"/>
  <c r="AS23" i="78"/>
  <c r="AT23" i="78"/>
  <c r="AT17" i="78"/>
  <c r="AU17" i="78" l="1"/>
  <c r="AU23" i="78"/>
  <c r="AP61" i="78"/>
  <c r="AP55" i="78"/>
  <c r="AQ55" i="78"/>
  <c r="AQ61" i="78"/>
  <c r="H61" i="78"/>
  <c r="H55" i="78"/>
  <c r="AQ70" i="78" l="1"/>
  <c r="AR61" i="78"/>
  <c r="AP70" i="78"/>
  <c r="AR55" i="78"/>
  <c r="H70" i="78"/>
  <c r="AR70" i="78" l="1"/>
  <c r="AV70" i="78"/>
  <c r="BB70" i="78" s="1"/>
  <c r="AW70" i="78" l="1"/>
  <c r="AZ70" i="78" l="1"/>
  <c r="AX70" i="78"/>
  <c r="BD55" i="78" l="1"/>
  <c r="BC55" i="78"/>
  <c r="BC70" i="78" l="1"/>
  <c r="BE55" i="78"/>
  <c r="BD70" i="78"/>
  <c r="BE70" i="78" l="1"/>
  <c r="BE61" i="78"/>
  <c r="AS61" i="78" l="1"/>
  <c r="AT55" i="78"/>
  <c r="AS55" i="78"/>
  <c r="AT61" i="78"/>
  <c r="AT70" i="78" l="1"/>
  <c r="AS70" i="78"/>
  <c r="AU55" i="78"/>
  <c r="AU61" i="78"/>
  <c r="AU70" i="78" l="1"/>
  <c r="H51" i="77"/>
  <c r="H66" i="77"/>
  <c r="H57" i="77" l="1"/>
  <c r="J51" i="77"/>
  <c r="J57" i="77"/>
  <c r="J66" i="77" l="1"/>
  <c r="L57" i="77"/>
  <c r="L51" i="77"/>
  <c r="L66" i="77" l="1"/>
  <c r="DE51" i="77" l="1"/>
  <c r="DE57" i="77" l="1"/>
  <c r="DE66" i="77" l="1"/>
  <c r="DH51" i="77" l="1"/>
  <c r="DJ57" i="77"/>
  <c r="DG51" i="77"/>
  <c r="DH57" i="77"/>
  <c r="DL51" i="77"/>
  <c r="DG57" i="77"/>
  <c r="DJ51" i="77"/>
  <c r="DL57" i="77"/>
  <c r="DM51" i="77" l="1"/>
  <c r="DM57" i="77"/>
  <c r="DI51" i="77"/>
  <c r="DK51" i="77"/>
  <c r="DJ66" i="77"/>
  <c r="DG66" i="77"/>
  <c r="DK57" i="77"/>
  <c r="DL66" i="77"/>
  <c r="DI57" i="77"/>
  <c r="DH66" i="77"/>
  <c r="DM66" i="77" l="1"/>
  <c r="DK66" i="77"/>
  <c r="DI66" i="77"/>
  <c r="CX57" i="77" l="1"/>
  <c r="CX51" i="77"/>
  <c r="CY51" i="77" s="1"/>
  <c r="CR57" i="77"/>
  <c r="CR51" i="77"/>
  <c r="CN51" i="77"/>
  <c r="CN57" i="77"/>
  <c r="CP51" i="77"/>
  <c r="CP57" i="77"/>
  <c r="CU51" i="77"/>
  <c r="CX66" i="77" l="1"/>
  <c r="CY66" i="77" s="1"/>
  <c r="CY57" i="77"/>
  <c r="CU57" i="77"/>
  <c r="CW57" i="77"/>
  <c r="CW51" i="77"/>
  <c r="AF57" i="76"/>
  <c r="AF64" i="76"/>
  <c r="AE57" i="76"/>
  <c r="AE64" i="76"/>
  <c r="AE66" i="76" l="1"/>
  <c r="AF66" i="76"/>
  <c r="AG57" i="76"/>
  <c r="AG64" i="76"/>
  <c r="AN64" i="76"/>
  <c r="AO64" i="76"/>
  <c r="AG66" i="76" l="1"/>
  <c r="N70" i="73"/>
  <c r="CC70" i="73" s="1"/>
  <c r="CD70" i="73" s="1"/>
  <c r="DN55" i="73"/>
  <c r="O55" i="73"/>
  <c r="CX55" i="73"/>
  <c r="CX70" i="73" s="1"/>
  <c r="CY70" i="73" s="1"/>
  <c r="CY55" i="73" l="1"/>
  <c r="O70" i="73"/>
  <c r="CJ70" i="73" l="1"/>
  <c r="CK70" i="73" s="1"/>
  <c r="CK37" i="73"/>
  <c r="CI37" i="73"/>
  <c r="CM37" i="73"/>
  <c r="CE70" i="73"/>
  <c r="CF70" i="73" s="1"/>
  <c r="DO37" i="73"/>
  <c r="CD37" i="73"/>
  <c r="DQ37" i="73"/>
  <c r="CF37" i="73"/>
  <c r="DM37" i="73"/>
  <c r="CB37" i="73"/>
  <c r="BH23" i="78"/>
  <c r="BH17" i="78"/>
  <c r="BH61" i="78"/>
  <c r="BH55" i="78"/>
  <c r="BH70" i="78"/>
  <c r="AJ66" i="76"/>
  <c r="AP66" i="76"/>
  <c r="AN57" i="76"/>
  <c r="AN66" i="76" s="1"/>
  <c r="AO57" i="76"/>
  <c r="AO66" i="76" s="1"/>
  <c r="Q66" i="76"/>
  <c r="P66" i="76"/>
  <c r="S66" i="76"/>
  <c r="R66" i="76"/>
  <c r="U66" i="76"/>
  <c r="T66" i="76"/>
  <c r="W66" i="76"/>
  <c r="V66" i="76"/>
  <c r="X66" i="76"/>
  <c r="Y66" i="76"/>
  <c r="AA66" i="76"/>
  <c r="Z66" i="76"/>
  <c r="AI57" i="76"/>
  <c r="AI66" i="76" s="1"/>
  <c r="AH57" i="76"/>
  <c r="AH66" i="76" s="1"/>
  <c r="AC66" i="76"/>
  <c r="AB66" i="76"/>
  <c r="DN66" i="77" l="1"/>
  <c r="DN57" i="77"/>
  <c r="DN51" i="77"/>
  <c r="BJ22" i="70"/>
  <c r="DE70" i="73"/>
  <c r="DE48" i="73"/>
  <c r="DE44" i="73"/>
  <c r="DE37" i="73"/>
  <c r="DE31" i="73"/>
  <c r="CQ23" i="73"/>
  <c r="DT66" i="77"/>
  <c r="DS66" i="77"/>
  <c r="DE17" i="73"/>
  <c r="BH22" i="70"/>
  <c r="DE23" i="73"/>
  <c r="DF66" i="77"/>
  <c r="CZ66" i="77"/>
  <c r="DQ51" i="77"/>
  <c r="DQ57" i="77"/>
  <c r="DQ66" i="77"/>
  <c r="CQ48" i="73"/>
  <c r="CQ44" i="73"/>
  <c r="CQ37" i="73"/>
  <c r="CQ31" i="73"/>
  <c r="DB23" i="73"/>
  <c r="DH37" i="73"/>
  <c r="DD57" i="77"/>
  <c r="DC57" i="77"/>
  <c r="DC66" i="77"/>
  <c r="DC51" i="77"/>
  <c r="DD51" i="77"/>
  <c r="BO22" i="70"/>
  <c r="DT51" i="77"/>
  <c r="DH48" i="73"/>
  <c r="CP37" i="73"/>
  <c r="CR37" i="73"/>
  <c r="DG48" i="73"/>
  <c r="DG70" i="73"/>
  <c r="DH70" i="73"/>
  <c r="DF31" i="73"/>
  <c r="DD31" i="73"/>
  <c r="DB70" i="73"/>
  <c r="DB31" i="73"/>
  <c r="DB37" i="73"/>
  <c r="DB44" i="73"/>
  <c r="DB48" i="73"/>
  <c r="CT37" i="73"/>
  <c r="DB57" i="77"/>
  <c r="AL66" i="76"/>
  <c r="AL57" i="76"/>
  <c r="AL64" i="76"/>
  <c r="CT17" i="73"/>
  <c r="CN17" i="73"/>
  <c r="DH17" i="73"/>
  <c r="DG17" i="73"/>
  <c r="DF37" i="73"/>
  <c r="DD37" i="73"/>
  <c r="DD70" i="73"/>
  <c r="DC70" i="73"/>
  <c r="DF70" i="73"/>
  <c r="DG37" i="73"/>
  <c r="DG44" i="73"/>
  <c r="DH44" i="73"/>
  <c r="DF23" i="73"/>
  <c r="DC23" i="73"/>
  <c r="DD23" i="73"/>
  <c r="CT48" i="73"/>
  <c r="CN48" i="73"/>
  <c r="CN37" i="73"/>
  <c r="CN44" i="73"/>
  <c r="CT44" i="73"/>
  <c r="DR51" i="77"/>
  <c r="DP51" i="77"/>
  <c r="AM64" i="76"/>
  <c r="AM57" i="76"/>
  <c r="AM66" i="76"/>
  <c r="DB17" i="73"/>
  <c r="DR66" i="77"/>
  <c r="DO66" i="77"/>
  <c r="DP66" i="77"/>
  <c r="CP48" i="73"/>
  <c r="CO48" i="73"/>
  <c r="CR48" i="73"/>
  <c r="DF51" i="77"/>
  <c r="DF17" i="73"/>
  <c r="DC17" i="73"/>
  <c r="DD17" i="73"/>
  <c r="DS51" i="77"/>
  <c r="DS57" i="77"/>
  <c r="DT57" i="77"/>
  <c r="CP17" i="73"/>
  <c r="CO17" i="73"/>
  <c r="CR17" i="73"/>
  <c r="CR31" i="73"/>
  <c r="CP31" i="73"/>
  <c r="BE22" i="70"/>
  <c r="AK64" i="76"/>
  <c r="AK57" i="76"/>
  <c r="AK66" i="76"/>
  <c r="CP44" i="73"/>
  <c r="CO31" i="73"/>
  <c r="CO37" i="73"/>
  <c r="CO44" i="73"/>
  <c r="CR44" i="73"/>
  <c r="DP57" i="77"/>
  <c r="DO51" i="77"/>
  <c r="DO57" i="77"/>
  <c r="DR57" i="77"/>
  <c r="DD66" i="77"/>
  <c r="DA57" i="77"/>
  <c r="DA66" i="77"/>
  <c r="DB66" i="77"/>
  <c r="CT23" i="73"/>
  <c r="CN23" i="73"/>
  <c r="CZ51" i="77"/>
  <c r="CZ57" i="77"/>
  <c r="DF57" i="77"/>
  <c r="BG22" i="70"/>
  <c r="DF44" i="73"/>
  <c r="DD44" i="73"/>
  <c r="DD48" i="73"/>
  <c r="DC31" i="73"/>
  <c r="DC37" i="73"/>
  <c r="DC44" i="73"/>
  <c r="DC48" i="73"/>
  <c r="DF48" i="73"/>
  <c r="DG31" i="73"/>
  <c r="DH31" i="73"/>
  <c r="CN31" i="73"/>
  <c r="CT31" i="73"/>
  <c r="DA51" i="77"/>
  <c r="DB51" i="77"/>
  <c r="CQ17" i="73"/>
  <c r="CR23" i="73"/>
  <c r="CO23" i="73"/>
  <c r="CP23" i="73"/>
  <c r="DG23" i="73"/>
  <c r="DH23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" authorId="0" shapeId="0" xr:uid="{2259DE2C-A271-4551-808C-C689588A524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caso de seleccionar el "Acumulado Mes", seleccionar en la celda siguiente (G3) el mes del periodo que se desea evaluar.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" authorId="0" shapeId="0" xr:uid="{CA1D616A-AF96-4DA8-B45D-37C82C6AFFE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caso de seleccionar el "Acumulado Mes", seleccionar en la celda siguiente (G3) el mes del periodo que se desea evaluar.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<sst xmlns="http://schemas.openxmlformats.org/spreadsheetml/2006/main" count="2960" uniqueCount="296">
  <si>
    <t>ENERO</t>
  </si>
  <si>
    <t>FEBRERO</t>
  </si>
  <si>
    <t>MARZO</t>
  </si>
  <si>
    <t>ABRIL</t>
  </si>
  <si>
    <t>MAYO</t>
  </si>
  <si>
    <t>JUNIO</t>
  </si>
  <si>
    <t>JULIO</t>
  </si>
  <si>
    <t>AGOSTO</t>
  </si>
  <si>
    <t>PRUNA MOTOR</t>
  </si>
  <si>
    <t>TRIOCAR</t>
  </si>
  <si>
    <t>AUTO PREMIER</t>
  </si>
  <si>
    <t>CERES MOTOR</t>
  </si>
  <si>
    <t>ENGASA</t>
  </si>
  <si>
    <t>FUENTEOLID</t>
  </si>
  <si>
    <t>MOTOR MUNICH</t>
  </si>
  <si>
    <t>MOVILNORTE</t>
  </si>
  <si>
    <t>VEHINTER</t>
  </si>
  <si>
    <t>ILBIRA MOTOR</t>
  </si>
  <si>
    <t>LUGAUTO</t>
  </si>
  <si>
    <t>ENEKURI MOTOR</t>
  </si>
  <si>
    <t>SAN RAFAEL MOTOR</t>
  </si>
  <si>
    <t>UNICARS PONENT</t>
  </si>
  <si>
    <t>CELTAMOTOR</t>
  </si>
  <si>
    <t>LURAUTO</t>
  </si>
  <si>
    <t>OLIVA MOTOR</t>
  </si>
  <si>
    <t>SAN PABLO MOTOR</t>
  </si>
  <si>
    <t>ALBAMOCION</t>
  </si>
  <si>
    <t>TOTAL NACIONAL</t>
  </si>
  <si>
    <t>Q</t>
  </si>
  <si>
    <t>SEPT.</t>
  </si>
  <si>
    <t>OCTU</t>
  </si>
  <si>
    <t>NOVBRE</t>
  </si>
  <si>
    <t>DICIEM.</t>
  </si>
  <si>
    <t>ACUMULADO MES</t>
  </si>
  <si>
    <t>ACUM.  ANUAL</t>
  </si>
  <si>
    <t>NUM.</t>
  </si>
  <si>
    <t>CONCESIONARIO</t>
  </si>
  <si>
    <t>RE</t>
  </si>
  <si>
    <t>%</t>
  </si>
  <si>
    <t>AVILCAR</t>
  </si>
  <si>
    <t>CANAAUTO</t>
  </si>
  <si>
    <t>ADLER MOTOR</t>
  </si>
  <si>
    <t>MARMOTOR</t>
  </si>
  <si>
    <t>TOTAL DISTRITO 12</t>
  </si>
  <si>
    <t>AUTOGAL</t>
  </si>
  <si>
    <t>NOVOMÓVIL</t>
  </si>
  <si>
    <t>AMIOCAR</t>
  </si>
  <si>
    <t>AUTORAM</t>
  </si>
  <si>
    <t>TORMES MOTOR</t>
  </si>
  <si>
    <t>BERNESGA MOTOR</t>
  </si>
  <si>
    <t>TOTAL DISTRITO 21</t>
  </si>
  <si>
    <t>GRÜNBLAU MOTOR</t>
  </si>
  <si>
    <t>BURGOCAR</t>
  </si>
  <si>
    <t>AUTOBERÓN</t>
  </si>
  <si>
    <t>TOTAL DISTRITO 22</t>
  </si>
  <si>
    <t>BARCELONA PREMIUM</t>
  </si>
  <si>
    <t>AUGUSTA ARAGÓN</t>
  </si>
  <si>
    <t>PYRÉNÉES MOTORS</t>
  </si>
  <si>
    <t>CABRERO MOTORSP.</t>
  </si>
  <si>
    <t>PROA PREMIUM</t>
  </si>
  <si>
    <t>LIZAGA MOTOR</t>
  </si>
  <si>
    <t>BERTOLÍN</t>
  </si>
  <si>
    <t>FERSÁN</t>
  </si>
  <si>
    <t>HISPAMÓVIL</t>
  </si>
  <si>
    <t>MABERAUTO</t>
  </si>
  <si>
    <t>MÓVIL BEGAR</t>
  </si>
  <si>
    <t>CARTEYA MOTOR</t>
  </si>
  <si>
    <t>AUTOMOTOR</t>
  </si>
  <si>
    <t>AUTOMOTOR COSTA</t>
  </si>
  <si>
    <t>OLIVA MOTOR GIRONA</t>
  </si>
  <si>
    <t>Q1</t>
  </si>
  <si>
    <t>Q2</t>
  </si>
  <si>
    <t>Q3</t>
  </si>
  <si>
    <t>Q4</t>
  </si>
  <si>
    <t>MOTRI MOTOR</t>
  </si>
  <si>
    <t>MURCIA PREMIUM</t>
  </si>
  <si>
    <t>GRUPO PROPIETARIO</t>
  </si>
  <si>
    <t>Grupo Fam. Martínez</t>
  </si>
  <si>
    <t>Grupo Colmenar</t>
  </si>
  <si>
    <t>Grupo Resnova</t>
  </si>
  <si>
    <t>Autogal</t>
  </si>
  <si>
    <t>Grupo Agrelo</t>
  </si>
  <si>
    <t>Grupo Autosa</t>
  </si>
  <si>
    <t>Grupo Hidalgo</t>
  </si>
  <si>
    <t>Autoram</t>
  </si>
  <si>
    <t>Cannauto</t>
  </si>
  <si>
    <t>Grupo Totus</t>
  </si>
  <si>
    <t>Grupo Cabrero</t>
  </si>
  <si>
    <t>Enekuri</t>
  </si>
  <si>
    <t>Marmotor</t>
  </si>
  <si>
    <t>Martín Lizaga</t>
  </si>
  <si>
    <t>TOTAL DISTRITO 13</t>
  </si>
  <si>
    <t>Pruna</t>
  </si>
  <si>
    <t>Unicars</t>
  </si>
  <si>
    <t>Grupo Oliva</t>
  </si>
  <si>
    <t>Grupo Proa</t>
  </si>
  <si>
    <t>Grupo Bertolín</t>
  </si>
  <si>
    <t>Grupo Benigar</t>
  </si>
  <si>
    <t>Grupo SAFA</t>
  </si>
  <si>
    <t>TOTAL DISTRITO 23</t>
  </si>
  <si>
    <t>MES</t>
  </si>
  <si>
    <t>SEPTIEMBRE</t>
  </si>
  <si>
    <t>OCTUBRE</t>
  </si>
  <si>
    <t>NOVIEMBRE</t>
  </si>
  <si>
    <t>DICIEMBRE</t>
  </si>
  <si>
    <t>Grupo Augusta</t>
  </si>
  <si>
    <t>Meter la info de Nico</t>
  </si>
  <si>
    <t>Actuals acumulado</t>
  </si>
  <si>
    <t>ACUMULADO ANUAL</t>
  </si>
  <si>
    <t>ACUMULADO MENSUAL</t>
  </si>
  <si>
    <t>CR</t>
  </si>
  <si>
    <t>CR (OU/RAC)</t>
  </si>
  <si>
    <t>CR (OTROS)</t>
  </si>
  <si>
    <t>RELLENAR WHOLESALE</t>
  </si>
  <si>
    <t>Lo objetivos (CR - Cifra de Referencia), me los pasa Germán tanto de RAC y OU como de OTROS.</t>
  </si>
  <si>
    <t>Para hacer la cifra de realizados en la columna de RAC/OU:</t>
  </si>
  <si>
    <t>Tengo que coger los coches del ACTUALS ACUMULADO.</t>
  </si>
  <si>
    <t>Tener en cuenta el mes al que se hace referencia.</t>
  </si>
  <si>
    <t>De la columna "Mes" hay una tabla que devuelve el mes en número y el mes en letras para cogerlo correctamente.</t>
  </si>
  <si>
    <t>Para hacer la cifra de realizados en la columna de OTROS:</t>
  </si>
  <si>
    <t>De la columna "Subasta" Sólo coger las subastas de RED (Ej: S03 RED, S52 RED, etc).</t>
  </si>
  <si>
    <t>De la columna "Fecha de factura" sólo coger las ventas realizadas en el mes que me interese.</t>
  </si>
  <si>
    <t>De la columna "Canal de venta" sólo coger "rmkt_auction_global".</t>
  </si>
  <si>
    <t>De la columna "Compañía" seleccionar todo menos Motorrad y Multimarca.</t>
  </si>
  <si>
    <t>Una vez me pase el fichero Nico hay que realizar algunas modificaciones:</t>
  </si>
  <si>
    <t>Meter en una columna el ID del DEALER, lo saco de la pestaña "ID.DEALER".</t>
  </si>
  <si>
    <t>Fijarse que haya metido Nico una columna con la fecha de factura (ya que es en la que nos fijaremos).</t>
  </si>
  <si>
    <t>La mejor forma es duplicar la pestaña de la ventas, e ir quitando todos los vehículos que no nos hacen falta.</t>
  </si>
  <si>
    <t>Hay que traeser del fichero del mes anterior la pestaña "Instrucciones", en donde saco la marca según el modelo.</t>
  </si>
  <si>
    <t>Me tiene que pasar Nico a cierre de Cada mes un fichero con las ventas de subasta.</t>
  </si>
  <si>
    <t>PESTAÑAS DE WHOLESALE</t>
  </si>
  <si>
    <t>BPS</t>
  </si>
  <si>
    <t>% BPS</t>
  </si>
  <si>
    <t>M-NEXT</t>
  </si>
  <si>
    <t>% M-NEXT</t>
  </si>
  <si>
    <t>RELLENAR PESTAÑA BPS</t>
  </si>
  <si>
    <t>En el fichero de ventas del mes hay una pestaña con una TD donde obtengo esta información.</t>
  </si>
  <si>
    <t>Las uds con menos de 6.000 kms o menos de 180 días no se tienen en cuenta (aunque hayan sido marcadas como BPS/MN).</t>
  </si>
  <si>
    <t>Por ese motivo las uds retail de la pestaña BPS son menos que las de la pestaña Seguimiento Retail.</t>
  </si>
  <si>
    <t>Obtengo las cifras con un CONTAR.SI.CONJUNTO por el ID DEALER y la MARCA (Mirar si diferencia entre BMW y BMWi).</t>
  </si>
  <si>
    <t>PESTAÑAS DE BPS</t>
  </si>
  <si>
    <t>Se obtienen de las ventas que nos pasa Motorflash, pero SÓLO se tienen en cuenta las uds vendidas BPS/MN de Fiscalges.</t>
  </si>
  <si>
    <r>
      <t>De la columna "Marca" coger BMW y BMWi (</t>
    </r>
    <r>
      <rPr>
        <b/>
        <sz val="11"/>
        <color theme="1"/>
        <rFont val="Calibri"/>
        <family val="2"/>
        <scheme val="minor"/>
      </rPr>
      <t>2 contar si conjunto</t>
    </r>
    <r>
      <rPr>
        <sz val="11"/>
        <color theme="1"/>
        <rFont val="Calibri"/>
        <family val="2"/>
        <scheme val="minor"/>
      </rPr>
      <t>),y en el caso de MINI sólo MINI.</t>
    </r>
  </si>
  <si>
    <t>De la columna "Sales channel" sólo coger los "rmk_auction_global".</t>
  </si>
  <si>
    <t>De la columna "Producto" cojo todo menos OU, RAC y Rac_A (OU_A, OU_B hay que cogerlos).</t>
  </si>
  <si>
    <t>DEALER</t>
  </si>
  <si>
    <t>CÓDIGO DEALER</t>
  </si>
  <si>
    <t>KPI</t>
  </si>
  <si>
    <t>REALIZADO VENTA RETAIL</t>
  </si>
  <si>
    <t>REALIZADO WHOLESALE (OU/RAC)</t>
  </si>
  <si>
    <t>CR WHOLESALE (OU/RAC)</t>
  </si>
  <si>
    <t>CR WHOLESALE (OTROS)</t>
  </si>
  <si>
    <t>REALIZADO WHOLESALE (OTROS)</t>
  </si>
  <si>
    <t>RETAIL SUSCEP. BPS</t>
  </si>
  <si>
    <t>CR VENTA RETAIL</t>
  </si>
  <si>
    <t>VENTA BPS</t>
  </si>
  <si>
    <t>Grupo BYmyCAR</t>
  </si>
  <si>
    <t>BYmyCAR</t>
  </si>
  <si>
    <t>Meter la info de Esther</t>
  </si>
  <si>
    <t>UC</t>
  </si>
  <si>
    <t>YUC</t>
  </si>
  <si>
    <t>Total</t>
  </si>
  <si>
    <t>«'</t>
  </si>
  <si>
    <t>MOVITRANSA</t>
  </si>
  <si>
    <t>Movitransa</t>
  </si>
  <si>
    <t>CAETANO CUZCO</t>
  </si>
  <si>
    <t>BYMYCAR MADRID</t>
  </si>
  <si>
    <t xml:space="preserve">AUTOSA </t>
  </si>
  <si>
    <t>OBJ</t>
  </si>
  <si>
    <t>% REMARKETING</t>
  </si>
  <si>
    <t>S</t>
  </si>
  <si>
    <t>S 1</t>
  </si>
  <si>
    <t>S 2</t>
  </si>
  <si>
    <t>RETAIL ORIGEN RMK</t>
  </si>
  <si>
    <t>% RE</t>
  </si>
  <si>
    <t>RUTA</t>
  </si>
  <si>
    <t>HOJA</t>
  </si>
  <si>
    <t>RANGO</t>
  </si>
  <si>
    <t>Fichero ventas origen remarketing</t>
  </si>
  <si>
    <t>SOLO BPS</t>
  </si>
  <si>
    <t>!$A$9:$L$65</t>
  </si>
  <si>
    <t>Ventas Retail fichero cierre de ventas</t>
  </si>
  <si>
    <t>C:\Users\qte8511\Desktop\Pruebas Javier\Actual acumulado 2025 &amp; 2024.xlsx</t>
  </si>
  <si>
    <t>Tabla YUC_UC</t>
  </si>
  <si>
    <t>RANGO BMW 2025</t>
  </si>
  <si>
    <t>!$V$12:$Z$80</t>
  </si>
  <si>
    <t>!$O$12:$T$80</t>
  </si>
  <si>
    <t>BUSCARV(BROW; INDIRECTO($G$80);3; 0)</t>
  </si>
  <si>
    <t xml:space="preserve">TD Retail Mensual </t>
  </si>
  <si>
    <t>!$H$9:$L$65</t>
  </si>
  <si>
    <t>BUSCARV(BROW; INDIRECTO($G$73);3; 0)</t>
  </si>
  <si>
    <t>BUSCARV(BROW; INDIRECTO($X$87);COINCIDIR($BZ$4; {"Enero";"Febrero";"Marzo";"Abril";"Mayo";"Junio";"Julio";"Agosto";"Septiembre";"Octubre";"Noviembre";"Diciembre"}; 0) + 2; 0)</t>
  </si>
  <si>
    <t>!$R$9:$AE$65</t>
  </si>
  <si>
    <t>BUSCARV(BROW; INDIRECTO($G$81);3; 0)</t>
  </si>
  <si>
    <t>BUSCARV(BROW; INDIRECTO($G$81);4; 0)</t>
  </si>
  <si>
    <t>BUSCARV(BROW; INDIRECTO($G$82);3; 0)</t>
  </si>
  <si>
    <t>BUSCARV(BROW; INDIRECTO($G$82);4; 0)</t>
  </si>
  <si>
    <t>BUSCARV(BROW; INDIRECTO($Z$76);COINCIDIR($CL$4; {"Enero";"Febrero";"Marzo";"Abril";"Mayo";"Junio";"Julio";"Agosto";"Septiembre";"Octubre";"Noviembre";"Diciembre"}; 0) + 2; 0)</t>
  </si>
  <si>
    <t>BUSCARV(BROW; INDIRECTO($H$87); 3; 0)</t>
  </si>
  <si>
    <t>Hoja1</t>
  </si>
  <si>
    <t>BUSCARV(BROW; INDIRECTO($J$76);3; 0)</t>
  </si>
  <si>
    <t>Grupo Marcos</t>
  </si>
  <si>
    <t>Grupo Syrsa</t>
  </si>
  <si>
    <t>Grupo SYRSA</t>
  </si>
  <si>
    <t>Ventas Totales</t>
  </si>
  <si>
    <t>BEV</t>
  </si>
  <si>
    <t>% BEV</t>
  </si>
  <si>
    <t>Total Ventas</t>
  </si>
  <si>
    <t>Retail Origen Remarketing</t>
  </si>
  <si>
    <t>ANUAL</t>
  </si>
  <si>
    <t>BUSCARV(BROW; INDIRECTO($V$83); 3; 0)</t>
  </si>
  <si>
    <t>Fichero Cierre Ventas</t>
  </si>
  <si>
    <t>!$P$9:$U$65</t>
  </si>
  <si>
    <t>!$C$9:$H$65</t>
  </si>
  <si>
    <t>TOTALES</t>
  </si>
  <si>
    <t>BUSCARV(BROW; INDIRECTO($V$83);6; 0)</t>
  </si>
  <si>
    <t>BUSCARV(BROW; INDIRECTO($R$74); 3; 0)</t>
  </si>
  <si>
    <t>Totales</t>
  </si>
  <si>
    <t>BUSCARV(BROW; INDIRECTO($R$74); 6; 0)</t>
  </si>
  <si>
    <t>% Retail Origen Remarketing</t>
  </si>
  <si>
    <t>Ventas Totales BEV</t>
  </si>
  <si>
    <t>% de Ventas Totales BEV</t>
  </si>
  <si>
    <t>Mystery Shopping VO</t>
  </si>
  <si>
    <t>Performance</t>
  </si>
  <si>
    <t>REPORTE MENSUAL:</t>
  </si>
  <si>
    <t>BMW</t>
  </si>
  <si>
    <t>MINI</t>
  </si>
  <si>
    <t>% BPS      /        % MN</t>
  </si>
  <si>
    <t>Variacion % Objetivo vs Realizado BMW</t>
  </si>
  <si>
    <t>Variacion % Objetivo vs Realizado MINI</t>
  </si>
  <si>
    <t>Ventas TOTALES</t>
  </si>
  <si>
    <t xml:space="preserve">Concesión: </t>
  </si>
  <si>
    <t>Objetivo Ventas Retail</t>
  </si>
  <si>
    <t>Realizado Ventas Retail</t>
  </si>
  <si>
    <t>Ventas BPS / MN</t>
  </si>
  <si>
    <t>SEMESTRE 1</t>
  </si>
  <si>
    <t>SEMESTRE 2</t>
  </si>
  <si>
    <t>Ventas BEV Necesarias para alcanzar acelerador</t>
  </si>
  <si>
    <t>Ventas Origen Remarkting necesarias para alcanzar porcentaje</t>
  </si>
  <si>
    <t>Ventas BPS  /  MN Necesarias para alcanzar penetración</t>
  </si>
  <si>
    <t>Acumulado Mes</t>
  </si>
  <si>
    <t>% Cumplimentación Ventas Retail</t>
  </si>
  <si>
    <t>BUSCARV(V76;'[Actual acumulado 2025 &amp; 2024.xlsx]Tabla YUC_UC'!$O$12:$S$12;3;0)</t>
  </si>
  <si>
    <t>AUTOSA</t>
  </si>
  <si>
    <t>!$B$6:$D$65</t>
  </si>
  <si>
    <t>!$G$7:$J$65</t>
  </si>
  <si>
    <t>TOP 10</t>
  </si>
  <si>
    <t>% cumplimentacion ventas retail</t>
  </si>
  <si>
    <t>% cumplimentacion ventas Retail</t>
  </si>
  <si>
    <t>MYSTERY SHOPPING   2 0 2 5</t>
  </si>
  <si>
    <t>bev</t>
  </si>
  <si>
    <t>Acumulado Mes 2º S</t>
  </si>
  <si>
    <t>QUADIS MUNICH</t>
  </si>
  <si>
    <t>!$A$9:$O$65</t>
  </si>
  <si>
    <t>Grupo Altrac</t>
  </si>
  <si>
    <t>QUADIS</t>
  </si>
  <si>
    <t>S E G U I M I E N T O    UC    R E T A I L    B M W    2 0 2 6</t>
  </si>
  <si>
    <t>S E G U I M I E N T O    W H O L E S A L E    B M W    2 0 2 6</t>
  </si>
  <si>
    <t>S E G U I M I E N T O    U C    R E T A I L    B M W  2 0 2 6</t>
  </si>
  <si>
    <t>S E G U I M I E N T O    UC   R E T A I L    MINI    2 0 2 6</t>
  </si>
  <si>
    <t>S E G U I M I E N T O    W H O L E S A L E    MINI    2 0 2 6</t>
  </si>
  <si>
    <t>Actual acumulado 2026 &amp; 2025.xlsx</t>
  </si>
  <si>
    <t>YUC/UC fichero Actual acumulado 2026 &amp; 2025 javier</t>
  </si>
  <si>
    <t>MOMENTUM NORTE</t>
  </si>
  <si>
    <t>TOTAL DISTRITO 1</t>
  </si>
  <si>
    <t>TOTAL DISTRITO 2</t>
  </si>
  <si>
    <t>TOTAL DISTRITO 4</t>
  </si>
  <si>
    <t>TOTAL DISTRITO 5</t>
  </si>
  <si>
    <t>TOTAL DISTRITO 6</t>
  </si>
  <si>
    <t>TOTAL DISTRITO 7</t>
  </si>
  <si>
    <t>TOTAL DISTRITO 8</t>
  </si>
  <si>
    <t>TOTAL DISTRITO 9</t>
  </si>
  <si>
    <t>TOTAL DISTRITO 10</t>
  </si>
  <si>
    <t>TOTAL DISTRITO 3</t>
  </si>
  <si>
    <t>Grupo Caetano</t>
  </si>
  <si>
    <t>Canaauto</t>
  </si>
  <si>
    <t>Grupo Momentum</t>
  </si>
  <si>
    <t>Grupo Fam. Martinez</t>
  </si>
  <si>
    <t>BMW DIRECTO</t>
  </si>
  <si>
    <t>Objetivo</t>
  </si>
  <si>
    <t>6% ≤ x &lt; 11%</t>
  </si>
  <si>
    <t>x  ≥ 11%</t>
  </si>
  <si>
    <t>10% ≤ x &lt; 15%</t>
  </si>
  <si>
    <t>x  ≥ 15%</t>
  </si>
  <si>
    <t>18% ≤ x &lt; 22%</t>
  </si>
  <si>
    <t>22% ≤ x &lt; 27%</t>
  </si>
  <si>
    <t>27% ≤ x &lt; 32%</t>
  </si>
  <si>
    <t>15% ≤ x &lt; 20%</t>
  </si>
  <si>
    <t>20% ≤ x &lt; 25%</t>
  </si>
  <si>
    <t>25% ≤ x &lt; 30%</t>
  </si>
  <si>
    <t>x  ≥ 32%</t>
  </si>
  <si>
    <t>x  ≥ 30%</t>
  </si>
  <si>
    <t>VBARCELONA PREMIUM</t>
  </si>
  <si>
    <t>Mdo &lt; 6 años</t>
  </si>
  <si>
    <t>Vta Retail</t>
  </si>
  <si>
    <t>% Penetración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</si>
</sst>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</numFmts>
  <fonts count="86" x14ac:knownFonts="1">
    <font>
      <sz val="11"/>
      <color theme="1"/>
      <name val="Calibri"/>
      <family val="2"/>
      <scheme val="minor"/>
    </font>
    <font>
      <sz val="10"/>
      <color theme="1"/>
      <name val="BMWType V2 Regular"/>
      <family val="2"/>
    </font>
    <font>
      <sz val="10"/>
      <color theme="1"/>
      <name val="BMWType V2 Regular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BMWType V2 Regular"/>
      <family val="2"/>
    </font>
    <font>
      <b/>
      <sz val="11"/>
      <color theme="1"/>
      <name val="Calibri"/>
      <family val="2"/>
      <scheme val="minor"/>
    </font>
    <font>
      <sz val="10"/>
      <name val="BMW Group Condensed"/>
      <family val="2"/>
    </font>
    <font>
      <sz val="10"/>
      <color theme="0"/>
      <name val="BMWType V2 Regular"/>
      <family val="2"/>
    </font>
    <font>
      <sz val="10"/>
      <name val="Arial"/>
      <family val="2"/>
    </font>
    <font>
      <b/>
      <sz val="10"/>
      <name val="BMW Group Condensed"/>
      <family val="2"/>
    </font>
    <font>
      <b/>
      <sz val="10"/>
      <color theme="0"/>
      <name val="BMW Group Condensed"/>
      <family val="2"/>
    </font>
    <font>
      <sz val="10"/>
      <name val="MINI Serif"/>
    </font>
    <font>
      <b/>
      <sz val="10"/>
      <name val="MINI Serif"/>
    </font>
    <font>
      <b/>
      <sz val="10"/>
      <color theme="0"/>
      <name val="MINI Serif"/>
    </font>
    <font>
      <sz val="10"/>
      <color theme="0"/>
      <name val="BMW Group Condensed"/>
      <family val="2"/>
    </font>
    <font>
      <sz val="10"/>
      <color theme="0"/>
      <name val="MINI Serif"/>
    </font>
    <font>
      <b/>
      <sz val="9"/>
      <color theme="0" tint="-0.499984740745262"/>
      <name val="BMW Group Condensed"/>
      <family val="2"/>
    </font>
    <font>
      <b/>
      <sz val="9"/>
      <name val="BMW Group Condensed"/>
      <family val="2"/>
    </font>
    <font>
      <b/>
      <sz val="9"/>
      <color theme="0"/>
      <name val="BMW Group Condensed"/>
      <family val="2"/>
    </font>
    <font>
      <sz val="9"/>
      <name val="BMW Group Condensed"/>
      <family val="2"/>
    </font>
    <font>
      <b/>
      <sz val="14"/>
      <color theme="0"/>
      <name val="MINI Serif"/>
    </font>
    <font>
      <b/>
      <sz val="9"/>
      <name val="MINI Serif"/>
    </font>
    <font>
      <sz val="9"/>
      <name val="MINI Serif"/>
    </font>
    <font>
      <b/>
      <sz val="10"/>
      <color theme="0" tint="-0.499984740745262"/>
      <name val="MINI Serif"/>
    </font>
    <font>
      <sz val="10"/>
      <color rgb="FFFF0000"/>
      <name val="BMW Group Condensed"/>
      <family val="2"/>
    </font>
    <font>
      <b/>
      <sz val="9"/>
      <color theme="0"/>
      <name val="MINI Serif"/>
    </font>
    <font>
      <b/>
      <sz val="16"/>
      <color theme="1"/>
      <name val="Calibri"/>
      <family val="2"/>
      <scheme val="minor"/>
    </font>
    <font>
      <b/>
      <sz val="10"/>
      <color rgb="FF0070C0"/>
      <name val="BMW Group Condensed"/>
      <family val="2"/>
    </font>
    <font>
      <sz val="10"/>
      <color theme="9" tint="-0.249977111117893"/>
      <name val="BMW Group Condensed"/>
      <family val="2"/>
    </font>
    <font>
      <sz val="10"/>
      <color rgb="FFFF0000"/>
      <name val="MINI Serif"/>
    </font>
    <font>
      <b/>
      <sz val="10"/>
      <color theme="9" tint="-0.249977111117893"/>
      <name val="BMW Group Condensed"/>
      <family val="2"/>
    </font>
    <font>
      <b/>
      <sz val="11"/>
      <color theme="0"/>
      <name val="Calibri"/>
      <family val="2"/>
      <scheme val="minor"/>
    </font>
    <font>
      <b/>
      <sz val="10"/>
      <color theme="1" tint="0.499984740745262"/>
      <name val="BMW Group Condensed"/>
      <family val="2"/>
    </font>
    <font>
      <sz val="9"/>
      <color theme="1" tint="0.499984740745262"/>
      <name val="MINI Serif"/>
    </font>
    <font>
      <b/>
      <sz val="9"/>
      <color theme="1" tint="0.499984740745262"/>
      <name val="MINI Serif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 tint="-0.499984740745262"/>
      <name val="BMW Group Condensed"/>
      <family val="2"/>
    </font>
    <font>
      <sz val="8"/>
      <color rgb="FF00B050"/>
      <name val="BMW Group Condensed"/>
      <family val="2"/>
    </font>
    <font>
      <sz val="14"/>
      <color rgb="FF00B050"/>
      <name val="BMW Group Condensed"/>
      <family val="2"/>
    </font>
    <font>
      <sz val="14"/>
      <color theme="1"/>
      <name val="BMW Group Condensed"/>
      <family val="2"/>
    </font>
    <font>
      <sz val="14"/>
      <color rgb="FFFF0000"/>
      <name val="BMW Group Condensed"/>
      <family val="2"/>
    </font>
    <font>
      <b/>
      <sz val="16"/>
      <name val="BMWGroupTN Condensed"/>
      <family val="3"/>
    </font>
    <font>
      <b/>
      <sz val="14"/>
      <color rgb="FF5678A9"/>
      <name val="BMW Group Condensed"/>
      <family val="2"/>
    </font>
    <font>
      <sz val="12"/>
      <name val="BMWGroupTN Condensed"/>
      <family val="3"/>
    </font>
    <font>
      <sz val="11"/>
      <color theme="1"/>
      <name val="BMWGroupTN Condensed"/>
      <family val="3"/>
    </font>
    <font>
      <sz val="11"/>
      <color theme="1"/>
      <name val="BMW Group Condensed"/>
      <family val="2"/>
    </font>
    <font>
      <sz val="12"/>
      <color theme="1"/>
      <name val="BMWGroupTN Condensed"/>
      <family val="3"/>
    </font>
    <font>
      <sz val="14"/>
      <color theme="1"/>
      <name val="BMWGroupTN Condensed"/>
      <family val="3"/>
    </font>
    <font>
      <sz val="11"/>
      <color rgb="FF00B050"/>
      <name val="BMW Group Condensed"/>
      <family val="2"/>
    </font>
    <font>
      <sz val="11"/>
      <color rgb="FFFF0000"/>
      <name val="BMW Group Condensed"/>
      <family val="2"/>
    </font>
    <font>
      <b/>
      <sz val="14"/>
      <color rgb="FFCC9900"/>
      <name val="BMW Group Condensed"/>
      <family val="2"/>
    </font>
    <font>
      <sz val="14"/>
      <color theme="0"/>
      <name val="BMW Group Condensed"/>
      <family val="2"/>
    </font>
    <font>
      <b/>
      <sz val="11"/>
      <name val="BMWGroupTN Condensed"/>
      <family val="3"/>
    </font>
    <font>
      <sz val="10"/>
      <color rgb="FF00B050"/>
      <name val="BMWGroupTN Condensed"/>
      <family val="3"/>
    </font>
    <font>
      <sz val="9"/>
      <color theme="0" tint="-0.499984740745262"/>
      <name val="BMWGroupTN Condensed"/>
      <family val="3"/>
    </font>
    <font>
      <sz val="11"/>
      <name val="BMWGroupTN Condensed"/>
      <family val="3"/>
    </font>
    <font>
      <sz val="10"/>
      <color theme="1"/>
      <name val="BMWGroupTN Condensed"/>
      <family val="3"/>
    </font>
    <font>
      <sz val="12"/>
      <color rgb="FFFF0000"/>
      <name val="BMWGroupTN Condensed"/>
      <family val="3"/>
    </font>
    <font>
      <b/>
      <sz val="14"/>
      <color rgb="FF035970"/>
      <name val="BMWGroupTN Condensed"/>
      <family val="3"/>
    </font>
    <font>
      <sz val="10"/>
      <color theme="1"/>
      <name val="BMW Group Condensed"/>
      <family val="2"/>
    </font>
    <font>
      <sz val="14"/>
      <color rgb="FFFF0000"/>
      <name val="BMWGroupTN Condensed"/>
      <family val="3"/>
    </font>
    <font>
      <sz val="14"/>
      <color theme="0"/>
      <name val="BMWGroupTN Condensed"/>
      <family val="3"/>
    </font>
    <font>
      <b/>
      <sz val="16"/>
      <color rgb="FF00B050"/>
      <name val="Symbol"/>
      <family val="1"/>
      <charset val="2"/>
    </font>
    <font>
      <sz val="14"/>
      <name val="BMW Group Condensed"/>
      <family val="2"/>
    </font>
    <font>
      <sz val="12"/>
      <color theme="1"/>
      <name val="BMW Group Condensed"/>
      <family val="2"/>
    </font>
    <font>
      <sz val="12"/>
      <color rgb="FFFF0000"/>
      <name val="BMW Group Condensed"/>
      <family val="2"/>
    </font>
    <font>
      <sz val="8"/>
      <color theme="0" tint="-0.499984740745262"/>
      <name val="BMWGroupTN Condensed"/>
      <family val="3"/>
    </font>
    <font>
      <sz val="8"/>
      <color rgb="FF63BE7B"/>
      <name val="BMWType V2 Regular"/>
      <family val="2"/>
    </font>
    <font>
      <b/>
      <sz val="14"/>
      <name val="BMWGroupTN Condensed"/>
      <family val="3"/>
    </font>
    <font>
      <b/>
      <sz val="22"/>
      <color theme="1"/>
      <name val="BMWGroupTN Condensed"/>
      <family val="3"/>
    </font>
    <font>
      <sz val="11"/>
      <name val="BMW Group Condensed"/>
      <family val="2"/>
    </font>
    <font>
      <b/>
      <sz val="14"/>
      <color theme="1"/>
      <name val="BMWGroupTN Condensed"/>
      <family val="3"/>
    </font>
    <font>
      <sz val="14"/>
      <name val="BMWGroupTN Condensed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name val="BMWGroupTN Condensed"/>
      <family val="3"/>
    </font>
    <font>
      <b/>
      <sz val="22"/>
      <name val="BMWGroupTN Condensed"/>
      <family val="3"/>
    </font>
    <font>
      <sz val="18"/>
      <name val="BMWGroupTN Condensed"/>
      <family val="3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name val="BMW Group Condensed"/>
      <family val="2"/>
    </font>
    <font>
      <b/>
      <sz val="10"/>
      <color theme="9" tint="-0.249977111117893"/>
      <name val="MINI Serif"/>
    </font>
    <font>
      <sz val="8"/>
      <color rgb="FF000000"/>
      <name val="Segoe UI"/>
      <family val="2"/>
    </font>
    <font>
      <b/>
      <sz val="9"/>
      <color theme="1"/>
      <name val="BMW Group Condensed"/>
      <family val="2"/>
    </font>
  </fonts>
  <fills count="3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6BCC7"/>
        <bgColor indexed="64"/>
      </patternFill>
    </fill>
    <fill>
      <patternFill patternType="solid">
        <fgColor rgb="FFDCE9EC"/>
        <bgColor indexed="64"/>
      </patternFill>
    </fill>
    <fill>
      <patternFill patternType="solid">
        <fgColor rgb="FFFDE4C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00"/>
        <bgColor indexed="64"/>
      </patternFill>
    </fill>
  </fills>
  <borders count="1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3597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rgb="FFDDD9C4"/>
      </bottom>
      <diagonal/>
    </border>
    <border>
      <left/>
      <right/>
      <top/>
      <bottom style="medium">
        <color rgb="FFDDD9C4"/>
      </bottom>
      <diagonal/>
    </border>
    <border>
      <left style="medium">
        <color rgb="FFDDD9C4"/>
      </left>
      <right/>
      <top style="medium">
        <color rgb="FFDDD9C4"/>
      </top>
      <bottom style="thin">
        <color theme="2" tint="-9.9948118533890809E-2"/>
      </bottom>
      <diagonal/>
    </border>
    <border>
      <left/>
      <right style="medium">
        <color rgb="FFDDD9C4"/>
      </right>
      <top style="medium">
        <color rgb="FFDDD9C4"/>
      </top>
      <bottom style="thin">
        <color theme="2" tint="-9.9948118533890809E-2"/>
      </bottom>
      <diagonal/>
    </border>
    <border>
      <left style="medium">
        <color rgb="FFDDD9C4"/>
      </left>
      <right/>
      <top style="medium">
        <color rgb="FFDDD9C4"/>
      </top>
      <bottom style="medium">
        <color rgb="FFDDD9C4"/>
      </bottom>
      <diagonal/>
    </border>
    <border>
      <left/>
      <right style="medium">
        <color rgb="FFDDD9C4"/>
      </right>
      <top style="medium">
        <color rgb="FFDDD9C4"/>
      </top>
      <bottom style="medium">
        <color rgb="FFDDD9C4"/>
      </bottom>
      <diagonal/>
    </border>
    <border>
      <left style="medium">
        <color rgb="FFDDD9C4"/>
      </left>
      <right/>
      <top/>
      <bottom/>
      <diagonal/>
    </border>
    <border>
      <left style="medium">
        <color rgb="FFDDD9C4"/>
      </left>
      <right style="medium">
        <color rgb="FFDDD9C4"/>
      </right>
      <top style="medium">
        <color rgb="FFDDD9C4"/>
      </top>
      <bottom style="medium">
        <color rgb="FFDDD9C4"/>
      </bottom>
      <diagonal/>
    </border>
    <border>
      <left/>
      <right style="medium">
        <color rgb="FFDDD9C4"/>
      </right>
      <top style="medium">
        <color rgb="FFDDD9C4"/>
      </top>
      <bottom style="thin">
        <color theme="2" tint="-9.9917600024414813E-2"/>
      </bottom>
      <diagonal/>
    </border>
    <border>
      <left style="medium">
        <color rgb="FFDDD9C4"/>
      </left>
      <right/>
      <top style="thin">
        <color theme="2" tint="-9.9948118533890809E-2"/>
      </top>
      <bottom style="thin">
        <color theme="2" tint="-9.9917600024414813E-2"/>
      </bottom>
      <diagonal/>
    </border>
    <border>
      <left/>
      <right style="medium">
        <color rgb="FFDDD9C4"/>
      </right>
      <top style="thin">
        <color theme="2" tint="-9.9917600024414813E-2"/>
      </top>
      <bottom style="thin">
        <color theme="2" tint="-9.9917600024414813E-2"/>
      </bottom>
      <diagonal/>
    </border>
    <border>
      <left style="medium">
        <color rgb="FFDDD9C4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medium">
        <color rgb="FFDDD9C4"/>
      </left>
      <right/>
      <top style="thin">
        <color theme="2" tint="-9.9917600024414813E-2"/>
      </top>
      <bottom/>
      <diagonal/>
    </border>
    <border>
      <left/>
      <right style="medium">
        <color rgb="FFDDD9C4"/>
      </right>
      <top style="thin">
        <color theme="2" tint="-9.9917600024414813E-2"/>
      </top>
      <bottom style="thin">
        <color rgb="FFDDD9C4"/>
      </bottom>
      <diagonal/>
    </border>
    <border>
      <left style="medium">
        <color rgb="FFDDD9C4"/>
      </left>
      <right/>
      <top style="thin">
        <color rgb="FFDDD9C4"/>
      </top>
      <bottom style="medium">
        <color rgb="FFDDD9C4"/>
      </bottom>
      <diagonal/>
    </border>
    <border>
      <left/>
      <right style="medium">
        <color rgb="FFDDD9C4"/>
      </right>
      <top/>
      <bottom style="medium">
        <color rgb="FFDDD9C4"/>
      </bottom>
      <diagonal/>
    </border>
    <border>
      <left/>
      <right/>
      <top style="medium">
        <color rgb="FFDDD9C4"/>
      </top>
      <bottom style="thin">
        <color theme="2" tint="-9.9917600024414813E-2"/>
      </bottom>
      <diagonal/>
    </border>
    <border>
      <left/>
      <right style="medium">
        <color rgb="FFDDD9C4"/>
      </right>
      <top style="thin">
        <color theme="2" tint="-9.9948118533890809E-2"/>
      </top>
      <bottom style="thin">
        <color theme="2" tint="-9.9917600024414813E-2"/>
      </bottom>
      <diagonal/>
    </border>
    <border>
      <left/>
      <right style="medium">
        <color rgb="FFDDD9C4"/>
      </right>
      <top style="thin">
        <color theme="2" tint="-9.9917600024414813E-2"/>
      </top>
      <bottom/>
      <diagonal/>
    </border>
    <border>
      <left/>
      <right style="medium">
        <color rgb="FFDDD9C4"/>
      </right>
      <top style="thin">
        <color rgb="FFDDD9C4"/>
      </top>
      <bottom style="medium">
        <color rgb="FFDDD9C4"/>
      </bottom>
      <diagonal/>
    </border>
    <border>
      <left style="medium">
        <color rgb="FFDDD9C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rgb="FFDDD9C4"/>
      </left>
      <right/>
      <top style="thin">
        <color theme="2" tint="-9.9948118533890809E-2"/>
      </top>
      <bottom style="medium">
        <color rgb="FFDDD9C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rgb="FFDDD9C4"/>
      </left>
      <right style="medium">
        <color rgb="FFDDD9C4"/>
      </right>
      <top style="medium">
        <color rgb="FFDDD9C4"/>
      </top>
      <bottom/>
      <diagonal/>
    </border>
    <border>
      <left style="medium">
        <color rgb="FFDDD9C4"/>
      </left>
      <right style="medium">
        <color rgb="FFDDD9C4"/>
      </right>
      <top/>
      <bottom/>
      <diagonal/>
    </border>
    <border>
      <left style="medium">
        <color rgb="FFDDD9C4"/>
      </left>
      <right style="medium">
        <color rgb="FFDDD9C4"/>
      </right>
      <top/>
      <bottom style="medium">
        <color rgb="FFDDD9C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3" fillId="0" borderId="0"/>
    <xf numFmtId="0" fontId="2" fillId="0" borderId="0"/>
    <xf numFmtId="0" fontId="5" fillId="0" borderId="0"/>
    <xf numFmtId="0" fontId="4" fillId="0" borderId="0"/>
    <xf numFmtId="0" fontId="3" fillId="0" borderId="0"/>
    <xf numFmtId="0" fontId="1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0" borderId="0"/>
    <xf numFmtId="0" fontId="1" fillId="4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1">
    <xf numFmtId="0" fontId="0" fillId="0" borderId="0" xfId="0"/>
    <xf numFmtId="0" fontId="6" fillId="0" borderId="0" xfId="0" applyFont="1"/>
    <xf numFmtId="0" fontId="7" fillId="0" borderId="0" xfId="12" applyFont="1"/>
    <xf numFmtId="0" fontId="7" fillId="0" borderId="0" xfId="12" applyFont="1" applyAlignment="1">
      <alignment horizontal="center"/>
    </xf>
    <xf numFmtId="0" fontId="7" fillId="0" borderId="0" xfId="12" applyFont="1" applyAlignment="1">
      <alignment vertical="center"/>
    </xf>
    <xf numFmtId="0" fontId="7" fillId="0" borderId="0" xfId="12" applyFont="1" applyAlignment="1">
      <alignment horizontal="center" vertical="center"/>
    </xf>
    <xf numFmtId="0" fontId="11" fillId="7" borderId="18" xfId="12" applyFont="1" applyFill="1" applyBorder="1" applyAlignment="1">
      <alignment vertical="center"/>
    </xf>
    <xf numFmtId="0" fontId="10" fillId="5" borderId="18" xfId="12" applyFont="1" applyFill="1" applyBorder="1" applyAlignment="1">
      <alignment vertical="center"/>
    </xf>
    <xf numFmtId="0" fontId="10" fillId="0" borderId="12" xfId="12" applyFont="1" applyBorder="1" applyAlignment="1">
      <alignment horizontal="center" vertical="center"/>
    </xf>
    <xf numFmtId="0" fontId="10" fillId="0" borderId="13" xfId="12" applyFont="1" applyBorder="1" applyAlignment="1">
      <alignment horizontal="center" vertical="center"/>
    </xf>
    <xf numFmtId="0" fontId="10" fillId="0" borderId="16" xfId="12" applyFont="1" applyBorder="1" applyAlignment="1">
      <alignment horizontal="center"/>
    </xf>
    <xf numFmtId="0" fontId="10" fillId="0" borderId="6" xfId="12" quotePrefix="1" applyFont="1" applyBorder="1" applyAlignment="1">
      <alignment horizontal="center"/>
    </xf>
    <xf numFmtId="0" fontId="10" fillId="0" borderId="17" xfId="12" quotePrefix="1" applyFont="1" applyBorder="1" applyAlignment="1">
      <alignment horizontal="center"/>
    </xf>
    <xf numFmtId="0" fontId="10" fillId="10" borderId="13" xfId="12" applyFont="1" applyFill="1" applyBorder="1" applyAlignment="1">
      <alignment horizontal="center" vertical="center"/>
    </xf>
    <xf numFmtId="0" fontId="7" fillId="10" borderId="0" xfId="12" applyFont="1" applyFill="1" applyAlignment="1">
      <alignment vertical="center"/>
    </xf>
    <xf numFmtId="3" fontId="7" fillId="0" borderId="0" xfId="12" applyNumberFormat="1" applyFont="1" applyAlignment="1">
      <alignment vertical="center"/>
    </xf>
    <xf numFmtId="0" fontId="20" fillId="0" borderId="0" xfId="0" applyFont="1"/>
    <xf numFmtId="3" fontId="20" fillId="0" borderId="22" xfId="0" applyNumberFormat="1" applyFont="1" applyBorder="1" applyAlignment="1">
      <alignment horizontal="center"/>
    </xf>
    <xf numFmtId="3" fontId="20" fillId="0" borderId="23" xfId="0" applyNumberFormat="1" applyFont="1" applyBorder="1" applyAlignment="1">
      <alignment horizontal="center"/>
    </xf>
    <xf numFmtId="3" fontId="20" fillId="0" borderId="24" xfId="0" applyNumberFormat="1" applyFont="1" applyBorder="1" applyAlignment="1">
      <alignment horizontal="center"/>
    </xf>
    <xf numFmtId="3" fontId="20" fillId="0" borderId="25" xfId="0" applyNumberFormat="1" applyFont="1" applyBorder="1" applyAlignment="1">
      <alignment horizontal="center"/>
    </xf>
    <xf numFmtId="3" fontId="20" fillId="0" borderId="26" xfId="0" applyNumberFormat="1" applyFont="1" applyBorder="1" applyAlignment="1">
      <alignment horizontal="center"/>
    </xf>
    <xf numFmtId="3" fontId="20" fillId="0" borderId="27" xfId="0" applyNumberFormat="1" applyFont="1" applyBorder="1" applyAlignment="1">
      <alignment horizontal="center"/>
    </xf>
    <xf numFmtId="3" fontId="20" fillId="0" borderId="29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/>
    </xf>
    <xf numFmtId="3" fontId="20" fillId="0" borderId="31" xfId="0" applyNumberFormat="1" applyFont="1" applyBorder="1" applyAlignment="1">
      <alignment horizontal="center"/>
    </xf>
    <xf numFmtId="3" fontId="20" fillId="0" borderId="32" xfId="0" applyNumberFormat="1" applyFont="1" applyBorder="1" applyAlignment="1">
      <alignment horizontal="center"/>
    </xf>
    <xf numFmtId="3" fontId="20" fillId="0" borderId="34" xfId="0" applyNumberFormat="1" applyFont="1" applyBorder="1" applyAlignment="1">
      <alignment horizontal="center"/>
    </xf>
    <xf numFmtId="0" fontId="10" fillId="5" borderId="5" xfId="12" applyFont="1" applyFill="1" applyBorder="1" applyAlignment="1">
      <alignment vertical="center"/>
    </xf>
    <xf numFmtId="0" fontId="10" fillId="5" borderId="35" xfId="12" applyFont="1" applyFill="1" applyBorder="1" applyAlignment="1">
      <alignment vertical="center"/>
    </xf>
    <xf numFmtId="3" fontId="20" fillId="5" borderId="36" xfId="0" applyNumberFormat="1" applyFont="1" applyFill="1" applyBorder="1" applyAlignment="1">
      <alignment horizontal="center"/>
    </xf>
    <xf numFmtId="3" fontId="20" fillId="5" borderId="37" xfId="0" applyNumberFormat="1" applyFont="1" applyFill="1" applyBorder="1" applyAlignment="1">
      <alignment horizontal="center"/>
    </xf>
    <xf numFmtId="3" fontId="20" fillId="5" borderId="39" xfId="0" applyNumberFormat="1" applyFont="1" applyFill="1" applyBorder="1" applyAlignment="1">
      <alignment horizontal="center"/>
    </xf>
    <xf numFmtId="3" fontId="20" fillId="5" borderId="40" xfId="0" applyNumberFormat="1" applyFont="1" applyFill="1" applyBorder="1" applyAlignment="1">
      <alignment horizontal="center"/>
    </xf>
    <xf numFmtId="3" fontId="20" fillId="0" borderId="41" xfId="0" applyNumberFormat="1" applyFont="1" applyBorder="1" applyAlignment="1">
      <alignment horizontal="center"/>
    </xf>
    <xf numFmtId="3" fontId="20" fillId="0" borderId="43" xfId="0" applyNumberFormat="1" applyFont="1" applyBorder="1" applyAlignment="1">
      <alignment horizontal="center"/>
    </xf>
    <xf numFmtId="0" fontId="10" fillId="0" borderId="46" xfId="12" applyFont="1" applyBorder="1" applyAlignment="1">
      <alignment horizontal="center" vertical="center"/>
    </xf>
    <xf numFmtId="0" fontId="11" fillId="7" borderId="5" xfId="12" applyFont="1" applyFill="1" applyBorder="1" applyAlignment="1">
      <alignment vertical="center"/>
    </xf>
    <xf numFmtId="0" fontId="11" fillId="7" borderId="35" xfId="12" applyFont="1" applyFill="1" applyBorder="1" applyAlignment="1">
      <alignment vertical="center"/>
    </xf>
    <xf numFmtId="3" fontId="19" fillId="7" borderId="35" xfId="0" applyNumberFormat="1" applyFont="1" applyFill="1" applyBorder="1" applyAlignment="1">
      <alignment horizontal="center" vertical="center"/>
    </xf>
    <xf numFmtId="3" fontId="19" fillId="7" borderId="47" xfId="0" applyNumberFormat="1" applyFont="1" applyFill="1" applyBorder="1" applyAlignment="1">
      <alignment horizontal="center" vertical="center"/>
    </xf>
    <xf numFmtId="3" fontId="7" fillId="0" borderId="0" xfId="12" applyNumberFormat="1" applyFont="1"/>
    <xf numFmtId="0" fontId="12" fillId="0" borderId="0" xfId="0" applyFont="1"/>
    <xf numFmtId="0" fontId="16" fillId="0" borderId="0" xfId="0" applyFont="1"/>
    <xf numFmtId="0" fontId="12" fillId="0" borderId="0" xfId="12" applyFont="1"/>
    <xf numFmtId="0" fontId="13" fillId="0" borderId="6" xfId="12" quotePrefix="1" applyFont="1" applyBorder="1" applyAlignment="1">
      <alignment horizontal="center"/>
    </xf>
    <xf numFmtId="0" fontId="13" fillId="0" borderId="17" xfId="12" quotePrefix="1" applyFont="1" applyBorder="1" applyAlignment="1">
      <alignment horizontal="center"/>
    </xf>
    <xf numFmtId="0" fontId="13" fillId="0" borderId="6" xfId="12" applyFont="1" applyBorder="1" applyAlignment="1">
      <alignment horizontal="center"/>
    </xf>
    <xf numFmtId="10" fontId="13" fillId="0" borderId="6" xfId="12" applyNumberFormat="1" applyFont="1" applyBorder="1" applyAlignment="1">
      <alignment horizontal="center"/>
    </xf>
    <xf numFmtId="0" fontId="13" fillId="0" borderId="16" xfId="12" applyFont="1" applyBorder="1" applyAlignment="1">
      <alignment horizontal="center"/>
    </xf>
    <xf numFmtId="0" fontId="16" fillId="0" borderId="0" xfId="12" applyFont="1" applyAlignment="1">
      <alignment vertical="center"/>
    </xf>
    <xf numFmtId="0" fontId="13" fillId="0" borderId="12" xfId="12" applyFont="1" applyBorder="1" applyAlignment="1">
      <alignment horizontal="center" vertical="center"/>
    </xf>
    <xf numFmtId="9" fontId="12" fillId="0" borderId="24" xfId="7" applyFont="1" applyBorder="1" applyAlignment="1">
      <alignment horizontal="center"/>
    </xf>
    <xf numFmtId="0" fontId="12" fillId="0" borderId="0" xfId="12" applyFont="1" applyAlignment="1">
      <alignment vertical="center"/>
    </xf>
    <xf numFmtId="0" fontId="23" fillId="0" borderId="26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9" fontId="12" fillId="0" borderId="29" xfId="7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9" fontId="12" fillId="0" borderId="33" xfId="7" applyFont="1" applyBorder="1" applyAlignment="1">
      <alignment horizontal="center"/>
    </xf>
    <xf numFmtId="0" fontId="13" fillId="2" borderId="18" xfId="12" applyFont="1" applyFill="1" applyBorder="1" applyAlignment="1">
      <alignment horizontal="left" vertical="center"/>
    </xf>
    <xf numFmtId="0" fontId="13" fillId="2" borderId="49" xfId="12" applyFont="1" applyFill="1" applyBorder="1" applyAlignment="1">
      <alignment horizontal="left" vertical="center"/>
    </xf>
    <xf numFmtId="0" fontId="23" fillId="2" borderId="36" xfId="0" applyFont="1" applyFill="1" applyBorder="1" applyAlignment="1">
      <alignment horizontal="center"/>
    </xf>
    <xf numFmtId="0" fontId="23" fillId="2" borderId="38" xfId="0" applyFont="1" applyFill="1" applyBorder="1" applyAlignment="1">
      <alignment horizontal="center"/>
    </xf>
    <xf numFmtId="0" fontId="23" fillId="2" borderId="40" xfId="0" applyFont="1" applyFill="1" applyBorder="1" applyAlignment="1">
      <alignment horizontal="center"/>
    </xf>
    <xf numFmtId="9" fontId="12" fillId="2" borderId="39" xfId="7" applyFont="1" applyFill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52" xfId="0" applyFont="1" applyBorder="1" applyAlignment="1">
      <alignment horizontal="center"/>
    </xf>
    <xf numFmtId="9" fontId="12" fillId="0" borderId="43" xfId="7" applyFont="1" applyBorder="1" applyAlignment="1">
      <alignment horizontal="center"/>
    </xf>
    <xf numFmtId="0" fontId="12" fillId="10" borderId="0" xfId="12" applyFont="1" applyFill="1" applyAlignment="1">
      <alignment vertical="center"/>
    </xf>
    <xf numFmtId="0" fontId="14" fillId="9" borderId="18" xfId="12" applyFont="1" applyFill="1" applyBorder="1" applyAlignment="1">
      <alignment horizontal="left" vertical="center"/>
    </xf>
    <xf numFmtId="0" fontId="14" fillId="9" borderId="49" xfId="12" applyFont="1" applyFill="1" applyBorder="1" applyAlignment="1">
      <alignment horizontal="left" vertical="center"/>
    </xf>
    <xf numFmtId="3" fontId="14" fillId="9" borderId="54" xfId="0" applyNumberFormat="1" applyFont="1" applyFill="1" applyBorder="1" applyAlignment="1">
      <alignment horizontal="center"/>
    </xf>
    <xf numFmtId="0" fontId="12" fillId="0" borderId="0" xfId="12" applyFont="1" applyAlignment="1">
      <alignment horizontal="center" vertical="center"/>
    </xf>
    <xf numFmtId="0" fontId="12" fillId="0" borderId="0" xfId="12" applyFont="1" applyAlignment="1">
      <alignment horizontal="right" vertical="center"/>
    </xf>
    <xf numFmtId="0" fontId="12" fillId="0" borderId="0" xfId="12" applyFont="1" applyAlignment="1">
      <alignment horizontal="right"/>
    </xf>
    <xf numFmtId="3" fontId="12" fillId="0" borderId="0" xfId="12" applyNumberFormat="1" applyFont="1"/>
    <xf numFmtId="0" fontId="12" fillId="0" borderId="0" xfId="12" applyFont="1" applyAlignment="1">
      <alignment horizontal="center"/>
    </xf>
    <xf numFmtId="0" fontId="23" fillId="0" borderId="27" xfId="0" applyFont="1" applyBorder="1" applyAlignment="1">
      <alignment horizontal="center"/>
    </xf>
    <xf numFmtId="0" fontId="24" fillId="2" borderId="49" xfId="12" applyFont="1" applyFill="1" applyBorder="1" applyAlignment="1">
      <alignment horizontal="left" vertical="center"/>
    </xf>
    <xf numFmtId="0" fontId="10" fillId="0" borderId="57" xfId="12" quotePrefix="1" applyFont="1" applyBorder="1" applyAlignment="1">
      <alignment horizontal="center"/>
    </xf>
    <xf numFmtId="0" fontId="13" fillId="11" borderId="49" xfId="12" applyFont="1" applyFill="1" applyBorder="1" applyAlignment="1">
      <alignment horizontal="center" vertical="center"/>
    </xf>
    <xf numFmtId="0" fontId="10" fillId="6" borderId="49" xfId="12" applyFont="1" applyFill="1" applyBorder="1" applyAlignment="1">
      <alignment horizontal="center" vertical="center"/>
    </xf>
    <xf numFmtId="0" fontId="13" fillId="0" borderId="6" xfId="12" quotePrefix="1" applyFont="1" applyBorder="1" applyAlignment="1">
      <alignment horizontal="center" vertical="center"/>
    </xf>
    <xf numFmtId="0" fontId="23" fillId="0" borderId="25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3" fontId="20" fillId="0" borderId="63" xfId="0" applyNumberFormat="1" applyFont="1" applyBorder="1" applyAlignment="1">
      <alignment horizontal="center"/>
    </xf>
    <xf numFmtId="3" fontId="20" fillId="5" borderId="1" xfId="0" applyNumberFormat="1" applyFont="1" applyFill="1" applyBorder="1" applyAlignment="1">
      <alignment horizontal="center"/>
    </xf>
    <xf numFmtId="0" fontId="10" fillId="0" borderId="15" xfId="12" applyFont="1" applyBorder="1" applyAlignment="1">
      <alignment horizontal="center" vertical="center"/>
    </xf>
    <xf numFmtId="0" fontId="11" fillId="15" borderId="6" xfId="12" applyFont="1" applyFill="1" applyBorder="1" applyAlignment="1">
      <alignment horizontal="center"/>
    </xf>
    <xf numFmtId="10" fontId="11" fillId="15" borderId="16" xfId="12" applyNumberFormat="1" applyFont="1" applyFill="1" applyBorder="1" applyAlignment="1">
      <alignment horizontal="center"/>
    </xf>
    <xf numFmtId="0" fontId="10" fillId="13" borderId="6" xfId="12" applyFont="1" applyFill="1" applyBorder="1" applyAlignment="1">
      <alignment horizontal="center"/>
    </xf>
    <xf numFmtId="0" fontId="10" fillId="13" borderId="6" xfId="12" quotePrefix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23" fillId="0" borderId="67" xfId="0" applyFont="1" applyBorder="1" applyAlignment="1">
      <alignment horizontal="center"/>
    </xf>
    <xf numFmtId="0" fontId="23" fillId="0" borderId="68" xfId="0" applyFont="1" applyBorder="1" applyAlignment="1">
      <alignment horizontal="center"/>
    </xf>
    <xf numFmtId="0" fontId="23" fillId="0" borderId="70" xfId="0" applyFont="1" applyBorder="1" applyAlignment="1">
      <alignment horizontal="center"/>
    </xf>
    <xf numFmtId="0" fontId="23" fillId="2" borderId="69" xfId="0" applyFont="1" applyFill="1" applyBorder="1" applyAlignment="1">
      <alignment horizontal="center"/>
    </xf>
    <xf numFmtId="3" fontId="14" fillId="9" borderId="71" xfId="0" applyNumberFormat="1" applyFont="1" applyFill="1" applyBorder="1" applyAlignment="1">
      <alignment horizontal="center"/>
    </xf>
    <xf numFmtId="0" fontId="14" fillId="11" borderId="5" xfId="12" quotePrefix="1" applyFont="1" applyFill="1" applyBorder="1" applyAlignment="1">
      <alignment horizontal="center" vertical="center"/>
    </xf>
    <xf numFmtId="10" fontId="14" fillId="11" borderId="16" xfId="12" applyNumberFormat="1" applyFont="1" applyFill="1" applyBorder="1" applyAlignment="1">
      <alignment horizontal="center"/>
    </xf>
    <xf numFmtId="0" fontId="13" fillId="16" borderId="73" xfId="12" quotePrefix="1" applyFont="1" applyFill="1" applyBorder="1" applyAlignment="1">
      <alignment horizontal="center"/>
    </xf>
    <xf numFmtId="0" fontId="13" fillId="16" borderId="73" xfId="12" applyFont="1" applyFill="1" applyBorder="1" applyAlignment="1">
      <alignment horizontal="center"/>
    </xf>
    <xf numFmtId="0" fontId="14" fillId="11" borderId="73" xfId="12" applyFont="1" applyFill="1" applyBorder="1" applyAlignment="1">
      <alignment horizontal="center"/>
    </xf>
    <xf numFmtId="3" fontId="23" fillId="0" borderId="25" xfId="0" applyNumberFormat="1" applyFont="1" applyBorder="1" applyAlignment="1">
      <alignment horizontal="center"/>
    </xf>
    <xf numFmtId="3" fontId="23" fillId="0" borderId="66" xfId="0" applyNumberFormat="1" applyFont="1" applyBorder="1" applyAlignment="1">
      <alignment horizontal="center"/>
    </xf>
    <xf numFmtId="3" fontId="23" fillId="0" borderId="30" xfId="0" applyNumberFormat="1" applyFont="1" applyBorder="1" applyAlignment="1">
      <alignment horizontal="center"/>
    </xf>
    <xf numFmtId="9" fontId="23" fillId="0" borderId="67" xfId="7" applyFont="1" applyBorder="1" applyAlignment="1">
      <alignment horizontal="center"/>
    </xf>
    <xf numFmtId="3" fontId="23" fillId="0" borderId="67" xfId="0" applyNumberFormat="1" applyFont="1" applyBorder="1" applyAlignment="1">
      <alignment horizontal="center"/>
    </xf>
    <xf numFmtId="3" fontId="23" fillId="0" borderId="34" xfId="0" applyNumberFormat="1" applyFont="1" applyBorder="1" applyAlignment="1">
      <alignment horizontal="center"/>
    </xf>
    <xf numFmtId="9" fontId="23" fillId="0" borderId="68" xfId="7" applyFont="1" applyBorder="1" applyAlignment="1">
      <alignment horizontal="center"/>
    </xf>
    <xf numFmtId="3" fontId="23" fillId="0" borderId="68" xfId="0" applyNumberFormat="1" applyFont="1" applyBorder="1" applyAlignment="1">
      <alignment horizontal="center"/>
    </xf>
    <xf numFmtId="3" fontId="23" fillId="5" borderId="40" xfId="0" applyNumberFormat="1" applyFont="1" applyFill="1" applyBorder="1" applyAlignment="1">
      <alignment horizontal="center"/>
    </xf>
    <xf numFmtId="3" fontId="23" fillId="5" borderId="69" xfId="0" applyNumberFormat="1" applyFont="1" applyFill="1" applyBorder="1" applyAlignment="1">
      <alignment horizontal="center"/>
    </xf>
    <xf numFmtId="9" fontId="23" fillId="0" borderId="70" xfId="7" applyFont="1" applyBorder="1" applyAlignment="1">
      <alignment horizontal="center"/>
    </xf>
    <xf numFmtId="0" fontId="10" fillId="0" borderId="0" xfId="12" applyFont="1"/>
    <xf numFmtId="0" fontId="7" fillId="13" borderId="0" xfId="12" applyFont="1" applyFill="1"/>
    <xf numFmtId="0" fontId="15" fillId="0" borderId="0" xfId="12" applyFont="1"/>
    <xf numFmtId="0" fontId="15" fillId="0" borderId="0" xfId="12" applyFont="1" applyAlignment="1">
      <alignment horizontal="center"/>
    </xf>
    <xf numFmtId="0" fontId="25" fillId="0" borderId="0" xfId="12" applyFont="1"/>
    <xf numFmtId="0" fontId="18" fillId="0" borderId="0" xfId="0" applyFont="1"/>
    <xf numFmtId="3" fontId="20" fillId="0" borderId="66" xfId="0" applyNumberFormat="1" applyFont="1" applyBorder="1" applyAlignment="1">
      <alignment horizontal="center"/>
    </xf>
    <xf numFmtId="3" fontId="20" fillId="0" borderId="67" xfId="0" applyNumberFormat="1" applyFont="1" applyBorder="1" applyAlignment="1">
      <alignment horizontal="center"/>
    </xf>
    <xf numFmtId="0" fontId="18" fillId="0" borderId="0" xfId="0" applyFont="1" applyAlignment="1">
      <alignment horizontal="left" vertical="center"/>
    </xf>
    <xf numFmtId="9" fontId="20" fillId="0" borderId="63" xfId="7" applyFont="1" applyBorder="1" applyAlignment="1">
      <alignment horizontal="center"/>
    </xf>
    <xf numFmtId="9" fontId="20" fillId="0" borderId="75" xfId="7" applyFont="1" applyBorder="1" applyAlignment="1">
      <alignment horizontal="center"/>
    </xf>
    <xf numFmtId="9" fontId="20" fillId="0" borderId="68" xfId="7" applyFont="1" applyBorder="1" applyAlignment="1">
      <alignment horizontal="center"/>
    </xf>
    <xf numFmtId="9" fontId="20" fillId="0" borderId="64" xfId="7" applyFont="1" applyBorder="1" applyAlignment="1">
      <alignment horizontal="center"/>
    </xf>
    <xf numFmtId="9" fontId="20" fillId="0" borderId="76" xfId="7" applyFont="1" applyBorder="1" applyAlignment="1">
      <alignment horizontal="center"/>
    </xf>
    <xf numFmtId="9" fontId="20" fillId="5" borderId="36" xfId="7" applyFont="1" applyFill="1" applyBorder="1" applyAlignment="1">
      <alignment horizontal="center"/>
    </xf>
    <xf numFmtId="9" fontId="20" fillId="5" borderId="1" xfId="7" applyFont="1" applyFill="1" applyBorder="1" applyAlignment="1">
      <alignment horizontal="center"/>
    </xf>
    <xf numFmtId="9" fontId="20" fillId="5" borderId="5" xfId="7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9" fontId="19" fillId="7" borderId="7" xfId="7" applyFont="1" applyFill="1" applyBorder="1" applyAlignment="1">
      <alignment horizontal="center" vertical="center"/>
    </xf>
    <xf numFmtId="9" fontId="19" fillId="7" borderId="47" xfId="7" applyFont="1" applyFill="1" applyBorder="1" applyAlignment="1">
      <alignment horizontal="center" vertical="center"/>
    </xf>
    <xf numFmtId="9" fontId="19" fillId="7" borderId="4" xfId="7" applyFont="1" applyFill="1" applyBorder="1" applyAlignment="1">
      <alignment horizontal="center" vertical="center"/>
    </xf>
    <xf numFmtId="3" fontId="19" fillId="7" borderId="77" xfId="7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7" fillId="2" borderId="0" xfId="12" applyFont="1" applyFill="1"/>
    <xf numFmtId="0" fontId="12" fillId="11" borderId="0" xfId="0" applyFont="1" applyFill="1"/>
    <xf numFmtId="0" fontId="29" fillId="0" borderId="0" xfId="12" applyFont="1"/>
    <xf numFmtId="0" fontId="30" fillId="0" borderId="0" xfId="12" applyFont="1" applyAlignment="1">
      <alignment horizontal="right"/>
    </xf>
    <xf numFmtId="0" fontId="16" fillId="0" borderId="0" xfId="12" applyFont="1" applyAlignment="1">
      <alignment horizontal="right"/>
    </xf>
    <xf numFmtId="0" fontId="16" fillId="0" borderId="0" xfId="12" applyFont="1"/>
    <xf numFmtId="0" fontId="22" fillId="0" borderId="0" xfId="0" applyFont="1" applyAlignment="1">
      <alignment horizontal="left" vertical="center"/>
    </xf>
    <xf numFmtId="9" fontId="23" fillId="0" borderId="74" xfId="7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9" fontId="23" fillId="0" borderId="63" xfId="7" applyFont="1" applyBorder="1" applyAlignment="1">
      <alignment horizontal="center"/>
    </xf>
    <xf numFmtId="9" fontId="23" fillId="0" borderId="75" xfId="7" applyFont="1" applyBorder="1" applyAlignment="1">
      <alignment horizontal="center"/>
    </xf>
    <xf numFmtId="3" fontId="23" fillId="0" borderId="64" xfId="7" applyNumberFormat="1" applyFont="1" applyBorder="1" applyAlignment="1">
      <alignment horizontal="center"/>
    </xf>
    <xf numFmtId="9" fontId="23" fillId="0" borderId="64" xfId="7" applyFont="1" applyBorder="1" applyAlignment="1">
      <alignment horizontal="center"/>
    </xf>
    <xf numFmtId="9" fontId="23" fillId="0" borderId="76" xfId="7" applyFont="1" applyBorder="1" applyAlignment="1">
      <alignment horizontal="center"/>
    </xf>
    <xf numFmtId="0" fontId="22" fillId="0" borderId="0" xfId="0" applyFont="1" applyAlignment="1">
      <alignment vertical="center"/>
    </xf>
    <xf numFmtId="0" fontId="23" fillId="2" borderId="35" xfId="0" applyFont="1" applyFill="1" applyBorder="1" applyAlignment="1">
      <alignment horizontal="center"/>
    </xf>
    <xf numFmtId="9" fontId="23" fillId="2" borderId="35" xfId="7" applyFont="1" applyFill="1" applyBorder="1" applyAlignment="1">
      <alignment horizontal="center"/>
    </xf>
    <xf numFmtId="9" fontId="23" fillId="2" borderId="69" xfId="7" applyFont="1" applyFill="1" applyBorder="1" applyAlignment="1">
      <alignment horizontal="center"/>
    </xf>
    <xf numFmtId="3" fontId="23" fillId="2" borderId="1" xfId="7" applyNumberFormat="1" applyFont="1" applyFill="1" applyBorder="1" applyAlignment="1">
      <alignment horizontal="center"/>
    </xf>
    <xf numFmtId="9" fontId="23" fillId="2" borderId="1" xfId="7" applyFont="1" applyFill="1" applyBorder="1" applyAlignment="1">
      <alignment horizontal="center"/>
    </xf>
    <xf numFmtId="3" fontId="23" fillId="2" borderId="77" xfId="7" applyNumberFormat="1" applyFont="1" applyFill="1" applyBorder="1" applyAlignment="1">
      <alignment horizontal="center"/>
    </xf>
    <xf numFmtId="9" fontId="23" fillId="0" borderId="65" xfId="7" applyFont="1" applyBorder="1" applyAlignment="1">
      <alignment horizontal="center"/>
    </xf>
    <xf numFmtId="9" fontId="23" fillId="0" borderId="79" xfId="7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9" fontId="23" fillId="2" borderId="36" xfId="7" applyFont="1" applyFill="1" applyBorder="1" applyAlignment="1">
      <alignment horizontal="center"/>
    </xf>
    <xf numFmtId="9" fontId="14" fillId="9" borderId="71" xfId="7" applyFont="1" applyFill="1" applyBorder="1" applyAlignment="1">
      <alignment horizontal="center"/>
    </xf>
    <xf numFmtId="3" fontId="14" fillId="9" borderId="80" xfId="7" applyNumberFormat="1" applyFont="1" applyFill="1" applyBorder="1" applyAlignment="1">
      <alignment horizontal="center"/>
    </xf>
    <xf numFmtId="9" fontId="14" fillId="9" borderId="16" xfId="7" applyFont="1" applyFill="1" applyBorder="1" applyAlignment="1">
      <alignment horizontal="center"/>
    </xf>
    <xf numFmtId="3" fontId="20" fillId="5" borderId="7" xfId="0" applyNumberFormat="1" applyFont="1" applyFill="1" applyBorder="1" applyAlignment="1">
      <alignment horizontal="center"/>
    </xf>
    <xf numFmtId="0" fontId="10" fillId="13" borderId="18" xfId="12" quotePrefix="1" applyFont="1" applyFill="1" applyBorder="1" applyAlignment="1">
      <alignment horizontal="center"/>
    </xf>
    <xf numFmtId="3" fontId="20" fillId="5" borderId="69" xfId="0" applyNumberFormat="1" applyFont="1" applyFill="1" applyBorder="1" applyAlignment="1">
      <alignment horizontal="center"/>
    </xf>
    <xf numFmtId="0" fontId="11" fillId="15" borderId="16" xfId="12" quotePrefix="1" applyFont="1" applyFill="1" applyBorder="1" applyAlignment="1">
      <alignment horizontal="center"/>
    </xf>
    <xf numFmtId="0" fontId="10" fillId="2" borderId="15" xfId="1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81" xfId="0" applyBorder="1"/>
    <xf numFmtId="0" fontId="32" fillId="18" borderId="0" xfId="0" applyFont="1" applyFill="1" applyAlignment="1">
      <alignment horizontal="center" vertical="center"/>
    </xf>
    <xf numFmtId="0" fontId="12" fillId="0" borderId="12" xfId="12" applyFont="1" applyBorder="1" applyAlignment="1">
      <alignment horizontal="center" vertical="center"/>
    </xf>
    <xf numFmtId="0" fontId="12" fillId="2" borderId="18" xfId="12" applyFont="1" applyFill="1" applyBorder="1" applyAlignment="1">
      <alignment horizontal="left" vertical="center"/>
    </xf>
    <xf numFmtId="0" fontId="16" fillId="9" borderId="18" xfId="12" applyFont="1" applyFill="1" applyBorder="1" applyAlignment="1">
      <alignment horizontal="left" vertical="center"/>
    </xf>
    <xf numFmtId="3" fontId="20" fillId="0" borderId="85" xfId="0" applyNumberFormat="1" applyFont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3" fontId="23" fillId="0" borderId="85" xfId="0" applyNumberFormat="1" applyFont="1" applyBorder="1" applyAlignment="1">
      <alignment horizontal="center"/>
    </xf>
    <xf numFmtId="3" fontId="23" fillId="0" borderId="86" xfId="0" applyNumberFormat="1" applyFont="1" applyBorder="1" applyAlignment="1">
      <alignment horizontal="center"/>
    </xf>
    <xf numFmtId="9" fontId="20" fillId="0" borderId="0" xfId="7" applyFont="1" applyBorder="1" applyAlignment="1">
      <alignment horizontal="center"/>
    </xf>
    <xf numFmtId="9" fontId="20" fillId="0" borderId="19" xfId="7" applyFont="1" applyBorder="1" applyAlignment="1">
      <alignment horizontal="center"/>
    </xf>
    <xf numFmtId="0" fontId="23" fillId="0" borderId="86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5" xfId="0" applyFont="1" applyBorder="1" applyAlignment="1">
      <alignment horizontal="center"/>
    </xf>
    <xf numFmtId="9" fontId="12" fillId="0" borderId="84" xfId="7" applyFont="1" applyBorder="1" applyAlignment="1">
      <alignment horizontal="center"/>
    </xf>
    <xf numFmtId="0" fontId="13" fillId="0" borderId="14" xfId="12" applyFont="1" applyBorder="1" applyAlignment="1">
      <alignment horizontal="center" vertical="center"/>
    </xf>
    <xf numFmtId="0" fontId="13" fillId="0" borderId="16" xfId="12" quotePrefix="1" applyFont="1" applyBorder="1" applyAlignment="1">
      <alignment horizontal="center" vertical="center"/>
    </xf>
    <xf numFmtId="0" fontId="14" fillId="9" borderId="36" xfId="0" applyFont="1" applyFill="1" applyBorder="1" applyAlignment="1">
      <alignment horizontal="center"/>
    </xf>
    <xf numFmtId="3" fontId="14" fillId="9" borderId="40" xfId="0" applyNumberFormat="1" applyFont="1" applyFill="1" applyBorder="1" applyAlignment="1">
      <alignment horizontal="center"/>
    </xf>
    <xf numFmtId="9" fontId="14" fillId="9" borderId="39" xfId="7" applyFont="1" applyFill="1" applyBorder="1" applyAlignment="1">
      <alignment horizontal="center"/>
    </xf>
    <xf numFmtId="0" fontId="11" fillId="15" borderId="5" xfId="12" quotePrefix="1" applyFont="1" applyFill="1" applyBorder="1" applyAlignment="1">
      <alignment horizontal="center"/>
    </xf>
    <xf numFmtId="3" fontId="20" fillId="0" borderId="88" xfId="0" applyNumberFormat="1" applyFont="1" applyBorder="1" applyAlignment="1">
      <alignment horizontal="center"/>
    </xf>
    <xf numFmtId="3" fontId="20" fillId="5" borderId="18" xfId="0" applyNumberFormat="1" applyFont="1" applyFill="1" applyBorder="1" applyAlignment="1">
      <alignment horizontal="center"/>
    </xf>
    <xf numFmtId="0" fontId="33" fillId="19" borderId="6" xfId="12" applyFont="1" applyFill="1" applyBorder="1" applyAlignment="1">
      <alignment horizontal="center"/>
    </xf>
    <xf numFmtId="3" fontId="34" fillId="19" borderId="66" xfId="0" applyNumberFormat="1" applyFont="1" applyFill="1" applyBorder="1" applyAlignment="1">
      <alignment horizontal="center"/>
    </xf>
    <xf numFmtId="3" fontId="34" fillId="19" borderId="67" xfId="0" applyNumberFormat="1" applyFont="1" applyFill="1" applyBorder="1" applyAlignment="1">
      <alignment horizontal="center"/>
    </xf>
    <xf numFmtId="3" fontId="34" fillId="19" borderId="68" xfId="0" applyNumberFormat="1" applyFont="1" applyFill="1" applyBorder="1" applyAlignment="1">
      <alignment horizontal="center"/>
    </xf>
    <xf numFmtId="3" fontId="34" fillId="19" borderId="86" xfId="0" applyNumberFormat="1" applyFont="1" applyFill="1" applyBorder="1" applyAlignment="1">
      <alignment horizontal="center"/>
    </xf>
    <xf numFmtId="3" fontId="34" fillId="19" borderId="69" xfId="0" applyNumberFormat="1" applyFont="1" applyFill="1" applyBorder="1" applyAlignment="1">
      <alignment horizontal="center"/>
    </xf>
    <xf numFmtId="3" fontId="35" fillId="19" borderId="4" xfId="0" applyNumberFormat="1" applyFont="1" applyFill="1" applyBorder="1" applyAlignment="1">
      <alignment horizontal="center" vertical="center"/>
    </xf>
    <xf numFmtId="0" fontId="33" fillId="19" borderId="17" xfId="12" quotePrefix="1" applyFont="1" applyFill="1" applyBorder="1" applyAlignment="1">
      <alignment horizontal="center"/>
    </xf>
    <xf numFmtId="3" fontId="34" fillId="19" borderId="22" xfId="0" applyNumberFormat="1" applyFont="1" applyFill="1" applyBorder="1" applyAlignment="1">
      <alignment horizontal="center"/>
    </xf>
    <xf numFmtId="3" fontId="34" fillId="19" borderId="26" xfId="0" applyNumberFormat="1" applyFont="1" applyFill="1" applyBorder="1" applyAlignment="1">
      <alignment horizontal="center"/>
    </xf>
    <xf numFmtId="3" fontId="34" fillId="19" borderId="31" xfId="0" applyNumberFormat="1" applyFont="1" applyFill="1" applyBorder="1" applyAlignment="1">
      <alignment horizontal="center"/>
    </xf>
    <xf numFmtId="3" fontId="34" fillId="19" borderId="82" xfId="0" applyNumberFormat="1" applyFont="1" applyFill="1" applyBorder="1" applyAlignment="1">
      <alignment horizontal="center"/>
    </xf>
    <xf numFmtId="3" fontId="34" fillId="19" borderId="36" xfId="0" applyNumberFormat="1" applyFont="1" applyFill="1" applyBorder="1" applyAlignment="1">
      <alignment horizontal="center"/>
    </xf>
    <xf numFmtId="3" fontId="35" fillId="19" borderId="35" xfId="0" applyNumberFormat="1" applyFont="1" applyFill="1" applyBorder="1" applyAlignment="1">
      <alignment horizontal="center" vertical="center"/>
    </xf>
    <xf numFmtId="0" fontId="33" fillId="19" borderId="57" xfId="12" quotePrefix="1" applyFont="1" applyFill="1" applyBorder="1" applyAlignment="1">
      <alignment horizontal="center"/>
    </xf>
    <xf numFmtId="3" fontId="34" fillId="19" borderId="25" xfId="0" applyNumberFormat="1" applyFont="1" applyFill="1" applyBorder="1" applyAlignment="1">
      <alignment horizontal="center"/>
    </xf>
    <xf numFmtId="3" fontId="20" fillId="20" borderId="26" xfId="0" applyNumberFormat="1" applyFont="1" applyFill="1" applyBorder="1" applyAlignment="1">
      <alignment horizontal="center"/>
    </xf>
    <xf numFmtId="3" fontId="20" fillId="20" borderId="31" xfId="0" applyNumberFormat="1" applyFont="1" applyFill="1" applyBorder="1" applyAlignment="1">
      <alignment horizontal="center"/>
    </xf>
    <xf numFmtId="3" fontId="20" fillId="20" borderId="41" xfId="0" applyNumberFormat="1" applyFont="1" applyFill="1" applyBorder="1" applyAlignment="1">
      <alignment horizontal="center"/>
    </xf>
    <xf numFmtId="3" fontId="20" fillId="20" borderId="27" xfId="0" applyNumberFormat="1" applyFont="1" applyFill="1" applyBorder="1" applyAlignment="1">
      <alignment horizontal="center"/>
    </xf>
    <xf numFmtId="3" fontId="20" fillId="21" borderId="22" xfId="0" applyNumberFormat="1" applyFont="1" applyFill="1" applyBorder="1" applyAlignment="1">
      <alignment horizontal="center"/>
    </xf>
    <xf numFmtId="3" fontId="20" fillId="21" borderId="26" xfId="0" applyNumberFormat="1" applyFont="1" applyFill="1" applyBorder="1" applyAlignment="1">
      <alignment horizontal="center"/>
    </xf>
    <xf numFmtId="3" fontId="20" fillId="21" borderId="14" xfId="0" applyNumberFormat="1" applyFont="1" applyFill="1" applyBorder="1" applyAlignment="1">
      <alignment horizontal="center"/>
    </xf>
    <xf numFmtId="3" fontId="20" fillId="21" borderId="23" xfId="0" applyNumberFormat="1" applyFont="1" applyFill="1" applyBorder="1" applyAlignment="1">
      <alignment horizontal="center"/>
    </xf>
    <xf numFmtId="3" fontId="20" fillId="21" borderId="27" xfId="0" applyNumberFormat="1" applyFont="1" applyFill="1" applyBorder="1" applyAlignment="1">
      <alignment horizontal="center"/>
    </xf>
    <xf numFmtId="0" fontId="13" fillId="23" borderId="72" xfId="12" quotePrefix="1" applyFont="1" applyFill="1" applyBorder="1" applyAlignment="1">
      <alignment horizontal="center"/>
    </xf>
    <xf numFmtId="1" fontId="23" fillId="0" borderId="24" xfId="7" applyNumberFormat="1" applyFont="1" applyBorder="1" applyAlignment="1">
      <alignment horizontal="center"/>
    </xf>
    <xf numFmtId="1" fontId="23" fillId="0" borderId="29" xfId="7" applyNumberFormat="1" applyFont="1" applyBorder="1" applyAlignment="1">
      <alignment horizontal="center"/>
    </xf>
    <xf numFmtId="1" fontId="23" fillId="0" borderId="33" xfId="7" applyNumberFormat="1" applyFont="1" applyBorder="1" applyAlignment="1">
      <alignment horizontal="center"/>
    </xf>
    <xf numFmtId="1" fontId="23" fillId="0" borderId="84" xfId="7" applyNumberFormat="1" applyFont="1" applyBorder="1" applyAlignment="1">
      <alignment horizontal="center"/>
    </xf>
    <xf numFmtId="1" fontId="23" fillId="0" borderId="43" xfId="7" applyNumberFormat="1" applyFont="1" applyBorder="1" applyAlignment="1">
      <alignment horizontal="center"/>
    </xf>
    <xf numFmtId="1" fontId="14" fillId="9" borderId="55" xfId="7" applyNumberFormat="1" applyFont="1" applyFill="1" applyBorder="1" applyAlignment="1">
      <alignment horizontal="center"/>
    </xf>
    <xf numFmtId="1" fontId="12" fillId="0" borderId="29" xfId="7" applyNumberFormat="1" applyFont="1" applyBorder="1" applyAlignment="1">
      <alignment horizontal="center"/>
    </xf>
    <xf numFmtId="1" fontId="12" fillId="0" borderId="33" xfId="7" applyNumberFormat="1" applyFont="1" applyBorder="1" applyAlignment="1">
      <alignment horizontal="center"/>
    </xf>
    <xf numFmtId="1" fontId="12" fillId="0" borderId="84" xfId="7" applyNumberFormat="1" applyFont="1" applyBorder="1" applyAlignment="1">
      <alignment horizontal="center"/>
    </xf>
    <xf numFmtId="1" fontId="12" fillId="2" borderId="39" xfId="7" applyNumberFormat="1" applyFont="1" applyFill="1" applyBorder="1" applyAlignment="1">
      <alignment horizontal="center"/>
    </xf>
    <xf numFmtId="1" fontId="12" fillId="0" borderId="43" xfId="7" applyNumberFormat="1" applyFont="1" applyBorder="1" applyAlignment="1">
      <alignment horizontal="center"/>
    </xf>
    <xf numFmtId="9" fontId="20" fillId="0" borderId="24" xfId="7" applyFont="1" applyBorder="1" applyAlignment="1">
      <alignment horizontal="center"/>
    </xf>
    <xf numFmtId="9" fontId="20" fillId="0" borderId="29" xfId="7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9" fontId="19" fillId="7" borderId="48" xfId="7" applyFont="1" applyFill="1" applyBorder="1" applyAlignment="1">
      <alignment horizontal="center" vertical="center"/>
    </xf>
    <xf numFmtId="9" fontId="23" fillId="0" borderId="24" xfId="7" applyFont="1" applyBorder="1" applyAlignment="1">
      <alignment horizontal="center"/>
    </xf>
    <xf numFmtId="9" fontId="23" fillId="0" borderId="29" xfId="7" applyFont="1" applyBorder="1" applyAlignment="1">
      <alignment horizontal="center"/>
    </xf>
    <xf numFmtId="9" fontId="23" fillId="0" borderId="84" xfId="7" applyFont="1" applyBorder="1" applyAlignment="1">
      <alignment horizontal="center"/>
    </xf>
    <xf numFmtId="1" fontId="23" fillId="5" borderId="39" xfId="7" applyNumberFormat="1" applyFont="1" applyFill="1" applyBorder="1" applyAlignment="1">
      <alignment horizontal="center"/>
    </xf>
    <xf numFmtId="1" fontId="23" fillId="0" borderId="33" xfId="7" applyNumberFormat="1" applyFont="1" applyFill="1" applyBorder="1" applyAlignment="1">
      <alignment horizontal="center"/>
    </xf>
    <xf numFmtId="0" fontId="23" fillId="2" borderId="83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82" xfId="0" applyFont="1" applyFill="1" applyBorder="1" applyAlignment="1">
      <alignment horizontal="center"/>
    </xf>
    <xf numFmtId="3" fontId="20" fillId="0" borderId="52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1" fontId="23" fillId="0" borderId="29" xfId="7" applyNumberFormat="1" applyFont="1" applyFill="1" applyBorder="1" applyAlignment="1">
      <alignment horizontal="center"/>
    </xf>
    <xf numFmtId="1" fontId="12" fillId="0" borderId="29" xfId="7" applyNumberFormat="1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3" fontId="20" fillId="0" borderId="70" xfId="0" applyNumberFormat="1" applyFont="1" applyBorder="1" applyAlignment="1">
      <alignment horizontal="center"/>
    </xf>
    <xf numFmtId="3" fontId="20" fillId="5" borderId="49" xfId="0" applyNumberFormat="1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4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14" fillId="11" borderId="1" xfId="12" quotePrefix="1" applyFont="1" applyFill="1" applyBorder="1" applyAlignment="1">
      <alignment horizontal="center" vertical="center"/>
    </xf>
    <xf numFmtId="0" fontId="13" fillId="16" borderId="72" xfId="12" quotePrefix="1" applyFont="1" applyFill="1" applyBorder="1" applyAlignment="1">
      <alignment horizontal="center"/>
    </xf>
    <xf numFmtId="0" fontId="23" fillId="2" borderId="48" xfId="0" applyFont="1" applyFill="1" applyBorder="1" applyAlignment="1">
      <alignment horizontal="center"/>
    </xf>
    <xf numFmtId="0" fontId="24" fillId="2" borderId="18" xfId="12" applyFont="1" applyFill="1" applyBorder="1" applyAlignment="1">
      <alignment horizontal="left" vertical="center"/>
    </xf>
    <xf numFmtId="0" fontId="23" fillId="0" borderId="42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23" fillId="23" borderId="92" xfId="0" applyFont="1" applyFill="1" applyBorder="1" applyAlignment="1">
      <alignment horizontal="center"/>
    </xf>
    <xf numFmtId="0" fontId="23" fillId="23" borderId="93" xfId="0" applyFont="1" applyFill="1" applyBorder="1" applyAlignment="1">
      <alignment horizontal="center"/>
    </xf>
    <xf numFmtId="0" fontId="23" fillId="23" borderId="59" xfId="0" applyFont="1" applyFill="1" applyBorder="1" applyAlignment="1">
      <alignment horizontal="center"/>
    </xf>
    <xf numFmtId="0" fontId="23" fillId="23" borderId="49" xfId="0" applyFont="1" applyFill="1" applyBorder="1" applyAlignment="1">
      <alignment horizontal="center"/>
    </xf>
    <xf numFmtId="0" fontId="23" fillId="23" borderId="94" xfId="0" applyFont="1" applyFill="1" applyBorder="1" applyAlignment="1">
      <alignment horizontal="center"/>
    </xf>
    <xf numFmtId="0" fontId="14" fillId="23" borderId="60" xfId="0" applyFont="1" applyFill="1" applyBorder="1" applyAlignment="1">
      <alignment horizontal="center"/>
    </xf>
    <xf numFmtId="9" fontId="20" fillId="0" borderId="79" xfId="7" applyFont="1" applyBorder="1" applyAlignment="1">
      <alignment horizontal="center"/>
    </xf>
    <xf numFmtId="9" fontId="20" fillId="5" borderId="49" xfId="7" applyFont="1" applyFill="1" applyBorder="1" applyAlignment="1">
      <alignment horizontal="center"/>
    </xf>
    <xf numFmtId="9" fontId="20" fillId="5" borderId="39" xfId="7" applyFont="1" applyFill="1" applyBorder="1" applyAlignment="1">
      <alignment horizontal="center"/>
    </xf>
    <xf numFmtId="3" fontId="20" fillId="5" borderId="35" xfId="0" applyNumberFormat="1" applyFont="1" applyFill="1" applyBorder="1" applyAlignment="1">
      <alignment horizontal="center"/>
    </xf>
    <xf numFmtId="3" fontId="20" fillId="5" borderId="49" xfId="7" applyNumberFormat="1" applyFont="1" applyFill="1" applyBorder="1" applyAlignment="1">
      <alignment horizontal="center"/>
    </xf>
    <xf numFmtId="3" fontId="20" fillId="0" borderId="61" xfId="0" applyNumberFormat="1" applyFont="1" applyBorder="1" applyAlignment="1">
      <alignment horizontal="center"/>
    </xf>
    <xf numFmtId="3" fontId="20" fillId="0" borderId="51" xfId="0" applyNumberFormat="1" applyFont="1" applyBorder="1" applyAlignment="1">
      <alignment horizontal="center"/>
    </xf>
    <xf numFmtId="9" fontId="20" fillId="0" borderId="25" xfId="7" applyFont="1" applyBorder="1" applyAlignment="1">
      <alignment horizontal="center"/>
    </xf>
    <xf numFmtId="9" fontId="20" fillId="0" borderId="30" xfId="7" applyFont="1" applyBorder="1" applyAlignment="1">
      <alignment horizontal="center"/>
    </xf>
    <xf numFmtId="9" fontId="20" fillId="0" borderId="51" xfId="7" applyFont="1" applyBorder="1" applyAlignment="1">
      <alignment horizontal="center"/>
    </xf>
    <xf numFmtId="9" fontId="20" fillId="0" borderId="23" xfId="7" applyFont="1" applyBorder="1" applyAlignment="1">
      <alignment horizontal="center"/>
    </xf>
    <xf numFmtId="9" fontId="20" fillId="0" borderId="27" xfId="7" applyFont="1" applyBorder="1" applyAlignment="1">
      <alignment horizontal="center"/>
    </xf>
    <xf numFmtId="9" fontId="20" fillId="0" borderId="61" xfId="7" applyFont="1" applyBorder="1" applyAlignment="1">
      <alignment horizontal="center"/>
    </xf>
    <xf numFmtId="9" fontId="20" fillId="0" borderId="34" xfId="7" applyFont="1" applyBorder="1" applyAlignment="1">
      <alignment horizontal="center"/>
    </xf>
    <xf numFmtId="9" fontId="20" fillId="0" borderId="52" xfId="7" applyFont="1" applyBorder="1" applyAlignment="1">
      <alignment horizontal="center"/>
    </xf>
    <xf numFmtId="9" fontId="20" fillId="0" borderId="89" xfId="7" applyFont="1" applyBorder="1" applyAlignment="1">
      <alignment horizontal="center"/>
    </xf>
    <xf numFmtId="3" fontId="23" fillId="0" borderId="95" xfId="7" applyNumberFormat="1" applyFont="1" applyBorder="1" applyAlignment="1">
      <alignment horizontal="center"/>
    </xf>
    <xf numFmtId="3" fontId="23" fillId="0" borderId="32" xfId="7" applyNumberFormat="1" applyFont="1" applyBorder="1" applyAlignment="1">
      <alignment horizontal="center"/>
    </xf>
    <xf numFmtId="3" fontId="23" fillId="0" borderId="61" xfId="7" applyNumberFormat="1" applyFont="1" applyBorder="1" applyAlignment="1">
      <alignment horizontal="center"/>
    </xf>
    <xf numFmtId="3" fontId="23" fillId="0" borderId="25" xfId="7" applyNumberFormat="1" applyFont="1" applyBorder="1" applyAlignment="1">
      <alignment horizontal="center"/>
    </xf>
    <xf numFmtId="3" fontId="23" fillId="0" borderId="34" xfId="7" applyNumberFormat="1" applyFont="1" applyBorder="1" applyAlignment="1">
      <alignment horizontal="center"/>
    </xf>
    <xf numFmtId="3" fontId="23" fillId="0" borderId="51" xfId="7" applyNumberFormat="1" applyFont="1" applyBorder="1" applyAlignment="1">
      <alignment horizontal="center"/>
    </xf>
    <xf numFmtId="9" fontId="23" fillId="0" borderId="25" xfId="7" applyFont="1" applyBorder="1" applyAlignment="1">
      <alignment horizontal="center"/>
    </xf>
    <xf numFmtId="9" fontId="23" fillId="0" borderId="30" xfId="7" applyFont="1" applyBorder="1" applyAlignment="1">
      <alignment horizontal="center"/>
    </xf>
    <xf numFmtId="9" fontId="23" fillId="0" borderId="51" xfId="7" applyFont="1" applyBorder="1" applyAlignment="1">
      <alignment horizontal="center"/>
    </xf>
    <xf numFmtId="9" fontId="23" fillId="0" borderId="34" xfId="7" applyFont="1" applyBorder="1" applyAlignment="1">
      <alignment horizontal="center"/>
    </xf>
    <xf numFmtId="9" fontId="23" fillId="0" borderId="96" xfId="7" applyFont="1" applyBorder="1" applyAlignment="1">
      <alignment horizontal="center"/>
    </xf>
    <xf numFmtId="9" fontId="23" fillId="2" borderId="49" xfId="7" applyFont="1" applyFill="1" applyBorder="1" applyAlignment="1">
      <alignment horizontal="center"/>
    </xf>
    <xf numFmtId="0" fontId="13" fillId="0" borderId="57" xfId="12" quotePrefix="1" applyFont="1" applyBorder="1" applyAlignment="1">
      <alignment horizontal="center"/>
    </xf>
    <xf numFmtId="0" fontId="13" fillId="0" borderId="57" xfId="12" quotePrefix="1" applyFont="1" applyBorder="1" applyAlignment="1">
      <alignment horizontal="center" vertical="center"/>
    </xf>
    <xf numFmtId="0" fontId="23" fillId="8" borderId="22" xfId="0" applyFont="1" applyFill="1" applyBorder="1" applyAlignment="1">
      <alignment horizontal="center"/>
    </xf>
    <xf numFmtId="0" fontId="23" fillId="8" borderId="26" xfId="0" applyFont="1" applyFill="1" applyBorder="1" applyAlignment="1">
      <alignment horizontal="center"/>
    </xf>
    <xf numFmtId="0" fontId="23" fillId="8" borderId="31" xfId="0" applyFont="1" applyFill="1" applyBorder="1" applyAlignment="1">
      <alignment horizontal="center"/>
    </xf>
    <xf numFmtId="0" fontId="23" fillId="8" borderId="78" xfId="0" applyFont="1" applyFill="1" applyBorder="1" applyAlignment="1">
      <alignment horizontal="center"/>
    </xf>
    <xf numFmtId="0" fontId="13" fillId="0" borderId="16" xfId="12" quotePrefix="1" applyFont="1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10" fillId="22" borderId="57" xfId="12" quotePrefix="1" applyFont="1" applyFill="1" applyBorder="1" applyAlignment="1">
      <alignment horizontal="center"/>
    </xf>
    <xf numFmtId="3" fontId="20" fillId="0" borderId="19" xfId="0" applyNumberFormat="1" applyFont="1" applyBorder="1" applyAlignment="1">
      <alignment horizontal="center"/>
    </xf>
    <xf numFmtId="3" fontId="19" fillId="7" borderId="49" xfId="0" applyNumberFormat="1" applyFont="1" applyFill="1" applyBorder="1" applyAlignment="1">
      <alignment horizontal="center" vertical="center"/>
    </xf>
    <xf numFmtId="0" fontId="10" fillId="0" borderId="16" xfId="12" quotePrefix="1" applyFont="1" applyBorder="1" applyAlignment="1">
      <alignment horizontal="center"/>
    </xf>
    <xf numFmtId="3" fontId="20" fillId="20" borderId="35" xfId="0" applyNumberFormat="1" applyFont="1" applyFill="1" applyBorder="1" applyAlignment="1">
      <alignment horizontal="center"/>
    </xf>
    <xf numFmtId="0" fontId="32" fillId="18" borderId="49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13" fillId="0" borderId="57" xfId="12" quotePrefix="1" applyFont="1" applyBorder="1" applyAlignment="1">
      <alignment horizontal="center" vertical="center" wrapText="1"/>
    </xf>
    <xf numFmtId="0" fontId="13" fillId="0" borderId="6" xfId="12" quotePrefix="1" applyFont="1" applyBorder="1" applyAlignment="1">
      <alignment horizontal="center" vertical="center" wrapText="1"/>
    </xf>
    <xf numFmtId="9" fontId="12" fillId="2" borderId="1" xfId="7" applyFont="1" applyFill="1" applyBorder="1" applyAlignment="1">
      <alignment horizontal="center"/>
    </xf>
    <xf numFmtId="9" fontId="12" fillId="2" borderId="40" xfId="7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31" fillId="0" borderId="6" xfId="12" quotePrefix="1" applyFont="1" applyBorder="1" applyAlignment="1">
      <alignment horizontal="center" vertical="center" wrapText="1"/>
    </xf>
    <xf numFmtId="0" fontId="31" fillId="0" borderId="16" xfId="12" quotePrefix="1" applyFont="1" applyBorder="1" applyAlignment="1">
      <alignment horizontal="center" vertical="center" wrapText="1"/>
    </xf>
    <xf numFmtId="0" fontId="13" fillId="0" borderId="6" xfId="12" applyFont="1" applyBorder="1" applyAlignment="1">
      <alignment horizontal="center" vertical="center"/>
    </xf>
    <xf numFmtId="10" fontId="13" fillId="0" borderId="6" xfId="12" applyNumberFormat="1" applyFont="1" applyBorder="1" applyAlignment="1">
      <alignment horizontal="center" vertical="center"/>
    </xf>
    <xf numFmtId="0" fontId="31" fillId="0" borderId="6" xfId="12" quotePrefix="1" applyFont="1" applyBorder="1" applyAlignment="1">
      <alignment horizontal="center" vertical="center"/>
    </xf>
    <xf numFmtId="0" fontId="13" fillId="0" borderId="18" xfId="12" quotePrefix="1" applyFont="1" applyBorder="1" applyAlignment="1">
      <alignment horizontal="center" vertical="center"/>
    </xf>
    <xf numFmtId="0" fontId="10" fillId="0" borderId="1" xfId="12" quotePrefix="1" applyFont="1" applyBorder="1" applyAlignment="1">
      <alignment horizontal="center" vertical="center"/>
    </xf>
    <xf numFmtId="0" fontId="10" fillId="0" borderId="1" xfId="12" applyFont="1" applyBorder="1" applyAlignment="1">
      <alignment horizontal="center" vertical="center"/>
    </xf>
    <xf numFmtId="0" fontId="31" fillId="0" borderId="1" xfId="12" quotePrefix="1" applyFont="1" applyBorder="1" applyAlignment="1">
      <alignment horizontal="center" vertical="center"/>
    </xf>
    <xf numFmtId="0" fontId="31" fillId="0" borderId="5" xfId="12" quotePrefix="1" applyFont="1" applyBorder="1" applyAlignment="1">
      <alignment horizontal="center" vertical="center" wrapText="1"/>
    </xf>
    <xf numFmtId="9" fontId="12" fillId="2" borderId="5" xfId="7" applyFont="1" applyFill="1" applyBorder="1" applyAlignment="1">
      <alignment horizontal="center"/>
    </xf>
    <xf numFmtId="0" fontId="10" fillId="0" borderId="57" xfId="12" quotePrefix="1" applyFont="1" applyBorder="1" applyAlignment="1">
      <alignment horizontal="center" vertical="center" wrapText="1"/>
    </xf>
    <xf numFmtId="0" fontId="10" fillId="0" borderId="6" xfId="12" quotePrefix="1" applyFont="1" applyBorder="1" applyAlignment="1">
      <alignment horizontal="center" vertical="center" wrapText="1"/>
    </xf>
    <xf numFmtId="0" fontId="28" fillId="0" borderId="6" xfId="12" quotePrefix="1" applyFont="1" applyBorder="1" applyAlignment="1">
      <alignment horizontal="center" vertical="center" wrapText="1"/>
    </xf>
    <xf numFmtId="0" fontId="28" fillId="0" borderId="16" xfId="12" quotePrefix="1" applyFont="1" applyBorder="1" applyAlignment="1">
      <alignment horizontal="center" vertical="center" wrapText="1"/>
    </xf>
    <xf numFmtId="0" fontId="10" fillId="0" borderId="6" xfId="12" applyFont="1" applyBorder="1" applyAlignment="1">
      <alignment horizontal="center" vertical="center" wrapText="1"/>
    </xf>
    <xf numFmtId="10" fontId="10" fillId="0" borderId="6" xfId="12" applyNumberFormat="1" applyFont="1" applyBorder="1" applyAlignment="1">
      <alignment horizontal="center" vertical="center" wrapText="1"/>
    </xf>
    <xf numFmtId="0" fontId="7" fillId="0" borderId="0" xfId="12" applyFont="1" applyAlignment="1">
      <alignment vertical="center" wrapText="1"/>
    </xf>
    <xf numFmtId="0" fontId="10" fillId="6" borderId="58" xfId="12" applyFont="1" applyFill="1" applyBorder="1" applyAlignment="1">
      <alignment horizontal="center" vertical="center"/>
    </xf>
    <xf numFmtId="3" fontId="20" fillId="5" borderId="18" xfId="7" applyNumberFormat="1" applyFont="1" applyFill="1" applyBorder="1" applyAlignment="1">
      <alignment horizontal="center"/>
    </xf>
    <xf numFmtId="9" fontId="19" fillId="7" borderId="39" xfId="7" applyFont="1" applyFill="1" applyBorder="1" applyAlignment="1">
      <alignment horizontal="center"/>
    </xf>
    <xf numFmtId="9" fontId="19" fillId="7" borderId="1" xfId="7" applyFont="1" applyFill="1" applyBorder="1" applyAlignment="1">
      <alignment horizontal="center"/>
    </xf>
    <xf numFmtId="9" fontId="19" fillId="7" borderId="5" xfId="7" applyFont="1" applyFill="1" applyBorder="1" applyAlignment="1">
      <alignment horizontal="center"/>
    </xf>
    <xf numFmtId="0" fontId="19" fillId="7" borderId="1" xfId="16" applyNumberFormat="1" applyFont="1" applyFill="1" applyBorder="1" applyAlignment="1">
      <alignment horizontal="center" vertical="center"/>
    </xf>
    <xf numFmtId="0" fontId="23" fillId="0" borderId="34" xfId="16" applyNumberFormat="1" applyFont="1" applyBorder="1" applyAlignment="1">
      <alignment horizontal="center"/>
    </xf>
    <xf numFmtId="0" fontId="23" fillId="0" borderId="30" xfId="16" applyNumberFormat="1" applyFont="1" applyBorder="1" applyAlignment="1">
      <alignment horizontal="center"/>
    </xf>
    <xf numFmtId="0" fontId="12" fillId="2" borderId="40" xfId="16" applyNumberFormat="1" applyFont="1" applyFill="1" applyBorder="1" applyAlignment="1">
      <alignment horizontal="center"/>
    </xf>
    <xf numFmtId="0" fontId="23" fillId="0" borderId="52" xfId="16" applyNumberFormat="1" applyFont="1" applyBorder="1" applyAlignment="1">
      <alignment horizontal="center"/>
    </xf>
    <xf numFmtId="0" fontId="14" fillId="9" borderId="54" xfId="16" applyNumberFormat="1" applyFont="1" applyFill="1" applyBorder="1" applyAlignment="1">
      <alignment horizontal="center"/>
    </xf>
    <xf numFmtId="9" fontId="20" fillId="5" borderId="51" xfId="7" applyFont="1" applyFill="1" applyBorder="1" applyAlignment="1">
      <alignment horizontal="center"/>
    </xf>
    <xf numFmtId="9" fontId="20" fillId="7" borderId="51" xfId="7" applyFont="1" applyFill="1" applyBorder="1" applyAlignment="1">
      <alignment horizontal="center"/>
    </xf>
    <xf numFmtId="0" fontId="37" fillId="0" borderId="0" xfId="0" applyFont="1"/>
    <xf numFmtId="0" fontId="36" fillId="0" borderId="0" xfId="17" applyNumberFormat="1"/>
    <xf numFmtId="0" fontId="7" fillId="0" borderId="8" xfId="12" applyFont="1" applyBorder="1"/>
    <xf numFmtId="0" fontId="7" fillId="0" borderId="9" xfId="12" applyFont="1" applyBorder="1"/>
    <xf numFmtId="0" fontId="7" fillId="0" borderId="19" xfId="12" applyFont="1" applyBorder="1"/>
    <xf numFmtId="0" fontId="0" fillId="0" borderId="14" xfId="0" applyBorder="1"/>
    <xf numFmtId="0" fontId="36" fillId="0" borderId="0" xfId="17" applyBorder="1"/>
    <xf numFmtId="0" fontId="37" fillId="0" borderId="14" xfId="0" applyFont="1" applyBorder="1"/>
    <xf numFmtId="0" fontId="7" fillId="0" borderId="57" xfId="12" applyFont="1" applyBorder="1"/>
    <xf numFmtId="0" fontId="7" fillId="0" borderId="6" xfId="12" applyFont="1" applyBorder="1"/>
    <xf numFmtId="0" fontId="7" fillId="0" borderId="16" xfId="12" applyFont="1" applyBorder="1"/>
    <xf numFmtId="0" fontId="0" fillId="0" borderId="6" xfId="0" applyBorder="1"/>
    <xf numFmtId="0" fontId="21" fillId="14" borderId="0" xfId="11" quotePrefix="1" applyFont="1" applyFill="1" applyAlignment="1">
      <alignment horizontal="center" vertical="center"/>
    </xf>
    <xf numFmtId="0" fontId="21" fillId="17" borderId="0" xfId="11" quotePrefix="1" applyFont="1" applyFill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0" fillId="0" borderId="20" xfId="12" applyFont="1" applyBorder="1" applyAlignment="1">
      <alignment horizontal="left" vertical="center"/>
    </xf>
    <xf numFmtId="9" fontId="20" fillId="0" borderId="43" xfId="7" applyFont="1" applyBorder="1" applyAlignment="1">
      <alignment horizontal="center"/>
    </xf>
    <xf numFmtId="9" fontId="20" fillId="0" borderId="33" xfId="7" applyFont="1" applyBorder="1" applyAlignment="1">
      <alignment horizontal="center"/>
    </xf>
    <xf numFmtId="0" fontId="10" fillId="0" borderId="14" xfId="12" applyFont="1" applyBorder="1" applyAlignment="1">
      <alignment horizontal="center" vertical="center"/>
    </xf>
    <xf numFmtId="9" fontId="20" fillId="0" borderId="33" xfId="7" applyFont="1" applyFill="1" applyBorder="1" applyAlignment="1">
      <alignment horizontal="center"/>
    </xf>
    <xf numFmtId="0" fontId="10" fillId="0" borderId="44" xfId="12" applyFont="1" applyBorder="1" applyAlignment="1">
      <alignment horizontal="left" vertical="center"/>
    </xf>
    <xf numFmtId="0" fontId="10" fillId="0" borderId="11" xfId="12" applyFont="1" applyBorder="1" applyAlignment="1">
      <alignment horizontal="left" vertical="center"/>
    </xf>
    <xf numFmtId="0" fontId="0" fillId="0" borderId="0" xfId="0" quotePrefix="1"/>
    <xf numFmtId="0" fontId="25" fillId="0" borderId="0" xfId="12" applyFont="1" applyAlignment="1">
      <alignment horizontal="center" vertical="center"/>
    </xf>
    <xf numFmtId="0" fontId="25" fillId="0" borderId="0" xfId="12" applyFont="1" applyAlignment="1">
      <alignment horizontal="left"/>
    </xf>
    <xf numFmtId="0" fontId="17" fillId="0" borderId="21" xfId="0" applyFont="1" applyBorder="1" applyAlignment="1">
      <alignment horizontal="left" vertical="center"/>
    </xf>
    <xf numFmtId="0" fontId="20" fillId="0" borderId="27" xfId="0" applyFont="1" applyBorder="1" applyAlignment="1">
      <alignment horizontal="center"/>
    </xf>
    <xf numFmtId="0" fontId="13" fillId="0" borderId="20" xfId="12" applyFont="1" applyBorder="1" applyAlignment="1">
      <alignment horizontal="left" vertical="center"/>
    </xf>
    <xf numFmtId="9" fontId="23" fillId="0" borderId="33" xfId="7" applyFont="1" applyBorder="1" applyAlignment="1">
      <alignment horizontal="center"/>
    </xf>
    <xf numFmtId="9" fontId="23" fillId="0" borderId="43" xfId="7" applyFont="1" applyBorder="1" applyAlignment="1">
      <alignment horizontal="center"/>
    </xf>
    <xf numFmtId="3" fontId="14" fillId="9" borderId="54" xfId="16" applyNumberFormat="1" applyFont="1" applyFill="1" applyBorder="1" applyAlignment="1">
      <alignment horizontal="center"/>
    </xf>
    <xf numFmtId="0" fontId="38" fillId="0" borderId="50" xfId="0" applyFont="1" applyBorder="1" applyAlignment="1">
      <alignment horizontal="left" vertical="center"/>
    </xf>
    <xf numFmtId="0" fontId="23" fillId="0" borderId="92" xfId="0" applyFont="1" applyBorder="1" applyAlignment="1">
      <alignment horizontal="center"/>
    </xf>
    <xf numFmtId="0" fontId="31" fillId="0" borderId="1" xfId="12" quotePrefix="1" applyFont="1" applyBorder="1" applyAlignment="1">
      <alignment horizontal="center" vertical="center" wrapText="1"/>
    </xf>
    <xf numFmtId="3" fontId="14" fillId="9" borderId="53" xfId="0" applyNumberFormat="1" applyFont="1" applyFill="1" applyBorder="1" applyAlignment="1">
      <alignment horizontal="center"/>
    </xf>
    <xf numFmtId="3" fontId="20" fillId="5" borderId="5" xfId="0" applyNumberFormat="1" applyFont="1" applyFill="1" applyBorder="1" applyAlignment="1">
      <alignment horizontal="center"/>
    </xf>
    <xf numFmtId="9" fontId="20" fillId="5" borderId="48" xfId="7" applyFont="1" applyFill="1" applyBorder="1" applyAlignment="1">
      <alignment horizontal="center"/>
    </xf>
    <xf numFmtId="3" fontId="20" fillId="5" borderId="4" xfId="0" applyNumberFormat="1" applyFont="1" applyFill="1" applyBorder="1" applyAlignment="1">
      <alignment horizontal="center"/>
    </xf>
    <xf numFmtId="0" fontId="10" fillId="0" borderId="102" xfId="12" quotePrefix="1" applyFont="1" applyBorder="1" applyAlignment="1">
      <alignment horizontal="center"/>
    </xf>
    <xf numFmtId="0" fontId="10" fillId="0" borderId="103" xfId="12" quotePrefix="1" applyFont="1" applyBorder="1" applyAlignment="1">
      <alignment horizontal="center"/>
    </xf>
    <xf numFmtId="0" fontId="10" fillId="0" borderId="104" xfId="12" quotePrefix="1" applyFont="1" applyBorder="1" applyAlignment="1">
      <alignment horizontal="center"/>
    </xf>
    <xf numFmtId="0" fontId="10" fillId="0" borderId="105" xfId="12" applyFont="1" applyBorder="1" applyAlignment="1">
      <alignment horizontal="center"/>
    </xf>
    <xf numFmtId="10" fontId="10" fillId="0" borderId="104" xfId="12" applyNumberFormat="1" applyFont="1" applyBorder="1" applyAlignment="1">
      <alignment horizontal="center"/>
    </xf>
    <xf numFmtId="0" fontId="10" fillId="0" borderId="105" xfId="12" quotePrefix="1" applyFont="1" applyBorder="1" applyAlignment="1">
      <alignment horizontal="center"/>
    </xf>
    <xf numFmtId="0" fontId="10" fillId="0" borderId="104" xfId="12" applyFont="1" applyBorder="1" applyAlignment="1">
      <alignment horizontal="center"/>
    </xf>
    <xf numFmtId="0" fontId="10" fillId="22" borderId="106" xfId="12" quotePrefix="1" applyFont="1" applyFill="1" applyBorder="1" applyAlignment="1">
      <alignment horizontal="center"/>
    </xf>
    <xf numFmtId="0" fontId="10" fillId="22" borderId="101" xfId="12" quotePrefix="1" applyFont="1" applyFill="1" applyBorder="1" applyAlignment="1">
      <alignment horizontal="center"/>
    </xf>
    <xf numFmtId="0" fontId="10" fillId="22" borderId="102" xfId="12" quotePrefix="1" applyFont="1" applyFill="1" applyBorder="1" applyAlignment="1">
      <alignment horizontal="center"/>
    </xf>
    <xf numFmtId="0" fontId="10" fillId="22" borderId="101" xfId="12" applyFont="1" applyFill="1" applyBorder="1" applyAlignment="1">
      <alignment horizontal="center"/>
    </xf>
    <xf numFmtId="0" fontId="10" fillId="22" borderId="106" xfId="12" applyFont="1" applyFill="1" applyBorder="1" applyAlignment="1">
      <alignment horizontal="center"/>
    </xf>
    <xf numFmtId="0" fontId="10" fillId="22" borderId="104" xfId="12" quotePrefix="1" applyFont="1" applyFill="1" applyBorder="1" applyAlignment="1">
      <alignment horizontal="center"/>
    </xf>
    <xf numFmtId="0" fontId="10" fillId="22" borderId="103" xfId="12" quotePrefix="1" applyFont="1" applyFill="1" applyBorder="1" applyAlignment="1">
      <alignment horizontal="center"/>
    </xf>
    <xf numFmtId="10" fontId="10" fillId="22" borderId="104" xfId="12" applyNumberFormat="1" applyFont="1" applyFill="1" applyBorder="1" applyAlignment="1">
      <alignment horizontal="center"/>
    </xf>
    <xf numFmtId="0" fontId="10" fillId="22" borderId="107" xfId="12" quotePrefix="1" applyFont="1" applyFill="1" applyBorder="1" applyAlignment="1">
      <alignment horizontal="center"/>
    </xf>
    <xf numFmtId="0" fontId="10" fillId="22" borderId="105" xfId="12" quotePrefix="1" applyFont="1" applyFill="1" applyBorder="1" applyAlignment="1">
      <alignment horizontal="center"/>
    </xf>
    <xf numFmtId="0" fontId="10" fillId="22" borderId="104" xfId="12" applyFont="1" applyFill="1" applyBorder="1" applyAlignment="1">
      <alignment horizontal="center"/>
    </xf>
    <xf numFmtId="3" fontId="20" fillId="5" borderId="47" xfId="0" applyNumberFormat="1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9" fontId="20" fillId="5" borderId="47" xfId="7" applyFont="1" applyFill="1" applyBorder="1" applyAlignment="1">
      <alignment horizontal="center"/>
    </xf>
    <xf numFmtId="0" fontId="20" fillId="5" borderId="47" xfId="0" applyFont="1" applyFill="1" applyBorder="1" applyAlignment="1">
      <alignment horizontal="center"/>
    </xf>
    <xf numFmtId="0" fontId="10" fillId="0" borderId="69" xfId="12" quotePrefix="1" applyFont="1" applyBorder="1" applyAlignment="1">
      <alignment horizontal="center" vertical="center" wrapText="1"/>
    </xf>
    <xf numFmtId="0" fontId="28" fillId="0" borderId="69" xfId="12" quotePrefix="1" applyFont="1" applyBorder="1" applyAlignment="1">
      <alignment horizontal="center" vertical="center" wrapText="1"/>
    </xf>
    <xf numFmtId="0" fontId="28" fillId="0" borderId="39" xfId="12" quotePrefix="1" applyFont="1" applyBorder="1" applyAlignment="1">
      <alignment horizontal="center" vertical="center" wrapText="1"/>
    </xf>
    <xf numFmtId="0" fontId="23" fillId="8" borderId="18" xfId="0" applyFont="1" applyFill="1" applyBorder="1" applyAlignment="1">
      <alignment horizontal="center"/>
    </xf>
    <xf numFmtId="0" fontId="14" fillId="9" borderId="49" xfId="0" applyFont="1" applyFill="1" applyBorder="1" applyAlignment="1">
      <alignment horizontal="center"/>
    </xf>
    <xf numFmtId="3" fontId="14" fillId="9" borderId="18" xfId="16" applyNumberFormat="1" applyFont="1" applyFill="1" applyBorder="1" applyAlignment="1">
      <alignment horizontal="center" vertical="center"/>
    </xf>
    <xf numFmtId="9" fontId="14" fillId="9" borderId="49" xfId="7" applyFont="1" applyFill="1" applyBorder="1" applyAlignment="1">
      <alignment horizontal="center"/>
    </xf>
    <xf numFmtId="3" fontId="23" fillId="2" borderId="35" xfId="16" applyNumberFormat="1" applyFont="1" applyFill="1" applyBorder="1" applyAlignment="1">
      <alignment horizontal="center" vertical="center"/>
    </xf>
    <xf numFmtId="3" fontId="23" fillId="2" borderId="1" xfId="16" applyNumberFormat="1" applyFont="1" applyFill="1" applyBorder="1" applyAlignment="1">
      <alignment horizontal="center" vertical="center"/>
    </xf>
    <xf numFmtId="9" fontId="23" fillId="2" borderId="48" xfId="7" applyFont="1" applyFill="1" applyBorder="1" applyAlignment="1">
      <alignment horizontal="center"/>
    </xf>
    <xf numFmtId="0" fontId="23" fillId="2" borderId="4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3" fontId="14" fillId="9" borderId="49" xfId="0" applyNumberFormat="1" applyFont="1" applyFill="1" applyBorder="1" applyAlignment="1">
      <alignment horizontal="center"/>
    </xf>
    <xf numFmtId="9" fontId="14" fillId="9" borderId="5" xfId="7" applyFont="1" applyFill="1" applyBorder="1" applyAlignment="1">
      <alignment horizontal="center"/>
    </xf>
    <xf numFmtId="3" fontId="14" fillId="9" borderId="1" xfId="0" applyNumberFormat="1" applyFont="1" applyFill="1" applyBorder="1" applyAlignment="1">
      <alignment horizontal="center"/>
    </xf>
    <xf numFmtId="3" fontId="14" fillId="9" borderId="18" xfId="0" applyNumberFormat="1" applyFont="1" applyFill="1" applyBorder="1" applyAlignment="1">
      <alignment horizontal="center"/>
    </xf>
    <xf numFmtId="1" fontId="23" fillId="2" borderId="48" xfId="7" applyNumberFormat="1" applyFont="1" applyFill="1" applyBorder="1" applyAlignment="1">
      <alignment horizontal="center"/>
    </xf>
    <xf numFmtId="9" fontId="23" fillId="0" borderId="90" xfId="7" applyFont="1" applyBorder="1" applyAlignment="1">
      <alignment horizontal="center"/>
    </xf>
    <xf numFmtId="0" fontId="13" fillId="0" borderId="1" xfId="12" quotePrefix="1" applyFont="1" applyBorder="1" applyAlignment="1">
      <alignment horizontal="center" vertical="center" wrapText="1"/>
    </xf>
    <xf numFmtId="0" fontId="13" fillId="0" borderId="5" xfId="12" quotePrefix="1" applyFont="1" applyBorder="1" applyAlignment="1">
      <alignment horizontal="center" vertical="center" wrapText="1"/>
    </xf>
    <xf numFmtId="0" fontId="39" fillId="10" borderId="0" xfId="18" applyFont="1" applyFill="1" applyAlignment="1">
      <alignment vertical="center"/>
    </xf>
    <xf numFmtId="0" fontId="40" fillId="10" borderId="0" xfId="18" applyFont="1" applyFill="1" applyAlignment="1">
      <alignment horizontal="center" vertical="center"/>
    </xf>
    <xf numFmtId="0" fontId="41" fillId="10" borderId="0" xfId="18" applyFont="1" applyFill="1" applyAlignment="1">
      <alignment horizontal="center" vertical="center"/>
    </xf>
    <xf numFmtId="0" fontId="42" fillId="10" borderId="0" xfId="18" applyFont="1" applyFill="1" applyAlignment="1">
      <alignment horizontal="center" vertical="center"/>
    </xf>
    <xf numFmtId="0" fontId="40" fillId="10" borderId="0" xfId="18" applyFont="1" applyFill="1" applyAlignment="1">
      <alignment horizontal="left" vertical="center"/>
    </xf>
    <xf numFmtId="0" fontId="44" fillId="10" borderId="0" xfId="18" applyFont="1" applyFill="1" applyAlignment="1">
      <alignment horizontal="left" vertical="center" readingOrder="1"/>
    </xf>
    <xf numFmtId="0" fontId="45" fillId="10" borderId="0" xfId="18" applyFont="1" applyFill="1" applyAlignment="1">
      <alignment horizontal="center" vertical="center" readingOrder="1"/>
    </xf>
    <xf numFmtId="0" fontId="47" fillId="10" borderId="0" xfId="18" applyFont="1" applyFill="1" applyAlignment="1">
      <alignment vertical="center" readingOrder="1"/>
    </xf>
    <xf numFmtId="0" fontId="48" fillId="10" borderId="0" xfId="18" applyFont="1" applyFill="1" applyAlignment="1">
      <alignment horizontal="left" vertical="center" readingOrder="1"/>
    </xf>
    <xf numFmtId="0" fontId="49" fillId="10" borderId="0" xfId="18" applyFont="1" applyFill="1" applyAlignment="1">
      <alignment horizontal="left" vertical="center" readingOrder="1"/>
    </xf>
    <xf numFmtId="0" fontId="50" fillId="10" borderId="0" xfId="18" applyFont="1" applyFill="1" applyAlignment="1">
      <alignment horizontal="left" vertical="center"/>
    </xf>
    <xf numFmtId="0" fontId="50" fillId="10" borderId="0" xfId="18" applyFont="1" applyFill="1" applyAlignment="1">
      <alignment horizontal="center" vertical="center"/>
    </xf>
    <xf numFmtId="0" fontId="46" fillId="10" borderId="0" xfId="18" applyFont="1" applyFill="1" applyAlignment="1">
      <alignment horizontal="center" vertical="center"/>
    </xf>
    <xf numFmtId="0" fontId="47" fillId="10" borderId="0" xfId="18" applyFont="1" applyFill="1" applyAlignment="1">
      <alignment horizontal="center" vertical="center"/>
    </xf>
    <xf numFmtId="164" fontId="10" fillId="10" borderId="0" xfId="18" applyNumberFormat="1" applyFont="1" applyFill="1" applyAlignment="1">
      <alignment vertical="center" readingOrder="1"/>
    </xf>
    <xf numFmtId="0" fontId="51" fillId="10" borderId="0" xfId="18" applyFont="1" applyFill="1" applyAlignment="1">
      <alignment horizontal="center" vertical="center"/>
    </xf>
    <xf numFmtId="0" fontId="52" fillId="10" borderId="0" xfId="18" applyFont="1" applyFill="1" applyAlignment="1">
      <alignment horizontal="left" vertical="center"/>
    </xf>
    <xf numFmtId="0" fontId="52" fillId="10" borderId="0" xfId="18" applyFont="1" applyFill="1" applyAlignment="1">
      <alignment horizontal="center" vertical="center"/>
    </xf>
    <xf numFmtId="0" fontId="40" fillId="0" borderId="0" xfId="18" applyFont="1" applyAlignment="1">
      <alignment horizontal="center" vertical="center"/>
    </xf>
    <xf numFmtId="0" fontId="53" fillId="0" borderId="0" xfId="18" applyFont="1" applyAlignment="1">
      <alignment horizontal="center" vertical="center"/>
    </xf>
    <xf numFmtId="164" fontId="54" fillId="0" borderId="0" xfId="18" applyNumberFormat="1" applyFont="1" applyAlignment="1">
      <alignment horizontal="center" vertical="center"/>
    </xf>
    <xf numFmtId="0" fontId="46" fillId="0" borderId="0" xfId="18" applyFont="1" applyAlignment="1">
      <alignment vertical="center"/>
    </xf>
    <xf numFmtId="165" fontId="56" fillId="0" borderId="0" xfId="20" applyNumberFormat="1" applyFont="1" applyFill="1" applyBorder="1" applyAlignment="1">
      <alignment horizontal="center" vertical="center"/>
    </xf>
    <xf numFmtId="164" fontId="57" fillId="0" borderId="0" xfId="18" applyNumberFormat="1" applyFont="1" applyAlignment="1">
      <alignment horizontal="center" vertical="center"/>
    </xf>
    <xf numFmtId="0" fontId="58" fillId="10" borderId="0" xfId="18" applyFont="1" applyFill="1" applyAlignment="1">
      <alignment horizontal="center" vertical="center"/>
    </xf>
    <xf numFmtId="0" fontId="59" fillId="10" borderId="0" xfId="18" applyFont="1" applyFill="1" applyAlignment="1">
      <alignment vertical="center" readingOrder="1"/>
    </xf>
    <xf numFmtId="0" fontId="40" fillId="0" borderId="0" xfId="18" applyFont="1" applyAlignment="1">
      <alignment horizontal="right" vertical="center"/>
    </xf>
    <xf numFmtId="0" fontId="41" fillId="0" borderId="0" xfId="18" applyFont="1" applyAlignment="1">
      <alignment horizontal="center" vertical="center"/>
    </xf>
    <xf numFmtId="0" fontId="61" fillId="10" borderId="0" xfId="18" applyFont="1" applyFill="1" applyAlignment="1">
      <alignment horizontal="center" vertical="center"/>
    </xf>
    <xf numFmtId="0" fontId="55" fillId="0" borderId="0" xfId="18" applyFont="1" applyAlignment="1">
      <alignment horizontal="center" vertical="center"/>
    </xf>
    <xf numFmtId="0" fontId="46" fillId="0" borderId="0" xfId="18" applyFont="1" applyAlignment="1">
      <alignment horizontal="center" vertical="center"/>
    </xf>
    <xf numFmtId="0" fontId="57" fillId="0" borderId="0" xfId="18" applyFont="1" applyAlignment="1">
      <alignment horizontal="center" vertical="center" textRotation="90"/>
    </xf>
    <xf numFmtId="0" fontId="62" fillId="10" borderId="0" xfId="18" applyFont="1" applyFill="1" applyAlignment="1">
      <alignment horizontal="center" vertical="center"/>
    </xf>
    <xf numFmtId="0" fontId="63" fillId="10" borderId="0" xfId="18" applyFont="1" applyFill="1" applyAlignment="1">
      <alignment horizontal="center" vertical="center"/>
    </xf>
    <xf numFmtId="9" fontId="39" fillId="0" borderId="0" xfId="18" applyNumberFormat="1" applyFont="1" applyAlignment="1">
      <alignment vertical="center"/>
    </xf>
    <xf numFmtId="0" fontId="64" fillId="0" borderId="0" xfId="18" applyFont="1" applyAlignment="1">
      <alignment horizontal="center" vertical="center"/>
    </xf>
    <xf numFmtId="0" fontId="65" fillId="0" borderId="0" xfId="18" applyFont="1" applyAlignment="1">
      <alignment horizontal="center" vertical="center"/>
    </xf>
    <xf numFmtId="0" fontId="66" fillId="10" borderId="0" xfId="18" applyFont="1" applyFill="1" applyAlignment="1">
      <alignment horizontal="center" vertical="center"/>
    </xf>
    <xf numFmtId="0" fontId="53" fillId="10" borderId="0" xfId="18" applyFont="1" applyFill="1" applyAlignment="1">
      <alignment horizontal="center" vertical="center"/>
    </xf>
    <xf numFmtId="0" fontId="67" fillId="10" borderId="0" xfId="18" applyFont="1" applyFill="1" applyAlignment="1">
      <alignment horizontal="center" vertical="center"/>
    </xf>
    <xf numFmtId="0" fontId="65" fillId="10" borderId="0" xfId="18" applyFont="1" applyFill="1" applyAlignment="1">
      <alignment horizontal="center" vertical="center"/>
    </xf>
    <xf numFmtId="0" fontId="39" fillId="10" borderId="0" xfId="18" applyFont="1" applyFill="1" applyAlignment="1">
      <alignment horizontal="left" vertical="center"/>
    </xf>
    <xf numFmtId="0" fontId="69" fillId="0" borderId="0" xfId="14" applyFont="1"/>
    <xf numFmtId="1" fontId="69" fillId="0" borderId="0" xfId="14" applyNumberFormat="1" applyFont="1"/>
    <xf numFmtId="0" fontId="43" fillId="10" borderId="108" xfId="18" applyFont="1" applyFill="1" applyBorder="1" applyAlignment="1">
      <alignment vertical="center" readingOrder="1"/>
    </xf>
    <xf numFmtId="0" fontId="70" fillId="10" borderId="108" xfId="18" applyFont="1" applyFill="1" applyBorder="1" applyAlignment="1">
      <alignment horizontal="center" vertical="center" readingOrder="1"/>
    </xf>
    <xf numFmtId="9" fontId="65" fillId="26" borderId="0" xfId="18" applyNumberFormat="1" applyFont="1" applyFill="1" applyAlignment="1">
      <alignment horizontal="center" vertical="center"/>
    </xf>
    <xf numFmtId="9" fontId="41" fillId="25" borderId="0" xfId="18" applyNumberFormat="1" applyFont="1" applyFill="1" applyAlignment="1">
      <alignment horizontal="center" vertical="center"/>
    </xf>
    <xf numFmtId="9" fontId="53" fillId="10" borderId="0" xfId="7" applyFont="1" applyFill="1" applyAlignment="1">
      <alignment horizontal="center" vertical="center"/>
    </xf>
    <xf numFmtId="0" fontId="60" fillId="10" borderId="112" xfId="18" applyFont="1" applyFill="1" applyBorder="1" applyAlignment="1">
      <alignment horizontal="left" vertical="top"/>
    </xf>
    <xf numFmtId="0" fontId="42" fillId="10" borderId="112" xfId="18" applyFont="1" applyFill="1" applyBorder="1" applyAlignment="1">
      <alignment horizontal="center" vertical="center"/>
    </xf>
    <xf numFmtId="0" fontId="42" fillId="10" borderId="117" xfId="18" applyFont="1" applyFill="1" applyBorder="1" applyAlignment="1">
      <alignment horizontal="center" vertical="center"/>
    </xf>
    <xf numFmtId="0" fontId="47" fillId="10" borderId="113" xfId="18" applyFont="1" applyFill="1" applyBorder="1" applyAlignment="1">
      <alignment vertical="center"/>
    </xf>
    <xf numFmtId="0" fontId="47" fillId="10" borderId="131" xfId="18" applyFont="1" applyFill="1" applyBorder="1" applyAlignment="1">
      <alignment vertical="center"/>
    </xf>
    <xf numFmtId="0" fontId="47" fillId="10" borderId="132" xfId="18" applyFont="1" applyFill="1" applyBorder="1" applyAlignment="1">
      <alignment vertical="center"/>
    </xf>
    <xf numFmtId="0" fontId="47" fillId="10" borderId="118" xfId="18" applyFont="1" applyFill="1" applyBorder="1" applyAlignment="1">
      <alignment vertical="center"/>
    </xf>
    <xf numFmtId="0" fontId="47" fillId="10" borderId="118" xfId="18" applyFont="1" applyFill="1" applyBorder="1" applyAlignment="1">
      <alignment vertical="center" wrapText="1"/>
    </xf>
    <xf numFmtId="0" fontId="47" fillId="25" borderId="118" xfId="18" applyFont="1" applyFill="1" applyBorder="1" applyAlignment="1">
      <alignment horizontal="center" vertical="center"/>
    </xf>
    <xf numFmtId="0" fontId="47" fillId="26" borderId="118" xfId="18" applyFont="1" applyFill="1" applyBorder="1" applyAlignment="1">
      <alignment horizontal="center" vertical="center"/>
    </xf>
    <xf numFmtId="9" fontId="68" fillId="0" borderId="0" xfId="18" quotePrefix="1" applyNumberFormat="1" applyFont="1" applyAlignment="1">
      <alignment horizontal="center" vertical="center"/>
    </xf>
    <xf numFmtId="1" fontId="47" fillId="25" borderId="118" xfId="18" applyNumberFormat="1" applyFont="1" applyFill="1" applyBorder="1" applyAlignment="1">
      <alignment horizontal="center" vertical="center"/>
    </xf>
    <xf numFmtId="0" fontId="55" fillId="0" borderId="0" xfId="18" applyFont="1" applyAlignment="1">
      <alignment horizontal="center" vertical="center" textRotation="90"/>
    </xf>
    <xf numFmtId="9" fontId="39" fillId="0" borderId="0" xfId="18" applyNumberFormat="1" applyFont="1" applyAlignment="1">
      <alignment horizontal="right" vertical="center"/>
    </xf>
    <xf numFmtId="0" fontId="74" fillId="10" borderId="108" xfId="18" applyFont="1" applyFill="1" applyBorder="1" applyAlignment="1">
      <alignment vertical="center" readingOrder="1"/>
    </xf>
    <xf numFmtId="0" fontId="41" fillId="10" borderId="109" xfId="18" applyFont="1" applyFill="1" applyBorder="1" applyAlignment="1">
      <alignment horizontal="center" vertical="center"/>
    </xf>
    <xf numFmtId="0" fontId="55" fillId="0" borderId="0" xfId="18" applyFont="1" applyAlignment="1">
      <alignment vertical="center" textRotation="90"/>
    </xf>
    <xf numFmtId="0" fontId="47" fillId="10" borderId="0" xfId="18" applyFont="1" applyFill="1" applyAlignment="1">
      <alignment vertical="center" wrapText="1"/>
    </xf>
    <xf numFmtId="166" fontId="65" fillId="10" borderId="0" xfId="16" applyNumberFormat="1" applyFont="1" applyFill="1" applyAlignment="1">
      <alignment horizontal="center" vertical="center"/>
    </xf>
    <xf numFmtId="0" fontId="23" fillId="23" borderId="14" xfId="0" applyFont="1" applyFill="1" applyBorder="1" applyAlignment="1">
      <alignment horizontal="center"/>
    </xf>
    <xf numFmtId="1" fontId="23" fillId="0" borderId="30" xfId="7" applyNumberFormat="1" applyFont="1" applyBorder="1" applyAlignment="1">
      <alignment horizontal="center"/>
    </xf>
    <xf numFmtId="9" fontId="42" fillId="10" borderId="0" xfId="7" applyFont="1" applyFill="1" applyAlignment="1">
      <alignment horizontal="center" vertical="center"/>
    </xf>
    <xf numFmtId="9" fontId="7" fillId="0" borderId="0" xfId="12" applyNumberFormat="1" applyFont="1" applyAlignment="1">
      <alignment vertical="center"/>
    </xf>
    <xf numFmtId="9" fontId="7" fillId="0" borderId="0" xfId="7" applyFont="1" applyAlignment="1">
      <alignment vertical="center"/>
    </xf>
    <xf numFmtId="9" fontId="7" fillId="10" borderId="0" xfId="7" applyFont="1" applyFill="1" applyAlignment="1">
      <alignment vertical="center"/>
    </xf>
    <xf numFmtId="166" fontId="7" fillId="0" borderId="0" xfId="16" applyNumberFormat="1" applyFont="1" applyAlignment="1">
      <alignment vertical="center"/>
    </xf>
    <xf numFmtId="9" fontId="7" fillId="0" borderId="0" xfId="7" applyFont="1" applyAlignment="1">
      <alignment vertical="center" wrapText="1"/>
    </xf>
    <xf numFmtId="0" fontId="10" fillId="0" borderId="1" xfId="12" applyFont="1" applyBorder="1" applyAlignment="1">
      <alignment horizontal="center" vertical="center" wrapText="1"/>
    </xf>
    <xf numFmtId="9" fontId="12" fillId="0" borderId="0" xfId="7" applyFont="1" applyAlignment="1">
      <alignment vertical="center"/>
    </xf>
    <xf numFmtId="9" fontId="12" fillId="10" borderId="0" xfId="7" applyFont="1" applyFill="1" applyAlignment="1">
      <alignment vertical="center"/>
    </xf>
    <xf numFmtId="0" fontId="10" fillId="27" borderId="18" xfId="12" applyFont="1" applyFill="1" applyBorder="1" applyAlignment="1">
      <alignment vertical="center"/>
    </xf>
    <xf numFmtId="0" fontId="10" fillId="27" borderId="5" xfId="12" applyFont="1" applyFill="1" applyBorder="1" applyAlignment="1">
      <alignment vertical="center"/>
    </xf>
    <xf numFmtId="0" fontId="10" fillId="27" borderId="35" xfId="12" applyFont="1" applyFill="1" applyBorder="1" applyAlignment="1">
      <alignment vertical="center"/>
    </xf>
    <xf numFmtId="9" fontId="20" fillId="27" borderId="35" xfId="7" applyFont="1" applyFill="1" applyBorder="1" applyAlignment="1">
      <alignment horizontal="center"/>
    </xf>
    <xf numFmtId="0" fontId="11" fillId="28" borderId="5" xfId="12" applyFont="1" applyFill="1" applyBorder="1" applyAlignment="1">
      <alignment vertical="center"/>
    </xf>
    <xf numFmtId="0" fontId="11" fillId="28" borderId="35" xfId="12" applyFont="1" applyFill="1" applyBorder="1" applyAlignment="1">
      <alignment vertical="center"/>
    </xf>
    <xf numFmtId="9" fontId="19" fillId="28" borderId="35" xfId="7" applyFont="1" applyFill="1" applyBorder="1" applyAlignment="1">
      <alignment horizontal="center" vertical="center"/>
    </xf>
    <xf numFmtId="9" fontId="19" fillId="28" borderId="48" xfId="7" applyFont="1" applyFill="1" applyBorder="1" applyAlignment="1">
      <alignment horizontal="center" vertical="center"/>
    </xf>
    <xf numFmtId="9" fontId="20" fillId="5" borderId="22" xfId="7" applyFont="1" applyFill="1" applyBorder="1" applyAlignment="1">
      <alignment horizontal="center"/>
    </xf>
    <xf numFmtId="9" fontId="20" fillId="5" borderId="41" xfId="7" applyFont="1" applyFill="1" applyBorder="1" applyAlignment="1">
      <alignment horizontal="center"/>
    </xf>
    <xf numFmtId="0" fontId="10" fillId="6" borderId="57" xfId="12" quotePrefix="1" applyFont="1" applyFill="1" applyBorder="1" applyAlignment="1">
      <alignment horizontal="center"/>
    </xf>
    <xf numFmtId="9" fontId="20" fillId="2" borderId="66" xfId="7" applyFont="1" applyFill="1" applyBorder="1" applyAlignment="1">
      <alignment horizontal="center"/>
    </xf>
    <xf numFmtId="9" fontId="20" fillId="2" borderId="70" xfId="7" applyFont="1" applyFill="1" applyBorder="1" applyAlignment="1">
      <alignment horizontal="center"/>
    </xf>
    <xf numFmtId="9" fontId="19" fillId="28" borderId="7" xfId="7" applyFont="1" applyFill="1" applyBorder="1" applyAlignment="1">
      <alignment horizontal="center" vertical="center"/>
    </xf>
    <xf numFmtId="9" fontId="19" fillId="28" borderId="4" xfId="7" applyFont="1" applyFill="1" applyBorder="1" applyAlignment="1">
      <alignment horizontal="center" vertical="center"/>
    </xf>
    <xf numFmtId="0" fontId="10" fillId="11" borderId="39" xfId="12" quotePrefix="1" applyFont="1" applyFill="1" applyBorder="1" applyAlignment="1">
      <alignment horizontal="center"/>
    </xf>
    <xf numFmtId="9" fontId="20" fillId="2" borderId="24" xfId="7" applyFont="1" applyFill="1" applyBorder="1" applyAlignment="1">
      <alignment horizontal="center"/>
    </xf>
    <xf numFmtId="9" fontId="20" fillId="2" borderId="43" xfId="7" applyFont="1" applyFill="1" applyBorder="1" applyAlignment="1">
      <alignment horizontal="center"/>
    </xf>
    <xf numFmtId="0" fontId="10" fillId="11" borderId="55" xfId="12" quotePrefix="1" applyFont="1" applyFill="1" applyBorder="1" applyAlignment="1">
      <alignment horizontal="center"/>
    </xf>
    <xf numFmtId="0" fontId="10" fillId="11" borderId="71" xfId="12" quotePrefix="1" applyFont="1" applyFill="1" applyBorder="1" applyAlignment="1">
      <alignment horizontal="center"/>
    </xf>
    <xf numFmtId="0" fontId="43" fillId="10" borderId="108" xfId="18" applyFont="1" applyFill="1" applyBorder="1" applyAlignment="1">
      <alignment horizontal="center" vertical="center" readingOrder="1"/>
    </xf>
    <xf numFmtId="0" fontId="79" fillId="10" borderId="0" xfId="18" applyFont="1" applyFill="1" applyAlignment="1">
      <alignment horizontal="center" vertical="center" readingOrder="1"/>
    </xf>
    <xf numFmtId="0" fontId="77" fillId="10" borderId="108" xfId="18" applyFont="1" applyFill="1" applyBorder="1" applyAlignment="1">
      <alignment vertical="center" readingOrder="1"/>
    </xf>
    <xf numFmtId="3" fontId="20" fillId="29" borderId="26" xfId="0" applyNumberFormat="1" applyFont="1" applyFill="1" applyBorder="1" applyAlignment="1">
      <alignment horizontal="center"/>
    </xf>
    <xf numFmtId="0" fontId="23" fillId="29" borderId="26" xfId="0" applyFont="1" applyFill="1" applyBorder="1" applyAlignment="1">
      <alignment horizontal="center"/>
    </xf>
    <xf numFmtId="0" fontId="17" fillId="0" borderId="14" xfId="0" applyFont="1" applyBorder="1" applyAlignment="1">
      <alignment horizontal="left" vertical="center"/>
    </xf>
    <xf numFmtId="0" fontId="23" fillId="8" borderId="82" xfId="0" applyFont="1" applyFill="1" applyBorder="1" applyAlignment="1">
      <alignment horizontal="center"/>
    </xf>
    <xf numFmtId="9" fontId="23" fillId="0" borderId="19" xfId="7" applyFont="1" applyBorder="1" applyAlignment="1">
      <alignment horizontal="center"/>
    </xf>
    <xf numFmtId="9" fontId="23" fillId="0" borderId="86" xfId="7" applyFont="1" applyBorder="1" applyAlignment="1">
      <alignment horizontal="center"/>
    </xf>
    <xf numFmtId="9" fontId="23" fillId="0" borderId="85" xfId="7" applyFont="1" applyBorder="1" applyAlignment="1">
      <alignment horizontal="center"/>
    </xf>
    <xf numFmtId="0" fontId="23" fillId="0" borderId="85" xfId="16" applyNumberFormat="1" applyFont="1" applyBorder="1" applyAlignment="1">
      <alignment horizontal="center"/>
    </xf>
    <xf numFmtId="0" fontId="14" fillId="9" borderId="133" xfId="0" applyFont="1" applyFill="1" applyBorder="1" applyAlignment="1">
      <alignment horizontal="center"/>
    </xf>
    <xf numFmtId="9" fontId="14" fillId="9" borderId="36" xfId="7" applyFont="1" applyFill="1" applyBorder="1" applyAlignment="1">
      <alignment horizontal="center"/>
    </xf>
    <xf numFmtId="9" fontId="14" fillId="9" borderId="69" xfId="7" applyFont="1" applyFill="1" applyBorder="1" applyAlignment="1">
      <alignment horizontal="center"/>
    </xf>
    <xf numFmtId="3" fontId="14" fillId="9" borderId="77" xfId="7" applyNumberFormat="1" applyFont="1" applyFill="1" applyBorder="1" applyAlignment="1">
      <alignment horizontal="center"/>
    </xf>
    <xf numFmtId="0" fontId="14" fillId="9" borderId="40" xfId="16" applyNumberFormat="1" applyFont="1" applyFill="1" applyBorder="1" applyAlignment="1">
      <alignment horizontal="center"/>
    </xf>
    <xf numFmtId="1" fontId="14" fillId="9" borderId="6" xfId="0" applyNumberFormat="1" applyFont="1" applyFill="1" applyBorder="1" applyAlignment="1">
      <alignment horizontal="center"/>
    </xf>
    <xf numFmtId="0" fontId="13" fillId="0" borderId="0" xfId="12" applyFont="1" applyAlignment="1">
      <alignment horizontal="left" vertical="center"/>
    </xf>
    <xf numFmtId="0" fontId="13" fillId="0" borderId="0" xfId="12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9" borderId="18" xfId="0" applyFont="1" applyFill="1" applyBorder="1" applyAlignment="1">
      <alignment horizontal="center"/>
    </xf>
    <xf numFmtId="3" fontId="20" fillId="21" borderId="0" xfId="0" applyNumberFormat="1" applyFont="1" applyFill="1" applyAlignment="1">
      <alignment horizontal="center"/>
    </xf>
    <xf numFmtId="3" fontId="20" fillId="21" borderId="78" xfId="0" applyNumberFormat="1" applyFont="1" applyFill="1" applyBorder="1" applyAlignment="1">
      <alignment horizontal="center"/>
    </xf>
    <xf numFmtId="3" fontId="20" fillId="0" borderId="91" xfId="0" applyNumberFormat="1" applyFont="1" applyBorder="1" applyAlignment="1">
      <alignment horizontal="center"/>
    </xf>
    <xf numFmtId="3" fontId="20" fillId="0" borderId="90" xfId="0" applyNumberFormat="1" applyFont="1" applyBorder="1" applyAlignment="1">
      <alignment horizontal="center"/>
    </xf>
    <xf numFmtId="3" fontId="20" fillId="21" borderId="61" xfId="0" applyNumberFormat="1" applyFont="1" applyFill="1" applyBorder="1" applyAlignment="1">
      <alignment horizontal="center"/>
    </xf>
    <xf numFmtId="0" fontId="47" fillId="25" borderId="116" xfId="18" applyFont="1" applyFill="1" applyBorder="1" applyAlignment="1">
      <alignment horizontal="center" vertical="center"/>
    </xf>
    <xf numFmtId="0" fontId="47" fillId="0" borderId="0" xfId="18" applyFont="1" applyAlignment="1">
      <alignment horizontal="center" vertical="center" wrapText="1"/>
    </xf>
    <xf numFmtId="0" fontId="47" fillId="10" borderId="118" xfId="18" applyFont="1" applyFill="1" applyBorder="1" applyAlignment="1">
      <alignment horizontal="center" vertical="center"/>
    </xf>
    <xf numFmtId="0" fontId="47" fillId="10" borderId="134" xfId="18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3" fontId="0" fillId="0" borderId="0" xfId="0" applyNumberFormat="1"/>
    <xf numFmtId="3" fontId="0" fillId="22" borderId="137" xfId="0" applyNumberFormat="1" applyFill="1" applyBorder="1"/>
    <xf numFmtId="9" fontId="0" fillId="22" borderId="138" xfId="7" applyFont="1" applyFill="1" applyBorder="1" applyAlignment="1"/>
    <xf numFmtId="3" fontId="0" fillId="22" borderId="138" xfId="0" applyNumberFormat="1" applyFill="1" applyBorder="1"/>
    <xf numFmtId="166" fontId="0" fillId="22" borderId="138" xfId="16" applyNumberFormat="1" applyFont="1" applyFill="1" applyBorder="1" applyAlignment="1"/>
    <xf numFmtId="166" fontId="0" fillId="22" borderId="139" xfId="16" applyNumberFormat="1" applyFont="1" applyFill="1" applyBorder="1" applyAlignment="1"/>
    <xf numFmtId="166" fontId="0" fillId="30" borderId="1" xfId="0" applyNumberFormat="1" applyFill="1" applyBorder="1"/>
    <xf numFmtId="166" fontId="0" fillId="30" borderId="49" xfId="0" applyNumberFormat="1" applyFill="1" applyBorder="1"/>
    <xf numFmtId="3" fontId="0" fillId="22" borderId="46" xfId="0" applyNumberFormat="1" applyFill="1" applyBorder="1"/>
    <xf numFmtId="9" fontId="0" fillId="22" borderId="140" xfId="7" applyFont="1" applyFill="1" applyBorder="1" applyAlignment="1"/>
    <xf numFmtId="3" fontId="0" fillId="22" borderId="140" xfId="0" applyNumberFormat="1" applyFill="1" applyBorder="1"/>
    <xf numFmtId="166" fontId="0" fillId="22" borderId="140" xfId="16" applyNumberFormat="1" applyFont="1" applyFill="1" applyBorder="1" applyAlignment="1"/>
    <xf numFmtId="166" fontId="0" fillId="22" borderId="44" xfId="16" applyNumberFormat="1" applyFont="1" applyFill="1" applyBorder="1" applyAlignment="1"/>
    <xf numFmtId="9" fontId="0" fillId="0" borderId="0" xfId="7" applyFont="1"/>
    <xf numFmtId="3" fontId="0" fillId="22" borderId="141" xfId="0" applyNumberFormat="1" applyFill="1" applyBorder="1"/>
    <xf numFmtId="9" fontId="0" fillId="22" borderId="142" xfId="7" applyFont="1" applyFill="1" applyBorder="1" applyAlignment="1"/>
    <xf numFmtId="3" fontId="0" fillId="22" borderId="142" xfId="0" applyNumberFormat="1" applyFill="1" applyBorder="1"/>
    <xf numFmtId="166" fontId="0" fillId="22" borderId="142" xfId="16" applyNumberFormat="1" applyFont="1" applyFill="1" applyBorder="1" applyAlignment="1"/>
    <xf numFmtId="166" fontId="0" fillId="22" borderId="143" xfId="16" applyNumberFormat="1" applyFont="1" applyFill="1" applyBorder="1" applyAlignment="1"/>
    <xf numFmtId="0" fontId="10" fillId="0" borderId="49" xfId="12" quotePrefix="1" applyFont="1" applyBorder="1" applyAlignment="1">
      <alignment horizontal="center" vertical="center" wrapText="1"/>
    </xf>
    <xf numFmtId="0" fontId="47" fillId="10" borderId="115" xfId="18" applyFont="1" applyFill="1" applyBorder="1" applyAlignment="1">
      <alignment horizontal="center" vertical="center"/>
    </xf>
    <xf numFmtId="0" fontId="47" fillId="10" borderId="116" xfId="18" applyFont="1" applyFill="1" applyBorder="1" applyAlignment="1">
      <alignment horizontal="center" vertical="center"/>
    </xf>
    <xf numFmtId="166" fontId="80" fillId="0" borderId="49" xfId="0" applyNumberFormat="1" applyFont="1" applyBorder="1" applyAlignment="1">
      <alignment horizontal="center" vertical="center"/>
    </xf>
    <xf numFmtId="9" fontId="82" fillId="0" borderId="49" xfId="7" applyFont="1" applyBorder="1" applyAlignment="1">
      <alignment horizontal="center" vertical="center"/>
    </xf>
    <xf numFmtId="1" fontId="47" fillId="25" borderId="136" xfId="18" applyNumberFormat="1" applyFont="1" applyFill="1" applyBorder="1" applyAlignment="1">
      <alignment horizontal="center" vertical="center"/>
    </xf>
    <xf numFmtId="0" fontId="83" fillId="0" borderId="6" xfId="12" quotePrefix="1" applyFont="1" applyBorder="1" applyAlignment="1">
      <alignment horizontal="center" vertical="center" wrapText="1"/>
    </xf>
    <xf numFmtId="3" fontId="0" fillId="2" borderId="137" xfId="0" applyNumberFormat="1" applyFill="1" applyBorder="1"/>
    <xf numFmtId="9" fontId="0" fillId="2" borderId="140" xfId="7" applyFont="1" applyFill="1" applyBorder="1" applyAlignment="1"/>
    <xf numFmtId="3" fontId="0" fillId="2" borderId="140" xfId="0" applyNumberFormat="1" applyFill="1" applyBorder="1"/>
    <xf numFmtId="166" fontId="0" fillId="2" borderId="140" xfId="16" applyNumberFormat="1" applyFont="1" applyFill="1" applyBorder="1" applyAlignment="1"/>
    <xf numFmtId="166" fontId="0" fillId="2" borderId="44" xfId="16" applyNumberFormat="1" applyFont="1" applyFill="1" applyBorder="1" applyAlignment="1"/>
    <xf numFmtId="3" fontId="0" fillId="2" borderId="46" xfId="0" applyNumberFormat="1" applyFill="1" applyBorder="1"/>
    <xf numFmtId="3" fontId="0" fillId="2" borderId="141" xfId="0" applyNumberFormat="1" applyFill="1" applyBorder="1"/>
    <xf numFmtId="9" fontId="0" fillId="2" borderId="142" xfId="7" applyFont="1" applyFill="1" applyBorder="1" applyAlignment="1"/>
    <xf numFmtId="3" fontId="0" fillId="2" borderId="142" xfId="0" applyNumberFormat="1" applyFill="1" applyBorder="1"/>
    <xf numFmtId="166" fontId="0" fillId="2" borderId="142" xfId="16" applyNumberFormat="1" applyFont="1" applyFill="1" applyBorder="1" applyAlignment="1"/>
    <xf numFmtId="166" fontId="0" fillId="2" borderId="143" xfId="16" applyNumberFormat="1" applyFont="1" applyFill="1" applyBorder="1" applyAlignment="1"/>
    <xf numFmtId="166" fontId="0" fillId="2" borderId="1" xfId="0" applyNumberFormat="1" applyFill="1" applyBorder="1"/>
    <xf numFmtId="166" fontId="0" fillId="2" borderId="49" xfId="0" applyNumberFormat="1" applyFill="1" applyBorder="1"/>
    <xf numFmtId="3" fontId="19" fillId="0" borderId="0" xfId="0" applyNumberFormat="1" applyFont="1" applyAlignment="1">
      <alignment horizontal="center" vertical="center"/>
    </xf>
    <xf numFmtId="3" fontId="23" fillId="0" borderId="26" xfId="0" applyNumberFormat="1" applyFont="1" applyBorder="1" applyAlignment="1">
      <alignment horizontal="center"/>
    </xf>
    <xf numFmtId="0" fontId="10" fillId="6" borderId="1" xfId="12" quotePrefix="1" applyFont="1" applyFill="1" applyBorder="1" applyAlignment="1">
      <alignment horizontal="center"/>
    </xf>
    <xf numFmtId="9" fontId="20" fillId="5" borderId="23" xfId="7" applyFont="1" applyFill="1" applyBorder="1" applyAlignment="1">
      <alignment horizontal="center"/>
    </xf>
    <xf numFmtId="9" fontId="20" fillId="5" borderId="42" xfId="7" applyFont="1" applyFill="1" applyBorder="1" applyAlignment="1">
      <alignment horizontal="center"/>
    </xf>
    <xf numFmtId="0" fontId="17" fillId="0" borderId="50" xfId="0" applyFont="1" applyBorder="1" applyAlignment="1">
      <alignment horizontal="left" vertical="center"/>
    </xf>
    <xf numFmtId="0" fontId="10" fillId="27" borderId="49" xfId="12" applyFont="1" applyFill="1" applyBorder="1" applyAlignment="1">
      <alignment vertical="center"/>
    </xf>
    <xf numFmtId="0" fontId="11" fillId="28" borderId="49" xfId="12" applyFont="1" applyFill="1" applyBorder="1" applyAlignment="1">
      <alignment vertical="center"/>
    </xf>
    <xf numFmtId="3" fontId="85" fillId="0" borderId="0" xfId="0" applyNumberFormat="1" applyFont="1" applyAlignment="1">
      <alignment horizontal="center" vertical="center"/>
    </xf>
    <xf numFmtId="3" fontId="85" fillId="0" borderId="36" xfId="0" applyNumberFormat="1" applyFont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3" fillId="0" borderId="98" xfId="12" applyFont="1" applyBorder="1" applyAlignment="1">
      <alignment horizontal="center"/>
    </xf>
    <xf numFmtId="0" fontId="13" fillId="0" borderId="99" xfId="12" applyFont="1" applyBorder="1" applyAlignment="1">
      <alignment horizontal="center"/>
    </xf>
    <xf numFmtId="0" fontId="13" fillId="0" borderId="100" xfId="12" applyFont="1" applyBorder="1" applyAlignment="1">
      <alignment horizontal="center"/>
    </xf>
    <xf numFmtId="0" fontId="21" fillId="9" borderId="0" xfId="11" quotePrefix="1" applyFont="1" applyFill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57" xfId="0" applyFont="1" applyFill="1" applyBorder="1" applyAlignment="1">
      <alignment horizontal="center" vertical="center"/>
    </xf>
    <xf numFmtId="0" fontId="14" fillId="12" borderId="56" xfId="0" applyFont="1" applyFill="1" applyBorder="1" applyAlignment="1">
      <alignment horizontal="center" vertical="center"/>
    </xf>
    <xf numFmtId="0" fontId="14" fillId="12" borderId="45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57" xfId="0" applyFont="1" applyFill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3" fillId="2" borderId="100" xfId="12" applyFont="1" applyFill="1" applyBorder="1" applyAlignment="1">
      <alignment horizontal="center"/>
    </xf>
    <xf numFmtId="9" fontId="47" fillId="10" borderId="115" xfId="18" applyNumberFormat="1" applyFont="1" applyFill="1" applyBorder="1" applyAlignment="1">
      <alignment horizontal="center" vertical="center"/>
    </xf>
    <xf numFmtId="0" fontId="47" fillId="10" borderId="116" xfId="18" applyFont="1" applyFill="1" applyBorder="1" applyAlignment="1">
      <alignment horizontal="center" vertical="center"/>
    </xf>
    <xf numFmtId="1" fontId="47" fillId="25" borderId="115" xfId="18" applyNumberFormat="1" applyFont="1" applyFill="1" applyBorder="1" applyAlignment="1">
      <alignment horizontal="center" vertical="center"/>
    </xf>
    <xf numFmtId="1" fontId="47" fillId="25" borderId="116" xfId="18" applyNumberFormat="1" applyFont="1" applyFill="1" applyBorder="1" applyAlignment="1">
      <alignment horizontal="center" vertical="center"/>
    </xf>
    <xf numFmtId="0" fontId="47" fillId="26" borderId="115" xfId="18" applyFont="1" applyFill="1" applyBorder="1" applyAlignment="1">
      <alignment horizontal="center" vertical="center"/>
    </xf>
    <xf numFmtId="0" fontId="47" fillId="26" borderId="116" xfId="18" applyFont="1" applyFill="1" applyBorder="1" applyAlignment="1">
      <alignment horizontal="center" vertical="center"/>
    </xf>
    <xf numFmtId="9" fontId="47" fillId="25" borderId="115" xfId="7" applyFont="1" applyFill="1" applyBorder="1" applyAlignment="1">
      <alignment horizontal="center" vertical="center"/>
    </xf>
    <xf numFmtId="9" fontId="47" fillId="25" borderId="116" xfId="7" applyFont="1" applyFill="1" applyBorder="1" applyAlignment="1">
      <alignment horizontal="center" vertical="center"/>
    </xf>
    <xf numFmtId="9" fontId="47" fillId="26" borderId="115" xfId="7" applyFont="1" applyFill="1" applyBorder="1" applyAlignment="1">
      <alignment horizontal="center" vertical="center"/>
    </xf>
    <xf numFmtId="9" fontId="47" fillId="26" borderId="116" xfId="7" applyFont="1" applyFill="1" applyBorder="1" applyAlignment="1">
      <alignment horizontal="center" vertical="center"/>
    </xf>
    <xf numFmtId="0" fontId="78" fillId="10" borderId="108" xfId="18" applyFont="1" applyFill="1" applyBorder="1" applyAlignment="1">
      <alignment horizontal="center" vertical="center" readingOrder="1"/>
    </xf>
    <xf numFmtId="0" fontId="71" fillId="10" borderId="109" xfId="18" applyFont="1" applyFill="1" applyBorder="1" applyAlignment="1">
      <alignment horizontal="center" vertical="center" readingOrder="1"/>
    </xf>
    <xf numFmtId="0" fontId="73" fillId="24" borderId="115" xfId="18" applyFont="1" applyFill="1" applyBorder="1" applyAlignment="1">
      <alignment horizontal="center" vertical="center" wrapText="1"/>
    </xf>
    <xf numFmtId="0" fontId="73" fillId="24" borderId="116" xfId="18" applyFont="1" applyFill="1" applyBorder="1" applyAlignment="1">
      <alignment horizontal="center" vertical="center" wrapText="1"/>
    </xf>
    <xf numFmtId="0" fontId="73" fillId="8" borderId="115" xfId="18" applyFont="1" applyFill="1" applyBorder="1" applyAlignment="1">
      <alignment horizontal="center" vertical="center" wrapText="1"/>
    </xf>
    <xf numFmtId="0" fontId="73" fillId="8" borderId="116" xfId="18" applyFont="1" applyFill="1" applyBorder="1" applyAlignment="1">
      <alignment horizontal="center" vertical="center" wrapText="1"/>
    </xf>
    <xf numFmtId="0" fontId="72" fillId="25" borderId="113" xfId="16" applyNumberFormat="1" applyFont="1" applyFill="1" applyBorder="1" applyAlignment="1">
      <alignment horizontal="center" vertical="center"/>
    </xf>
    <xf numFmtId="0" fontId="72" fillId="25" borderId="114" xfId="16" applyNumberFormat="1" applyFont="1" applyFill="1" applyBorder="1" applyAlignment="1">
      <alignment horizontal="center" vertical="center"/>
    </xf>
    <xf numFmtId="0" fontId="72" fillId="26" borderId="127" xfId="21" applyNumberFormat="1" applyFont="1" applyFill="1" applyBorder="1" applyAlignment="1">
      <alignment horizontal="center" vertical="center"/>
    </xf>
    <xf numFmtId="0" fontId="72" fillId="26" borderId="119" xfId="21" applyNumberFormat="1" applyFont="1" applyFill="1" applyBorder="1" applyAlignment="1">
      <alignment horizontal="center" vertical="center"/>
    </xf>
    <xf numFmtId="0" fontId="72" fillId="25" borderId="120" xfId="16" applyNumberFormat="1" applyFont="1" applyFill="1" applyBorder="1" applyAlignment="1">
      <alignment horizontal="center" vertical="center"/>
    </xf>
    <xf numFmtId="0" fontId="72" fillId="25" borderId="128" xfId="16" applyNumberFormat="1" applyFont="1" applyFill="1" applyBorder="1" applyAlignment="1">
      <alignment horizontal="center" vertical="center"/>
    </xf>
    <xf numFmtId="0" fontId="72" fillId="26" borderId="110" xfId="21" applyNumberFormat="1" applyFont="1" applyFill="1" applyBorder="1" applyAlignment="1">
      <alignment horizontal="center" vertical="center"/>
    </xf>
    <xf numFmtId="0" fontId="72" fillId="26" borderId="121" xfId="21" applyNumberFormat="1" applyFont="1" applyFill="1" applyBorder="1" applyAlignment="1">
      <alignment horizontal="center" vertical="center"/>
    </xf>
    <xf numFmtId="9" fontId="72" fillId="25" borderId="122" xfId="7" applyFont="1" applyFill="1" applyBorder="1" applyAlignment="1">
      <alignment horizontal="center" vertical="center"/>
    </xf>
    <xf numFmtId="9" fontId="72" fillId="25" borderId="121" xfId="7" applyFont="1" applyFill="1" applyBorder="1" applyAlignment="1">
      <alignment horizontal="center" vertical="center"/>
    </xf>
    <xf numFmtId="0" fontId="72" fillId="25" borderId="122" xfId="7" applyNumberFormat="1" applyFont="1" applyFill="1" applyBorder="1" applyAlignment="1">
      <alignment horizontal="center" vertical="center"/>
    </xf>
    <xf numFmtId="0" fontId="72" fillId="25" borderId="121" xfId="7" applyNumberFormat="1" applyFont="1" applyFill="1" applyBorder="1" applyAlignment="1">
      <alignment horizontal="center" vertical="center"/>
    </xf>
    <xf numFmtId="0" fontId="72" fillId="25" borderId="123" xfId="21" applyNumberFormat="1" applyFont="1" applyFill="1" applyBorder="1" applyAlignment="1">
      <alignment horizontal="center" vertical="center"/>
    </xf>
    <xf numFmtId="0" fontId="72" fillId="25" borderId="129" xfId="21" applyNumberFormat="1" applyFont="1" applyFill="1" applyBorder="1" applyAlignment="1">
      <alignment horizontal="center" vertical="center"/>
    </xf>
    <xf numFmtId="0" fontId="72" fillId="26" borderId="111" xfId="21" applyNumberFormat="1" applyFont="1" applyFill="1" applyBorder="1" applyAlignment="1">
      <alignment horizontal="center" vertical="center"/>
    </xf>
    <xf numFmtId="0" fontId="72" fillId="26" borderId="124" xfId="21" applyNumberFormat="1" applyFont="1" applyFill="1" applyBorder="1" applyAlignment="1">
      <alignment horizontal="center" vertical="center"/>
    </xf>
    <xf numFmtId="165" fontId="72" fillId="25" borderId="125" xfId="7" applyNumberFormat="1" applyFont="1" applyFill="1" applyBorder="1" applyAlignment="1">
      <alignment horizontal="center" vertical="center"/>
    </xf>
    <xf numFmtId="165" fontId="72" fillId="25" borderId="130" xfId="7" applyNumberFormat="1" applyFont="1" applyFill="1" applyBorder="1" applyAlignment="1">
      <alignment horizontal="center" vertical="center"/>
    </xf>
    <xf numFmtId="9" fontId="72" fillId="16" borderId="110" xfId="7" applyFont="1" applyFill="1" applyBorder="1" applyAlignment="1">
      <alignment horizontal="center" vertical="center"/>
    </xf>
    <xf numFmtId="9" fontId="72" fillId="16" borderId="121" xfId="7" applyFont="1" applyFill="1" applyBorder="1" applyAlignment="1">
      <alignment horizontal="center" vertical="center"/>
    </xf>
    <xf numFmtId="0" fontId="72" fillId="25" borderId="122" xfId="18" applyFont="1" applyFill="1" applyBorder="1" applyAlignment="1">
      <alignment horizontal="center" vertical="center"/>
    </xf>
    <xf numFmtId="0" fontId="72" fillId="25" borderId="121" xfId="18" applyFont="1" applyFill="1" applyBorder="1" applyAlignment="1">
      <alignment horizontal="center" vertical="center"/>
    </xf>
    <xf numFmtId="165" fontId="72" fillId="25" borderId="122" xfId="7" applyNumberFormat="1" applyFont="1" applyFill="1" applyBorder="1" applyAlignment="1">
      <alignment horizontal="center" vertical="center"/>
    </xf>
    <xf numFmtId="165" fontId="72" fillId="25" borderId="121" xfId="7" applyNumberFormat="1" applyFont="1" applyFill="1" applyBorder="1" applyAlignment="1">
      <alignment horizontal="center" vertical="center"/>
    </xf>
    <xf numFmtId="165" fontId="72" fillId="26" borderId="122" xfId="7" applyNumberFormat="1" applyFont="1" applyFill="1" applyBorder="1" applyAlignment="1">
      <alignment horizontal="center" vertical="center"/>
    </xf>
    <xf numFmtId="165" fontId="72" fillId="26" borderId="121" xfId="7" applyNumberFormat="1" applyFont="1" applyFill="1" applyBorder="1" applyAlignment="1">
      <alignment horizontal="center" vertical="center"/>
    </xf>
    <xf numFmtId="9" fontId="39" fillId="0" borderId="0" xfId="18" applyNumberFormat="1" applyFont="1" applyAlignment="1">
      <alignment horizontal="right" vertical="center"/>
    </xf>
    <xf numFmtId="0" fontId="55" fillId="0" borderId="0" xfId="18" applyFont="1" applyAlignment="1">
      <alignment horizontal="center" vertical="center" textRotation="90"/>
    </xf>
    <xf numFmtId="0" fontId="72" fillId="25" borderId="115" xfId="21" applyNumberFormat="1" applyFont="1" applyFill="1" applyBorder="1" applyAlignment="1">
      <alignment horizontal="center" vertical="center"/>
    </xf>
    <xf numFmtId="0" fontId="72" fillId="25" borderId="116" xfId="21" applyNumberFormat="1" applyFont="1" applyFill="1" applyBorder="1" applyAlignment="1">
      <alignment horizontal="center" vertical="center"/>
    </xf>
    <xf numFmtId="0" fontId="72" fillId="26" borderId="115" xfId="21" applyNumberFormat="1" applyFont="1" applyFill="1" applyBorder="1" applyAlignment="1">
      <alignment horizontal="center" vertical="center"/>
    </xf>
    <xf numFmtId="0" fontId="72" fillId="26" borderId="116" xfId="21" applyNumberFormat="1" applyFont="1" applyFill="1" applyBorder="1" applyAlignment="1">
      <alignment horizontal="center" vertical="center"/>
    </xf>
    <xf numFmtId="0" fontId="47" fillId="10" borderId="134" xfId="18" applyFont="1" applyFill="1" applyBorder="1" applyAlignment="1">
      <alignment horizontal="center" vertical="center" wrapText="1"/>
    </xf>
    <xf numFmtId="0" fontId="47" fillId="10" borderId="135" xfId="18" applyFont="1" applyFill="1" applyBorder="1" applyAlignment="1">
      <alignment horizontal="center" vertical="center" wrapText="1"/>
    </xf>
    <xf numFmtId="0" fontId="47" fillId="10" borderId="136" xfId="18" applyFont="1" applyFill="1" applyBorder="1" applyAlignment="1">
      <alignment horizontal="center" vertical="center" wrapText="1"/>
    </xf>
    <xf numFmtId="0" fontId="10" fillId="6" borderId="98" xfId="12" applyFont="1" applyFill="1" applyBorder="1" applyAlignment="1">
      <alignment horizontal="center" vertical="center"/>
    </xf>
    <xf numFmtId="0" fontId="10" fillId="6" borderId="100" xfId="12" applyFont="1" applyFill="1" applyBorder="1" applyAlignment="1">
      <alignment horizontal="center" vertical="center"/>
    </xf>
    <xf numFmtId="0" fontId="10" fillId="6" borderId="99" xfId="12" applyFont="1" applyFill="1" applyBorder="1" applyAlignment="1">
      <alignment horizontal="center" vertical="center"/>
    </xf>
    <xf numFmtId="0" fontId="10" fillId="0" borderId="98" xfId="12" applyFont="1" applyBorder="1" applyAlignment="1">
      <alignment horizontal="center"/>
    </xf>
    <xf numFmtId="0" fontId="10" fillId="0" borderId="99" xfId="12" applyFont="1" applyBorder="1" applyAlignment="1">
      <alignment horizontal="center"/>
    </xf>
    <xf numFmtId="0" fontId="10" fillId="0" borderId="100" xfId="12" applyFont="1" applyBorder="1" applyAlignment="1">
      <alignment horizontal="center"/>
    </xf>
    <xf numFmtId="0" fontId="21" fillId="14" borderId="0" xfId="11" quotePrefix="1" applyFont="1" applyFill="1" applyAlignment="1">
      <alignment horizontal="center" vertical="center"/>
    </xf>
    <xf numFmtId="0" fontId="10" fillId="6" borderId="2" xfId="12" applyFont="1" applyFill="1" applyBorder="1" applyAlignment="1">
      <alignment horizontal="center" vertical="center"/>
    </xf>
    <xf numFmtId="0" fontId="10" fillId="6" borderId="3" xfId="12" applyFont="1" applyFill="1" applyBorder="1" applyAlignment="1">
      <alignment horizontal="center" vertical="center"/>
    </xf>
    <xf numFmtId="0" fontId="10" fillId="6" borderId="56" xfId="12" applyFont="1" applyFill="1" applyBorder="1" applyAlignment="1">
      <alignment horizontal="center" vertical="center"/>
    </xf>
    <xf numFmtId="0" fontId="10" fillId="6" borderId="45" xfId="12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0" fillId="13" borderId="100" xfId="12" applyFont="1" applyFill="1" applyBorder="1" applyAlignment="1">
      <alignment horizontal="center"/>
    </xf>
    <xf numFmtId="0" fontId="10" fillId="6" borderId="18" xfId="12" applyFont="1" applyFill="1" applyBorder="1" applyAlignment="1">
      <alignment horizontal="center" vertical="center"/>
    </xf>
    <xf numFmtId="0" fontId="10" fillId="6" borderId="1" xfId="12" applyFont="1" applyFill="1" applyBorder="1" applyAlignment="1">
      <alignment horizontal="center" vertical="center"/>
    </xf>
    <xf numFmtId="0" fontId="10" fillId="6" borderId="5" xfId="12" applyFont="1" applyFill="1" applyBorder="1" applyAlignment="1">
      <alignment horizontal="center" vertical="center"/>
    </xf>
    <xf numFmtId="0" fontId="10" fillId="0" borderId="1" xfId="12" applyFont="1" applyBorder="1" applyAlignment="1">
      <alignment horizontal="center"/>
    </xf>
    <xf numFmtId="0" fontId="10" fillId="0" borderId="5" xfId="12" applyFont="1" applyBorder="1" applyAlignment="1">
      <alignment horizontal="center"/>
    </xf>
    <xf numFmtId="0" fontId="10" fillId="0" borderId="18" xfId="12" applyFont="1" applyBorder="1" applyAlignment="1">
      <alignment horizontal="center"/>
    </xf>
    <xf numFmtId="0" fontId="21" fillId="17" borderId="0" xfId="11" quotePrefix="1" applyFont="1" applyFill="1" applyAlignment="1">
      <alignment horizontal="center" vertical="center"/>
    </xf>
    <xf numFmtId="0" fontId="10" fillId="5" borderId="1" xfId="12" applyFont="1" applyFill="1" applyBorder="1" applyAlignment="1">
      <alignment horizontal="center"/>
    </xf>
    <xf numFmtId="0" fontId="11" fillId="7" borderId="18" xfId="12" applyFont="1" applyFill="1" applyBorder="1" applyAlignment="1">
      <alignment horizontal="center" vertical="center"/>
    </xf>
    <xf numFmtId="0" fontId="11" fillId="7" borderId="1" xfId="12" applyFont="1" applyFill="1" applyBorder="1" applyAlignment="1">
      <alignment horizontal="center" vertical="center"/>
    </xf>
    <xf numFmtId="0" fontId="10" fillId="6" borderId="10" xfId="12" applyFont="1" applyFill="1" applyBorder="1" applyAlignment="1">
      <alignment horizontal="center"/>
    </xf>
    <xf numFmtId="0" fontId="10" fillId="6" borderId="9" xfId="12" applyFont="1" applyFill="1" applyBorder="1" applyAlignment="1">
      <alignment horizontal="center"/>
    </xf>
    <xf numFmtId="0" fontId="10" fillId="6" borderId="8" xfId="12" applyFont="1" applyFill="1" applyBorder="1" applyAlignment="1">
      <alignment horizontal="center"/>
    </xf>
    <xf numFmtId="0" fontId="10" fillId="6" borderId="98" xfId="12" applyFont="1" applyFill="1" applyBorder="1" applyAlignment="1">
      <alignment horizontal="center"/>
    </xf>
    <xf numFmtId="0" fontId="10" fillId="6" borderId="99" xfId="12" applyFont="1" applyFill="1" applyBorder="1" applyAlignment="1">
      <alignment horizontal="center"/>
    </xf>
    <xf numFmtId="0" fontId="10" fillId="6" borderId="10" xfId="12" applyFont="1" applyFill="1" applyBorder="1" applyAlignment="1">
      <alignment horizontal="center" vertical="center"/>
    </xf>
    <xf numFmtId="0" fontId="10" fillId="6" borderId="8" xfId="12" applyFont="1" applyFill="1" applyBorder="1" applyAlignment="1">
      <alignment horizontal="center" vertical="center"/>
    </xf>
    <xf numFmtId="0" fontId="10" fillId="6" borderId="9" xfId="12" applyFont="1" applyFill="1" applyBorder="1" applyAlignment="1">
      <alignment horizontal="center" vertical="center"/>
    </xf>
    <xf numFmtId="0" fontId="81" fillId="31" borderId="18" xfId="0" applyFont="1" applyFill="1" applyBorder="1" applyAlignment="1">
      <alignment horizontal="center" vertical="center"/>
    </xf>
    <xf numFmtId="0" fontId="81" fillId="31" borderId="1" xfId="0" applyFont="1" applyFill="1" applyBorder="1" applyAlignment="1">
      <alignment horizontal="center" vertical="center"/>
    </xf>
    <xf numFmtId="0" fontId="81" fillId="31" borderId="5" xfId="0" applyFont="1" applyFill="1" applyBorder="1" applyAlignment="1">
      <alignment horizontal="center" vertical="center"/>
    </xf>
    <xf numFmtId="0" fontId="6" fillId="30" borderId="10" xfId="0" applyFont="1" applyFill="1" applyBorder="1" applyAlignment="1">
      <alignment horizontal="center" vertical="center"/>
    </xf>
    <xf numFmtId="0" fontId="6" fillId="30" borderId="8" xfId="0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  <xf numFmtId="0" fontId="6" fillId="30" borderId="57" xfId="0" applyFont="1" applyFill="1" applyBorder="1" applyAlignment="1">
      <alignment horizontal="center" vertical="center"/>
    </xf>
    <xf numFmtId="0" fontId="6" fillId="30" borderId="6" xfId="0" applyFont="1" applyFill="1" applyBorder="1" applyAlignment="1">
      <alignment horizontal="center" vertical="center"/>
    </xf>
    <xf numFmtId="0" fontId="6" fillId="30" borderId="16" xfId="0" applyFont="1" applyFill="1" applyBorder="1" applyAlignment="1">
      <alignment horizontal="center" vertical="center"/>
    </xf>
    <xf numFmtId="0" fontId="14" fillId="9" borderId="18" xfId="12" applyFont="1" applyFill="1" applyBorder="1" applyAlignment="1">
      <alignment horizontal="center" vertical="center"/>
    </xf>
    <xf numFmtId="0" fontId="14" fillId="9" borderId="5" xfId="12" applyFont="1" applyFill="1" applyBorder="1" applyAlignment="1">
      <alignment horizontal="center" vertical="center"/>
    </xf>
    <xf numFmtId="0" fontId="13" fillId="0" borderId="62" xfId="12" applyFont="1" applyBorder="1" applyAlignment="1">
      <alignment horizontal="center"/>
    </xf>
    <xf numFmtId="0" fontId="13" fillId="0" borderId="74" xfId="12" applyFont="1" applyBorder="1" applyAlignment="1">
      <alignment horizontal="center"/>
    </xf>
    <xf numFmtId="0" fontId="14" fillId="12" borderId="9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/>
    </xf>
    <xf numFmtId="0" fontId="13" fillId="0" borderId="87" xfId="12" applyFont="1" applyBorder="1" applyAlignment="1">
      <alignment horizontal="center"/>
    </xf>
    <xf numFmtId="0" fontId="14" fillId="11" borderId="87" xfId="0" applyFont="1" applyFill="1" applyBorder="1" applyAlignment="1">
      <alignment horizontal="center" vertical="center"/>
    </xf>
    <xf numFmtId="0" fontId="14" fillId="11" borderId="62" xfId="0" applyFont="1" applyFill="1" applyBorder="1" applyAlignment="1">
      <alignment horizontal="center" vertical="center"/>
    </xf>
    <xf numFmtId="0" fontId="14" fillId="11" borderId="74" xfId="0" applyFont="1" applyFill="1" applyBorder="1" applyAlignment="1">
      <alignment horizontal="center" vertical="center"/>
    </xf>
    <xf numFmtId="0" fontId="14" fillId="11" borderId="18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3" fillId="0" borderId="1" xfId="12" applyFont="1" applyBorder="1" applyAlignment="1">
      <alignment horizontal="center"/>
    </xf>
    <xf numFmtId="0" fontId="13" fillId="0" borderId="18" xfId="12" applyFont="1" applyBorder="1" applyAlignment="1">
      <alignment horizontal="center"/>
    </xf>
    <xf numFmtId="0" fontId="13" fillId="0" borderId="5" xfId="12" applyFont="1" applyBorder="1" applyAlignment="1">
      <alignment horizontal="center"/>
    </xf>
    <xf numFmtId="0" fontId="21" fillId="11" borderId="0" xfId="11" quotePrefix="1" applyFont="1" applyFill="1" applyAlignment="1">
      <alignment horizontal="center" vertical="center"/>
    </xf>
    <xf numFmtId="0" fontId="14" fillId="12" borderId="58" xfId="0" applyFont="1" applyFill="1" applyBorder="1" applyAlignment="1">
      <alignment horizontal="center" vertical="center"/>
    </xf>
    <xf numFmtId="0" fontId="14" fillId="12" borderId="60" xfId="0" applyFont="1" applyFill="1" applyBorder="1" applyAlignment="1">
      <alignment horizontal="center" vertical="center"/>
    </xf>
    <xf numFmtId="0" fontId="13" fillId="2" borderId="18" xfId="12" applyFont="1" applyFill="1" applyBorder="1" applyAlignment="1">
      <alignment horizontal="center"/>
    </xf>
    <xf numFmtId="0" fontId="13" fillId="2" borderId="1" xfId="12" applyFont="1" applyFill="1" applyBorder="1" applyAlignment="1">
      <alignment horizontal="center"/>
    </xf>
    <xf numFmtId="0" fontId="13" fillId="2" borderId="5" xfId="12" applyFont="1" applyFill="1" applyBorder="1" applyAlignment="1">
      <alignment horizontal="center"/>
    </xf>
    <xf numFmtId="0" fontId="13" fillId="16" borderId="18" xfId="12" applyFont="1" applyFill="1" applyBorder="1" applyAlignment="1">
      <alignment horizontal="center"/>
    </xf>
    <xf numFmtId="0" fontId="13" fillId="16" borderId="5" xfId="12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10" fillId="27" borderId="18" xfId="12" applyFont="1" applyFill="1" applyBorder="1" applyAlignment="1">
      <alignment horizontal="center" vertical="center"/>
    </xf>
    <xf numFmtId="0" fontId="10" fillId="27" borderId="5" xfId="12" applyFont="1" applyFill="1" applyBorder="1" applyAlignment="1">
      <alignment horizontal="center" vertical="center"/>
    </xf>
    <xf numFmtId="0" fontId="11" fillId="28" borderId="58" xfId="12" applyFont="1" applyFill="1" applyBorder="1" applyAlignment="1">
      <alignment horizontal="center" vertical="center"/>
    </xf>
    <xf numFmtId="0" fontId="11" fillId="28" borderId="60" xfId="12" applyFont="1" applyFill="1" applyBorder="1" applyAlignment="1">
      <alignment horizontal="center" vertical="center"/>
    </xf>
    <xf numFmtId="0" fontId="11" fillId="28" borderId="56" xfId="12" applyFont="1" applyFill="1" applyBorder="1" applyAlignment="1">
      <alignment horizontal="center" vertical="center"/>
    </xf>
    <xf numFmtId="0" fontId="11" fillId="28" borderId="45" xfId="12" applyFont="1" applyFill="1" applyBorder="1" applyAlignment="1">
      <alignment horizontal="center" vertical="center"/>
    </xf>
    <xf numFmtId="0" fontId="19" fillId="28" borderId="10" xfId="0" applyFont="1" applyFill="1" applyBorder="1" applyAlignment="1">
      <alignment horizontal="center" vertical="center"/>
    </xf>
    <xf numFmtId="0" fontId="19" fillId="28" borderId="9" xfId="0" applyFont="1" applyFill="1" applyBorder="1" applyAlignment="1">
      <alignment horizontal="center" vertical="center"/>
    </xf>
    <xf numFmtId="0" fontId="19" fillId="28" borderId="57" xfId="0" applyFont="1" applyFill="1" applyBorder="1" applyAlignment="1">
      <alignment horizontal="center" vertical="center"/>
    </xf>
    <xf numFmtId="0" fontId="19" fillId="28" borderId="16" xfId="0" applyFont="1" applyFill="1" applyBorder="1" applyAlignment="1">
      <alignment horizontal="center" vertical="center"/>
    </xf>
    <xf numFmtId="0" fontId="10" fillId="27" borderId="8" xfId="12" applyFont="1" applyFill="1" applyBorder="1" applyAlignment="1">
      <alignment horizontal="center" vertical="center"/>
    </xf>
    <xf numFmtId="0" fontId="43" fillId="10" borderId="108" xfId="18" applyFont="1" applyFill="1" applyBorder="1" applyAlignment="1">
      <alignment horizontal="center" vertical="center" readingOrder="1"/>
    </xf>
    <xf numFmtId="9" fontId="72" fillId="26" borderId="110" xfId="7" applyFont="1" applyFill="1" applyBorder="1" applyAlignment="1">
      <alignment horizontal="center" vertical="center"/>
    </xf>
    <xf numFmtId="9" fontId="72" fillId="26" borderId="121" xfId="7" applyFont="1" applyFill="1" applyBorder="1" applyAlignment="1">
      <alignment horizontal="center" vertical="center"/>
    </xf>
    <xf numFmtId="0" fontId="72" fillId="25" borderId="122" xfId="21" applyNumberFormat="1" applyFont="1" applyFill="1" applyBorder="1" applyAlignment="1">
      <alignment horizontal="center" vertical="center"/>
    </xf>
    <xf numFmtId="0" fontId="72" fillId="25" borderId="121" xfId="21" applyNumberFormat="1" applyFont="1" applyFill="1" applyBorder="1" applyAlignment="1">
      <alignment horizontal="center" vertical="center"/>
    </xf>
    <xf numFmtId="9" fontId="72" fillId="26" borderId="112" xfId="7" applyFont="1" applyFill="1" applyBorder="1" applyAlignment="1">
      <alignment horizontal="center" vertical="center"/>
    </xf>
    <xf numFmtId="9" fontId="72" fillId="26" borderId="126" xfId="7" applyFont="1" applyFill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</cellXfs>
  <cellStyles count="22">
    <cellStyle name="40% - Énfasis6 2" xfId="11" xr:uid="{00000000-0005-0000-0000-000000000000}"/>
    <cellStyle name="Énfasis1 2" xfId="9" xr:uid="{00000000-0005-0000-0000-000001000000}"/>
    <cellStyle name="Hipervínculo" xfId="17" builtinId="8"/>
    <cellStyle name="Millares" xfId="16" builtinId="3"/>
    <cellStyle name="Moneda 2" xfId="8" xr:uid="{00000000-0005-0000-0000-000002000000}"/>
    <cellStyle name="Moneda 2 2" xfId="15" xr:uid="{00000000-0005-0000-0000-000003000000}"/>
    <cellStyle name="Normal" xfId="0" builtinId="0"/>
    <cellStyle name="Normal 12" xfId="19" xr:uid="{BEDBD4E1-91FC-4F00-A7AE-BB0A8577A225}"/>
    <cellStyle name="Normal 2" xfId="1" xr:uid="{00000000-0005-0000-0000-000005000000}"/>
    <cellStyle name="Normal 2 2" xfId="5" xr:uid="{00000000-0005-0000-0000-000006000000}"/>
    <cellStyle name="Normal 2 3" xfId="3" xr:uid="{00000000-0005-0000-0000-000007000000}"/>
    <cellStyle name="Normal 22 2" xfId="18" xr:uid="{166D8614-80B7-4FAA-BCD8-883C041BDEF6}"/>
    <cellStyle name="Normal 3" xfId="4" xr:uid="{00000000-0005-0000-0000-000008000000}"/>
    <cellStyle name="Normal 4" xfId="2" xr:uid="{00000000-0005-0000-0000-000009000000}"/>
    <cellStyle name="Normal 4 2" xfId="14" xr:uid="{00000000-0005-0000-0000-00000A000000}"/>
    <cellStyle name="Normal 5" xfId="6" xr:uid="{00000000-0005-0000-0000-00000B000000}"/>
    <cellStyle name="Normal 6" xfId="10" xr:uid="{00000000-0005-0000-0000-00000C000000}"/>
    <cellStyle name="Normal 6 2" xfId="12" xr:uid="{00000000-0005-0000-0000-00000D000000}"/>
    <cellStyle name="Percent 2 2" xfId="20" xr:uid="{CD48587A-6C6D-4972-AAAF-EB511B4C20AA}"/>
    <cellStyle name="Porcentaje" xfId="7" builtinId="5"/>
    <cellStyle name="Porcentaje 2" xfId="13" xr:uid="{00000000-0005-0000-0000-00000F000000}"/>
    <cellStyle name="Porcentaje 3" xfId="21" xr:uid="{BD88298D-3080-4AED-8BAD-CA9D914186AB}"/>
  </cellStyles>
  <dxfs count="358"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ont>
        <color theme="0"/>
      </font>
      <fill>
        <patternFill patternType="solid"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6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b/>
        <i val="0"/>
        <color rgb="FFFF0000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patternFill patternType="none"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patternFill patternType="solid">
          <fgColor auto="1"/>
          <bgColor rgb="FFF3FD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patternFill patternType="none"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patternFill patternType="solid">
          <fgColor auto="1"/>
          <bgColor rgb="FFF3FD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B050"/>
      </font>
      <fill>
        <patternFill>
          <bgColor rgb="FFD8E4BC"/>
        </patternFill>
      </fill>
    </dxf>
    <dxf>
      <font>
        <b/>
        <i val="0"/>
        <color theme="1"/>
      </font>
      <fill>
        <patternFill>
          <bgColor rgb="FFF8F8C0"/>
        </patternFill>
      </fill>
    </dxf>
    <dxf>
      <font>
        <b/>
        <i val="0"/>
        <color rgb="FFFF0000"/>
      </font>
      <fill>
        <patternFill>
          <bgColor rgb="FFFFDDDD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patternFill patternType="none"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ont>
        <b/>
        <i val="0"/>
        <color auto="1"/>
      </font>
      <fill>
        <patternFill patternType="none">
          <bgColor auto="1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ont>
        <b/>
        <i val="0"/>
        <color auto="1"/>
      </font>
      <fill>
        <patternFill patternType="none">
          <bgColor auto="1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49998474074526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auto="1"/>
      </font>
      <fill>
        <patternFill patternType="none">
          <bgColor auto="1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ont>
        <b/>
        <i val="0"/>
        <color rgb="FFFF0000"/>
      </font>
    </dxf>
    <dxf>
      <fill>
        <patternFill>
          <bgColor theme="6" tint="-0.499984740745262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theme="1"/>
      </font>
      <fill>
        <patternFill>
          <bgColor rgb="FFF8F8C0"/>
        </patternFill>
      </fill>
    </dxf>
    <dxf>
      <font>
        <b/>
        <i val="0"/>
        <color rgb="FFFF0000"/>
      </font>
      <fill>
        <patternFill>
          <bgColor rgb="FFFFDDDD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rgb="FFFF8989"/>
        </patternFill>
      </fill>
    </dxf>
    <dxf>
      <fill>
        <patternFill>
          <bgColor rgb="FFF38D71"/>
        </patternFill>
      </fill>
    </dxf>
    <dxf>
      <fill>
        <patternFill>
          <bgColor rgb="FFFFFF99"/>
        </patternFill>
      </fill>
    </dxf>
    <dxf>
      <fill>
        <patternFill>
          <bgColor rgb="FFB8E08C"/>
        </patternFill>
      </fill>
    </dxf>
    <dxf>
      <fill>
        <patternFill>
          <bgColor rgb="FF87CB3D"/>
        </patternFill>
      </fill>
    </dxf>
    <dxf>
      <fill>
        <patternFill>
          <bgColor rgb="FFFFFF99"/>
        </patternFill>
      </fill>
    </dxf>
    <dxf>
      <fill>
        <patternFill>
          <bgColor rgb="FFB8E08C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B8E08C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rgb="FFB8E08C"/>
        </patternFill>
      </fill>
    </dxf>
    <dxf>
      <fill>
        <patternFill>
          <bgColor rgb="FFF38D7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B8E08C"/>
        </patternFill>
      </fill>
    </dxf>
    <dxf>
      <fill>
        <patternFill>
          <bgColor rgb="FF87CB3D"/>
        </patternFill>
      </fill>
    </dxf>
    <dxf>
      <fill>
        <patternFill>
          <bgColor rgb="FFB8E08C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87CB3D"/>
        </patternFill>
      </fill>
    </dxf>
    <dxf>
      <fill>
        <patternFill>
          <bgColor rgb="FFFF8989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ill>
        <gradientFill degree="90">
          <stop position="0">
            <color theme="0"/>
          </stop>
          <stop position="1">
            <color rgb="FFFFFF99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ont>
        <color theme="0"/>
      </font>
      <fill>
        <patternFill patternType="solid"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rgb="FFCCFFCC"/>
          </stop>
        </gradientFill>
      </fill>
    </dxf>
    <dxf>
      <fill>
        <gradientFill degree="90">
          <stop position="0">
            <color theme="0"/>
          </stop>
          <stop position="1">
            <color rgb="FFF4FC88"/>
          </stop>
        </gradientFill>
      </fill>
    </dxf>
    <dxf>
      <fill>
        <gradientFill degree="90">
          <stop position="0">
            <color theme="0"/>
          </stop>
          <stop position="1">
            <color rgb="FFF98F8F"/>
          </stop>
        </gradient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</dxfs>
  <tableStyles count="0" defaultTableStyle="TableStyleMedium9" defaultPivotStyle="PivotStyleLight16"/>
  <colors>
    <mruColors>
      <color rgb="FFFFFF99"/>
      <color rgb="FFB8E08C"/>
      <color rgb="FF87CB3D"/>
      <color rgb="FFF38D71"/>
      <color rgb="FFFF8181"/>
      <color rgb="FFFF8989"/>
      <color rgb="FF00FF00"/>
      <color rgb="FFCCFFCC"/>
      <color rgb="FF92D050"/>
      <color rgb="FFDE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MW Group Condensed" panose="020B0606020202020204" pitchFamily="34" charset="0"/>
                <a:ea typeface="+mn-ea"/>
                <a:cs typeface="+mn-cs"/>
              </a:defRPr>
            </a:pPr>
            <a:r>
              <a:rPr lang="es-ES"/>
              <a:t>Ventas Realizadas vs Objetivo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MW Group Condensed" panose="020B0606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526003270723754"/>
          <c:y val="0.16178205608599552"/>
          <c:w val="0.80480051163620081"/>
          <c:h val="0.70457908534936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'Dealer Dashboard'!$F$12</c:f>
              <c:strCache>
                <c:ptCount val="1"/>
                <c:pt idx="0">
                  <c:v>Objetivo Ventas Retail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('Dealer Dashboard'!$G$11,'Dealer Dashboard'!$I$11)</c:f>
              <c:strCache>
                <c:ptCount val="2"/>
                <c:pt idx="0">
                  <c:v>BMW</c:v>
                </c:pt>
                <c:pt idx="1">
                  <c:v>MINI</c:v>
                </c:pt>
              </c:strCache>
            </c:strRef>
          </c:cat>
          <c:val>
            <c:numRef>
              <c:f>('Dealer Dashboard'!$G$12,'Dealer Dashboard'!$I$12)</c:f>
              <c:numCache>
                <c:formatCode>General</c:formatCode>
                <c:ptCount val="2"/>
                <c:pt idx="0">
                  <c:v>250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8-44B4-ABCB-E51565F2DE96}"/>
            </c:ext>
          </c:extLst>
        </c:ser>
        <c:ser>
          <c:idx val="2"/>
          <c:order val="2"/>
          <c:tx>
            <c:strRef>
              <c:f>'Dealer Dashboard'!$F$13</c:f>
              <c:strCache>
                <c:ptCount val="1"/>
                <c:pt idx="0">
                  <c:v>Realizado Ventas Retail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C98-44B4-ABCB-E51565F2DE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C98-44B4-ABCB-E51565F2DE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('Dealer Dashboard'!$G$11,'Dealer Dashboard'!$I$11)</c:f>
              <c:strCache>
                <c:ptCount val="2"/>
                <c:pt idx="0">
                  <c:v>BMW</c:v>
                </c:pt>
                <c:pt idx="1">
                  <c:v>MINI</c:v>
                </c:pt>
              </c:strCache>
            </c:strRef>
          </c:cat>
          <c:val>
            <c:numRef>
              <c:f>('Dealer Dashboard'!$G$13,'Dealer Dashboard'!$I$13)</c:f>
              <c:numCache>
                <c:formatCode>General</c:formatCode>
                <c:ptCount val="2"/>
                <c:pt idx="0">
                  <c:v>312</c:v>
                </c:pt>
                <c:pt idx="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98-44B4-ABCB-E51565F2D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8"/>
        <c:overlap val="-44"/>
        <c:axId val="2086020208"/>
        <c:axId val="20860209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'Dealer Dashboard'!$H$11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BMW Group Condensed" panose="020B0606020202020204" pitchFamily="34" charset="0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('Dealer Dashboard'!$G$11,'Dealer Dashboard'!$I$11)</c15:sqref>
                        </c15:formulaRef>
                      </c:ext>
                    </c:extLst>
                    <c:strCache>
                      <c:ptCount val="2"/>
                      <c:pt idx="0">
                        <c:v>BMW</c:v>
                      </c:pt>
                      <c:pt idx="1">
                        <c:v>MINI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'Dealer Dashboard'!$H$12:$H$13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FC98-44B4-ABCB-E51565F2DE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'Dealer Dashboard'!$F$50</c:f>
              <c:strCache>
                <c:ptCount val="1"/>
                <c:pt idx="0">
                  <c:v>Variacion % Objetivo vs Realizado BMW</c:v>
                </c:pt>
              </c:strCache>
            </c:strRef>
          </c:tx>
          <c:spPr>
            <a:ln w="28575" cap="rnd">
              <a:solidFill>
                <a:srgbClr val="DCE9E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98-44B4-ABCB-E51565F2DE96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BMW</c:v>
              </c:pt>
              <c:pt idx="2">
                <c:v>MINI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'Dealer Dashboard'!$G$49</c:f>
              <c:numCache>
                <c:formatCode>0%</c:formatCode>
                <c:ptCount val="1"/>
                <c:pt idx="0">
                  <c:v>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98-44B4-ABCB-E51565F2DE96}"/>
            </c:ext>
          </c:extLst>
        </c:ser>
        <c:ser>
          <c:idx val="4"/>
          <c:order val="4"/>
          <c:tx>
            <c:strRef>
              <c:f>'Dealer Dashboard'!$F$51</c:f>
              <c:strCache>
                <c:ptCount val="1"/>
                <c:pt idx="0">
                  <c:v>Variacion % Objetivo vs Realizado MINI</c:v>
                </c:pt>
              </c:strCache>
            </c:strRef>
          </c:tx>
          <c:spPr>
            <a:ln w="28575" cap="rnd">
              <a:solidFill>
                <a:srgbClr val="FDE4C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98-44B4-ABCB-E51565F2DE96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BMW</c:v>
              </c:pt>
              <c:pt idx="2">
                <c:v>MINI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'Dealer Dashboard'!$G$50</c:f>
              <c:numCache>
                <c:formatCode>0%</c:formatCode>
                <c:ptCount val="1"/>
                <c:pt idx="0">
                  <c:v>0.42666666666666669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98-44B4-ABCB-E51565F2DE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6020208"/>
        <c:axId val="2086020928"/>
      </c:lineChart>
      <c:catAx>
        <c:axId val="20860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MW Group Condensed" panose="020B0606020202020204" pitchFamily="34" charset="0"/>
                <a:ea typeface="+mn-ea"/>
                <a:cs typeface="+mn-cs"/>
              </a:defRPr>
            </a:pPr>
            <a:endParaRPr lang="es-ES"/>
          </a:p>
        </c:txPr>
        <c:crossAx val="2086020928"/>
        <c:crosses val="autoZero"/>
        <c:auto val="1"/>
        <c:lblAlgn val="ctr"/>
        <c:lblOffset val="100"/>
        <c:noMultiLvlLbl val="0"/>
      </c:catAx>
      <c:valAx>
        <c:axId val="2086020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60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MW Group Condensed" panose="020B0606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BMW Group Condensed" panose="020B0606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MW Group Condensed" panose="020B0606020202020204" pitchFamily="34" charset="0"/>
                <a:ea typeface="+mn-ea"/>
                <a:cs typeface="+mn-cs"/>
              </a:defRPr>
            </a:pPr>
            <a:r>
              <a:rPr lang="es-ES"/>
              <a:t>Ventas Realizadas vs Objetivo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MW Group Condensed" panose="020B0606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526003270723754"/>
          <c:y val="0.16178205608599552"/>
          <c:w val="0.80480051163620081"/>
          <c:h val="0.70457908534936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'Dealer Dashboard (2)'!$F$13</c:f>
              <c:strCache>
                <c:ptCount val="1"/>
                <c:pt idx="0">
                  <c:v>Objetivo Ventas Retail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('Dealer Dashboard (2)'!$G$12,'Dealer Dashboard (2)'!$I$12)</c:f>
              <c:strCache>
                <c:ptCount val="2"/>
                <c:pt idx="0">
                  <c:v>BMW</c:v>
                </c:pt>
                <c:pt idx="1">
                  <c:v>MINI</c:v>
                </c:pt>
              </c:strCache>
            </c:strRef>
          </c:cat>
          <c:val>
            <c:numRef>
              <c:f>('Dealer Dashboard (2)'!$G$13,'Dealer Dashboard (2)'!$I$13)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5-416E-92F7-EFECA7B615EF}"/>
            </c:ext>
          </c:extLst>
        </c:ser>
        <c:ser>
          <c:idx val="2"/>
          <c:order val="2"/>
          <c:tx>
            <c:strRef>
              <c:f>'Dealer Dashboard (2)'!$F$14</c:f>
              <c:strCache>
                <c:ptCount val="1"/>
                <c:pt idx="0">
                  <c:v>Realizado Ventas Retail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55-416E-92F7-EFECA7B615E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B55-416E-92F7-EFECA7B615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('Dealer Dashboard (2)'!$G$12,'Dealer Dashboard (2)'!$I$12)</c:f>
              <c:strCache>
                <c:ptCount val="2"/>
                <c:pt idx="0">
                  <c:v>BMW</c:v>
                </c:pt>
                <c:pt idx="1">
                  <c:v>MINI</c:v>
                </c:pt>
              </c:strCache>
            </c:strRef>
          </c:cat>
          <c:val>
            <c:numRef>
              <c:f>('Dealer Dashboard (2)'!$G$14,'Dealer Dashboard (2)'!$I$14)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55-416E-92F7-EFECA7B61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8"/>
        <c:overlap val="-44"/>
        <c:axId val="2086020208"/>
        <c:axId val="20860209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'Dealer Dashboard (2)'!$H$12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BMW Group Condensed" panose="020B0606020202020204" pitchFamily="34" charset="0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('Dealer Dashboard (2)'!$G$12,'Dealer Dashboard (2)'!$I$12)</c15:sqref>
                        </c15:formulaRef>
                      </c:ext>
                    </c:extLst>
                    <c:strCache>
                      <c:ptCount val="2"/>
                      <c:pt idx="0">
                        <c:v>BMW</c:v>
                      </c:pt>
                      <c:pt idx="1">
                        <c:v>MINI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'Dealer Dashboard (2)'!$H$13:$H$14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FB55-416E-92F7-EFECA7B615E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'Dealer Dashboard (2)'!$F$48</c:f>
              <c:strCache>
                <c:ptCount val="1"/>
                <c:pt idx="0">
                  <c:v>Variacion % Objetivo vs Realizado BMW</c:v>
                </c:pt>
              </c:strCache>
            </c:strRef>
          </c:tx>
          <c:spPr>
            <a:ln w="28575" cap="rnd">
              <a:solidFill>
                <a:srgbClr val="DCE9EC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55-416E-92F7-EFECA7B615EF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BMW</c:v>
              </c:pt>
              <c:pt idx="2">
                <c:v>MINI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'Dealer Dashboard (2)'!$G$48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55-416E-92F7-EFECA7B615EF}"/>
            </c:ext>
          </c:extLst>
        </c:ser>
        <c:ser>
          <c:idx val="4"/>
          <c:order val="4"/>
          <c:tx>
            <c:strRef>
              <c:f>'Dealer Dashboard (2)'!$F$49</c:f>
              <c:strCache>
                <c:ptCount val="1"/>
                <c:pt idx="0">
                  <c:v>Variacion % Objetivo vs Realizado MINI</c:v>
                </c:pt>
              </c:strCache>
            </c:strRef>
          </c:tx>
          <c:spPr>
            <a:ln w="28575" cap="rnd">
              <a:solidFill>
                <a:srgbClr val="FDE4C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55-416E-92F7-EFECA7B615EF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MW Group Condensed" panose="020B0606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BMW</c:v>
              </c:pt>
              <c:pt idx="2">
                <c:v>MINI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'Dealer Dashboard (2)'!$G$49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55-416E-92F7-EFECA7B615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6020208"/>
        <c:axId val="2086020928"/>
      </c:lineChart>
      <c:catAx>
        <c:axId val="20860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MW Group Condensed" panose="020B0606020202020204" pitchFamily="34" charset="0"/>
                <a:ea typeface="+mn-ea"/>
                <a:cs typeface="+mn-cs"/>
              </a:defRPr>
            </a:pPr>
            <a:endParaRPr lang="es-ES"/>
          </a:p>
        </c:txPr>
        <c:crossAx val="2086020928"/>
        <c:crosses val="autoZero"/>
        <c:auto val="1"/>
        <c:lblAlgn val="ctr"/>
        <c:lblOffset val="100"/>
        <c:noMultiLvlLbl val="0"/>
      </c:catAx>
      <c:valAx>
        <c:axId val="2086020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60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MW Group Condensed" panose="020B0606020202020204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BMW Group Condensed" panose="020B0606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O4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3.sv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183776</xdr:colOff>
      <xdr:row>1</xdr:row>
      <xdr:rowOff>0</xdr:rowOff>
    </xdr:from>
    <xdr:to>
      <xdr:col>7</xdr:col>
      <xdr:colOff>934010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D4A3A7-34AF-471A-9617-DCC1A1EC2730}"/>
            </a:ext>
          </a:extLst>
        </xdr:cNvPr>
        <xdr:cNvSpPr txBox="1"/>
      </xdr:nvSpPr>
      <xdr:spPr>
        <a:xfrm>
          <a:off x="1533151" y="219075"/>
          <a:ext cx="5382559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n-US" sz="2000" b="0" cap="none" spc="0">
              <a:ln w="12700">
                <a:solidFill>
                  <a:sysClr val="windowText" lastClr="000000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MWTypeLight" pitchFamily="34" charset="0"/>
            </a:rPr>
            <a:t>Performance</a:t>
          </a:r>
        </a:p>
      </xdr:txBody>
    </xdr:sp>
    <xdr:clientData/>
  </xdr:twoCellAnchor>
  <xdr:twoCellAnchor editAs="oneCell">
    <xdr:from>
      <xdr:col>11</xdr:col>
      <xdr:colOff>146338</xdr:colOff>
      <xdr:row>1</xdr:row>
      <xdr:rowOff>206952</xdr:rowOff>
    </xdr:from>
    <xdr:to>
      <xdr:col>11</xdr:col>
      <xdr:colOff>569768</xdr:colOff>
      <xdr:row>2</xdr:row>
      <xdr:rowOff>392834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5510B3B9-6D62-4252-9BBD-84B5BAED1307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r="62099" b="-2162"/>
        <a:stretch/>
      </xdr:blipFill>
      <xdr:spPr>
        <a:xfrm>
          <a:off x="10458738" y="426027"/>
          <a:ext cx="426605" cy="40178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2</xdr:row>
      <xdr:rowOff>28575</xdr:rowOff>
    </xdr:from>
    <xdr:to>
      <xdr:col>13</xdr:col>
      <xdr:colOff>104567</xdr:colOff>
      <xdr:row>2</xdr:row>
      <xdr:rowOff>335800</xdr:rowOff>
    </xdr:to>
    <xdr:pic>
      <xdr:nvPicPr>
        <xdr:cNvPr id="4" name="MINI">
          <a:extLst>
            <a:ext uri="{FF2B5EF4-FFF2-40B4-BE49-F238E27FC236}">
              <a16:creationId xmlns:a16="http://schemas.microsoft.com/office/drawing/2014/main" id="{263E46EA-2E96-47CE-B0A3-DEA5B829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131550" y="463550"/>
          <a:ext cx="691488" cy="307225"/>
        </a:xfrm>
        <a:prstGeom prst="rect">
          <a:avLst/>
        </a:prstGeom>
      </xdr:spPr>
    </xdr:pic>
    <xdr:clientData/>
  </xdr:twoCellAnchor>
  <xdr:twoCellAnchor>
    <xdr:from>
      <xdr:col>10</xdr:col>
      <xdr:colOff>816428</xdr:colOff>
      <xdr:row>9</xdr:row>
      <xdr:rowOff>2535</xdr:rowOff>
    </xdr:from>
    <xdr:to>
      <xdr:col>18</xdr:col>
      <xdr:colOff>198214</xdr:colOff>
      <xdr:row>31</xdr:row>
      <xdr:rowOff>142422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859999F9-254F-4EC3-86D8-8781FFBEBB31}"/>
            </a:ext>
          </a:extLst>
        </xdr:cNvPr>
        <xdr:cNvGrpSpPr/>
      </xdr:nvGrpSpPr>
      <xdr:grpSpPr>
        <a:xfrm>
          <a:off x="12831535" y="2057214"/>
          <a:ext cx="6501497" cy="6021347"/>
          <a:chOff x="8802977" y="1815954"/>
          <a:chExt cx="5868122" cy="4577341"/>
        </a:xfrm>
      </xdr:grpSpPr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EE44579B-0D0C-144E-E04C-51C2566FCDC4}"/>
              </a:ext>
            </a:extLst>
          </xdr:cNvPr>
          <xdr:cNvGrpSpPr/>
        </xdr:nvGrpSpPr>
        <xdr:grpSpPr>
          <a:xfrm>
            <a:off x="8802977" y="1815954"/>
            <a:ext cx="5868122" cy="4577341"/>
            <a:chOff x="5637278" y="5584515"/>
            <a:chExt cx="5703620" cy="4944797"/>
          </a:xfrm>
        </xdr:grpSpPr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E03D23BD-54E4-FF46-EA89-375D252CA5F3}"/>
                </a:ext>
              </a:extLst>
            </xdr:cNvPr>
            <xdr:cNvGraphicFramePr/>
          </xdr:nvGraphicFramePr>
          <xdr:xfrm>
            <a:off x="5637278" y="5584515"/>
            <a:ext cx="5703620" cy="494479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pic>
          <xdr:nvPicPr>
            <xdr:cNvPr id="11" name="image2.jpeg">
              <a:extLst>
                <a:ext uri="{FF2B5EF4-FFF2-40B4-BE49-F238E27FC236}">
                  <a16:creationId xmlns:a16="http://schemas.microsoft.com/office/drawing/2014/main" id="{905E4848-53BE-7354-10BA-C2D76F8E205E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/>
            <a:srcRect r="62099" b="-2162"/>
            <a:stretch/>
          </xdr:blipFill>
          <xdr:spPr>
            <a:xfrm>
              <a:off x="6105813" y="5864802"/>
              <a:ext cx="429780" cy="404957"/>
            </a:xfrm>
            <a:prstGeom prst="rect">
              <a:avLst/>
            </a:prstGeom>
          </xdr:spPr>
        </xdr:pic>
        <xdr:pic>
          <xdr:nvPicPr>
            <xdr:cNvPr id="12" name="MINI">
              <a:extLst>
                <a:ext uri="{FF2B5EF4-FFF2-40B4-BE49-F238E27FC236}">
                  <a16:creationId xmlns:a16="http://schemas.microsoft.com/office/drawing/2014/main" id="{F935E7EC-48BB-9914-D10B-B1160C52A1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10483850" y="5873750"/>
              <a:ext cx="688313" cy="307225"/>
            </a:xfrm>
            <a:prstGeom prst="rect">
              <a:avLst/>
            </a:prstGeom>
          </xdr:spPr>
        </xdr:pic>
      </xdr:grp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25A9D945-758D-AB43-91E6-1EE581ABF771}"/>
              </a:ext>
            </a:extLst>
          </xdr:cNvPr>
          <xdr:cNvGrpSpPr/>
        </xdr:nvGrpSpPr>
        <xdr:grpSpPr>
          <a:xfrm>
            <a:off x="11720412" y="6062917"/>
            <a:ext cx="301298" cy="56156"/>
            <a:chOff x="6653824" y="5710060"/>
            <a:chExt cx="348470" cy="48228"/>
          </a:xfrm>
        </xdr:grpSpPr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16FA96EB-5161-F89C-49D6-14EEAF0F49C8}"/>
                </a:ext>
              </a:extLst>
            </xdr:cNvPr>
            <xdr:cNvSpPr/>
          </xdr:nvSpPr>
          <xdr:spPr>
            <a:xfrm>
              <a:off x="6653824" y="5710741"/>
              <a:ext cx="171449" cy="47547"/>
            </a:xfrm>
            <a:prstGeom prst="rect">
              <a:avLst/>
            </a:prstGeom>
            <a:solidFill>
              <a:srgbClr val="00B0F0"/>
            </a:solidFill>
            <a:ln w="158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68DA2F6B-0A00-2D0B-77FB-3077018437FC}"/>
                </a:ext>
              </a:extLst>
            </xdr:cNvPr>
            <xdr:cNvSpPr/>
          </xdr:nvSpPr>
          <xdr:spPr>
            <a:xfrm>
              <a:off x="6829978" y="5710060"/>
              <a:ext cx="172316" cy="4798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58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</xdr:grpSp>
    <xdr:clientData/>
  </xdr:twoCellAnchor>
  <xdr:twoCellAnchor>
    <xdr:from>
      <xdr:col>1</xdr:col>
      <xdr:colOff>133349</xdr:colOff>
      <xdr:row>9</xdr:row>
      <xdr:rowOff>49891</xdr:rowOff>
    </xdr:from>
    <xdr:to>
      <xdr:col>4</xdr:col>
      <xdr:colOff>692135</xdr:colOff>
      <xdr:row>12</xdr:row>
      <xdr:rowOff>150130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585F0CD-6B76-4AEA-9074-F65DA3A50206}"/>
            </a:ext>
          </a:extLst>
        </xdr:cNvPr>
        <xdr:cNvGrpSpPr/>
      </xdr:nvGrpSpPr>
      <xdr:grpSpPr>
        <a:xfrm>
          <a:off x="745670" y="2101395"/>
          <a:ext cx="4861819" cy="770164"/>
          <a:chOff x="742949" y="3162300"/>
          <a:chExt cx="2559901" cy="723900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97F25A49-DA0E-37A6-4BA7-A6B4272F2F13}"/>
              </a:ext>
            </a:extLst>
          </xdr:cNvPr>
          <xdr:cNvSpPr txBox="1"/>
        </xdr:nvSpPr>
        <xdr:spPr>
          <a:xfrm>
            <a:off x="742949" y="3162300"/>
            <a:ext cx="2559901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400"/>
              <a:t>Porcentaje minimo</a:t>
            </a:r>
            <a:r>
              <a:rPr lang="es-ES" sz="1400" baseline="0"/>
              <a:t> de penetración BPS / MN</a:t>
            </a:r>
            <a:br>
              <a:rPr lang="es-ES" sz="1400" baseline="0"/>
            </a:br>
            <a:r>
              <a:rPr lang="es-ES" sz="1400" baseline="0"/>
              <a:t>&lt; 80%                 ≥ 80%</a:t>
            </a:r>
            <a:endParaRPr lang="es-ES" sz="1400"/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DA412ECB-E5CA-6421-5B08-0BB36CA5BCD1}"/>
              </a:ext>
            </a:extLst>
          </xdr:cNvPr>
          <xdr:cNvSpPr/>
        </xdr:nvSpPr>
        <xdr:spPr>
          <a:xfrm>
            <a:off x="1534058" y="3614052"/>
            <a:ext cx="355600" cy="69850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DC7BB449-15E6-C3A1-451B-2FF5AAC9B084}"/>
              </a:ext>
            </a:extLst>
          </xdr:cNvPr>
          <xdr:cNvSpPr/>
        </xdr:nvSpPr>
        <xdr:spPr>
          <a:xfrm>
            <a:off x="2155537" y="3623573"/>
            <a:ext cx="352425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95221</xdr:colOff>
      <xdr:row>24</xdr:row>
      <xdr:rowOff>378735</xdr:rowOff>
    </xdr:from>
    <xdr:to>
      <xdr:col>4</xdr:col>
      <xdr:colOff>721178</xdr:colOff>
      <xdr:row>32</xdr:row>
      <xdr:rowOff>311602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F3B33BDF-E3E4-4A6B-1FC9-E512834ABA67}"/>
            </a:ext>
          </a:extLst>
        </xdr:cNvPr>
        <xdr:cNvSpPr txBox="1"/>
      </xdr:nvSpPr>
      <xdr:spPr>
        <a:xfrm>
          <a:off x="707542" y="5984878"/>
          <a:ext cx="4925815" cy="2395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Multiplicador por Ventas BEV</a:t>
          </a:r>
          <a:endParaRPr lang="es-ES" sz="1400"/>
        </a:p>
      </xdr:txBody>
    </xdr:sp>
    <xdr:clientData/>
  </xdr:twoCellAnchor>
  <xdr:twoCellAnchor>
    <xdr:from>
      <xdr:col>1</xdr:col>
      <xdr:colOff>85724</xdr:colOff>
      <xdr:row>33</xdr:row>
      <xdr:rowOff>68043</xdr:rowOff>
    </xdr:from>
    <xdr:to>
      <xdr:col>4</xdr:col>
      <xdr:colOff>729172</xdr:colOff>
      <xdr:row>37</xdr:row>
      <xdr:rowOff>11346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753ACACB-8779-4562-856B-F90C863BE1AE}"/>
            </a:ext>
          </a:extLst>
        </xdr:cNvPr>
        <xdr:cNvGrpSpPr/>
      </xdr:nvGrpSpPr>
      <xdr:grpSpPr>
        <a:xfrm>
          <a:off x="701220" y="8542118"/>
          <a:ext cx="4943306" cy="977446"/>
          <a:chOff x="745551" y="2187225"/>
          <a:chExt cx="2189021" cy="726707"/>
        </a:xfrm>
      </xdr:grpSpPr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CD777AC9-74C1-59D1-AC38-8369014FCB71}"/>
              </a:ext>
            </a:extLst>
          </xdr:cNvPr>
          <xdr:cNvSpPr txBox="1"/>
        </xdr:nvSpPr>
        <xdr:spPr>
          <a:xfrm>
            <a:off x="745551" y="2187225"/>
            <a:ext cx="2189021" cy="72670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400" baseline="0"/>
              <a:t>Mystery Shopping</a:t>
            </a:r>
          </a:p>
          <a:p>
            <a:pPr algn="ctr"/>
            <a:r>
              <a:rPr lang="es-ES" sz="1400" baseline="0"/>
              <a:t>&lt; 90%               ≥ 90%</a:t>
            </a:r>
            <a:endParaRPr lang="es-ES" sz="1400"/>
          </a:p>
        </xdr:txBody>
      </xdr:sp>
      <xdr:sp macro="" textlink="">
        <xdr:nvSpPr>
          <xdr:cNvPr id="33" name="Rectángulo 32">
            <a:extLst>
              <a:ext uri="{FF2B5EF4-FFF2-40B4-BE49-F238E27FC236}">
                <a16:creationId xmlns:a16="http://schemas.microsoft.com/office/drawing/2014/main" id="{EE5AE27F-C9FA-A0CA-A2BD-2B571F11B17E}"/>
              </a:ext>
            </a:extLst>
          </xdr:cNvPr>
          <xdr:cNvSpPr/>
        </xdr:nvSpPr>
        <xdr:spPr>
          <a:xfrm flipH="1">
            <a:off x="1512336" y="2653021"/>
            <a:ext cx="217430" cy="95724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4" name="Rectángulo 33">
            <a:extLst>
              <a:ext uri="{FF2B5EF4-FFF2-40B4-BE49-F238E27FC236}">
                <a16:creationId xmlns:a16="http://schemas.microsoft.com/office/drawing/2014/main" id="{E6F1ADE9-0D67-2F52-0FED-AAD7A828FCE4}"/>
              </a:ext>
            </a:extLst>
          </xdr:cNvPr>
          <xdr:cNvSpPr/>
        </xdr:nvSpPr>
        <xdr:spPr>
          <a:xfrm>
            <a:off x="1947158" y="2662874"/>
            <a:ext cx="217022" cy="93042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114302</xdr:colOff>
      <xdr:row>13</xdr:row>
      <xdr:rowOff>55335</xdr:rowOff>
    </xdr:from>
    <xdr:to>
      <xdr:col>4</xdr:col>
      <xdr:colOff>705200</xdr:colOff>
      <xdr:row>24</xdr:row>
      <xdr:rowOff>197302</xdr:rowOff>
    </xdr:to>
    <xdr:sp macro="" textlink="">
      <xdr:nvSpPr>
        <xdr:cNvPr id="38" name="CuadroTexto 27">
          <a:extLst>
            <a:ext uri="{FF2B5EF4-FFF2-40B4-BE49-F238E27FC236}">
              <a16:creationId xmlns:a16="http://schemas.microsoft.com/office/drawing/2014/main" id="{4717BA57-D822-4E8F-8155-F00C2DF8218A}"/>
            </a:ext>
          </a:extLst>
        </xdr:cNvPr>
        <xdr:cNvSpPr txBox="1"/>
      </xdr:nvSpPr>
      <xdr:spPr>
        <a:xfrm>
          <a:off x="726623" y="3048906"/>
          <a:ext cx="4890756" cy="27545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400"/>
            <a:t>% Cumplimento Objetivo Ventas Retail / Origen</a:t>
          </a:r>
          <a:r>
            <a:rPr lang="es-ES" sz="1400" baseline="0"/>
            <a:t> Remarketing</a:t>
          </a:r>
          <a:endParaRPr lang="es-ES" sz="1400"/>
        </a:p>
        <a:p>
          <a:pPr algn="ctr"/>
          <a:endParaRPr lang="es-ES" sz="1100"/>
        </a:p>
        <a:p>
          <a:pPr lvl="0" algn="l"/>
          <a:br>
            <a:rPr lang="es-ES" sz="1100" baseline="0"/>
          </a:br>
          <a:endParaRPr lang="es-ES" sz="1100"/>
        </a:p>
      </xdr:txBody>
    </xdr:sp>
    <xdr:clientData/>
  </xdr:twoCellAnchor>
  <xdr:twoCellAnchor editAs="oneCell">
    <xdr:from>
      <xdr:col>1</xdr:col>
      <xdr:colOff>361950</xdr:colOff>
      <xdr:row>24</xdr:row>
      <xdr:rowOff>445406</xdr:rowOff>
    </xdr:from>
    <xdr:to>
      <xdr:col>4</xdr:col>
      <xdr:colOff>522936</xdr:colOff>
      <xdr:row>27</xdr:row>
      <xdr:rowOff>382514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1F99DA85-BDEA-ECA4-D143-902F8B5E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271" y="6051549"/>
          <a:ext cx="4470369" cy="968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342900</xdr:colOff>
      <xdr:row>28</xdr:row>
      <xdr:rowOff>316138</xdr:rowOff>
    </xdr:from>
    <xdr:to>
      <xdr:col>4</xdr:col>
      <xdr:colOff>521913</xdr:colOff>
      <xdr:row>31</xdr:row>
      <xdr:rowOff>75537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BEAB3E59-B792-E8B2-7D12-C48D462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221" y="7119709"/>
          <a:ext cx="4482046" cy="754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340180</xdr:colOff>
      <xdr:row>13</xdr:row>
      <xdr:rowOff>201838</xdr:rowOff>
    </xdr:from>
    <xdr:to>
      <xdr:col>4</xdr:col>
      <xdr:colOff>579341</xdr:colOff>
      <xdr:row>18</xdr:row>
      <xdr:rowOff>189137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83B53697-109F-6533-1F89-4E6DFA3B4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3195409"/>
          <a:ext cx="4535844" cy="1211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353786</xdr:colOff>
      <xdr:row>18</xdr:row>
      <xdr:rowOff>28119</xdr:rowOff>
    </xdr:from>
    <xdr:to>
      <xdr:col>4</xdr:col>
      <xdr:colOff>580436</xdr:colOff>
      <xdr:row>23</xdr:row>
      <xdr:rowOff>324386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4D0FF4FD-F9C7-249C-235A-A3C8D52A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107" y="4246333"/>
          <a:ext cx="4523333" cy="1452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228600</xdr:colOff>
          <xdr:row>2</xdr:row>
          <xdr:rowOff>349250</xdr:rowOff>
        </xdr:from>
        <xdr:to>
          <xdr:col>18</xdr:col>
          <xdr:colOff>25400</xdr:colOff>
          <xdr:row>4</xdr:row>
          <xdr:rowOff>152400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0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Penetracion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115320</xdr:colOff>
      <xdr:row>2</xdr:row>
      <xdr:rowOff>0</xdr:rowOff>
    </xdr:from>
    <xdr:to>
      <xdr:col>1</xdr:col>
      <xdr:colOff>558800</xdr:colOff>
      <xdr:row>3</xdr:row>
      <xdr:rowOff>135260</xdr:rowOff>
    </xdr:to>
    <xdr:pic>
      <xdr:nvPicPr>
        <xdr:cNvPr id="2" name="2 Imagen" descr="LOGO BMW.png">
          <a:extLst>
            <a:ext uri="{FF2B5EF4-FFF2-40B4-BE49-F238E27FC236}">
              <a16:creationId xmlns:a16="http://schemas.microsoft.com/office/drawing/2014/main" id="{0CE86902-BEB1-42BD-A544-547CACC23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7720" y="0"/>
          <a:ext cx="443480" cy="373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115320</xdr:colOff>
      <xdr:row>2</xdr:row>
      <xdr:rowOff>0</xdr:rowOff>
    </xdr:from>
    <xdr:to>
      <xdr:col>1</xdr:col>
      <xdr:colOff>561975</xdr:colOff>
      <xdr:row>3</xdr:row>
      <xdr:rowOff>135260</xdr:rowOff>
    </xdr:to>
    <xdr:pic>
      <xdr:nvPicPr>
        <xdr:cNvPr id="2" name="2 Imagen" descr="LOGO BMW.png">
          <a:extLst>
            <a:ext uri="{FF2B5EF4-FFF2-40B4-BE49-F238E27FC236}">
              <a16:creationId xmlns:a16="http://schemas.microsoft.com/office/drawing/2014/main" id="{C9FEE4A7-055B-403D-A263-69FAAB9FF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7720" y="0"/>
          <a:ext cx="446655" cy="373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115320</xdr:colOff>
      <xdr:row>2</xdr:row>
      <xdr:rowOff>0</xdr:rowOff>
    </xdr:from>
    <xdr:to>
      <xdr:col>1</xdr:col>
      <xdr:colOff>561975</xdr:colOff>
      <xdr:row>4</xdr:row>
      <xdr:rowOff>1910</xdr:rowOff>
    </xdr:to>
    <xdr:pic>
      <xdr:nvPicPr>
        <xdr:cNvPr id="2" name="2 Imagen" descr="LOGO BMW.png">
          <a:extLst>
            <a:ext uri="{FF2B5EF4-FFF2-40B4-BE49-F238E27FC236}">
              <a16:creationId xmlns:a16="http://schemas.microsoft.com/office/drawing/2014/main" id="{F0ACDE1B-573E-4EB9-AAAA-D53DE5AB6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520" y="0"/>
          <a:ext cx="443480" cy="3702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2</xdr:row>
      <xdr:rowOff>0</xdr:rowOff>
    </xdr:from>
    <xdr:to>
      <xdr:col>1</xdr:col>
      <xdr:colOff>428944</xdr:colOff>
      <xdr:row>3</xdr:row>
      <xdr:rowOff>135709</xdr:rowOff>
    </xdr:to>
    <xdr:pic>
      <xdr:nvPicPr>
        <xdr:cNvPr id="2" name="Grafik 8">
          <a:extLst>
            <a:ext uri="{FF2B5EF4-FFF2-40B4-BE49-F238E27FC236}">
              <a16:creationId xmlns:a16="http://schemas.microsoft.com/office/drawing/2014/main" id="{5AE4B8D7-1F0E-4311-B549-8E2D199D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855980" cy="3738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2</xdr:row>
      <xdr:rowOff>0</xdr:rowOff>
    </xdr:from>
    <xdr:to>
      <xdr:col>1</xdr:col>
      <xdr:colOff>247175</xdr:colOff>
      <xdr:row>3</xdr:row>
      <xdr:rowOff>135709</xdr:rowOff>
    </xdr:to>
    <xdr:pic>
      <xdr:nvPicPr>
        <xdr:cNvPr id="2" name="Grafik 8">
          <a:extLst>
            <a:ext uri="{FF2B5EF4-FFF2-40B4-BE49-F238E27FC236}">
              <a16:creationId xmlns:a16="http://schemas.microsoft.com/office/drawing/2014/main" id="{2C56FF5D-78C1-4052-AB84-47A874E44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866299" cy="3738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2</xdr:row>
      <xdr:rowOff>0</xdr:rowOff>
    </xdr:from>
    <xdr:to>
      <xdr:col>1</xdr:col>
      <xdr:colOff>247175</xdr:colOff>
      <xdr:row>3</xdr:row>
      <xdr:rowOff>135709</xdr:rowOff>
    </xdr:to>
    <xdr:pic>
      <xdr:nvPicPr>
        <xdr:cNvPr id="2" name="Grafik 8">
          <a:extLst>
            <a:ext uri="{FF2B5EF4-FFF2-40B4-BE49-F238E27FC236}">
              <a16:creationId xmlns:a16="http://schemas.microsoft.com/office/drawing/2014/main" id="{6D0B54F5-5ABF-4C23-A6A5-5F4A055D1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0"/>
          <a:ext cx="855980" cy="3738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183776</xdr:colOff>
      <xdr:row>1</xdr:row>
      <xdr:rowOff>0</xdr:rowOff>
    </xdr:from>
    <xdr:to>
      <xdr:col>7</xdr:col>
      <xdr:colOff>934010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57B15A-1123-4F2A-A79A-5C50385F5F77}"/>
            </a:ext>
          </a:extLst>
        </xdr:cNvPr>
        <xdr:cNvSpPr txBox="1"/>
      </xdr:nvSpPr>
      <xdr:spPr>
        <a:xfrm>
          <a:off x="1523626" y="219075"/>
          <a:ext cx="5363509" cy="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n-US" sz="2000" b="0" cap="none" spc="0">
              <a:ln w="12700">
                <a:solidFill>
                  <a:sysClr val="windowText" lastClr="000000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MWTypeLight" pitchFamily="34" charset="0"/>
            </a:rPr>
            <a:t>Performance</a:t>
          </a:r>
        </a:p>
      </xdr:txBody>
    </xdr:sp>
    <xdr:clientData/>
  </xdr:twoCellAnchor>
  <xdr:twoCellAnchor editAs="oneCell">
    <xdr:from>
      <xdr:col>11</xdr:col>
      <xdr:colOff>146338</xdr:colOff>
      <xdr:row>1</xdr:row>
      <xdr:rowOff>206952</xdr:rowOff>
    </xdr:from>
    <xdr:to>
      <xdr:col>11</xdr:col>
      <xdr:colOff>569768</xdr:colOff>
      <xdr:row>2</xdr:row>
      <xdr:rowOff>389659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5A069B9F-17AB-4DB3-9AFC-50038DD0CEE7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r="62099" b="-2162"/>
        <a:stretch/>
      </xdr:blipFill>
      <xdr:spPr>
        <a:xfrm>
          <a:off x="10411113" y="426027"/>
          <a:ext cx="426605" cy="401782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2</xdr:row>
      <xdr:rowOff>28575</xdr:rowOff>
    </xdr:from>
    <xdr:to>
      <xdr:col>13</xdr:col>
      <xdr:colOff>142213</xdr:colOff>
      <xdr:row>2</xdr:row>
      <xdr:rowOff>332625</xdr:rowOff>
    </xdr:to>
    <xdr:pic>
      <xdr:nvPicPr>
        <xdr:cNvPr id="4" name="MINI">
          <a:extLst>
            <a:ext uri="{FF2B5EF4-FFF2-40B4-BE49-F238E27FC236}">
              <a16:creationId xmlns:a16="http://schemas.microsoft.com/office/drawing/2014/main" id="{30A35535-BFBB-49B3-BD91-7442A207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083925" y="463550"/>
          <a:ext cx="697838" cy="307225"/>
        </a:xfrm>
        <a:prstGeom prst="rect">
          <a:avLst/>
        </a:prstGeom>
      </xdr:spPr>
    </xdr:pic>
    <xdr:clientData/>
  </xdr:twoCellAnchor>
  <xdr:twoCellAnchor>
    <xdr:from>
      <xdr:col>10</xdr:col>
      <xdr:colOff>550863</xdr:colOff>
      <xdr:row>8</xdr:row>
      <xdr:rowOff>182603</xdr:rowOff>
    </xdr:from>
    <xdr:to>
      <xdr:col>17</xdr:col>
      <xdr:colOff>25403</xdr:colOff>
      <xdr:row>31</xdr:row>
      <xdr:rowOff>95250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5A2715B-54A8-439E-8571-4D0EFF3F5654}"/>
            </a:ext>
          </a:extLst>
        </xdr:cNvPr>
        <xdr:cNvGrpSpPr/>
      </xdr:nvGrpSpPr>
      <xdr:grpSpPr>
        <a:xfrm>
          <a:off x="8809038" y="2008228"/>
          <a:ext cx="5868990" cy="5583197"/>
          <a:chOff x="8802977" y="1815954"/>
          <a:chExt cx="5868122" cy="4577341"/>
        </a:xfrm>
      </xdr:grpSpPr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53B144AC-3F3B-5342-6C77-546358AC6EB6}"/>
              </a:ext>
            </a:extLst>
          </xdr:cNvPr>
          <xdr:cNvGrpSpPr/>
        </xdr:nvGrpSpPr>
        <xdr:grpSpPr>
          <a:xfrm>
            <a:off x="8802977" y="1815954"/>
            <a:ext cx="5868122" cy="4577341"/>
            <a:chOff x="5637278" y="5584515"/>
            <a:chExt cx="5703620" cy="4944797"/>
          </a:xfrm>
        </xdr:grpSpPr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AEC7712F-BCFA-11D3-7E85-C6909CF95F8C}"/>
                </a:ext>
              </a:extLst>
            </xdr:cNvPr>
            <xdr:cNvGraphicFramePr/>
          </xdr:nvGraphicFramePr>
          <xdr:xfrm>
            <a:off x="5637278" y="5584515"/>
            <a:ext cx="5703620" cy="494479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pic>
          <xdr:nvPicPr>
            <xdr:cNvPr id="11" name="image2.jpeg">
              <a:extLst>
                <a:ext uri="{FF2B5EF4-FFF2-40B4-BE49-F238E27FC236}">
                  <a16:creationId xmlns:a16="http://schemas.microsoft.com/office/drawing/2014/main" id="{F84787FE-6AF3-FE2C-5BC3-472428FBBDCF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/>
            <a:srcRect r="62099" b="-2162"/>
            <a:stretch/>
          </xdr:blipFill>
          <xdr:spPr>
            <a:xfrm>
              <a:off x="6105813" y="5864802"/>
              <a:ext cx="429780" cy="404957"/>
            </a:xfrm>
            <a:prstGeom prst="rect">
              <a:avLst/>
            </a:prstGeom>
          </xdr:spPr>
        </xdr:pic>
        <xdr:pic>
          <xdr:nvPicPr>
            <xdr:cNvPr id="12" name="MINI">
              <a:extLst>
                <a:ext uri="{FF2B5EF4-FFF2-40B4-BE49-F238E27FC236}">
                  <a16:creationId xmlns:a16="http://schemas.microsoft.com/office/drawing/2014/main" id="{F9F46F2E-74F2-20C2-00FC-DF6C8D2716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10483850" y="5873750"/>
              <a:ext cx="688313" cy="307225"/>
            </a:xfrm>
            <a:prstGeom prst="rect">
              <a:avLst/>
            </a:prstGeom>
          </xdr:spPr>
        </xdr:pic>
      </xdr:grpSp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C8223CD1-3700-58DA-BCF5-CB1E67056539}"/>
              </a:ext>
            </a:extLst>
          </xdr:cNvPr>
          <xdr:cNvGrpSpPr/>
        </xdr:nvGrpSpPr>
        <xdr:grpSpPr>
          <a:xfrm>
            <a:off x="11720412" y="6062917"/>
            <a:ext cx="301298" cy="56156"/>
            <a:chOff x="6653824" y="5710060"/>
            <a:chExt cx="348470" cy="48228"/>
          </a:xfrm>
        </xdr:grpSpPr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78AE9EB2-2E57-3022-A43E-537B78299AF9}"/>
                </a:ext>
              </a:extLst>
            </xdr:cNvPr>
            <xdr:cNvSpPr/>
          </xdr:nvSpPr>
          <xdr:spPr>
            <a:xfrm>
              <a:off x="6653824" y="5710741"/>
              <a:ext cx="171449" cy="47547"/>
            </a:xfrm>
            <a:prstGeom prst="rect">
              <a:avLst/>
            </a:prstGeom>
            <a:solidFill>
              <a:srgbClr val="00B0F0"/>
            </a:solidFill>
            <a:ln w="158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7E8213FC-0408-0AEC-5132-14133BE40A35}"/>
                </a:ext>
              </a:extLst>
            </xdr:cNvPr>
            <xdr:cNvSpPr/>
          </xdr:nvSpPr>
          <xdr:spPr>
            <a:xfrm>
              <a:off x="6829978" y="5710060"/>
              <a:ext cx="172316" cy="4798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58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</xdr:grpSp>
    <xdr:clientData/>
  </xdr:twoCellAnchor>
  <xdr:twoCellAnchor>
    <xdr:from>
      <xdr:col>1</xdr:col>
      <xdr:colOff>133349</xdr:colOff>
      <xdr:row>15</xdr:row>
      <xdr:rowOff>34925</xdr:rowOff>
    </xdr:from>
    <xdr:to>
      <xdr:col>4</xdr:col>
      <xdr:colOff>146049</xdr:colOff>
      <xdr:row>18</xdr:row>
      <xdr:rowOff>123825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9B2CB35C-44DC-4BEC-91CF-A778B5822F58}"/>
            </a:ext>
          </a:extLst>
        </xdr:cNvPr>
        <xdr:cNvGrpSpPr/>
      </xdr:nvGrpSpPr>
      <xdr:grpSpPr>
        <a:xfrm>
          <a:off x="742949" y="3530600"/>
          <a:ext cx="2124075" cy="771525"/>
          <a:chOff x="742950" y="3162300"/>
          <a:chExt cx="1758950" cy="723900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DE0F03A6-FD13-BF2B-890F-17E8F3E89D5E}"/>
              </a:ext>
            </a:extLst>
          </xdr:cNvPr>
          <xdr:cNvSpPr txBox="1"/>
        </xdr:nvSpPr>
        <xdr:spPr>
          <a:xfrm>
            <a:off x="742950" y="3162300"/>
            <a:ext cx="1758950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/>
              <a:t>Porcentaje minimo</a:t>
            </a:r>
            <a:r>
              <a:rPr lang="es-ES" sz="1100" baseline="0"/>
              <a:t> de penetración BPS / MN</a:t>
            </a:r>
            <a:br>
              <a:rPr lang="es-ES" sz="1100" baseline="0"/>
            </a:br>
            <a:r>
              <a:rPr lang="es-ES" sz="1100" baseline="0"/>
              <a:t>&lt; 80%               ≥ 80%</a:t>
            </a:r>
            <a:endParaRPr lang="es-ES" sz="1100"/>
          </a:p>
        </xdr:txBody>
      </xdr:sp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35C4650C-EEBE-5ACD-2B3F-EE53B65FE8E5}"/>
              </a:ext>
            </a:extLst>
          </xdr:cNvPr>
          <xdr:cNvSpPr/>
        </xdr:nvSpPr>
        <xdr:spPr>
          <a:xfrm>
            <a:off x="1105246" y="3721100"/>
            <a:ext cx="355600" cy="69850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16" name="Rectángulo 15">
            <a:extLst>
              <a:ext uri="{FF2B5EF4-FFF2-40B4-BE49-F238E27FC236}">
                <a16:creationId xmlns:a16="http://schemas.microsoft.com/office/drawing/2014/main" id="{0C636599-9527-48ED-2816-23457176350E}"/>
              </a:ext>
            </a:extLst>
          </xdr:cNvPr>
          <xdr:cNvSpPr/>
        </xdr:nvSpPr>
        <xdr:spPr>
          <a:xfrm>
            <a:off x="1782078" y="3730625"/>
            <a:ext cx="352425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123826</xdr:colOff>
      <xdr:row>19</xdr:row>
      <xdr:rowOff>85725</xdr:rowOff>
    </xdr:from>
    <xdr:to>
      <xdr:col>4</xdr:col>
      <xdr:colOff>130176</xdr:colOff>
      <xdr:row>24</xdr:row>
      <xdr:rowOff>320676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3213C74-90D0-460A-A14A-BA38FCE71554}"/>
            </a:ext>
          </a:extLst>
        </xdr:cNvPr>
        <xdr:cNvGrpSpPr/>
      </xdr:nvGrpSpPr>
      <xdr:grpSpPr>
        <a:xfrm>
          <a:off x="730251" y="4492625"/>
          <a:ext cx="2124075" cy="1381126"/>
          <a:chOff x="730250" y="4006820"/>
          <a:chExt cx="2146300" cy="723900"/>
        </a:xfrm>
      </xdr:grpSpPr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AD63CBCD-AA1D-FE34-BA6C-B9D964481D72}"/>
              </a:ext>
            </a:extLst>
          </xdr:cNvPr>
          <xdr:cNvSpPr txBox="1"/>
        </xdr:nvSpPr>
        <xdr:spPr>
          <a:xfrm>
            <a:off x="730250" y="4006820"/>
            <a:ext cx="2146300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/>
              <a:t>Porcentaje de ventas retail origen Remarketing</a:t>
            </a:r>
            <a:r>
              <a:rPr lang="es-ES" sz="1100" baseline="0"/>
              <a:t> </a:t>
            </a:r>
            <a:br>
              <a:rPr lang="es-ES" sz="1100" baseline="0"/>
            </a:br>
            <a:r>
              <a:rPr lang="es-ES" sz="1100"/>
              <a:t>&lt; 15%       15% ≤</a:t>
            </a:r>
            <a:r>
              <a:rPr lang="es-ES" sz="1100" baseline="0"/>
              <a:t> x &lt; 25%       ≥ 25%</a:t>
            </a:r>
          </a:p>
          <a:p>
            <a:pPr algn="ctr"/>
            <a:endParaRPr lang="es-ES" sz="1100" baseline="0"/>
          </a:p>
          <a:p>
            <a:pPr algn="l"/>
            <a:endParaRPr lang="es-ES" sz="1100" baseline="0"/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15% ≤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x &lt; 25%   =   250 €</a:t>
            </a:r>
            <a:b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≥ 25%    =  550 €  </a:t>
            </a:r>
            <a:endParaRPr lang="es-ES" sz="1100" baseline="0"/>
          </a:p>
          <a:p>
            <a:pPr algn="l"/>
            <a:endParaRPr lang="es-ES" sz="1100"/>
          </a:p>
        </xdr:txBody>
      </xdr:sp>
      <xdr:sp macro="" textlink="">
        <xdr:nvSpPr>
          <xdr:cNvPr id="19" name="Rectángulo 18">
            <a:extLst>
              <a:ext uri="{FF2B5EF4-FFF2-40B4-BE49-F238E27FC236}">
                <a16:creationId xmlns:a16="http://schemas.microsoft.com/office/drawing/2014/main" id="{A0DB79B4-5255-56E8-FFC0-84A848242825}"/>
              </a:ext>
            </a:extLst>
          </xdr:cNvPr>
          <xdr:cNvSpPr/>
        </xdr:nvSpPr>
        <xdr:spPr>
          <a:xfrm>
            <a:off x="1542694" y="4308237"/>
            <a:ext cx="431808" cy="63500"/>
          </a:xfrm>
          <a:prstGeom prst="rect">
            <a:avLst/>
          </a:prstGeom>
          <a:solidFill>
            <a:srgbClr val="FF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BF95D170-2808-E439-5558-1847B8C0156C}"/>
              </a:ext>
            </a:extLst>
          </xdr:cNvPr>
          <xdr:cNvSpPr/>
        </xdr:nvSpPr>
        <xdr:spPr>
          <a:xfrm>
            <a:off x="2372622" y="4308036"/>
            <a:ext cx="418422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7EAA5839-7AF5-6B87-FAF8-9BA444BAEB85}"/>
              </a:ext>
            </a:extLst>
          </xdr:cNvPr>
          <xdr:cNvSpPr/>
        </xdr:nvSpPr>
        <xdr:spPr>
          <a:xfrm>
            <a:off x="815975" y="4305064"/>
            <a:ext cx="438158" cy="69850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101600</xdr:colOff>
      <xdr:row>25</xdr:row>
      <xdr:rowOff>28576</xdr:rowOff>
    </xdr:from>
    <xdr:to>
      <xdr:col>4</xdr:col>
      <xdr:colOff>130175</xdr:colOff>
      <xdr:row>30</xdr:row>
      <xdr:rowOff>130176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CD5FD333-16AD-4AF9-B4E6-6E867AADEA91}"/>
            </a:ext>
          </a:extLst>
        </xdr:cNvPr>
        <xdr:cNvGrpSpPr/>
      </xdr:nvGrpSpPr>
      <xdr:grpSpPr>
        <a:xfrm>
          <a:off x="714375" y="6035676"/>
          <a:ext cx="2139950" cy="1428750"/>
          <a:chOff x="714374" y="4803775"/>
          <a:chExt cx="2162175" cy="723900"/>
        </a:xfrm>
      </xdr:grpSpPr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E19B9B17-F58B-2B0C-9293-A60BF1ED4592}"/>
              </a:ext>
            </a:extLst>
          </xdr:cNvPr>
          <xdr:cNvSpPr txBox="1"/>
        </xdr:nvSpPr>
        <xdr:spPr>
          <a:xfrm>
            <a:off x="714374" y="4803775"/>
            <a:ext cx="2162175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/>
              <a:t>Acelerador</a:t>
            </a:r>
            <a:r>
              <a:rPr lang="es-ES" sz="1100" baseline="0"/>
              <a:t> Ventas BEV</a:t>
            </a:r>
            <a:br>
              <a:rPr lang="es-ES" sz="1100" baseline="0"/>
            </a:br>
            <a:r>
              <a:rPr lang="es-ES" sz="1100" baseline="0"/>
              <a:t>&lt; 5%            5% ≤ x &lt; 10%       ≥ 10%</a:t>
            </a:r>
          </a:p>
          <a:p>
            <a:pPr algn="ctr"/>
            <a:endParaRPr lang="es-ES" sz="1100" baseline="0"/>
          </a:p>
          <a:p>
            <a:pPr algn="l"/>
            <a:endParaRPr lang="es-ES" sz="1100" baseline="0"/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5% ≤ x &lt; 10%   =  1,05</a:t>
            </a:r>
            <a:b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≥ 10%   =  1,10</a:t>
            </a:r>
            <a:endParaRPr lang="es-ES">
              <a:effectLst/>
            </a:endParaRPr>
          </a:p>
          <a:p>
            <a:pPr algn="l"/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endParaRPr lang="es-ES" sz="1100"/>
          </a:p>
        </xdr:txBody>
      </xdr:sp>
      <xdr:sp macro="" textlink="">
        <xdr:nvSpPr>
          <xdr:cNvPr id="24" name="Rectángulo 23">
            <a:extLst>
              <a:ext uri="{FF2B5EF4-FFF2-40B4-BE49-F238E27FC236}">
                <a16:creationId xmlns:a16="http://schemas.microsoft.com/office/drawing/2014/main" id="{841E28E9-35D8-6F2E-BF1C-11D7AE1160C8}"/>
              </a:ext>
            </a:extLst>
          </xdr:cNvPr>
          <xdr:cNvSpPr/>
        </xdr:nvSpPr>
        <xdr:spPr>
          <a:xfrm>
            <a:off x="1552575" y="5024000"/>
            <a:ext cx="438158" cy="63500"/>
          </a:xfrm>
          <a:prstGeom prst="rect">
            <a:avLst/>
          </a:prstGeom>
          <a:solidFill>
            <a:srgbClr val="FF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FA4E44A3-0294-FE36-32DA-03EEC704265C}"/>
              </a:ext>
            </a:extLst>
          </xdr:cNvPr>
          <xdr:cNvSpPr/>
        </xdr:nvSpPr>
        <xdr:spPr>
          <a:xfrm>
            <a:off x="2382503" y="5033528"/>
            <a:ext cx="418422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26" name="Rectángulo 25">
            <a:extLst>
              <a:ext uri="{FF2B5EF4-FFF2-40B4-BE49-F238E27FC236}">
                <a16:creationId xmlns:a16="http://schemas.microsoft.com/office/drawing/2014/main" id="{DA0CF1D5-5C70-3F81-925A-CE8F73E6ED26}"/>
              </a:ext>
            </a:extLst>
          </xdr:cNvPr>
          <xdr:cNvSpPr/>
        </xdr:nvSpPr>
        <xdr:spPr>
          <a:xfrm>
            <a:off x="777875" y="5033528"/>
            <a:ext cx="438158" cy="66675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133349</xdr:colOff>
      <xdr:row>11</xdr:row>
      <xdr:rowOff>104775</xdr:rowOff>
    </xdr:from>
    <xdr:to>
      <xdr:col>4</xdr:col>
      <xdr:colOff>142874</xdr:colOff>
      <xdr:row>14</xdr:row>
      <xdr:rowOff>104775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B3CC22AB-A4A9-4107-92A7-CB318CD1D920}"/>
            </a:ext>
          </a:extLst>
        </xdr:cNvPr>
        <xdr:cNvGrpSpPr/>
      </xdr:nvGrpSpPr>
      <xdr:grpSpPr>
        <a:xfrm>
          <a:off x="742949" y="2540000"/>
          <a:ext cx="2127250" cy="790575"/>
          <a:chOff x="742950" y="3162300"/>
          <a:chExt cx="1758950" cy="723900"/>
        </a:xfrm>
      </xdr:grpSpPr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732E70D9-731F-B1C2-2007-DE805FAABD79}"/>
              </a:ext>
            </a:extLst>
          </xdr:cNvPr>
          <xdr:cNvSpPr txBox="1"/>
        </xdr:nvSpPr>
        <xdr:spPr>
          <a:xfrm>
            <a:off x="742950" y="3162300"/>
            <a:ext cx="1758950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/>
              <a:t>Porcentaje Cumplimentación Ventas Retail</a:t>
            </a:r>
            <a:br>
              <a:rPr lang="es-ES" sz="1100" baseline="0"/>
            </a:br>
            <a:r>
              <a:rPr lang="es-ES" sz="1100" baseline="0"/>
              <a:t>&lt; 100%               ≥ 100%</a:t>
            </a:r>
            <a:endParaRPr lang="es-ES" sz="1100"/>
          </a:p>
        </xdr:txBody>
      </xdr:sp>
      <xdr:sp macro="" textlink="">
        <xdr:nvSpPr>
          <xdr:cNvPr id="29" name="Rectángulo 28">
            <a:extLst>
              <a:ext uri="{FF2B5EF4-FFF2-40B4-BE49-F238E27FC236}">
                <a16:creationId xmlns:a16="http://schemas.microsoft.com/office/drawing/2014/main" id="{5D68963D-9C62-BBFC-4045-DB646D5E1494}"/>
              </a:ext>
            </a:extLst>
          </xdr:cNvPr>
          <xdr:cNvSpPr/>
        </xdr:nvSpPr>
        <xdr:spPr>
          <a:xfrm>
            <a:off x="1105246" y="3721100"/>
            <a:ext cx="355600" cy="69850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0" name="Rectángulo 29">
            <a:extLst>
              <a:ext uri="{FF2B5EF4-FFF2-40B4-BE49-F238E27FC236}">
                <a16:creationId xmlns:a16="http://schemas.microsoft.com/office/drawing/2014/main" id="{6C4EC198-31AE-A994-3CC2-876B85CF27A9}"/>
              </a:ext>
            </a:extLst>
          </xdr:cNvPr>
          <xdr:cNvSpPr/>
        </xdr:nvSpPr>
        <xdr:spPr>
          <a:xfrm>
            <a:off x="1782078" y="3730625"/>
            <a:ext cx="352425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1</xdr:col>
      <xdr:colOff>104774</xdr:colOff>
      <xdr:row>31</xdr:row>
      <xdr:rowOff>142875</xdr:rowOff>
    </xdr:from>
    <xdr:to>
      <xdr:col>4</xdr:col>
      <xdr:colOff>123824</xdr:colOff>
      <xdr:row>33</xdr:row>
      <xdr:rowOff>66675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92B0261F-385D-4F5D-A735-F76B9D9344A0}"/>
            </a:ext>
          </a:extLst>
        </xdr:cNvPr>
        <xdr:cNvGrpSpPr/>
      </xdr:nvGrpSpPr>
      <xdr:grpSpPr>
        <a:xfrm>
          <a:off x="717549" y="7635875"/>
          <a:ext cx="2133600" cy="781050"/>
          <a:chOff x="742950" y="3162300"/>
          <a:chExt cx="1758950" cy="723900"/>
        </a:xfrm>
      </xdr:grpSpPr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D784A178-46BD-5EC3-5A49-0337DA2A865C}"/>
              </a:ext>
            </a:extLst>
          </xdr:cNvPr>
          <xdr:cNvSpPr txBox="1"/>
        </xdr:nvSpPr>
        <xdr:spPr>
          <a:xfrm>
            <a:off x="742950" y="3162300"/>
            <a:ext cx="1758950" cy="723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 baseline="0"/>
              <a:t>Mystery Shopping</a:t>
            </a:r>
          </a:p>
          <a:p>
            <a:pPr algn="ctr"/>
            <a:br>
              <a:rPr lang="es-ES" sz="1100" baseline="0"/>
            </a:br>
            <a:r>
              <a:rPr lang="es-ES" sz="1100" baseline="0"/>
              <a:t>&lt; 90%               ≥ 90%</a:t>
            </a:r>
            <a:endParaRPr lang="es-ES" sz="1100"/>
          </a:p>
        </xdr:txBody>
      </xdr:sp>
      <xdr:sp macro="" textlink="">
        <xdr:nvSpPr>
          <xdr:cNvPr id="33" name="Rectángulo 32">
            <a:extLst>
              <a:ext uri="{FF2B5EF4-FFF2-40B4-BE49-F238E27FC236}">
                <a16:creationId xmlns:a16="http://schemas.microsoft.com/office/drawing/2014/main" id="{03D9F016-E2F1-699F-1903-7888F9384582}"/>
              </a:ext>
            </a:extLst>
          </xdr:cNvPr>
          <xdr:cNvSpPr/>
        </xdr:nvSpPr>
        <xdr:spPr>
          <a:xfrm>
            <a:off x="1105246" y="3732776"/>
            <a:ext cx="355600" cy="69850"/>
          </a:xfrm>
          <a:prstGeom prst="rect">
            <a:avLst/>
          </a:prstGeom>
          <a:solidFill>
            <a:srgbClr val="FFC5C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sp macro="" textlink="">
        <xdr:nvSpPr>
          <xdr:cNvPr id="34" name="Rectángulo 33">
            <a:extLst>
              <a:ext uri="{FF2B5EF4-FFF2-40B4-BE49-F238E27FC236}">
                <a16:creationId xmlns:a16="http://schemas.microsoft.com/office/drawing/2014/main" id="{1F7DC48E-B64F-DAD1-0D73-A270D7CB7E54}"/>
              </a:ext>
            </a:extLst>
          </xdr:cNvPr>
          <xdr:cNvSpPr/>
        </xdr:nvSpPr>
        <xdr:spPr>
          <a:xfrm>
            <a:off x="1782078" y="3730626"/>
            <a:ext cx="352425" cy="66675"/>
          </a:xfrm>
          <a:prstGeom prst="rect">
            <a:avLst/>
          </a:prstGeom>
          <a:solidFill>
            <a:srgbClr val="CCFF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511175</xdr:colOff>
      <xdr:row>12</xdr:row>
      <xdr:rowOff>149225</xdr:rowOff>
    </xdr:from>
    <xdr:to>
      <xdr:col>2</xdr:col>
      <xdr:colOff>462611</xdr:colOff>
      <xdr:row>27</xdr:row>
      <xdr:rowOff>50474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B0A3B-DC45-4C4C-8179-5DE7A9E4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175" y="2330450"/>
          <a:ext cx="7520636" cy="2612699"/>
        </a:xfrm>
        <a:prstGeom prst="rect">
          <a:avLst/>
        </a:prstGeom>
      </xdr:spPr>
    </xdr:pic>
    <xdr:clientData/>
  </xdr:twoCellAnchor>
  <xdr:twoCellAnchor>
    <xdr:from>
      <xdr:col>2</xdr:col>
      <xdr:colOff>206375</xdr:colOff>
      <xdr:row>8</xdr:row>
      <xdr:rowOff>111125</xdr:rowOff>
    </xdr:from>
    <xdr:to>
      <xdr:col>3</xdr:col>
      <xdr:colOff>6178550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EC9349B-AC1E-4394-A6F7-AD1D205069DA}"/>
            </a:ext>
          </a:extLst>
        </xdr:cNvPr>
        <xdr:cNvSpPr/>
      </xdr:nvSpPr>
      <xdr:spPr>
        <a:xfrm>
          <a:off x="7273925" y="1568450"/>
          <a:ext cx="6734175" cy="19177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>
              <a:solidFill>
                <a:srgbClr val="FF0000"/>
              </a:solidFill>
            </a:rPr>
            <a:t>Coger</a:t>
          </a:r>
          <a:r>
            <a:rPr lang="es-ES" sz="1400" baseline="0">
              <a:solidFill>
                <a:srgbClr val="FF0000"/>
              </a:solidFill>
            </a:rPr>
            <a:t> también del actuals (a parte de los coches del canal "rmkt_auction_global"), los vehículos vendidos a través de estos 2 canales:</a:t>
          </a:r>
        </a:p>
        <a:p>
          <a:pPr algn="l"/>
          <a:r>
            <a:rPr lang="es-ES" sz="1400" b="1" baseline="0">
              <a:solidFill>
                <a:srgbClr val="FF0000"/>
              </a:solidFill>
            </a:rPr>
            <a:t>- rmkt_cars_G20</a:t>
          </a:r>
        </a:p>
        <a:p>
          <a:pPr algn="l"/>
          <a:r>
            <a:rPr lang="es-ES" sz="1400" b="1" baseline="0">
              <a:solidFill>
                <a:srgbClr val="FF0000"/>
              </a:solidFill>
            </a:rPr>
            <a:t>- rmk_cars_stockant</a:t>
          </a:r>
        </a:p>
        <a:p>
          <a:pPr algn="l"/>
          <a:r>
            <a:rPr lang="es-ES" sz="1400" b="1" baseline="0">
              <a:solidFill>
                <a:srgbClr val="FF0000"/>
              </a:solidFill>
            </a:rPr>
            <a:t>- rmk_publicacion_tor_q2</a:t>
          </a:r>
        </a:p>
        <a:p>
          <a:pPr algn="l"/>
          <a:r>
            <a:rPr lang="es-ES" sz="1400" b="1" baseline="0">
              <a:solidFill>
                <a:srgbClr val="FF0000"/>
              </a:solidFill>
            </a:rPr>
            <a:t>Y preguntar a Germán por si hubiera que tener más canales en cuenta.</a:t>
          </a:r>
          <a:endParaRPr lang="es-E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4133850</xdr:colOff>
      <xdr:row>9</xdr:row>
      <xdr:rowOff>104775</xdr:rowOff>
    </xdr:from>
    <xdr:to>
      <xdr:col>2</xdr:col>
      <xdr:colOff>200025</xdr:colOff>
      <xdr:row>9</xdr:row>
      <xdr:rowOff>142875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C7EFAF8-8968-46B9-9BE9-3324A72B27DD}"/>
            </a:ext>
          </a:extLst>
        </xdr:cNvPr>
        <xdr:cNvCxnSpPr/>
      </xdr:nvCxnSpPr>
      <xdr:spPr>
        <a:xfrm flipH="1" flipV="1">
          <a:off x="4133850" y="1743075"/>
          <a:ext cx="3133725" cy="38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USED%20CAR%20&amp;%20REMARKETING\03-VO\2025\Informe%20Seguimiento%20Concesionarios%202025\ESPA&#209;A\SEGUIMIENTO%20UC%20RETAIL%20&amp;%20WHOLESALE_2025.xlsx" TargetMode="External"/><Relationship Id="rId1" Type="http://schemas.openxmlformats.org/officeDocument/2006/relationships/externalLinkPath" Target="SEGUIMIENTO%20UC%20RETAIL%20&amp;%20WHOLESALE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urope.bmw.corp\homeshare\Spain\NSC\User\QTE8511\TEMPORALES\AUTOMATIZACION%20VENTAS.xlsx" TargetMode="External"/><Relationship Id="rId1" Type="http://schemas.openxmlformats.org/officeDocument/2006/relationships/externalLinkPath" Target="AUTOMATIZACION%20VENTA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qte8511/Desktop/Pruebas%20Javier/Actual%20acumulado%202025%20&amp;%202024.xlsx" TargetMode="External"/><Relationship Id="rId2" Type="http://schemas.openxmlformats.org/officeDocument/2006/relationships/externalLinkPath" Target="file:///C:\Users\qte8511\Desktop\Pruebas%20Javier\Actual%20acumulado%202025%20&amp;%202024.xlsx" TargetMode="External"/><Relationship Id="rId1" Type="http://schemas.openxmlformats.org/officeDocument/2006/relationships/externalLinkPath" Target="/Users/qte8511/Desktop/Pruebas%20Javier/Actual%20acumulado%202025%20&amp;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USED%20CAR%20&amp;%20REMARKETING\03-VO\2026\Informe%20Seguimiento%20Concesionarios%202026\ESPA&#209;A\3.%20MARZO\UC%20MARKET%20YTD\Penetraci&#243;n%20de%20Mdo_Mar_2026.xlsx" TargetMode="External"/><Relationship Id="rId1" Type="http://schemas.openxmlformats.org/officeDocument/2006/relationships/externalLinkPath" Target="3.%20MARZO/UC%20MARKET%20YTD/Penetraci&#243;n%20de%20Mdo_Mar_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USED%20CAR%20&amp;%20REMARKETING\03-VO\2026\Informe%20Seguimiento%20Concesionarios%202026\ESPA&#209;A\4.%20ABRIL\UC%20MARKET%20YTD\Penetraci&#243;n%20de%20Mdo_Abr_2026.xlsx" TargetMode="External"/><Relationship Id="rId1" Type="http://schemas.openxmlformats.org/officeDocument/2006/relationships/externalLinkPath" Target="4.%20ABRIL/UC%20MARKET%20YTD/Penetraci&#243;n%20de%20Mdo_Abr_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USED%20CAR%20&amp;%20REMARKETING\03-VO\2026\Informe%20Seguimiento%20Concesionarios%202026\ESPA&#209;A\5.%20MAYO\UC%20MARKET%20YTD\Penetraci&#243;n%20de%20Mdo_May_2026.xlsx" TargetMode="External"/><Relationship Id="rId1" Type="http://schemas.openxmlformats.org/officeDocument/2006/relationships/externalLinkPath" Target="5.%20MAYO/UC%20MARKET%20YTD/Penetraci&#243;n%20de%20Mdo_May_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USED%20CAR%20&amp;%20REMARKETING\03-VO\2026\Informe%20Seguimiento%20Concesionarios%202026\ESPA&#209;A\6.%20JUNIO\UC%20MARKET%20YTD\Penetraci&#243;n%20de%20Mdo_May_2026.xlsx" TargetMode="External"/><Relationship Id="rId1" Type="http://schemas.openxmlformats.org/officeDocument/2006/relationships/externalLinkPath" Target="6.%20JUNIO/UC%20MARKET%20YTD/Penetraci&#243;n%20de%20Mdo_May_202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D%20CAR%20&amp;%20REMARKETING/03-VO/2026/FIX%20PRICE/Fixed%20Price%20Primer%20Semestre%20NUEVO.xlsx" TargetMode="External"/><Relationship Id="rId2" Type="http://schemas.openxmlformats.org/officeDocument/2006/relationships/externalLinkPath" Target="file:///O:\USED%20CAR%20&amp;%20REMARKETING\03-VO\2026\FIX%20PRICE\Fixed%20Price%20Primer%20Semestre%20NUEVO.xlsx" TargetMode="External"/><Relationship Id="rId1" Type="http://schemas.openxmlformats.org/officeDocument/2006/relationships/externalLinkPath" Target="/USED%20CAR%20&amp;%20REMARKETING/03-VO/2026/FIX%20PRICE/Fixed%20Price%20Primer%20Semestre%20NUEV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te8511\AppData\Local\Microsoft\Windows\INetCache\Content.Outlook\LUJTMRHY\MYS%20VO%20BMW_MINI%202026_T1.xlsx" TargetMode="External"/><Relationship Id="rId1" Type="http://schemas.openxmlformats.org/officeDocument/2006/relationships/externalLinkPath" Target="file:///C:\Users\qte8511\AppData\Local\Microsoft\Windows\INetCache\Content.Outlook\LUJTMRHY\MYS%20VO%20BMW_MINI%202026_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UC BMW 2025"/>
      <sheetName val="UC BMW 2025 (Grp. Propietario)"/>
      <sheetName val="WHOLESALE BMW 2025"/>
      <sheetName val="UC BMW 2025 BPS"/>
      <sheetName val="UC BMW 2025 BPS (OBJT PROPUEST)"/>
      <sheetName val="UC MINI 2025"/>
      <sheetName val="UC MINI 2025 (Grp. Propietario)"/>
      <sheetName val="WHOLESALE MINI 2025"/>
      <sheetName val="UC MINI 2025 MINI NEXT"/>
      <sheetName val="UC MINI 2025 MINI NEXT (OBJ PR)"/>
      <sheetName val="MAESTRO"/>
      <sheetName val="Instrucciones"/>
      <sheetName val="Dealer Dashboard"/>
      <sheetName val="BEV BMW 2025"/>
      <sheetName val="BEV MINI 2025"/>
      <sheetName val="UC BMW 2025 (Grp. Propietar"/>
      <sheetName val="UC MINI 2025 (Grp. Propie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B7">
            <v>100213</v>
          </cell>
        </row>
      </sheetData>
      <sheetData sheetId="9"/>
      <sheetData sheetId="10"/>
      <sheetData sheetId="11">
        <row r="3">
          <cell r="H3" t="str">
            <v>ENERO</v>
          </cell>
          <cell r="N3" t="str">
            <v>TOTAL NACIONAL</v>
          </cell>
        </row>
        <row r="4">
          <cell r="H4" t="str">
            <v>FEBRERO</v>
          </cell>
          <cell r="N4" t="str">
            <v>ADLER MOTOR</v>
          </cell>
        </row>
        <row r="5">
          <cell r="H5" t="str">
            <v>MARZO</v>
          </cell>
          <cell r="N5" t="str">
            <v>ALBAMOCION</v>
          </cell>
        </row>
        <row r="6">
          <cell r="H6" t="str">
            <v>ABRIL</v>
          </cell>
          <cell r="N6" t="str">
            <v>AMIOCAR</v>
          </cell>
        </row>
        <row r="7">
          <cell r="H7" t="str">
            <v>MAYO</v>
          </cell>
          <cell r="N7" t="str">
            <v>AUGUSTA ARAGÓN</v>
          </cell>
        </row>
        <row r="8">
          <cell r="H8" t="str">
            <v>JUNIO</v>
          </cell>
          <cell r="N8" t="str">
            <v>AUTO PREMIER</v>
          </cell>
        </row>
        <row r="9">
          <cell r="H9" t="str">
            <v>JULIO</v>
          </cell>
          <cell r="N9" t="str">
            <v>AUTOBERÓN</v>
          </cell>
        </row>
        <row r="10">
          <cell r="H10" t="str">
            <v>AGOSTO</v>
          </cell>
          <cell r="N10" t="str">
            <v>AUTOGAL</v>
          </cell>
        </row>
        <row r="11">
          <cell r="H11" t="str">
            <v>SEPTIEMBRE</v>
          </cell>
          <cell r="N11" t="str">
            <v>AUTOGOTRANSA</v>
          </cell>
        </row>
        <row r="12">
          <cell r="H12" t="str">
            <v>OCTUBRE</v>
          </cell>
          <cell r="N12" t="str">
            <v>AUTOMOTOR</v>
          </cell>
        </row>
        <row r="13">
          <cell r="H13" t="str">
            <v>NOVIEMBRE</v>
          </cell>
          <cell r="N13" t="str">
            <v>AUTOMOTOR COSTA</v>
          </cell>
        </row>
        <row r="14">
          <cell r="H14" t="str">
            <v>DICIEMBRE</v>
          </cell>
          <cell r="N14" t="str">
            <v>AUTORAM</v>
          </cell>
        </row>
        <row r="15">
          <cell r="N15" t="str">
            <v>AUTOSA (OVIEDO)</v>
          </cell>
        </row>
        <row r="16">
          <cell r="N16" t="str">
            <v>AVILCAR</v>
          </cell>
        </row>
        <row r="17">
          <cell r="N17" t="str">
            <v>BARCELONA PREMIUM</v>
          </cell>
        </row>
        <row r="18">
          <cell r="N18" t="str">
            <v>BERNESGA MOTOR</v>
          </cell>
        </row>
        <row r="19">
          <cell r="N19" t="str">
            <v>BERTOLÍN</v>
          </cell>
        </row>
        <row r="20">
          <cell r="N20" t="str">
            <v>BMW MADRID</v>
          </cell>
        </row>
        <row r="21">
          <cell r="N21" t="str">
            <v>BORRAS MOTOR</v>
          </cell>
        </row>
        <row r="22">
          <cell r="N22" t="str">
            <v>BURGOCAR</v>
          </cell>
        </row>
        <row r="23">
          <cell r="N23" t="str">
            <v>CABRERO MOTORSP.</v>
          </cell>
        </row>
        <row r="24">
          <cell r="N24" t="str">
            <v>CANAAUTO</v>
          </cell>
        </row>
        <row r="25">
          <cell r="N25" t="str">
            <v>CARTEYA MOTOR</v>
          </cell>
        </row>
        <row r="26">
          <cell r="N26" t="str">
            <v>CELTAMOTOR</v>
          </cell>
        </row>
        <row r="27">
          <cell r="N27" t="str">
            <v>CERASA</v>
          </cell>
        </row>
        <row r="28">
          <cell r="N28" t="str">
            <v>CERES MOTOR</v>
          </cell>
        </row>
        <row r="29">
          <cell r="N29" t="str">
            <v>ENEKURI MOTOR</v>
          </cell>
        </row>
        <row r="30">
          <cell r="N30" t="str">
            <v>ENGASA</v>
          </cell>
        </row>
        <row r="31">
          <cell r="N31" t="str">
            <v>FERSÁN</v>
          </cell>
        </row>
        <row r="32">
          <cell r="N32" t="str">
            <v>FUENTEOLID</v>
          </cell>
        </row>
        <row r="33">
          <cell r="N33" t="str">
            <v>GOYA AUTOMOCIÓN</v>
          </cell>
        </row>
        <row r="34">
          <cell r="N34" t="str">
            <v>GRÜNBLAU MOTOR</v>
          </cell>
        </row>
        <row r="35">
          <cell r="N35" t="str">
            <v>HISPAMÓVIL</v>
          </cell>
        </row>
        <row r="36">
          <cell r="N36" t="str">
            <v>IBERICAR CUZCO</v>
          </cell>
        </row>
        <row r="37">
          <cell r="N37" t="str">
            <v>ILBIRA MOTOR</v>
          </cell>
        </row>
        <row r="38">
          <cell r="N38" t="str">
            <v>LIZAGA MOTOR</v>
          </cell>
        </row>
        <row r="39">
          <cell r="N39" t="str">
            <v>LOBETANA</v>
          </cell>
        </row>
        <row r="40">
          <cell r="N40" t="str">
            <v>LUGAUTO</v>
          </cell>
        </row>
        <row r="41">
          <cell r="N41" t="str">
            <v>LURAUTO</v>
          </cell>
        </row>
        <row r="42">
          <cell r="N42" t="str">
            <v>MABERAUTO</v>
          </cell>
        </row>
        <row r="43">
          <cell r="N43" t="str">
            <v>MARMOTOR</v>
          </cell>
        </row>
        <row r="44">
          <cell r="N44" t="str">
            <v>MOTOR GORBEA</v>
          </cell>
        </row>
        <row r="45">
          <cell r="N45" t="str">
            <v>MOTOR MUNICH</v>
          </cell>
        </row>
        <row r="46">
          <cell r="N46" t="str">
            <v>MOTOR MUNICH CADÍ</v>
          </cell>
        </row>
        <row r="47">
          <cell r="N47" t="str">
            <v>MOTRI MOTOR</v>
          </cell>
        </row>
        <row r="48">
          <cell r="N48" t="str">
            <v>MOVIJEREZ</v>
          </cell>
        </row>
        <row r="49">
          <cell r="N49" t="str">
            <v>MÓVIL BEGAR</v>
          </cell>
        </row>
        <row r="50">
          <cell r="N50" t="str">
            <v>MOVILNORTE</v>
          </cell>
        </row>
        <row r="51">
          <cell r="N51" t="str">
            <v>MURCIA PREMIUM</v>
          </cell>
        </row>
        <row r="52">
          <cell r="N52" t="str">
            <v>NOVOMÓVIL</v>
          </cell>
        </row>
        <row r="53">
          <cell r="N53" t="str">
            <v>OLIVA MOTOR</v>
          </cell>
        </row>
        <row r="54">
          <cell r="N54" t="str">
            <v>OLIVA MOTOR GIRONA</v>
          </cell>
        </row>
        <row r="55">
          <cell r="N55" t="str">
            <v>PROA PREMIUM</v>
          </cell>
        </row>
        <row r="56">
          <cell r="N56" t="str">
            <v>PRUNA MOTOR</v>
          </cell>
        </row>
        <row r="57">
          <cell r="N57" t="str">
            <v>PYRÉNÉES MOTORS</v>
          </cell>
        </row>
        <row r="58">
          <cell r="N58" t="str">
            <v>SAN PABLO MOTOR</v>
          </cell>
        </row>
        <row r="59">
          <cell r="N59" t="str">
            <v>SAN RAFAEL MOTOR</v>
          </cell>
        </row>
        <row r="60">
          <cell r="N60" t="str">
            <v>TORMES MOTOR</v>
          </cell>
        </row>
        <row r="61">
          <cell r="N61" t="str">
            <v>TRIOCAR</v>
          </cell>
        </row>
        <row r="62">
          <cell r="N62" t="str">
            <v>UNICARS PONENT</v>
          </cell>
        </row>
        <row r="63">
          <cell r="N63" t="str">
            <v>VEHINTER</v>
          </cell>
        </row>
      </sheetData>
      <sheetData sheetId="12"/>
      <sheetData sheetId="13">
        <row r="12">
          <cell r="G12" t="str">
            <v>BMW</v>
          </cell>
        </row>
      </sheetData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OLESALE"/>
      <sheetName val="RETAIL"/>
      <sheetName val="REPORTING AG"/>
      <sheetName val="RETAIL ORIGEN RMKT"/>
      <sheetName val="COMPRAS YUC"/>
      <sheetName val="COMPRAS UC"/>
      <sheetName val="BEV"/>
      <sheetName val="BPS"/>
      <sheetName val="PRESENTACION"/>
      <sheetName val="INFORME SEGUIMIENTO UC"/>
      <sheetName val="BBDD"/>
      <sheetName val="Grupos x Concesionarios"/>
    </sheetNames>
    <sheetDataSet>
      <sheetData sheetId="0"/>
      <sheetData sheetId="1">
        <row r="8">
          <cell r="B8" t="str">
            <v>Código INT</v>
          </cell>
          <cell r="C8" t="str">
            <v>Concesión</v>
          </cell>
          <cell r="D8" t="str">
            <v>Enero</v>
          </cell>
          <cell r="E8" t="str">
            <v>Febrero</v>
          </cell>
          <cell r="F8" t="str">
            <v>Marzo</v>
          </cell>
          <cell r="G8" t="str">
            <v>Abril</v>
          </cell>
          <cell r="H8" t="str">
            <v>Mayo</v>
          </cell>
          <cell r="I8" t="str">
            <v>Junio</v>
          </cell>
          <cell r="T8" t="str">
            <v>Código INT</v>
          </cell>
          <cell r="U8" t="str">
            <v>Concesión</v>
          </cell>
          <cell r="V8" t="str">
            <v>Enero</v>
          </cell>
          <cell r="W8" t="str">
            <v>Febrero</v>
          </cell>
          <cell r="X8" t="str">
            <v>Marzo</v>
          </cell>
          <cell r="Y8" t="str">
            <v>Abril</v>
          </cell>
          <cell r="Z8" t="str">
            <v>Mayo</v>
          </cell>
          <cell r="AA8" t="str">
            <v>Junio</v>
          </cell>
        </row>
        <row r="9">
          <cell r="B9">
            <v>100002</v>
          </cell>
          <cell r="C9" t="str">
            <v>Automoviles Bertolin S.L.</v>
          </cell>
          <cell r="D9">
            <v>18</v>
          </cell>
          <cell r="E9">
            <v>16</v>
          </cell>
          <cell r="F9">
            <v>17</v>
          </cell>
          <cell r="G9">
            <v>16</v>
          </cell>
          <cell r="H9">
            <v>12</v>
          </cell>
          <cell r="I9">
            <v>17</v>
          </cell>
          <cell r="T9">
            <v>100002</v>
          </cell>
          <cell r="U9" t="str">
            <v>Automoviles Bertolin S.L.</v>
          </cell>
          <cell r="V9">
            <v>7</v>
          </cell>
          <cell r="W9">
            <v>12</v>
          </cell>
          <cell r="X9">
            <v>13</v>
          </cell>
          <cell r="Y9">
            <v>7</v>
          </cell>
          <cell r="Z9">
            <v>5</v>
          </cell>
          <cell r="AA9">
            <v>8</v>
          </cell>
        </row>
        <row r="10">
          <cell r="B10">
            <v>100015</v>
          </cell>
          <cell r="C10" t="str">
            <v>Grunblau Motor - VO</v>
          </cell>
          <cell r="D10">
            <v>9</v>
          </cell>
          <cell r="E10">
            <v>8</v>
          </cell>
          <cell r="F10">
            <v>9</v>
          </cell>
          <cell r="G10">
            <v>9</v>
          </cell>
          <cell r="H10">
            <v>10</v>
          </cell>
          <cell r="I10">
            <v>22</v>
          </cell>
          <cell r="T10">
            <v>100015</v>
          </cell>
          <cell r="U10" t="str">
            <v>Grunblau Motor - VO</v>
          </cell>
          <cell r="V10">
            <v>3</v>
          </cell>
          <cell r="W10">
            <v>3</v>
          </cell>
          <cell r="X10">
            <v>1</v>
          </cell>
          <cell r="Y10">
            <v>2</v>
          </cell>
          <cell r="Z10">
            <v>1</v>
          </cell>
          <cell r="AA10">
            <v>7</v>
          </cell>
        </row>
        <row r="11">
          <cell r="B11">
            <v>100062</v>
          </cell>
          <cell r="C11" t="str">
            <v>Automoviles Fersan S.A.</v>
          </cell>
          <cell r="D11">
            <v>19</v>
          </cell>
          <cell r="E11">
            <v>26</v>
          </cell>
          <cell r="F11">
            <v>41</v>
          </cell>
          <cell r="G11">
            <v>30</v>
          </cell>
          <cell r="H11">
            <v>37</v>
          </cell>
          <cell r="I11">
            <v>84</v>
          </cell>
          <cell r="T11">
            <v>100062</v>
          </cell>
          <cell r="U11" t="str">
            <v>Automoviles Fersan S.A.</v>
          </cell>
          <cell r="V11">
            <v>5</v>
          </cell>
          <cell r="W11">
            <v>15</v>
          </cell>
          <cell r="X11">
            <v>11</v>
          </cell>
          <cell r="Y11">
            <v>11</v>
          </cell>
          <cell r="Z11">
            <v>20</v>
          </cell>
          <cell r="AA11">
            <v>16</v>
          </cell>
        </row>
        <row r="12">
          <cell r="B12">
            <v>100120</v>
          </cell>
          <cell r="C12" t="str">
            <v>Autogal</v>
          </cell>
          <cell r="E12">
            <v>3</v>
          </cell>
          <cell r="F12">
            <v>4</v>
          </cell>
          <cell r="G12">
            <v>5</v>
          </cell>
          <cell r="H12">
            <v>10</v>
          </cell>
          <cell r="I12">
            <v>10</v>
          </cell>
          <cell r="T12">
            <v>100120</v>
          </cell>
          <cell r="U12" t="str">
            <v>Autogal</v>
          </cell>
          <cell r="Y12">
            <v>1</v>
          </cell>
        </row>
        <row r="13">
          <cell r="B13">
            <v>100146</v>
          </cell>
          <cell r="C13" t="str">
            <v>Lugauto S.A.</v>
          </cell>
          <cell r="D13">
            <v>12</v>
          </cell>
          <cell r="E13">
            <v>4</v>
          </cell>
          <cell r="G13">
            <v>5</v>
          </cell>
          <cell r="H13">
            <v>1</v>
          </cell>
          <cell r="I13">
            <v>3</v>
          </cell>
          <cell r="T13">
            <v>100146</v>
          </cell>
          <cell r="U13" t="str">
            <v>Lugauto S.A.</v>
          </cell>
          <cell r="W13">
            <v>1</v>
          </cell>
          <cell r="Y13">
            <v>1</v>
          </cell>
        </row>
        <row r="14">
          <cell r="B14">
            <v>100155</v>
          </cell>
          <cell r="C14" t="str">
            <v>Automoviles Oviedo, S.A.</v>
          </cell>
          <cell r="D14">
            <v>5</v>
          </cell>
          <cell r="E14">
            <v>11</v>
          </cell>
          <cell r="F14">
            <v>15</v>
          </cell>
          <cell r="G14">
            <v>11</v>
          </cell>
          <cell r="H14">
            <v>6</v>
          </cell>
          <cell r="I14">
            <v>14</v>
          </cell>
          <cell r="T14">
            <v>100155</v>
          </cell>
          <cell r="U14" t="str">
            <v>Automoviles Oviedo, S.A.</v>
          </cell>
          <cell r="V14">
            <v>3</v>
          </cell>
          <cell r="W14">
            <v>3</v>
          </cell>
          <cell r="X14">
            <v>1</v>
          </cell>
          <cell r="Y14">
            <v>1</v>
          </cell>
          <cell r="Z14">
            <v>3</v>
          </cell>
          <cell r="AA14">
            <v>2</v>
          </cell>
        </row>
        <row r="15">
          <cell r="B15">
            <v>100190</v>
          </cell>
          <cell r="C15" t="str">
            <v>Burgocar - VO</v>
          </cell>
          <cell r="D15">
            <v>13</v>
          </cell>
          <cell r="E15">
            <v>11</v>
          </cell>
          <cell r="F15">
            <v>15</v>
          </cell>
          <cell r="G15">
            <v>21</v>
          </cell>
          <cell r="H15">
            <v>17</v>
          </cell>
          <cell r="I15">
            <v>24</v>
          </cell>
          <cell r="T15">
            <v>100190</v>
          </cell>
          <cell r="U15" t="str">
            <v>Burgocar - VO</v>
          </cell>
          <cell r="V15">
            <v>5</v>
          </cell>
          <cell r="W15">
            <v>5</v>
          </cell>
          <cell r="X15">
            <v>4</v>
          </cell>
          <cell r="Y15">
            <v>3</v>
          </cell>
          <cell r="Z15">
            <v>8</v>
          </cell>
          <cell r="AA15">
            <v>6</v>
          </cell>
        </row>
        <row r="16">
          <cell r="B16">
            <v>100206</v>
          </cell>
          <cell r="C16" t="str">
            <v>Hispamovil, S.A.</v>
          </cell>
          <cell r="D16">
            <v>22</v>
          </cell>
          <cell r="E16">
            <v>37</v>
          </cell>
          <cell r="F16">
            <v>32</v>
          </cell>
          <cell r="G16">
            <v>31</v>
          </cell>
          <cell r="H16">
            <v>24</v>
          </cell>
          <cell r="I16">
            <v>31</v>
          </cell>
          <cell r="T16">
            <v>100206</v>
          </cell>
          <cell r="U16" t="str">
            <v>Hispamovil, S.A.</v>
          </cell>
          <cell r="V16">
            <v>7</v>
          </cell>
          <cell r="W16">
            <v>7</v>
          </cell>
          <cell r="X16">
            <v>7</v>
          </cell>
          <cell r="Y16">
            <v>2</v>
          </cell>
          <cell r="Z16">
            <v>11</v>
          </cell>
          <cell r="AA16">
            <v>19</v>
          </cell>
        </row>
        <row r="17">
          <cell r="B17">
            <v>100213</v>
          </cell>
          <cell r="C17" t="str">
            <v>Movilnorte S.A.</v>
          </cell>
          <cell r="D17">
            <v>38</v>
          </cell>
          <cell r="E17">
            <v>51</v>
          </cell>
          <cell r="F17">
            <v>63</v>
          </cell>
          <cell r="G17">
            <v>48</v>
          </cell>
          <cell r="H17">
            <v>50</v>
          </cell>
          <cell r="I17">
            <v>49</v>
          </cell>
          <cell r="T17">
            <v>100213</v>
          </cell>
          <cell r="U17" t="str">
            <v>Movilnorte S.A.</v>
          </cell>
          <cell r="V17">
            <v>23</v>
          </cell>
          <cell r="W17">
            <v>17</v>
          </cell>
          <cell r="X17">
            <v>16</v>
          </cell>
          <cell r="Y17">
            <v>14</v>
          </cell>
          <cell r="Z17">
            <v>22</v>
          </cell>
          <cell r="AA17">
            <v>32</v>
          </cell>
        </row>
        <row r="18">
          <cell r="B18">
            <v>100304</v>
          </cell>
          <cell r="C18" t="str">
            <v xml:space="preserve">Novomóvil </v>
          </cell>
          <cell r="D18">
            <v>8</v>
          </cell>
          <cell r="E18">
            <v>9</v>
          </cell>
          <cell r="F18">
            <v>10</v>
          </cell>
          <cell r="G18">
            <v>17</v>
          </cell>
          <cell r="H18">
            <v>14</v>
          </cell>
          <cell r="I18">
            <v>38</v>
          </cell>
          <cell r="T18">
            <v>100304</v>
          </cell>
          <cell r="U18" t="str">
            <v xml:space="preserve">Novomóvil </v>
          </cell>
          <cell r="V18">
            <v>8</v>
          </cell>
          <cell r="W18">
            <v>2</v>
          </cell>
          <cell r="X18">
            <v>6</v>
          </cell>
          <cell r="Y18">
            <v>8</v>
          </cell>
          <cell r="Z18">
            <v>10</v>
          </cell>
          <cell r="AA18">
            <v>6</v>
          </cell>
        </row>
        <row r="19">
          <cell r="B19">
            <v>100307</v>
          </cell>
          <cell r="C19" t="str">
            <v>Avilcar S.L.</v>
          </cell>
          <cell r="D19">
            <v>2</v>
          </cell>
          <cell r="E19">
            <v>5</v>
          </cell>
          <cell r="F19">
            <v>8</v>
          </cell>
          <cell r="G19">
            <v>6</v>
          </cell>
          <cell r="H19">
            <v>4</v>
          </cell>
          <cell r="I19">
            <v>20</v>
          </cell>
          <cell r="T19">
            <v>100307</v>
          </cell>
          <cell r="U19" t="str">
            <v>Avilcar S.L.</v>
          </cell>
          <cell r="Y19">
            <v>1</v>
          </cell>
        </row>
        <row r="20">
          <cell r="B20">
            <v>100311</v>
          </cell>
          <cell r="C20" t="str">
            <v>Engasa S.A.</v>
          </cell>
          <cell r="D20">
            <v>15</v>
          </cell>
          <cell r="E20">
            <v>16</v>
          </cell>
          <cell r="F20">
            <v>24</v>
          </cell>
          <cell r="G20">
            <v>13</v>
          </cell>
          <cell r="H20">
            <v>25</v>
          </cell>
          <cell r="I20">
            <v>16</v>
          </cell>
          <cell r="T20">
            <v>100311</v>
          </cell>
          <cell r="U20" t="str">
            <v>Engasa S.A.</v>
          </cell>
          <cell r="V20">
            <v>1</v>
          </cell>
          <cell r="W20">
            <v>3</v>
          </cell>
          <cell r="X20">
            <v>10</v>
          </cell>
          <cell r="Y20">
            <v>9</v>
          </cell>
          <cell r="Z20">
            <v>7</v>
          </cell>
          <cell r="AA20">
            <v>6</v>
          </cell>
        </row>
        <row r="21">
          <cell r="B21">
            <v>100319</v>
          </cell>
          <cell r="C21" t="str">
            <v>Vehinter , S.A.</v>
          </cell>
          <cell r="D21">
            <v>50</v>
          </cell>
          <cell r="E21">
            <v>57</v>
          </cell>
          <cell r="F21">
            <v>63</v>
          </cell>
          <cell r="G21">
            <v>56</v>
          </cell>
          <cell r="H21">
            <v>44</v>
          </cell>
          <cell r="I21">
            <v>60</v>
          </cell>
          <cell r="T21">
            <v>100319</v>
          </cell>
          <cell r="U21" t="str">
            <v>Vehinter , S.A.</v>
          </cell>
          <cell r="V21">
            <v>7</v>
          </cell>
          <cell r="W21">
            <v>8</v>
          </cell>
          <cell r="X21">
            <v>19</v>
          </cell>
          <cell r="Y21">
            <v>21</v>
          </cell>
          <cell r="Z21">
            <v>10</v>
          </cell>
          <cell r="AA21">
            <v>19</v>
          </cell>
        </row>
        <row r="22">
          <cell r="B22">
            <v>100323</v>
          </cell>
          <cell r="C22" t="str">
            <v>Caetano Cuzco</v>
          </cell>
          <cell r="D22">
            <v>39</v>
          </cell>
          <cell r="E22">
            <v>42</v>
          </cell>
          <cell r="F22">
            <v>42</v>
          </cell>
          <cell r="G22">
            <v>34</v>
          </cell>
          <cell r="H22">
            <v>34</v>
          </cell>
          <cell r="I22">
            <v>39</v>
          </cell>
          <cell r="T22">
            <v>100323</v>
          </cell>
          <cell r="U22" t="str">
            <v>Caetano Cuzco</v>
          </cell>
          <cell r="V22">
            <v>9</v>
          </cell>
          <cell r="W22">
            <v>6</v>
          </cell>
          <cell r="X22">
            <v>14</v>
          </cell>
          <cell r="Y22">
            <v>12</v>
          </cell>
          <cell r="Z22">
            <v>8</v>
          </cell>
          <cell r="AA22">
            <v>14</v>
          </cell>
        </row>
        <row r="23">
          <cell r="B23">
            <v>100344</v>
          </cell>
          <cell r="C23" t="str">
            <v>San Pablo Motor S.L.</v>
          </cell>
          <cell r="D23">
            <v>37</v>
          </cell>
          <cell r="E23">
            <v>33</v>
          </cell>
          <cell r="F23">
            <v>39</v>
          </cell>
          <cell r="G23">
            <v>33</v>
          </cell>
          <cell r="H23">
            <v>29</v>
          </cell>
          <cell r="I23">
            <v>30</v>
          </cell>
          <cell r="T23">
            <v>100344</v>
          </cell>
          <cell r="U23" t="str">
            <v>San Pablo Motor S.L.</v>
          </cell>
          <cell r="V23">
            <v>5</v>
          </cell>
          <cell r="W23">
            <v>12</v>
          </cell>
          <cell r="X23">
            <v>7</v>
          </cell>
          <cell r="Y23">
            <v>5</v>
          </cell>
          <cell r="Z23">
            <v>8</v>
          </cell>
          <cell r="AA23">
            <v>13</v>
          </cell>
        </row>
        <row r="24">
          <cell r="B24">
            <v>100346</v>
          </cell>
          <cell r="C24" t="str">
            <v>Amiocar S.A.</v>
          </cell>
          <cell r="D24">
            <v>4</v>
          </cell>
          <cell r="E24">
            <v>7</v>
          </cell>
          <cell r="F24">
            <v>4</v>
          </cell>
          <cell r="G24">
            <v>5</v>
          </cell>
          <cell r="H24">
            <v>2</v>
          </cell>
          <cell r="I24">
            <v>4</v>
          </cell>
          <cell r="T24">
            <v>100346</v>
          </cell>
          <cell r="U24" t="str">
            <v>Amiocar S.A.</v>
          </cell>
          <cell r="W24">
            <v>2</v>
          </cell>
          <cell r="X24">
            <v>1</v>
          </cell>
          <cell r="Y24">
            <v>2</v>
          </cell>
          <cell r="Z24">
            <v>2</v>
          </cell>
          <cell r="AA24">
            <v>1</v>
          </cell>
        </row>
        <row r="25">
          <cell r="B25">
            <v>100348</v>
          </cell>
          <cell r="C25" t="str">
            <v>Augusta Aragon S.A.</v>
          </cell>
          <cell r="D25">
            <v>22</v>
          </cell>
          <cell r="E25">
            <v>30</v>
          </cell>
          <cell r="F25">
            <v>35</v>
          </cell>
          <cell r="G25">
            <v>33</v>
          </cell>
          <cell r="H25">
            <v>26</v>
          </cell>
          <cell r="I25">
            <v>29</v>
          </cell>
          <cell r="T25">
            <v>100348</v>
          </cell>
          <cell r="U25" t="str">
            <v>Augusta Aragon S.A.</v>
          </cell>
          <cell r="V25">
            <v>6</v>
          </cell>
          <cell r="W25">
            <v>4</v>
          </cell>
          <cell r="X25">
            <v>6</v>
          </cell>
          <cell r="Y25">
            <v>5</v>
          </cell>
          <cell r="Z25">
            <v>7</v>
          </cell>
          <cell r="AA25">
            <v>6</v>
          </cell>
        </row>
        <row r="26">
          <cell r="B26">
            <v>100349</v>
          </cell>
          <cell r="C26" t="str">
            <v>Auto Premier Baviera S.A.</v>
          </cell>
          <cell r="D26">
            <v>36</v>
          </cell>
          <cell r="E26">
            <v>60</v>
          </cell>
          <cell r="F26">
            <v>67</v>
          </cell>
          <cell r="G26">
            <v>71</v>
          </cell>
          <cell r="H26">
            <v>44</v>
          </cell>
          <cell r="I26">
            <v>60</v>
          </cell>
          <cell r="T26">
            <v>100349</v>
          </cell>
          <cell r="U26" t="str">
            <v>Auto Premier Baviera S.A.</v>
          </cell>
          <cell r="V26">
            <v>11</v>
          </cell>
          <cell r="W26">
            <v>8</v>
          </cell>
          <cell r="X26">
            <v>14</v>
          </cell>
          <cell r="Y26">
            <v>14</v>
          </cell>
          <cell r="Z26">
            <v>17</v>
          </cell>
          <cell r="AA26">
            <v>19</v>
          </cell>
        </row>
        <row r="27">
          <cell r="B27">
            <v>100379</v>
          </cell>
          <cell r="C27" t="str">
            <v>Triocar - VO</v>
          </cell>
          <cell r="D27">
            <v>13</v>
          </cell>
          <cell r="E27">
            <v>15</v>
          </cell>
          <cell r="F27">
            <v>20</v>
          </cell>
          <cell r="G27">
            <v>11</v>
          </cell>
          <cell r="H27">
            <v>27</v>
          </cell>
          <cell r="I27">
            <v>33</v>
          </cell>
          <cell r="T27">
            <v>100379</v>
          </cell>
          <cell r="U27" t="str">
            <v>Triocar - VO</v>
          </cell>
          <cell r="V27">
            <v>2</v>
          </cell>
          <cell r="W27">
            <v>10</v>
          </cell>
          <cell r="X27">
            <v>8</v>
          </cell>
          <cell r="Y27">
            <v>5</v>
          </cell>
          <cell r="Z27">
            <v>4</v>
          </cell>
          <cell r="AA27">
            <v>5</v>
          </cell>
        </row>
        <row r="28">
          <cell r="B28">
            <v>100380</v>
          </cell>
          <cell r="C28" t="str">
            <v>Ceres Motor</v>
          </cell>
          <cell r="D28">
            <v>11</v>
          </cell>
          <cell r="E28">
            <v>22</v>
          </cell>
          <cell r="F28">
            <v>26</v>
          </cell>
          <cell r="G28">
            <v>25</v>
          </cell>
          <cell r="H28">
            <v>11</v>
          </cell>
          <cell r="I28">
            <v>27</v>
          </cell>
          <cell r="T28">
            <v>100380</v>
          </cell>
          <cell r="U28" t="str">
            <v>Ceres Motor</v>
          </cell>
          <cell r="V28">
            <v>2</v>
          </cell>
          <cell r="W28">
            <v>3</v>
          </cell>
          <cell r="X28">
            <v>1</v>
          </cell>
          <cell r="Y28">
            <v>3</v>
          </cell>
          <cell r="Z28">
            <v>2</v>
          </cell>
          <cell r="AA28">
            <v>1</v>
          </cell>
        </row>
        <row r="29">
          <cell r="B29">
            <v>100389</v>
          </cell>
          <cell r="C29" t="str">
            <v>Canaauto</v>
          </cell>
          <cell r="D29">
            <v>4</v>
          </cell>
          <cell r="E29">
            <v>42</v>
          </cell>
          <cell r="F29">
            <v>25</v>
          </cell>
          <cell r="G29">
            <v>18</v>
          </cell>
          <cell r="H29">
            <v>18</v>
          </cell>
          <cell r="I29">
            <v>32</v>
          </cell>
          <cell r="T29">
            <v>100389</v>
          </cell>
          <cell r="U29" t="str">
            <v>Canaauto</v>
          </cell>
          <cell r="V29">
            <v>3</v>
          </cell>
          <cell r="W29">
            <v>6</v>
          </cell>
          <cell r="X29">
            <v>8</v>
          </cell>
          <cell r="Y29">
            <v>4</v>
          </cell>
          <cell r="Z29">
            <v>4</v>
          </cell>
          <cell r="AA29">
            <v>3</v>
          </cell>
        </row>
        <row r="30">
          <cell r="B30">
            <v>100393</v>
          </cell>
          <cell r="C30" t="str">
            <v>Murcia Premium</v>
          </cell>
          <cell r="D30">
            <v>23</v>
          </cell>
          <cell r="E30">
            <v>15</v>
          </cell>
          <cell r="F30">
            <v>21</v>
          </cell>
          <cell r="G30">
            <v>19</v>
          </cell>
          <cell r="H30">
            <v>18</v>
          </cell>
          <cell r="I30">
            <v>14</v>
          </cell>
          <cell r="T30">
            <v>100393</v>
          </cell>
          <cell r="U30" t="str">
            <v>Murcia Premium</v>
          </cell>
          <cell r="V30">
            <v>11</v>
          </cell>
          <cell r="W30">
            <v>5</v>
          </cell>
          <cell r="X30">
            <v>10</v>
          </cell>
          <cell r="Y30">
            <v>5</v>
          </cell>
          <cell r="Z30">
            <v>6</v>
          </cell>
          <cell r="AA30">
            <v>8</v>
          </cell>
        </row>
        <row r="31">
          <cell r="B31">
            <v>100394</v>
          </cell>
          <cell r="C31" t="str">
            <v>Maberauto</v>
          </cell>
          <cell r="D31">
            <v>4</v>
          </cell>
          <cell r="E31">
            <v>10</v>
          </cell>
          <cell r="F31">
            <v>5</v>
          </cell>
          <cell r="G31">
            <v>12</v>
          </cell>
          <cell r="H31">
            <v>3</v>
          </cell>
          <cell r="I31">
            <v>9</v>
          </cell>
          <cell r="T31">
            <v>100394</v>
          </cell>
          <cell r="U31" t="str">
            <v>Maberauto</v>
          </cell>
          <cell r="V31">
            <v>2</v>
          </cell>
          <cell r="X31">
            <v>4</v>
          </cell>
          <cell r="Y31">
            <v>3</v>
          </cell>
          <cell r="Z31">
            <v>1</v>
          </cell>
          <cell r="AA31">
            <v>1</v>
          </cell>
        </row>
        <row r="32">
          <cell r="B32">
            <v>100410</v>
          </cell>
          <cell r="C32" t="str">
            <v>Celtamotor - VO</v>
          </cell>
          <cell r="D32">
            <v>24</v>
          </cell>
          <cell r="E32">
            <v>13</v>
          </cell>
          <cell r="F32">
            <v>28</v>
          </cell>
          <cell r="G32">
            <v>12</v>
          </cell>
          <cell r="H32">
            <v>30</v>
          </cell>
          <cell r="I32">
            <v>39</v>
          </cell>
          <cell r="T32">
            <v>100410</v>
          </cell>
          <cell r="U32" t="str">
            <v>Celtamotor - VO</v>
          </cell>
          <cell r="V32">
            <v>8</v>
          </cell>
          <cell r="W32">
            <v>5</v>
          </cell>
          <cell r="X32">
            <v>9</v>
          </cell>
          <cell r="Y32">
            <v>4</v>
          </cell>
          <cell r="Z32">
            <v>6</v>
          </cell>
          <cell r="AA32">
            <v>13</v>
          </cell>
        </row>
        <row r="33">
          <cell r="B33">
            <v>100418</v>
          </cell>
          <cell r="C33" t="str">
            <v>Fuenteolid S.L.</v>
          </cell>
          <cell r="D33">
            <v>1</v>
          </cell>
          <cell r="E33">
            <v>14</v>
          </cell>
          <cell r="F33">
            <v>10</v>
          </cell>
          <cell r="G33">
            <v>9</v>
          </cell>
          <cell r="H33">
            <v>6</v>
          </cell>
          <cell r="I33">
            <v>14</v>
          </cell>
          <cell r="T33">
            <v>100418</v>
          </cell>
          <cell r="U33" t="str">
            <v>Fuenteolid S.L.</v>
          </cell>
          <cell r="W33">
            <v>5</v>
          </cell>
          <cell r="X33">
            <v>2</v>
          </cell>
          <cell r="Y33">
            <v>4</v>
          </cell>
          <cell r="Z33">
            <v>2</v>
          </cell>
          <cell r="AA33">
            <v>1</v>
          </cell>
        </row>
        <row r="34">
          <cell r="B34">
            <v>100422</v>
          </cell>
          <cell r="C34" t="str">
            <v>San Rafael Motor, S.L.</v>
          </cell>
          <cell r="D34">
            <v>8</v>
          </cell>
          <cell r="E34">
            <v>18</v>
          </cell>
          <cell r="F34">
            <v>14</v>
          </cell>
          <cell r="G34">
            <v>17</v>
          </cell>
          <cell r="H34">
            <v>12</v>
          </cell>
          <cell r="I34">
            <v>14</v>
          </cell>
          <cell r="T34">
            <v>100422</v>
          </cell>
          <cell r="U34" t="str">
            <v>San Rafael Motor, S.L.</v>
          </cell>
          <cell r="V34">
            <v>6</v>
          </cell>
          <cell r="W34">
            <v>2</v>
          </cell>
          <cell r="X34">
            <v>1</v>
          </cell>
          <cell r="Y34">
            <v>2</v>
          </cell>
          <cell r="Z34">
            <v>5</v>
          </cell>
          <cell r="AA34">
            <v>5</v>
          </cell>
        </row>
        <row r="35">
          <cell r="B35">
            <v>100454</v>
          </cell>
          <cell r="C35" t="str">
            <v>Autoram</v>
          </cell>
          <cell r="D35">
            <v>8</v>
          </cell>
          <cell r="E35">
            <v>2</v>
          </cell>
          <cell r="F35">
            <v>2</v>
          </cell>
          <cell r="G35">
            <v>3</v>
          </cell>
          <cell r="H35">
            <v>1</v>
          </cell>
          <cell r="I35">
            <v>3</v>
          </cell>
          <cell r="T35">
            <v>100468</v>
          </cell>
          <cell r="U35" t="str">
            <v>Móvil Begar Levante, S.A.</v>
          </cell>
          <cell r="V35">
            <v>2</v>
          </cell>
          <cell r="W35">
            <v>1</v>
          </cell>
          <cell r="X35">
            <v>1</v>
          </cell>
          <cell r="Y35">
            <v>2</v>
          </cell>
          <cell r="Z35">
            <v>8</v>
          </cell>
          <cell r="AA35">
            <v>10</v>
          </cell>
        </row>
        <row r="36">
          <cell r="B36">
            <v>100468</v>
          </cell>
          <cell r="C36" t="str">
            <v>Móvil Begar Levante, S.A.</v>
          </cell>
          <cell r="D36">
            <v>33</v>
          </cell>
          <cell r="E36">
            <v>32</v>
          </cell>
          <cell r="F36">
            <v>39</v>
          </cell>
          <cell r="G36">
            <v>35</v>
          </cell>
          <cell r="H36">
            <v>37</v>
          </cell>
          <cell r="I36">
            <v>36</v>
          </cell>
          <cell r="T36">
            <v>100549</v>
          </cell>
          <cell r="U36" t="str">
            <v xml:space="preserve">Carteya Motor S.L. </v>
          </cell>
          <cell r="V36">
            <v>3</v>
          </cell>
          <cell r="W36">
            <v>1</v>
          </cell>
          <cell r="X36">
            <v>1</v>
          </cell>
          <cell r="Y36">
            <v>4</v>
          </cell>
          <cell r="Z36">
            <v>5</v>
          </cell>
          <cell r="AA36">
            <v>5</v>
          </cell>
        </row>
        <row r="37">
          <cell r="B37">
            <v>100549</v>
          </cell>
          <cell r="C37" t="str">
            <v xml:space="preserve">Carteya Motor S.L. </v>
          </cell>
          <cell r="D37">
            <v>7</v>
          </cell>
          <cell r="E37">
            <v>7</v>
          </cell>
          <cell r="F37">
            <v>11</v>
          </cell>
          <cell r="G37">
            <v>7</v>
          </cell>
          <cell r="H37">
            <v>7</v>
          </cell>
          <cell r="I37">
            <v>7</v>
          </cell>
          <cell r="T37">
            <v>100571</v>
          </cell>
          <cell r="U37" t="str">
            <v>Tormes Motor</v>
          </cell>
          <cell r="W37">
            <v>3</v>
          </cell>
          <cell r="Y37">
            <v>2</v>
          </cell>
          <cell r="Z37">
            <v>1</v>
          </cell>
          <cell r="AA37">
            <v>1</v>
          </cell>
        </row>
        <row r="38">
          <cell r="B38">
            <v>100571</v>
          </cell>
          <cell r="C38" t="str">
            <v>Tormes Motor</v>
          </cell>
          <cell r="D38">
            <v>1</v>
          </cell>
          <cell r="E38">
            <v>2</v>
          </cell>
          <cell r="F38">
            <v>2</v>
          </cell>
          <cell r="I38">
            <v>3</v>
          </cell>
          <cell r="T38">
            <v>100572</v>
          </cell>
          <cell r="U38" t="str">
            <v>Barcelona Premium</v>
          </cell>
          <cell r="V38">
            <v>19</v>
          </cell>
          <cell r="W38">
            <v>29</v>
          </cell>
          <cell r="X38">
            <v>27</v>
          </cell>
          <cell r="Y38">
            <v>24</v>
          </cell>
          <cell r="Z38">
            <v>22</v>
          </cell>
          <cell r="AA38">
            <v>32</v>
          </cell>
        </row>
        <row r="39">
          <cell r="B39">
            <v>100572</v>
          </cell>
          <cell r="C39" t="str">
            <v>Barcelona Premium</v>
          </cell>
          <cell r="D39">
            <v>47</v>
          </cell>
          <cell r="E39">
            <v>49</v>
          </cell>
          <cell r="F39">
            <v>47</v>
          </cell>
          <cell r="G39">
            <v>30</v>
          </cell>
          <cell r="H39">
            <v>43</v>
          </cell>
          <cell r="I39">
            <v>52</v>
          </cell>
          <cell r="T39">
            <v>100584</v>
          </cell>
          <cell r="U39" t="str">
            <v xml:space="preserve">Pruna Motor </v>
          </cell>
          <cell r="V39">
            <v>12</v>
          </cell>
          <cell r="W39">
            <v>10</v>
          </cell>
          <cell r="X39">
            <v>6</v>
          </cell>
          <cell r="Y39">
            <v>7</v>
          </cell>
          <cell r="Z39">
            <v>14</v>
          </cell>
          <cell r="AA39">
            <v>13</v>
          </cell>
        </row>
        <row r="40">
          <cell r="B40">
            <v>100584</v>
          </cell>
          <cell r="C40" t="str">
            <v xml:space="preserve">Pruna Motor </v>
          </cell>
          <cell r="D40">
            <v>14</v>
          </cell>
          <cell r="E40">
            <v>12</v>
          </cell>
          <cell r="F40">
            <v>9</v>
          </cell>
          <cell r="G40">
            <v>16</v>
          </cell>
          <cell r="H40">
            <v>21</v>
          </cell>
          <cell r="I40">
            <v>43</v>
          </cell>
          <cell r="T40">
            <v>100586</v>
          </cell>
          <cell r="U40" t="str">
            <v>Automotor Premium</v>
          </cell>
          <cell r="V40">
            <v>11</v>
          </cell>
          <cell r="W40">
            <v>14</v>
          </cell>
          <cell r="X40">
            <v>16</v>
          </cell>
          <cell r="Y40">
            <v>23</v>
          </cell>
          <cell r="Z40">
            <v>16</v>
          </cell>
          <cell r="AA40">
            <v>21</v>
          </cell>
        </row>
        <row r="41">
          <cell r="B41">
            <v>100585</v>
          </cell>
          <cell r="C41" t="str">
            <v>Cabrero Motorsport</v>
          </cell>
          <cell r="D41">
            <v>6</v>
          </cell>
          <cell r="E41">
            <v>5</v>
          </cell>
          <cell r="F41">
            <v>11</v>
          </cell>
          <cell r="G41">
            <v>2</v>
          </cell>
          <cell r="H41">
            <v>9</v>
          </cell>
          <cell r="I41">
            <v>10</v>
          </cell>
          <cell r="T41">
            <v>100589</v>
          </cell>
          <cell r="U41" t="str">
            <v xml:space="preserve">Ilbira Motor </v>
          </cell>
          <cell r="V41">
            <v>2</v>
          </cell>
          <cell r="W41">
            <v>2</v>
          </cell>
          <cell r="X41">
            <v>6</v>
          </cell>
          <cell r="Z41">
            <v>7</v>
          </cell>
          <cell r="AA41">
            <v>5</v>
          </cell>
        </row>
        <row r="42">
          <cell r="B42">
            <v>100586</v>
          </cell>
          <cell r="C42" t="str">
            <v>Automotor Premium</v>
          </cell>
          <cell r="D42">
            <v>38</v>
          </cell>
          <cell r="E42">
            <v>56</v>
          </cell>
          <cell r="F42">
            <v>54</v>
          </cell>
          <cell r="G42">
            <v>42</v>
          </cell>
          <cell r="H42">
            <v>55</v>
          </cell>
          <cell r="I42">
            <v>45</v>
          </cell>
          <cell r="T42">
            <v>100726</v>
          </cell>
          <cell r="U42" t="str">
            <v>Enekuri Motor</v>
          </cell>
          <cell r="V42">
            <v>2</v>
          </cell>
          <cell r="W42">
            <v>5</v>
          </cell>
          <cell r="X42">
            <v>5</v>
          </cell>
          <cell r="Y42">
            <v>6</v>
          </cell>
          <cell r="Z42">
            <v>2</v>
          </cell>
          <cell r="AA42">
            <v>11</v>
          </cell>
        </row>
        <row r="43">
          <cell r="B43">
            <v>100589</v>
          </cell>
          <cell r="C43" t="str">
            <v xml:space="preserve">Ilbira Motor </v>
          </cell>
          <cell r="D43">
            <v>24</v>
          </cell>
          <cell r="E43">
            <v>31</v>
          </cell>
          <cell r="F43">
            <v>27</v>
          </cell>
          <cell r="G43">
            <v>22</v>
          </cell>
          <cell r="H43">
            <v>15</v>
          </cell>
          <cell r="I43">
            <v>16</v>
          </cell>
          <cell r="T43">
            <v>100727</v>
          </cell>
          <cell r="U43" t="str">
            <v>Unicars Ponent</v>
          </cell>
          <cell r="V43">
            <v>3</v>
          </cell>
          <cell r="W43">
            <v>5</v>
          </cell>
          <cell r="X43">
            <v>1</v>
          </cell>
          <cell r="Y43">
            <v>2</v>
          </cell>
          <cell r="Z43">
            <v>3</v>
          </cell>
          <cell r="AA43">
            <v>1</v>
          </cell>
        </row>
        <row r="44">
          <cell r="B44">
            <v>100597</v>
          </cell>
          <cell r="C44" t="str">
            <v>Autoberón</v>
          </cell>
          <cell r="D44">
            <v>7</v>
          </cell>
          <cell r="E44">
            <v>7</v>
          </cell>
          <cell r="F44">
            <v>6</v>
          </cell>
          <cell r="G44">
            <v>8</v>
          </cell>
          <cell r="H44">
            <v>3</v>
          </cell>
          <cell r="I44">
            <v>7</v>
          </cell>
          <cell r="T44">
            <v>100728</v>
          </cell>
          <cell r="U44" t="str">
            <v>Oliva Motor</v>
          </cell>
          <cell r="V44">
            <v>5</v>
          </cell>
          <cell r="W44">
            <v>16</v>
          </cell>
          <cell r="X44">
            <v>1</v>
          </cell>
          <cell r="Y44">
            <v>10</v>
          </cell>
          <cell r="Z44">
            <v>13</v>
          </cell>
          <cell r="AA44">
            <v>26</v>
          </cell>
        </row>
        <row r="45">
          <cell r="B45">
            <v>100726</v>
          </cell>
          <cell r="C45" t="str">
            <v>Enekuri Motor</v>
          </cell>
          <cell r="D45">
            <v>7</v>
          </cell>
          <cell r="E45">
            <v>12</v>
          </cell>
          <cell r="F45">
            <v>24</v>
          </cell>
          <cell r="G45">
            <v>14</v>
          </cell>
          <cell r="H45">
            <v>9</v>
          </cell>
          <cell r="I45">
            <v>25</v>
          </cell>
          <cell r="T45">
            <v>100730</v>
          </cell>
          <cell r="U45" t="str">
            <v>Adler Motor</v>
          </cell>
          <cell r="V45">
            <v>2</v>
          </cell>
          <cell r="X45">
            <v>5</v>
          </cell>
          <cell r="Y45">
            <v>3</v>
          </cell>
          <cell r="Z45">
            <v>3</v>
          </cell>
          <cell r="AA45">
            <v>6</v>
          </cell>
        </row>
        <row r="46">
          <cell r="B46">
            <v>100727</v>
          </cell>
          <cell r="C46" t="str">
            <v>Unicars Ponent</v>
          </cell>
          <cell r="D46">
            <v>15</v>
          </cell>
          <cell r="E46">
            <v>20</v>
          </cell>
          <cell r="F46">
            <v>5</v>
          </cell>
          <cell r="G46">
            <v>10</v>
          </cell>
          <cell r="H46">
            <v>7</v>
          </cell>
          <cell r="I46">
            <v>21</v>
          </cell>
          <cell r="T46">
            <v>100734</v>
          </cell>
          <cell r="U46" t="str">
            <v>Proa Premium</v>
          </cell>
          <cell r="V46">
            <v>15</v>
          </cell>
          <cell r="W46">
            <v>8</v>
          </cell>
          <cell r="X46">
            <v>31</v>
          </cell>
          <cell r="Y46">
            <v>28</v>
          </cell>
          <cell r="Z46">
            <v>27</v>
          </cell>
          <cell r="AA46">
            <v>16</v>
          </cell>
        </row>
        <row r="47">
          <cell r="B47">
            <v>100728</v>
          </cell>
          <cell r="C47" t="str">
            <v>Oliva Motor</v>
          </cell>
          <cell r="D47">
            <v>24</v>
          </cell>
          <cell r="E47">
            <v>27</v>
          </cell>
          <cell r="F47">
            <v>33</v>
          </cell>
          <cell r="G47">
            <v>45</v>
          </cell>
          <cell r="H47">
            <v>23</v>
          </cell>
          <cell r="I47">
            <v>60</v>
          </cell>
          <cell r="T47">
            <v>100738</v>
          </cell>
          <cell r="U47" t="str">
            <v>Marmotor</v>
          </cell>
          <cell r="V47">
            <v>3</v>
          </cell>
          <cell r="W47">
            <v>2</v>
          </cell>
          <cell r="X47">
            <v>7</v>
          </cell>
          <cell r="Y47">
            <v>1</v>
          </cell>
          <cell r="Z47">
            <v>3</v>
          </cell>
          <cell r="AA47">
            <v>11</v>
          </cell>
        </row>
        <row r="48">
          <cell r="B48">
            <v>100730</v>
          </cell>
          <cell r="C48" t="str">
            <v>Adler Motor</v>
          </cell>
          <cell r="D48">
            <v>11</v>
          </cell>
          <cell r="E48">
            <v>19</v>
          </cell>
          <cell r="F48">
            <v>18</v>
          </cell>
          <cell r="G48">
            <v>9</v>
          </cell>
          <cell r="H48">
            <v>16</v>
          </cell>
          <cell r="I48">
            <v>25</v>
          </cell>
          <cell r="T48">
            <v>100739</v>
          </cell>
          <cell r="U48" t="str">
            <v>Bernesga Motor - VO</v>
          </cell>
          <cell r="V48">
            <v>1</v>
          </cell>
          <cell r="W48">
            <v>2</v>
          </cell>
          <cell r="X48">
            <v>3</v>
          </cell>
          <cell r="Y48">
            <v>2</v>
          </cell>
          <cell r="Z48">
            <v>4</v>
          </cell>
          <cell r="AA48">
            <v>6</v>
          </cell>
        </row>
        <row r="49">
          <cell r="B49">
            <v>100734</v>
          </cell>
          <cell r="C49" t="str">
            <v>Proa Premium</v>
          </cell>
          <cell r="D49">
            <v>23</v>
          </cell>
          <cell r="E49">
            <v>35</v>
          </cell>
          <cell r="F49">
            <v>39</v>
          </cell>
          <cell r="G49">
            <v>23</v>
          </cell>
          <cell r="H49">
            <v>32</v>
          </cell>
          <cell r="I49">
            <v>49</v>
          </cell>
          <cell r="T49">
            <v>100764</v>
          </cell>
          <cell r="U49" t="str">
            <v>Albamocion S.L.</v>
          </cell>
          <cell r="V49">
            <v>1</v>
          </cell>
          <cell r="W49">
            <v>1</v>
          </cell>
          <cell r="X49">
            <v>4</v>
          </cell>
          <cell r="Y49">
            <v>1</v>
          </cell>
          <cell r="Z49">
            <v>1</v>
          </cell>
          <cell r="AA49">
            <v>1</v>
          </cell>
        </row>
        <row r="50">
          <cell r="B50">
            <v>100738</v>
          </cell>
          <cell r="C50" t="str">
            <v>Marmotor</v>
          </cell>
          <cell r="D50">
            <v>11</v>
          </cell>
          <cell r="E50">
            <v>7</v>
          </cell>
          <cell r="F50">
            <v>14</v>
          </cell>
          <cell r="G50">
            <v>11</v>
          </cell>
          <cell r="H50">
            <v>12</v>
          </cell>
          <cell r="I50">
            <v>9</v>
          </cell>
          <cell r="T50">
            <v>100813</v>
          </cell>
          <cell r="U50" t="str">
            <v>Automotor Costa</v>
          </cell>
          <cell r="V50">
            <v>5</v>
          </cell>
          <cell r="W50">
            <v>6</v>
          </cell>
          <cell r="X50">
            <v>9</v>
          </cell>
          <cell r="Y50">
            <v>6</v>
          </cell>
          <cell r="Z50">
            <v>12</v>
          </cell>
          <cell r="AA50">
            <v>8</v>
          </cell>
        </row>
        <row r="51">
          <cell r="B51">
            <v>100739</v>
          </cell>
          <cell r="C51" t="str">
            <v>Bernesga Motor - VO</v>
          </cell>
          <cell r="D51">
            <v>10</v>
          </cell>
          <cell r="E51">
            <v>6</v>
          </cell>
          <cell r="F51">
            <v>13</v>
          </cell>
          <cell r="G51">
            <v>5</v>
          </cell>
          <cell r="H51">
            <v>9</v>
          </cell>
          <cell r="I51">
            <v>12</v>
          </cell>
          <cell r="T51">
            <v>100817</v>
          </cell>
          <cell r="U51" t="str">
            <v>Oliva Motor Girona</v>
          </cell>
          <cell r="V51">
            <v>16</v>
          </cell>
          <cell r="W51">
            <v>7</v>
          </cell>
          <cell r="X51">
            <v>24</v>
          </cell>
          <cell r="Y51">
            <v>16</v>
          </cell>
          <cell r="Z51">
            <v>20</v>
          </cell>
          <cell r="AA51">
            <v>20</v>
          </cell>
        </row>
        <row r="52">
          <cell r="B52">
            <v>100764</v>
          </cell>
          <cell r="C52" t="str">
            <v>Albamocion S.L.</v>
          </cell>
          <cell r="D52">
            <v>17</v>
          </cell>
          <cell r="E52">
            <v>21</v>
          </cell>
          <cell r="F52">
            <v>14</v>
          </cell>
          <cell r="G52">
            <v>13</v>
          </cell>
          <cell r="H52">
            <v>19</v>
          </cell>
          <cell r="I52">
            <v>37</v>
          </cell>
          <cell r="T52">
            <v>100819</v>
          </cell>
          <cell r="U52" t="str">
            <v>Motri Motor, S.A.</v>
          </cell>
          <cell r="V52">
            <v>2</v>
          </cell>
          <cell r="W52">
            <v>4</v>
          </cell>
          <cell r="X52">
            <v>4</v>
          </cell>
          <cell r="Y52">
            <v>2</v>
          </cell>
          <cell r="Z52">
            <v>4</v>
          </cell>
        </row>
        <row r="53">
          <cell r="B53">
            <v>100813</v>
          </cell>
          <cell r="C53" t="str">
            <v>Automotor Costa</v>
          </cell>
          <cell r="D53">
            <v>37</v>
          </cell>
          <cell r="E53">
            <v>42</v>
          </cell>
          <cell r="F53">
            <v>38</v>
          </cell>
          <cell r="G53">
            <v>37</v>
          </cell>
          <cell r="H53">
            <v>25</v>
          </cell>
          <cell r="I53">
            <v>39</v>
          </cell>
          <cell r="T53">
            <v>100873</v>
          </cell>
          <cell r="U53" t="str">
            <v>Bymycar Madrid</v>
          </cell>
          <cell r="V53">
            <v>19</v>
          </cell>
          <cell r="W53">
            <v>23</v>
          </cell>
          <cell r="X53">
            <v>16</v>
          </cell>
          <cell r="Y53">
            <v>21</v>
          </cell>
          <cell r="Z53">
            <v>28</v>
          </cell>
          <cell r="AA53">
            <v>36</v>
          </cell>
        </row>
        <row r="54">
          <cell r="B54">
            <v>100817</v>
          </cell>
          <cell r="C54" t="str">
            <v>Oliva Motor Girona</v>
          </cell>
          <cell r="D54">
            <v>30</v>
          </cell>
          <cell r="E54">
            <v>22</v>
          </cell>
          <cell r="F54">
            <v>38</v>
          </cell>
          <cell r="G54">
            <v>42</v>
          </cell>
          <cell r="H54">
            <v>39</v>
          </cell>
          <cell r="I54">
            <v>47</v>
          </cell>
          <cell r="T54">
            <v>100881</v>
          </cell>
          <cell r="U54" t="str">
            <v>Movitransa Cars</v>
          </cell>
          <cell r="V54">
            <v>3</v>
          </cell>
          <cell r="W54">
            <v>8</v>
          </cell>
          <cell r="X54">
            <v>5</v>
          </cell>
          <cell r="Y54">
            <v>10</v>
          </cell>
          <cell r="Z54">
            <v>4</v>
          </cell>
          <cell r="AA54">
            <v>9</v>
          </cell>
        </row>
        <row r="55">
          <cell r="B55">
            <v>100819</v>
          </cell>
          <cell r="C55" t="str">
            <v>Motri Motor, S.A.</v>
          </cell>
          <cell r="D55">
            <v>14</v>
          </cell>
          <cell r="E55">
            <v>21</v>
          </cell>
          <cell r="F55">
            <v>19</v>
          </cell>
          <cell r="G55">
            <v>18</v>
          </cell>
          <cell r="H55">
            <v>15</v>
          </cell>
          <cell r="I55">
            <v>16</v>
          </cell>
          <cell r="T55">
            <v>100765</v>
          </cell>
          <cell r="U55" t="str">
            <v xml:space="preserve">Lizaga Motor </v>
          </cell>
          <cell r="Z55">
            <v>1</v>
          </cell>
        </row>
        <row r="56">
          <cell r="B56">
            <v>100873</v>
          </cell>
          <cell r="C56" t="str">
            <v>Bymycar Madrid</v>
          </cell>
          <cell r="D56">
            <v>58</v>
          </cell>
          <cell r="E56">
            <v>73</v>
          </cell>
          <cell r="F56">
            <v>93</v>
          </cell>
          <cell r="G56">
            <v>77</v>
          </cell>
          <cell r="H56">
            <v>74</v>
          </cell>
          <cell r="I56">
            <v>76</v>
          </cell>
          <cell r="T56">
            <v>100909</v>
          </cell>
          <cell r="U56" t="str">
            <v>Quadis Munich</v>
          </cell>
          <cell r="V56">
            <v>6</v>
          </cell>
          <cell r="W56">
            <v>5</v>
          </cell>
          <cell r="X56">
            <v>7</v>
          </cell>
          <cell r="Y56">
            <v>13</v>
          </cell>
          <cell r="Z56">
            <v>12</v>
          </cell>
          <cell r="AA56">
            <v>12</v>
          </cell>
        </row>
        <row r="57">
          <cell r="B57">
            <v>100881</v>
          </cell>
          <cell r="C57" t="str">
            <v>Movitransa Cars</v>
          </cell>
          <cell r="D57">
            <v>17</v>
          </cell>
          <cell r="E57">
            <v>19</v>
          </cell>
          <cell r="F57">
            <v>32</v>
          </cell>
          <cell r="G57">
            <v>37</v>
          </cell>
          <cell r="H57">
            <v>28</v>
          </cell>
          <cell r="I57">
            <v>35</v>
          </cell>
          <cell r="T57">
            <v>100917</v>
          </cell>
          <cell r="U57" t="str">
            <v>Momentum Norte</v>
          </cell>
          <cell r="V57">
            <v>1</v>
          </cell>
          <cell r="W57">
            <v>1</v>
          </cell>
          <cell r="Y57">
            <v>10</v>
          </cell>
          <cell r="Z57">
            <v>5</v>
          </cell>
          <cell r="AA57">
            <v>2</v>
          </cell>
        </row>
        <row r="58">
          <cell r="B58">
            <v>100765</v>
          </cell>
          <cell r="C58" t="str">
            <v xml:space="preserve">Lizaga Motor </v>
          </cell>
          <cell r="D58">
            <v>3</v>
          </cell>
          <cell r="E58">
            <v>5</v>
          </cell>
          <cell r="F58">
            <v>4</v>
          </cell>
          <cell r="G58">
            <v>4</v>
          </cell>
          <cell r="H58">
            <v>7</v>
          </cell>
          <cell r="I58">
            <v>6</v>
          </cell>
          <cell r="T58">
            <v>100063</v>
          </cell>
          <cell r="U58" t="str">
            <v>AUTOSA</v>
          </cell>
          <cell r="Z58">
            <v>1</v>
          </cell>
          <cell r="AA58">
            <v>1</v>
          </cell>
        </row>
        <row r="59">
          <cell r="B59">
            <v>100909</v>
          </cell>
          <cell r="C59" t="str">
            <v>Quadis Munich</v>
          </cell>
          <cell r="D59">
            <v>18</v>
          </cell>
          <cell r="E59">
            <v>16</v>
          </cell>
          <cell r="F59">
            <v>25</v>
          </cell>
          <cell r="G59">
            <v>19</v>
          </cell>
          <cell r="H59">
            <v>25</v>
          </cell>
          <cell r="I59">
            <v>19</v>
          </cell>
          <cell r="T59" t="str">
            <v>Total general</v>
          </cell>
          <cell r="V59">
            <v>267</v>
          </cell>
          <cell r="W59">
            <v>297</v>
          </cell>
          <cell r="X59">
            <v>352</v>
          </cell>
          <cell r="Y59">
            <v>342</v>
          </cell>
          <cell r="Z59">
            <v>385</v>
          </cell>
          <cell r="AA59">
            <v>464</v>
          </cell>
        </row>
        <row r="60">
          <cell r="B60">
            <v>100917</v>
          </cell>
          <cell r="C60" t="str">
            <v>Momentum Norte</v>
          </cell>
          <cell r="G60">
            <v>7</v>
          </cell>
          <cell r="H60">
            <v>14</v>
          </cell>
          <cell r="I60">
            <v>27</v>
          </cell>
        </row>
        <row r="61">
          <cell r="B61" t="str">
            <v>Total general</v>
          </cell>
          <cell r="D61">
            <v>917</v>
          </cell>
          <cell r="E61">
            <v>1123</v>
          </cell>
          <cell r="F61">
            <v>1254</v>
          </cell>
          <cell r="G61">
            <v>1103</v>
          </cell>
          <cell r="H61">
            <v>1059</v>
          </cell>
          <cell r="I61">
            <v>1457</v>
          </cell>
        </row>
        <row r="77">
          <cell r="B77" t="str">
            <v>Fecha venta mes</v>
          </cell>
        </row>
        <row r="78">
          <cell r="B78" t="str">
            <v>Enero</v>
          </cell>
          <cell r="C78">
            <v>22</v>
          </cell>
          <cell r="T78" t="str">
            <v>Enero</v>
          </cell>
          <cell r="U78">
            <v>4</v>
          </cell>
        </row>
        <row r="79">
          <cell r="B79" t="str">
            <v>Febrero</v>
          </cell>
          <cell r="C79">
            <v>24</v>
          </cell>
          <cell r="T79" t="str">
            <v>Febrero</v>
          </cell>
          <cell r="U79">
            <v>7</v>
          </cell>
        </row>
        <row r="80">
          <cell r="B80" t="str">
            <v>Marzo</v>
          </cell>
          <cell r="C80">
            <v>27</v>
          </cell>
          <cell r="T80" t="str">
            <v>Marzo</v>
          </cell>
          <cell r="U80">
            <v>2</v>
          </cell>
        </row>
        <row r="81">
          <cell r="B81" t="str">
            <v>Abril</v>
          </cell>
          <cell r="C81">
            <v>26</v>
          </cell>
          <cell r="T81" t="str">
            <v>Abril</v>
          </cell>
          <cell r="U81">
            <v>4</v>
          </cell>
        </row>
        <row r="82">
          <cell r="B82" t="str">
            <v>Mayo</v>
          </cell>
          <cell r="C82">
            <v>21</v>
          </cell>
          <cell r="T82" t="str">
            <v>Mayo</v>
          </cell>
          <cell r="U82">
            <v>6</v>
          </cell>
        </row>
        <row r="83">
          <cell r="B83" t="str">
            <v>Junio</v>
          </cell>
          <cell r="C83">
            <v>19</v>
          </cell>
          <cell r="T83" t="str">
            <v>Junio</v>
          </cell>
          <cell r="U83">
            <v>13</v>
          </cell>
        </row>
        <row r="84">
          <cell r="B84" t="str">
            <v>Total general</v>
          </cell>
          <cell r="C84">
            <v>139</v>
          </cell>
        </row>
      </sheetData>
      <sheetData sheetId="2"/>
      <sheetData sheetId="3">
        <row r="11">
          <cell r="B11">
            <v>100002</v>
          </cell>
          <cell r="C11" t="str">
            <v>Automoviles Bertolin S.L.</v>
          </cell>
          <cell r="D11">
            <v>7</v>
          </cell>
          <cell r="E11">
            <v>4</v>
          </cell>
          <cell r="F11">
            <v>5</v>
          </cell>
          <cell r="G11">
            <v>8</v>
          </cell>
          <cell r="H11">
            <v>4</v>
          </cell>
          <cell r="I11">
            <v>8</v>
          </cell>
          <cell r="S11">
            <v>100002</v>
          </cell>
          <cell r="T11" t="str">
            <v>Automoviles Bertolin S.L.</v>
          </cell>
          <cell r="U11">
            <v>1</v>
          </cell>
          <cell r="V11">
            <v>4</v>
          </cell>
          <cell r="W11">
            <v>1</v>
          </cell>
          <cell r="X11">
            <v>1</v>
          </cell>
          <cell r="Z11">
            <v>3</v>
          </cell>
        </row>
        <row r="12">
          <cell r="B12">
            <v>100015</v>
          </cell>
          <cell r="C12" t="str">
            <v>Grunblau Motor - VO</v>
          </cell>
          <cell r="D12">
            <v>1</v>
          </cell>
          <cell r="E12">
            <v>2</v>
          </cell>
          <cell r="G12">
            <v>1</v>
          </cell>
          <cell r="I12">
            <v>3</v>
          </cell>
          <cell r="S12">
            <v>100015</v>
          </cell>
          <cell r="T12" t="str">
            <v>Grunblau Motor - VO</v>
          </cell>
          <cell r="U12">
            <v>1</v>
          </cell>
          <cell r="V12">
            <v>1</v>
          </cell>
          <cell r="Z12">
            <v>1</v>
          </cell>
        </row>
        <row r="13">
          <cell r="B13">
            <v>100062</v>
          </cell>
          <cell r="C13" t="str">
            <v>Automoviles Fersan S.A.</v>
          </cell>
          <cell r="E13">
            <v>5</v>
          </cell>
          <cell r="F13">
            <v>14</v>
          </cell>
          <cell r="G13">
            <v>10</v>
          </cell>
          <cell r="H13">
            <v>10</v>
          </cell>
          <cell r="I13">
            <v>29</v>
          </cell>
          <cell r="S13">
            <v>100062</v>
          </cell>
          <cell r="T13" t="str">
            <v>Automoviles Fersan S.A.</v>
          </cell>
          <cell r="V13">
            <v>6</v>
          </cell>
          <cell r="W13">
            <v>4</v>
          </cell>
          <cell r="X13">
            <v>4</v>
          </cell>
          <cell r="Y13">
            <v>8</v>
          </cell>
          <cell r="Z13">
            <v>6</v>
          </cell>
        </row>
        <row r="14">
          <cell r="B14">
            <v>100155</v>
          </cell>
          <cell r="C14" t="str">
            <v>Automoviles Oviedo, S.A.</v>
          </cell>
          <cell r="I14">
            <v>1</v>
          </cell>
          <cell r="S14">
            <v>100190</v>
          </cell>
          <cell r="T14" t="str">
            <v>Burgocar - VO</v>
          </cell>
          <cell r="V14">
            <v>1</v>
          </cell>
          <cell r="W14">
            <v>2</v>
          </cell>
          <cell r="X14">
            <v>1</v>
          </cell>
          <cell r="Y14">
            <v>3</v>
          </cell>
          <cell r="Z14">
            <v>2</v>
          </cell>
        </row>
        <row r="15">
          <cell r="B15">
            <v>100190</v>
          </cell>
          <cell r="C15" t="str">
            <v>Burgocar - VO</v>
          </cell>
          <cell r="D15">
            <v>2</v>
          </cell>
          <cell r="E15">
            <v>5</v>
          </cell>
          <cell r="F15">
            <v>4</v>
          </cell>
          <cell r="G15">
            <v>8</v>
          </cell>
          <cell r="H15">
            <v>7</v>
          </cell>
          <cell r="I15">
            <v>6</v>
          </cell>
          <cell r="S15">
            <v>100206</v>
          </cell>
          <cell r="T15" t="str">
            <v>Hispamovil, S.A.</v>
          </cell>
          <cell r="V15">
            <v>1</v>
          </cell>
          <cell r="W15">
            <v>2</v>
          </cell>
          <cell r="Y15">
            <v>6</v>
          </cell>
          <cell r="Z15">
            <v>8</v>
          </cell>
        </row>
        <row r="16">
          <cell r="B16">
            <v>100206</v>
          </cell>
          <cell r="C16" t="str">
            <v>Hispamovil, S.A.</v>
          </cell>
          <cell r="D16">
            <v>5</v>
          </cell>
          <cell r="E16">
            <v>14</v>
          </cell>
          <cell r="F16">
            <v>13</v>
          </cell>
          <cell r="G16">
            <v>11</v>
          </cell>
          <cell r="H16">
            <v>12</v>
          </cell>
          <cell r="I16">
            <v>9</v>
          </cell>
          <cell r="S16">
            <v>100213</v>
          </cell>
          <cell r="T16" t="str">
            <v>Movilnorte S.A.</v>
          </cell>
          <cell r="U16">
            <v>9</v>
          </cell>
          <cell r="V16">
            <v>1</v>
          </cell>
          <cell r="W16">
            <v>6</v>
          </cell>
          <cell r="X16">
            <v>2</v>
          </cell>
          <cell r="Y16">
            <v>6</v>
          </cell>
          <cell r="Z16">
            <v>7</v>
          </cell>
        </row>
        <row r="17">
          <cell r="B17">
            <v>100213</v>
          </cell>
          <cell r="C17" t="str">
            <v>Movilnorte S.A.</v>
          </cell>
          <cell r="D17">
            <v>21</v>
          </cell>
          <cell r="E17">
            <v>17</v>
          </cell>
          <cell r="F17">
            <v>30</v>
          </cell>
          <cell r="G17">
            <v>13</v>
          </cell>
          <cell r="H17">
            <v>26</v>
          </cell>
          <cell r="I17">
            <v>23</v>
          </cell>
          <cell r="S17">
            <v>100304</v>
          </cell>
          <cell r="T17" t="str">
            <v xml:space="preserve">Novomóvil </v>
          </cell>
          <cell r="W17">
            <v>1</v>
          </cell>
          <cell r="X17">
            <v>1</v>
          </cell>
          <cell r="Z17">
            <v>1</v>
          </cell>
        </row>
        <row r="18">
          <cell r="B18">
            <v>100304</v>
          </cell>
          <cell r="C18" t="str">
            <v xml:space="preserve">Novomóvil </v>
          </cell>
          <cell r="D18">
            <v>1</v>
          </cell>
          <cell r="E18">
            <v>1</v>
          </cell>
          <cell r="F18">
            <v>2</v>
          </cell>
          <cell r="G18">
            <v>6</v>
          </cell>
          <cell r="H18">
            <v>6</v>
          </cell>
          <cell r="I18">
            <v>3</v>
          </cell>
          <cell r="S18">
            <v>100311</v>
          </cell>
          <cell r="T18" t="str">
            <v>Engasa S.A.</v>
          </cell>
          <cell r="W18">
            <v>1</v>
          </cell>
          <cell r="Z18">
            <v>1</v>
          </cell>
        </row>
        <row r="19">
          <cell r="B19">
            <v>100307</v>
          </cell>
          <cell r="C19" t="str">
            <v>Avilcar S.L.</v>
          </cell>
          <cell r="E19">
            <v>2</v>
          </cell>
          <cell r="F19">
            <v>3</v>
          </cell>
          <cell r="G19">
            <v>1</v>
          </cell>
          <cell r="H19">
            <v>1</v>
          </cell>
          <cell r="I19">
            <v>6</v>
          </cell>
          <cell r="S19">
            <v>100319</v>
          </cell>
          <cell r="T19" t="str">
            <v>Vehinter , S.A.</v>
          </cell>
          <cell r="U19">
            <v>1</v>
          </cell>
          <cell r="V19">
            <v>3</v>
          </cell>
          <cell r="W19">
            <v>12</v>
          </cell>
          <cell r="X19">
            <v>10</v>
          </cell>
          <cell r="Y19">
            <v>3</v>
          </cell>
          <cell r="Z19">
            <v>10</v>
          </cell>
        </row>
        <row r="20">
          <cell r="B20">
            <v>100311</v>
          </cell>
          <cell r="C20" t="str">
            <v>Engasa S.A.</v>
          </cell>
          <cell r="D20">
            <v>7</v>
          </cell>
          <cell r="E20">
            <v>10</v>
          </cell>
          <cell r="F20">
            <v>6</v>
          </cell>
          <cell r="G20">
            <v>5</v>
          </cell>
          <cell r="H20">
            <v>6</v>
          </cell>
          <cell r="S20">
            <v>100323</v>
          </cell>
          <cell r="T20" t="str">
            <v>Caetano Cuzco</v>
          </cell>
          <cell r="U20">
            <v>7</v>
          </cell>
          <cell r="V20">
            <v>1</v>
          </cell>
          <cell r="W20">
            <v>2</v>
          </cell>
          <cell r="X20">
            <v>9</v>
          </cell>
          <cell r="Y20">
            <v>4</v>
          </cell>
          <cell r="Z20">
            <v>6</v>
          </cell>
        </row>
        <row r="21">
          <cell r="B21">
            <v>100319</v>
          </cell>
          <cell r="C21" t="str">
            <v>Vehinter , S.A.</v>
          </cell>
          <cell r="D21">
            <v>20</v>
          </cell>
          <cell r="E21">
            <v>26</v>
          </cell>
          <cell r="F21">
            <v>28</v>
          </cell>
          <cell r="G21">
            <v>14</v>
          </cell>
          <cell r="H21">
            <v>15</v>
          </cell>
          <cell r="I21">
            <v>18</v>
          </cell>
          <cell r="S21">
            <v>100344</v>
          </cell>
          <cell r="T21" t="str">
            <v>San Pablo Motor S.L.</v>
          </cell>
          <cell r="V21">
            <v>3</v>
          </cell>
          <cell r="X21">
            <v>1</v>
          </cell>
          <cell r="Y21">
            <v>3</v>
          </cell>
          <cell r="Z21">
            <v>1</v>
          </cell>
        </row>
        <row r="22">
          <cell r="B22">
            <v>100323</v>
          </cell>
          <cell r="C22" t="str">
            <v>Caetano Cuzco</v>
          </cell>
          <cell r="D22">
            <v>14</v>
          </cell>
          <cell r="E22">
            <v>20</v>
          </cell>
          <cell r="F22">
            <v>13</v>
          </cell>
          <cell r="G22">
            <v>8</v>
          </cell>
          <cell r="H22">
            <v>20</v>
          </cell>
          <cell r="I22">
            <v>19</v>
          </cell>
          <cell r="S22">
            <v>100348</v>
          </cell>
          <cell r="T22" t="str">
            <v>Augusta Aragon S.A.</v>
          </cell>
          <cell r="U22">
            <v>1</v>
          </cell>
          <cell r="W22">
            <v>3</v>
          </cell>
          <cell r="X22">
            <v>2</v>
          </cell>
          <cell r="Y22">
            <v>4</v>
          </cell>
          <cell r="Z22">
            <v>4</v>
          </cell>
        </row>
        <row r="23">
          <cell r="B23">
            <v>100344</v>
          </cell>
          <cell r="C23" t="str">
            <v>San Pablo Motor S.L.</v>
          </cell>
          <cell r="D23">
            <v>17</v>
          </cell>
          <cell r="E23">
            <v>15</v>
          </cell>
          <cell r="F23">
            <v>19</v>
          </cell>
          <cell r="G23">
            <v>18</v>
          </cell>
          <cell r="H23">
            <v>13</v>
          </cell>
          <cell r="I23">
            <v>14</v>
          </cell>
          <cell r="S23">
            <v>100349</v>
          </cell>
          <cell r="T23" t="str">
            <v>Auto Premier Baviera S.A.</v>
          </cell>
          <cell r="U23">
            <v>4</v>
          </cell>
          <cell r="V23">
            <v>6</v>
          </cell>
          <cell r="W23">
            <v>6</v>
          </cell>
          <cell r="X23">
            <v>5</v>
          </cell>
          <cell r="Y23">
            <v>3</v>
          </cell>
          <cell r="Z23">
            <v>5</v>
          </cell>
        </row>
        <row r="24">
          <cell r="B24">
            <v>100348</v>
          </cell>
          <cell r="C24" t="str">
            <v>Augusta Aragon S.A.</v>
          </cell>
          <cell r="D24">
            <v>13</v>
          </cell>
          <cell r="E24">
            <v>21</v>
          </cell>
          <cell r="F24">
            <v>24</v>
          </cell>
          <cell r="G24">
            <v>24</v>
          </cell>
          <cell r="H24">
            <v>14</v>
          </cell>
          <cell r="I24">
            <v>19</v>
          </cell>
          <cell r="S24">
            <v>100379</v>
          </cell>
          <cell r="T24" t="str">
            <v>Triocar - VO</v>
          </cell>
          <cell r="V24">
            <v>1</v>
          </cell>
          <cell r="W24">
            <v>2</v>
          </cell>
          <cell r="X24">
            <v>1</v>
          </cell>
          <cell r="Z24">
            <v>1</v>
          </cell>
        </row>
        <row r="25">
          <cell r="B25">
            <v>100349</v>
          </cell>
          <cell r="C25" t="str">
            <v>Auto Premier Baviera S.A.</v>
          </cell>
          <cell r="D25">
            <v>16</v>
          </cell>
          <cell r="E25">
            <v>21</v>
          </cell>
          <cell r="F25">
            <v>26</v>
          </cell>
          <cell r="G25">
            <v>36</v>
          </cell>
          <cell r="H25">
            <v>21</v>
          </cell>
          <cell r="I25">
            <v>29</v>
          </cell>
          <cell r="S25">
            <v>100380</v>
          </cell>
          <cell r="T25" t="str">
            <v>Ceres Motor</v>
          </cell>
          <cell r="U25">
            <v>1</v>
          </cell>
          <cell r="V25">
            <v>1</v>
          </cell>
          <cell r="W25">
            <v>1</v>
          </cell>
          <cell r="Z25">
            <v>1</v>
          </cell>
        </row>
        <row r="26">
          <cell r="B26">
            <v>100379</v>
          </cell>
          <cell r="C26" t="str">
            <v>Triocar - VO</v>
          </cell>
          <cell r="D26">
            <v>1</v>
          </cell>
          <cell r="E26">
            <v>4</v>
          </cell>
          <cell r="F26">
            <v>6</v>
          </cell>
          <cell r="G26">
            <v>5</v>
          </cell>
          <cell r="H26">
            <v>3</v>
          </cell>
          <cell r="I26">
            <v>11</v>
          </cell>
          <cell r="S26">
            <v>100389</v>
          </cell>
          <cell r="T26" t="str">
            <v>Canaauto</v>
          </cell>
          <cell r="V26">
            <v>1</v>
          </cell>
          <cell r="Z26">
            <v>1</v>
          </cell>
        </row>
        <row r="27">
          <cell r="B27">
            <v>100380</v>
          </cell>
          <cell r="C27" t="str">
            <v>Ceres Motor</v>
          </cell>
          <cell r="D27">
            <v>4</v>
          </cell>
          <cell r="E27">
            <v>11</v>
          </cell>
          <cell r="F27">
            <v>10</v>
          </cell>
          <cell r="G27">
            <v>13</v>
          </cell>
          <cell r="H27">
            <v>2</v>
          </cell>
          <cell r="I27">
            <v>9</v>
          </cell>
          <cell r="S27">
            <v>100393</v>
          </cell>
          <cell r="T27" t="str">
            <v>Murcia Premium</v>
          </cell>
          <cell r="U27">
            <v>1</v>
          </cell>
        </row>
        <row r="28">
          <cell r="B28">
            <v>100389</v>
          </cell>
          <cell r="C28" t="str">
            <v>Canaauto</v>
          </cell>
          <cell r="D28">
            <v>2</v>
          </cell>
          <cell r="E28">
            <v>9</v>
          </cell>
          <cell r="F28">
            <v>9</v>
          </cell>
          <cell r="G28">
            <v>6</v>
          </cell>
          <cell r="H28">
            <v>8</v>
          </cell>
          <cell r="I28">
            <v>11</v>
          </cell>
          <cell r="S28">
            <v>100394</v>
          </cell>
          <cell r="T28" t="str">
            <v>Maberauto</v>
          </cell>
          <cell r="W28">
            <v>1</v>
          </cell>
          <cell r="X28">
            <v>1</v>
          </cell>
          <cell r="Z28">
            <v>1</v>
          </cell>
        </row>
        <row r="29">
          <cell r="B29">
            <v>100393</v>
          </cell>
          <cell r="C29" t="str">
            <v>Murcia Premium</v>
          </cell>
          <cell r="D29">
            <v>7</v>
          </cell>
          <cell r="E29">
            <v>5</v>
          </cell>
          <cell r="F29">
            <v>3</v>
          </cell>
          <cell r="G29">
            <v>4</v>
          </cell>
          <cell r="H29">
            <v>4</v>
          </cell>
          <cell r="I29">
            <v>3</v>
          </cell>
          <cell r="S29">
            <v>100410</v>
          </cell>
          <cell r="T29" t="str">
            <v>Celtamotor - VO</v>
          </cell>
          <cell r="U29">
            <v>2</v>
          </cell>
          <cell r="W29">
            <v>2</v>
          </cell>
          <cell r="X29">
            <v>3</v>
          </cell>
          <cell r="Z29">
            <v>3</v>
          </cell>
        </row>
        <row r="30">
          <cell r="B30">
            <v>100394</v>
          </cell>
          <cell r="C30" t="str">
            <v>Maberauto</v>
          </cell>
          <cell r="D30">
            <v>2</v>
          </cell>
          <cell r="E30">
            <v>5</v>
          </cell>
          <cell r="F30">
            <v>2</v>
          </cell>
          <cell r="G30">
            <v>4</v>
          </cell>
          <cell r="H30">
            <v>2</v>
          </cell>
          <cell r="I30">
            <v>6</v>
          </cell>
          <cell r="S30">
            <v>100418</v>
          </cell>
          <cell r="T30" t="str">
            <v>Fuenteolid S.L.</v>
          </cell>
          <cell r="V30">
            <v>2</v>
          </cell>
        </row>
        <row r="31">
          <cell r="B31">
            <v>100410</v>
          </cell>
          <cell r="C31" t="str">
            <v>Celtamotor - VO</v>
          </cell>
          <cell r="D31">
            <v>1</v>
          </cell>
          <cell r="E31">
            <v>3</v>
          </cell>
          <cell r="F31">
            <v>6</v>
          </cell>
          <cell r="G31">
            <v>2</v>
          </cell>
          <cell r="H31">
            <v>10</v>
          </cell>
          <cell r="I31">
            <v>5</v>
          </cell>
          <cell r="S31">
            <v>100422</v>
          </cell>
          <cell r="T31" t="str">
            <v>San Rafael Motor, S.L.</v>
          </cell>
          <cell r="U31">
            <v>1</v>
          </cell>
          <cell r="Y31">
            <v>1</v>
          </cell>
        </row>
        <row r="32">
          <cell r="B32">
            <v>100418</v>
          </cell>
          <cell r="C32" t="str">
            <v>Fuenteolid S.L.</v>
          </cell>
          <cell r="E32">
            <v>4</v>
          </cell>
          <cell r="F32">
            <v>3</v>
          </cell>
          <cell r="G32">
            <v>2</v>
          </cell>
          <cell r="H32">
            <v>2</v>
          </cell>
          <cell r="I32">
            <v>5</v>
          </cell>
          <cell r="S32">
            <v>100468</v>
          </cell>
          <cell r="T32" t="str">
            <v>Móvil Begar Levante, S.A.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7</v>
          </cell>
          <cell r="Z32">
            <v>5</v>
          </cell>
        </row>
        <row r="33">
          <cell r="B33">
            <v>100422</v>
          </cell>
          <cell r="C33" t="str">
            <v>San Rafael Motor, S.L.</v>
          </cell>
          <cell r="D33">
            <v>5</v>
          </cell>
          <cell r="E33">
            <v>12</v>
          </cell>
          <cell r="F33">
            <v>8</v>
          </cell>
          <cell r="G33">
            <v>10</v>
          </cell>
          <cell r="H33">
            <v>8</v>
          </cell>
          <cell r="I33">
            <v>8</v>
          </cell>
          <cell r="S33">
            <v>100549</v>
          </cell>
          <cell r="T33" t="str">
            <v xml:space="preserve">Carteya Motor S.L. </v>
          </cell>
          <cell r="W33">
            <v>1</v>
          </cell>
        </row>
        <row r="34">
          <cell r="B34">
            <v>100454</v>
          </cell>
          <cell r="C34" t="str">
            <v>Autoram</v>
          </cell>
          <cell r="D34">
            <v>1</v>
          </cell>
          <cell r="E34">
            <v>1</v>
          </cell>
          <cell r="S34">
            <v>100572</v>
          </cell>
          <cell r="T34" t="str">
            <v>Barcelona Premium</v>
          </cell>
          <cell r="U34">
            <v>1</v>
          </cell>
          <cell r="V34">
            <v>10</v>
          </cell>
          <cell r="W34">
            <v>11</v>
          </cell>
          <cell r="X34">
            <v>6</v>
          </cell>
          <cell r="Y34">
            <v>6</v>
          </cell>
          <cell r="Z34">
            <v>6</v>
          </cell>
        </row>
        <row r="35">
          <cell r="B35">
            <v>100468</v>
          </cell>
          <cell r="C35" t="str">
            <v>Móvil Begar Levante, S.A.</v>
          </cell>
          <cell r="D35">
            <v>6</v>
          </cell>
          <cell r="E35">
            <v>10</v>
          </cell>
          <cell r="F35">
            <v>20</v>
          </cell>
          <cell r="G35">
            <v>19</v>
          </cell>
          <cell r="H35">
            <v>12</v>
          </cell>
          <cell r="I35">
            <v>12</v>
          </cell>
          <cell r="S35">
            <v>100586</v>
          </cell>
          <cell r="T35" t="str">
            <v>Automotor Premium</v>
          </cell>
          <cell r="U35">
            <v>2</v>
          </cell>
          <cell r="V35">
            <v>2</v>
          </cell>
          <cell r="W35">
            <v>3</v>
          </cell>
          <cell r="X35">
            <v>6</v>
          </cell>
          <cell r="Y35">
            <v>4</v>
          </cell>
          <cell r="Z35">
            <v>5</v>
          </cell>
        </row>
        <row r="36">
          <cell r="B36">
            <v>100549</v>
          </cell>
          <cell r="C36" t="str">
            <v xml:space="preserve">Carteya Motor S.L. </v>
          </cell>
          <cell r="D36">
            <v>2</v>
          </cell>
          <cell r="E36">
            <v>3</v>
          </cell>
          <cell r="F36">
            <v>4</v>
          </cell>
          <cell r="G36">
            <v>1</v>
          </cell>
          <cell r="H36">
            <v>3</v>
          </cell>
          <cell r="I36">
            <v>5</v>
          </cell>
          <cell r="S36">
            <v>100589</v>
          </cell>
          <cell r="T36" t="str">
            <v xml:space="preserve">Ilbira Motor </v>
          </cell>
          <cell r="U36">
            <v>1</v>
          </cell>
          <cell r="W36">
            <v>1</v>
          </cell>
          <cell r="Z36">
            <v>1</v>
          </cell>
        </row>
        <row r="37">
          <cell r="B37">
            <v>100572</v>
          </cell>
          <cell r="C37" t="str">
            <v>Barcelona Premium</v>
          </cell>
          <cell r="D37">
            <v>14</v>
          </cell>
          <cell r="E37">
            <v>20</v>
          </cell>
          <cell r="F37">
            <v>21</v>
          </cell>
          <cell r="G37">
            <v>9</v>
          </cell>
          <cell r="H37">
            <v>15</v>
          </cell>
          <cell r="I37">
            <v>27</v>
          </cell>
          <cell r="S37">
            <v>100727</v>
          </cell>
          <cell r="T37" t="str">
            <v>Unicars Ponent</v>
          </cell>
          <cell r="Y37">
            <v>1</v>
          </cell>
        </row>
        <row r="38">
          <cell r="B38">
            <v>100584</v>
          </cell>
          <cell r="C38" t="str">
            <v xml:space="preserve">Pruna Motor </v>
          </cell>
          <cell r="D38">
            <v>4</v>
          </cell>
          <cell r="E38">
            <v>3</v>
          </cell>
          <cell r="F38">
            <v>1</v>
          </cell>
          <cell r="G38">
            <v>3</v>
          </cell>
          <cell r="H38">
            <v>7</v>
          </cell>
          <cell r="I38">
            <v>11</v>
          </cell>
          <cell r="S38">
            <v>100728</v>
          </cell>
          <cell r="T38" t="str">
            <v>Oliva Motor</v>
          </cell>
          <cell r="V38">
            <v>3</v>
          </cell>
          <cell r="X38">
            <v>4</v>
          </cell>
          <cell r="Y38">
            <v>3</v>
          </cell>
          <cell r="Z38">
            <v>8</v>
          </cell>
        </row>
        <row r="39">
          <cell r="B39">
            <v>100585</v>
          </cell>
          <cell r="C39" t="str">
            <v>Cabrero Motorsport</v>
          </cell>
          <cell r="E39">
            <v>1</v>
          </cell>
          <cell r="F39">
            <v>1</v>
          </cell>
          <cell r="G39">
            <v>1</v>
          </cell>
          <cell r="H39">
            <v>3</v>
          </cell>
          <cell r="I39">
            <v>3</v>
          </cell>
          <cell r="S39">
            <v>100730</v>
          </cell>
          <cell r="T39" t="str">
            <v>Adler Motor</v>
          </cell>
          <cell r="U39">
            <v>2</v>
          </cell>
          <cell r="X39">
            <v>1</v>
          </cell>
          <cell r="Z39">
            <v>1</v>
          </cell>
        </row>
        <row r="40">
          <cell r="B40">
            <v>100586</v>
          </cell>
          <cell r="C40" t="str">
            <v>Automotor Premium</v>
          </cell>
          <cell r="D40">
            <v>4</v>
          </cell>
          <cell r="E40">
            <v>5</v>
          </cell>
          <cell r="F40">
            <v>8</v>
          </cell>
          <cell r="G40">
            <v>16</v>
          </cell>
          <cell r="H40">
            <v>15</v>
          </cell>
          <cell r="I40">
            <v>7</v>
          </cell>
          <cell r="S40">
            <v>100734</v>
          </cell>
          <cell r="T40" t="str">
            <v>Proa Premium</v>
          </cell>
          <cell r="U40">
            <v>2</v>
          </cell>
          <cell r="V40">
            <v>1</v>
          </cell>
          <cell r="W40">
            <v>9</v>
          </cell>
          <cell r="X40">
            <v>9</v>
          </cell>
          <cell r="Y40">
            <v>7</v>
          </cell>
          <cell r="Z40">
            <v>2</v>
          </cell>
        </row>
        <row r="41">
          <cell r="B41">
            <v>100589</v>
          </cell>
          <cell r="C41" t="str">
            <v xml:space="preserve">Ilbira Motor </v>
          </cell>
          <cell r="D41">
            <v>14</v>
          </cell>
          <cell r="E41">
            <v>20</v>
          </cell>
          <cell r="F41">
            <v>21</v>
          </cell>
          <cell r="G41">
            <v>18</v>
          </cell>
          <cell r="H41">
            <v>8</v>
          </cell>
          <cell r="I41">
            <v>9</v>
          </cell>
          <cell r="S41">
            <v>100739</v>
          </cell>
          <cell r="T41" t="str">
            <v>Bernesga Motor - VO</v>
          </cell>
          <cell r="W41">
            <v>1</v>
          </cell>
          <cell r="Y41">
            <v>1</v>
          </cell>
          <cell r="Z41">
            <v>1</v>
          </cell>
        </row>
        <row r="42">
          <cell r="B42">
            <v>100597</v>
          </cell>
          <cell r="C42" t="str">
            <v>Autoberón</v>
          </cell>
          <cell r="D42">
            <v>4</v>
          </cell>
          <cell r="E42">
            <v>3</v>
          </cell>
          <cell r="F42">
            <v>3</v>
          </cell>
          <cell r="G42">
            <v>4</v>
          </cell>
          <cell r="H42">
            <v>2</v>
          </cell>
          <cell r="I42">
            <v>1</v>
          </cell>
          <cell r="S42">
            <v>100764</v>
          </cell>
          <cell r="T42" t="str">
            <v>Albamocion S.L.</v>
          </cell>
          <cell r="X42">
            <v>1</v>
          </cell>
        </row>
        <row r="43">
          <cell r="B43">
            <v>100726</v>
          </cell>
          <cell r="C43" t="str">
            <v>Enekuri Motor</v>
          </cell>
          <cell r="D43">
            <v>3</v>
          </cell>
          <cell r="E43">
            <v>4</v>
          </cell>
          <cell r="F43">
            <v>4</v>
          </cell>
          <cell r="G43">
            <v>4</v>
          </cell>
          <cell r="H43">
            <v>4</v>
          </cell>
          <cell r="I43">
            <v>8</v>
          </cell>
          <cell r="S43">
            <v>100813</v>
          </cell>
          <cell r="T43" t="str">
            <v>Automotor Costa</v>
          </cell>
          <cell r="U43">
            <v>3</v>
          </cell>
          <cell r="V43">
            <v>2</v>
          </cell>
          <cell r="W43">
            <v>1</v>
          </cell>
          <cell r="X43">
            <v>1</v>
          </cell>
          <cell r="Y43">
            <v>5</v>
          </cell>
          <cell r="Z43">
            <v>3</v>
          </cell>
        </row>
        <row r="44">
          <cell r="B44">
            <v>100727</v>
          </cell>
          <cell r="C44" t="str">
            <v>Unicars Ponent</v>
          </cell>
          <cell r="D44">
            <v>2</v>
          </cell>
          <cell r="E44">
            <v>9</v>
          </cell>
          <cell r="F44">
            <v>2</v>
          </cell>
          <cell r="G44">
            <v>1</v>
          </cell>
          <cell r="I44">
            <v>4</v>
          </cell>
          <cell r="S44">
            <v>100817</v>
          </cell>
          <cell r="T44" t="str">
            <v>Oliva Motor Girona</v>
          </cell>
          <cell r="U44">
            <v>7</v>
          </cell>
          <cell r="V44">
            <v>3</v>
          </cell>
          <cell r="W44">
            <v>8</v>
          </cell>
          <cell r="X44">
            <v>7</v>
          </cell>
          <cell r="Y44">
            <v>7</v>
          </cell>
          <cell r="Z44">
            <v>3</v>
          </cell>
        </row>
        <row r="45">
          <cell r="B45">
            <v>100728</v>
          </cell>
          <cell r="C45" t="str">
            <v>Oliva Motor</v>
          </cell>
          <cell r="D45">
            <v>12</v>
          </cell>
          <cell r="E45">
            <v>17</v>
          </cell>
          <cell r="F45">
            <v>16</v>
          </cell>
          <cell r="G45">
            <v>19</v>
          </cell>
          <cell r="H45">
            <v>8</v>
          </cell>
          <cell r="I45">
            <v>31</v>
          </cell>
          <cell r="S45">
            <v>100819</v>
          </cell>
          <cell r="T45" t="str">
            <v>Motri Motor, S.A.</v>
          </cell>
          <cell r="U45">
            <v>2</v>
          </cell>
          <cell r="V45">
            <v>3</v>
          </cell>
          <cell r="W45">
            <v>2</v>
          </cell>
          <cell r="X45">
            <v>1</v>
          </cell>
          <cell r="Y45">
            <v>1</v>
          </cell>
        </row>
        <row r="46">
          <cell r="B46">
            <v>100730</v>
          </cell>
          <cell r="C46" t="str">
            <v>Adler Motor</v>
          </cell>
          <cell r="D46">
            <v>5</v>
          </cell>
          <cell r="E46">
            <v>6</v>
          </cell>
          <cell r="F46">
            <v>2</v>
          </cell>
          <cell r="G46">
            <v>5</v>
          </cell>
          <cell r="H46">
            <v>6</v>
          </cell>
          <cell r="I46">
            <v>5</v>
          </cell>
          <cell r="S46">
            <v>100873</v>
          </cell>
          <cell r="T46" t="str">
            <v>Bymycar Madrid</v>
          </cell>
          <cell r="W46">
            <v>5</v>
          </cell>
          <cell r="X46">
            <v>5</v>
          </cell>
          <cell r="Y46">
            <v>7</v>
          </cell>
          <cell r="Z46">
            <v>10</v>
          </cell>
        </row>
        <row r="47">
          <cell r="B47">
            <v>100734</v>
          </cell>
          <cell r="C47" t="str">
            <v>Proa Premium</v>
          </cell>
          <cell r="D47">
            <v>4</v>
          </cell>
          <cell r="E47">
            <v>12</v>
          </cell>
          <cell r="F47">
            <v>18</v>
          </cell>
          <cell r="G47">
            <v>6</v>
          </cell>
          <cell r="H47">
            <v>10</v>
          </cell>
          <cell r="I47">
            <v>17</v>
          </cell>
          <cell r="S47">
            <v>100881</v>
          </cell>
          <cell r="T47" t="str">
            <v>Movitransa Cars</v>
          </cell>
          <cell r="V47">
            <v>3</v>
          </cell>
          <cell r="W47">
            <v>1</v>
          </cell>
          <cell r="X47">
            <v>3</v>
          </cell>
          <cell r="Z47">
            <v>3</v>
          </cell>
        </row>
        <row r="48">
          <cell r="B48">
            <v>100738</v>
          </cell>
          <cell r="C48" t="str">
            <v>Marmotor</v>
          </cell>
          <cell r="D48">
            <v>5</v>
          </cell>
          <cell r="E48">
            <v>1</v>
          </cell>
          <cell r="F48">
            <v>8</v>
          </cell>
          <cell r="G48">
            <v>3</v>
          </cell>
          <cell r="H48">
            <v>3</v>
          </cell>
          <cell r="I48">
            <v>3</v>
          </cell>
          <cell r="S48">
            <v>100909</v>
          </cell>
          <cell r="T48" t="str">
            <v>Quadis Munich</v>
          </cell>
          <cell r="V48">
            <v>2</v>
          </cell>
          <cell r="X48">
            <v>4</v>
          </cell>
          <cell r="Y48">
            <v>4</v>
          </cell>
          <cell r="Z48">
            <v>4</v>
          </cell>
        </row>
        <row r="49">
          <cell r="B49">
            <v>100739</v>
          </cell>
          <cell r="C49" t="str">
            <v>Bernesga Motor - VO</v>
          </cell>
          <cell r="E49">
            <v>3</v>
          </cell>
          <cell r="F49">
            <v>1</v>
          </cell>
          <cell r="H49">
            <v>2</v>
          </cell>
          <cell r="I49">
            <v>2</v>
          </cell>
          <cell r="S49">
            <v>100917</v>
          </cell>
          <cell r="T49" t="str">
            <v>Momentum Norte</v>
          </cell>
          <cell r="X49">
            <v>3</v>
          </cell>
          <cell r="Z49">
            <v>1</v>
          </cell>
        </row>
        <row r="50">
          <cell r="B50">
            <v>100764</v>
          </cell>
          <cell r="C50" t="str">
            <v>Albamocion S.L.</v>
          </cell>
          <cell r="D50">
            <v>2</v>
          </cell>
          <cell r="E50">
            <v>13</v>
          </cell>
          <cell r="F50">
            <v>5</v>
          </cell>
          <cell r="G50">
            <v>4</v>
          </cell>
          <cell r="H50">
            <v>6</v>
          </cell>
          <cell r="I50">
            <v>8</v>
          </cell>
          <cell r="S50" t="str">
            <v>Total general</v>
          </cell>
          <cell r="U50">
            <v>50</v>
          </cell>
          <cell r="V50">
            <v>62</v>
          </cell>
          <cell r="W50">
            <v>90</v>
          </cell>
          <cell r="X50">
            <v>93</v>
          </cell>
          <cell r="Y50">
            <v>94</v>
          </cell>
          <cell r="Z50">
            <v>115</v>
          </cell>
        </row>
        <row r="51">
          <cell r="B51">
            <v>100765</v>
          </cell>
          <cell r="C51" t="str">
            <v xml:space="preserve">Lizaga Motor </v>
          </cell>
          <cell r="D51">
            <v>1</v>
          </cell>
          <cell r="E51">
            <v>3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</row>
        <row r="52">
          <cell r="B52">
            <v>100813</v>
          </cell>
          <cell r="C52" t="str">
            <v>Automotor Costa</v>
          </cell>
          <cell r="D52">
            <v>11</v>
          </cell>
          <cell r="E52">
            <v>11</v>
          </cell>
          <cell r="F52">
            <v>7</v>
          </cell>
          <cell r="G52">
            <v>10</v>
          </cell>
          <cell r="H52">
            <v>7</v>
          </cell>
          <cell r="I52">
            <v>14</v>
          </cell>
        </row>
        <row r="53">
          <cell r="B53">
            <v>100817</v>
          </cell>
          <cell r="C53" t="str">
            <v>Oliva Motor Girona</v>
          </cell>
          <cell r="D53">
            <v>11</v>
          </cell>
          <cell r="E53">
            <v>8</v>
          </cell>
          <cell r="F53">
            <v>14</v>
          </cell>
          <cell r="G53">
            <v>15</v>
          </cell>
          <cell r="H53">
            <v>14</v>
          </cell>
          <cell r="I53">
            <v>26</v>
          </cell>
        </row>
        <row r="54">
          <cell r="B54">
            <v>100819</v>
          </cell>
          <cell r="C54" t="str">
            <v>Motri Motor, S.A.</v>
          </cell>
          <cell r="D54">
            <v>10</v>
          </cell>
          <cell r="E54">
            <v>18</v>
          </cell>
          <cell r="F54">
            <v>16</v>
          </cell>
          <cell r="G54">
            <v>13</v>
          </cell>
          <cell r="H54">
            <v>15</v>
          </cell>
          <cell r="I54">
            <v>15</v>
          </cell>
        </row>
        <row r="55">
          <cell r="B55">
            <v>100873</v>
          </cell>
          <cell r="C55" t="str">
            <v>Bymycar Madrid</v>
          </cell>
          <cell r="D55">
            <v>3</v>
          </cell>
          <cell r="E55">
            <v>3</v>
          </cell>
          <cell r="F55">
            <v>8</v>
          </cell>
          <cell r="G55">
            <v>16</v>
          </cell>
          <cell r="H55">
            <v>20</v>
          </cell>
          <cell r="I55">
            <v>17</v>
          </cell>
        </row>
        <row r="56">
          <cell r="B56">
            <v>100881</v>
          </cell>
          <cell r="C56" t="str">
            <v>Movitransa Cars</v>
          </cell>
          <cell r="D56">
            <v>6</v>
          </cell>
          <cell r="E56">
            <v>5</v>
          </cell>
          <cell r="F56">
            <v>11</v>
          </cell>
          <cell r="G56">
            <v>8</v>
          </cell>
          <cell r="H56">
            <v>9</v>
          </cell>
          <cell r="I56">
            <v>13</v>
          </cell>
        </row>
        <row r="57">
          <cell r="B57">
            <v>100909</v>
          </cell>
          <cell r="C57" t="str">
            <v>Quadis Munich</v>
          </cell>
          <cell r="D57">
            <v>2</v>
          </cell>
          <cell r="F57">
            <v>4</v>
          </cell>
          <cell r="G57">
            <v>6</v>
          </cell>
          <cell r="H57">
            <v>7</v>
          </cell>
          <cell r="I57">
            <v>6</v>
          </cell>
        </row>
        <row r="58">
          <cell r="B58">
            <v>100917</v>
          </cell>
          <cell r="C58" t="str">
            <v>Momentum Norte</v>
          </cell>
          <cell r="H58">
            <v>4</v>
          </cell>
          <cell r="I58">
            <v>11</v>
          </cell>
        </row>
        <row r="59">
          <cell r="B59" t="str">
            <v>Total general</v>
          </cell>
          <cell r="D59">
            <v>272</v>
          </cell>
          <cell r="E59">
            <v>395</v>
          </cell>
          <cell r="F59">
            <v>431</v>
          </cell>
          <cell r="G59">
            <v>391</v>
          </cell>
          <cell r="H59">
            <v>375</v>
          </cell>
          <cell r="I59">
            <v>501</v>
          </cell>
        </row>
        <row r="72">
          <cell r="B72" t="str">
            <v>Enero</v>
          </cell>
          <cell r="C72">
            <v>22</v>
          </cell>
          <cell r="S72" t="str">
            <v>Enero</v>
          </cell>
          <cell r="T72">
            <v>4</v>
          </cell>
        </row>
        <row r="73">
          <cell r="B73" t="str">
            <v>Febrero</v>
          </cell>
          <cell r="C73">
            <v>24</v>
          </cell>
          <cell r="S73" t="str">
            <v>Febrero</v>
          </cell>
          <cell r="T73">
            <v>7</v>
          </cell>
        </row>
        <row r="74">
          <cell r="B74" t="str">
            <v>Marzo</v>
          </cell>
          <cell r="C74">
            <v>27</v>
          </cell>
          <cell r="S74" t="str">
            <v>Marzo</v>
          </cell>
          <cell r="T74">
            <v>2</v>
          </cell>
        </row>
        <row r="75">
          <cell r="B75" t="str">
            <v>Abril</v>
          </cell>
          <cell r="C75">
            <v>26</v>
          </cell>
          <cell r="S75" t="str">
            <v>Abril</v>
          </cell>
          <cell r="T75">
            <v>4</v>
          </cell>
        </row>
        <row r="76">
          <cell r="B76" t="str">
            <v>Mayo</v>
          </cell>
          <cell r="C76">
            <v>21</v>
          </cell>
          <cell r="S76" t="str">
            <v>Mayo</v>
          </cell>
          <cell r="T76">
            <v>6</v>
          </cell>
        </row>
        <row r="77">
          <cell r="B77" t="str">
            <v>Junio</v>
          </cell>
          <cell r="C77">
            <v>19</v>
          </cell>
          <cell r="S77" t="str">
            <v>Junio</v>
          </cell>
          <cell r="T77">
            <v>13</v>
          </cell>
        </row>
      </sheetData>
      <sheetData sheetId="4">
        <row r="10">
          <cell r="B10">
            <v>100002</v>
          </cell>
          <cell r="C10" t="str">
            <v>Automoviles Bertolin, S.L.</v>
          </cell>
          <cell r="D10">
            <v>1</v>
          </cell>
          <cell r="E10">
            <v>3</v>
          </cell>
          <cell r="F10">
            <v>6</v>
          </cell>
          <cell r="G10">
            <v>9</v>
          </cell>
          <cell r="H10">
            <v>4</v>
          </cell>
          <cell r="I10">
            <v>3</v>
          </cell>
          <cell r="R10">
            <v>100015</v>
          </cell>
          <cell r="S10" t="str">
            <v>GrÃ¼nblau Motor, S.A.</v>
          </cell>
          <cell r="T10">
            <v>2</v>
          </cell>
        </row>
        <row r="11">
          <cell r="B11">
            <v>100015</v>
          </cell>
          <cell r="C11" t="str">
            <v>GrÃ¼nblau Motor, S.A.</v>
          </cell>
          <cell r="D11">
            <v>3</v>
          </cell>
          <cell r="E11">
            <v>2</v>
          </cell>
          <cell r="F11">
            <v>3</v>
          </cell>
          <cell r="H11">
            <v>1</v>
          </cell>
          <cell r="R11">
            <v>100062</v>
          </cell>
          <cell r="S11" t="str">
            <v>Automoviles Fersan, S.A.</v>
          </cell>
          <cell r="T11">
            <v>2</v>
          </cell>
          <cell r="U11">
            <v>1</v>
          </cell>
          <cell r="W11">
            <v>7</v>
          </cell>
        </row>
        <row r="12">
          <cell r="B12">
            <v>100062</v>
          </cell>
          <cell r="C12" t="str">
            <v>Automoviles Fersan, S.A.</v>
          </cell>
          <cell r="D12">
            <v>14</v>
          </cell>
          <cell r="E12">
            <v>5</v>
          </cell>
          <cell r="F12">
            <v>8</v>
          </cell>
          <cell r="G12">
            <v>16</v>
          </cell>
          <cell r="H12">
            <v>4</v>
          </cell>
          <cell r="I12">
            <v>6</v>
          </cell>
          <cell r="R12">
            <v>100190</v>
          </cell>
          <cell r="S12" t="str">
            <v>Burgocar Comercial del</v>
          </cell>
          <cell r="T12">
            <v>2</v>
          </cell>
          <cell r="U12">
            <v>3</v>
          </cell>
        </row>
        <row r="13">
          <cell r="B13">
            <v>100155</v>
          </cell>
          <cell r="C13" t="str">
            <v>Automoviles Oviedo,S.A.</v>
          </cell>
          <cell r="H13">
            <v>1</v>
          </cell>
          <cell r="R13">
            <v>100206</v>
          </cell>
          <cell r="S13" t="str">
            <v>Hispamovil, S.A.</v>
          </cell>
          <cell r="U13">
            <v>2</v>
          </cell>
          <cell r="V13">
            <v>1</v>
          </cell>
          <cell r="W13">
            <v>7</v>
          </cell>
          <cell r="X13">
            <v>1</v>
          </cell>
        </row>
        <row r="14">
          <cell r="B14">
            <v>100190</v>
          </cell>
          <cell r="C14" t="str">
            <v>Burgocar Comercial del</v>
          </cell>
          <cell r="D14">
            <v>3</v>
          </cell>
          <cell r="E14">
            <v>5</v>
          </cell>
          <cell r="F14">
            <v>2</v>
          </cell>
          <cell r="G14">
            <v>12</v>
          </cell>
          <cell r="I14">
            <v>3</v>
          </cell>
          <cell r="R14">
            <v>100213</v>
          </cell>
          <cell r="S14" t="str">
            <v>Movilnorte, S.A.</v>
          </cell>
          <cell r="T14">
            <v>3</v>
          </cell>
          <cell r="V14">
            <v>3</v>
          </cell>
          <cell r="W14">
            <v>4</v>
          </cell>
          <cell r="X14">
            <v>2</v>
          </cell>
          <cell r="Y14">
            <v>2</v>
          </cell>
        </row>
        <row r="15">
          <cell r="B15">
            <v>100206</v>
          </cell>
          <cell r="C15" t="str">
            <v>Hispamovil, S.A.</v>
          </cell>
          <cell r="D15">
            <v>14</v>
          </cell>
          <cell r="E15">
            <v>18</v>
          </cell>
          <cell r="F15">
            <v>8</v>
          </cell>
          <cell r="G15">
            <v>8</v>
          </cell>
          <cell r="H15">
            <v>8</v>
          </cell>
          <cell r="I15">
            <v>1</v>
          </cell>
          <cell r="R15">
            <v>100319</v>
          </cell>
          <cell r="S15" t="str">
            <v>Vehinter, S.A.</v>
          </cell>
          <cell r="T15">
            <v>6</v>
          </cell>
          <cell r="V15">
            <v>3</v>
          </cell>
          <cell r="W15">
            <v>2</v>
          </cell>
          <cell r="X15">
            <v>1</v>
          </cell>
        </row>
        <row r="16">
          <cell r="B16">
            <v>100213</v>
          </cell>
          <cell r="C16" t="str">
            <v>Movilnorte, S.A.</v>
          </cell>
          <cell r="D16">
            <v>24</v>
          </cell>
          <cell r="E16">
            <v>18</v>
          </cell>
          <cell r="F16">
            <v>13</v>
          </cell>
          <cell r="G16">
            <v>15</v>
          </cell>
          <cell r="H16">
            <v>33</v>
          </cell>
          <cell r="I16">
            <v>10</v>
          </cell>
          <cell r="R16">
            <v>100323</v>
          </cell>
          <cell r="S16" t="str">
            <v>Caetano Cuzco, S.L.U.</v>
          </cell>
          <cell r="T16">
            <v>6</v>
          </cell>
          <cell r="U16">
            <v>4</v>
          </cell>
          <cell r="V16">
            <v>1</v>
          </cell>
        </row>
        <row r="17">
          <cell r="B17">
            <v>100304</v>
          </cell>
          <cell r="C17" t="str">
            <v>Novomovil, S.A.</v>
          </cell>
          <cell r="D17">
            <v>3</v>
          </cell>
          <cell r="E17">
            <v>5</v>
          </cell>
          <cell r="F17">
            <v>4</v>
          </cell>
          <cell r="G17">
            <v>4</v>
          </cell>
          <cell r="H17">
            <v>5</v>
          </cell>
          <cell r="I17">
            <v>3</v>
          </cell>
          <cell r="R17">
            <v>100349</v>
          </cell>
          <cell r="S17" t="str">
            <v>Auto Premier Baviera, S.A.</v>
          </cell>
          <cell r="T17">
            <v>3</v>
          </cell>
          <cell r="V17">
            <v>4</v>
          </cell>
        </row>
        <row r="18">
          <cell r="B18">
            <v>100307</v>
          </cell>
          <cell r="C18" t="str">
            <v>Avilcar, S.L.</v>
          </cell>
          <cell r="D18">
            <v>3</v>
          </cell>
          <cell r="E18">
            <v>4</v>
          </cell>
          <cell r="F18">
            <v>5</v>
          </cell>
          <cell r="G18">
            <v>1</v>
          </cell>
          <cell r="H18">
            <v>2</v>
          </cell>
          <cell r="R18">
            <v>100379</v>
          </cell>
          <cell r="S18" t="str">
            <v>Triocar Cial. Automovil, S.L.</v>
          </cell>
          <cell r="W18">
            <v>2</v>
          </cell>
          <cell r="Y18">
            <v>1</v>
          </cell>
        </row>
        <row r="19">
          <cell r="B19">
            <v>100311</v>
          </cell>
          <cell r="C19" t="str">
            <v>Engasa, S.A.</v>
          </cell>
          <cell r="D19">
            <v>1</v>
          </cell>
          <cell r="E19">
            <v>5</v>
          </cell>
          <cell r="F19">
            <v>2</v>
          </cell>
          <cell r="G19">
            <v>6</v>
          </cell>
          <cell r="H19">
            <v>11</v>
          </cell>
          <cell r="R19">
            <v>100389</v>
          </cell>
          <cell r="S19" t="str">
            <v>Canarioalemana del Autom,S.L.</v>
          </cell>
          <cell r="V19">
            <v>1</v>
          </cell>
        </row>
        <row r="20">
          <cell r="B20">
            <v>100319</v>
          </cell>
          <cell r="C20" t="str">
            <v>Vehinter, S.A.</v>
          </cell>
          <cell r="D20">
            <v>17</v>
          </cell>
          <cell r="E20">
            <v>19</v>
          </cell>
          <cell r="F20">
            <v>18</v>
          </cell>
          <cell r="G20">
            <v>3</v>
          </cell>
          <cell r="H20">
            <v>12</v>
          </cell>
          <cell r="I20">
            <v>13</v>
          </cell>
          <cell r="R20">
            <v>100394</v>
          </cell>
          <cell r="S20" t="str">
            <v>Maberauto, S.A.</v>
          </cell>
          <cell r="U20">
            <v>1</v>
          </cell>
        </row>
        <row r="21">
          <cell r="B21">
            <v>100323</v>
          </cell>
          <cell r="C21" t="str">
            <v>Caetano Cuzco, S.L.U.</v>
          </cell>
          <cell r="D21">
            <v>11</v>
          </cell>
          <cell r="E21">
            <v>9</v>
          </cell>
          <cell r="F21">
            <v>6</v>
          </cell>
          <cell r="G21">
            <v>12</v>
          </cell>
          <cell r="H21">
            <v>12</v>
          </cell>
          <cell r="I21">
            <v>6</v>
          </cell>
          <cell r="R21">
            <v>100410</v>
          </cell>
          <cell r="S21" t="str">
            <v>Celtamotor, S.L.</v>
          </cell>
          <cell r="T21">
            <v>4</v>
          </cell>
          <cell r="U21">
            <v>3</v>
          </cell>
          <cell r="V21">
            <v>1</v>
          </cell>
        </row>
        <row r="22">
          <cell r="B22">
            <v>100344</v>
          </cell>
          <cell r="C22" t="str">
            <v>San Pablo Motor, S.L.</v>
          </cell>
          <cell r="D22">
            <v>8</v>
          </cell>
          <cell r="E22">
            <v>22</v>
          </cell>
          <cell r="G22">
            <v>16</v>
          </cell>
          <cell r="H22">
            <v>19</v>
          </cell>
          <cell r="I22">
            <v>9</v>
          </cell>
          <cell r="R22">
            <v>100468</v>
          </cell>
          <cell r="S22" t="str">
            <v>Movil Begar Levante, S.A.</v>
          </cell>
          <cell r="V22">
            <v>4</v>
          </cell>
          <cell r="W22">
            <v>1</v>
          </cell>
          <cell r="X22">
            <v>1</v>
          </cell>
          <cell r="Y22">
            <v>1</v>
          </cell>
        </row>
        <row r="23">
          <cell r="B23">
            <v>100348</v>
          </cell>
          <cell r="C23" t="str">
            <v>Augusta Aragon, S.A.</v>
          </cell>
          <cell r="D23">
            <v>25</v>
          </cell>
          <cell r="E23">
            <v>12</v>
          </cell>
          <cell r="F23">
            <v>17</v>
          </cell>
          <cell r="G23">
            <v>8</v>
          </cell>
          <cell r="H23">
            <v>7</v>
          </cell>
          <cell r="I23">
            <v>7</v>
          </cell>
          <cell r="R23">
            <v>100572</v>
          </cell>
          <cell r="S23" t="str">
            <v>Ibericar Barcelona Premium S.L</v>
          </cell>
          <cell r="U23">
            <v>2</v>
          </cell>
          <cell r="Y23">
            <v>5</v>
          </cell>
        </row>
        <row r="24">
          <cell r="B24">
            <v>100349</v>
          </cell>
          <cell r="C24" t="str">
            <v>Auto Premier Baviera, S.A.</v>
          </cell>
          <cell r="D24">
            <v>14</v>
          </cell>
          <cell r="E24">
            <v>16</v>
          </cell>
          <cell r="F24">
            <v>23</v>
          </cell>
          <cell r="G24">
            <v>21</v>
          </cell>
          <cell r="H24">
            <v>28</v>
          </cell>
          <cell r="I24">
            <v>17</v>
          </cell>
          <cell r="R24">
            <v>100586</v>
          </cell>
          <cell r="S24" t="str">
            <v>Automotor Premium, S.L.U</v>
          </cell>
          <cell r="V24">
            <v>5</v>
          </cell>
        </row>
        <row r="25">
          <cell r="B25">
            <v>100379</v>
          </cell>
          <cell r="C25" t="str">
            <v>Triocar Cial. Automovil, S.L.</v>
          </cell>
          <cell r="E25">
            <v>8</v>
          </cell>
          <cell r="F25">
            <v>2</v>
          </cell>
          <cell r="G25">
            <v>12</v>
          </cell>
          <cell r="H25">
            <v>2</v>
          </cell>
          <cell r="I25">
            <v>5</v>
          </cell>
          <cell r="R25">
            <v>100727</v>
          </cell>
          <cell r="S25" t="str">
            <v>Unicars Ponent, S.L.</v>
          </cell>
          <cell r="U25">
            <v>2</v>
          </cell>
        </row>
        <row r="26">
          <cell r="B26">
            <v>100380</v>
          </cell>
          <cell r="C26" t="str">
            <v>Ceres Motor, S.L.</v>
          </cell>
          <cell r="D26">
            <v>4</v>
          </cell>
          <cell r="E26">
            <v>6</v>
          </cell>
          <cell r="F26">
            <v>5</v>
          </cell>
          <cell r="G26">
            <v>3</v>
          </cell>
          <cell r="H26">
            <v>2</v>
          </cell>
          <cell r="I26">
            <v>2</v>
          </cell>
          <cell r="R26">
            <v>100728</v>
          </cell>
          <cell r="S26" t="str">
            <v>Oliva Motor Gavarres, S.L.U.</v>
          </cell>
          <cell r="T26">
            <v>2</v>
          </cell>
          <cell r="U26">
            <v>1</v>
          </cell>
          <cell r="V26">
            <v>1</v>
          </cell>
          <cell r="W26">
            <v>1</v>
          </cell>
          <cell r="X26">
            <v>2</v>
          </cell>
        </row>
        <row r="27">
          <cell r="B27">
            <v>100389</v>
          </cell>
          <cell r="C27" t="str">
            <v>Canarioalemana del Autom,S.L.</v>
          </cell>
          <cell r="D27">
            <v>12</v>
          </cell>
          <cell r="E27">
            <v>10</v>
          </cell>
          <cell r="F27">
            <v>11</v>
          </cell>
          <cell r="G27">
            <v>6</v>
          </cell>
          <cell r="H27">
            <v>6</v>
          </cell>
          <cell r="I27">
            <v>4</v>
          </cell>
          <cell r="R27">
            <v>100730</v>
          </cell>
          <cell r="S27" t="str">
            <v>Adler Motor, S.L.</v>
          </cell>
          <cell r="V27">
            <v>3</v>
          </cell>
        </row>
        <row r="28">
          <cell r="B28">
            <v>100393</v>
          </cell>
          <cell r="C28" t="str">
            <v>Murcia Premium, S.L.</v>
          </cell>
          <cell r="D28">
            <v>2</v>
          </cell>
          <cell r="G28">
            <v>2</v>
          </cell>
          <cell r="H28">
            <v>8</v>
          </cell>
          <cell r="R28">
            <v>100734</v>
          </cell>
          <cell r="S28" t="str">
            <v>Proa Premium, S.L.</v>
          </cell>
          <cell r="T28">
            <v>1</v>
          </cell>
          <cell r="U28">
            <v>3</v>
          </cell>
          <cell r="V28">
            <v>1</v>
          </cell>
          <cell r="X28">
            <v>1</v>
          </cell>
          <cell r="Y28">
            <v>2</v>
          </cell>
        </row>
        <row r="29">
          <cell r="B29">
            <v>100394</v>
          </cell>
          <cell r="C29" t="str">
            <v>Maberauto, S.A.</v>
          </cell>
          <cell r="D29">
            <v>2</v>
          </cell>
          <cell r="E29">
            <v>5</v>
          </cell>
          <cell r="G29">
            <v>3</v>
          </cell>
          <cell r="H29">
            <v>1</v>
          </cell>
          <cell r="R29">
            <v>100738</v>
          </cell>
          <cell r="S29" t="str">
            <v>Marmotor Canarias, S.L.</v>
          </cell>
          <cell r="Y29">
            <v>1</v>
          </cell>
        </row>
        <row r="30">
          <cell r="B30">
            <v>100410</v>
          </cell>
          <cell r="C30" t="str">
            <v>Celtamotor, S.L.</v>
          </cell>
          <cell r="D30">
            <v>7</v>
          </cell>
          <cell r="E30">
            <v>9</v>
          </cell>
          <cell r="F30">
            <v>3</v>
          </cell>
          <cell r="G30">
            <v>3</v>
          </cell>
          <cell r="H30">
            <v>6</v>
          </cell>
          <cell r="I30">
            <v>11</v>
          </cell>
          <cell r="R30">
            <v>100813</v>
          </cell>
          <cell r="S30" t="str">
            <v>Automotor Costa, S.L.U.</v>
          </cell>
          <cell r="V30">
            <v>8</v>
          </cell>
        </row>
        <row r="31">
          <cell r="B31">
            <v>100418</v>
          </cell>
          <cell r="C31" t="str">
            <v>Fuenteolid, S.L.</v>
          </cell>
          <cell r="D31">
            <v>8</v>
          </cell>
          <cell r="E31">
            <v>4</v>
          </cell>
          <cell r="F31">
            <v>2</v>
          </cell>
          <cell r="G31">
            <v>3</v>
          </cell>
          <cell r="H31">
            <v>2</v>
          </cell>
          <cell r="I31">
            <v>1</v>
          </cell>
          <cell r="R31">
            <v>100817</v>
          </cell>
          <cell r="S31" t="str">
            <v>Oliva Motor Girona, S.L.U.</v>
          </cell>
          <cell r="T31">
            <v>1</v>
          </cell>
          <cell r="U31">
            <v>10</v>
          </cell>
          <cell r="V31">
            <v>3</v>
          </cell>
          <cell r="W31">
            <v>3</v>
          </cell>
          <cell r="X31">
            <v>2</v>
          </cell>
        </row>
        <row r="32">
          <cell r="B32">
            <v>100422</v>
          </cell>
          <cell r="C32" t="str">
            <v>San Rafael Motor, S.L.</v>
          </cell>
          <cell r="D32">
            <v>4</v>
          </cell>
          <cell r="E32">
            <v>6</v>
          </cell>
          <cell r="G32">
            <v>5</v>
          </cell>
          <cell r="H32">
            <v>11</v>
          </cell>
          <cell r="R32">
            <v>100819</v>
          </cell>
          <cell r="S32" t="str">
            <v>Motri Motor, S.A.</v>
          </cell>
          <cell r="T32">
            <v>5</v>
          </cell>
          <cell r="W32">
            <v>3</v>
          </cell>
        </row>
        <row r="33">
          <cell r="B33">
            <v>100468</v>
          </cell>
          <cell r="C33" t="str">
            <v>Movil Begar Levante, S.A.</v>
          </cell>
          <cell r="D33">
            <v>8</v>
          </cell>
          <cell r="E33">
            <v>16</v>
          </cell>
          <cell r="F33">
            <v>19</v>
          </cell>
          <cell r="G33">
            <v>16</v>
          </cell>
          <cell r="H33">
            <v>8</v>
          </cell>
          <cell r="I33">
            <v>10</v>
          </cell>
          <cell r="R33">
            <v>100873</v>
          </cell>
          <cell r="S33" t="str">
            <v>BYMYCAR Madrid, S.L.U.</v>
          </cell>
          <cell r="T33">
            <v>1</v>
          </cell>
          <cell r="U33">
            <v>1</v>
          </cell>
          <cell r="V33">
            <v>3</v>
          </cell>
          <cell r="W33">
            <v>10</v>
          </cell>
          <cell r="X33">
            <v>1</v>
          </cell>
        </row>
        <row r="34">
          <cell r="B34">
            <v>100549</v>
          </cell>
          <cell r="C34" t="str">
            <v>Carteya Motor, S.L.</v>
          </cell>
          <cell r="E34">
            <v>7</v>
          </cell>
          <cell r="G34">
            <v>6</v>
          </cell>
          <cell r="H34">
            <v>8</v>
          </cell>
          <cell r="I34">
            <v>3</v>
          </cell>
          <cell r="R34">
            <v>100881</v>
          </cell>
          <cell r="S34" t="str">
            <v>Movitransa Cars, S.L.</v>
          </cell>
          <cell r="U34">
            <v>5</v>
          </cell>
          <cell r="V34">
            <v>1</v>
          </cell>
          <cell r="W34">
            <v>2</v>
          </cell>
        </row>
        <row r="35">
          <cell r="B35">
            <v>100571</v>
          </cell>
          <cell r="C35" t="str">
            <v>Tormes Motor, S.A.</v>
          </cell>
          <cell r="G35">
            <v>1</v>
          </cell>
          <cell r="R35">
            <v>100909</v>
          </cell>
          <cell r="S35" t="str">
            <v>ALTRAC EUROPA, S.A.</v>
          </cell>
          <cell r="T35">
            <v>11</v>
          </cell>
          <cell r="U35">
            <v>4</v>
          </cell>
        </row>
        <row r="36">
          <cell r="B36">
            <v>100572</v>
          </cell>
          <cell r="C36" t="str">
            <v>Ibericar Barcelona Premium S.L</v>
          </cell>
          <cell r="D36">
            <v>3</v>
          </cell>
          <cell r="E36">
            <v>20</v>
          </cell>
          <cell r="F36">
            <v>22</v>
          </cell>
          <cell r="G36">
            <v>24</v>
          </cell>
          <cell r="H36">
            <v>21</v>
          </cell>
          <cell r="I36">
            <v>33</v>
          </cell>
          <cell r="R36">
            <v>100917</v>
          </cell>
          <cell r="S36" t="str">
            <v>Momentum Norte, S.R.L</v>
          </cell>
          <cell r="W36">
            <v>3</v>
          </cell>
        </row>
        <row r="37">
          <cell r="B37">
            <v>100584</v>
          </cell>
          <cell r="C37" t="str">
            <v>Pruna Motor, S.L.</v>
          </cell>
          <cell r="D37">
            <v>2</v>
          </cell>
          <cell r="F37">
            <v>3</v>
          </cell>
          <cell r="G37">
            <v>17</v>
          </cell>
          <cell r="H37">
            <v>1</v>
          </cell>
          <cell r="I37">
            <v>1</v>
          </cell>
        </row>
        <row r="38">
          <cell r="B38">
            <v>100585</v>
          </cell>
          <cell r="C38" t="str">
            <v>Cabrero Motorsport, S.L.</v>
          </cell>
          <cell r="D38">
            <v>1</v>
          </cell>
          <cell r="E38">
            <v>2</v>
          </cell>
          <cell r="F38">
            <v>2</v>
          </cell>
          <cell r="H38">
            <v>1</v>
          </cell>
        </row>
        <row r="39">
          <cell r="B39">
            <v>100586</v>
          </cell>
          <cell r="C39" t="str">
            <v>Automotor Premium, S.L.U</v>
          </cell>
          <cell r="D39">
            <v>45</v>
          </cell>
          <cell r="E39">
            <v>32</v>
          </cell>
          <cell r="F39">
            <v>60</v>
          </cell>
          <cell r="G39">
            <v>39</v>
          </cell>
          <cell r="H39">
            <v>10</v>
          </cell>
          <cell r="I39">
            <v>23</v>
          </cell>
        </row>
        <row r="40">
          <cell r="B40">
            <v>100589</v>
          </cell>
          <cell r="C40" t="str">
            <v>Ilbira Motor, S.L.</v>
          </cell>
          <cell r="D40">
            <v>31</v>
          </cell>
          <cell r="E40">
            <v>10</v>
          </cell>
          <cell r="F40">
            <v>3</v>
          </cell>
          <cell r="G40">
            <v>10</v>
          </cell>
          <cell r="H40">
            <v>5</v>
          </cell>
          <cell r="I40">
            <v>2</v>
          </cell>
        </row>
        <row r="41">
          <cell r="B41">
            <v>100597</v>
          </cell>
          <cell r="C41" t="str">
            <v>Autoberon, S.L.</v>
          </cell>
          <cell r="E41">
            <v>3</v>
          </cell>
          <cell r="F41">
            <v>1</v>
          </cell>
          <cell r="G41">
            <v>3</v>
          </cell>
          <cell r="H41">
            <v>1</v>
          </cell>
        </row>
        <row r="42">
          <cell r="B42">
            <v>100726</v>
          </cell>
          <cell r="C42" t="str">
            <v>Enekuri Motor S.L.</v>
          </cell>
          <cell r="D42">
            <v>3</v>
          </cell>
          <cell r="E42">
            <v>1</v>
          </cell>
          <cell r="F42">
            <v>1</v>
          </cell>
          <cell r="G42">
            <v>1</v>
          </cell>
          <cell r="H42">
            <v>6</v>
          </cell>
          <cell r="I42">
            <v>4</v>
          </cell>
        </row>
        <row r="43">
          <cell r="B43">
            <v>100727</v>
          </cell>
          <cell r="C43" t="str">
            <v>Unicars Ponent, S.L.</v>
          </cell>
          <cell r="E43">
            <v>3</v>
          </cell>
          <cell r="H43">
            <v>2</v>
          </cell>
          <cell r="I43">
            <v>10</v>
          </cell>
        </row>
        <row r="44">
          <cell r="B44">
            <v>100728</v>
          </cell>
          <cell r="C44" t="str">
            <v>Oliva Motor Gavarres, S.L.U.</v>
          </cell>
          <cell r="D44">
            <v>10</v>
          </cell>
          <cell r="E44">
            <v>20</v>
          </cell>
          <cell r="F44">
            <v>11</v>
          </cell>
          <cell r="G44">
            <v>16</v>
          </cell>
          <cell r="H44">
            <v>13</v>
          </cell>
          <cell r="I44">
            <v>20</v>
          </cell>
        </row>
        <row r="45">
          <cell r="B45">
            <v>100730</v>
          </cell>
          <cell r="C45" t="str">
            <v>Adler Motor, S.L.</v>
          </cell>
          <cell r="D45">
            <v>5</v>
          </cell>
          <cell r="E45">
            <v>1</v>
          </cell>
          <cell r="F45">
            <v>9</v>
          </cell>
          <cell r="G45">
            <v>1</v>
          </cell>
          <cell r="H45">
            <v>2</v>
          </cell>
          <cell r="I45">
            <v>9</v>
          </cell>
        </row>
        <row r="46">
          <cell r="B46">
            <v>100734</v>
          </cell>
          <cell r="C46" t="str">
            <v>Proa Premium, S.L.</v>
          </cell>
          <cell r="D46">
            <v>2</v>
          </cell>
          <cell r="E46">
            <v>7</v>
          </cell>
          <cell r="F46">
            <v>3</v>
          </cell>
          <cell r="G46">
            <v>5</v>
          </cell>
          <cell r="H46">
            <v>7</v>
          </cell>
          <cell r="I46">
            <v>5</v>
          </cell>
        </row>
        <row r="47">
          <cell r="B47">
            <v>100738</v>
          </cell>
          <cell r="C47" t="str">
            <v>Marmotor Canarias, S.L.</v>
          </cell>
          <cell r="D47">
            <v>10</v>
          </cell>
          <cell r="E47">
            <v>6</v>
          </cell>
          <cell r="F47">
            <v>1</v>
          </cell>
          <cell r="H47">
            <v>11</v>
          </cell>
          <cell r="I47">
            <v>5</v>
          </cell>
        </row>
        <row r="48">
          <cell r="B48">
            <v>100739</v>
          </cell>
          <cell r="C48" t="str">
            <v>Bernesga Motor, S.L</v>
          </cell>
          <cell r="D48">
            <v>2</v>
          </cell>
          <cell r="E48">
            <v>1</v>
          </cell>
          <cell r="G48">
            <v>1</v>
          </cell>
          <cell r="H48">
            <v>3</v>
          </cell>
          <cell r="I48">
            <v>2</v>
          </cell>
        </row>
        <row r="49">
          <cell r="B49">
            <v>100764</v>
          </cell>
          <cell r="C49" t="str">
            <v>Albamocion S.L.</v>
          </cell>
          <cell r="D49">
            <v>18</v>
          </cell>
          <cell r="E49">
            <v>9</v>
          </cell>
          <cell r="F49">
            <v>6</v>
          </cell>
          <cell r="G49">
            <v>9</v>
          </cell>
          <cell r="H49">
            <v>12</v>
          </cell>
          <cell r="I49">
            <v>4</v>
          </cell>
        </row>
        <row r="50">
          <cell r="B50">
            <v>100813</v>
          </cell>
          <cell r="C50" t="str">
            <v>Automotor Costa, S.L.U.</v>
          </cell>
          <cell r="D50">
            <v>20</v>
          </cell>
          <cell r="E50">
            <v>4</v>
          </cell>
          <cell r="F50">
            <v>15</v>
          </cell>
          <cell r="G50">
            <v>3</v>
          </cell>
          <cell r="H50">
            <v>12</v>
          </cell>
          <cell r="I50">
            <v>3</v>
          </cell>
        </row>
        <row r="51">
          <cell r="B51">
            <v>100817</v>
          </cell>
          <cell r="C51" t="str">
            <v>Oliva Motor Girona, S.L.U.</v>
          </cell>
          <cell r="D51">
            <v>9</v>
          </cell>
          <cell r="E51">
            <v>4</v>
          </cell>
          <cell r="F51">
            <v>12</v>
          </cell>
          <cell r="G51">
            <v>21</v>
          </cell>
          <cell r="H51">
            <v>19</v>
          </cell>
          <cell r="I51">
            <v>16</v>
          </cell>
        </row>
        <row r="52">
          <cell r="B52">
            <v>100819</v>
          </cell>
          <cell r="C52" t="str">
            <v>Motri Motor, S.A.</v>
          </cell>
          <cell r="D52">
            <v>74</v>
          </cell>
          <cell r="E52">
            <v>84</v>
          </cell>
          <cell r="F52">
            <v>83</v>
          </cell>
          <cell r="G52">
            <v>93</v>
          </cell>
          <cell r="H52">
            <v>79</v>
          </cell>
          <cell r="I52">
            <v>29</v>
          </cell>
        </row>
        <row r="53">
          <cell r="B53">
            <v>100873</v>
          </cell>
          <cell r="C53" t="str">
            <v>BYMYCAR Madrid, S.L.U.</v>
          </cell>
          <cell r="D53">
            <v>17</v>
          </cell>
          <cell r="E53">
            <v>29</v>
          </cell>
          <cell r="F53">
            <v>32</v>
          </cell>
          <cell r="G53">
            <v>17</v>
          </cell>
          <cell r="H53">
            <v>24</v>
          </cell>
          <cell r="I53">
            <v>4</v>
          </cell>
        </row>
        <row r="54">
          <cell r="B54">
            <v>100881</v>
          </cell>
          <cell r="C54" t="str">
            <v>Movitransa Cars, S.L.</v>
          </cell>
          <cell r="D54">
            <v>2</v>
          </cell>
          <cell r="E54">
            <v>10</v>
          </cell>
          <cell r="F54">
            <v>9</v>
          </cell>
          <cell r="G54">
            <v>1</v>
          </cell>
          <cell r="I54">
            <v>11</v>
          </cell>
        </row>
        <row r="55">
          <cell r="B55">
            <v>100909</v>
          </cell>
          <cell r="C55" t="str">
            <v>ALTRAC EUROPA, S.A.</v>
          </cell>
          <cell r="D55">
            <v>5</v>
          </cell>
          <cell r="E55">
            <v>13</v>
          </cell>
          <cell r="F55">
            <v>9</v>
          </cell>
          <cell r="G55">
            <v>4</v>
          </cell>
          <cell r="H55">
            <v>13</v>
          </cell>
          <cell r="I55">
            <v>2</v>
          </cell>
        </row>
        <row r="56">
          <cell r="B56">
            <v>100917</v>
          </cell>
          <cell r="C56" t="str">
            <v>Momentum Norte, S.R.L</v>
          </cell>
          <cell r="G56">
            <v>26</v>
          </cell>
          <cell r="I56">
            <v>9</v>
          </cell>
        </row>
        <row r="63">
          <cell r="B63" t="str">
            <v>MARCA</v>
          </cell>
          <cell r="C63" t="str">
            <v>(Varios elementos)</v>
          </cell>
          <cell r="R63" t="str">
            <v>MARCA</v>
          </cell>
          <cell r="S63" t="str">
            <v>mini</v>
          </cell>
        </row>
        <row r="71">
          <cell r="B71">
            <v>1</v>
          </cell>
          <cell r="C71">
            <v>12</v>
          </cell>
          <cell r="R71">
            <v>2</v>
          </cell>
          <cell r="S71">
            <v>1</v>
          </cell>
        </row>
        <row r="72">
          <cell r="B72">
            <v>2</v>
          </cell>
          <cell r="C72">
            <v>21</v>
          </cell>
          <cell r="R72">
            <v>4</v>
          </cell>
          <cell r="S72">
            <v>1</v>
          </cell>
        </row>
        <row r="73">
          <cell r="B73">
            <v>3</v>
          </cell>
          <cell r="C73">
            <v>20</v>
          </cell>
          <cell r="R73">
            <v>5</v>
          </cell>
          <cell r="S73">
            <v>1</v>
          </cell>
        </row>
        <row r="74">
          <cell r="B74">
            <v>4</v>
          </cell>
          <cell r="C74">
            <v>17</v>
          </cell>
        </row>
        <row r="75">
          <cell r="B75">
            <v>5</v>
          </cell>
          <cell r="C75">
            <v>17</v>
          </cell>
        </row>
        <row r="76">
          <cell r="B76">
            <v>6</v>
          </cell>
          <cell r="C76">
            <v>13</v>
          </cell>
        </row>
      </sheetData>
      <sheetData sheetId="5">
        <row r="11">
          <cell r="B11">
            <v>100002</v>
          </cell>
          <cell r="C11" t="str">
            <v>Automoviles Bertolin, S.L.</v>
          </cell>
          <cell r="E11">
            <v>2</v>
          </cell>
          <cell r="F11">
            <v>2</v>
          </cell>
          <cell r="H11">
            <v>2</v>
          </cell>
          <cell r="I11">
            <v>4</v>
          </cell>
          <cell r="R11">
            <v>100002</v>
          </cell>
          <cell r="S11" t="str">
            <v>Automoviles Bertolin, S.L.</v>
          </cell>
          <cell r="U11">
            <v>1</v>
          </cell>
          <cell r="V11">
            <v>1</v>
          </cell>
          <cell r="X11">
            <v>2</v>
          </cell>
          <cell r="Y11">
            <v>1</v>
          </cell>
        </row>
        <row r="12">
          <cell r="B12">
            <v>100015</v>
          </cell>
          <cell r="C12" t="str">
            <v>GrÃ¼nblau Motor, S.A.</v>
          </cell>
          <cell r="E12">
            <v>1</v>
          </cell>
          <cell r="I12">
            <v>2</v>
          </cell>
          <cell r="R12">
            <v>100062</v>
          </cell>
          <cell r="S12" t="str">
            <v>Automoviles Fersan, S.A.</v>
          </cell>
          <cell r="T12">
            <v>1</v>
          </cell>
          <cell r="U12">
            <v>1</v>
          </cell>
          <cell r="V12">
            <v>6</v>
          </cell>
          <cell r="W12">
            <v>2</v>
          </cell>
          <cell r="X12">
            <v>2</v>
          </cell>
        </row>
        <row r="13">
          <cell r="B13">
            <v>100062</v>
          </cell>
          <cell r="C13" t="str">
            <v>Automoviles Fersan, S.A.</v>
          </cell>
          <cell r="D13">
            <v>1</v>
          </cell>
          <cell r="E13">
            <v>3</v>
          </cell>
          <cell r="F13">
            <v>2</v>
          </cell>
          <cell r="G13">
            <v>3</v>
          </cell>
          <cell r="H13">
            <v>2</v>
          </cell>
          <cell r="I13">
            <v>2</v>
          </cell>
          <cell r="R13">
            <v>100190</v>
          </cell>
          <cell r="S13" t="str">
            <v>Burgocar Comercial del</v>
          </cell>
          <cell r="U13">
            <v>3</v>
          </cell>
        </row>
        <row r="14">
          <cell r="B14">
            <v>100146</v>
          </cell>
          <cell r="C14" t="str">
            <v>Lugauto, S.A.</v>
          </cell>
          <cell r="I14">
            <v>2</v>
          </cell>
          <cell r="R14">
            <v>100206</v>
          </cell>
          <cell r="S14" t="str">
            <v>Hispamovil, S.A.</v>
          </cell>
          <cell r="T14">
            <v>2</v>
          </cell>
          <cell r="U14">
            <v>6</v>
          </cell>
          <cell r="V14">
            <v>1</v>
          </cell>
          <cell r="W14">
            <v>4</v>
          </cell>
          <cell r="X14">
            <v>2</v>
          </cell>
        </row>
        <row r="15">
          <cell r="B15">
            <v>100190</v>
          </cell>
          <cell r="C15" t="str">
            <v>Burgocar Comercial del</v>
          </cell>
          <cell r="D15">
            <v>2</v>
          </cell>
          <cell r="E15">
            <v>7</v>
          </cell>
          <cell r="F15">
            <v>3</v>
          </cell>
          <cell r="G15">
            <v>1</v>
          </cell>
          <cell r="I15">
            <v>1</v>
          </cell>
          <cell r="R15">
            <v>100213</v>
          </cell>
          <cell r="S15" t="str">
            <v>Movilnorte, S.A.</v>
          </cell>
          <cell r="T15">
            <v>3</v>
          </cell>
          <cell r="U15">
            <v>2</v>
          </cell>
          <cell r="X15">
            <v>2</v>
          </cell>
          <cell r="Y15">
            <v>2</v>
          </cell>
        </row>
        <row r="16">
          <cell r="B16">
            <v>100206</v>
          </cell>
          <cell r="C16" t="str">
            <v>Hispamovil, S.A.</v>
          </cell>
          <cell r="D16">
            <v>3</v>
          </cell>
          <cell r="E16">
            <v>3</v>
          </cell>
          <cell r="F16">
            <v>5</v>
          </cell>
          <cell r="G16">
            <v>6</v>
          </cell>
          <cell r="H16">
            <v>2</v>
          </cell>
          <cell r="R16">
            <v>100304</v>
          </cell>
          <cell r="S16" t="str">
            <v>Novomovil, S.A.</v>
          </cell>
          <cell r="U16">
            <v>1</v>
          </cell>
          <cell r="V16">
            <v>2</v>
          </cell>
          <cell r="W16">
            <v>2</v>
          </cell>
        </row>
        <row r="17">
          <cell r="B17">
            <v>100213</v>
          </cell>
          <cell r="C17" t="str">
            <v>Movilnorte, S.A.</v>
          </cell>
          <cell r="F17">
            <v>1</v>
          </cell>
          <cell r="H17">
            <v>1</v>
          </cell>
          <cell r="I17">
            <v>2</v>
          </cell>
          <cell r="R17">
            <v>100319</v>
          </cell>
          <cell r="S17" t="str">
            <v>Vehinter, S.A.</v>
          </cell>
          <cell r="T17">
            <v>10</v>
          </cell>
          <cell r="U17">
            <v>10</v>
          </cell>
          <cell r="V17">
            <v>17</v>
          </cell>
          <cell r="W17">
            <v>12</v>
          </cell>
          <cell r="X17">
            <v>11</v>
          </cell>
          <cell r="Y17">
            <v>5</v>
          </cell>
        </row>
        <row r="18">
          <cell r="B18">
            <v>100304</v>
          </cell>
          <cell r="C18" t="str">
            <v>Novomovil, S.A.</v>
          </cell>
          <cell r="F18">
            <v>2</v>
          </cell>
          <cell r="R18">
            <v>100323</v>
          </cell>
          <cell r="S18" t="str">
            <v>Caetano Cuzco, S.L.U.</v>
          </cell>
          <cell r="T18">
            <v>3</v>
          </cell>
          <cell r="V18">
            <v>1</v>
          </cell>
          <cell r="W18">
            <v>3</v>
          </cell>
          <cell r="X18">
            <v>7</v>
          </cell>
          <cell r="Y18">
            <v>4</v>
          </cell>
        </row>
        <row r="19">
          <cell r="B19">
            <v>100311</v>
          </cell>
          <cell r="C19" t="str">
            <v>Engasa, S.A.</v>
          </cell>
          <cell r="E19">
            <v>1</v>
          </cell>
          <cell r="H19">
            <v>2</v>
          </cell>
          <cell r="R19">
            <v>100344</v>
          </cell>
          <cell r="S19" t="str">
            <v>San Pablo Motor, S.L.</v>
          </cell>
          <cell r="Y19">
            <v>1</v>
          </cell>
        </row>
        <row r="20">
          <cell r="B20">
            <v>100319</v>
          </cell>
          <cell r="C20" t="str">
            <v>Vehinter, S.A.</v>
          </cell>
          <cell r="D20">
            <v>11</v>
          </cell>
          <cell r="E20">
            <v>16</v>
          </cell>
          <cell r="F20">
            <v>20</v>
          </cell>
          <cell r="G20">
            <v>17</v>
          </cell>
          <cell r="H20">
            <v>18</v>
          </cell>
          <cell r="I20">
            <v>19</v>
          </cell>
          <cell r="R20">
            <v>100348</v>
          </cell>
          <cell r="S20" t="str">
            <v>Augusta Aragon, S.A.</v>
          </cell>
          <cell r="T20">
            <v>2</v>
          </cell>
          <cell r="V20">
            <v>2</v>
          </cell>
          <cell r="W20">
            <v>1</v>
          </cell>
        </row>
        <row r="21">
          <cell r="B21">
            <v>100323</v>
          </cell>
          <cell r="C21" t="str">
            <v>Caetano Cuzco, S.L.U.</v>
          </cell>
          <cell r="D21">
            <v>2</v>
          </cell>
          <cell r="E21">
            <v>6</v>
          </cell>
          <cell r="F21">
            <v>2</v>
          </cell>
          <cell r="G21">
            <v>3</v>
          </cell>
          <cell r="H21">
            <v>5</v>
          </cell>
          <cell r="I21">
            <v>7</v>
          </cell>
          <cell r="R21">
            <v>100349</v>
          </cell>
          <cell r="S21" t="str">
            <v>Auto Premier Baviera, S.A.</v>
          </cell>
          <cell r="T21">
            <v>6</v>
          </cell>
          <cell r="U21">
            <v>8</v>
          </cell>
          <cell r="V21">
            <v>2</v>
          </cell>
          <cell r="W21">
            <v>7</v>
          </cell>
          <cell r="X21">
            <v>10</v>
          </cell>
          <cell r="Y21">
            <v>6</v>
          </cell>
        </row>
        <row r="22">
          <cell r="B22">
            <v>100344</v>
          </cell>
          <cell r="C22" t="str">
            <v>San Pablo Motor, S.L.</v>
          </cell>
          <cell r="E22">
            <v>1</v>
          </cell>
          <cell r="G22">
            <v>4</v>
          </cell>
          <cell r="H22">
            <v>3</v>
          </cell>
          <cell r="I22">
            <v>11</v>
          </cell>
          <cell r="R22">
            <v>100379</v>
          </cell>
          <cell r="S22" t="str">
            <v>Triocar Cial. Automovil, S.L.</v>
          </cell>
          <cell r="U22">
            <v>1</v>
          </cell>
          <cell r="W22">
            <v>2</v>
          </cell>
        </row>
        <row r="23">
          <cell r="B23">
            <v>100348</v>
          </cell>
          <cell r="C23" t="str">
            <v>Augusta Aragon, S.A.</v>
          </cell>
          <cell r="D23">
            <v>2</v>
          </cell>
          <cell r="E23">
            <v>15</v>
          </cell>
          <cell r="F23">
            <v>4</v>
          </cell>
          <cell r="G23">
            <v>5</v>
          </cell>
          <cell r="H23">
            <v>3</v>
          </cell>
          <cell r="I23">
            <v>9</v>
          </cell>
          <cell r="R23">
            <v>100380</v>
          </cell>
          <cell r="S23" t="str">
            <v>Ceres Motor, S.L.</v>
          </cell>
          <cell r="U23">
            <v>2</v>
          </cell>
          <cell r="Y23">
            <v>1</v>
          </cell>
        </row>
        <row r="24">
          <cell r="B24">
            <v>100349</v>
          </cell>
          <cell r="C24" t="str">
            <v>Auto Premier Baviera, S.A.</v>
          </cell>
          <cell r="D24">
            <v>11</v>
          </cell>
          <cell r="E24">
            <v>24</v>
          </cell>
          <cell r="F24">
            <v>23</v>
          </cell>
          <cell r="G24">
            <v>33</v>
          </cell>
          <cell r="H24">
            <v>18</v>
          </cell>
          <cell r="I24">
            <v>33</v>
          </cell>
          <cell r="R24">
            <v>100389</v>
          </cell>
          <cell r="S24" t="str">
            <v>Canarioalemana del Autom,S.L.</v>
          </cell>
          <cell r="U24">
            <v>1</v>
          </cell>
        </row>
        <row r="25">
          <cell r="B25">
            <v>100379</v>
          </cell>
          <cell r="C25" t="str">
            <v>Triocar Cial. Automovil, S.L.</v>
          </cell>
          <cell r="E25">
            <v>3</v>
          </cell>
          <cell r="F25">
            <v>2</v>
          </cell>
          <cell r="G25">
            <v>2</v>
          </cell>
          <cell r="I25">
            <v>2</v>
          </cell>
          <cell r="R25">
            <v>100394</v>
          </cell>
          <cell r="S25" t="str">
            <v>Maberauto, S.A.</v>
          </cell>
          <cell r="U25">
            <v>2</v>
          </cell>
          <cell r="W25">
            <v>1</v>
          </cell>
        </row>
        <row r="26">
          <cell r="B26">
            <v>100380</v>
          </cell>
          <cell r="C26" t="str">
            <v>Ceres Motor, S.L.</v>
          </cell>
          <cell r="D26">
            <v>4</v>
          </cell>
          <cell r="E26">
            <v>7</v>
          </cell>
          <cell r="F26">
            <v>2</v>
          </cell>
          <cell r="G26">
            <v>7</v>
          </cell>
          <cell r="I26">
            <v>2</v>
          </cell>
          <cell r="R26">
            <v>100410</v>
          </cell>
          <cell r="S26" t="str">
            <v>Celtamotor, S.L.</v>
          </cell>
          <cell r="V26">
            <v>1</v>
          </cell>
          <cell r="X26">
            <v>2</v>
          </cell>
        </row>
        <row r="27">
          <cell r="B27">
            <v>100389</v>
          </cell>
          <cell r="C27" t="str">
            <v>Canarioalemana del Autom,S.L.</v>
          </cell>
          <cell r="E27">
            <v>1</v>
          </cell>
          <cell r="F27">
            <v>1</v>
          </cell>
          <cell r="G27">
            <v>1</v>
          </cell>
          <cell r="I27">
            <v>2</v>
          </cell>
          <cell r="R27">
            <v>100422</v>
          </cell>
          <cell r="S27" t="str">
            <v>San Rafael Motor, S.L.</v>
          </cell>
          <cell r="V27">
            <v>1</v>
          </cell>
        </row>
        <row r="28">
          <cell r="B28">
            <v>100394</v>
          </cell>
          <cell r="C28" t="str">
            <v>Maberauto, S.A.</v>
          </cell>
          <cell r="D28">
            <v>3</v>
          </cell>
          <cell r="E28">
            <v>6</v>
          </cell>
          <cell r="F28">
            <v>1</v>
          </cell>
          <cell r="G28">
            <v>3</v>
          </cell>
          <cell r="H28">
            <v>3</v>
          </cell>
          <cell r="I28">
            <v>1</v>
          </cell>
          <cell r="R28">
            <v>100468</v>
          </cell>
          <cell r="S28" t="str">
            <v>Movil Begar Levante, S.A.</v>
          </cell>
          <cell r="U28">
            <v>1</v>
          </cell>
          <cell r="V28">
            <v>1</v>
          </cell>
          <cell r="W28">
            <v>1</v>
          </cell>
          <cell r="X28">
            <v>2</v>
          </cell>
          <cell r="Y28">
            <v>7</v>
          </cell>
        </row>
        <row r="29">
          <cell r="B29">
            <v>100410</v>
          </cell>
          <cell r="C29" t="str">
            <v>Celtamotor, S.L.</v>
          </cell>
          <cell r="D29">
            <v>1</v>
          </cell>
          <cell r="F29">
            <v>1</v>
          </cell>
          <cell r="G29">
            <v>1</v>
          </cell>
          <cell r="H29">
            <v>1</v>
          </cell>
          <cell r="I29">
            <v>2</v>
          </cell>
          <cell r="R29">
            <v>100572</v>
          </cell>
          <cell r="S29" t="str">
            <v>Ibericar Barcelona Premium S.L</v>
          </cell>
          <cell r="V29">
            <v>2</v>
          </cell>
          <cell r="Y29">
            <v>2</v>
          </cell>
        </row>
        <row r="30">
          <cell r="B30">
            <v>100418</v>
          </cell>
          <cell r="C30" t="str">
            <v>Fuenteolid, S.L.</v>
          </cell>
          <cell r="E30">
            <v>1</v>
          </cell>
          <cell r="R30">
            <v>100585</v>
          </cell>
          <cell r="S30" t="str">
            <v>Cabrero Motorsport, S.L.</v>
          </cell>
          <cell r="Y30">
            <v>2</v>
          </cell>
        </row>
        <row r="31">
          <cell r="B31">
            <v>100422</v>
          </cell>
          <cell r="C31" t="str">
            <v>San Rafael Motor, S.L.</v>
          </cell>
          <cell r="D31">
            <v>9</v>
          </cell>
          <cell r="E31">
            <v>1</v>
          </cell>
          <cell r="F31">
            <v>5</v>
          </cell>
          <cell r="G31">
            <v>3</v>
          </cell>
          <cell r="H31">
            <v>4</v>
          </cell>
          <cell r="I31">
            <v>6</v>
          </cell>
          <cell r="R31">
            <v>100586</v>
          </cell>
          <cell r="S31" t="str">
            <v>Automotor Premium, S.L.U</v>
          </cell>
          <cell r="U31">
            <v>1</v>
          </cell>
          <cell r="V31">
            <v>1</v>
          </cell>
          <cell r="W31">
            <v>5</v>
          </cell>
          <cell r="X31">
            <v>3</v>
          </cell>
          <cell r="Y31">
            <v>2</v>
          </cell>
        </row>
        <row r="32">
          <cell r="B32">
            <v>100468</v>
          </cell>
          <cell r="C32" t="str">
            <v>Movil Begar Levante, S.A.</v>
          </cell>
          <cell r="D32">
            <v>3</v>
          </cell>
          <cell r="E32">
            <v>8</v>
          </cell>
          <cell r="F32">
            <v>4</v>
          </cell>
          <cell r="G32">
            <v>4</v>
          </cell>
          <cell r="H32">
            <v>5</v>
          </cell>
          <cell r="I32">
            <v>6</v>
          </cell>
          <cell r="R32">
            <v>100597</v>
          </cell>
          <cell r="S32" t="str">
            <v>Autoberon, S.L.</v>
          </cell>
          <cell r="X32">
            <v>1</v>
          </cell>
        </row>
        <row r="33">
          <cell r="B33">
            <v>100549</v>
          </cell>
          <cell r="C33" t="str">
            <v>Carteya Motor, S.L.</v>
          </cell>
          <cell r="H33">
            <v>4</v>
          </cell>
          <cell r="R33">
            <v>100728</v>
          </cell>
          <cell r="S33" t="str">
            <v>Oliva Motor Gavarres, S.L.U.</v>
          </cell>
          <cell r="U33">
            <v>1</v>
          </cell>
          <cell r="V33">
            <v>2</v>
          </cell>
          <cell r="X33">
            <v>1</v>
          </cell>
          <cell r="Y33">
            <v>5</v>
          </cell>
        </row>
        <row r="34">
          <cell r="B34">
            <v>100572</v>
          </cell>
          <cell r="C34" t="str">
            <v>Ibericar Barcelona Premium S.L</v>
          </cell>
          <cell r="F34">
            <v>1</v>
          </cell>
          <cell r="R34">
            <v>100730</v>
          </cell>
          <cell r="S34" t="str">
            <v>Adler Motor, S.L.</v>
          </cell>
          <cell r="U34">
            <v>1</v>
          </cell>
          <cell r="Y34">
            <v>1</v>
          </cell>
        </row>
        <row r="35">
          <cell r="B35">
            <v>100584</v>
          </cell>
          <cell r="C35" t="str">
            <v>Pruna Motor, S.L.</v>
          </cell>
          <cell r="I35">
            <v>1</v>
          </cell>
          <cell r="R35">
            <v>100734</v>
          </cell>
          <cell r="S35" t="str">
            <v>Proa Premium, S.L.</v>
          </cell>
          <cell r="U35">
            <v>1</v>
          </cell>
          <cell r="V35">
            <v>2</v>
          </cell>
          <cell r="W35">
            <v>1</v>
          </cell>
          <cell r="Y35">
            <v>3</v>
          </cell>
        </row>
        <row r="36">
          <cell r="B36">
            <v>100585</v>
          </cell>
          <cell r="C36" t="str">
            <v>Cabrero Motorsport, S.L.</v>
          </cell>
          <cell r="F36">
            <v>1</v>
          </cell>
          <cell r="H36">
            <v>2</v>
          </cell>
          <cell r="I36">
            <v>3</v>
          </cell>
          <cell r="R36">
            <v>100739</v>
          </cell>
          <cell r="S36" t="str">
            <v>Bernesga Motor, S.L</v>
          </cell>
          <cell r="U36">
            <v>1</v>
          </cell>
        </row>
        <row r="37">
          <cell r="B37">
            <v>100586</v>
          </cell>
          <cell r="C37" t="str">
            <v>Automotor Premium, S.L.U</v>
          </cell>
          <cell r="D37">
            <v>7</v>
          </cell>
          <cell r="E37">
            <v>20</v>
          </cell>
          <cell r="F37">
            <v>21</v>
          </cell>
          <cell r="G37">
            <v>29</v>
          </cell>
          <cell r="H37">
            <v>17</v>
          </cell>
          <cell r="I37">
            <v>18</v>
          </cell>
          <cell r="R37">
            <v>100764</v>
          </cell>
          <cell r="S37" t="str">
            <v>Albamocion S.L.</v>
          </cell>
          <cell r="W37">
            <v>1</v>
          </cell>
        </row>
        <row r="38">
          <cell r="B38">
            <v>100589</v>
          </cell>
          <cell r="C38" t="str">
            <v>Ilbira Motor, S.L.</v>
          </cell>
          <cell r="F38">
            <v>1</v>
          </cell>
          <cell r="R38">
            <v>100817</v>
          </cell>
          <cell r="S38" t="str">
            <v>Oliva Motor Girona, S.L.U.</v>
          </cell>
          <cell r="X38">
            <v>1</v>
          </cell>
        </row>
        <row r="39">
          <cell r="B39">
            <v>100597</v>
          </cell>
          <cell r="C39" t="str">
            <v>Autoberon, S.L.</v>
          </cell>
          <cell r="D39">
            <v>1</v>
          </cell>
          <cell r="E39">
            <v>1</v>
          </cell>
          <cell r="R39">
            <v>100819</v>
          </cell>
          <cell r="S39" t="str">
            <v>Motri Motor, S.A.</v>
          </cell>
          <cell r="T39">
            <v>9</v>
          </cell>
          <cell r="U39">
            <v>5</v>
          </cell>
          <cell r="V39">
            <v>22</v>
          </cell>
          <cell r="W39">
            <v>16</v>
          </cell>
          <cell r="X39">
            <v>16</v>
          </cell>
          <cell r="Y39">
            <v>14</v>
          </cell>
        </row>
        <row r="40">
          <cell r="B40">
            <v>100726</v>
          </cell>
          <cell r="C40" t="str">
            <v>Enekuri Motor S.L.</v>
          </cell>
          <cell r="F40">
            <v>1</v>
          </cell>
          <cell r="G40">
            <v>1</v>
          </cell>
          <cell r="H40">
            <v>3</v>
          </cell>
          <cell r="R40">
            <v>100873</v>
          </cell>
          <cell r="S40" t="str">
            <v>BYMYCAR Madrid, S.L.U.</v>
          </cell>
          <cell r="T40">
            <v>4</v>
          </cell>
          <cell r="U40">
            <v>6</v>
          </cell>
          <cell r="V40">
            <v>11</v>
          </cell>
          <cell r="W40">
            <v>11</v>
          </cell>
          <cell r="X40">
            <v>15</v>
          </cell>
          <cell r="Y40">
            <v>11</v>
          </cell>
        </row>
        <row r="41">
          <cell r="B41">
            <v>100727</v>
          </cell>
          <cell r="C41" t="str">
            <v>Unicars Ponent, S.L.</v>
          </cell>
          <cell r="E41">
            <v>1</v>
          </cell>
          <cell r="I41">
            <v>6</v>
          </cell>
          <cell r="R41">
            <v>100881</v>
          </cell>
          <cell r="S41" t="str">
            <v>Movitransa Cars, S.L.</v>
          </cell>
          <cell r="Y41">
            <v>2</v>
          </cell>
        </row>
        <row r="42">
          <cell r="B42">
            <v>100728</v>
          </cell>
          <cell r="C42" t="str">
            <v>Oliva Motor Gavarres, S.L.U.</v>
          </cell>
          <cell r="E42">
            <v>1</v>
          </cell>
          <cell r="I42">
            <v>1</v>
          </cell>
          <cell r="R42">
            <v>100909</v>
          </cell>
          <cell r="S42" t="str">
            <v>ALTRAC EUROPA, S.A.</v>
          </cell>
          <cell r="U42">
            <v>1</v>
          </cell>
          <cell r="V42">
            <v>1</v>
          </cell>
          <cell r="X42">
            <v>2</v>
          </cell>
          <cell r="Y42">
            <v>3</v>
          </cell>
        </row>
        <row r="43">
          <cell r="B43">
            <v>100730</v>
          </cell>
          <cell r="C43" t="str">
            <v>Adler Motor, S.L.</v>
          </cell>
          <cell r="D43">
            <v>2</v>
          </cell>
          <cell r="E43">
            <v>1</v>
          </cell>
          <cell r="F43">
            <v>2</v>
          </cell>
          <cell r="G43">
            <v>5</v>
          </cell>
          <cell r="H43">
            <v>1</v>
          </cell>
          <cell r="I43">
            <v>1</v>
          </cell>
          <cell r="R43">
            <v>100917</v>
          </cell>
          <cell r="S43" t="str">
            <v>Momentum Norte, S.R.L</v>
          </cell>
          <cell r="W43">
            <v>1</v>
          </cell>
          <cell r="Y43">
            <v>6</v>
          </cell>
        </row>
        <row r="44">
          <cell r="B44">
            <v>100734</v>
          </cell>
          <cell r="C44" t="str">
            <v>Proa Premium, S.L.</v>
          </cell>
          <cell r="D44">
            <v>7</v>
          </cell>
          <cell r="E44">
            <v>8</v>
          </cell>
          <cell r="F44">
            <v>5</v>
          </cell>
          <cell r="G44">
            <v>7</v>
          </cell>
          <cell r="H44">
            <v>6</v>
          </cell>
          <cell r="I44">
            <v>19</v>
          </cell>
        </row>
        <row r="45">
          <cell r="B45">
            <v>100738</v>
          </cell>
          <cell r="C45" t="str">
            <v>Marmotor Canarias, S.L.</v>
          </cell>
          <cell r="I45">
            <v>5</v>
          </cell>
        </row>
        <row r="46">
          <cell r="B46">
            <v>100739</v>
          </cell>
          <cell r="C46" t="str">
            <v>Bernesga Motor, S.L</v>
          </cell>
          <cell r="D46">
            <v>1</v>
          </cell>
          <cell r="I46">
            <v>1</v>
          </cell>
        </row>
        <row r="47">
          <cell r="B47">
            <v>100764</v>
          </cell>
          <cell r="C47" t="str">
            <v>Albamocion S.L.</v>
          </cell>
          <cell r="F47">
            <v>1</v>
          </cell>
          <cell r="G47">
            <v>7</v>
          </cell>
          <cell r="H47">
            <v>1</v>
          </cell>
        </row>
        <row r="48">
          <cell r="B48">
            <v>100765</v>
          </cell>
          <cell r="C48" t="str">
            <v>Lizaga Motor, S.L.</v>
          </cell>
          <cell r="D48">
            <v>8</v>
          </cell>
          <cell r="E48">
            <v>1</v>
          </cell>
          <cell r="F48">
            <v>1</v>
          </cell>
        </row>
        <row r="49">
          <cell r="B49">
            <v>100813</v>
          </cell>
          <cell r="C49" t="str">
            <v>Automotor Costa, S.L.U.</v>
          </cell>
          <cell r="F49">
            <v>1</v>
          </cell>
        </row>
        <row r="50">
          <cell r="B50">
            <v>100817</v>
          </cell>
          <cell r="C50" t="str">
            <v>Oliva Motor Girona, S.L.U.</v>
          </cell>
          <cell r="E50">
            <v>1</v>
          </cell>
          <cell r="F50">
            <v>2</v>
          </cell>
          <cell r="G50">
            <v>2</v>
          </cell>
          <cell r="H50">
            <v>1</v>
          </cell>
          <cell r="I50">
            <v>5</v>
          </cell>
        </row>
        <row r="51">
          <cell r="B51">
            <v>100819</v>
          </cell>
          <cell r="C51" t="str">
            <v>Motri Motor, S.A.</v>
          </cell>
          <cell r="D51">
            <v>91</v>
          </cell>
          <cell r="E51">
            <v>96</v>
          </cell>
          <cell r="F51">
            <v>124</v>
          </cell>
          <cell r="G51">
            <v>121</v>
          </cell>
          <cell r="H51">
            <v>124</v>
          </cell>
          <cell r="I51">
            <v>185</v>
          </cell>
        </row>
        <row r="52">
          <cell r="B52">
            <v>100873</v>
          </cell>
          <cell r="C52" t="str">
            <v>BYMYCAR Madrid, S.L.U.</v>
          </cell>
          <cell r="D52">
            <v>16</v>
          </cell>
          <cell r="E52">
            <v>32</v>
          </cell>
          <cell r="F52">
            <v>40</v>
          </cell>
          <cell r="G52">
            <v>40</v>
          </cell>
          <cell r="H52">
            <v>37</v>
          </cell>
          <cell r="I52">
            <v>42</v>
          </cell>
        </row>
        <row r="53">
          <cell r="B53">
            <v>100881</v>
          </cell>
          <cell r="C53" t="str">
            <v>Movitransa Cars, S.L.</v>
          </cell>
          <cell r="D53">
            <v>3</v>
          </cell>
          <cell r="E53">
            <v>3</v>
          </cell>
          <cell r="F53">
            <v>3</v>
          </cell>
          <cell r="G53">
            <v>14</v>
          </cell>
          <cell r="H53">
            <v>1</v>
          </cell>
          <cell r="I53">
            <v>2</v>
          </cell>
        </row>
        <row r="54">
          <cell r="B54">
            <v>100909</v>
          </cell>
          <cell r="C54" t="str">
            <v>ALTRAC EUROPA, S.A.</v>
          </cell>
          <cell r="E54">
            <v>1</v>
          </cell>
          <cell r="F54">
            <v>1</v>
          </cell>
          <cell r="G54">
            <v>2</v>
          </cell>
          <cell r="H54">
            <v>1</v>
          </cell>
        </row>
        <row r="55">
          <cell r="B55">
            <v>100917</v>
          </cell>
          <cell r="C55" t="str">
            <v>Momentum Norte, S.R.L</v>
          </cell>
          <cell r="G55">
            <v>2</v>
          </cell>
          <cell r="I55">
            <v>9</v>
          </cell>
        </row>
        <row r="76">
          <cell r="B76">
            <v>1</v>
          </cell>
          <cell r="C76">
            <v>4</v>
          </cell>
          <cell r="R76">
            <v>1</v>
          </cell>
          <cell r="S76">
            <v>5</v>
          </cell>
        </row>
        <row r="77">
          <cell r="B77">
            <v>2</v>
          </cell>
          <cell r="C77">
            <v>3</v>
          </cell>
          <cell r="R77">
            <v>2</v>
          </cell>
          <cell r="S77">
            <v>6</v>
          </cell>
        </row>
        <row r="78">
          <cell r="B78">
            <v>3</v>
          </cell>
          <cell r="C78">
            <v>7</v>
          </cell>
          <cell r="R78">
            <v>3</v>
          </cell>
          <cell r="S78">
            <v>2</v>
          </cell>
        </row>
        <row r="79">
          <cell r="B79">
            <v>4</v>
          </cell>
          <cell r="C79">
            <v>6</v>
          </cell>
          <cell r="R79">
            <v>4</v>
          </cell>
          <cell r="S79">
            <v>4</v>
          </cell>
        </row>
        <row r="80">
          <cell r="B80">
            <v>5</v>
          </cell>
          <cell r="C80">
            <v>8</v>
          </cell>
          <cell r="R80">
            <v>5</v>
          </cell>
          <cell r="S80">
            <v>8</v>
          </cell>
        </row>
        <row r="81">
          <cell r="B81">
            <v>6</v>
          </cell>
          <cell r="C81">
            <v>5</v>
          </cell>
          <cell r="R81">
            <v>6</v>
          </cell>
          <cell r="S81">
            <v>16</v>
          </cell>
        </row>
      </sheetData>
      <sheetData sheetId="6">
        <row r="9">
          <cell r="C9" t="str">
            <v>Concesión</v>
          </cell>
          <cell r="D9" t="str">
            <v>Enero</v>
          </cell>
          <cell r="E9" t="str">
            <v>Febrero</v>
          </cell>
          <cell r="F9" t="str">
            <v>Marzo</v>
          </cell>
          <cell r="G9" t="str">
            <v>Abril</v>
          </cell>
          <cell r="H9" t="str">
            <v>Mayo</v>
          </cell>
          <cell r="I9" t="str">
            <v>Junio</v>
          </cell>
          <cell r="S9" t="str">
            <v>Etiquetas de fila</v>
          </cell>
          <cell r="T9" t="str">
            <v>Concesión</v>
          </cell>
          <cell r="U9" t="str">
            <v>Enero</v>
          </cell>
          <cell r="V9" t="str">
            <v>Febrero</v>
          </cell>
          <cell r="W9" t="str">
            <v>Marzo</v>
          </cell>
          <cell r="X9" t="str">
            <v>Abril</v>
          </cell>
          <cell r="Y9" t="str">
            <v>Mayo</v>
          </cell>
          <cell r="Z9" t="str">
            <v>Junio</v>
          </cell>
        </row>
        <row r="10">
          <cell r="B10">
            <v>100002</v>
          </cell>
          <cell r="C10" t="str">
            <v>Automoviles Bertolin S.L.</v>
          </cell>
          <cell r="D10">
            <v>19</v>
          </cell>
          <cell r="E10">
            <v>17</v>
          </cell>
          <cell r="F10">
            <v>20</v>
          </cell>
          <cell r="G10">
            <v>18</v>
          </cell>
          <cell r="H10">
            <v>16</v>
          </cell>
          <cell r="I10">
            <v>18</v>
          </cell>
          <cell r="S10">
            <v>100002</v>
          </cell>
          <cell r="T10" t="str">
            <v>Automoviles Bertolin S.L.</v>
          </cell>
          <cell r="U10">
            <v>10</v>
          </cell>
          <cell r="V10">
            <v>14</v>
          </cell>
          <cell r="W10">
            <v>14</v>
          </cell>
          <cell r="X10">
            <v>7</v>
          </cell>
          <cell r="Y10">
            <v>5</v>
          </cell>
          <cell r="Z10">
            <v>9</v>
          </cell>
        </row>
        <row r="11">
          <cell r="B11">
            <v>100015</v>
          </cell>
          <cell r="C11" t="str">
            <v>Grunblau Motor - VO</v>
          </cell>
          <cell r="D11">
            <v>10</v>
          </cell>
          <cell r="E11">
            <v>9</v>
          </cell>
          <cell r="F11">
            <v>10</v>
          </cell>
          <cell r="G11">
            <v>11</v>
          </cell>
          <cell r="H11">
            <v>10</v>
          </cell>
          <cell r="I11">
            <v>26</v>
          </cell>
          <cell r="S11">
            <v>100015</v>
          </cell>
          <cell r="T11" t="str">
            <v>Grunblau Motor - VO</v>
          </cell>
          <cell r="U11">
            <v>3</v>
          </cell>
          <cell r="V11">
            <v>3</v>
          </cell>
          <cell r="W11">
            <v>1</v>
          </cell>
          <cell r="X11">
            <v>2</v>
          </cell>
          <cell r="Y11">
            <v>2</v>
          </cell>
          <cell r="Z11">
            <v>7</v>
          </cell>
        </row>
        <row r="12">
          <cell r="B12">
            <v>100062</v>
          </cell>
          <cell r="C12" t="str">
            <v>Automoviles Fersan S.A.</v>
          </cell>
          <cell r="D12">
            <v>20</v>
          </cell>
          <cell r="E12">
            <v>33</v>
          </cell>
          <cell r="F12">
            <v>46</v>
          </cell>
          <cell r="G12">
            <v>32</v>
          </cell>
          <cell r="H12">
            <v>45</v>
          </cell>
          <cell r="I12">
            <v>88</v>
          </cell>
          <cell r="S12">
            <v>100062</v>
          </cell>
          <cell r="T12" t="str">
            <v>Automoviles Fersan S.A.</v>
          </cell>
          <cell r="U12">
            <v>6</v>
          </cell>
          <cell r="V12">
            <v>17</v>
          </cell>
          <cell r="W12">
            <v>11</v>
          </cell>
          <cell r="X12">
            <v>12</v>
          </cell>
          <cell r="Y12">
            <v>21</v>
          </cell>
          <cell r="Z12">
            <v>18</v>
          </cell>
        </row>
        <row r="13">
          <cell r="B13">
            <v>100120</v>
          </cell>
          <cell r="C13" t="str">
            <v>Autogal</v>
          </cell>
          <cell r="E13">
            <v>3</v>
          </cell>
          <cell r="F13">
            <v>7</v>
          </cell>
          <cell r="G13">
            <v>6</v>
          </cell>
          <cell r="H13">
            <v>10</v>
          </cell>
          <cell r="I13">
            <v>11</v>
          </cell>
          <cell r="S13">
            <v>100120</v>
          </cell>
          <cell r="T13" t="str">
            <v>Autogal</v>
          </cell>
          <cell r="X13">
            <v>1</v>
          </cell>
        </row>
        <row r="14">
          <cell r="B14">
            <v>100146</v>
          </cell>
          <cell r="C14" t="str">
            <v>Lugauto S.A.</v>
          </cell>
          <cell r="D14">
            <v>12</v>
          </cell>
          <cell r="E14">
            <v>7</v>
          </cell>
          <cell r="G14">
            <v>6</v>
          </cell>
          <cell r="H14">
            <v>1</v>
          </cell>
          <cell r="I14">
            <v>4</v>
          </cell>
          <cell r="S14">
            <v>100146</v>
          </cell>
          <cell r="T14" t="str">
            <v>Lugauto S.A.</v>
          </cell>
          <cell r="V14">
            <v>1</v>
          </cell>
          <cell r="X14">
            <v>3</v>
          </cell>
        </row>
        <row r="15">
          <cell r="B15">
            <v>100155</v>
          </cell>
          <cell r="C15" t="str">
            <v>Automoviles Oviedo, S.A.</v>
          </cell>
          <cell r="D15">
            <v>7</v>
          </cell>
          <cell r="E15">
            <v>11</v>
          </cell>
          <cell r="F15">
            <v>18</v>
          </cell>
          <cell r="G15">
            <v>13</v>
          </cell>
          <cell r="H15">
            <v>8</v>
          </cell>
          <cell r="I15">
            <v>17</v>
          </cell>
          <cell r="S15">
            <v>100155</v>
          </cell>
          <cell r="T15" t="str">
            <v>Automoviles Oviedo, S.A.</v>
          </cell>
          <cell r="U15">
            <v>5</v>
          </cell>
          <cell r="V15">
            <v>3</v>
          </cell>
          <cell r="W15">
            <v>1</v>
          </cell>
          <cell r="X15">
            <v>1</v>
          </cell>
          <cell r="Y15">
            <v>3</v>
          </cell>
          <cell r="Z15">
            <v>3</v>
          </cell>
        </row>
        <row r="16">
          <cell r="B16">
            <v>100190</v>
          </cell>
          <cell r="C16" t="str">
            <v>Burgocar - VO</v>
          </cell>
          <cell r="D16">
            <v>19</v>
          </cell>
          <cell r="E16">
            <v>12</v>
          </cell>
          <cell r="F16">
            <v>17</v>
          </cell>
          <cell r="G16">
            <v>26</v>
          </cell>
          <cell r="H16">
            <v>25</v>
          </cell>
          <cell r="I16">
            <v>24</v>
          </cell>
          <cell r="S16">
            <v>100190</v>
          </cell>
          <cell r="T16" t="str">
            <v>Burgocar - VO</v>
          </cell>
          <cell r="U16">
            <v>6</v>
          </cell>
          <cell r="V16">
            <v>6</v>
          </cell>
          <cell r="W16">
            <v>5</v>
          </cell>
          <cell r="X16">
            <v>5</v>
          </cell>
          <cell r="Y16">
            <v>9</v>
          </cell>
          <cell r="Z16">
            <v>7</v>
          </cell>
        </row>
        <row r="17">
          <cell r="B17">
            <v>100206</v>
          </cell>
          <cell r="C17" t="str">
            <v>Hispamovil, S.A.</v>
          </cell>
          <cell r="D17">
            <v>25</v>
          </cell>
          <cell r="E17">
            <v>44</v>
          </cell>
          <cell r="F17">
            <v>37</v>
          </cell>
          <cell r="G17">
            <v>36</v>
          </cell>
          <cell r="H17">
            <v>31</v>
          </cell>
          <cell r="I17">
            <v>40</v>
          </cell>
          <cell r="S17">
            <v>100206</v>
          </cell>
          <cell r="T17" t="str">
            <v>Hispamovil, S.A.</v>
          </cell>
          <cell r="U17">
            <v>7</v>
          </cell>
          <cell r="V17">
            <v>8</v>
          </cell>
          <cell r="W17">
            <v>9</v>
          </cell>
          <cell r="X17">
            <v>5</v>
          </cell>
          <cell r="Y17">
            <v>14</v>
          </cell>
          <cell r="Z17">
            <v>20</v>
          </cell>
        </row>
        <row r="18">
          <cell r="B18">
            <v>100213</v>
          </cell>
          <cell r="C18" t="str">
            <v>Movilnorte S.A.</v>
          </cell>
          <cell r="D18">
            <v>48</v>
          </cell>
          <cell r="E18">
            <v>61</v>
          </cell>
          <cell r="F18">
            <v>75</v>
          </cell>
          <cell r="G18">
            <v>68</v>
          </cell>
          <cell r="H18">
            <v>62</v>
          </cell>
          <cell r="I18">
            <v>70</v>
          </cell>
          <cell r="S18">
            <v>100213</v>
          </cell>
          <cell r="T18" t="str">
            <v>Movilnorte S.A.</v>
          </cell>
          <cell r="U18">
            <v>28</v>
          </cell>
          <cell r="V18">
            <v>19</v>
          </cell>
          <cell r="W18">
            <v>18</v>
          </cell>
          <cell r="X18">
            <v>17</v>
          </cell>
          <cell r="Y18">
            <v>26</v>
          </cell>
          <cell r="Z18">
            <v>37</v>
          </cell>
        </row>
        <row r="19">
          <cell r="B19">
            <v>100304</v>
          </cell>
          <cell r="C19" t="str">
            <v xml:space="preserve">Novomóvil </v>
          </cell>
          <cell r="D19">
            <v>9</v>
          </cell>
          <cell r="E19">
            <v>10</v>
          </cell>
          <cell r="F19">
            <v>11</v>
          </cell>
          <cell r="G19">
            <v>18</v>
          </cell>
          <cell r="H19">
            <v>14</v>
          </cell>
          <cell r="I19">
            <v>38</v>
          </cell>
          <cell r="S19">
            <v>100304</v>
          </cell>
          <cell r="T19" t="str">
            <v xml:space="preserve">Novomóvil </v>
          </cell>
          <cell r="U19">
            <v>8</v>
          </cell>
          <cell r="V19">
            <v>3</v>
          </cell>
          <cell r="W19">
            <v>6</v>
          </cell>
          <cell r="X19">
            <v>8</v>
          </cell>
          <cell r="Y19">
            <v>10</v>
          </cell>
          <cell r="Z19">
            <v>7</v>
          </cell>
        </row>
        <row r="20">
          <cell r="B20">
            <v>100307</v>
          </cell>
          <cell r="C20" t="str">
            <v>Avilcar S.L.</v>
          </cell>
          <cell r="D20">
            <v>2</v>
          </cell>
          <cell r="E20">
            <v>5</v>
          </cell>
          <cell r="F20">
            <v>8</v>
          </cell>
          <cell r="G20">
            <v>6</v>
          </cell>
          <cell r="H20">
            <v>4</v>
          </cell>
          <cell r="I20">
            <v>20</v>
          </cell>
          <cell r="S20">
            <v>100307</v>
          </cell>
          <cell r="T20" t="str">
            <v>Avilcar S.L.</v>
          </cell>
          <cell r="X20">
            <v>1</v>
          </cell>
        </row>
        <row r="21">
          <cell r="B21">
            <v>100311</v>
          </cell>
          <cell r="C21" t="str">
            <v>Engasa S.A.</v>
          </cell>
          <cell r="D21">
            <v>15</v>
          </cell>
          <cell r="E21">
            <v>16</v>
          </cell>
          <cell r="F21">
            <v>29</v>
          </cell>
          <cell r="G21">
            <v>13</v>
          </cell>
          <cell r="H21">
            <v>27</v>
          </cell>
          <cell r="I21">
            <v>17</v>
          </cell>
          <cell r="S21">
            <v>100311</v>
          </cell>
          <cell r="T21" t="str">
            <v>Engasa S.A.</v>
          </cell>
          <cell r="U21">
            <v>1</v>
          </cell>
          <cell r="V21">
            <v>3</v>
          </cell>
          <cell r="W21">
            <v>10</v>
          </cell>
          <cell r="X21">
            <v>9</v>
          </cell>
          <cell r="Y21">
            <v>7</v>
          </cell>
          <cell r="Z21">
            <v>6</v>
          </cell>
        </row>
        <row r="22">
          <cell r="B22">
            <v>100319</v>
          </cell>
          <cell r="C22" t="str">
            <v>Vehinter , S.A.</v>
          </cell>
          <cell r="D22">
            <v>73</v>
          </cell>
          <cell r="E22">
            <v>83</v>
          </cell>
          <cell r="F22">
            <v>91</v>
          </cell>
          <cell r="G22">
            <v>92</v>
          </cell>
          <cell r="H22">
            <v>67</v>
          </cell>
          <cell r="I22">
            <v>86</v>
          </cell>
          <cell r="S22">
            <v>100319</v>
          </cell>
          <cell r="T22" t="str">
            <v>Vehinter , S.A.</v>
          </cell>
          <cell r="U22">
            <v>23</v>
          </cell>
          <cell r="V22">
            <v>9</v>
          </cell>
          <cell r="W22">
            <v>24</v>
          </cell>
          <cell r="X22">
            <v>27</v>
          </cell>
          <cell r="Y22">
            <v>13</v>
          </cell>
          <cell r="Z22">
            <v>24</v>
          </cell>
        </row>
        <row r="23">
          <cell r="B23">
            <v>100323</v>
          </cell>
          <cell r="C23" t="str">
            <v>Caetano Cuzco</v>
          </cell>
          <cell r="D23">
            <v>43</v>
          </cell>
          <cell r="E23">
            <v>51</v>
          </cell>
          <cell r="F23">
            <v>50</v>
          </cell>
          <cell r="G23">
            <v>42</v>
          </cell>
          <cell r="H23">
            <v>36</v>
          </cell>
          <cell r="I23">
            <v>50</v>
          </cell>
          <cell r="S23">
            <v>100323</v>
          </cell>
          <cell r="T23" t="str">
            <v>Caetano Cuzco</v>
          </cell>
          <cell r="U23">
            <v>11</v>
          </cell>
          <cell r="V23">
            <v>7</v>
          </cell>
          <cell r="W23">
            <v>15</v>
          </cell>
          <cell r="X23">
            <v>12</v>
          </cell>
          <cell r="Y23">
            <v>11</v>
          </cell>
          <cell r="Z23">
            <v>19</v>
          </cell>
        </row>
        <row r="24">
          <cell r="B24">
            <v>100344</v>
          </cell>
          <cell r="C24" t="str">
            <v>San Pablo Motor S.L.</v>
          </cell>
          <cell r="D24">
            <v>41</v>
          </cell>
          <cell r="E24">
            <v>42</v>
          </cell>
          <cell r="F24">
            <v>44</v>
          </cell>
          <cell r="G24">
            <v>35</v>
          </cell>
          <cell r="H24">
            <v>36</v>
          </cell>
          <cell r="I24">
            <v>36</v>
          </cell>
          <cell r="S24">
            <v>100344</v>
          </cell>
          <cell r="T24" t="str">
            <v>San Pablo Motor S.L.</v>
          </cell>
          <cell r="U24">
            <v>7</v>
          </cell>
          <cell r="V24">
            <v>12</v>
          </cell>
          <cell r="W24">
            <v>7</v>
          </cell>
          <cell r="X24">
            <v>7</v>
          </cell>
          <cell r="Y24">
            <v>8</v>
          </cell>
          <cell r="Z24">
            <v>15</v>
          </cell>
        </row>
        <row r="25">
          <cell r="B25">
            <v>100346</v>
          </cell>
          <cell r="C25" t="str">
            <v>Amiocar S.A.</v>
          </cell>
          <cell r="D25">
            <v>14</v>
          </cell>
          <cell r="E25">
            <v>18</v>
          </cell>
          <cell r="F25">
            <v>10</v>
          </cell>
          <cell r="G25">
            <v>9</v>
          </cell>
          <cell r="H25">
            <v>2</v>
          </cell>
          <cell r="I25">
            <v>5</v>
          </cell>
          <cell r="S25">
            <v>100346</v>
          </cell>
          <cell r="T25" t="str">
            <v>Amiocar S.A.</v>
          </cell>
          <cell r="V25">
            <v>2</v>
          </cell>
          <cell r="W25">
            <v>2</v>
          </cell>
          <cell r="X25">
            <v>2</v>
          </cell>
          <cell r="Y25">
            <v>2</v>
          </cell>
          <cell r="Z25">
            <v>3</v>
          </cell>
        </row>
        <row r="26">
          <cell r="B26">
            <v>100348</v>
          </cell>
          <cell r="C26" t="str">
            <v>Augusta Aragon S.A.</v>
          </cell>
          <cell r="D26">
            <v>28</v>
          </cell>
          <cell r="E26">
            <v>37</v>
          </cell>
          <cell r="F26">
            <v>41</v>
          </cell>
          <cell r="G26">
            <v>42</v>
          </cell>
          <cell r="H26">
            <v>46</v>
          </cell>
          <cell r="I26">
            <v>51</v>
          </cell>
          <cell r="S26">
            <v>100348</v>
          </cell>
          <cell r="T26" t="str">
            <v>Augusta Aragon S.A.</v>
          </cell>
          <cell r="U26">
            <v>8</v>
          </cell>
          <cell r="V26">
            <v>4</v>
          </cell>
          <cell r="W26">
            <v>6</v>
          </cell>
          <cell r="X26">
            <v>5</v>
          </cell>
          <cell r="Y26">
            <v>9</v>
          </cell>
          <cell r="Z26">
            <v>7</v>
          </cell>
        </row>
        <row r="27">
          <cell r="B27">
            <v>100349</v>
          </cell>
          <cell r="C27" t="str">
            <v>Auto Premier Baviera S.A.</v>
          </cell>
          <cell r="D27">
            <v>55</v>
          </cell>
          <cell r="E27">
            <v>83</v>
          </cell>
          <cell r="F27">
            <v>94</v>
          </cell>
          <cell r="G27">
            <v>91</v>
          </cell>
          <cell r="H27">
            <v>85</v>
          </cell>
          <cell r="I27">
            <v>97</v>
          </cell>
          <cell r="S27">
            <v>100349</v>
          </cell>
          <cell r="T27" t="str">
            <v>Auto Premier Baviera S.A.</v>
          </cell>
          <cell r="U27">
            <v>15</v>
          </cell>
          <cell r="V27">
            <v>18</v>
          </cell>
          <cell r="W27">
            <v>18</v>
          </cell>
          <cell r="X27">
            <v>20</v>
          </cell>
          <cell r="Y27">
            <v>19</v>
          </cell>
          <cell r="Z27">
            <v>26</v>
          </cell>
        </row>
        <row r="28">
          <cell r="B28">
            <v>100379</v>
          </cell>
          <cell r="C28" t="str">
            <v>Triocar - VO</v>
          </cell>
          <cell r="D28">
            <v>16</v>
          </cell>
          <cell r="E28">
            <v>23</v>
          </cell>
          <cell r="F28">
            <v>26</v>
          </cell>
          <cell r="G28">
            <v>15</v>
          </cell>
          <cell r="H28">
            <v>35</v>
          </cell>
          <cell r="I28">
            <v>34</v>
          </cell>
          <cell r="S28">
            <v>100379</v>
          </cell>
          <cell r="T28" t="str">
            <v>Triocar - VO</v>
          </cell>
          <cell r="U28">
            <v>7</v>
          </cell>
          <cell r="V28">
            <v>11</v>
          </cell>
          <cell r="W28">
            <v>8</v>
          </cell>
          <cell r="X28">
            <v>6</v>
          </cell>
          <cell r="Y28">
            <v>4</v>
          </cell>
          <cell r="Z28">
            <v>7</v>
          </cell>
        </row>
        <row r="29">
          <cell r="B29">
            <v>100380</v>
          </cell>
          <cell r="C29" t="str">
            <v>Ceres Motor</v>
          </cell>
          <cell r="D29">
            <v>14</v>
          </cell>
          <cell r="E29">
            <v>24</v>
          </cell>
          <cell r="F29">
            <v>27</v>
          </cell>
          <cell r="G29">
            <v>28</v>
          </cell>
          <cell r="H29">
            <v>12</v>
          </cell>
          <cell r="I29">
            <v>28</v>
          </cell>
          <cell r="S29">
            <v>100380</v>
          </cell>
          <cell r="T29" t="str">
            <v>Ceres Motor</v>
          </cell>
          <cell r="U29">
            <v>4</v>
          </cell>
          <cell r="V29">
            <v>3</v>
          </cell>
          <cell r="W29">
            <v>1</v>
          </cell>
          <cell r="X29">
            <v>4</v>
          </cell>
          <cell r="Y29">
            <v>2</v>
          </cell>
          <cell r="Z29">
            <v>1</v>
          </cell>
        </row>
        <row r="30">
          <cell r="B30">
            <v>100389</v>
          </cell>
          <cell r="C30" t="str">
            <v>Canaauto</v>
          </cell>
          <cell r="D30">
            <v>5</v>
          </cell>
          <cell r="E30">
            <v>48</v>
          </cell>
          <cell r="F30">
            <v>25</v>
          </cell>
          <cell r="G30">
            <v>19</v>
          </cell>
          <cell r="H30">
            <v>21</v>
          </cell>
          <cell r="I30">
            <v>33</v>
          </cell>
          <cell r="S30">
            <v>100389</v>
          </cell>
          <cell r="T30" t="str">
            <v>Canaauto</v>
          </cell>
          <cell r="U30">
            <v>3</v>
          </cell>
          <cell r="V30">
            <v>6</v>
          </cell>
          <cell r="W30">
            <v>9</v>
          </cell>
          <cell r="X30">
            <v>4</v>
          </cell>
          <cell r="Y30">
            <v>5</v>
          </cell>
          <cell r="Z30">
            <v>3</v>
          </cell>
        </row>
        <row r="31">
          <cell r="B31">
            <v>100393</v>
          </cell>
          <cell r="C31" t="str">
            <v>Murcia Premium</v>
          </cell>
          <cell r="D31">
            <v>39</v>
          </cell>
          <cell r="E31">
            <v>18</v>
          </cell>
          <cell r="F31">
            <v>25</v>
          </cell>
          <cell r="G31">
            <v>34</v>
          </cell>
          <cell r="H31">
            <v>31</v>
          </cell>
          <cell r="I31">
            <v>20</v>
          </cell>
          <cell r="S31">
            <v>100393</v>
          </cell>
          <cell r="T31" t="str">
            <v>Murcia Premium</v>
          </cell>
          <cell r="U31">
            <v>11</v>
          </cell>
          <cell r="V31">
            <v>5</v>
          </cell>
          <cell r="W31">
            <v>11</v>
          </cell>
          <cell r="X31">
            <v>7</v>
          </cell>
          <cell r="Y31">
            <v>6</v>
          </cell>
          <cell r="Z31">
            <v>9</v>
          </cell>
        </row>
        <row r="32">
          <cell r="B32">
            <v>100394</v>
          </cell>
          <cell r="C32" t="str">
            <v>Maberauto</v>
          </cell>
          <cell r="D32">
            <v>5</v>
          </cell>
          <cell r="E32">
            <v>19</v>
          </cell>
          <cell r="F32">
            <v>6</v>
          </cell>
          <cell r="G32">
            <v>16</v>
          </cell>
          <cell r="H32">
            <v>4</v>
          </cell>
          <cell r="I32">
            <v>11</v>
          </cell>
          <cell r="S32">
            <v>100394</v>
          </cell>
          <cell r="T32" t="str">
            <v>Maberauto</v>
          </cell>
          <cell r="U32">
            <v>2</v>
          </cell>
          <cell r="V32">
            <v>2</v>
          </cell>
          <cell r="W32">
            <v>5</v>
          </cell>
          <cell r="X32">
            <v>3</v>
          </cell>
          <cell r="Y32">
            <v>1</v>
          </cell>
          <cell r="Z32">
            <v>2</v>
          </cell>
        </row>
        <row r="33">
          <cell r="B33">
            <v>100410</v>
          </cell>
          <cell r="C33" t="str">
            <v>Celtamotor - VO</v>
          </cell>
          <cell r="D33">
            <v>28</v>
          </cell>
          <cell r="E33">
            <v>21</v>
          </cell>
          <cell r="F33">
            <v>33</v>
          </cell>
          <cell r="G33">
            <v>15</v>
          </cell>
          <cell r="H33">
            <v>39</v>
          </cell>
          <cell r="I33">
            <v>55</v>
          </cell>
          <cell r="S33">
            <v>100410</v>
          </cell>
          <cell r="T33" t="str">
            <v>Celtamotor - VO</v>
          </cell>
          <cell r="U33">
            <v>9</v>
          </cell>
          <cell r="V33">
            <v>6</v>
          </cell>
          <cell r="W33">
            <v>9</v>
          </cell>
          <cell r="X33">
            <v>7</v>
          </cell>
          <cell r="Y33">
            <v>9</v>
          </cell>
          <cell r="Z33">
            <v>13</v>
          </cell>
        </row>
        <row r="34">
          <cell r="B34">
            <v>100418</v>
          </cell>
          <cell r="C34" t="str">
            <v>Fuenteolid S.L.</v>
          </cell>
          <cell r="D34">
            <v>1</v>
          </cell>
          <cell r="E34">
            <v>15</v>
          </cell>
          <cell r="F34">
            <v>10</v>
          </cell>
          <cell r="G34">
            <v>9</v>
          </cell>
          <cell r="H34">
            <v>6</v>
          </cell>
          <cell r="I34">
            <v>14</v>
          </cell>
          <cell r="S34">
            <v>100418</v>
          </cell>
          <cell r="T34" t="str">
            <v>Fuenteolid S.L.</v>
          </cell>
          <cell r="V34">
            <v>5</v>
          </cell>
          <cell r="W34">
            <v>2</v>
          </cell>
          <cell r="X34">
            <v>4</v>
          </cell>
          <cell r="Y34">
            <v>2</v>
          </cell>
          <cell r="Z34">
            <v>1</v>
          </cell>
        </row>
        <row r="35">
          <cell r="B35">
            <v>100422</v>
          </cell>
          <cell r="C35" t="str">
            <v>San Rafael Motor, S.L.</v>
          </cell>
          <cell r="D35">
            <v>10</v>
          </cell>
          <cell r="E35">
            <v>19</v>
          </cell>
          <cell r="F35">
            <v>17</v>
          </cell>
          <cell r="G35">
            <v>19</v>
          </cell>
          <cell r="H35">
            <v>13</v>
          </cell>
          <cell r="I35">
            <v>18</v>
          </cell>
          <cell r="S35">
            <v>100422</v>
          </cell>
          <cell r="T35" t="str">
            <v>San Rafael Motor, S.L.</v>
          </cell>
          <cell r="U35">
            <v>9</v>
          </cell>
          <cell r="V35">
            <v>3</v>
          </cell>
          <cell r="W35">
            <v>1</v>
          </cell>
          <cell r="X35">
            <v>2</v>
          </cell>
          <cell r="Y35">
            <v>5</v>
          </cell>
          <cell r="Z35">
            <v>5</v>
          </cell>
        </row>
        <row r="36">
          <cell r="B36">
            <v>100454</v>
          </cell>
          <cell r="C36" t="str">
            <v>Autoram</v>
          </cell>
          <cell r="D36">
            <v>11</v>
          </cell>
          <cell r="E36">
            <v>2</v>
          </cell>
          <cell r="F36">
            <v>2</v>
          </cell>
          <cell r="G36">
            <v>3</v>
          </cell>
          <cell r="H36">
            <v>1</v>
          </cell>
          <cell r="I36">
            <v>6</v>
          </cell>
          <cell r="S36">
            <v>100454</v>
          </cell>
          <cell r="T36" t="str">
            <v>Autoram</v>
          </cell>
          <cell r="X36">
            <v>1</v>
          </cell>
        </row>
        <row r="37">
          <cell r="B37">
            <v>100468</v>
          </cell>
          <cell r="C37" t="str">
            <v>Móvil Begar Levante, S.A.</v>
          </cell>
          <cell r="D37">
            <v>44</v>
          </cell>
          <cell r="E37">
            <v>44</v>
          </cell>
          <cell r="F37">
            <v>59</v>
          </cell>
          <cell r="G37">
            <v>43</v>
          </cell>
          <cell r="H37">
            <v>44</v>
          </cell>
          <cell r="I37">
            <v>48</v>
          </cell>
          <cell r="S37">
            <v>100468</v>
          </cell>
          <cell r="T37" t="str">
            <v>Móvil Begar Levante, S.A.</v>
          </cell>
          <cell r="U37">
            <v>3</v>
          </cell>
          <cell r="V37">
            <v>2</v>
          </cell>
          <cell r="W37">
            <v>2</v>
          </cell>
          <cell r="X37">
            <v>3</v>
          </cell>
          <cell r="Y37">
            <v>8</v>
          </cell>
          <cell r="Z37">
            <v>11</v>
          </cell>
        </row>
        <row r="38">
          <cell r="B38">
            <v>100549</v>
          </cell>
          <cell r="C38" t="str">
            <v xml:space="preserve">Carteya Motor S.L. </v>
          </cell>
          <cell r="D38">
            <v>8</v>
          </cell>
          <cell r="E38">
            <v>7</v>
          </cell>
          <cell r="F38">
            <v>14</v>
          </cell>
          <cell r="G38">
            <v>8</v>
          </cell>
          <cell r="H38">
            <v>13</v>
          </cell>
          <cell r="I38">
            <v>8</v>
          </cell>
          <cell r="S38">
            <v>100549</v>
          </cell>
          <cell r="T38" t="str">
            <v xml:space="preserve">Carteya Motor S.L. </v>
          </cell>
          <cell r="U38">
            <v>3</v>
          </cell>
          <cell r="V38">
            <v>1</v>
          </cell>
          <cell r="W38">
            <v>1</v>
          </cell>
          <cell r="X38">
            <v>4</v>
          </cell>
          <cell r="Y38">
            <v>6</v>
          </cell>
          <cell r="Z38">
            <v>6</v>
          </cell>
        </row>
        <row r="39">
          <cell r="B39">
            <v>100571</v>
          </cell>
          <cell r="C39" t="str">
            <v>Tormes Motor</v>
          </cell>
          <cell r="D39">
            <v>1</v>
          </cell>
          <cell r="E39">
            <v>3</v>
          </cell>
          <cell r="F39">
            <v>3</v>
          </cell>
          <cell r="G39">
            <v>1</v>
          </cell>
          <cell r="I39">
            <v>3</v>
          </cell>
          <cell r="S39">
            <v>100571</v>
          </cell>
          <cell r="T39" t="str">
            <v>Tormes Motor</v>
          </cell>
          <cell r="V39">
            <v>3</v>
          </cell>
          <cell r="X39">
            <v>2</v>
          </cell>
          <cell r="Y39">
            <v>1</v>
          </cell>
          <cell r="Z39">
            <v>1</v>
          </cell>
        </row>
        <row r="40">
          <cell r="B40">
            <v>100572</v>
          </cell>
          <cell r="C40" t="str">
            <v>Barcelona Premium</v>
          </cell>
          <cell r="D40">
            <v>48</v>
          </cell>
          <cell r="E40">
            <v>60</v>
          </cell>
          <cell r="F40">
            <v>59</v>
          </cell>
          <cell r="G40">
            <v>41</v>
          </cell>
          <cell r="H40">
            <v>48</v>
          </cell>
          <cell r="I40">
            <v>58</v>
          </cell>
          <cell r="S40">
            <v>100572</v>
          </cell>
          <cell r="T40" t="str">
            <v>Barcelona Premium</v>
          </cell>
          <cell r="U40">
            <v>19</v>
          </cell>
          <cell r="V40">
            <v>30</v>
          </cell>
          <cell r="W40">
            <v>30</v>
          </cell>
          <cell r="X40">
            <v>28</v>
          </cell>
          <cell r="Y40">
            <v>31</v>
          </cell>
          <cell r="Z40">
            <v>32</v>
          </cell>
        </row>
        <row r="41">
          <cell r="B41">
            <v>100584</v>
          </cell>
          <cell r="C41" t="str">
            <v xml:space="preserve">Pruna Motor </v>
          </cell>
          <cell r="D41">
            <v>16</v>
          </cell>
          <cell r="E41">
            <v>16</v>
          </cell>
          <cell r="F41">
            <v>14</v>
          </cell>
          <cell r="G41">
            <v>18</v>
          </cell>
          <cell r="H41">
            <v>21</v>
          </cell>
          <cell r="I41">
            <v>44</v>
          </cell>
          <cell r="S41">
            <v>100584</v>
          </cell>
          <cell r="T41" t="str">
            <v xml:space="preserve">Pruna Motor </v>
          </cell>
          <cell r="U41">
            <v>13</v>
          </cell>
          <cell r="V41">
            <v>11</v>
          </cell>
          <cell r="W41">
            <v>7</v>
          </cell>
          <cell r="X41">
            <v>12</v>
          </cell>
          <cell r="Y41">
            <v>16</v>
          </cell>
          <cell r="Z41">
            <v>15</v>
          </cell>
        </row>
        <row r="42">
          <cell r="B42">
            <v>100585</v>
          </cell>
          <cell r="C42" t="str">
            <v>Cabrero Motorsport</v>
          </cell>
          <cell r="D42">
            <v>8</v>
          </cell>
          <cell r="E42">
            <v>6</v>
          </cell>
          <cell r="F42">
            <v>13</v>
          </cell>
          <cell r="G42">
            <v>4</v>
          </cell>
          <cell r="H42">
            <v>11</v>
          </cell>
          <cell r="I42">
            <v>12</v>
          </cell>
          <cell r="S42">
            <v>100586</v>
          </cell>
          <cell r="T42" t="str">
            <v>Automotor Premium</v>
          </cell>
          <cell r="U42">
            <v>11</v>
          </cell>
          <cell r="V42">
            <v>14</v>
          </cell>
          <cell r="W42">
            <v>16</v>
          </cell>
          <cell r="X42">
            <v>23</v>
          </cell>
          <cell r="Y42">
            <v>16</v>
          </cell>
          <cell r="Z42">
            <v>23</v>
          </cell>
        </row>
        <row r="43">
          <cell r="B43">
            <v>100586</v>
          </cell>
          <cell r="C43" t="str">
            <v>Automotor Premium</v>
          </cell>
          <cell r="D43">
            <v>41</v>
          </cell>
          <cell r="E43">
            <v>66</v>
          </cell>
          <cell r="F43">
            <v>58</v>
          </cell>
          <cell r="G43">
            <v>43</v>
          </cell>
          <cell r="H43">
            <v>56</v>
          </cell>
          <cell r="I43">
            <v>45</v>
          </cell>
          <cell r="S43">
            <v>100589</v>
          </cell>
          <cell r="T43" t="str">
            <v xml:space="preserve">Ilbira Motor </v>
          </cell>
          <cell r="U43">
            <v>2</v>
          </cell>
          <cell r="V43">
            <v>2</v>
          </cell>
          <cell r="W43">
            <v>6</v>
          </cell>
          <cell r="X43">
            <v>2</v>
          </cell>
          <cell r="Y43">
            <v>9</v>
          </cell>
          <cell r="Z43">
            <v>6</v>
          </cell>
        </row>
        <row r="44">
          <cell r="B44">
            <v>100589</v>
          </cell>
          <cell r="C44" t="str">
            <v xml:space="preserve">Ilbira Motor </v>
          </cell>
          <cell r="D44">
            <v>25</v>
          </cell>
          <cell r="E44">
            <v>36</v>
          </cell>
          <cell r="F44">
            <v>32</v>
          </cell>
          <cell r="G44">
            <v>23</v>
          </cell>
          <cell r="H44">
            <v>19</v>
          </cell>
          <cell r="I44">
            <v>21</v>
          </cell>
          <cell r="S44">
            <v>100726</v>
          </cell>
          <cell r="T44" t="str">
            <v>Enekuri Motor</v>
          </cell>
          <cell r="U44">
            <v>3</v>
          </cell>
          <cell r="V44">
            <v>12</v>
          </cell>
          <cell r="W44">
            <v>5</v>
          </cell>
          <cell r="X44">
            <v>9</v>
          </cell>
          <cell r="Y44">
            <v>3</v>
          </cell>
          <cell r="Z44">
            <v>20</v>
          </cell>
        </row>
        <row r="45">
          <cell r="B45">
            <v>100597</v>
          </cell>
          <cell r="C45" t="str">
            <v>Autoberón</v>
          </cell>
          <cell r="D45">
            <v>7</v>
          </cell>
          <cell r="E45">
            <v>9</v>
          </cell>
          <cell r="F45">
            <v>8</v>
          </cell>
          <cell r="G45">
            <v>13</v>
          </cell>
          <cell r="H45">
            <v>5</v>
          </cell>
          <cell r="I45">
            <v>8</v>
          </cell>
          <cell r="S45">
            <v>100727</v>
          </cell>
          <cell r="T45" t="str">
            <v>Unicars Ponent</v>
          </cell>
          <cell r="U45">
            <v>4</v>
          </cell>
          <cell r="V45">
            <v>5</v>
          </cell>
          <cell r="W45">
            <v>1</v>
          </cell>
          <cell r="X45">
            <v>2</v>
          </cell>
          <cell r="Y45">
            <v>4</v>
          </cell>
          <cell r="Z45">
            <v>1</v>
          </cell>
        </row>
        <row r="46">
          <cell r="B46">
            <v>100726</v>
          </cell>
          <cell r="C46" t="str">
            <v>Enekuri Motor</v>
          </cell>
          <cell r="D46">
            <v>10</v>
          </cell>
          <cell r="E46">
            <v>14</v>
          </cell>
          <cell r="F46">
            <v>25</v>
          </cell>
          <cell r="G46">
            <v>16</v>
          </cell>
          <cell r="H46">
            <v>12</v>
          </cell>
          <cell r="I46">
            <v>33</v>
          </cell>
          <cell r="S46">
            <v>100728</v>
          </cell>
          <cell r="T46" t="str">
            <v>Oliva Motor</v>
          </cell>
          <cell r="U46">
            <v>6</v>
          </cell>
          <cell r="V46">
            <v>20</v>
          </cell>
          <cell r="W46">
            <v>3</v>
          </cell>
          <cell r="X46">
            <v>10</v>
          </cell>
          <cell r="Y46">
            <v>13</v>
          </cell>
          <cell r="Z46">
            <v>27</v>
          </cell>
        </row>
        <row r="47">
          <cell r="B47">
            <v>100727</v>
          </cell>
          <cell r="C47" t="str">
            <v>Unicars Ponent</v>
          </cell>
          <cell r="D47">
            <v>25</v>
          </cell>
          <cell r="E47">
            <v>20</v>
          </cell>
          <cell r="F47">
            <v>5</v>
          </cell>
          <cell r="G47">
            <v>14</v>
          </cell>
          <cell r="H47">
            <v>7</v>
          </cell>
          <cell r="I47">
            <v>22</v>
          </cell>
          <cell r="S47">
            <v>100730</v>
          </cell>
          <cell r="T47" t="str">
            <v>Adler Motor</v>
          </cell>
          <cell r="U47">
            <v>4</v>
          </cell>
          <cell r="W47">
            <v>5</v>
          </cell>
          <cell r="X47">
            <v>3</v>
          </cell>
          <cell r="Y47">
            <v>3</v>
          </cell>
          <cell r="Z47">
            <v>6</v>
          </cell>
        </row>
        <row r="48">
          <cell r="B48">
            <v>100728</v>
          </cell>
          <cell r="C48" t="str">
            <v>Oliva Motor</v>
          </cell>
          <cell r="D48">
            <v>27</v>
          </cell>
          <cell r="E48">
            <v>30</v>
          </cell>
          <cell r="F48">
            <v>34</v>
          </cell>
          <cell r="G48">
            <v>48</v>
          </cell>
          <cell r="H48">
            <v>25</v>
          </cell>
          <cell r="I48">
            <v>70</v>
          </cell>
          <cell r="S48">
            <v>100734</v>
          </cell>
          <cell r="T48" t="str">
            <v>Proa Premium</v>
          </cell>
          <cell r="U48">
            <v>15</v>
          </cell>
          <cell r="V48">
            <v>14</v>
          </cell>
          <cell r="W48">
            <v>34</v>
          </cell>
          <cell r="X48">
            <v>30</v>
          </cell>
          <cell r="Y48">
            <v>35</v>
          </cell>
          <cell r="Z48">
            <v>19</v>
          </cell>
        </row>
        <row r="49">
          <cell r="B49">
            <v>100730</v>
          </cell>
          <cell r="C49" t="str">
            <v>Adler Motor</v>
          </cell>
          <cell r="D49">
            <v>11</v>
          </cell>
          <cell r="E49">
            <v>23</v>
          </cell>
          <cell r="F49">
            <v>19</v>
          </cell>
          <cell r="G49">
            <v>10</v>
          </cell>
          <cell r="H49">
            <v>17</v>
          </cell>
          <cell r="I49">
            <v>25</v>
          </cell>
          <cell r="S49">
            <v>100738</v>
          </cell>
          <cell r="T49" t="str">
            <v>Marmotor</v>
          </cell>
          <cell r="U49">
            <v>4</v>
          </cell>
          <cell r="V49">
            <v>3</v>
          </cell>
          <cell r="W49">
            <v>9</v>
          </cell>
          <cell r="X49">
            <v>2</v>
          </cell>
          <cell r="Y49">
            <v>3</v>
          </cell>
          <cell r="Z49">
            <v>11</v>
          </cell>
        </row>
        <row r="50">
          <cell r="B50">
            <v>100734</v>
          </cell>
          <cell r="C50" t="str">
            <v>Proa Premium</v>
          </cell>
          <cell r="D50">
            <v>30</v>
          </cell>
          <cell r="E50">
            <v>42</v>
          </cell>
          <cell r="F50">
            <v>45</v>
          </cell>
          <cell r="G50">
            <v>31</v>
          </cell>
          <cell r="H50">
            <v>42</v>
          </cell>
          <cell r="I50">
            <v>62</v>
          </cell>
          <cell r="S50">
            <v>100739</v>
          </cell>
          <cell r="T50" t="str">
            <v>Bernesga Motor - VO</v>
          </cell>
          <cell r="U50">
            <v>1</v>
          </cell>
          <cell r="V50">
            <v>3</v>
          </cell>
          <cell r="W50">
            <v>3</v>
          </cell>
          <cell r="X50">
            <v>2</v>
          </cell>
          <cell r="Y50">
            <v>4</v>
          </cell>
          <cell r="Z50">
            <v>8</v>
          </cell>
        </row>
        <row r="51">
          <cell r="B51">
            <v>100738</v>
          </cell>
          <cell r="C51" t="str">
            <v>Marmotor</v>
          </cell>
          <cell r="D51">
            <v>18</v>
          </cell>
          <cell r="E51">
            <v>7</v>
          </cell>
          <cell r="F51">
            <v>19</v>
          </cell>
          <cell r="G51">
            <v>18</v>
          </cell>
          <cell r="H51">
            <v>18</v>
          </cell>
          <cell r="I51">
            <v>18</v>
          </cell>
          <cell r="S51">
            <v>100764</v>
          </cell>
          <cell r="T51" t="str">
            <v>Albamocion S.L.</v>
          </cell>
          <cell r="U51">
            <v>1</v>
          </cell>
          <cell r="V51">
            <v>1</v>
          </cell>
          <cell r="W51">
            <v>4</v>
          </cell>
          <cell r="X51">
            <v>2</v>
          </cell>
          <cell r="Y51">
            <v>1</v>
          </cell>
          <cell r="Z51">
            <v>1</v>
          </cell>
        </row>
        <row r="52">
          <cell r="B52">
            <v>100739</v>
          </cell>
          <cell r="C52" t="str">
            <v>Bernesga Motor - VO</v>
          </cell>
          <cell r="D52">
            <v>12</v>
          </cell>
          <cell r="E52">
            <v>7</v>
          </cell>
          <cell r="F52">
            <v>14</v>
          </cell>
          <cell r="G52">
            <v>9</v>
          </cell>
          <cell r="H52">
            <v>9</v>
          </cell>
          <cell r="I52">
            <v>16</v>
          </cell>
          <cell r="S52">
            <v>100765</v>
          </cell>
          <cell r="T52" t="str">
            <v xml:space="preserve">Lizaga Motor </v>
          </cell>
          <cell r="Y52">
            <v>1</v>
          </cell>
        </row>
        <row r="53">
          <cell r="B53">
            <v>100764</v>
          </cell>
          <cell r="C53" t="str">
            <v>Albamocion S.L.</v>
          </cell>
          <cell r="D53">
            <v>19</v>
          </cell>
          <cell r="E53">
            <v>23</v>
          </cell>
          <cell r="F53">
            <v>22</v>
          </cell>
          <cell r="G53">
            <v>20</v>
          </cell>
          <cell r="H53">
            <v>26</v>
          </cell>
          <cell r="I53">
            <v>45</v>
          </cell>
          <cell r="S53">
            <v>100813</v>
          </cell>
          <cell r="T53" t="str">
            <v>Automotor Costa</v>
          </cell>
          <cell r="U53">
            <v>5</v>
          </cell>
          <cell r="V53">
            <v>6</v>
          </cell>
          <cell r="W53">
            <v>9</v>
          </cell>
          <cell r="X53">
            <v>7</v>
          </cell>
          <cell r="Y53">
            <v>12</v>
          </cell>
          <cell r="Z53">
            <v>8</v>
          </cell>
        </row>
        <row r="54">
          <cell r="B54">
            <v>100765</v>
          </cell>
          <cell r="C54" t="str">
            <v xml:space="preserve">Lizaga Motor </v>
          </cell>
          <cell r="D54">
            <v>3</v>
          </cell>
          <cell r="E54">
            <v>5</v>
          </cell>
          <cell r="F54">
            <v>4</v>
          </cell>
          <cell r="G54">
            <v>4</v>
          </cell>
          <cell r="H54">
            <v>7</v>
          </cell>
          <cell r="I54">
            <v>6</v>
          </cell>
          <cell r="S54">
            <v>100817</v>
          </cell>
          <cell r="T54" t="str">
            <v>Oliva Motor Girona</v>
          </cell>
          <cell r="U54">
            <v>16</v>
          </cell>
          <cell r="V54">
            <v>10</v>
          </cell>
          <cell r="W54">
            <v>25</v>
          </cell>
          <cell r="X54">
            <v>17</v>
          </cell>
          <cell r="Y54">
            <v>21</v>
          </cell>
          <cell r="Z54">
            <v>22</v>
          </cell>
        </row>
        <row r="55">
          <cell r="B55">
            <v>100813</v>
          </cell>
          <cell r="C55" t="str">
            <v>Automotor Costa</v>
          </cell>
          <cell r="D55">
            <v>38</v>
          </cell>
          <cell r="E55">
            <v>43</v>
          </cell>
          <cell r="F55">
            <v>38</v>
          </cell>
          <cell r="G55">
            <v>37</v>
          </cell>
          <cell r="H55">
            <v>26</v>
          </cell>
          <cell r="I55">
            <v>42</v>
          </cell>
          <cell r="S55">
            <v>100819</v>
          </cell>
          <cell r="T55" t="str">
            <v>Motri Motor, S.A.</v>
          </cell>
          <cell r="U55">
            <v>16</v>
          </cell>
          <cell r="V55">
            <v>15</v>
          </cell>
          <cell r="W55">
            <v>22</v>
          </cell>
          <cell r="X55">
            <v>20</v>
          </cell>
          <cell r="Y55">
            <v>17</v>
          </cell>
          <cell r="Z55">
            <v>13</v>
          </cell>
        </row>
        <row r="56">
          <cell r="B56">
            <v>100817</v>
          </cell>
          <cell r="C56" t="str">
            <v>Oliva Motor Girona</v>
          </cell>
          <cell r="D56">
            <v>45</v>
          </cell>
          <cell r="E56">
            <v>28</v>
          </cell>
          <cell r="F56">
            <v>50</v>
          </cell>
          <cell r="G56">
            <v>54</v>
          </cell>
          <cell r="H56">
            <v>52</v>
          </cell>
          <cell r="I56">
            <v>50</v>
          </cell>
          <cell r="S56">
            <v>100873</v>
          </cell>
          <cell r="T56" t="str">
            <v>Bymycar Madrid</v>
          </cell>
          <cell r="U56">
            <v>26</v>
          </cell>
          <cell r="V56">
            <v>37</v>
          </cell>
          <cell r="W56">
            <v>20</v>
          </cell>
          <cell r="X56">
            <v>27</v>
          </cell>
          <cell r="Y56">
            <v>33</v>
          </cell>
          <cell r="Z56">
            <v>42</v>
          </cell>
        </row>
        <row r="57">
          <cell r="B57">
            <v>100819</v>
          </cell>
          <cell r="C57" t="str">
            <v>Motri Motor, S.A.</v>
          </cell>
          <cell r="D57">
            <v>175</v>
          </cell>
          <cell r="E57">
            <v>184</v>
          </cell>
          <cell r="F57">
            <v>241</v>
          </cell>
          <cell r="G57">
            <v>187</v>
          </cell>
          <cell r="H57">
            <v>207</v>
          </cell>
          <cell r="I57">
            <v>209</v>
          </cell>
          <cell r="S57">
            <v>100881</v>
          </cell>
          <cell r="T57" t="str">
            <v>Movitransa Cars</v>
          </cell>
          <cell r="U57">
            <v>3</v>
          </cell>
          <cell r="V57">
            <v>8</v>
          </cell>
          <cell r="W57">
            <v>5</v>
          </cell>
          <cell r="X57">
            <v>12</v>
          </cell>
          <cell r="Y57">
            <v>7</v>
          </cell>
          <cell r="Z57">
            <v>9</v>
          </cell>
        </row>
        <row r="58">
          <cell r="B58">
            <v>100873</v>
          </cell>
          <cell r="C58" t="str">
            <v>Bymycar Madrid</v>
          </cell>
          <cell r="D58">
            <v>97</v>
          </cell>
          <cell r="E58">
            <v>114</v>
          </cell>
          <cell r="F58">
            <v>136</v>
          </cell>
          <cell r="G58">
            <v>128</v>
          </cell>
          <cell r="H58">
            <v>119</v>
          </cell>
          <cell r="I58">
            <v>125</v>
          </cell>
          <cell r="S58">
            <v>100909</v>
          </cell>
          <cell r="T58" t="str">
            <v>Quadis Munich</v>
          </cell>
          <cell r="U58">
            <v>6</v>
          </cell>
          <cell r="V58">
            <v>5</v>
          </cell>
          <cell r="W58">
            <v>7</v>
          </cell>
          <cell r="X58">
            <v>13</v>
          </cell>
          <cell r="Y58">
            <v>13</v>
          </cell>
          <cell r="Z58">
            <v>12</v>
          </cell>
        </row>
        <row r="59">
          <cell r="B59">
            <v>100881</v>
          </cell>
          <cell r="C59" t="str">
            <v>Movitransa Cars</v>
          </cell>
          <cell r="D59">
            <v>21</v>
          </cell>
          <cell r="E59">
            <v>20</v>
          </cell>
          <cell r="F59">
            <v>34</v>
          </cell>
          <cell r="G59">
            <v>44</v>
          </cell>
          <cell r="H59">
            <v>30</v>
          </cell>
          <cell r="I59">
            <v>37</v>
          </cell>
          <cell r="S59">
            <v>100917</v>
          </cell>
          <cell r="T59" t="str">
            <v>Momentum Norte</v>
          </cell>
          <cell r="U59">
            <v>1</v>
          </cell>
          <cell r="V59">
            <v>1</v>
          </cell>
          <cell r="X59">
            <v>10</v>
          </cell>
          <cell r="Y59">
            <v>5</v>
          </cell>
          <cell r="Z59">
            <v>3</v>
          </cell>
        </row>
        <row r="60">
          <cell r="B60">
            <v>100909</v>
          </cell>
          <cell r="C60" t="str">
            <v>Quadis Munich</v>
          </cell>
          <cell r="D60">
            <v>20</v>
          </cell>
          <cell r="E60">
            <v>16</v>
          </cell>
          <cell r="F60">
            <v>29</v>
          </cell>
          <cell r="G60">
            <v>22</v>
          </cell>
          <cell r="H60">
            <v>27</v>
          </cell>
          <cell r="I60">
            <v>20</v>
          </cell>
          <cell r="S60">
            <v>100063</v>
          </cell>
          <cell r="T60" t="str">
            <v>AUTOSA</v>
          </cell>
          <cell r="Y60">
            <v>1</v>
          </cell>
          <cell r="Z60">
            <v>1</v>
          </cell>
        </row>
        <row r="61">
          <cell r="B61">
            <v>100917</v>
          </cell>
          <cell r="C61" t="str">
            <v>Momentum Norte</v>
          </cell>
          <cell r="G61">
            <v>10</v>
          </cell>
          <cell r="H61">
            <v>22</v>
          </cell>
          <cell r="I61">
            <v>33</v>
          </cell>
          <cell r="S61" t="str">
            <v>Total general</v>
          </cell>
          <cell r="U61">
            <v>345</v>
          </cell>
          <cell r="V61">
            <v>373</v>
          </cell>
          <cell r="W61">
            <v>407</v>
          </cell>
          <cell r="X61">
            <v>422</v>
          </cell>
          <cell r="Y61">
            <v>456</v>
          </cell>
          <cell r="Z61">
            <v>546</v>
          </cell>
        </row>
        <row r="62">
          <cell r="B62" t="str">
            <v>Total general</v>
          </cell>
          <cell r="D62">
            <v>1318</v>
          </cell>
          <cell r="E62">
            <v>1554</v>
          </cell>
          <cell r="F62">
            <v>1754</v>
          </cell>
          <cell r="G62">
            <v>1568</v>
          </cell>
          <cell r="H62">
            <v>1550</v>
          </cell>
          <cell r="I62">
            <v>1977</v>
          </cell>
        </row>
        <row r="80">
          <cell r="B80" t="str">
            <v>Enero</v>
          </cell>
          <cell r="C80">
            <v>2</v>
          </cell>
          <cell r="S80" t="str">
            <v>Enero</v>
          </cell>
          <cell r="T80">
            <v>1</v>
          </cell>
        </row>
        <row r="81">
          <cell r="B81" t="str">
            <v>Febrero</v>
          </cell>
          <cell r="C81">
            <v>3</v>
          </cell>
          <cell r="S81" t="str">
            <v>Febrero</v>
          </cell>
          <cell r="T81">
            <v>3</v>
          </cell>
        </row>
        <row r="82">
          <cell r="B82" t="str">
            <v>Marzo</v>
          </cell>
          <cell r="C82">
            <v>2</v>
          </cell>
          <cell r="S82" t="str">
            <v>Abril</v>
          </cell>
          <cell r="T82">
            <v>2</v>
          </cell>
        </row>
        <row r="83">
          <cell r="B83" t="str">
            <v>Abril</v>
          </cell>
          <cell r="C83">
            <v>2</v>
          </cell>
          <cell r="S83" t="str">
            <v>Mayo</v>
          </cell>
          <cell r="T83">
            <v>6</v>
          </cell>
        </row>
        <row r="84">
          <cell r="B84" t="str">
            <v>Mayo</v>
          </cell>
          <cell r="C84">
            <v>2</v>
          </cell>
          <cell r="S84" t="str">
            <v>Junio</v>
          </cell>
          <cell r="T84">
            <v>11</v>
          </cell>
        </row>
        <row r="85">
          <cell r="B85" t="str">
            <v>Junio</v>
          </cell>
          <cell r="C85">
            <v>7</v>
          </cell>
          <cell r="S85" t="str">
            <v>Total general</v>
          </cell>
          <cell r="T85">
            <v>23</v>
          </cell>
        </row>
        <row r="86">
          <cell r="B86" t="str">
            <v>Total general</v>
          </cell>
          <cell r="C86">
            <v>18</v>
          </cell>
        </row>
      </sheetData>
      <sheetData sheetId="7">
        <row r="10">
          <cell r="B10">
            <v>100002</v>
          </cell>
          <cell r="C10" t="str">
            <v>Automoviles Bertolin S.L.</v>
          </cell>
          <cell r="D10">
            <v>16</v>
          </cell>
          <cell r="E10">
            <v>16</v>
          </cell>
          <cell r="F10">
            <v>17</v>
          </cell>
          <cell r="G10">
            <v>16</v>
          </cell>
          <cell r="H10">
            <v>12</v>
          </cell>
          <cell r="I10">
            <v>17</v>
          </cell>
          <cell r="S10">
            <v>100002</v>
          </cell>
          <cell r="T10" t="str">
            <v>Automoviles Bertolin S.L.</v>
          </cell>
          <cell r="U10">
            <v>7</v>
          </cell>
          <cell r="V10">
            <v>12</v>
          </cell>
          <cell r="W10">
            <v>12</v>
          </cell>
          <cell r="X10">
            <v>7</v>
          </cell>
          <cell r="Y10">
            <v>5</v>
          </cell>
          <cell r="Z10">
            <v>8</v>
          </cell>
        </row>
        <row r="11">
          <cell r="B11">
            <v>100015</v>
          </cell>
          <cell r="C11" t="str">
            <v>Grunblau Motor - VO</v>
          </cell>
          <cell r="D11">
            <v>9</v>
          </cell>
          <cell r="E11">
            <v>8</v>
          </cell>
          <cell r="F11">
            <v>9</v>
          </cell>
          <cell r="G11">
            <v>9</v>
          </cell>
          <cell r="H11">
            <v>10</v>
          </cell>
          <cell r="I11">
            <v>18</v>
          </cell>
          <cell r="S11">
            <v>100015</v>
          </cell>
          <cell r="T11" t="str">
            <v>Grunblau Motor - VO</v>
          </cell>
          <cell r="U11">
            <v>3</v>
          </cell>
          <cell r="V11">
            <v>3</v>
          </cell>
          <cell r="W11">
            <v>1</v>
          </cell>
          <cell r="X11">
            <v>2</v>
          </cell>
          <cell r="Y11">
            <v>1</v>
          </cell>
          <cell r="Z11">
            <v>7</v>
          </cell>
        </row>
        <row r="12">
          <cell r="B12">
            <v>100062</v>
          </cell>
          <cell r="C12" t="str">
            <v>Automoviles Fersan S.A.</v>
          </cell>
          <cell r="D12">
            <v>19</v>
          </cell>
          <cell r="E12">
            <v>21</v>
          </cell>
          <cell r="F12">
            <v>34</v>
          </cell>
          <cell r="G12">
            <v>30</v>
          </cell>
          <cell r="H12">
            <v>34</v>
          </cell>
          <cell r="I12">
            <v>76</v>
          </cell>
          <cell r="S12">
            <v>100062</v>
          </cell>
          <cell r="T12" t="str">
            <v>Automoviles Fersan S.A.</v>
          </cell>
          <cell r="U12">
            <v>5</v>
          </cell>
          <cell r="V12">
            <v>15</v>
          </cell>
          <cell r="W12">
            <v>11</v>
          </cell>
          <cell r="X12">
            <v>11</v>
          </cell>
          <cell r="Y12">
            <v>20</v>
          </cell>
          <cell r="Z12">
            <v>16</v>
          </cell>
        </row>
        <row r="13">
          <cell r="B13">
            <v>100120</v>
          </cell>
          <cell r="C13" t="str">
            <v>Autogal</v>
          </cell>
          <cell r="E13">
            <v>3</v>
          </cell>
          <cell r="F13">
            <v>3</v>
          </cell>
          <cell r="G13">
            <v>4</v>
          </cell>
          <cell r="H13">
            <v>5</v>
          </cell>
          <cell r="I13">
            <v>6</v>
          </cell>
          <cell r="S13">
            <v>100146</v>
          </cell>
          <cell r="T13" t="str">
            <v>Lugauto S.A.</v>
          </cell>
          <cell r="X13">
            <v>1</v>
          </cell>
        </row>
        <row r="14">
          <cell r="B14">
            <v>100146</v>
          </cell>
          <cell r="C14" t="str">
            <v>Lugauto S.A.</v>
          </cell>
          <cell r="D14">
            <v>8</v>
          </cell>
          <cell r="E14">
            <v>3</v>
          </cell>
          <cell r="G14">
            <v>4</v>
          </cell>
          <cell r="I14">
            <v>2</v>
          </cell>
          <cell r="S14">
            <v>100155</v>
          </cell>
          <cell r="T14" t="str">
            <v>Automoviles Oviedo, S.A.</v>
          </cell>
          <cell r="U14">
            <v>3</v>
          </cell>
          <cell r="V14">
            <v>3</v>
          </cell>
          <cell r="W14">
            <v>1</v>
          </cell>
          <cell r="Y14">
            <v>3</v>
          </cell>
          <cell r="Z14">
            <v>2</v>
          </cell>
        </row>
        <row r="15">
          <cell r="B15">
            <v>100155</v>
          </cell>
          <cell r="C15" t="str">
            <v>Automoviles Oviedo, S.A.</v>
          </cell>
          <cell r="D15">
            <v>5</v>
          </cell>
          <cell r="E15">
            <v>11</v>
          </cell>
          <cell r="F15">
            <v>13</v>
          </cell>
          <cell r="G15">
            <v>11</v>
          </cell>
          <cell r="H15">
            <v>6</v>
          </cell>
          <cell r="I15">
            <v>10</v>
          </cell>
          <cell r="S15">
            <v>100190</v>
          </cell>
          <cell r="T15" t="str">
            <v>Burgocar - VO</v>
          </cell>
          <cell r="U15">
            <v>5</v>
          </cell>
          <cell r="V15">
            <v>5</v>
          </cell>
          <cell r="W15">
            <v>4</v>
          </cell>
          <cell r="X15">
            <v>3</v>
          </cell>
          <cell r="Y15">
            <v>8</v>
          </cell>
          <cell r="Z15">
            <v>5</v>
          </cell>
        </row>
        <row r="16">
          <cell r="B16">
            <v>100190</v>
          </cell>
          <cell r="C16" t="str">
            <v>Burgocar - VO</v>
          </cell>
          <cell r="D16">
            <v>13</v>
          </cell>
          <cell r="E16">
            <v>9</v>
          </cell>
          <cell r="F16">
            <v>15</v>
          </cell>
          <cell r="G16">
            <v>21</v>
          </cell>
          <cell r="H16">
            <v>17</v>
          </cell>
          <cell r="I16">
            <v>22</v>
          </cell>
          <cell r="S16">
            <v>100206</v>
          </cell>
          <cell r="T16" t="str">
            <v>Hispamovil, S.A.</v>
          </cell>
          <cell r="U16">
            <v>7</v>
          </cell>
          <cell r="V16">
            <v>7</v>
          </cell>
          <cell r="W16">
            <v>7</v>
          </cell>
          <cell r="X16">
            <v>2</v>
          </cell>
          <cell r="Y16">
            <v>11</v>
          </cell>
          <cell r="Z16">
            <v>19</v>
          </cell>
        </row>
        <row r="17">
          <cell r="B17">
            <v>100206</v>
          </cell>
          <cell r="C17" t="str">
            <v>Hispamovil, S.A.</v>
          </cell>
          <cell r="D17">
            <v>21</v>
          </cell>
          <cell r="E17">
            <v>35</v>
          </cell>
          <cell r="F17">
            <v>29</v>
          </cell>
          <cell r="G17">
            <v>28</v>
          </cell>
          <cell r="H17">
            <v>24</v>
          </cell>
          <cell r="I17">
            <v>28</v>
          </cell>
          <cell r="S17">
            <v>100213</v>
          </cell>
          <cell r="T17" t="str">
            <v>Movilnorte S.A.</v>
          </cell>
          <cell r="U17">
            <v>22</v>
          </cell>
          <cell r="V17">
            <v>16</v>
          </cell>
          <cell r="W17">
            <v>14</v>
          </cell>
          <cell r="X17">
            <v>12</v>
          </cell>
          <cell r="Y17">
            <v>22</v>
          </cell>
          <cell r="Z17">
            <v>30</v>
          </cell>
        </row>
        <row r="18">
          <cell r="B18">
            <v>100213</v>
          </cell>
          <cell r="C18" t="str">
            <v>Movilnorte S.A.</v>
          </cell>
          <cell r="D18">
            <v>38</v>
          </cell>
          <cell r="E18">
            <v>49</v>
          </cell>
          <cell r="F18">
            <v>59</v>
          </cell>
          <cell r="G18">
            <v>46</v>
          </cell>
          <cell r="H18">
            <v>49</v>
          </cell>
          <cell r="I18">
            <v>45</v>
          </cell>
          <cell r="S18">
            <v>100304</v>
          </cell>
          <cell r="T18" t="str">
            <v xml:space="preserve">Novomóvil </v>
          </cell>
          <cell r="U18">
            <v>7</v>
          </cell>
          <cell r="V18">
            <v>2</v>
          </cell>
          <cell r="W18">
            <v>5</v>
          </cell>
          <cell r="X18">
            <v>8</v>
          </cell>
          <cell r="Y18">
            <v>10</v>
          </cell>
          <cell r="Z18">
            <v>6</v>
          </cell>
        </row>
        <row r="19">
          <cell r="B19">
            <v>100304</v>
          </cell>
          <cell r="C19" t="str">
            <v xml:space="preserve">Novomóvil </v>
          </cell>
          <cell r="D19">
            <v>5</v>
          </cell>
          <cell r="E19">
            <v>9</v>
          </cell>
          <cell r="F19">
            <v>10</v>
          </cell>
          <cell r="G19">
            <v>15</v>
          </cell>
          <cell r="H19">
            <v>10</v>
          </cell>
          <cell r="I19">
            <v>27</v>
          </cell>
          <cell r="S19">
            <v>100307</v>
          </cell>
          <cell r="T19" t="str">
            <v>Avilcar S.L.</v>
          </cell>
          <cell r="X19">
            <v>1</v>
          </cell>
        </row>
        <row r="20">
          <cell r="B20">
            <v>100307</v>
          </cell>
          <cell r="C20" t="str">
            <v>Avilcar S.L.</v>
          </cell>
          <cell r="D20">
            <v>2</v>
          </cell>
          <cell r="E20">
            <v>5</v>
          </cell>
          <cell r="F20">
            <v>7</v>
          </cell>
          <cell r="G20">
            <v>6</v>
          </cell>
          <cell r="H20">
            <v>4</v>
          </cell>
          <cell r="I20">
            <v>18</v>
          </cell>
          <cell r="S20">
            <v>100311</v>
          </cell>
          <cell r="T20" t="str">
            <v>Engasa S.A.</v>
          </cell>
          <cell r="U20">
            <v>1</v>
          </cell>
          <cell r="V20">
            <v>3</v>
          </cell>
          <cell r="W20">
            <v>10</v>
          </cell>
          <cell r="X20">
            <v>8</v>
          </cell>
          <cell r="Y20">
            <v>7</v>
          </cell>
          <cell r="Z20">
            <v>5</v>
          </cell>
        </row>
        <row r="21">
          <cell r="B21">
            <v>100311</v>
          </cell>
          <cell r="C21" t="str">
            <v>Engasa S.A.</v>
          </cell>
          <cell r="D21">
            <v>13</v>
          </cell>
          <cell r="E21">
            <v>16</v>
          </cell>
          <cell r="F21">
            <v>22</v>
          </cell>
          <cell r="G21">
            <v>13</v>
          </cell>
          <cell r="H21">
            <v>24</v>
          </cell>
          <cell r="I21">
            <v>13</v>
          </cell>
          <cell r="S21">
            <v>100319</v>
          </cell>
          <cell r="T21" t="str">
            <v>Vehinter , S.A.</v>
          </cell>
          <cell r="U21">
            <v>7</v>
          </cell>
          <cell r="V21">
            <v>7</v>
          </cell>
          <cell r="W21">
            <v>18</v>
          </cell>
          <cell r="X21">
            <v>21</v>
          </cell>
          <cell r="Y21">
            <v>10</v>
          </cell>
          <cell r="Z21">
            <v>19</v>
          </cell>
        </row>
        <row r="22">
          <cell r="B22">
            <v>100319</v>
          </cell>
          <cell r="C22" t="str">
            <v>Vehinter , S.A.</v>
          </cell>
          <cell r="D22">
            <v>50</v>
          </cell>
          <cell r="E22">
            <v>56</v>
          </cell>
          <cell r="F22">
            <v>55</v>
          </cell>
          <cell r="G22">
            <v>55</v>
          </cell>
          <cell r="H22">
            <v>44</v>
          </cell>
          <cell r="I22">
            <v>59</v>
          </cell>
          <cell r="S22">
            <v>100323</v>
          </cell>
          <cell r="T22" t="str">
            <v>Caetano Cuzco</v>
          </cell>
          <cell r="U22">
            <v>9</v>
          </cell>
          <cell r="V22">
            <v>6</v>
          </cell>
          <cell r="W22">
            <v>13</v>
          </cell>
          <cell r="X22">
            <v>12</v>
          </cell>
          <cell r="Y22">
            <v>8</v>
          </cell>
          <cell r="Z22">
            <v>14</v>
          </cell>
        </row>
        <row r="23">
          <cell r="B23">
            <v>100323</v>
          </cell>
          <cell r="C23" t="str">
            <v>Caetano Cuzco</v>
          </cell>
          <cell r="D23">
            <v>36</v>
          </cell>
          <cell r="E23">
            <v>42</v>
          </cell>
          <cell r="F23">
            <v>41</v>
          </cell>
          <cell r="G23">
            <v>31</v>
          </cell>
          <cell r="H23">
            <v>32</v>
          </cell>
          <cell r="I23">
            <v>36</v>
          </cell>
          <cell r="S23">
            <v>100344</v>
          </cell>
          <cell r="T23" t="str">
            <v>San Pablo Motor S.L.</v>
          </cell>
          <cell r="U23">
            <v>3</v>
          </cell>
          <cell r="V23">
            <v>11</v>
          </cell>
          <cell r="W23">
            <v>6</v>
          </cell>
          <cell r="X23">
            <v>5</v>
          </cell>
          <cell r="Y23">
            <v>8</v>
          </cell>
          <cell r="Z23">
            <v>13</v>
          </cell>
        </row>
        <row r="24">
          <cell r="B24">
            <v>100344</v>
          </cell>
          <cell r="C24" t="str">
            <v>San Pablo Motor S.L.</v>
          </cell>
          <cell r="D24">
            <v>37</v>
          </cell>
          <cell r="E24">
            <v>33</v>
          </cell>
          <cell r="F24">
            <v>37</v>
          </cell>
          <cell r="G24">
            <v>32</v>
          </cell>
          <cell r="H24">
            <v>28</v>
          </cell>
          <cell r="I24">
            <v>30</v>
          </cell>
          <cell r="S24">
            <v>100346</v>
          </cell>
          <cell r="T24" t="str">
            <v>Amiocar S.A.</v>
          </cell>
          <cell r="V24">
            <v>2</v>
          </cell>
          <cell r="W24">
            <v>1</v>
          </cell>
          <cell r="X24">
            <v>2</v>
          </cell>
          <cell r="Y24">
            <v>2</v>
          </cell>
          <cell r="Z24">
            <v>1</v>
          </cell>
        </row>
        <row r="25">
          <cell r="B25">
            <v>100346</v>
          </cell>
          <cell r="C25" t="str">
            <v>Amiocar S.A.</v>
          </cell>
          <cell r="D25">
            <v>2</v>
          </cell>
          <cell r="E25">
            <v>7</v>
          </cell>
          <cell r="F25">
            <v>4</v>
          </cell>
          <cell r="G25">
            <v>2</v>
          </cell>
          <cell r="H25">
            <v>1</v>
          </cell>
          <cell r="I25">
            <v>2</v>
          </cell>
          <cell r="S25">
            <v>100349</v>
          </cell>
          <cell r="T25" t="str">
            <v>Auto Premier Baviera S.A.</v>
          </cell>
          <cell r="U25">
            <v>11</v>
          </cell>
          <cell r="V25">
            <v>7</v>
          </cell>
          <cell r="W25">
            <v>12</v>
          </cell>
          <cell r="X25">
            <v>10</v>
          </cell>
          <cell r="Y25">
            <v>13</v>
          </cell>
          <cell r="Z25">
            <v>17</v>
          </cell>
        </row>
        <row r="26">
          <cell r="B26">
            <v>100349</v>
          </cell>
          <cell r="C26" t="str">
            <v>Auto Premier Baviera S.A.</v>
          </cell>
          <cell r="D26">
            <v>35</v>
          </cell>
          <cell r="E26">
            <v>53</v>
          </cell>
          <cell r="F26">
            <v>54</v>
          </cell>
          <cell r="G26">
            <v>60</v>
          </cell>
          <cell r="H26">
            <v>37</v>
          </cell>
          <cell r="I26">
            <v>58</v>
          </cell>
          <cell r="S26">
            <v>100379</v>
          </cell>
          <cell r="T26" t="str">
            <v>Triocar - VO</v>
          </cell>
          <cell r="U26">
            <v>2</v>
          </cell>
          <cell r="V26">
            <v>10</v>
          </cell>
          <cell r="W26">
            <v>8</v>
          </cell>
          <cell r="X26">
            <v>5</v>
          </cell>
          <cell r="Y26">
            <v>4</v>
          </cell>
          <cell r="Z26">
            <v>5</v>
          </cell>
        </row>
        <row r="27">
          <cell r="B27">
            <v>100379</v>
          </cell>
          <cell r="C27" t="str">
            <v>Triocar - VO</v>
          </cell>
          <cell r="D27">
            <v>13</v>
          </cell>
          <cell r="E27">
            <v>15</v>
          </cell>
          <cell r="F27">
            <v>18</v>
          </cell>
          <cell r="G27">
            <v>10</v>
          </cell>
          <cell r="H27">
            <v>27</v>
          </cell>
          <cell r="I27">
            <v>27</v>
          </cell>
          <cell r="S27">
            <v>100380</v>
          </cell>
          <cell r="T27" t="str">
            <v>Ceres Motor</v>
          </cell>
          <cell r="U27">
            <v>2</v>
          </cell>
          <cell r="V27">
            <v>3</v>
          </cell>
          <cell r="W27">
            <v>1</v>
          </cell>
          <cell r="X27">
            <v>3</v>
          </cell>
          <cell r="Y27">
            <v>1</v>
          </cell>
          <cell r="Z27">
            <v>1</v>
          </cell>
        </row>
        <row r="28">
          <cell r="B28">
            <v>100380</v>
          </cell>
          <cell r="C28" t="str">
            <v>Ceres Motor</v>
          </cell>
          <cell r="D28">
            <v>11</v>
          </cell>
          <cell r="E28">
            <v>21</v>
          </cell>
          <cell r="F28">
            <v>24</v>
          </cell>
          <cell r="G28">
            <v>24</v>
          </cell>
          <cell r="H28">
            <v>7</v>
          </cell>
          <cell r="I28">
            <v>25</v>
          </cell>
          <cell r="S28">
            <v>100389</v>
          </cell>
          <cell r="T28" t="str">
            <v>Canaauto</v>
          </cell>
          <cell r="U28">
            <v>3</v>
          </cell>
          <cell r="V28">
            <v>5</v>
          </cell>
          <cell r="W28">
            <v>6</v>
          </cell>
          <cell r="X28">
            <v>3</v>
          </cell>
          <cell r="Y28">
            <v>4</v>
          </cell>
          <cell r="Z28">
            <v>1</v>
          </cell>
        </row>
        <row r="29">
          <cell r="B29">
            <v>100389</v>
          </cell>
          <cell r="C29" t="str">
            <v>Canaauto</v>
          </cell>
          <cell r="D29">
            <v>4</v>
          </cell>
          <cell r="E29">
            <v>34</v>
          </cell>
          <cell r="F29">
            <v>18</v>
          </cell>
          <cell r="G29">
            <v>17</v>
          </cell>
          <cell r="H29">
            <v>18</v>
          </cell>
          <cell r="I29">
            <v>27</v>
          </cell>
          <cell r="S29">
            <v>100393</v>
          </cell>
          <cell r="T29" t="str">
            <v>Murcia Premium</v>
          </cell>
          <cell r="U29">
            <v>11</v>
          </cell>
          <cell r="V29">
            <v>3</v>
          </cell>
          <cell r="W29">
            <v>10</v>
          </cell>
          <cell r="X29">
            <v>5</v>
          </cell>
          <cell r="Y29">
            <v>6</v>
          </cell>
          <cell r="Z29">
            <v>8</v>
          </cell>
        </row>
        <row r="30">
          <cell r="B30">
            <v>100393</v>
          </cell>
          <cell r="C30" t="str">
            <v>Murcia Premium</v>
          </cell>
          <cell r="D30">
            <v>22</v>
          </cell>
          <cell r="E30">
            <v>15</v>
          </cell>
          <cell r="F30">
            <v>19</v>
          </cell>
          <cell r="G30">
            <v>19</v>
          </cell>
          <cell r="H30">
            <v>16</v>
          </cell>
          <cell r="I30">
            <v>14</v>
          </cell>
          <cell r="S30">
            <v>100394</v>
          </cell>
          <cell r="T30" t="str">
            <v>Maberauto</v>
          </cell>
          <cell r="U30">
            <v>2</v>
          </cell>
          <cell r="W30">
            <v>4</v>
          </cell>
          <cell r="X30">
            <v>3</v>
          </cell>
          <cell r="Y30">
            <v>1</v>
          </cell>
          <cell r="Z30">
            <v>1</v>
          </cell>
        </row>
        <row r="31">
          <cell r="B31">
            <v>100394</v>
          </cell>
          <cell r="C31" t="str">
            <v>Maberauto</v>
          </cell>
          <cell r="D31">
            <v>4</v>
          </cell>
          <cell r="E31">
            <v>10</v>
          </cell>
          <cell r="F31">
            <v>4</v>
          </cell>
          <cell r="G31">
            <v>12</v>
          </cell>
          <cell r="H31">
            <v>3</v>
          </cell>
          <cell r="I31">
            <v>9</v>
          </cell>
          <cell r="S31">
            <v>100410</v>
          </cell>
          <cell r="T31" t="str">
            <v>Celtamotor - VO</v>
          </cell>
          <cell r="U31">
            <v>8</v>
          </cell>
          <cell r="V31">
            <v>5</v>
          </cell>
          <cell r="W31">
            <v>8</v>
          </cell>
          <cell r="X31">
            <v>4</v>
          </cell>
          <cell r="Y31">
            <v>5</v>
          </cell>
          <cell r="Z31">
            <v>13</v>
          </cell>
        </row>
        <row r="32">
          <cell r="B32">
            <v>100410</v>
          </cell>
          <cell r="C32" t="str">
            <v>Celtamotor - VO</v>
          </cell>
          <cell r="D32">
            <v>22</v>
          </cell>
          <cell r="E32">
            <v>12</v>
          </cell>
          <cell r="F32">
            <v>26</v>
          </cell>
          <cell r="G32">
            <v>12</v>
          </cell>
          <cell r="H32">
            <v>26</v>
          </cell>
          <cell r="I32">
            <v>39</v>
          </cell>
          <cell r="S32">
            <v>100418</v>
          </cell>
          <cell r="T32" t="str">
            <v>Fuenteolid S.L.</v>
          </cell>
          <cell r="V32">
            <v>5</v>
          </cell>
          <cell r="W32">
            <v>2</v>
          </cell>
          <cell r="X32">
            <v>4</v>
          </cell>
          <cell r="Y32">
            <v>1</v>
          </cell>
          <cell r="Z32">
            <v>1</v>
          </cell>
        </row>
        <row r="33">
          <cell r="B33">
            <v>100418</v>
          </cell>
          <cell r="C33" t="str">
            <v>Fuenteolid S.L.</v>
          </cell>
          <cell r="E33">
            <v>13</v>
          </cell>
          <cell r="F33">
            <v>9</v>
          </cell>
          <cell r="G33">
            <v>8</v>
          </cell>
          <cell r="H33">
            <v>5</v>
          </cell>
          <cell r="I33">
            <v>13</v>
          </cell>
          <cell r="S33">
            <v>100422</v>
          </cell>
          <cell r="T33" t="str">
            <v>San Rafael Motor, S.L.</v>
          </cell>
          <cell r="U33">
            <v>3</v>
          </cell>
          <cell r="V33">
            <v>2</v>
          </cell>
          <cell r="W33">
            <v>1</v>
          </cell>
          <cell r="X33">
            <v>1</v>
          </cell>
          <cell r="Y33">
            <v>5</v>
          </cell>
          <cell r="Z33">
            <v>3</v>
          </cell>
        </row>
        <row r="34">
          <cell r="B34">
            <v>100422</v>
          </cell>
          <cell r="C34" t="str">
            <v>San Rafael Motor, S.L.</v>
          </cell>
          <cell r="D34">
            <v>7</v>
          </cell>
          <cell r="E34">
            <v>18</v>
          </cell>
          <cell r="F34">
            <v>10</v>
          </cell>
          <cell r="G34">
            <v>17</v>
          </cell>
          <cell r="H34">
            <v>9</v>
          </cell>
          <cell r="I34">
            <v>14</v>
          </cell>
          <cell r="S34">
            <v>100468</v>
          </cell>
          <cell r="T34" t="str">
            <v>Móvil Begar Levante, S.A.</v>
          </cell>
          <cell r="U34">
            <v>2</v>
          </cell>
          <cell r="V34">
            <v>1</v>
          </cell>
          <cell r="W34">
            <v>1</v>
          </cell>
          <cell r="X34">
            <v>2</v>
          </cell>
          <cell r="Y34">
            <v>8</v>
          </cell>
          <cell r="Z34">
            <v>8</v>
          </cell>
        </row>
        <row r="35">
          <cell r="B35">
            <v>100468</v>
          </cell>
          <cell r="C35" t="str">
            <v>Móvil Begar Levante, S.A.</v>
          </cell>
          <cell r="D35">
            <v>26</v>
          </cell>
          <cell r="E35">
            <v>30</v>
          </cell>
          <cell r="F35">
            <v>33</v>
          </cell>
          <cell r="G35">
            <v>34</v>
          </cell>
          <cell r="H35">
            <v>34</v>
          </cell>
          <cell r="I35">
            <v>34</v>
          </cell>
          <cell r="S35">
            <v>100571</v>
          </cell>
          <cell r="T35" t="str">
            <v>Tormes Motor</v>
          </cell>
          <cell r="V35">
            <v>3</v>
          </cell>
          <cell r="X35">
            <v>2</v>
          </cell>
          <cell r="Y35">
            <v>1</v>
          </cell>
          <cell r="Z35">
            <v>1</v>
          </cell>
        </row>
        <row r="36">
          <cell r="B36">
            <v>100571</v>
          </cell>
          <cell r="C36" t="str">
            <v>Tormes Motor</v>
          </cell>
          <cell r="D36">
            <v>1</v>
          </cell>
          <cell r="E36">
            <v>2</v>
          </cell>
          <cell r="F36">
            <v>2</v>
          </cell>
          <cell r="I36">
            <v>3</v>
          </cell>
          <cell r="S36">
            <v>100572</v>
          </cell>
          <cell r="T36" t="str">
            <v>Barcelona Premium</v>
          </cell>
          <cell r="U36">
            <v>19</v>
          </cell>
          <cell r="V36">
            <v>28</v>
          </cell>
          <cell r="W36">
            <v>25</v>
          </cell>
          <cell r="X36">
            <v>24</v>
          </cell>
          <cell r="Y36">
            <v>17</v>
          </cell>
          <cell r="Z36">
            <v>24</v>
          </cell>
        </row>
        <row r="37">
          <cell r="B37">
            <v>100572</v>
          </cell>
          <cell r="C37" t="str">
            <v>Barcelona Premium</v>
          </cell>
          <cell r="D37">
            <v>40</v>
          </cell>
          <cell r="E37">
            <v>41</v>
          </cell>
          <cell r="F37">
            <v>30</v>
          </cell>
          <cell r="G37">
            <v>25</v>
          </cell>
          <cell r="H37">
            <v>39</v>
          </cell>
          <cell r="I37">
            <v>47</v>
          </cell>
          <cell r="S37">
            <v>100584</v>
          </cell>
          <cell r="T37" t="str">
            <v xml:space="preserve">Pruna Motor </v>
          </cell>
          <cell r="U37">
            <v>5</v>
          </cell>
          <cell r="V37">
            <v>5</v>
          </cell>
          <cell r="W37">
            <v>3</v>
          </cell>
          <cell r="X37">
            <v>6</v>
          </cell>
          <cell r="Y37">
            <v>12</v>
          </cell>
          <cell r="Z37">
            <v>5</v>
          </cell>
        </row>
        <row r="38">
          <cell r="B38">
            <v>100584</v>
          </cell>
          <cell r="C38" t="str">
            <v xml:space="preserve">Pruna Motor </v>
          </cell>
          <cell r="D38">
            <v>11</v>
          </cell>
          <cell r="E38">
            <v>12</v>
          </cell>
          <cell r="F38">
            <v>8</v>
          </cell>
          <cell r="G38">
            <v>12</v>
          </cell>
          <cell r="H38">
            <v>18</v>
          </cell>
          <cell r="I38">
            <v>37</v>
          </cell>
          <cell r="S38">
            <v>100586</v>
          </cell>
          <cell r="T38" t="str">
            <v>Automotor Premium</v>
          </cell>
          <cell r="U38">
            <v>10</v>
          </cell>
          <cell r="V38">
            <v>12</v>
          </cell>
          <cell r="W38">
            <v>14</v>
          </cell>
          <cell r="X38">
            <v>20</v>
          </cell>
          <cell r="Y38">
            <v>15</v>
          </cell>
          <cell r="Z38">
            <v>18</v>
          </cell>
        </row>
        <row r="39">
          <cell r="B39">
            <v>100585</v>
          </cell>
          <cell r="C39" t="str">
            <v>Cabrero Motorsport</v>
          </cell>
          <cell r="D39">
            <v>5</v>
          </cell>
          <cell r="E39">
            <v>5</v>
          </cell>
          <cell r="F39">
            <v>11</v>
          </cell>
          <cell r="G39">
            <v>1</v>
          </cell>
          <cell r="H39">
            <v>9</v>
          </cell>
          <cell r="I39">
            <v>8</v>
          </cell>
          <cell r="S39">
            <v>100726</v>
          </cell>
          <cell r="T39" t="str">
            <v>Enekuri Motor</v>
          </cell>
          <cell r="U39">
            <v>2</v>
          </cell>
          <cell r="V39">
            <v>3</v>
          </cell>
          <cell r="W39">
            <v>3</v>
          </cell>
          <cell r="X39">
            <v>3</v>
          </cell>
          <cell r="Y39">
            <v>2</v>
          </cell>
          <cell r="Z39">
            <v>4</v>
          </cell>
        </row>
        <row r="40">
          <cell r="B40">
            <v>100586</v>
          </cell>
          <cell r="C40" t="str">
            <v>Automotor Premium</v>
          </cell>
          <cell r="D40">
            <v>35</v>
          </cell>
          <cell r="E40">
            <v>53</v>
          </cell>
          <cell r="F40">
            <v>45</v>
          </cell>
          <cell r="G40">
            <v>34</v>
          </cell>
          <cell r="H40">
            <v>43</v>
          </cell>
          <cell r="I40">
            <v>42</v>
          </cell>
          <cell r="S40">
            <v>100727</v>
          </cell>
          <cell r="T40" t="str">
            <v>Unicars Ponent</v>
          </cell>
          <cell r="U40">
            <v>3</v>
          </cell>
          <cell r="V40">
            <v>4</v>
          </cell>
          <cell r="W40">
            <v>1</v>
          </cell>
          <cell r="X40">
            <v>2</v>
          </cell>
          <cell r="Y40">
            <v>2</v>
          </cell>
          <cell r="Z40">
            <v>1</v>
          </cell>
        </row>
        <row r="41">
          <cell r="B41">
            <v>100597</v>
          </cell>
          <cell r="C41" t="str">
            <v>Autoberón</v>
          </cell>
          <cell r="D41">
            <v>7</v>
          </cell>
          <cell r="E41">
            <v>7</v>
          </cell>
          <cell r="F41">
            <v>5</v>
          </cell>
          <cell r="G41">
            <v>5</v>
          </cell>
          <cell r="H41">
            <v>3</v>
          </cell>
          <cell r="I41">
            <v>7</v>
          </cell>
          <cell r="S41">
            <v>100728</v>
          </cell>
          <cell r="T41" t="str">
            <v>Oliva Motor</v>
          </cell>
          <cell r="U41">
            <v>5</v>
          </cell>
          <cell r="V41">
            <v>16</v>
          </cell>
          <cell r="W41">
            <v>1</v>
          </cell>
          <cell r="X41">
            <v>10</v>
          </cell>
          <cell r="Y41">
            <v>13</v>
          </cell>
          <cell r="Z41">
            <v>26</v>
          </cell>
        </row>
        <row r="42">
          <cell r="B42">
            <v>100726</v>
          </cell>
          <cell r="C42" t="str">
            <v>Enekuri Motor</v>
          </cell>
          <cell r="D42">
            <v>7</v>
          </cell>
          <cell r="E42">
            <v>11</v>
          </cell>
          <cell r="F42">
            <v>14</v>
          </cell>
          <cell r="G42">
            <v>11</v>
          </cell>
          <cell r="H42">
            <v>9</v>
          </cell>
          <cell r="I42">
            <v>19</v>
          </cell>
          <cell r="S42">
            <v>100730</v>
          </cell>
          <cell r="T42" t="str">
            <v>Adler Motor</v>
          </cell>
          <cell r="U42">
            <v>2</v>
          </cell>
          <cell r="W42">
            <v>3</v>
          </cell>
          <cell r="X42">
            <v>3</v>
          </cell>
          <cell r="Y42">
            <v>2</v>
          </cell>
          <cell r="Z42">
            <v>4</v>
          </cell>
        </row>
        <row r="43">
          <cell r="B43">
            <v>100727</v>
          </cell>
          <cell r="C43" t="str">
            <v>Unicars Ponent</v>
          </cell>
          <cell r="D43">
            <v>15</v>
          </cell>
          <cell r="E43">
            <v>20</v>
          </cell>
          <cell r="F43">
            <v>5</v>
          </cell>
          <cell r="G43">
            <v>9</v>
          </cell>
          <cell r="H43">
            <v>2</v>
          </cell>
          <cell r="I43">
            <v>20</v>
          </cell>
          <cell r="S43">
            <v>100734</v>
          </cell>
          <cell r="T43" t="str">
            <v>Proa Premium</v>
          </cell>
          <cell r="U43">
            <v>14</v>
          </cell>
          <cell r="V43">
            <v>8</v>
          </cell>
          <cell r="W43">
            <v>20</v>
          </cell>
          <cell r="X43">
            <v>28</v>
          </cell>
          <cell r="Y43">
            <v>26</v>
          </cell>
          <cell r="Z43">
            <v>16</v>
          </cell>
        </row>
        <row r="44">
          <cell r="B44">
            <v>100728</v>
          </cell>
          <cell r="C44" t="str">
            <v>Oliva Motor</v>
          </cell>
          <cell r="D44">
            <v>23</v>
          </cell>
          <cell r="E44">
            <v>26</v>
          </cell>
          <cell r="F44">
            <v>33</v>
          </cell>
          <cell r="G44">
            <v>45</v>
          </cell>
          <cell r="H44">
            <v>23</v>
          </cell>
          <cell r="I44">
            <v>58</v>
          </cell>
          <cell r="S44">
            <v>100738</v>
          </cell>
          <cell r="T44" t="str">
            <v>Marmotor</v>
          </cell>
          <cell r="U44">
            <v>2</v>
          </cell>
          <cell r="V44">
            <v>2</v>
          </cell>
          <cell r="W44">
            <v>5</v>
          </cell>
          <cell r="X44">
            <v>1</v>
          </cell>
          <cell r="Y44">
            <v>3</v>
          </cell>
          <cell r="Z44">
            <v>10</v>
          </cell>
        </row>
        <row r="45">
          <cell r="B45">
            <v>100730</v>
          </cell>
          <cell r="C45" t="str">
            <v>Adler Motor</v>
          </cell>
          <cell r="D45">
            <v>11</v>
          </cell>
          <cell r="E45">
            <v>19</v>
          </cell>
          <cell r="F45">
            <v>16</v>
          </cell>
          <cell r="G45">
            <v>9</v>
          </cell>
          <cell r="H45">
            <v>15</v>
          </cell>
          <cell r="I45">
            <v>23</v>
          </cell>
          <cell r="S45">
            <v>100739</v>
          </cell>
          <cell r="T45" t="str">
            <v>Bernesga Motor - VO</v>
          </cell>
          <cell r="U45">
            <v>1</v>
          </cell>
          <cell r="V45">
            <v>2</v>
          </cell>
          <cell r="W45">
            <v>3</v>
          </cell>
          <cell r="X45">
            <v>2</v>
          </cell>
          <cell r="Y45">
            <v>4</v>
          </cell>
          <cell r="Z45">
            <v>6</v>
          </cell>
        </row>
        <row r="46">
          <cell r="B46">
            <v>100734</v>
          </cell>
          <cell r="C46" t="str">
            <v>Proa Premium</v>
          </cell>
          <cell r="D46">
            <v>23</v>
          </cell>
          <cell r="E46">
            <v>27</v>
          </cell>
          <cell r="F46">
            <v>24</v>
          </cell>
          <cell r="G46">
            <v>20</v>
          </cell>
          <cell r="H46">
            <v>25</v>
          </cell>
          <cell r="I46">
            <v>44</v>
          </cell>
          <cell r="S46">
            <v>100764</v>
          </cell>
          <cell r="T46" t="str">
            <v>Albamocion S.L.</v>
          </cell>
          <cell r="U46">
            <v>1</v>
          </cell>
          <cell r="V46">
            <v>1</v>
          </cell>
          <cell r="W46">
            <v>4</v>
          </cell>
          <cell r="X46">
            <v>1</v>
          </cell>
          <cell r="Y46">
            <v>1</v>
          </cell>
          <cell r="Z46">
            <v>1</v>
          </cell>
        </row>
        <row r="47">
          <cell r="B47">
            <v>100738</v>
          </cell>
          <cell r="C47" t="str">
            <v>Marmotor</v>
          </cell>
          <cell r="D47">
            <v>10</v>
          </cell>
          <cell r="E47">
            <v>5</v>
          </cell>
          <cell r="F47">
            <v>11</v>
          </cell>
          <cell r="G47">
            <v>8</v>
          </cell>
          <cell r="H47">
            <v>12</v>
          </cell>
          <cell r="I47">
            <v>5</v>
          </cell>
          <cell r="S47">
            <v>100813</v>
          </cell>
          <cell r="T47" t="str">
            <v>Automotor Costa</v>
          </cell>
          <cell r="U47">
            <v>5</v>
          </cell>
          <cell r="V47">
            <v>6</v>
          </cell>
          <cell r="W47">
            <v>8</v>
          </cell>
          <cell r="X47">
            <v>6</v>
          </cell>
          <cell r="Y47">
            <v>12</v>
          </cell>
          <cell r="Z47">
            <v>8</v>
          </cell>
        </row>
        <row r="48">
          <cell r="B48">
            <v>100739</v>
          </cell>
          <cell r="C48" t="str">
            <v>Bernesga Motor - VO</v>
          </cell>
          <cell r="D48">
            <v>10</v>
          </cell>
          <cell r="E48">
            <v>6</v>
          </cell>
          <cell r="F48">
            <v>6</v>
          </cell>
          <cell r="G48">
            <v>5</v>
          </cell>
          <cell r="H48">
            <v>9</v>
          </cell>
          <cell r="I48">
            <v>12</v>
          </cell>
          <cell r="S48">
            <v>100817</v>
          </cell>
          <cell r="T48" t="str">
            <v>Oliva Motor Girona</v>
          </cell>
          <cell r="U48">
            <v>16</v>
          </cell>
          <cell r="V48">
            <v>7</v>
          </cell>
          <cell r="W48">
            <v>24</v>
          </cell>
          <cell r="X48">
            <v>15</v>
          </cell>
          <cell r="Y48">
            <v>20</v>
          </cell>
          <cell r="Z48">
            <v>20</v>
          </cell>
        </row>
        <row r="49">
          <cell r="B49">
            <v>100764</v>
          </cell>
          <cell r="C49" t="str">
            <v>Albamocion S.L.</v>
          </cell>
          <cell r="D49">
            <v>14</v>
          </cell>
          <cell r="E49">
            <v>19</v>
          </cell>
          <cell r="F49">
            <v>13</v>
          </cell>
          <cell r="G49">
            <v>13</v>
          </cell>
          <cell r="H49">
            <v>17</v>
          </cell>
          <cell r="I49">
            <v>36</v>
          </cell>
          <cell r="S49">
            <v>100819</v>
          </cell>
          <cell r="T49" t="str">
            <v>Motri Motor, S.A.</v>
          </cell>
          <cell r="U49">
            <v>2</v>
          </cell>
          <cell r="V49">
            <v>4</v>
          </cell>
          <cell r="W49">
            <v>3</v>
          </cell>
          <cell r="X49">
            <v>1</v>
          </cell>
          <cell r="Y49">
            <v>3</v>
          </cell>
        </row>
        <row r="50">
          <cell r="B50">
            <v>100813</v>
          </cell>
          <cell r="C50" t="str">
            <v>Automotor Costa</v>
          </cell>
          <cell r="D50">
            <v>37</v>
          </cell>
          <cell r="E50">
            <v>42</v>
          </cell>
          <cell r="F50">
            <v>37</v>
          </cell>
          <cell r="G50">
            <v>37</v>
          </cell>
          <cell r="H50">
            <v>25</v>
          </cell>
          <cell r="I50">
            <v>39</v>
          </cell>
          <cell r="S50">
            <v>100348</v>
          </cell>
          <cell r="T50" t="str">
            <v>Augusta Aragon S.A.</v>
          </cell>
          <cell r="U50">
            <v>6</v>
          </cell>
          <cell r="V50">
            <v>4</v>
          </cell>
          <cell r="W50">
            <v>6</v>
          </cell>
          <cell r="X50">
            <v>5</v>
          </cell>
          <cell r="Y50">
            <v>7</v>
          </cell>
          <cell r="Z50">
            <v>6</v>
          </cell>
        </row>
        <row r="51">
          <cell r="B51">
            <v>100817</v>
          </cell>
          <cell r="C51" t="str">
            <v>Oliva Motor Girona</v>
          </cell>
          <cell r="D51">
            <v>30</v>
          </cell>
          <cell r="E51">
            <v>22</v>
          </cell>
          <cell r="F51">
            <v>36</v>
          </cell>
          <cell r="G51">
            <v>41</v>
          </cell>
          <cell r="H51">
            <v>39</v>
          </cell>
          <cell r="I51">
            <v>46</v>
          </cell>
          <cell r="S51">
            <v>100589</v>
          </cell>
          <cell r="T51" t="str">
            <v xml:space="preserve">Ilbira Motor </v>
          </cell>
          <cell r="U51">
            <v>2</v>
          </cell>
          <cell r="V51">
            <v>2</v>
          </cell>
          <cell r="W51">
            <v>4</v>
          </cell>
          <cell r="Y51">
            <v>7</v>
          </cell>
          <cell r="Z51">
            <v>5</v>
          </cell>
        </row>
        <row r="52">
          <cell r="B52">
            <v>100819</v>
          </cell>
          <cell r="C52" t="str">
            <v>Motri Motor, S.A.</v>
          </cell>
          <cell r="D52">
            <v>10</v>
          </cell>
          <cell r="E52">
            <v>15</v>
          </cell>
          <cell r="F52">
            <v>16</v>
          </cell>
          <cell r="G52">
            <v>18</v>
          </cell>
          <cell r="H52">
            <v>15</v>
          </cell>
          <cell r="I52">
            <v>15</v>
          </cell>
          <cell r="S52">
            <v>100549</v>
          </cell>
          <cell r="T52" t="str">
            <v xml:space="preserve">Carteya Motor S.L. </v>
          </cell>
          <cell r="U52">
            <v>1</v>
          </cell>
          <cell r="V52">
            <v>1</v>
          </cell>
          <cell r="W52">
            <v>1</v>
          </cell>
          <cell r="X52">
            <v>3</v>
          </cell>
          <cell r="Y52">
            <v>5</v>
          </cell>
          <cell r="Z52">
            <v>5</v>
          </cell>
        </row>
        <row r="53">
          <cell r="B53">
            <v>100348</v>
          </cell>
          <cell r="C53" t="str">
            <v>Augusta Aragon S.A.</v>
          </cell>
          <cell r="D53">
            <v>22</v>
          </cell>
          <cell r="E53">
            <v>30</v>
          </cell>
          <cell r="F53">
            <v>32</v>
          </cell>
          <cell r="G53">
            <v>33</v>
          </cell>
          <cell r="H53">
            <v>26</v>
          </cell>
          <cell r="I53">
            <v>29</v>
          </cell>
          <cell r="S53">
            <v>100873</v>
          </cell>
          <cell r="T53" t="str">
            <v>Bymycar Madrid</v>
          </cell>
          <cell r="U53">
            <v>16</v>
          </cell>
          <cell r="V53">
            <v>22</v>
          </cell>
          <cell r="W53">
            <v>15</v>
          </cell>
          <cell r="X53">
            <v>18</v>
          </cell>
          <cell r="Y53">
            <v>27</v>
          </cell>
          <cell r="Z53">
            <v>36</v>
          </cell>
        </row>
        <row r="54">
          <cell r="B54">
            <v>100589</v>
          </cell>
          <cell r="C54" t="str">
            <v xml:space="preserve">Ilbira Motor </v>
          </cell>
          <cell r="D54">
            <v>20</v>
          </cell>
          <cell r="E54">
            <v>29</v>
          </cell>
          <cell r="F54">
            <v>26</v>
          </cell>
          <cell r="G54">
            <v>22</v>
          </cell>
          <cell r="H54">
            <v>15</v>
          </cell>
          <cell r="I54">
            <v>16</v>
          </cell>
          <cell r="S54">
            <v>100881</v>
          </cell>
          <cell r="T54" t="str">
            <v>Movitransa Cars</v>
          </cell>
          <cell r="U54">
            <v>3</v>
          </cell>
          <cell r="V54">
            <v>8</v>
          </cell>
          <cell r="W54">
            <v>5</v>
          </cell>
          <cell r="X54">
            <v>10</v>
          </cell>
          <cell r="Y54">
            <v>4</v>
          </cell>
          <cell r="Z54">
            <v>9</v>
          </cell>
        </row>
        <row r="55">
          <cell r="B55">
            <v>100549</v>
          </cell>
          <cell r="C55" t="str">
            <v xml:space="preserve">Carteya Motor S.L. </v>
          </cell>
          <cell r="D55">
            <v>7</v>
          </cell>
          <cell r="E55">
            <v>7</v>
          </cell>
          <cell r="F55">
            <v>11</v>
          </cell>
          <cell r="G55">
            <v>7</v>
          </cell>
          <cell r="H55">
            <v>6</v>
          </cell>
          <cell r="I55">
            <v>7</v>
          </cell>
          <cell r="S55">
            <v>100765</v>
          </cell>
          <cell r="T55" t="str">
            <v xml:space="preserve">Lizaga Motor </v>
          </cell>
          <cell r="Y55">
            <v>1</v>
          </cell>
        </row>
        <row r="56">
          <cell r="B56">
            <v>100873</v>
          </cell>
          <cell r="C56" t="str">
            <v>Bymycar Madrid</v>
          </cell>
          <cell r="D56">
            <v>55</v>
          </cell>
          <cell r="E56">
            <v>67</v>
          </cell>
          <cell r="F56">
            <v>86</v>
          </cell>
          <cell r="G56">
            <v>74</v>
          </cell>
          <cell r="H56">
            <v>69</v>
          </cell>
          <cell r="I56">
            <v>74</v>
          </cell>
          <cell r="S56">
            <v>100909</v>
          </cell>
          <cell r="T56" t="str">
            <v>Quadis Munich</v>
          </cell>
          <cell r="U56">
            <v>5</v>
          </cell>
          <cell r="V56">
            <v>5</v>
          </cell>
          <cell r="W56">
            <v>6</v>
          </cell>
          <cell r="X56">
            <v>12</v>
          </cell>
          <cell r="Y56">
            <v>8</v>
          </cell>
          <cell r="Z56">
            <v>8</v>
          </cell>
        </row>
        <row r="57">
          <cell r="B57">
            <v>100881</v>
          </cell>
          <cell r="C57" t="str">
            <v>Movitransa Cars</v>
          </cell>
          <cell r="D57">
            <v>17</v>
          </cell>
          <cell r="E57">
            <v>19</v>
          </cell>
          <cell r="F57">
            <v>31</v>
          </cell>
          <cell r="G57">
            <v>37</v>
          </cell>
          <cell r="H57">
            <v>27</v>
          </cell>
          <cell r="I57">
            <v>35</v>
          </cell>
          <cell r="S57">
            <v>100917</v>
          </cell>
          <cell r="T57" t="str">
            <v>Momentum Norte</v>
          </cell>
          <cell r="U57">
            <v>1</v>
          </cell>
          <cell r="V57">
            <v>1</v>
          </cell>
          <cell r="X57">
            <v>5</v>
          </cell>
          <cell r="Y57">
            <v>4</v>
          </cell>
          <cell r="Z57">
            <v>2</v>
          </cell>
        </row>
        <row r="58">
          <cell r="B58">
            <v>100765</v>
          </cell>
          <cell r="C58" t="str">
            <v xml:space="preserve">Lizaga Motor </v>
          </cell>
          <cell r="D58">
            <v>3</v>
          </cell>
          <cell r="E58">
            <v>5</v>
          </cell>
          <cell r="F58">
            <v>4</v>
          </cell>
          <cell r="G58">
            <v>4</v>
          </cell>
          <cell r="H58">
            <v>7</v>
          </cell>
          <cell r="I58">
            <v>6</v>
          </cell>
          <cell r="S58">
            <v>100063</v>
          </cell>
          <cell r="T58" t="str">
            <v>AUTOSA</v>
          </cell>
          <cell r="Y58">
            <v>1</v>
          </cell>
          <cell r="Z58">
            <v>1</v>
          </cell>
        </row>
        <row r="59">
          <cell r="B59">
            <v>100909</v>
          </cell>
          <cell r="C59" t="str">
            <v>Quadis Munich</v>
          </cell>
          <cell r="D59">
            <v>13</v>
          </cell>
          <cell r="E59">
            <v>15</v>
          </cell>
          <cell r="F59">
            <v>21</v>
          </cell>
          <cell r="G59">
            <v>17</v>
          </cell>
          <cell r="H59">
            <v>16</v>
          </cell>
          <cell r="I59">
            <v>14</v>
          </cell>
          <cell r="S59" t="str">
            <v>Total general</v>
          </cell>
          <cell r="U59">
            <v>244</v>
          </cell>
          <cell r="V59">
            <v>277</v>
          </cell>
          <cell r="W59">
            <v>310</v>
          </cell>
          <cell r="X59">
            <v>312</v>
          </cell>
          <cell r="Y59">
            <v>360</v>
          </cell>
          <cell r="Z59">
            <v>419</v>
          </cell>
        </row>
        <row r="60">
          <cell r="B60">
            <v>100917</v>
          </cell>
          <cell r="C60" t="str">
            <v>Momentum Norte</v>
          </cell>
          <cell r="G60">
            <v>5</v>
          </cell>
          <cell r="H60">
            <v>8</v>
          </cell>
          <cell r="I60">
            <v>16</v>
          </cell>
        </row>
        <row r="61">
          <cell r="B61" t="str">
            <v>Total general</v>
          </cell>
          <cell r="D61">
            <v>844</v>
          </cell>
          <cell r="E61">
            <v>1048</v>
          </cell>
          <cell r="F61">
            <v>1093</v>
          </cell>
          <cell r="G61">
            <v>1028</v>
          </cell>
          <cell r="H61">
            <v>959</v>
          </cell>
          <cell r="I61">
            <v>1327</v>
          </cell>
        </row>
        <row r="74">
          <cell r="B74" t="str">
            <v>Enero</v>
          </cell>
          <cell r="C74">
            <v>22</v>
          </cell>
          <cell r="S74" t="str">
            <v>Enero</v>
          </cell>
          <cell r="T74">
            <v>4</v>
          </cell>
        </row>
        <row r="75">
          <cell r="B75" t="str">
            <v>Febrero</v>
          </cell>
          <cell r="C75">
            <v>23</v>
          </cell>
          <cell r="S75" t="str">
            <v>Febrero</v>
          </cell>
          <cell r="T75">
            <v>7</v>
          </cell>
        </row>
        <row r="76">
          <cell r="B76" t="str">
            <v>Marzo</v>
          </cell>
          <cell r="C76">
            <v>27</v>
          </cell>
          <cell r="S76" t="str">
            <v>Marzo</v>
          </cell>
          <cell r="T76">
            <v>2</v>
          </cell>
        </row>
        <row r="77">
          <cell r="B77" t="str">
            <v>Abril</v>
          </cell>
          <cell r="C77">
            <v>26</v>
          </cell>
          <cell r="S77" t="str">
            <v>Abril</v>
          </cell>
          <cell r="T77">
            <v>4</v>
          </cell>
        </row>
        <row r="78">
          <cell r="B78" t="str">
            <v>Mayo</v>
          </cell>
          <cell r="C78">
            <v>20</v>
          </cell>
          <cell r="S78" t="str">
            <v>Mayo</v>
          </cell>
          <cell r="T78">
            <v>6</v>
          </cell>
        </row>
        <row r="79">
          <cell r="B79" t="str">
            <v>Junio</v>
          </cell>
          <cell r="C79">
            <v>19</v>
          </cell>
          <cell r="S79" t="str">
            <v>Junio</v>
          </cell>
          <cell r="T79">
            <v>13</v>
          </cell>
        </row>
        <row r="80">
          <cell r="B80" t="str">
            <v>Total general</v>
          </cell>
          <cell r="C80">
            <v>137</v>
          </cell>
          <cell r="S80" t="str">
            <v>Total general</v>
          </cell>
          <cell r="T80">
            <v>36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YTD 2024"/>
      <sheetName val="YTD 2025"/>
      <sheetName val="Tabla YUC_UC"/>
      <sheetName val="Acumulado 24 Y 25"/>
    </sheetNames>
    <sheetDataSet>
      <sheetData sheetId="0"/>
      <sheetData sheetId="1">
        <row r="2">
          <cell r="C2" t="str">
            <v>WBA7M710807G03571</v>
          </cell>
        </row>
      </sheetData>
      <sheetData sheetId="2">
        <row r="12">
          <cell r="O12">
            <v>100002</v>
          </cell>
          <cell r="P12" t="str">
            <v>Automoviles Bertolin, S.L.</v>
          </cell>
          <cell r="Q12">
            <v>1</v>
          </cell>
          <cell r="R12">
            <v>2</v>
          </cell>
        </row>
        <row r="13">
          <cell r="O13">
            <v>100015</v>
          </cell>
          <cell r="P13" t="str">
            <v>GrÃ¼nblau Motor, S.A.</v>
          </cell>
          <cell r="Q13">
            <v>1</v>
          </cell>
        </row>
        <row r="14">
          <cell r="O14">
            <v>100062</v>
          </cell>
          <cell r="P14" t="str">
            <v>Automoviles Fersan, S.A.</v>
          </cell>
          <cell r="Q14">
            <v>8</v>
          </cell>
        </row>
        <row r="15">
          <cell r="O15">
            <v>100190</v>
          </cell>
          <cell r="P15" t="str">
            <v>Burgocar Comercial del</v>
          </cell>
          <cell r="Q15">
            <v>1</v>
          </cell>
        </row>
        <row r="16">
          <cell r="O16">
            <v>100206</v>
          </cell>
          <cell r="P16" t="str">
            <v>Hispamovil, S.A.</v>
          </cell>
          <cell r="Q16">
            <v>1</v>
          </cell>
        </row>
        <row r="17">
          <cell r="O17">
            <v>100213</v>
          </cell>
          <cell r="P17" t="str">
            <v>Movilnorte, S.A.</v>
          </cell>
          <cell r="Q17">
            <v>15</v>
          </cell>
        </row>
        <row r="18">
          <cell r="O18">
            <v>100311</v>
          </cell>
          <cell r="P18" t="str">
            <v>Engasa, S.A.</v>
          </cell>
          <cell r="Q18">
            <v>5</v>
          </cell>
          <cell r="R18">
            <v>5</v>
          </cell>
        </row>
        <row r="19">
          <cell r="O19">
            <v>100319</v>
          </cell>
          <cell r="P19" t="str">
            <v>Vehinter, S.A.</v>
          </cell>
          <cell r="Q19">
            <v>10</v>
          </cell>
          <cell r="R19">
            <v>10</v>
          </cell>
        </row>
        <row r="20">
          <cell r="O20">
            <v>100323</v>
          </cell>
          <cell r="P20" t="str">
            <v>Caetano Cuzco, S.L.U.</v>
          </cell>
          <cell r="Q20">
            <v>5</v>
          </cell>
          <cell r="R20">
            <v>3</v>
          </cell>
        </row>
        <row r="21">
          <cell r="O21">
            <v>100344</v>
          </cell>
          <cell r="P21" t="str">
            <v>San Pablo Motor, S.L.</v>
          </cell>
          <cell r="Q21">
            <v>3</v>
          </cell>
        </row>
        <row r="22">
          <cell r="O22">
            <v>100348</v>
          </cell>
          <cell r="P22" t="str">
            <v>Augusta Aragon, S.A.</v>
          </cell>
          <cell r="Q22">
            <v>6</v>
          </cell>
          <cell r="R22">
            <v>3</v>
          </cell>
        </row>
        <row r="23">
          <cell r="O23">
            <v>100349</v>
          </cell>
          <cell r="P23" t="str">
            <v>Auto Premier Baviera, S.A.</v>
          </cell>
          <cell r="Q23">
            <v>14</v>
          </cell>
          <cell r="R23">
            <v>26</v>
          </cell>
        </row>
        <row r="24">
          <cell r="O24">
            <v>100379</v>
          </cell>
          <cell r="P24" t="str">
            <v>Triocar Cial. Automovil, S.L.</v>
          </cell>
          <cell r="R24">
            <v>1</v>
          </cell>
        </row>
        <row r="25">
          <cell r="O25">
            <v>100380</v>
          </cell>
          <cell r="P25" t="str">
            <v>Ceres Motor, S.L.</v>
          </cell>
          <cell r="Q25">
            <v>1</v>
          </cell>
          <cell r="R25">
            <v>3</v>
          </cell>
        </row>
        <row r="26">
          <cell r="O26">
            <v>100393</v>
          </cell>
          <cell r="P26" t="str">
            <v>Murcia Premium, S.L.</v>
          </cell>
          <cell r="Q26">
            <v>1</v>
          </cell>
        </row>
        <row r="27">
          <cell r="O27">
            <v>100394</v>
          </cell>
          <cell r="P27" t="str">
            <v>Maberauto, S.A.</v>
          </cell>
          <cell r="Q27">
            <v>5</v>
          </cell>
          <cell r="R27">
            <v>1</v>
          </cell>
        </row>
        <row r="28">
          <cell r="O28">
            <v>100410</v>
          </cell>
          <cell r="P28" t="str">
            <v>Celtamotor, S.L.</v>
          </cell>
          <cell r="Q28">
            <v>3</v>
          </cell>
        </row>
        <row r="29">
          <cell r="O29">
            <v>100422</v>
          </cell>
          <cell r="P29" t="str">
            <v>San Rafael Motor, S.L.</v>
          </cell>
          <cell r="Q29">
            <v>3</v>
          </cell>
        </row>
        <row r="30">
          <cell r="O30">
            <v>100468</v>
          </cell>
          <cell r="P30" t="str">
            <v>Movil Begar Levante, S.A.</v>
          </cell>
          <cell r="Q30">
            <v>12</v>
          </cell>
          <cell r="R30">
            <v>1</v>
          </cell>
        </row>
        <row r="31">
          <cell r="O31">
            <v>100572</v>
          </cell>
          <cell r="P31" t="str">
            <v>Ibericar Barcelona Premium S.L</v>
          </cell>
          <cell r="Q31">
            <v>5</v>
          </cell>
        </row>
        <row r="32">
          <cell r="O32">
            <v>100586</v>
          </cell>
          <cell r="P32" t="str">
            <v>Automotor Premium, S.L.U</v>
          </cell>
          <cell r="Q32">
            <v>18</v>
          </cell>
        </row>
        <row r="33">
          <cell r="O33">
            <v>100597</v>
          </cell>
          <cell r="P33" t="str">
            <v>Autoberon, S.L.</v>
          </cell>
          <cell r="R33">
            <v>3</v>
          </cell>
        </row>
        <row r="34">
          <cell r="O34">
            <v>100726</v>
          </cell>
          <cell r="P34" t="str">
            <v>Enekuri Motor S.L.</v>
          </cell>
          <cell r="Q34">
            <v>1</v>
          </cell>
        </row>
        <row r="35">
          <cell r="O35">
            <v>100727</v>
          </cell>
          <cell r="P35" t="str">
            <v>Unicars Ponent, S.L.</v>
          </cell>
          <cell r="R35">
            <v>5</v>
          </cell>
        </row>
        <row r="36">
          <cell r="O36">
            <v>100728</v>
          </cell>
          <cell r="P36" t="str">
            <v>Oliva Motor Gavarres, S.L.U.</v>
          </cell>
          <cell r="Q36">
            <v>8</v>
          </cell>
          <cell r="R36">
            <v>3</v>
          </cell>
        </row>
        <row r="37">
          <cell r="O37">
            <v>100734</v>
          </cell>
          <cell r="P37" t="str">
            <v>Proa Premium, S.L.</v>
          </cell>
          <cell r="Q37">
            <v>2</v>
          </cell>
        </row>
        <row r="38">
          <cell r="O38">
            <v>100764</v>
          </cell>
          <cell r="P38" t="str">
            <v>Albamocion S.L.</v>
          </cell>
          <cell r="Q38">
            <v>2</v>
          </cell>
        </row>
        <row r="39">
          <cell r="O39">
            <v>100817</v>
          </cell>
          <cell r="P39" t="str">
            <v>Oliva Motor Girona, S.L.U.</v>
          </cell>
          <cell r="Q39">
            <v>10</v>
          </cell>
          <cell r="R39">
            <v>1</v>
          </cell>
        </row>
        <row r="40">
          <cell r="O40">
            <v>100819</v>
          </cell>
          <cell r="P40" t="str">
            <v>Motri Motor, S.A.</v>
          </cell>
          <cell r="Q40">
            <v>40</v>
          </cell>
          <cell r="R40">
            <v>65</v>
          </cell>
        </row>
        <row r="41">
          <cell r="O41">
            <v>100873</v>
          </cell>
          <cell r="P41" t="str">
            <v>BYMYCAR Madrid, S.L.U.</v>
          </cell>
          <cell r="Q41">
            <v>10</v>
          </cell>
          <cell r="R41">
            <v>20</v>
          </cell>
        </row>
        <row r="42">
          <cell r="O42">
            <v>100881</v>
          </cell>
          <cell r="P42" t="str">
            <v>Movitransa Cars, S.L.</v>
          </cell>
          <cell r="R42">
            <v>2</v>
          </cell>
        </row>
        <row r="43">
          <cell r="O43">
            <v>106075</v>
          </cell>
          <cell r="P43" t="str">
            <v>Manheim Directo S.L.</v>
          </cell>
          <cell r="Q43">
            <v>57</v>
          </cell>
          <cell r="R43">
            <v>19</v>
          </cell>
        </row>
        <row r="44">
          <cell r="O44">
            <v>106202</v>
          </cell>
          <cell r="P44" t="str">
            <v>Alphabet EspaÃ±a Fl. Man., S.A.</v>
          </cell>
          <cell r="Q44">
            <v>13</v>
          </cell>
          <cell r="R44">
            <v>8</v>
          </cell>
        </row>
      </sheetData>
      <sheetData sheetId="3">
        <row r="2">
          <cell r="C2" t="str">
            <v>WBA11DY000FN19864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Penetración Mdo_Valores_Ene20"/>
      <sheetName val="% Penetración Mdo_Valores_Dic20"/>
      <sheetName val="% Penetración Mdo_Valores_Nov20"/>
      <sheetName val="% Penetración Mdo_Valores_Oct20"/>
      <sheetName val="% Penetración Mdo_Valores_Sep20"/>
      <sheetName val="% Penetración Mdo_Valores_Ago20"/>
      <sheetName val="% Penetración Mdo_Valores_Jul20"/>
      <sheetName val="% Penetración Mdo_Valores_Jun20"/>
      <sheetName val="% Penetración Mdo_Valores_May20"/>
      <sheetName val="% Penetración Mdo_Valores_Mar20"/>
      <sheetName val="% Penetración Mdo_Valores_Feb20"/>
      <sheetName val="% Penetración Mdo_Valores_Mar21"/>
      <sheetName val="% Penetración Mdo_Valores_Feb21"/>
      <sheetName val="% Penetración Mdo_Valores_Ene21"/>
      <sheetName val="% Penetración Mdo_Valores_May21"/>
      <sheetName val="% Penetración Mdo_Valores_Abr21"/>
      <sheetName val="% Penetración Mdo_Valores_Jul21"/>
      <sheetName val="% Penetración Mdo_Valores_Jun21"/>
      <sheetName val="% Penetración Mdo_Valores_Ago21"/>
      <sheetName val="% Penetración Mdo_Valores_Sep21"/>
      <sheetName val="% Penetración Mdo_Valores_Oct21"/>
      <sheetName val="% Penetración Mdo_Valores_Nov21"/>
      <sheetName val="% Penetración Mdo_Valores_Dic21"/>
      <sheetName val="% Penetración Mdo_Valores_Ene22"/>
      <sheetName val="% Penetración Mdo_Valores_Feb22"/>
      <sheetName val="% Penetración Mdo_Valores_Mar22"/>
      <sheetName val="% Penetración Mdo_Valores_Abr22"/>
      <sheetName val="% Penetración Mdo_Valores_Jun22"/>
      <sheetName val="% Penetración Mdo_Valores_Jul22"/>
      <sheetName val="% Penetración Mdo_Valores_Ago22"/>
      <sheetName val="% Penetración Mdo_Valores_Sep22"/>
      <sheetName val="% Penetración Mdo_Valores_May22"/>
      <sheetName val="% Penetración Mdo_Valores_Oct22"/>
      <sheetName val="% Penetración Mdo_Valores_Nov22"/>
      <sheetName val="% Penetración Mdo_Valores_ENE23"/>
      <sheetName val="% Penetración Mdo_Valores_FEB23"/>
      <sheetName val="% Penetración Mdo_Valores_MAR23"/>
      <sheetName val="% Penetración Mdo_Valores_ABR23"/>
      <sheetName val="% Penetración Mdo_Valores_MAY23"/>
      <sheetName val="% Penetración Mdo_Valores_JUN23"/>
      <sheetName val="% Penetración Mdo_Valores_JUL23"/>
      <sheetName val="% Penetración Mdo (Formulado)"/>
      <sheetName val="% Penetración Mdo_AGO23"/>
      <sheetName val="% Penetración Mdo SEP23"/>
      <sheetName val="% Penetración Mdo OCT23"/>
      <sheetName val="% Penetración Mdo NOV23"/>
      <sheetName val="% Penetración Mdo DIC23"/>
      <sheetName val="% Penetración Mdo ENE26"/>
      <sheetName val="% Penetración Mdo FEB26"/>
      <sheetName val="% Penetración Mdo MAR26"/>
      <sheetName val="% Penetración Mdo ABR26"/>
      <sheetName val="% Penetración Mdo MAY26"/>
      <sheetName val="% Penetración Mdo JUN26"/>
      <sheetName val="% Penetración Mdo JUL26"/>
      <sheetName val="% Penetración Mdo AGO26"/>
      <sheetName val="% Penetración Mdo SEP26"/>
      <sheetName val="% Penetración Mdo OCT26"/>
      <sheetName val="% Penetración Mdo NOV26"/>
      <sheetName val="% Penetración Mdo (Formulad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7">
          <cell r="B7">
            <v>100730</v>
          </cell>
          <cell r="C7" t="str">
            <v>Adler Motor</v>
          </cell>
          <cell r="D7">
            <v>38</v>
          </cell>
          <cell r="E7">
            <v>11</v>
          </cell>
          <cell r="F7">
            <v>0.28947368421052633</v>
          </cell>
          <cell r="G7">
            <v>4</v>
          </cell>
        </row>
        <row r="8">
          <cell r="B8">
            <v>100764</v>
          </cell>
          <cell r="C8" t="str">
            <v>Albamoción</v>
          </cell>
          <cell r="D8">
            <v>51</v>
          </cell>
          <cell r="E8">
            <v>17</v>
          </cell>
          <cell r="F8">
            <v>0.33333333333333331</v>
          </cell>
          <cell r="G8">
            <v>4</v>
          </cell>
        </row>
        <row r="9">
          <cell r="B9">
            <v>100346</v>
          </cell>
          <cell r="C9" t="str">
            <v>Amiocar</v>
          </cell>
          <cell r="D9">
            <v>22</v>
          </cell>
          <cell r="E9">
            <v>4</v>
          </cell>
          <cell r="F9">
            <v>0.18181818181818182</v>
          </cell>
          <cell r="G9">
            <v>2</v>
          </cell>
        </row>
        <row r="10">
          <cell r="B10">
            <v>100348</v>
          </cell>
          <cell r="C10" t="str">
            <v>Augusta Aragón</v>
          </cell>
          <cell r="D10">
            <v>56</v>
          </cell>
          <cell r="E10">
            <v>22</v>
          </cell>
          <cell r="F10">
            <v>0.39285714285714285</v>
          </cell>
          <cell r="G10">
            <v>9</v>
          </cell>
        </row>
        <row r="11">
          <cell r="B11">
            <v>100349</v>
          </cell>
          <cell r="C11" t="str">
            <v>Auto Premier</v>
          </cell>
          <cell r="D11">
            <v>129</v>
          </cell>
          <cell r="E11">
            <v>36</v>
          </cell>
          <cell r="F11">
            <v>0.27906976744186046</v>
          </cell>
          <cell r="G11">
            <v>23</v>
          </cell>
        </row>
        <row r="12">
          <cell r="B12">
            <v>100597</v>
          </cell>
          <cell r="C12" t="str">
            <v>Autoberón</v>
          </cell>
          <cell r="D12">
            <v>12</v>
          </cell>
          <cell r="E12">
            <v>7</v>
          </cell>
          <cell r="F12">
            <v>0.58333333333333337</v>
          </cell>
          <cell r="G12">
            <v>0</v>
          </cell>
        </row>
        <row r="13">
          <cell r="B13">
            <v>100120</v>
          </cell>
          <cell r="C13" t="str">
            <v>Autogal</v>
          </cell>
          <cell r="D13">
            <v>7</v>
          </cell>
          <cell r="F13">
            <v>0</v>
          </cell>
          <cell r="G13">
            <v>2</v>
          </cell>
        </row>
        <row r="14">
          <cell r="B14">
            <v>100586</v>
          </cell>
          <cell r="C14" t="str">
            <v>Automotor</v>
          </cell>
          <cell r="D14">
            <v>186</v>
          </cell>
          <cell r="E14">
            <v>38</v>
          </cell>
          <cell r="F14">
            <v>0.20430107526881722</v>
          </cell>
          <cell r="G14">
            <v>27</v>
          </cell>
        </row>
        <row r="15">
          <cell r="B15">
            <v>100813</v>
          </cell>
          <cell r="C15" t="str">
            <v>Automotor Costa</v>
          </cell>
          <cell r="D15">
            <v>33</v>
          </cell>
          <cell r="E15">
            <v>37</v>
          </cell>
          <cell r="F15">
            <v>1.1212121212121211</v>
          </cell>
          <cell r="G15">
            <v>2</v>
          </cell>
        </row>
        <row r="16">
          <cell r="B16">
            <v>100454</v>
          </cell>
          <cell r="C16" t="str">
            <v>Autoramgar</v>
          </cell>
          <cell r="D16">
            <v>4</v>
          </cell>
          <cell r="E16">
            <v>8</v>
          </cell>
          <cell r="F16">
            <v>2</v>
          </cell>
          <cell r="G16">
            <v>0</v>
          </cell>
        </row>
        <row r="17">
          <cell r="B17">
            <v>100155</v>
          </cell>
          <cell r="C17" t="str">
            <v>Autosa Oviedo</v>
          </cell>
          <cell r="D17">
            <v>16</v>
          </cell>
          <cell r="E17">
            <v>5</v>
          </cell>
          <cell r="F17">
            <v>0.3125</v>
          </cell>
          <cell r="G17">
            <v>0</v>
          </cell>
        </row>
        <row r="18">
          <cell r="B18">
            <v>100307</v>
          </cell>
          <cell r="C18" t="str">
            <v>Avilcar</v>
          </cell>
          <cell r="D18">
            <v>31</v>
          </cell>
          <cell r="E18">
            <v>2</v>
          </cell>
          <cell r="F18">
            <v>6.4516129032258063E-2</v>
          </cell>
          <cell r="G18">
            <v>3</v>
          </cell>
        </row>
        <row r="19">
          <cell r="B19">
            <v>100572</v>
          </cell>
          <cell r="C19" t="str">
            <v>Barcelona Premium</v>
          </cell>
          <cell r="D19">
            <v>70</v>
          </cell>
          <cell r="E19">
            <v>47</v>
          </cell>
          <cell r="F19">
            <v>0.67142857142857137</v>
          </cell>
          <cell r="G19">
            <v>27</v>
          </cell>
        </row>
        <row r="20">
          <cell r="B20">
            <v>100739</v>
          </cell>
          <cell r="C20" t="str">
            <v>Bernesga Motor</v>
          </cell>
          <cell r="D20">
            <v>15</v>
          </cell>
          <cell r="E20">
            <v>10</v>
          </cell>
          <cell r="F20">
            <v>0.66666666666666663</v>
          </cell>
          <cell r="G20">
            <v>1</v>
          </cell>
        </row>
        <row r="21">
          <cell r="B21">
            <v>100002</v>
          </cell>
          <cell r="C21" t="str">
            <v>Bertolin</v>
          </cell>
          <cell r="D21">
            <v>33</v>
          </cell>
          <cell r="E21">
            <v>18</v>
          </cell>
          <cell r="F21">
            <v>0.54545454545454541</v>
          </cell>
          <cell r="G21">
            <v>12</v>
          </cell>
        </row>
        <row r="22">
          <cell r="B22">
            <v>100190</v>
          </cell>
          <cell r="C22" t="str">
            <v>Burgocar Cial.del Automóv.</v>
          </cell>
          <cell r="D22">
            <v>16</v>
          </cell>
          <cell r="E22">
            <v>13</v>
          </cell>
          <cell r="F22">
            <v>0.8125</v>
          </cell>
          <cell r="G22">
            <v>7</v>
          </cell>
        </row>
        <row r="23">
          <cell r="B23">
            <v>100873</v>
          </cell>
          <cell r="C23" t="str">
            <v>BYmyCAR</v>
          </cell>
          <cell r="D23">
            <v>157</v>
          </cell>
          <cell r="E23">
            <v>58</v>
          </cell>
          <cell r="F23">
            <v>0.36942675159235666</v>
          </cell>
          <cell r="G23">
            <v>38</v>
          </cell>
        </row>
        <row r="24">
          <cell r="B24">
            <v>100585</v>
          </cell>
          <cell r="C24" t="str">
            <v>Cabrero Motosport</v>
          </cell>
          <cell r="D24">
            <v>5</v>
          </cell>
          <cell r="E24">
            <v>6</v>
          </cell>
          <cell r="F24">
            <v>1.2</v>
          </cell>
          <cell r="G24">
            <v>0</v>
          </cell>
        </row>
        <row r="25">
          <cell r="B25">
            <v>100389</v>
          </cell>
          <cell r="C25" t="str">
            <v>Canaauto</v>
          </cell>
          <cell r="D25">
            <v>31</v>
          </cell>
          <cell r="E25">
            <v>4</v>
          </cell>
          <cell r="F25">
            <v>0.12903225806451613</v>
          </cell>
          <cell r="G25">
            <v>9</v>
          </cell>
        </row>
        <row r="26">
          <cell r="B26">
            <v>100549</v>
          </cell>
          <cell r="C26" t="str">
            <v>Carteya Motor</v>
          </cell>
          <cell r="D26">
            <v>5</v>
          </cell>
          <cell r="E26">
            <v>7</v>
          </cell>
          <cell r="F26">
            <v>1.4</v>
          </cell>
          <cell r="G26">
            <v>3</v>
          </cell>
        </row>
        <row r="27">
          <cell r="B27">
            <v>100410</v>
          </cell>
          <cell r="C27" t="str">
            <v>Celtamotor</v>
          </cell>
          <cell r="D27">
            <v>51</v>
          </cell>
          <cell r="E27">
            <v>24</v>
          </cell>
          <cell r="F27">
            <v>0.47058823529411764</v>
          </cell>
          <cell r="G27">
            <v>8</v>
          </cell>
        </row>
        <row r="28">
          <cell r="B28">
            <v>100380</v>
          </cell>
          <cell r="C28" t="str">
            <v>Ceres Motor</v>
          </cell>
          <cell r="D28">
            <v>52</v>
          </cell>
          <cell r="E28">
            <v>11</v>
          </cell>
          <cell r="F28">
            <v>0.21153846153846154</v>
          </cell>
          <cell r="G28">
            <v>3</v>
          </cell>
        </row>
        <row r="29">
          <cell r="B29">
            <v>100726</v>
          </cell>
          <cell r="C29" t="str">
            <v>Enekuri Motor</v>
          </cell>
          <cell r="D29">
            <v>24</v>
          </cell>
          <cell r="E29">
            <v>7</v>
          </cell>
          <cell r="F29">
            <v>0.29166666666666669</v>
          </cell>
          <cell r="G29">
            <v>12</v>
          </cell>
        </row>
        <row r="30">
          <cell r="B30">
            <v>100311</v>
          </cell>
          <cell r="C30" t="str">
            <v>Engasa</v>
          </cell>
          <cell r="D30">
            <v>56</v>
          </cell>
          <cell r="E30">
            <v>15</v>
          </cell>
          <cell r="F30">
            <v>0.26785714285714285</v>
          </cell>
          <cell r="G30">
            <v>16</v>
          </cell>
        </row>
        <row r="31">
          <cell r="B31">
            <v>100062</v>
          </cell>
          <cell r="C31" t="str">
            <v>Fersan</v>
          </cell>
          <cell r="D31">
            <v>96</v>
          </cell>
          <cell r="E31">
            <v>19</v>
          </cell>
          <cell r="F31">
            <v>0.19791666666666666</v>
          </cell>
          <cell r="G31">
            <v>22</v>
          </cell>
        </row>
        <row r="32">
          <cell r="B32">
            <v>100418</v>
          </cell>
          <cell r="C32" t="str">
            <v>Fuenteolid</v>
          </cell>
          <cell r="D32">
            <v>43</v>
          </cell>
          <cell r="E32">
            <v>1</v>
          </cell>
          <cell r="F32">
            <v>2.3255813953488372E-2</v>
          </cell>
          <cell r="G32">
            <v>2</v>
          </cell>
        </row>
        <row r="33">
          <cell r="B33">
            <v>100015</v>
          </cell>
          <cell r="C33" t="str">
            <v>Grünblau Motor</v>
          </cell>
          <cell r="D33">
            <v>22</v>
          </cell>
          <cell r="E33">
            <v>9</v>
          </cell>
          <cell r="F33">
            <v>0.40909090909090912</v>
          </cell>
          <cell r="G33">
            <v>8</v>
          </cell>
        </row>
        <row r="34">
          <cell r="B34">
            <v>100206</v>
          </cell>
          <cell r="C34" t="str">
            <v>Hispamovil</v>
          </cell>
          <cell r="D34">
            <v>75</v>
          </cell>
          <cell r="E34">
            <v>22</v>
          </cell>
          <cell r="F34">
            <v>0.29333333333333333</v>
          </cell>
          <cell r="G34">
            <v>14</v>
          </cell>
        </row>
        <row r="35">
          <cell r="B35">
            <v>100323</v>
          </cell>
          <cell r="C35" t="str">
            <v>Ibericar Cuzco</v>
          </cell>
          <cell r="D35">
            <v>124</v>
          </cell>
          <cell r="E35">
            <v>39</v>
          </cell>
          <cell r="F35">
            <v>0.31451612903225806</v>
          </cell>
          <cell r="G35">
            <v>26</v>
          </cell>
        </row>
        <row r="36">
          <cell r="B36">
            <v>100589</v>
          </cell>
          <cell r="C36" t="str">
            <v>Ilbira Motor</v>
          </cell>
          <cell r="D36">
            <v>53</v>
          </cell>
          <cell r="E36">
            <v>24</v>
          </cell>
          <cell r="F36">
            <v>0.45283018867924529</v>
          </cell>
          <cell r="G36">
            <v>1</v>
          </cell>
        </row>
        <row r="37">
          <cell r="B37">
            <v>100146</v>
          </cell>
          <cell r="C37" t="str">
            <v>Lugauto</v>
          </cell>
          <cell r="D37">
            <v>13</v>
          </cell>
          <cell r="E37">
            <v>12</v>
          </cell>
          <cell r="F37">
            <v>0.92307692307692313</v>
          </cell>
          <cell r="G37">
            <v>2</v>
          </cell>
        </row>
        <row r="38">
          <cell r="B38">
            <v>100917</v>
          </cell>
          <cell r="C38" t="str">
            <v>Momentum</v>
          </cell>
          <cell r="D38">
            <v>61</v>
          </cell>
          <cell r="F38">
            <v>0</v>
          </cell>
          <cell r="G38">
            <v>12</v>
          </cell>
        </row>
        <row r="39">
          <cell r="B39">
            <v>100394</v>
          </cell>
          <cell r="C39" t="str">
            <v>Maberauto</v>
          </cell>
          <cell r="D39">
            <v>20</v>
          </cell>
          <cell r="E39">
            <v>4</v>
          </cell>
          <cell r="F39">
            <v>0.2</v>
          </cell>
          <cell r="G39">
            <v>2</v>
          </cell>
        </row>
        <row r="40">
          <cell r="B40">
            <v>100738</v>
          </cell>
          <cell r="C40" t="str">
            <v>Marmotor</v>
          </cell>
          <cell r="D40">
            <v>38</v>
          </cell>
          <cell r="E40">
            <v>11</v>
          </cell>
          <cell r="F40">
            <v>0.28947368421052633</v>
          </cell>
          <cell r="G40">
            <v>16</v>
          </cell>
        </row>
        <row r="41">
          <cell r="F41" t="str">
            <v>n.d.</v>
          </cell>
        </row>
        <row r="42">
          <cell r="B42">
            <v>100909</v>
          </cell>
          <cell r="C42" t="str">
            <v>Quadis Munich</v>
          </cell>
          <cell r="D42">
            <v>30</v>
          </cell>
          <cell r="E42">
            <v>18</v>
          </cell>
          <cell r="F42">
            <v>0.6</v>
          </cell>
          <cell r="G42">
            <v>18</v>
          </cell>
        </row>
        <row r="43">
          <cell r="B43">
            <v>100819</v>
          </cell>
          <cell r="C43" t="str">
            <v>Motri Motor</v>
          </cell>
          <cell r="D43">
            <v>46</v>
          </cell>
          <cell r="E43">
            <v>14</v>
          </cell>
          <cell r="F43">
            <v>0.30434782608695654</v>
          </cell>
          <cell r="G43">
            <v>1</v>
          </cell>
        </row>
        <row r="44">
          <cell r="B44">
            <v>100881</v>
          </cell>
          <cell r="C44" t="str">
            <v>Movitransa</v>
          </cell>
          <cell r="D44">
            <v>63</v>
          </cell>
          <cell r="E44">
            <v>17</v>
          </cell>
          <cell r="F44">
            <v>0.26984126984126983</v>
          </cell>
          <cell r="G44">
            <v>10</v>
          </cell>
        </row>
        <row r="45">
          <cell r="B45">
            <v>100468</v>
          </cell>
          <cell r="C45" t="str">
            <v>Movil Begar</v>
          </cell>
          <cell r="D45">
            <v>23</v>
          </cell>
          <cell r="E45">
            <v>33</v>
          </cell>
          <cell r="F45">
            <v>1.4347826086956521</v>
          </cell>
          <cell r="G45">
            <v>2</v>
          </cell>
        </row>
        <row r="46">
          <cell r="B46">
            <v>100213</v>
          </cell>
          <cell r="C46" t="str">
            <v>Movilnorte</v>
          </cell>
          <cell r="D46">
            <v>113</v>
          </cell>
          <cell r="E46">
            <v>38</v>
          </cell>
          <cell r="F46">
            <v>0.33628318584070799</v>
          </cell>
          <cell r="G46">
            <v>78</v>
          </cell>
        </row>
        <row r="47">
          <cell r="B47">
            <v>100393</v>
          </cell>
          <cell r="C47" t="str">
            <v>Murcia Premium</v>
          </cell>
          <cell r="D47">
            <v>93</v>
          </cell>
          <cell r="E47">
            <v>23</v>
          </cell>
          <cell r="F47">
            <v>0.24731182795698925</v>
          </cell>
          <cell r="G47">
            <v>15</v>
          </cell>
        </row>
        <row r="48">
          <cell r="B48">
            <v>100304</v>
          </cell>
          <cell r="C48" t="str">
            <v>Novomovil</v>
          </cell>
          <cell r="D48">
            <v>19</v>
          </cell>
          <cell r="E48">
            <v>8</v>
          </cell>
          <cell r="F48">
            <v>0.42105263157894735</v>
          </cell>
          <cell r="G48">
            <v>6</v>
          </cell>
        </row>
        <row r="49">
          <cell r="B49">
            <v>100728</v>
          </cell>
          <cell r="C49" t="str">
            <v>Oliva Motor</v>
          </cell>
          <cell r="D49">
            <v>37</v>
          </cell>
          <cell r="E49">
            <v>24</v>
          </cell>
          <cell r="F49">
            <v>0.64864864864864868</v>
          </cell>
          <cell r="G49">
            <v>9</v>
          </cell>
        </row>
        <row r="50">
          <cell r="B50">
            <v>100817</v>
          </cell>
          <cell r="C50" t="str">
            <v>Oliva Motor Girona</v>
          </cell>
          <cell r="D50">
            <v>38</v>
          </cell>
          <cell r="E50">
            <v>30</v>
          </cell>
          <cell r="F50">
            <v>0.78947368421052633</v>
          </cell>
          <cell r="G50">
            <v>18</v>
          </cell>
        </row>
        <row r="51">
          <cell r="B51">
            <v>100734</v>
          </cell>
          <cell r="C51" t="str">
            <v>Proa Premium</v>
          </cell>
          <cell r="D51">
            <v>75</v>
          </cell>
          <cell r="E51">
            <v>23</v>
          </cell>
          <cell r="F51">
            <v>0.30666666666666664</v>
          </cell>
          <cell r="G51">
            <v>59</v>
          </cell>
        </row>
        <row r="52">
          <cell r="B52">
            <v>100584</v>
          </cell>
          <cell r="C52" t="str">
            <v>Pruna Motor</v>
          </cell>
          <cell r="D52">
            <v>31</v>
          </cell>
          <cell r="E52">
            <v>14</v>
          </cell>
          <cell r="F52">
            <v>0.45161290322580644</v>
          </cell>
          <cell r="G52">
            <v>17</v>
          </cell>
        </row>
        <row r="53">
          <cell r="B53">
            <v>100344</v>
          </cell>
          <cell r="C53" t="str">
            <v>San Pablo Motor</v>
          </cell>
          <cell r="D53">
            <v>181</v>
          </cell>
          <cell r="E53">
            <v>37</v>
          </cell>
          <cell r="F53">
            <v>0.20441988950276244</v>
          </cell>
          <cell r="G53">
            <v>13</v>
          </cell>
        </row>
        <row r="54">
          <cell r="B54">
            <v>100422</v>
          </cell>
          <cell r="C54" t="str">
            <v>San Rafael</v>
          </cell>
          <cell r="D54">
            <v>28</v>
          </cell>
          <cell r="E54">
            <v>8</v>
          </cell>
          <cell r="F54">
            <v>0.2857142857142857</v>
          </cell>
          <cell r="G54">
            <v>0</v>
          </cell>
        </row>
        <row r="55">
          <cell r="B55">
            <v>100765</v>
          </cell>
          <cell r="C55" t="str">
            <v>T. Martín Lizaga</v>
          </cell>
          <cell r="D55">
            <v>14</v>
          </cell>
          <cell r="E55">
            <v>3</v>
          </cell>
          <cell r="F55">
            <v>0.21428571428571427</v>
          </cell>
          <cell r="G55">
            <v>0</v>
          </cell>
        </row>
        <row r="56">
          <cell r="B56">
            <v>100571</v>
          </cell>
          <cell r="C56" t="str">
            <v>Tormes Motor</v>
          </cell>
          <cell r="D56">
            <v>16</v>
          </cell>
          <cell r="E56">
            <v>1</v>
          </cell>
          <cell r="F56">
            <v>6.25E-2</v>
          </cell>
          <cell r="G56">
            <v>3</v>
          </cell>
        </row>
        <row r="57">
          <cell r="B57">
            <v>100379</v>
          </cell>
          <cell r="C57" t="str">
            <v>Triocar</v>
          </cell>
          <cell r="D57">
            <v>11</v>
          </cell>
          <cell r="E57">
            <v>13</v>
          </cell>
          <cell r="F57">
            <v>1.1818181818181819</v>
          </cell>
          <cell r="G57">
            <v>4</v>
          </cell>
        </row>
        <row r="58">
          <cell r="B58">
            <v>100727</v>
          </cell>
          <cell r="C58" t="str">
            <v>Unicars</v>
          </cell>
          <cell r="D58">
            <v>18</v>
          </cell>
          <cell r="E58">
            <v>15</v>
          </cell>
          <cell r="F58">
            <v>0.83333333333333337</v>
          </cell>
          <cell r="G58">
            <v>5</v>
          </cell>
        </row>
        <row r="59">
          <cell r="B59">
            <v>100319</v>
          </cell>
          <cell r="C59" t="str">
            <v>Vehinter</v>
          </cell>
          <cell r="D59">
            <v>123</v>
          </cell>
          <cell r="E59">
            <v>50</v>
          </cell>
          <cell r="F59">
            <v>0.4065040650406504</v>
          </cell>
          <cell r="G59">
            <v>24</v>
          </cell>
        </row>
      </sheetData>
      <sheetData sheetId="48" refreshError="1"/>
      <sheetData sheetId="49">
        <row r="7">
          <cell r="B7">
            <v>100730</v>
          </cell>
          <cell r="C7" t="str">
            <v>Adler Motor</v>
          </cell>
          <cell r="D7">
            <v>189</v>
          </cell>
        </row>
        <row r="8">
          <cell r="B8">
            <v>100764</v>
          </cell>
          <cell r="C8" t="str">
            <v>Albamoción</v>
          </cell>
          <cell r="D8">
            <v>180</v>
          </cell>
        </row>
        <row r="9">
          <cell r="B9">
            <v>100346</v>
          </cell>
          <cell r="C9" t="str">
            <v>Amiocar</v>
          </cell>
          <cell r="D9">
            <v>83</v>
          </cell>
        </row>
        <row r="10">
          <cell r="B10">
            <v>100348</v>
          </cell>
          <cell r="C10" t="str">
            <v>Augusta Aragón</v>
          </cell>
          <cell r="D10">
            <v>204</v>
          </cell>
        </row>
        <row r="11">
          <cell r="B11">
            <v>100349</v>
          </cell>
          <cell r="C11" t="str">
            <v>Auto Premier</v>
          </cell>
          <cell r="D11">
            <v>493</v>
          </cell>
        </row>
        <row r="12">
          <cell r="B12">
            <v>100597</v>
          </cell>
          <cell r="C12" t="str">
            <v>Autoberón</v>
          </cell>
          <cell r="D12">
            <v>48</v>
          </cell>
        </row>
        <row r="13">
          <cell r="B13">
            <v>100120</v>
          </cell>
          <cell r="C13" t="str">
            <v>Autogal</v>
          </cell>
          <cell r="D13">
            <v>30</v>
          </cell>
        </row>
        <row r="14">
          <cell r="B14">
            <v>100586</v>
          </cell>
          <cell r="C14" t="str">
            <v>Automotor</v>
          </cell>
          <cell r="D14">
            <v>663</v>
          </cell>
        </row>
        <row r="15">
          <cell r="B15">
            <v>100813</v>
          </cell>
          <cell r="C15" t="str">
            <v>Automotor Costa</v>
          </cell>
          <cell r="D15">
            <v>125</v>
          </cell>
        </row>
        <row r="16">
          <cell r="B16">
            <v>100454</v>
          </cell>
          <cell r="C16" t="str">
            <v>Autoramgar</v>
          </cell>
          <cell r="D16">
            <v>34</v>
          </cell>
        </row>
        <row r="17">
          <cell r="B17">
            <v>100155</v>
          </cell>
          <cell r="C17" t="str">
            <v>Autosa Oviedo</v>
          </cell>
          <cell r="D17">
            <v>78</v>
          </cell>
        </row>
        <row r="18">
          <cell r="B18">
            <v>100307</v>
          </cell>
          <cell r="C18" t="str">
            <v>Avilcar</v>
          </cell>
          <cell r="D18">
            <v>92</v>
          </cell>
        </row>
        <row r="19">
          <cell r="B19">
            <v>100572</v>
          </cell>
          <cell r="C19" t="str">
            <v>Barcelona Premium</v>
          </cell>
          <cell r="D19">
            <v>304</v>
          </cell>
        </row>
        <row r="20">
          <cell r="B20">
            <v>100739</v>
          </cell>
          <cell r="C20" t="str">
            <v>Bernesga Motor</v>
          </cell>
          <cell r="D20">
            <v>61</v>
          </cell>
        </row>
        <row r="21">
          <cell r="B21">
            <v>100002</v>
          </cell>
          <cell r="C21" t="str">
            <v>Bertolin</v>
          </cell>
          <cell r="D21">
            <v>121</v>
          </cell>
        </row>
        <row r="22">
          <cell r="B22">
            <v>100190</v>
          </cell>
          <cell r="C22" t="str">
            <v>Burgocar Cial.del Automóv.</v>
          </cell>
          <cell r="D22">
            <v>69</v>
          </cell>
        </row>
        <row r="23">
          <cell r="B23">
            <v>100873</v>
          </cell>
          <cell r="C23" t="str">
            <v>BYmyCAR</v>
          </cell>
          <cell r="D23">
            <v>495</v>
          </cell>
        </row>
        <row r="24">
          <cell r="B24">
            <v>100585</v>
          </cell>
          <cell r="C24" t="str">
            <v>Cabrero Motosport</v>
          </cell>
          <cell r="D24">
            <v>38</v>
          </cell>
        </row>
        <row r="25">
          <cell r="B25">
            <v>100389</v>
          </cell>
          <cell r="C25" t="str">
            <v>Canaauto</v>
          </cell>
          <cell r="D25">
            <v>136</v>
          </cell>
        </row>
        <row r="26">
          <cell r="B26">
            <v>100549</v>
          </cell>
          <cell r="C26" t="str">
            <v>Carteya Motor</v>
          </cell>
          <cell r="D26">
            <v>29</v>
          </cell>
        </row>
        <row r="27">
          <cell r="B27">
            <v>100410</v>
          </cell>
          <cell r="C27" t="str">
            <v>Celtamotor</v>
          </cell>
          <cell r="D27">
            <v>138</v>
          </cell>
        </row>
        <row r="28">
          <cell r="B28">
            <v>100380</v>
          </cell>
          <cell r="C28" t="str">
            <v>Ceres Motor</v>
          </cell>
          <cell r="D28">
            <v>190</v>
          </cell>
        </row>
        <row r="29">
          <cell r="B29">
            <v>100726</v>
          </cell>
          <cell r="C29" t="str">
            <v>Enekuri Motor</v>
          </cell>
          <cell r="D29">
            <v>101</v>
          </cell>
        </row>
        <row r="30">
          <cell r="B30">
            <v>100311</v>
          </cell>
          <cell r="C30" t="str">
            <v>Engasa</v>
          </cell>
          <cell r="D30">
            <v>220</v>
          </cell>
        </row>
        <row r="31">
          <cell r="B31">
            <v>100062</v>
          </cell>
          <cell r="C31" t="str">
            <v>Fersan</v>
          </cell>
          <cell r="D31">
            <v>324</v>
          </cell>
        </row>
        <row r="32">
          <cell r="B32">
            <v>100418</v>
          </cell>
          <cell r="C32" t="str">
            <v>Fuenteolid</v>
          </cell>
          <cell r="D32">
            <v>115</v>
          </cell>
        </row>
        <row r="33">
          <cell r="B33">
            <v>100015</v>
          </cell>
          <cell r="C33" t="str">
            <v>Grünblau Motor</v>
          </cell>
          <cell r="D33">
            <v>87</v>
          </cell>
        </row>
        <row r="34">
          <cell r="B34">
            <v>100206</v>
          </cell>
          <cell r="C34" t="str">
            <v>Hispamovil</v>
          </cell>
          <cell r="D34">
            <v>232</v>
          </cell>
        </row>
        <row r="35">
          <cell r="B35">
            <v>100323</v>
          </cell>
          <cell r="C35" t="str">
            <v>Ibericar Cuzco</v>
          </cell>
          <cell r="D35">
            <v>454</v>
          </cell>
        </row>
        <row r="36">
          <cell r="B36">
            <v>100589</v>
          </cell>
          <cell r="C36" t="str">
            <v>Ilbira Motor</v>
          </cell>
          <cell r="D36">
            <v>247</v>
          </cell>
        </row>
        <row r="37">
          <cell r="B37">
            <v>100146</v>
          </cell>
          <cell r="C37" t="str">
            <v>Lugauto</v>
          </cell>
          <cell r="D37">
            <v>52</v>
          </cell>
        </row>
        <row r="38">
          <cell r="B38">
            <v>100917</v>
          </cell>
          <cell r="C38" t="str">
            <v>Momentum</v>
          </cell>
          <cell r="D38">
            <v>255</v>
          </cell>
        </row>
        <row r="39">
          <cell r="B39">
            <v>100394</v>
          </cell>
          <cell r="C39" t="str">
            <v>Maberauto</v>
          </cell>
          <cell r="D39">
            <v>74</v>
          </cell>
        </row>
        <row r="40">
          <cell r="B40">
            <v>100738</v>
          </cell>
          <cell r="C40" t="str">
            <v>Marmotor</v>
          </cell>
          <cell r="D40">
            <v>145</v>
          </cell>
        </row>
        <row r="42">
          <cell r="B42">
            <v>100909</v>
          </cell>
          <cell r="C42" t="str">
            <v>Quadis Munich</v>
          </cell>
          <cell r="D42">
            <v>158</v>
          </cell>
        </row>
        <row r="43">
          <cell r="B43">
            <v>100819</v>
          </cell>
          <cell r="C43" t="str">
            <v>Motri Motor</v>
          </cell>
          <cell r="D43">
            <v>183</v>
          </cell>
        </row>
        <row r="44">
          <cell r="B44">
            <v>100881</v>
          </cell>
          <cell r="C44" t="str">
            <v>Movitransa</v>
          </cell>
          <cell r="D44">
            <v>238</v>
          </cell>
        </row>
        <row r="45">
          <cell r="B45">
            <v>100468</v>
          </cell>
          <cell r="C45" t="str">
            <v>Movil Begar</v>
          </cell>
          <cell r="D45">
            <v>102</v>
          </cell>
        </row>
        <row r="46">
          <cell r="B46">
            <v>100213</v>
          </cell>
          <cell r="C46" t="str">
            <v>Movilnorte</v>
          </cell>
          <cell r="D46">
            <v>506</v>
          </cell>
        </row>
        <row r="47">
          <cell r="B47">
            <v>100393</v>
          </cell>
          <cell r="C47" t="str">
            <v>Murcia Premium</v>
          </cell>
          <cell r="D47">
            <v>251</v>
          </cell>
        </row>
        <row r="48">
          <cell r="B48">
            <v>100304</v>
          </cell>
          <cell r="C48" t="str">
            <v>Novomovil</v>
          </cell>
          <cell r="D48">
            <v>79</v>
          </cell>
        </row>
        <row r="49">
          <cell r="B49">
            <v>100728</v>
          </cell>
          <cell r="C49" t="str">
            <v>Oliva Motor</v>
          </cell>
          <cell r="D49">
            <v>159</v>
          </cell>
        </row>
        <row r="50">
          <cell r="B50">
            <v>100817</v>
          </cell>
          <cell r="C50" t="str">
            <v>Oliva Motor Girona</v>
          </cell>
          <cell r="D50">
            <v>176</v>
          </cell>
        </row>
        <row r="51">
          <cell r="B51">
            <v>100734</v>
          </cell>
          <cell r="C51" t="str">
            <v>Proa Premium</v>
          </cell>
          <cell r="D51">
            <v>169</v>
          </cell>
        </row>
        <row r="52">
          <cell r="B52">
            <v>100584</v>
          </cell>
          <cell r="C52" t="str">
            <v>Pruna Motor</v>
          </cell>
          <cell r="D52">
            <v>113</v>
          </cell>
        </row>
        <row r="53">
          <cell r="B53">
            <v>100344</v>
          </cell>
          <cell r="C53" t="str">
            <v>San Pablo Motor</v>
          </cell>
          <cell r="D53">
            <v>474</v>
          </cell>
        </row>
        <row r="54">
          <cell r="B54">
            <v>100422</v>
          </cell>
          <cell r="C54" t="str">
            <v>San Rafael</v>
          </cell>
          <cell r="D54">
            <v>120</v>
          </cell>
        </row>
        <row r="55">
          <cell r="B55">
            <v>100765</v>
          </cell>
          <cell r="C55" t="str">
            <v>T. Martín Lizaga</v>
          </cell>
          <cell r="D55">
            <v>20</v>
          </cell>
        </row>
        <row r="56">
          <cell r="B56">
            <v>100571</v>
          </cell>
          <cell r="C56" t="str">
            <v>Tormes Motor</v>
          </cell>
          <cell r="D56">
            <v>63</v>
          </cell>
        </row>
        <row r="57">
          <cell r="B57">
            <v>100379</v>
          </cell>
          <cell r="C57" t="str">
            <v>Triocar</v>
          </cell>
          <cell r="D57">
            <v>44</v>
          </cell>
        </row>
        <row r="58">
          <cell r="B58">
            <v>100727</v>
          </cell>
          <cell r="C58" t="str">
            <v>Unicars</v>
          </cell>
          <cell r="D58">
            <v>66</v>
          </cell>
        </row>
        <row r="59">
          <cell r="B59">
            <v>100319</v>
          </cell>
          <cell r="C59" t="str">
            <v>Vehinter</v>
          </cell>
          <cell r="D59">
            <v>393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Penetración Mdo_Valores_Ene20"/>
      <sheetName val="% Penetración Mdo_Valores_Dic20"/>
      <sheetName val="% Penetración Mdo_Valores_Nov20"/>
      <sheetName val="% Penetración Mdo_Valores_Oct20"/>
      <sheetName val="% Penetración Mdo_Valores_Sep20"/>
      <sheetName val="% Penetración Mdo_Valores_Ago20"/>
      <sheetName val="% Penetración Mdo_Valores_Jul20"/>
      <sheetName val="% Penetración Mdo_Valores_Jun20"/>
      <sheetName val="% Penetración Mdo_Valores_May20"/>
      <sheetName val="% Penetración Mdo_Valores_Mar20"/>
      <sheetName val="% Penetración Mdo_Valores_Feb20"/>
      <sheetName val="% Penetración Mdo_Valores_Mar21"/>
      <sheetName val="% Penetración Mdo_Valores_Feb21"/>
      <sheetName val="% Penetración Mdo_Valores_Ene21"/>
      <sheetName val="% Penetración Mdo_Valores_May21"/>
      <sheetName val="% Penetración Mdo_Valores_Abr21"/>
      <sheetName val="% Penetración Mdo_Valores_Jul21"/>
      <sheetName val="% Penetración Mdo_Valores_Jun21"/>
      <sheetName val="% Penetración Mdo_Valores_Ago21"/>
      <sheetName val="% Penetración Mdo_Valores_Sep21"/>
      <sheetName val="% Penetración Mdo_Valores_Oct21"/>
      <sheetName val="% Penetración Mdo_Valores_Nov21"/>
      <sheetName val="% Penetración Mdo_Valores_Dic21"/>
      <sheetName val="% Penetración Mdo_Valores_Ene22"/>
      <sheetName val="% Penetración Mdo_Valores_Feb22"/>
      <sheetName val="% Penetración Mdo_Valores_Mar22"/>
      <sheetName val="% Penetración Mdo_Valores_Abr22"/>
      <sheetName val="% Penetración Mdo_Valores_Jun22"/>
      <sheetName val="% Penetración Mdo_Valores_Jul22"/>
      <sheetName val="% Penetración Mdo_Valores_Ago22"/>
      <sheetName val="% Penetración Mdo_Valores_Sep22"/>
      <sheetName val="% Penetración Mdo_Valores_May22"/>
      <sheetName val="% Penetración Mdo_Valores_Oct22"/>
      <sheetName val="% Penetración Mdo_Valores_Nov22"/>
      <sheetName val="% Penetración Mdo_Valores_ENE23"/>
      <sheetName val="% Penetración Mdo_Valores_FEB23"/>
      <sheetName val="% Penetración Mdo_Valores_MAR23"/>
      <sheetName val="% Penetración Mdo_Valores_ABR23"/>
      <sheetName val="% Penetración Mdo_Valores_MAY23"/>
      <sheetName val="% Penetración Mdo_Valores_JUN23"/>
      <sheetName val="% Penetración Mdo_Valores_JUL23"/>
      <sheetName val="% Penetración Mdo (Formulado)"/>
      <sheetName val="% Penetración Mdo_AGO23"/>
      <sheetName val="% Penetración Mdo SEP23"/>
      <sheetName val="% Penetración Mdo OCT23"/>
      <sheetName val="% Penetración Mdo NOV23"/>
      <sheetName val="% Penetración Mdo DIC23"/>
      <sheetName val="% Penetración Mdo ENE26"/>
      <sheetName val="% Penetración Mdo FEB26"/>
      <sheetName val="% Penetración Mdo MAR26"/>
      <sheetName val="% Penetración Mdo ABR26"/>
      <sheetName val="% Penetración Mdo MAY26"/>
      <sheetName val="% Penetración Mdo JUN26"/>
      <sheetName val="% Penetración Mdo JUL26"/>
      <sheetName val="% Penetración Mdo AGO26"/>
      <sheetName val="% Penetración Mdo SEP26"/>
      <sheetName val="% Penetración Mdo OCT26"/>
      <sheetName val="% Penetración Mdo NOV26"/>
      <sheetName val="% Penetración Mdo (Formula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7">
          <cell r="B7">
            <v>100730</v>
          </cell>
          <cell r="C7" t="str">
            <v>Adler Motor</v>
          </cell>
          <cell r="D7">
            <v>275</v>
          </cell>
          <cell r="E7">
            <v>57</v>
          </cell>
          <cell r="F7">
            <v>0.20727272727272728</v>
          </cell>
          <cell r="G7">
            <v>31</v>
          </cell>
        </row>
        <row r="8">
          <cell r="B8">
            <v>100764</v>
          </cell>
          <cell r="C8" t="str">
            <v>Albamoción</v>
          </cell>
          <cell r="D8">
            <v>248</v>
          </cell>
          <cell r="E8">
            <v>65</v>
          </cell>
          <cell r="F8">
            <v>0.26209677419354838</v>
          </cell>
          <cell r="G8">
            <v>21</v>
          </cell>
        </row>
        <row r="9">
          <cell r="B9">
            <v>100346</v>
          </cell>
          <cell r="C9" t="str">
            <v>Amiocar</v>
          </cell>
          <cell r="D9">
            <v>112</v>
          </cell>
          <cell r="E9">
            <v>20</v>
          </cell>
          <cell r="F9">
            <v>0.17857142857142858</v>
          </cell>
          <cell r="G9">
            <v>10</v>
          </cell>
        </row>
        <row r="10">
          <cell r="B10">
            <v>100348</v>
          </cell>
          <cell r="C10" t="str">
            <v>Augusta Aragón</v>
          </cell>
          <cell r="D10">
            <v>265</v>
          </cell>
          <cell r="E10">
            <v>120</v>
          </cell>
          <cell r="F10">
            <v>0.45283018867924529</v>
          </cell>
          <cell r="G10">
            <v>24</v>
          </cell>
        </row>
        <row r="11">
          <cell r="B11">
            <v>100349</v>
          </cell>
          <cell r="C11" t="str">
            <v>Auto Premier</v>
          </cell>
          <cell r="D11">
            <v>607</v>
          </cell>
          <cell r="E11">
            <v>234</v>
          </cell>
          <cell r="F11">
            <v>0.385502471169687</v>
          </cell>
          <cell r="G11">
            <v>75</v>
          </cell>
        </row>
        <row r="12">
          <cell r="B12">
            <v>100597</v>
          </cell>
          <cell r="C12" t="str">
            <v>Autoberón</v>
          </cell>
          <cell r="D12">
            <v>59</v>
          </cell>
          <cell r="E12">
            <v>28</v>
          </cell>
          <cell r="F12">
            <v>0.47457627118644069</v>
          </cell>
          <cell r="G12">
            <v>2</v>
          </cell>
        </row>
        <row r="13">
          <cell r="B13">
            <v>100120</v>
          </cell>
          <cell r="C13" t="str">
            <v>Autogal</v>
          </cell>
          <cell r="D13">
            <v>43</v>
          </cell>
          <cell r="E13">
            <v>12</v>
          </cell>
          <cell r="F13">
            <v>0.27906976744186046</v>
          </cell>
          <cell r="G13">
            <v>9</v>
          </cell>
        </row>
        <row r="14">
          <cell r="B14">
            <v>100586</v>
          </cell>
          <cell r="C14" t="str">
            <v>Automotor</v>
          </cell>
          <cell r="D14">
            <v>834</v>
          </cell>
          <cell r="E14">
            <v>190</v>
          </cell>
          <cell r="F14">
            <v>0.22781774580335731</v>
          </cell>
          <cell r="G14">
            <v>181</v>
          </cell>
        </row>
        <row r="15">
          <cell r="B15">
            <v>100813</v>
          </cell>
          <cell r="C15" t="str">
            <v>Automotor Costa</v>
          </cell>
          <cell r="D15">
            <v>183</v>
          </cell>
          <cell r="E15">
            <v>154</v>
          </cell>
          <cell r="F15">
            <v>0.84153005464480879</v>
          </cell>
          <cell r="G15">
            <v>29</v>
          </cell>
        </row>
        <row r="16">
          <cell r="B16">
            <v>100454</v>
          </cell>
          <cell r="C16" t="str">
            <v>Autoramgar</v>
          </cell>
          <cell r="D16">
            <v>44</v>
          </cell>
          <cell r="E16">
            <v>15</v>
          </cell>
          <cell r="F16">
            <v>0.34090909090909088</v>
          </cell>
          <cell r="G16">
            <v>1</v>
          </cell>
        </row>
        <row r="17">
          <cell r="B17">
            <v>100155</v>
          </cell>
          <cell r="C17" t="str">
            <v>Autosa Oviedo</v>
          </cell>
          <cell r="D17">
            <v>101</v>
          </cell>
          <cell r="E17">
            <v>42</v>
          </cell>
          <cell r="F17">
            <v>0.41584158415841582</v>
          </cell>
          <cell r="G17">
            <v>18</v>
          </cell>
        </row>
        <row r="18">
          <cell r="B18">
            <v>100307</v>
          </cell>
          <cell r="C18" t="str">
            <v>Avilcar</v>
          </cell>
          <cell r="D18">
            <v>121</v>
          </cell>
          <cell r="E18">
            <v>21</v>
          </cell>
          <cell r="F18">
            <v>0.17355371900826447</v>
          </cell>
          <cell r="G18">
            <v>10</v>
          </cell>
        </row>
        <row r="19">
          <cell r="B19">
            <v>100572</v>
          </cell>
          <cell r="C19" t="str">
            <v>Barcelona Premium</v>
          </cell>
          <cell r="D19">
            <v>403</v>
          </cell>
          <cell r="E19">
            <v>173</v>
          </cell>
          <cell r="F19">
            <v>0.4292803970223325</v>
          </cell>
          <cell r="G19">
            <v>125</v>
          </cell>
        </row>
        <row r="20">
          <cell r="B20">
            <v>100739</v>
          </cell>
          <cell r="C20" t="str">
            <v>Bernesga Motor</v>
          </cell>
          <cell r="D20">
            <v>78</v>
          </cell>
          <cell r="E20">
            <v>34</v>
          </cell>
          <cell r="F20">
            <v>0.4358974358974359</v>
          </cell>
          <cell r="G20">
            <v>14</v>
          </cell>
        </row>
        <row r="21">
          <cell r="B21">
            <v>100002</v>
          </cell>
          <cell r="C21" t="str">
            <v>Bertolin</v>
          </cell>
          <cell r="D21">
            <v>189</v>
          </cell>
          <cell r="E21">
            <v>67</v>
          </cell>
          <cell r="F21">
            <v>0.35449735449735448</v>
          </cell>
          <cell r="G21">
            <v>63</v>
          </cell>
        </row>
        <row r="22">
          <cell r="B22">
            <v>100190</v>
          </cell>
          <cell r="C22" t="str">
            <v>Burgocar Cial.del Automóv.</v>
          </cell>
          <cell r="D22">
            <v>107</v>
          </cell>
          <cell r="E22">
            <v>60</v>
          </cell>
          <cell r="F22">
            <v>0.56074766355140182</v>
          </cell>
          <cell r="G22">
            <v>25</v>
          </cell>
        </row>
        <row r="23">
          <cell r="B23">
            <v>100873</v>
          </cell>
          <cell r="C23" t="str">
            <v>BYmyCAR</v>
          </cell>
          <cell r="D23">
            <v>649</v>
          </cell>
          <cell r="E23">
            <v>301</v>
          </cell>
          <cell r="F23">
            <v>0.46379044684129428</v>
          </cell>
          <cell r="G23">
            <v>147</v>
          </cell>
        </row>
        <row r="24">
          <cell r="B24">
            <v>100585</v>
          </cell>
          <cell r="C24" t="str">
            <v>Cabrero Motosport</v>
          </cell>
          <cell r="D24">
            <v>50</v>
          </cell>
          <cell r="E24">
            <v>24</v>
          </cell>
          <cell r="F24">
            <v>0.48</v>
          </cell>
          <cell r="G24">
            <v>3</v>
          </cell>
        </row>
        <row r="25">
          <cell r="B25">
            <v>100389</v>
          </cell>
          <cell r="C25" t="str">
            <v>Canaauto</v>
          </cell>
          <cell r="D25">
            <v>191</v>
          </cell>
          <cell r="E25">
            <v>89</v>
          </cell>
          <cell r="F25">
            <v>0.46596858638743455</v>
          </cell>
          <cell r="G25">
            <v>49</v>
          </cell>
        </row>
        <row r="26">
          <cell r="B26">
            <v>100549</v>
          </cell>
          <cell r="C26" t="str">
            <v>Carteya Motor</v>
          </cell>
          <cell r="D26">
            <v>41</v>
          </cell>
          <cell r="E26">
            <v>32</v>
          </cell>
          <cell r="F26">
            <v>0.78048780487804881</v>
          </cell>
          <cell r="G26">
            <v>11</v>
          </cell>
        </row>
        <row r="27">
          <cell r="B27">
            <v>100410</v>
          </cell>
          <cell r="C27" t="str">
            <v>Celtamotor</v>
          </cell>
          <cell r="D27">
            <v>180</v>
          </cell>
          <cell r="E27">
            <v>77</v>
          </cell>
          <cell r="F27">
            <v>0.42777777777777776</v>
          </cell>
          <cell r="G27">
            <v>53</v>
          </cell>
        </row>
        <row r="28">
          <cell r="B28">
            <v>100380</v>
          </cell>
          <cell r="C28" t="str">
            <v>Ceres Motor</v>
          </cell>
          <cell r="D28">
            <v>230</v>
          </cell>
          <cell r="E28">
            <v>84</v>
          </cell>
          <cell r="F28">
            <v>0.36521739130434783</v>
          </cell>
          <cell r="G28">
            <v>16</v>
          </cell>
        </row>
        <row r="29">
          <cell r="B29">
            <v>100726</v>
          </cell>
          <cell r="C29" t="str">
            <v>Enekuri Motor</v>
          </cell>
          <cell r="D29">
            <v>122</v>
          </cell>
          <cell r="E29">
            <v>57</v>
          </cell>
          <cell r="F29">
            <v>0.46721311475409838</v>
          </cell>
          <cell r="G29">
            <v>32</v>
          </cell>
        </row>
        <row r="30">
          <cell r="B30">
            <v>100311</v>
          </cell>
          <cell r="C30" t="str">
            <v>Engasa</v>
          </cell>
          <cell r="D30">
            <v>295</v>
          </cell>
          <cell r="E30">
            <v>68</v>
          </cell>
          <cell r="F30">
            <v>0.23050847457627119</v>
          </cell>
          <cell r="G30">
            <v>57</v>
          </cell>
        </row>
        <row r="31">
          <cell r="B31">
            <v>100062</v>
          </cell>
          <cell r="C31" t="str">
            <v>Fersan</v>
          </cell>
          <cell r="D31">
            <v>413</v>
          </cell>
          <cell r="E31">
            <v>116</v>
          </cell>
          <cell r="F31">
            <v>0.28087167070217917</v>
          </cell>
          <cell r="G31">
            <v>102</v>
          </cell>
        </row>
        <row r="32">
          <cell r="B32">
            <v>100418</v>
          </cell>
          <cell r="C32" t="str">
            <v>Fuenteolid</v>
          </cell>
          <cell r="D32">
            <v>141</v>
          </cell>
          <cell r="E32">
            <v>34</v>
          </cell>
          <cell r="F32">
            <v>0.24113475177304963</v>
          </cell>
          <cell r="G32">
            <v>17</v>
          </cell>
        </row>
        <row r="33">
          <cell r="B33">
            <v>100015</v>
          </cell>
          <cell r="C33" t="str">
            <v>Grünblau Motor</v>
          </cell>
          <cell r="D33">
            <v>109</v>
          </cell>
          <cell r="E33">
            <v>35</v>
          </cell>
          <cell r="F33">
            <v>0.32110091743119268</v>
          </cell>
          <cell r="G33">
            <v>20</v>
          </cell>
        </row>
        <row r="34">
          <cell r="B34">
            <v>100206</v>
          </cell>
          <cell r="C34" t="str">
            <v>Hispamovil</v>
          </cell>
          <cell r="D34">
            <v>291</v>
          </cell>
          <cell r="E34">
            <v>122</v>
          </cell>
          <cell r="F34">
            <v>0.41924398625429554</v>
          </cell>
          <cell r="G34">
            <v>70</v>
          </cell>
        </row>
        <row r="35">
          <cell r="B35">
            <v>100323</v>
          </cell>
          <cell r="C35" t="str">
            <v>Caetano Cuzco</v>
          </cell>
          <cell r="D35">
            <v>612</v>
          </cell>
          <cell r="E35">
            <v>157</v>
          </cell>
          <cell r="F35">
            <v>0.25653594771241828</v>
          </cell>
          <cell r="G35">
            <v>162</v>
          </cell>
        </row>
        <row r="36">
          <cell r="B36">
            <v>100589</v>
          </cell>
          <cell r="C36" t="str">
            <v>Ilbira Motor</v>
          </cell>
          <cell r="D36">
            <v>344</v>
          </cell>
          <cell r="E36">
            <v>104</v>
          </cell>
          <cell r="F36">
            <v>0.30232558139534882</v>
          </cell>
          <cell r="G36">
            <v>24</v>
          </cell>
        </row>
        <row r="37">
          <cell r="B37">
            <v>100146</v>
          </cell>
          <cell r="C37" t="str">
            <v>Lugauto</v>
          </cell>
          <cell r="D37">
            <v>64</v>
          </cell>
          <cell r="E37">
            <v>21</v>
          </cell>
          <cell r="F37">
            <v>0.328125</v>
          </cell>
          <cell r="G37">
            <v>7</v>
          </cell>
        </row>
        <row r="38">
          <cell r="B38">
            <v>100421</v>
          </cell>
          <cell r="C38" t="str">
            <v>Lurauto</v>
          </cell>
          <cell r="D38">
            <v>0</v>
          </cell>
          <cell r="E38">
            <v>0</v>
          </cell>
          <cell r="F38" t="str">
            <v>n.d.</v>
          </cell>
          <cell r="G38">
            <v>0</v>
          </cell>
        </row>
        <row r="39">
          <cell r="B39">
            <v>100394</v>
          </cell>
          <cell r="C39" t="str">
            <v>Maberauto</v>
          </cell>
          <cell r="D39">
            <v>108</v>
          </cell>
          <cell r="E39">
            <v>31</v>
          </cell>
          <cell r="F39">
            <v>0.28703703703703703</v>
          </cell>
          <cell r="G39">
            <v>23</v>
          </cell>
        </row>
        <row r="40">
          <cell r="B40">
            <v>100738</v>
          </cell>
          <cell r="C40" t="str">
            <v>Marmotor</v>
          </cell>
          <cell r="D40">
            <v>202</v>
          </cell>
          <cell r="E40">
            <v>43</v>
          </cell>
          <cell r="F40">
            <v>0.21287128712871287</v>
          </cell>
          <cell r="G40">
            <v>65</v>
          </cell>
        </row>
        <row r="41">
          <cell r="B41">
            <v>100917</v>
          </cell>
          <cell r="C41" t="str">
            <v>Momentum Norte</v>
          </cell>
          <cell r="D41">
            <v>368</v>
          </cell>
          <cell r="E41">
            <v>7</v>
          </cell>
          <cell r="F41">
            <v>1.9021739130434784E-2</v>
          </cell>
          <cell r="G41">
            <v>81</v>
          </cell>
        </row>
        <row r="42">
          <cell r="B42">
            <v>100909</v>
          </cell>
          <cell r="C42" t="str">
            <v>Quadis Munich</v>
          </cell>
          <cell r="D42">
            <v>246</v>
          </cell>
          <cell r="E42">
            <v>78</v>
          </cell>
          <cell r="F42">
            <v>0.31707317073170732</v>
          </cell>
          <cell r="G42">
            <v>85</v>
          </cell>
        </row>
        <row r="43">
          <cell r="B43">
            <v>100819</v>
          </cell>
          <cell r="C43" t="str">
            <v>Motri Motor</v>
          </cell>
          <cell r="D43">
            <v>244</v>
          </cell>
          <cell r="E43">
            <v>72</v>
          </cell>
          <cell r="F43">
            <v>0.29508196721311475</v>
          </cell>
          <cell r="G43">
            <v>19</v>
          </cell>
        </row>
        <row r="44">
          <cell r="B44">
            <v>100881</v>
          </cell>
          <cell r="C44" t="str">
            <v>Movitransa</v>
          </cell>
          <cell r="D44">
            <v>358</v>
          </cell>
          <cell r="E44">
            <v>105</v>
          </cell>
          <cell r="F44">
            <v>0.29329608938547486</v>
          </cell>
          <cell r="G44">
            <v>45</v>
          </cell>
        </row>
        <row r="45">
          <cell r="B45">
            <v>100468</v>
          </cell>
          <cell r="C45" t="str">
            <v>Movil Begar</v>
          </cell>
          <cell r="D45">
            <v>139</v>
          </cell>
          <cell r="E45">
            <v>139</v>
          </cell>
          <cell r="F45">
            <v>1</v>
          </cell>
          <cell r="G45">
            <v>17</v>
          </cell>
        </row>
        <row r="46">
          <cell r="B46">
            <v>100213</v>
          </cell>
          <cell r="C46" t="str">
            <v>Movilnorte</v>
          </cell>
          <cell r="D46">
            <v>634</v>
          </cell>
          <cell r="E46">
            <v>200</v>
          </cell>
          <cell r="F46">
            <v>0.31545741324921134</v>
          </cell>
          <cell r="G46">
            <v>185</v>
          </cell>
        </row>
        <row r="47">
          <cell r="B47">
            <v>100393</v>
          </cell>
          <cell r="C47" t="str">
            <v>Murcia Premium</v>
          </cell>
          <cell r="D47">
            <v>336</v>
          </cell>
          <cell r="E47">
            <v>78</v>
          </cell>
          <cell r="F47">
            <v>0.23214285714285715</v>
          </cell>
          <cell r="G47">
            <v>45</v>
          </cell>
        </row>
        <row r="48">
          <cell r="B48">
            <v>100304</v>
          </cell>
          <cell r="C48" t="str">
            <v>Novomovil</v>
          </cell>
          <cell r="D48">
            <v>106</v>
          </cell>
          <cell r="E48">
            <v>44</v>
          </cell>
          <cell r="F48">
            <v>0.41509433962264153</v>
          </cell>
          <cell r="G48">
            <v>35</v>
          </cell>
        </row>
        <row r="49">
          <cell r="B49">
            <v>100728</v>
          </cell>
          <cell r="C49" t="str">
            <v>Oliva Motor</v>
          </cell>
          <cell r="D49">
            <v>215</v>
          </cell>
          <cell r="E49">
            <v>129</v>
          </cell>
          <cell r="F49">
            <v>0.6</v>
          </cell>
          <cell r="G49">
            <v>47</v>
          </cell>
        </row>
        <row r="50">
          <cell r="B50">
            <v>100817</v>
          </cell>
          <cell r="C50" t="str">
            <v>Oliva Motor Girona</v>
          </cell>
          <cell r="D50">
            <v>242</v>
          </cell>
          <cell r="E50">
            <v>132</v>
          </cell>
          <cell r="F50">
            <v>0.54545454545454541</v>
          </cell>
          <cell r="G50">
            <v>65</v>
          </cell>
        </row>
        <row r="51">
          <cell r="B51">
            <v>100734</v>
          </cell>
          <cell r="C51" t="str">
            <v>Proa Premium</v>
          </cell>
          <cell r="D51">
            <v>235</v>
          </cell>
          <cell r="E51">
            <v>120</v>
          </cell>
          <cell r="F51">
            <v>0.51063829787234039</v>
          </cell>
          <cell r="G51">
            <v>201</v>
          </cell>
        </row>
        <row r="52">
          <cell r="B52">
            <v>100584</v>
          </cell>
          <cell r="C52" t="str">
            <v>Pruna Motor</v>
          </cell>
          <cell r="D52">
            <v>161</v>
          </cell>
          <cell r="E52">
            <v>51</v>
          </cell>
          <cell r="F52">
            <v>0.31677018633540371</v>
          </cell>
          <cell r="G52">
            <v>68</v>
          </cell>
        </row>
        <row r="53">
          <cell r="B53">
            <v>100344</v>
          </cell>
          <cell r="C53" t="str">
            <v>San Pablo Motor</v>
          </cell>
          <cell r="D53">
            <v>573</v>
          </cell>
          <cell r="E53">
            <v>142</v>
          </cell>
          <cell r="F53">
            <v>0.24781849912739964</v>
          </cell>
          <cell r="G53">
            <v>51</v>
          </cell>
        </row>
        <row r="54">
          <cell r="B54">
            <v>100422</v>
          </cell>
          <cell r="C54" t="str">
            <v>San Rafael</v>
          </cell>
          <cell r="D54">
            <v>168</v>
          </cell>
          <cell r="E54">
            <v>57</v>
          </cell>
          <cell r="F54">
            <v>0.3392857142857143</v>
          </cell>
          <cell r="G54">
            <v>13</v>
          </cell>
        </row>
        <row r="55">
          <cell r="B55">
            <v>100765</v>
          </cell>
          <cell r="C55" t="str">
            <v>T. Martín Lizaga</v>
          </cell>
          <cell r="D55">
            <v>26</v>
          </cell>
          <cell r="E55">
            <v>16</v>
          </cell>
          <cell r="F55">
            <v>0.61538461538461542</v>
          </cell>
          <cell r="G55">
            <v>1</v>
          </cell>
        </row>
        <row r="56">
          <cell r="B56">
            <v>100571</v>
          </cell>
          <cell r="C56" t="str">
            <v>Tormes Motor</v>
          </cell>
          <cell r="D56">
            <v>94</v>
          </cell>
          <cell r="E56">
            <v>5</v>
          </cell>
          <cell r="F56">
            <v>5.3191489361702128E-2</v>
          </cell>
          <cell r="G56">
            <v>5</v>
          </cell>
        </row>
        <row r="57">
          <cell r="B57">
            <v>100379</v>
          </cell>
          <cell r="C57" t="str">
            <v>Triocar</v>
          </cell>
          <cell r="D57">
            <v>62</v>
          </cell>
          <cell r="E57">
            <v>59</v>
          </cell>
          <cell r="F57">
            <v>0.95161290322580649</v>
          </cell>
          <cell r="G57">
            <v>22</v>
          </cell>
        </row>
        <row r="58">
          <cell r="B58">
            <v>100727</v>
          </cell>
          <cell r="C58" t="str">
            <v>Unicars</v>
          </cell>
          <cell r="D58">
            <v>89</v>
          </cell>
          <cell r="E58">
            <v>50</v>
          </cell>
          <cell r="F58">
            <v>0.5617977528089888</v>
          </cell>
          <cell r="G58">
            <v>22</v>
          </cell>
        </row>
        <row r="59">
          <cell r="B59">
            <v>100319</v>
          </cell>
          <cell r="C59" t="str">
            <v>Vehinter</v>
          </cell>
          <cell r="D59">
            <v>523</v>
          </cell>
          <cell r="E59">
            <v>226</v>
          </cell>
          <cell r="F59">
            <v>0.43212237093690248</v>
          </cell>
          <cell r="G59">
            <v>78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Penetración Mdo_Valores_Ene20"/>
      <sheetName val="% Penetración Mdo_Valores_Dic20"/>
      <sheetName val="% Penetración Mdo_Valores_Nov20"/>
      <sheetName val="% Penetración Mdo_Valores_Oct20"/>
      <sheetName val="% Penetración Mdo_Valores_Sep20"/>
      <sheetName val="% Penetración Mdo_Valores_Ago20"/>
      <sheetName val="% Penetración Mdo_Valores_Jul20"/>
      <sheetName val="% Penetración Mdo_Valores_Jun20"/>
      <sheetName val="% Penetración Mdo_Valores_May20"/>
      <sheetName val="% Penetración Mdo_Valores_Mar20"/>
      <sheetName val="% Penetración Mdo_Valores_Feb20"/>
      <sheetName val="% Penetración Mdo_Valores_Mar21"/>
      <sheetName val="% Penetración Mdo_Valores_Feb21"/>
      <sheetName val="% Penetración Mdo_Valores_Ene21"/>
      <sheetName val="% Penetración Mdo_Valores_May21"/>
      <sheetName val="% Penetración Mdo_Valores_Abr21"/>
      <sheetName val="% Penetración Mdo_Valores_Jul21"/>
      <sheetName val="% Penetración Mdo_Valores_Jun21"/>
      <sheetName val="% Penetración Mdo_Valores_Ago21"/>
      <sheetName val="% Penetración Mdo_Valores_Sep21"/>
      <sheetName val="% Penetración Mdo_Valores_Oct21"/>
      <sheetName val="% Penetración Mdo_Valores_Nov21"/>
      <sheetName val="% Penetración Mdo_Valores_Dic21"/>
      <sheetName val="% Penetración Mdo_Valores_Ene22"/>
      <sheetName val="% Penetración Mdo_Valores_Feb22"/>
      <sheetName val="% Penetración Mdo_Valores_Mar22"/>
      <sheetName val="% Penetración Mdo_Valores_Abr22"/>
      <sheetName val="% Penetración Mdo_Valores_Jun22"/>
      <sheetName val="% Penetración Mdo_Valores_Jul22"/>
      <sheetName val="% Penetración Mdo_Valores_Ago22"/>
      <sheetName val="% Penetración Mdo_Valores_Sep22"/>
      <sheetName val="% Penetración Mdo_Valores_May22"/>
      <sheetName val="% Penetración Mdo_Valores_Oct22"/>
      <sheetName val="% Penetración Mdo_Valores_Nov22"/>
      <sheetName val="% Penetración Mdo_Valores_ENE23"/>
      <sheetName val="% Penetración Mdo_Valores_FEB23"/>
      <sheetName val="% Penetración Mdo_Valores_MAR23"/>
      <sheetName val="% Penetración Mdo_Valores_ABR23"/>
      <sheetName val="% Penetración Mdo_Valores_MAY23"/>
      <sheetName val="% Penetración Mdo_Valores_JUN23"/>
      <sheetName val="% Penetración Mdo_Valores_JUL23"/>
      <sheetName val="% Penetración Mdo (Formulado)"/>
      <sheetName val="% Penetración Mdo_AGO23"/>
      <sheetName val="% Penetración Mdo SEP23"/>
      <sheetName val="% Penetración Mdo OCT23"/>
      <sheetName val="% Penetración Mdo NOV23"/>
      <sheetName val="% Penetración Mdo DIC23"/>
      <sheetName val="% Penetración Mdo ENE26"/>
      <sheetName val="% Penetración Mdo FEB26"/>
      <sheetName val="% Penetración Mdo MAR26"/>
      <sheetName val="% Penetración Mdo ABR26"/>
      <sheetName val="% Penetración Mdo MAY26"/>
      <sheetName val="% Penetración Mdo JUN26"/>
      <sheetName val="% Penetración Mdo JUL26"/>
      <sheetName val="% Penetración Mdo AGO26"/>
      <sheetName val="% Penetración Mdo SEP26"/>
      <sheetName val="% Penetración Mdo OCT26"/>
      <sheetName val="% Penetración Mdo NOV26"/>
      <sheetName val="% Distritos acumulados"/>
      <sheetName val="% Penetración Mdo (Formula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7">
          <cell r="B7">
            <v>100730</v>
          </cell>
          <cell r="C7" t="str">
            <v>Adler Motor</v>
          </cell>
          <cell r="D7">
            <v>331</v>
          </cell>
          <cell r="E7">
            <v>73</v>
          </cell>
          <cell r="F7">
            <v>0.22054380664652568</v>
          </cell>
          <cell r="G7">
            <v>39</v>
          </cell>
        </row>
        <row r="8">
          <cell r="B8">
            <v>100764</v>
          </cell>
          <cell r="C8" t="str">
            <v>Albamoción</v>
          </cell>
          <cell r="D8">
            <v>303</v>
          </cell>
          <cell r="E8">
            <v>84</v>
          </cell>
          <cell r="F8">
            <v>0.27722772277227725</v>
          </cell>
          <cell r="G8">
            <v>24</v>
          </cell>
        </row>
        <row r="9">
          <cell r="B9">
            <v>100346</v>
          </cell>
          <cell r="C9" t="str">
            <v>Amiocar</v>
          </cell>
          <cell r="D9">
            <v>137</v>
          </cell>
          <cell r="E9">
            <v>22</v>
          </cell>
          <cell r="F9">
            <v>0.16058394160583941</v>
          </cell>
          <cell r="G9">
            <v>11</v>
          </cell>
        </row>
        <row r="10">
          <cell r="B10">
            <v>100348</v>
          </cell>
          <cell r="C10" t="str">
            <v>Augusta Aragón</v>
          </cell>
          <cell r="D10">
            <v>325</v>
          </cell>
          <cell r="E10">
            <v>146</v>
          </cell>
          <cell r="F10">
            <v>0.44923076923076921</v>
          </cell>
          <cell r="G10">
            <v>30</v>
          </cell>
        </row>
        <row r="11">
          <cell r="B11">
            <v>100349</v>
          </cell>
          <cell r="C11" t="str">
            <v>Auto Premier</v>
          </cell>
          <cell r="D11">
            <v>704</v>
          </cell>
          <cell r="E11">
            <v>278</v>
          </cell>
          <cell r="F11">
            <v>0.39488636363636365</v>
          </cell>
          <cell r="G11">
            <v>105</v>
          </cell>
        </row>
        <row r="12">
          <cell r="B12">
            <v>100597</v>
          </cell>
          <cell r="C12" t="str">
            <v>Autoberón</v>
          </cell>
          <cell r="D12">
            <v>72</v>
          </cell>
          <cell r="E12">
            <v>31</v>
          </cell>
          <cell r="F12">
            <v>0.43055555555555558</v>
          </cell>
          <cell r="G12">
            <v>3</v>
          </cell>
        </row>
        <row r="13">
          <cell r="B13">
            <v>100120</v>
          </cell>
          <cell r="C13" t="str">
            <v>Autogal</v>
          </cell>
          <cell r="D13">
            <v>65</v>
          </cell>
          <cell r="E13">
            <v>22</v>
          </cell>
          <cell r="F13">
            <v>0.33846153846153848</v>
          </cell>
          <cell r="G13">
            <v>10</v>
          </cell>
        </row>
        <row r="14">
          <cell r="B14">
            <v>100586</v>
          </cell>
          <cell r="C14" t="str">
            <v>Automotor</v>
          </cell>
          <cell r="D14">
            <v>1012</v>
          </cell>
          <cell r="E14">
            <v>245</v>
          </cell>
          <cell r="F14">
            <v>0.24209486166007904</v>
          </cell>
          <cell r="G14">
            <v>231</v>
          </cell>
        </row>
        <row r="15">
          <cell r="B15">
            <v>100813</v>
          </cell>
          <cell r="C15" t="str">
            <v>Automotor Costa</v>
          </cell>
          <cell r="D15">
            <v>247</v>
          </cell>
          <cell r="E15">
            <v>179</v>
          </cell>
          <cell r="F15">
            <v>0.7246963562753036</v>
          </cell>
          <cell r="G15">
            <v>39</v>
          </cell>
        </row>
        <row r="16">
          <cell r="B16">
            <v>100454</v>
          </cell>
          <cell r="C16" t="str">
            <v>Autoramgar</v>
          </cell>
          <cell r="D16">
            <v>55</v>
          </cell>
          <cell r="E16">
            <v>16</v>
          </cell>
          <cell r="F16">
            <v>0.29090909090909089</v>
          </cell>
          <cell r="G16">
            <v>2</v>
          </cell>
        </row>
        <row r="17">
          <cell r="B17">
            <v>100155</v>
          </cell>
          <cell r="C17" t="str">
            <v>Autosa Oviedo</v>
          </cell>
          <cell r="D17">
            <v>133</v>
          </cell>
          <cell r="E17">
            <v>48</v>
          </cell>
          <cell r="F17">
            <v>0.36090225563909772</v>
          </cell>
          <cell r="G17">
            <v>28</v>
          </cell>
        </row>
        <row r="18">
          <cell r="B18">
            <v>100307</v>
          </cell>
          <cell r="C18" t="str">
            <v>Avilcar</v>
          </cell>
          <cell r="D18">
            <v>137</v>
          </cell>
          <cell r="E18">
            <v>25</v>
          </cell>
          <cell r="F18">
            <v>0.18248175182481752</v>
          </cell>
          <cell r="G18">
            <v>11</v>
          </cell>
        </row>
        <row r="19">
          <cell r="B19">
            <v>100572</v>
          </cell>
          <cell r="C19" t="str">
            <v>Barcelona Premium</v>
          </cell>
          <cell r="D19">
            <v>530</v>
          </cell>
          <cell r="E19">
            <v>216</v>
          </cell>
          <cell r="F19">
            <v>0.40754716981132078</v>
          </cell>
          <cell r="G19">
            <v>150</v>
          </cell>
        </row>
        <row r="20">
          <cell r="B20">
            <v>100739</v>
          </cell>
          <cell r="C20" t="str">
            <v>Bernesga Motor</v>
          </cell>
          <cell r="D20">
            <v>106</v>
          </cell>
          <cell r="E20">
            <v>43</v>
          </cell>
          <cell r="F20">
            <v>0.40566037735849059</v>
          </cell>
          <cell r="G20">
            <v>18</v>
          </cell>
        </row>
        <row r="21">
          <cell r="B21">
            <v>100002</v>
          </cell>
          <cell r="C21" t="str">
            <v>Bertolin</v>
          </cell>
          <cell r="D21">
            <v>233</v>
          </cell>
          <cell r="E21">
            <v>79</v>
          </cell>
          <cell r="F21">
            <v>0.33905579399141633</v>
          </cell>
          <cell r="G21">
            <v>80</v>
          </cell>
        </row>
        <row r="22">
          <cell r="B22">
            <v>100190</v>
          </cell>
          <cell r="C22" t="str">
            <v>Burgocar Cial.del Automóv.</v>
          </cell>
          <cell r="D22">
            <v>162</v>
          </cell>
          <cell r="E22">
            <v>77</v>
          </cell>
          <cell r="F22">
            <v>0.47530864197530864</v>
          </cell>
          <cell r="G22">
            <v>31</v>
          </cell>
        </row>
        <row r="23">
          <cell r="B23">
            <v>100873</v>
          </cell>
          <cell r="C23" t="str">
            <v>BYmyCAR</v>
          </cell>
          <cell r="D23">
            <v>757</v>
          </cell>
          <cell r="E23">
            <v>375</v>
          </cell>
          <cell r="F23">
            <v>0.49537648612945839</v>
          </cell>
          <cell r="G23">
            <v>179</v>
          </cell>
        </row>
        <row r="24">
          <cell r="B24">
            <v>100585</v>
          </cell>
          <cell r="C24" t="str">
            <v>Cabrero Motosport</v>
          </cell>
          <cell r="D24">
            <v>63</v>
          </cell>
          <cell r="E24">
            <v>33</v>
          </cell>
          <cell r="F24">
            <v>0.52380952380952384</v>
          </cell>
          <cell r="G24">
            <v>5</v>
          </cell>
        </row>
        <row r="25">
          <cell r="B25">
            <v>100389</v>
          </cell>
          <cell r="C25" t="str">
            <v>Canaauto</v>
          </cell>
          <cell r="D25">
            <v>227</v>
          </cell>
          <cell r="E25">
            <v>107</v>
          </cell>
          <cell r="F25">
            <v>0.47136563876651982</v>
          </cell>
          <cell r="G25">
            <v>61</v>
          </cell>
        </row>
        <row r="26">
          <cell r="B26">
            <v>100549</v>
          </cell>
          <cell r="C26" t="str">
            <v>Carteya Motor</v>
          </cell>
          <cell r="D26">
            <v>56</v>
          </cell>
          <cell r="E26">
            <v>39</v>
          </cell>
          <cell r="F26">
            <v>0.6964285714285714</v>
          </cell>
          <cell r="G26">
            <v>19</v>
          </cell>
        </row>
        <row r="27">
          <cell r="B27">
            <v>100410</v>
          </cell>
          <cell r="C27" t="str">
            <v>Celtamotor</v>
          </cell>
          <cell r="D27">
            <v>252</v>
          </cell>
          <cell r="E27">
            <v>107</v>
          </cell>
          <cell r="F27">
            <v>0.42460317460317459</v>
          </cell>
          <cell r="G27">
            <v>60</v>
          </cell>
        </row>
        <row r="28">
          <cell r="B28">
            <v>100380</v>
          </cell>
          <cell r="C28" t="str">
            <v>Ceres Motor</v>
          </cell>
          <cell r="D28">
            <v>275</v>
          </cell>
          <cell r="E28">
            <v>95</v>
          </cell>
          <cell r="F28">
            <v>0.34545454545454546</v>
          </cell>
          <cell r="G28">
            <v>18</v>
          </cell>
        </row>
        <row r="29">
          <cell r="B29">
            <v>100726</v>
          </cell>
          <cell r="C29" t="str">
            <v>Enekuri Motor</v>
          </cell>
          <cell r="D29">
            <v>154</v>
          </cell>
          <cell r="E29">
            <v>66</v>
          </cell>
          <cell r="F29">
            <v>0.42857142857142855</v>
          </cell>
          <cell r="G29">
            <v>44</v>
          </cell>
        </row>
        <row r="30">
          <cell r="B30">
            <v>100311</v>
          </cell>
          <cell r="C30" t="str">
            <v>Engasa</v>
          </cell>
          <cell r="D30">
            <v>381</v>
          </cell>
          <cell r="E30">
            <v>93</v>
          </cell>
          <cell r="F30">
            <v>0.24409448818897639</v>
          </cell>
          <cell r="G30">
            <v>73</v>
          </cell>
        </row>
        <row r="31">
          <cell r="B31">
            <v>100062</v>
          </cell>
          <cell r="C31" t="str">
            <v>Fersan</v>
          </cell>
          <cell r="D31">
            <v>515</v>
          </cell>
          <cell r="E31">
            <v>153</v>
          </cell>
          <cell r="F31">
            <v>0.29708737864077672</v>
          </cell>
          <cell r="G31">
            <v>143</v>
          </cell>
        </row>
        <row r="32">
          <cell r="B32">
            <v>100418</v>
          </cell>
          <cell r="C32" t="str">
            <v>Fuenteolid</v>
          </cell>
          <cell r="D32">
            <v>174</v>
          </cell>
          <cell r="E32">
            <v>40</v>
          </cell>
          <cell r="F32">
            <v>0.22988505747126436</v>
          </cell>
          <cell r="G32">
            <v>22</v>
          </cell>
        </row>
        <row r="33">
          <cell r="B33">
            <v>100015</v>
          </cell>
          <cell r="C33" t="str">
            <v>Grünblau Motor</v>
          </cell>
          <cell r="D33">
            <v>135</v>
          </cell>
          <cell r="E33">
            <v>45</v>
          </cell>
          <cell r="F33">
            <v>0.33333333333333331</v>
          </cell>
          <cell r="G33">
            <v>26</v>
          </cell>
        </row>
        <row r="34">
          <cell r="B34">
            <v>100206</v>
          </cell>
          <cell r="C34" t="str">
            <v>Hispamovil</v>
          </cell>
          <cell r="D34">
            <v>342</v>
          </cell>
          <cell r="E34">
            <v>146</v>
          </cell>
          <cell r="F34">
            <v>0.42690058479532161</v>
          </cell>
          <cell r="G34">
            <v>81</v>
          </cell>
        </row>
        <row r="35">
          <cell r="B35">
            <v>100323</v>
          </cell>
          <cell r="C35" t="str">
            <v>Ibericar Cuzco</v>
          </cell>
          <cell r="D35">
            <v>778</v>
          </cell>
          <cell r="E35">
            <v>191</v>
          </cell>
          <cell r="F35">
            <v>0.24550128534704371</v>
          </cell>
          <cell r="G35">
            <v>201</v>
          </cell>
        </row>
        <row r="36">
          <cell r="B36">
            <v>100589</v>
          </cell>
          <cell r="C36" t="str">
            <v>Ilbira Motor</v>
          </cell>
          <cell r="D36">
            <v>443</v>
          </cell>
          <cell r="E36">
            <v>119</v>
          </cell>
          <cell r="F36">
            <v>0.26862302483069977</v>
          </cell>
          <cell r="G36">
            <v>26</v>
          </cell>
        </row>
        <row r="37">
          <cell r="B37">
            <v>100146</v>
          </cell>
          <cell r="C37" t="str">
            <v>Lugauto</v>
          </cell>
          <cell r="D37">
            <v>79</v>
          </cell>
          <cell r="E37">
            <v>22</v>
          </cell>
          <cell r="F37">
            <v>0.27848101265822783</v>
          </cell>
          <cell r="G37">
            <v>9</v>
          </cell>
        </row>
        <row r="38">
          <cell r="B38">
            <v>100917</v>
          </cell>
          <cell r="C38" t="str">
            <v>Momentum Norte</v>
          </cell>
          <cell r="D38">
            <v>466</v>
          </cell>
          <cell r="E38">
            <v>21</v>
          </cell>
          <cell r="F38">
            <v>4.5064377682403435E-2</v>
          </cell>
          <cell r="G38">
            <v>95</v>
          </cell>
        </row>
        <row r="39">
          <cell r="B39">
            <v>100394</v>
          </cell>
          <cell r="C39" t="str">
            <v>Maberauto</v>
          </cell>
          <cell r="D39">
            <v>141</v>
          </cell>
          <cell r="E39">
            <v>34</v>
          </cell>
          <cell r="F39">
            <v>0.24113475177304963</v>
          </cell>
          <cell r="G39">
            <v>27</v>
          </cell>
        </row>
        <row r="40">
          <cell r="B40">
            <v>100738</v>
          </cell>
          <cell r="C40" t="str">
            <v>Marmotor</v>
          </cell>
          <cell r="D40">
            <v>261</v>
          </cell>
          <cell r="E40">
            <v>55</v>
          </cell>
          <cell r="F40">
            <v>0.21072796934865901</v>
          </cell>
          <cell r="G40">
            <v>85</v>
          </cell>
        </row>
        <row r="41">
          <cell r="F41" t="str">
            <v>n.d.</v>
          </cell>
        </row>
        <row r="42">
          <cell r="B42">
            <v>100909</v>
          </cell>
          <cell r="C42" t="str">
            <v>Quadis Munich</v>
          </cell>
          <cell r="D42">
            <v>332</v>
          </cell>
          <cell r="E42">
            <v>103</v>
          </cell>
          <cell r="F42">
            <v>0.31024096385542171</v>
          </cell>
          <cell r="G42">
            <v>115</v>
          </cell>
        </row>
        <row r="43">
          <cell r="B43">
            <v>100819</v>
          </cell>
          <cell r="C43" t="str">
            <v>Motri Motor</v>
          </cell>
          <cell r="D43">
            <v>313</v>
          </cell>
          <cell r="E43">
            <v>87</v>
          </cell>
          <cell r="F43">
            <v>0.27795527156549521</v>
          </cell>
          <cell r="G43">
            <v>22</v>
          </cell>
        </row>
        <row r="44">
          <cell r="B44">
            <v>100881</v>
          </cell>
          <cell r="C44" t="str">
            <v>Movitransa</v>
          </cell>
          <cell r="D44">
            <v>432</v>
          </cell>
          <cell r="E44">
            <v>133</v>
          </cell>
          <cell r="F44">
            <v>0.30787037037037035</v>
          </cell>
          <cell r="G44">
            <v>54</v>
          </cell>
        </row>
        <row r="45">
          <cell r="B45">
            <v>100468</v>
          </cell>
          <cell r="C45" t="str">
            <v>Movil Begar</v>
          </cell>
          <cell r="D45">
            <v>187</v>
          </cell>
          <cell r="E45">
            <v>176</v>
          </cell>
          <cell r="F45">
            <v>0.94117647058823528</v>
          </cell>
          <cell r="G45">
            <v>24</v>
          </cell>
        </row>
        <row r="46">
          <cell r="B46">
            <v>100213</v>
          </cell>
          <cell r="C46" t="str">
            <v>Movilnorte</v>
          </cell>
          <cell r="D46">
            <v>710</v>
          </cell>
          <cell r="E46">
            <v>250</v>
          </cell>
          <cell r="F46">
            <v>0.352112676056338</v>
          </cell>
          <cell r="G46">
            <v>203</v>
          </cell>
        </row>
        <row r="47">
          <cell r="B47">
            <v>100393</v>
          </cell>
          <cell r="C47" t="str">
            <v>Murcia Premium</v>
          </cell>
          <cell r="D47">
            <v>440</v>
          </cell>
          <cell r="E47">
            <v>96</v>
          </cell>
          <cell r="F47">
            <v>0.21818181818181817</v>
          </cell>
          <cell r="G47">
            <v>66</v>
          </cell>
        </row>
        <row r="48">
          <cell r="B48">
            <v>100304</v>
          </cell>
          <cell r="C48" t="str">
            <v>Novomovil</v>
          </cell>
          <cell r="D48">
            <v>145</v>
          </cell>
          <cell r="E48">
            <v>58</v>
          </cell>
          <cell r="F48">
            <v>0.4</v>
          </cell>
          <cell r="G48">
            <v>48</v>
          </cell>
        </row>
        <row r="49">
          <cell r="B49">
            <v>100728</v>
          </cell>
          <cell r="C49" t="str">
            <v>Oliva Motor</v>
          </cell>
          <cell r="D49">
            <v>273</v>
          </cell>
          <cell r="E49">
            <v>152</v>
          </cell>
          <cell r="F49">
            <v>0.5567765567765568</v>
          </cell>
          <cell r="G49">
            <v>54</v>
          </cell>
        </row>
        <row r="50">
          <cell r="B50">
            <v>100817</v>
          </cell>
          <cell r="C50" t="str">
            <v>Oliva Motor Girona</v>
          </cell>
          <cell r="D50">
            <v>307</v>
          </cell>
          <cell r="E50">
            <v>171</v>
          </cell>
          <cell r="F50">
            <v>0.55700325732899025</v>
          </cell>
          <cell r="G50">
            <v>85</v>
          </cell>
        </row>
        <row r="51">
          <cell r="B51">
            <v>100734</v>
          </cell>
          <cell r="C51" t="str">
            <v>Proa Premium</v>
          </cell>
          <cell r="D51">
            <v>314</v>
          </cell>
          <cell r="E51">
            <v>152</v>
          </cell>
          <cell r="F51">
            <v>0.48407643312101911</v>
          </cell>
          <cell r="G51">
            <v>250</v>
          </cell>
        </row>
        <row r="52">
          <cell r="B52">
            <v>100584</v>
          </cell>
          <cell r="C52" t="str">
            <v>Pruna Motor</v>
          </cell>
          <cell r="D52">
            <v>193</v>
          </cell>
          <cell r="E52">
            <v>72</v>
          </cell>
          <cell r="F52">
            <v>0.37305699481865284</v>
          </cell>
          <cell r="G52">
            <v>95</v>
          </cell>
        </row>
        <row r="53">
          <cell r="B53">
            <v>100344</v>
          </cell>
          <cell r="C53" t="str">
            <v>San Pablo Motor</v>
          </cell>
          <cell r="D53">
            <v>740</v>
          </cell>
          <cell r="E53">
            <v>171</v>
          </cell>
          <cell r="F53">
            <v>0.23108108108108108</v>
          </cell>
          <cell r="G53">
            <v>66</v>
          </cell>
        </row>
        <row r="54">
          <cell r="B54">
            <v>100422</v>
          </cell>
          <cell r="C54" t="str">
            <v>San Rafael</v>
          </cell>
          <cell r="D54">
            <v>210</v>
          </cell>
          <cell r="E54">
            <v>69</v>
          </cell>
          <cell r="F54">
            <v>0.32857142857142857</v>
          </cell>
          <cell r="G54">
            <v>17</v>
          </cell>
        </row>
        <row r="55">
          <cell r="B55">
            <v>100765</v>
          </cell>
          <cell r="C55" t="str">
            <v>T. Martín Lizaga</v>
          </cell>
          <cell r="D55">
            <v>34</v>
          </cell>
          <cell r="E55">
            <v>23</v>
          </cell>
          <cell r="F55">
            <v>0.67647058823529416</v>
          </cell>
          <cell r="G55">
            <v>2</v>
          </cell>
        </row>
        <row r="56">
          <cell r="B56">
            <v>100571</v>
          </cell>
          <cell r="C56" t="str">
            <v>Tormes Motor</v>
          </cell>
          <cell r="D56">
            <v>108</v>
          </cell>
          <cell r="E56">
            <v>5</v>
          </cell>
          <cell r="F56">
            <v>4.6296296296296294E-2</v>
          </cell>
          <cell r="G56">
            <v>6</v>
          </cell>
        </row>
        <row r="57">
          <cell r="B57">
            <v>100379</v>
          </cell>
          <cell r="C57" t="str">
            <v>Triocar</v>
          </cell>
          <cell r="D57">
            <v>94</v>
          </cell>
          <cell r="E57">
            <v>86</v>
          </cell>
          <cell r="F57">
            <v>0.91489361702127658</v>
          </cell>
          <cell r="G57">
            <v>31</v>
          </cell>
        </row>
        <row r="58">
          <cell r="B58">
            <v>100727</v>
          </cell>
          <cell r="C58" t="str">
            <v>Unicars</v>
          </cell>
          <cell r="D58">
            <v>114</v>
          </cell>
          <cell r="E58">
            <v>57</v>
          </cell>
          <cell r="F58">
            <v>0.5</v>
          </cell>
          <cell r="G58">
            <v>27</v>
          </cell>
        </row>
        <row r="59">
          <cell r="B59">
            <v>100319</v>
          </cell>
          <cell r="C59" t="str">
            <v>Vehinter</v>
          </cell>
          <cell r="D59">
            <v>631</v>
          </cell>
          <cell r="E59">
            <v>270</v>
          </cell>
          <cell r="F59">
            <v>0.42789223454833597</v>
          </cell>
          <cell r="G59">
            <v>102</v>
          </cell>
        </row>
        <row r="60">
          <cell r="B60" t="str">
            <v>TOP 10</v>
          </cell>
          <cell r="D60">
            <v>2132</v>
          </cell>
          <cell r="E60">
            <v>1291</v>
          </cell>
          <cell r="F60">
            <v>0.60553470919324581</v>
          </cell>
          <cell r="G60">
            <v>462</v>
          </cell>
        </row>
        <row r="61">
          <cell r="B61" t="str">
            <v>Totales</v>
          </cell>
          <cell r="D61">
            <v>15628</v>
          </cell>
          <cell r="E61">
            <v>5456</v>
          </cell>
          <cell r="F61">
            <v>0.34911696954184795</v>
          </cell>
          <cell r="G61">
            <v>3253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Penetración Mdo_Valores_Ene20"/>
      <sheetName val="% Penetración Mdo_Valores_Dic20"/>
      <sheetName val="% Penetración Mdo_Valores_Nov20"/>
      <sheetName val="% Penetración Mdo_Valores_Oct20"/>
      <sheetName val="% Penetración Mdo_Valores_Sep20"/>
      <sheetName val="% Penetración Mdo_Valores_Ago20"/>
      <sheetName val="% Penetración Mdo_Valores_Jul20"/>
      <sheetName val="% Penetración Mdo_Valores_Jun20"/>
      <sheetName val="% Penetración Mdo_Valores_May20"/>
      <sheetName val="% Penetración Mdo_Valores_Mar20"/>
      <sheetName val="% Penetración Mdo_Valores_Feb20"/>
      <sheetName val="% Penetración Mdo_Valores_Mar21"/>
      <sheetName val="% Penetración Mdo_Valores_Feb21"/>
      <sheetName val="% Penetración Mdo_Valores_Ene21"/>
      <sheetName val="% Penetración Mdo_Valores_May21"/>
      <sheetName val="% Penetración Mdo_Valores_Abr21"/>
      <sheetName val="% Penetración Mdo_Valores_Jul21"/>
      <sheetName val="% Penetración Mdo_Valores_Jun21"/>
      <sheetName val="% Penetración Mdo_Valores_Ago21"/>
      <sheetName val="% Penetración Mdo_Valores_Sep21"/>
      <sheetName val="% Penetración Mdo_Valores_Oct21"/>
      <sheetName val="% Penetración Mdo_Valores_Nov21"/>
      <sheetName val="% Penetración Mdo_Valores_Dic21"/>
      <sheetName val="% Penetración Mdo_Valores_Ene22"/>
      <sheetName val="% Penetración Mdo_Valores_Feb22"/>
      <sheetName val="% Penetración Mdo_Valores_Mar22"/>
      <sheetName val="% Penetración Mdo_Valores_Abr22"/>
      <sheetName val="% Penetración Mdo_Valores_Jun22"/>
      <sheetName val="% Penetración Mdo_Valores_Jul22"/>
      <sheetName val="% Penetración Mdo_Valores_Ago22"/>
      <sheetName val="% Penetración Mdo_Valores_Sep22"/>
      <sheetName val="% Penetración Mdo_Valores_May22"/>
      <sheetName val="% Penetración Mdo_Valores_Oct22"/>
      <sheetName val="% Penetración Mdo_Valores_Nov22"/>
      <sheetName val="% Penetración Mdo_Valores_ENE23"/>
      <sheetName val="% Penetración Mdo_Valores_FEB23"/>
      <sheetName val="% Penetración Mdo_Valores_MAR23"/>
      <sheetName val="% Penetración Mdo_Valores_ABR23"/>
      <sheetName val="% Penetración Mdo_Valores_MAY23"/>
      <sheetName val="% Penetración Mdo_Valores_JUN23"/>
      <sheetName val="% Penetración Mdo_Valores_JUL23"/>
      <sheetName val="% Penetración Mdo (Formulado)"/>
      <sheetName val="% Penetración Mdo_AGO23"/>
      <sheetName val="% Penetración Mdo SEP23"/>
      <sheetName val="% Penetración Mdo OCT23"/>
      <sheetName val="% Penetración Mdo NOV23"/>
      <sheetName val="% Penetración Mdo DIC23"/>
      <sheetName val="% Penetración Mdo ENE26"/>
      <sheetName val="% Penetración Mdo FEB26"/>
      <sheetName val="% Penetración Mdo MAR26"/>
      <sheetName val="% Penetración Mdo ABR26"/>
      <sheetName val="% Penetración Mdo MAY26"/>
      <sheetName val="% Penetración Mdo JUN26"/>
      <sheetName val="% Penetración Mdo JUL26"/>
      <sheetName val="% Penetración Mdo AGO26"/>
      <sheetName val="% Penetración Mdo SEP26"/>
      <sheetName val="% Penetración Mdo OCT26"/>
      <sheetName val="% Penetración Mdo NOV26"/>
      <sheetName val="% Distritos acumulados"/>
      <sheetName val="% Penetración Mdo (Formulad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7">
          <cell r="B7">
            <v>100730</v>
          </cell>
          <cell r="C7" t="str">
            <v>Adler Motor</v>
          </cell>
          <cell r="D7">
            <v>415</v>
          </cell>
          <cell r="E7">
            <v>98</v>
          </cell>
          <cell r="F7">
            <v>0.236144578313253</v>
          </cell>
          <cell r="G7">
            <v>47</v>
          </cell>
          <cell r="H7">
            <v>19</v>
          </cell>
          <cell r="I7">
            <v>0.40425531914893614</v>
          </cell>
          <cell r="J7">
            <v>462</v>
          </cell>
          <cell r="K7">
            <v>117</v>
          </cell>
        </row>
        <row r="8">
          <cell r="B8">
            <v>100764</v>
          </cell>
          <cell r="C8" t="str">
            <v>Albamoción</v>
          </cell>
          <cell r="D8">
            <v>357</v>
          </cell>
          <cell r="E8">
            <v>121</v>
          </cell>
          <cell r="F8">
            <v>0.33893557422969189</v>
          </cell>
          <cell r="G8">
            <v>29</v>
          </cell>
          <cell r="H8">
            <v>9</v>
          </cell>
          <cell r="I8">
            <v>0.31034482758620691</v>
          </cell>
          <cell r="J8">
            <v>386</v>
          </cell>
          <cell r="K8">
            <v>130</v>
          </cell>
        </row>
        <row r="9">
          <cell r="B9">
            <v>100346</v>
          </cell>
          <cell r="C9" t="str">
            <v>Amiocar</v>
          </cell>
          <cell r="D9">
            <v>162</v>
          </cell>
          <cell r="E9">
            <v>26</v>
          </cell>
          <cell r="F9">
            <v>0.16049382716049382</v>
          </cell>
          <cell r="G9">
            <v>13</v>
          </cell>
          <cell r="H9">
            <v>8</v>
          </cell>
          <cell r="I9">
            <v>0.61538461538461542</v>
          </cell>
          <cell r="J9">
            <v>175</v>
          </cell>
          <cell r="K9">
            <v>34</v>
          </cell>
        </row>
        <row r="10">
          <cell r="B10">
            <v>100348</v>
          </cell>
          <cell r="C10" t="str">
            <v>Augusta Aragón</v>
          </cell>
          <cell r="D10">
            <v>387</v>
          </cell>
          <cell r="E10">
            <v>175</v>
          </cell>
          <cell r="F10">
            <v>0.45219638242894056</v>
          </cell>
          <cell r="G10">
            <v>41</v>
          </cell>
          <cell r="H10">
            <v>34</v>
          </cell>
          <cell r="I10">
            <v>0.82926829268292679</v>
          </cell>
          <cell r="J10">
            <v>428</v>
          </cell>
          <cell r="K10">
            <v>209</v>
          </cell>
        </row>
        <row r="11">
          <cell r="B11">
            <v>100349</v>
          </cell>
          <cell r="C11" t="str">
            <v>Auto Premier</v>
          </cell>
          <cell r="D11">
            <v>842</v>
          </cell>
          <cell r="E11">
            <v>338</v>
          </cell>
          <cell r="F11">
            <v>0.40142517814726841</v>
          </cell>
          <cell r="G11">
            <v>138</v>
          </cell>
          <cell r="H11">
            <v>83</v>
          </cell>
          <cell r="I11">
            <v>0.60144927536231885</v>
          </cell>
          <cell r="J11">
            <v>980</v>
          </cell>
          <cell r="K11">
            <v>421</v>
          </cell>
        </row>
        <row r="12">
          <cell r="B12">
            <v>100597</v>
          </cell>
          <cell r="C12" t="str">
            <v>Autoberón</v>
          </cell>
          <cell r="D12">
            <v>98</v>
          </cell>
          <cell r="E12">
            <v>38</v>
          </cell>
          <cell r="F12">
            <v>0.38775510204081631</v>
          </cell>
          <cell r="G12">
            <v>5</v>
          </cell>
          <cell r="H12">
            <v>0</v>
          </cell>
          <cell r="I12">
            <v>0</v>
          </cell>
          <cell r="J12">
            <v>103</v>
          </cell>
          <cell r="K12">
            <v>38</v>
          </cell>
        </row>
        <row r="13">
          <cell r="B13">
            <v>100120</v>
          </cell>
          <cell r="C13" t="str">
            <v>Autogal</v>
          </cell>
          <cell r="D13">
            <v>81</v>
          </cell>
          <cell r="E13">
            <v>32</v>
          </cell>
          <cell r="F13">
            <v>0.39506172839506171</v>
          </cell>
          <cell r="G13">
            <v>11</v>
          </cell>
          <cell r="H13">
            <v>1</v>
          </cell>
          <cell r="I13">
            <v>9.0909090909090912E-2</v>
          </cell>
          <cell r="J13">
            <v>92</v>
          </cell>
          <cell r="K13">
            <v>33</v>
          </cell>
        </row>
        <row r="14">
          <cell r="B14">
            <v>100586</v>
          </cell>
          <cell r="C14" t="str">
            <v>Automotor</v>
          </cell>
          <cell r="D14">
            <v>1147</v>
          </cell>
          <cell r="E14">
            <v>290</v>
          </cell>
          <cell r="F14">
            <v>0.25283347863993028</v>
          </cell>
          <cell r="G14">
            <v>262</v>
          </cell>
          <cell r="H14">
            <v>101</v>
          </cell>
          <cell r="I14">
            <v>0.38549618320610685</v>
          </cell>
          <cell r="J14">
            <v>1409</v>
          </cell>
          <cell r="K14">
            <v>391</v>
          </cell>
        </row>
        <row r="15">
          <cell r="B15">
            <v>100813</v>
          </cell>
          <cell r="C15" t="str">
            <v>Automotor Costa</v>
          </cell>
          <cell r="D15">
            <v>324</v>
          </cell>
          <cell r="E15">
            <v>218</v>
          </cell>
          <cell r="F15">
            <v>0.6728395061728395</v>
          </cell>
          <cell r="G15">
            <v>59</v>
          </cell>
          <cell r="H15">
            <v>46</v>
          </cell>
          <cell r="I15">
            <v>0.77966101694915257</v>
          </cell>
          <cell r="J15">
            <v>383</v>
          </cell>
          <cell r="K15">
            <v>264</v>
          </cell>
        </row>
        <row r="16">
          <cell r="B16">
            <v>100454</v>
          </cell>
          <cell r="C16" t="str">
            <v>Autoramgar</v>
          </cell>
          <cell r="D16">
            <v>68</v>
          </cell>
          <cell r="E16">
            <v>19</v>
          </cell>
          <cell r="F16">
            <v>0.27941176470588236</v>
          </cell>
          <cell r="G16">
            <v>3</v>
          </cell>
          <cell r="H16">
            <v>0</v>
          </cell>
          <cell r="I16">
            <v>0</v>
          </cell>
          <cell r="J16">
            <v>71</v>
          </cell>
          <cell r="K16">
            <v>19</v>
          </cell>
        </row>
        <row r="17">
          <cell r="B17">
            <v>100155</v>
          </cell>
          <cell r="C17" t="str">
            <v>Autosa Oviedo</v>
          </cell>
          <cell r="D17">
            <v>159</v>
          </cell>
          <cell r="E17">
            <v>62</v>
          </cell>
          <cell r="F17">
            <v>0.38993710691823902</v>
          </cell>
          <cell r="G17">
            <v>39</v>
          </cell>
          <cell r="H17">
            <v>13</v>
          </cell>
          <cell r="I17">
            <v>0.33333333333333331</v>
          </cell>
          <cell r="J17">
            <v>198</v>
          </cell>
          <cell r="K17">
            <v>75</v>
          </cell>
        </row>
        <row r="18">
          <cell r="B18">
            <v>100307</v>
          </cell>
          <cell r="C18" t="str">
            <v>Avilcar</v>
          </cell>
          <cell r="D18">
            <v>179</v>
          </cell>
          <cell r="E18">
            <v>45</v>
          </cell>
          <cell r="F18">
            <v>0.25139664804469275</v>
          </cell>
          <cell r="G18">
            <v>17</v>
          </cell>
          <cell r="H18">
            <v>1</v>
          </cell>
          <cell r="I18">
            <v>5.8823529411764705E-2</v>
          </cell>
          <cell r="J18">
            <v>196</v>
          </cell>
          <cell r="K18">
            <v>46</v>
          </cell>
        </row>
        <row r="19">
          <cell r="B19">
            <v>100572</v>
          </cell>
          <cell r="C19" t="str">
            <v>Barcelona Premium</v>
          </cell>
          <cell r="D19">
            <v>642</v>
          </cell>
          <cell r="E19">
            <v>268</v>
          </cell>
          <cell r="F19">
            <v>0.4174454828660436</v>
          </cell>
          <cell r="G19">
            <v>177</v>
          </cell>
          <cell r="H19">
            <v>153</v>
          </cell>
          <cell r="I19">
            <v>0.86440677966101698</v>
          </cell>
          <cell r="J19">
            <v>819</v>
          </cell>
          <cell r="K19">
            <v>421</v>
          </cell>
        </row>
        <row r="20">
          <cell r="B20">
            <v>100739</v>
          </cell>
          <cell r="C20" t="str">
            <v>Bernesga Motor</v>
          </cell>
          <cell r="D20">
            <v>142</v>
          </cell>
          <cell r="E20">
            <v>55</v>
          </cell>
          <cell r="F20">
            <v>0.38732394366197181</v>
          </cell>
          <cell r="G20">
            <v>25</v>
          </cell>
          <cell r="H20">
            <v>18</v>
          </cell>
          <cell r="I20">
            <v>0.72</v>
          </cell>
          <cell r="J20">
            <v>167</v>
          </cell>
          <cell r="K20">
            <v>73</v>
          </cell>
        </row>
        <row r="21">
          <cell r="B21">
            <v>100002</v>
          </cell>
          <cell r="C21" t="str">
            <v>Bertolin</v>
          </cell>
          <cell r="D21">
            <v>290</v>
          </cell>
          <cell r="E21">
            <v>96</v>
          </cell>
          <cell r="F21">
            <v>0.33103448275862069</v>
          </cell>
          <cell r="G21">
            <v>90</v>
          </cell>
          <cell r="H21">
            <v>52</v>
          </cell>
          <cell r="I21">
            <v>0.57777777777777772</v>
          </cell>
          <cell r="J21">
            <v>380</v>
          </cell>
          <cell r="K21">
            <v>148</v>
          </cell>
        </row>
        <row r="22">
          <cell r="B22">
            <v>100190</v>
          </cell>
          <cell r="C22" t="str">
            <v>Burgocar Cial.del Automóv.</v>
          </cell>
          <cell r="D22">
            <v>196</v>
          </cell>
          <cell r="E22">
            <v>101</v>
          </cell>
          <cell r="F22">
            <v>0.51530612244897955</v>
          </cell>
          <cell r="G22">
            <v>41</v>
          </cell>
          <cell r="H22">
            <v>31</v>
          </cell>
          <cell r="I22">
            <v>0.75609756097560976</v>
          </cell>
          <cell r="J22">
            <v>237</v>
          </cell>
          <cell r="K22">
            <v>132</v>
          </cell>
        </row>
        <row r="23">
          <cell r="B23">
            <v>100873</v>
          </cell>
          <cell r="C23" t="str">
            <v>BYmyCAR</v>
          </cell>
          <cell r="D23">
            <v>802</v>
          </cell>
          <cell r="E23">
            <v>312</v>
          </cell>
          <cell r="F23">
            <v>0.38902743142144636</v>
          </cell>
          <cell r="G23">
            <v>197</v>
          </cell>
          <cell r="H23">
            <v>107</v>
          </cell>
          <cell r="I23">
            <v>0.54314720812182737</v>
          </cell>
          <cell r="J23">
            <v>999</v>
          </cell>
          <cell r="K23">
            <v>419</v>
          </cell>
        </row>
        <row r="24">
          <cell r="B24">
            <v>100585</v>
          </cell>
          <cell r="C24" t="str">
            <v>Cabrero Motosport</v>
          </cell>
          <cell r="D24">
            <v>78</v>
          </cell>
          <cell r="E24">
            <v>43</v>
          </cell>
          <cell r="F24">
            <v>0.55128205128205132</v>
          </cell>
          <cell r="G24">
            <v>7</v>
          </cell>
          <cell r="H24">
            <v>0</v>
          </cell>
          <cell r="I24">
            <v>0</v>
          </cell>
          <cell r="J24">
            <v>85</v>
          </cell>
          <cell r="K24">
            <v>43</v>
          </cell>
        </row>
        <row r="25">
          <cell r="B25">
            <v>100389</v>
          </cell>
          <cell r="C25" t="str">
            <v>Canaauto</v>
          </cell>
          <cell r="D25">
            <v>273</v>
          </cell>
          <cell r="E25">
            <v>139</v>
          </cell>
          <cell r="F25">
            <v>0.50915750915750912</v>
          </cell>
          <cell r="G25">
            <v>73</v>
          </cell>
          <cell r="H25">
            <v>28</v>
          </cell>
          <cell r="I25">
            <v>0.38356164383561642</v>
          </cell>
          <cell r="J25">
            <v>346</v>
          </cell>
          <cell r="K25">
            <v>167</v>
          </cell>
        </row>
        <row r="26">
          <cell r="B26">
            <v>100549</v>
          </cell>
          <cell r="C26" t="str">
            <v>Carteya Motor</v>
          </cell>
          <cell r="D26">
            <v>76</v>
          </cell>
          <cell r="E26">
            <v>46</v>
          </cell>
          <cell r="F26">
            <v>0.60526315789473684</v>
          </cell>
          <cell r="G26">
            <v>23</v>
          </cell>
          <cell r="H26">
            <v>19</v>
          </cell>
          <cell r="I26">
            <v>0.82608695652173914</v>
          </cell>
          <cell r="J26">
            <v>99</v>
          </cell>
          <cell r="K26">
            <v>65</v>
          </cell>
        </row>
        <row r="27">
          <cell r="B27">
            <v>100410</v>
          </cell>
          <cell r="C27" t="str">
            <v>Celtamotor</v>
          </cell>
          <cell r="D27">
            <v>315</v>
          </cell>
          <cell r="E27">
            <v>146</v>
          </cell>
          <cell r="F27">
            <v>0.46349206349206351</v>
          </cell>
          <cell r="G27">
            <v>82</v>
          </cell>
          <cell r="H27">
            <v>45</v>
          </cell>
          <cell r="I27">
            <v>0.54878048780487809</v>
          </cell>
          <cell r="J27">
            <v>397</v>
          </cell>
          <cell r="K27">
            <v>191</v>
          </cell>
        </row>
        <row r="28">
          <cell r="B28">
            <v>100380</v>
          </cell>
          <cell r="C28" t="str">
            <v>Ceres Motor</v>
          </cell>
          <cell r="D28">
            <v>347</v>
          </cell>
          <cell r="E28">
            <v>122</v>
          </cell>
          <cell r="F28">
            <v>0.35158501440922191</v>
          </cell>
          <cell r="G28">
            <v>22</v>
          </cell>
          <cell r="H28">
            <v>12</v>
          </cell>
          <cell r="I28">
            <v>0.54545454545454541</v>
          </cell>
          <cell r="J28">
            <v>369</v>
          </cell>
          <cell r="K28">
            <v>134</v>
          </cell>
        </row>
        <row r="29">
          <cell r="B29">
            <v>100726</v>
          </cell>
          <cell r="C29" t="str">
            <v>Enekuri Motor</v>
          </cell>
          <cell r="D29">
            <v>174</v>
          </cell>
          <cell r="E29">
            <v>91</v>
          </cell>
          <cell r="F29">
            <v>0.52298850574712641</v>
          </cell>
          <cell r="G29">
            <v>56</v>
          </cell>
          <cell r="H29">
            <v>31</v>
          </cell>
          <cell r="I29">
            <v>0.5535714285714286</v>
          </cell>
          <cell r="J29">
            <v>230</v>
          </cell>
          <cell r="K29">
            <v>122</v>
          </cell>
        </row>
        <row r="30">
          <cell r="B30">
            <v>100311</v>
          </cell>
          <cell r="C30" t="str">
            <v>Engasa</v>
          </cell>
          <cell r="D30">
            <v>465</v>
          </cell>
          <cell r="E30">
            <v>109</v>
          </cell>
          <cell r="F30">
            <v>0.23440860215053763</v>
          </cell>
          <cell r="G30">
            <v>87</v>
          </cell>
          <cell r="H30">
            <v>36</v>
          </cell>
          <cell r="I30">
            <v>0.41379310344827586</v>
          </cell>
          <cell r="J30">
            <v>552</v>
          </cell>
          <cell r="K30">
            <v>145</v>
          </cell>
        </row>
        <row r="31">
          <cell r="B31">
            <v>100062</v>
          </cell>
          <cell r="C31" t="str">
            <v>Fersan</v>
          </cell>
          <cell r="D31">
            <v>640</v>
          </cell>
          <cell r="E31">
            <v>237</v>
          </cell>
          <cell r="F31">
            <v>0.37031249999999999</v>
          </cell>
          <cell r="G31">
            <v>172</v>
          </cell>
          <cell r="H31">
            <v>78</v>
          </cell>
          <cell r="I31">
            <v>0.45348837209302323</v>
          </cell>
          <cell r="J31">
            <v>812</v>
          </cell>
          <cell r="K31">
            <v>315</v>
          </cell>
        </row>
        <row r="32">
          <cell r="B32">
            <v>100418</v>
          </cell>
          <cell r="C32" t="str">
            <v>Fuenteolid</v>
          </cell>
          <cell r="D32">
            <v>227</v>
          </cell>
          <cell r="E32">
            <v>54</v>
          </cell>
          <cell r="F32">
            <v>0.23788546255506607</v>
          </cell>
          <cell r="G32">
            <v>28</v>
          </cell>
          <cell r="H32">
            <v>14</v>
          </cell>
          <cell r="I32">
            <v>0.5</v>
          </cell>
          <cell r="J32">
            <v>255</v>
          </cell>
          <cell r="K32">
            <v>68</v>
          </cell>
        </row>
        <row r="33">
          <cell r="B33">
            <v>100015</v>
          </cell>
          <cell r="C33" t="str">
            <v>Grünblau Motor</v>
          </cell>
          <cell r="D33">
            <v>171</v>
          </cell>
          <cell r="E33">
            <v>67</v>
          </cell>
          <cell r="F33">
            <v>0.391812865497076</v>
          </cell>
          <cell r="G33">
            <v>31</v>
          </cell>
          <cell r="H33">
            <v>17</v>
          </cell>
          <cell r="I33">
            <v>0.54838709677419351</v>
          </cell>
          <cell r="J33">
            <v>202</v>
          </cell>
          <cell r="K33">
            <v>84</v>
          </cell>
        </row>
        <row r="34">
          <cell r="B34">
            <v>100206</v>
          </cell>
          <cell r="C34" t="str">
            <v>Hispamovil</v>
          </cell>
          <cell r="D34">
            <v>423</v>
          </cell>
          <cell r="E34">
            <v>177</v>
          </cell>
          <cell r="F34">
            <v>0.41843971631205673</v>
          </cell>
          <cell r="G34">
            <v>85</v>
          </cell>
          <cell r="H34">
            <v>53</v>
          </cell>
          <cell r="I34">
            <v>0.62352941176470589</v>
          </cell>
          <cell r="J34">
            <v>508</v>
          </cell>
          <cell r="K34">
            <v>230</v>
          </cell>
        </row>
        <row r="35">
          <cell r="B35">
            <v>100323</v>
          </cell>
          <cell r="C35" t="str">
            <v>Ibericar Cuzco</v>
          </cell>
          <cell r="D35">
            <v>951</v>
          </cell>
          <cell r="E35">
            <v>230</v>
          </cell>
          <cell r="F35">
            <v>0.24185068349106204</v>
          </cell>
          <cell r="G35">
            <v>236</v>
          </cell>
          <cell r="H35">
            <v>63</v>
          </cell>
          <cell r="I35">
            <v>0.26694915254237289</v>
          </cell>
          <cell r="J35">
            <v>1187</v>
          </cell>
          <cell r="K35">
            <v>293</v>
          </cell>
        </row>
        <row r="36">
          <cell r="B36">
            <v>100589</v>
          </cell>
          <cell r="C36" t="str">
            <v>Ilbira Motor</v>
          </cell>
          <cell r="D36">
            <v>536</v>
          </cell>
          <cell r="E36">
            <v>135</v>
          </cell>
          <cell r="F36">
            <v>0.25186567164179102</v>
          </cell>
          <cell r="G36">
            <v>35</v>
          </cell>
          <cell r="H36">
            <v>22</v>
          </cell>
          <cell r="I36">
            <v>0.62857142857142856</v>
          </cell>
          <cell r="J36">
            <v>571</v>
          </cell>
          <cell r="K36">
            <v>157</v>
          </cell>
        </row>
        <row r="37">
          <cell r="B37">
            <v>100146</v>
          </cell>
          <cell r="C37" t="str">
            <v>Lugauto</v>
          </cell>
          <cell r="D37">
            <v>95</v>
          </cell>
          <cell r="E37">
            <v>25</v>
          </cell>
          <cell r="F37">
            <v>0.26315789473684209</v>
          </cell>
          <cell r="G37">
            <v>12</v>
          </cell>
          <cell r="H37">
            <v>2</v>
          </cell>
          <cell r="I37">
            <v>0.16666666666666666</v>
          </cell>
          <cell r="J37">
            <v>107</v>
          </cell>
          <cell r="K37">
            <v>27</v>
          </cell>
        </row>
        <row r="38">
          <cell r="B38">
            <v>100917</v>
          </cell>
          <cell r="C38" t="str">
            <v>Momentum Norte</v>
          </cell>
          <cell r="D38">
            <v>611</v>
          </cell>
          <cell r="E38">
            <v>48</v>
          </cell>
          <cell r="F38">
            <v>7.855973813420622E-2</v>
          </cell>
          <cell r="G38">
            <v>119</v>
          </cell>
          <cell r="H38">
            <v>19</v>
          </cell>
          <cell r="I38">
            <v>0.15966386554621848</v>
          </cell>
          <cell r="J38">
            <v>730</v>
          </cell>
          <cell r="K38">
            <v>67</v>
          </cell>
        </row>
        <row r="39">
          <cell r="B39">
            <v>100394</v>
          </cell>
          <cell r="C39" t="str">
            <v>Maberauto</v>
          </cell>
          <cell r="D39">
            <v>166</v>
          </cell>
          <cell r="E39">
            <v>43</v>
          </cell>
          <cell r="F39">
            <v>0.25903614457831325</v>
          </cell>
          <cell r="G39">
            <v>29</v>
          </cell>
          <cell r="H39">
            <v>11</v>
          </cell>
          <cell r="I39">
            <v>0.37931034482758619</v>
          </cell>
          <cell r="J39">
            <v>195</v>
          </cell>
          <cell r="K39">
            <v>54</v>
          </cell>
        </row>
        <row r="40">
          <cell r="B40">
            <v>100738</v>
          </cell>
          <cell r="C40" t="str">
            <v>Marmotor</v>
          </cell>
          <cell r="D40">
            <v>319</v>
          </cell>
          <cell r="E40">
            <v>64</v>
          </cell>
          <cell r="F40">
            <v>0.20062695924764889</v>
          </cell>
          <cell r="G40">
            <v>103</v>
          </cell>
          <cell r="H40">
            <v>27</v>
          </cell>
          <cell r="I40">
            <v>0.26213592233009708</v>
          </cell>
          <cell r="J40">
            <v>422</v>
          </cell>
          <cell r="K40">
            <v>91</v>
          </cell>
        </row>
        <row r="41">
          <cell r="F41" t="str">
            <v>n.d.</v>
          </cell>
          <cell r="I41" t="str">
            <v>n.d.</v>
          </cell>
          <cell r="J41">
            <v>0</v>
          </cell>
          <cell r="K41">
            <v>0</v>
          </cell>
        </row>
        <row r="42">
          <cell r="B42">
            <v>100909</v>
          </cell>
          <cell r="C42" t="str">
            <v>Quadis Munich</v>
          </cell>
          <cell r="D42">
            <v>417</v>
          </cell>
          <cell r="E42">
            <v>122</v>
          </cell>
          <cell r="F42">
            <v>0.29256594724220625</v>
          </cell>
          <cell r="G42">
            <v>147</v>
          </cell>
          <cell r="H42">
            <v>55</v>
          </cell>
          <cell r="I42">
            <v>0.37414965986394561</v>
          </cell>
          <cell r="J42">
            <v>564</v>
          </cell>
          <cell r="K42">
            <v>177</v>
          </cell>
        </row>
        <row r="43">
          <cell r="B43">
            <v>100819</v>
          </cell>
          <cell r="C43" t="str">
            <v>Motri Motor</v>
          </cell>
          <cell r="D43">
            <v>396</v>
          </cell>
          <cell r="E43">
            <v>103</v>
          </cell>
          <cell r="F43">
            <v>0.26010101010101011</v>
          </cell>
          <cell r="G43">
            <v>28</v>
          </cell>
          <cell r="H43">
            <v>16</v>
          </cell>
          <cell r="I43">
            <v>0.5714285714285714</v>
          </cell>
          <cell r="J43">
            <v>424</v>
          </cell>
          <cell r="K43">
            <v>119</v>
          </cell>
        </row>
        <row r="44">
          <cell r="B44">
            <v>100881</v>
          </cell>
          <cell r="C44" t="str">
            <v>Movitransa</v>
          </cell>
          <cell r="D44">
            <v>554</v>
          </cell>
          <cell r="E44">
            <v>168</v>
          </cell>
          <cell r="F44">
            <v>0.30324909747292417</v>
          </cell>
          <cell r="G44">
            <v>65</v>
          </cell>
          <cell r="H44">
            <v>39</v>
          </cell>
          <cell r="I44">
            <v>0.6</v>
          </cell>
          <cell r="J44">
            <v>619</v>
          </cell>
          <cell r="K44">
            <v>207</v>
          </cell>
        </row>
        <row r="45">
          <cell r="B45">
            <v>100468</v>
          </cell>
          <cell r="C45" t="str">
            <v>Movil Begar</v>
          </cell>
          <cell r="D45">
            <v>223</v>
          </cell>
          <cell r="E45">
            <v>212</v>
          </cell>
          <cell r="F45">
            <v>0.95067264573991028</v>
          </cell>
          <cell r="G45">
            <v>24</v>
          </cell>
          <cell r="H45">
            <v>24</v>
          </cell>
          <cell r="I45">
            <v>1</v>
          </cell>
          <cell r="J45">
            <v>247</v>
          </cell>
          <cell r="K45">
            <v>236</v>
          </cell>
        </row>
        <row r="46">
          <cell r="B46">
            <v>100213</v>
          </cell>
          <cell r="C46" t="str">
            <v>Movilnorte</v>
          </cell>
          <cell r="D46">
            <v>822</v>
          </cell>
          <cell r="E46">
            <v>299</v>
          </cell>
          <cell r="F46">
            <v>0.36374695863746959</v>
          </cell>
          <cell r="G46">
            <v>232</v>
          </cell>
          <cell r="H46">
            <v>124</v>
          </cell>
          <cell r="I46">
            <v>0.53448275862068961</v>
          </cell>
          <cell r="J46">
            <v>1054</v>
          </cell>
          <cell r="K46">
            <v>423</v>
          </cell>
        </row>
        <row r="47">
          <cell r="B47">
            <v>100393</v>
          </cell>
          <cell r="C47" t="str">
            <v>Murcia Premium</v>
          </cell>
          <cell r="D47">
            <v>560</v>
          </cell>
          <cell r="E47">
            <v>110</v>
          </cell>
          <cell r="F47">
            <v>0.19642857142857142</v>
          </cell>
          <cell r="G47">
            <v>82</v>
          </cell>
          <cell r="H47">
            <v>45</v>
          </cell>
          <cell r="I47">
            <v>0.54878048780487809</v>
          </cell>
          <cell r="J47">
            <v>642</v>
          </cell>
          <cell r="K47">
            <v>155</v>
          </cell>
        </row>
        <row r="48">
          <cell r="B48">
            <v>100304</v>
          </cell>
          <cell r="C48" t="str">
            <v>Novomovil</v>
          </cell>
          <cell r="D48">
            <v>172</v>
          </cell>
          <cell r="E48">
            <v>96</v>
          </cell>
          <cell r="F48">
            <v>0.55813953488372092</v>
          </cell>
          <cell r="G48">
            <v>64</v>
          </cell>
          <cell r="H48">
            <v>40</v>
          </cell>
          <cell r="I48">
            <v>0.625</v>
          </cell>
          <cell r="J48">
            <v>236</v>
          </cell>
          <cell r="K48">
            <v>136</v>
          </cell>
        </row>
        <row r="49">
          <cell r="B49">
            <v>100728</v>
          </cell>
          <cell r="C49" t="str">
            <v>Oliva Motor</v>
          </cell>
          <cell r="D49">
            <v>329</v>
          </cell>
          <cell r="E49">
            <v>212</v>
          </cell>
          <cell r="F49">
            <v>0.64437689969604861</v>
          </cell>
          <cell r="G49">
            <v>73</v>
          </cell>
          <cell r="H49">
            <v>71</v>
          </cell>
          <cell r="I49">
            <v>0.9726027397260274</v>
          </cell>
          <cell r="J49">
            <v>402</v>
          </cell>
          <cell r="K49">
            <v>283</v>
          </cell>
        </row>
        <row r="50">
          <cell r="B50">
            <v>100817</v>
          </cell>
          <cell r="C50" t="str">
            <v>Oliva Motor Girona</v>
          </cell>
          <cell r="D50">
            <v>372</v>
          </cell>
          <cell r="E50">
            <v>218</v>
          </cell>
          <cell r="F50">
            <v>0.58602150537634412</v>
          </cell>
          <cell r="G50">
            <v>105</v>
          </cell>
          <cell r="H50">
            <v>103</v>
          </cell>
          <cell r="I50">
            <v>0.98095238095238091</v>
          </cell>
          <cell r="J50">
            <v>477</v>
          </cell>
          <cell r="K50">
            <v>321</v>
          </cell>
        </row>
        <row r="51">
          <cell r="B51">
            <v>100734</v>
          </cell>
          <cell r="C51" t="str">
            <v>Proa Premium</v>
          </cell>
          <cell r="D51">
            <v>377</v>
          </cell>
          <cell r="E51">
            <v>201</v>
          </cell>
          <cell r="F51">
            <v>0.53315649867374004</v>
          </cell>
          <cell r="G51">
            <v>306</v>
          </cell>
          <cell r="H51">
            <v>125</v>
          </cell>
          <cell r="I51">
            <v>0.40849673202614378</v>
          </cell>
          <cell r="J51">
            <v>683</v>
          </cell>
          <cell r="K51">
            <v>326</v>
          </cell>
        </row>
        <row r="52">
          <cell r="B52">
            <v>100584</v>
          </cell>
          <cell r="C52" t="str">
            <v>Pruna Motor</v>
          </cell>
          <cell r="D52">
            <v>234</v>
          </cell>
          <cell r="E52">
            <v>115</v>
          </cell>
          <cell r="F52">
            <v>0.49145299145299143</v>
          </cell>
          <cell r="G52">
            <v>123</v>
          </cell>
          <cell r="H52">
            <v>62</v>
          </cell>
          <cell r="I52">
            <v>0.50406504065040647</v>
          </cell>
          <cell r="J52">
            <v>357</v>
          </cell>
          <cell r="K52">
            <v>177</v>
          </cell>
        </row>
        <row r="53">
          <cell r="B53">
            <v>100344</v>
          </cell>
          <cell r="C53" t="str">
            <v>San Pablo Motor</v>
          </cell>
          <cell r="D53">
            <v>857</v>
          </cell>
          <cell r="E53">
            <v>201</v>
          </cell>
          <cell r="F53">
            <v>0.23453908984830804</v>
          </cell>
          <cell r="G53">
            <v>85</v>
          </cell>
          <cell r="H53">
            <v>50</v>
          </cell>
          <cell r="I53">
            <v>0.58823529411764708</v>
          </cell>
          <cell r="J53">
            <v>942</v>
          </cell>
          <cell r="K53">
            <v>251</v>
          </cell>
        </row>
        <row r="54">
          <cell r="B54">
            <v>100422</v>
          </cell>
          <cell r="C54" t="str">
            <v>San Rafael</v>
          </cell>
          <cell r="D54">
            <v>257</v>
          </cell>
          <cell r="E54">
            <v>83</v>
          </cell>
          <cell r="F54">
            <v>0.32295719844357978</v>
          </cell>
          <cell r="G54">
            <v>32</v>
          </cell>
          <cell r="H54">
            <v>21</v>
          </cell>
          <cell r="I54">
            <v>0.65625</v>
          </cell>
          <cell r="J54">
            <v>289</v>
          </cell>
          <cell r="K54">
            <v>104</v>
          </cell>
        </row>
        <row r="55">
          <cell r="B55">
            <v>100765</v>
          </cell>
          <cell r="C55" t="str">
            <v>T. Martín Lizaga</v>
          </cell>
          <cell r="D55">
            <v>44</v>
          </cell>
          <cell r="E55">
            <v>29</v>
          </cell>
          <cell r="F55">
            <v>0.65909090909090906</v>
          </cell>
          <cell r="G55">
            <v>2</v>
          </cell>
          <cell r="H55">
            <v>1</v>
          </cell>
          <cell r="I55">
            <v>0.5</v>
          </cell>
          <cell r="J55">
            <v>46</v>
          </cell>
          <cell r="K55">
            <v>30</v>
          </cell>
        </row>
        <row r="56">
          <cell r="B56">
            <v>100571</v>
          </cell>
          <cell r="C56" t="str">
            <v>Tormes Motor</v>
          </cell>
          <cell r="D56">
            <v>122</v>
          </cell>
          <cell r="E56">
            <v>8</v>
          </cell>
          <cell r="F56">
            <v>6.5573770491803282E-2</v>
          </cell>
          <cell r="G56">
            <v>12</v>
          </cell>
          <cell r="H56">
            <v>7</v>
          </cell>
          <cell r="I56">
            <v>0.58333333333333337</v>
          </cell>
          <cell r="J56">
            <v>134</v>
          </cell>
          <cell r="K56">
            <v>15</v>
          </cell>
        </row>
        <row r="57">
          <cell r="B57">
            <v>100379</v>
          </cell>
          <cell r="C57" t="str">
            <v>Triocar</v>
          </cell>
          <cell r="D57">
            <v>119</v>
          </cell>
          <cell r="E57">
            <v>119</v>
          </cell>
          <cell r="F57">
            <v>1</v>
          </cell>
          <cell r="G57">
            <v>42</v>
          </cell>
          <cell r="H57">
            <v>34</v>
          </cell>
          <cell r="I57">
            <v>0.80952380952380953</v>
          </cell>
          <cell r="J57">
            <v>161</v>
          </cell>
          <cell r="K57">
            <v>153</v>
          </cell>
        </row>
        <row r="58">
          <cell r="B58">
            <v>100727</v>
          </cell>
          <cell r="C58" t="str">
            <v>Unicars</v>
          </cell>
          <cell r="D58">
            <v>160</v>
          </cell>
          <cell r="E58">
            <v>78</v>
          </cell>
          <cell r="F58">
            <v>0.48749999999999999</v>
          </cell>
          <cell r="G58">
            <v>31</v>
          </cell>
          <cell r="H58">
            <v>15</v>
          </cell>
          <cell r="I58">
            <v>0.4838709677419355</v>
          </cell>
          <cell r="J58">
            <v>191</v>
          </cell>
          <cell r="K58">
            <v>93</v>
          </cell>
        </row>
        <row r="59">
          <cell r="B59">
            <v>100319</v>
          </cell>
          <cell r="C59" t="str">
            <v>Vehinter</v>
          </cell>
          <cell r="D59">
            <v>794</v>
          </cell>
          <cell r="E59">
            <v>330</v>
          </cell>
          <cell r="F59">
            <v>0.41561712846347609</v>
          </cell>
          <cell r="G59">
            <v>113</v>
          </cell>
          <cell r="H59">
            <v>84</v>
          </cell>
          <cell r="I59">
            <v>0.74336283185840712</v>
          </cell>
          <cell r="J59">
            <v>907</v>
          </cell>
          <cell r="K59">
            <v>414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didos"/>
      <sheetName val="Delegados"/>
      <sheetName val="Fecha Pedidos"/>
      <sheetName val="Notas"/>
    </sheetNames>
    <sheetDataSet>
      <sheetData sheetId="0">
        <row r="7">
          <cell r="B7">
            <v>1</v>
          </cell>
          <cell r="C7">
            <v>100323</v>
          </cell>
        </row>
        <row r="8">
          <cell r="B8">
            <v>1</v>
          </cell>
          <cell r="C8">
            <v>100873</v>
          </cell>
        </row>
        <row r="9">
          <cell r="B9">
            <v>1</v>
          </cell>
          <cell r="C9">
            <v>100389</v>
          </cell>
        </row>
        <row r="10">
          <cell r="B10">
            <v>1</v>
          </cell>
          <cell r="C10">
            <v>100738</v>
          </cell>
        </row>
        <row r="11">
          <cell r="B11">
            <v>1</v>
          </cell>
          <cell r="C11" t="str">
            <v>TOTAL D1</v>
          </cell>
        </row>
        <row r="12">
          <cell r="B12">
            <v>2</v>
          </cell>
          <cell r="C12">
            <v>100213</v>
          </cell>
        </row>
        <row r="13">
          <cell r="B13">
            <v>2</v>
          </cell>
          <cell r="C13">
            <v>100319</v>
          </cell>
        </row>
        <row r="14">
          <cell r="B14">
            <v>2</v>
          </cell>
          <cell r="C14">
            <v>100349</v>
          </cell>
        </row>
        <row r="15">
          <cell r="B15">
            <v>2</v>
          </cell>
          <cell r="C15">
            <v>100917</v>
          </cell>
        </row>
        <row r="16">
          <cell r="B16">
            <v>2</v>
          </cell>
          <cell r="C16">
            <v>100726</v>
          </cell>
        </row>
        <row r="17">
          <cell r="B17">
            <v>2</v>
          </cell>
          <cell r="C17" t="str">
            <v>TOTAL D2</v>
          </cell>
        </row>
        <row r="18">
          <cell r="B18">
            <v>3</v>
          </cell>
          <cell r="C18">
            <v>100307</v>
          </cell>
        </row>
        <row r="19">
          <cell r="B19">
            <v>3</v>
          </cell>
          <cell r="C19">
            <v>100380</v>
          </cell>
        </row>
        <row r="20">
          <cell r="B20">
            <v>3</v>
          </cell>
          <cell r="C20">
            <v>100418</v>
          </cell>
        </row>
        <row r="21">
          <cell r="B21">
            <v>3</v>
          </cell>
          <cell r="C21">
            <v>100730</v>
          </cell>
        </row>
        <row r="22">
          <cell r="B22">
            <v>3</v>
          </cell>
          <cell r="C22">
            <v>100764</v>
          </cell>
        </row>
        <row r="23">
          <cell r="B23">
            <v>3</v>
          </cell>
          <cell r="C23" t="str">
            <v>TOTAL D3</v>
          </cell>
        </row>
        <row r="24">
          <cell r="B24">
            <v>4</v>
          </cell>
          <cell r="C24">
            <v>100120</v>
          </cell>
        </row>
        <row r="25">
          <cell r="B25">
            <v>4</v>
          </cell>
          <cell r="C25">
            <v>100146</v>
          </cell>
        </row>
        <row r="26">
          <cell r="B26">
            <v>4</v>
          </cell>
          <cell r="C26">
            <v>100155</v>
          </cell>
        </row>
        <row r="27">
          <cell r="B27">
            <v>4</v>
          </cell>
          <cell r="C27">
            <v>100304</v>
          </cell>
        </row>
        <row r="28">
          <cell r="B28">
            <v>4</v>
          </cell>
          <cell r="C28">
            <v>100346</v>
          </cell>
        </row>
        <row r="29">
          <cell r="B29">
            <v>4</v>
          </cell>
          <cell r="C29">
            <v>100454</v>
          </cell>
        </row>
        <row r="30">
          <cell r="B30">
            <v>4</v>
          </cell>
          <cell r="C30">
            <v>100571</v>
          </cell>
        </row>
        <row r="31">
          <cell r="B31">
            <v>4</v>
          </cell>
          <cell r="C31" t="str">
            <v>TOTAL D4</v>
          </cell>
        </row>
        <row r="32">
          <cell r="B32">
            <v>5</v>
          </cell>
          <cell r="C32">
            <v>100015</v>
          </cell>
        </row>
        <row r="33">
          <cell r="B33">
            <v>5</v>
          </cell>
          <cell r="C33">
            <v>100190</v>
          </cell>
        </row>
        <row r="34">
          <cell r="B34">
            <v>5</v>
          </cell>
          <cell r="C34">
            <v>100379</v>
          </cell>
        </row>
        <row r="35">
          <cell r="B35">
            <v>5</v>
          </cell>
          <cell r="C35">
            <v>100410</v>
          </cell>
        </row>
        <row r="36">
          <cell r="B36">
            <v>5</v>
          </cell>
          <cell r="C36">
            <v>100739</v>
          </cell>
        </row>
        <row r="37">
          <cell r="B37">
            <v>5</v>
          </cell>
          <cell r="C37" t="str">
            <v>TOTAL D5</v>
          </cell>
        </row>
        <row r="38">
          <cell r="B38">
            <v>6</v>
          </cell>
          <cell r="C38">
            <v>100348</v>
          </cell>
        </row>
        <row r="39">
          <cell r="B39">
            <v>6</v>
          </cell>
          <cell r="C39">
            <v>100585</v>
          </cell>
        </row>
        <row r="40">
          <cell r="B40">
            <v>6</v>
          </cell>
          <cell r="C40">
            <v>100331</v>
          </cell>
        </row>
        <row r="41">
          <cell r="B41">
            <v>6</v>
          </cell>
          <cell r="C41">
            <v>100727</v>
          </cell>
        </row>
        <row r="42">
          <cell r="B42">
            <v>6</v>
          </cell>
          <cell r="C42">
            <v>100728</v>
          </cell>
        </row>
        <row r="43">
          <cell r="B43">
            <v>6</v>
          </cell>
          <cell r="C43">
            <v>100817</v>
          </cell>
        </row>
        <row r="44">
          <cell r="B44">
            <v>6</v>
          </cell>
          <cell r="C44" t="str">
            <v>TOTAL D6</v>
          </cell>
        </row>
        <row r="45">
          <cell r="B45">
            <v>7</v>
          </cell>
          <cell r="C45">
            <v>100909</v>
          </cell>
        </row>
        <row r="46">
          <cell r="B46">
            <v>7</v>
          </cell>
          <cell r="C46">
            <v>100572</v>
          </cell>
        </row>
        <row r="47">
          <cell r="B47">
            <v>7</v>
          </cell>
          <cell r="C47">
            <v>100584</v>
          </cell>
        </row>
        <row r="48">
          <cell r="B48">
            <v>7</v>
          </cell>
          <cell r="C48" t="str">
            <v>TOTAL D7</v>
          </cell>
        </row>
        <row r="49">
          <cell r="B49">
            <v>8</v>
          </cell>
          <cell r="C49">
            <v>100462</v>
          </cell>
        </row>
        <row r="50">
          <cell r="B50">
            <v>8</v>
          </cell>
          <cell r="C50">
            <v>100002</v>
          </cell>
        </row>
        <row r="51">
          <cell r="B51">
            <v>8</v>
          </cell>
          <cell r="C51">
            <v>100062</v>
          </cell>
        </row>
        <row r="52">
          <cell r="B52">
            <v>8</v>
          </cell>
          <cell r="C52">
            <v>100206</v>
          </cell>
        </row>
        <row r="53">
          <cell r="B53">
            <v>8</v>
          </cell>
          <cell r="C53">
            <v>100394</v>
          </cell>
        </row>
        <row r="54">
          <cell r="B54">
            <v>8</v>
          </cell>
          <cell r="C54">
            <v>100468</v>
          </cell>
        </row>
        <row r="55">
          <cell r="B55">
            <v>8</v>
          </cell>
          <cell r="C55" t="str">
            <v>TOTAL D8</v>
          </cell>
        </row>
        <row r="56">
          <cell r="B56">
            <v>9</v>
          </cell>
          <cell r="C56">
            <v>100734</v>
          </cell>
        </row>
        <row r="57">
          <cell r="B57">
            <v>9</v>
          </cell>
          <cell r="C57">
            <v>100311</v>
          </cell>
        </row>
        <row r="58">
          <cell r="B58">
            <v>9</v>
          </cell>
          <cell r="C58">
            <v>100393</v>
          </cell>
        </row>
        <row r="59">
          <cell r="B59">
            <v>9</v>
          </cell>
          <cell r="C59">
            <v>100586</v>
          </cell>
        </row>
        <row r="60">
          <cell r="B60">
            <v>9</v>
          </cell>
          <cell r="C60">
            <v>100813</v>
          </cell>
        </row>
        <row r="61">
          <cell r="B61">
            <v>9</v>
          </cell>
          <cell r="C61" t="str">
            <v>TOTAL D9</v>
          </cell>
        </row>
        <row r="62">
          <cell r="B62">
            <v>10</v>
          </cell>
          <cell r="C62">
            <v>100344</v>
          </cell>
        </row>
        <row r="63">
          <cell r="B63">
            <v>10</v>
          </cell>
          <cell r="C63">
            <v>100422</v>
          </cell>
        </row>
        <row r="64">
          <cell r="B64">
            <v>10</v>
          </cell>
          <cell r="C64">
            <v>100549</v>
          </cell>
        </row>
        <row r="65">
          <cell r="B65">
            <v>10</v>
          </cell>
          <cell r="C65">
            <v>100589</v>
          </cell>
        </row>
        <row r="66">
          <cell r="B66">
            <v>10</v>
          </cell>
          <cell r="C66">
            <v>100819</v>
          </cell>
        </row>
        <row r="67">
          <cell r="B67">
            <v>10</v>
          </cell>
          <cell r="C67">
            <v>100881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MW"/>
      <sheetName val="MINI"/>
    </sheetNames>
    <sheetDataSet>
      <sheetData sheetId="0">
        <row r="5">
          <cell r="A5">
            <v>100323</v>
          </cell>
          <cell r="B5" t="str">
            <v>Caetano Cuzco</v>
          </cell>
          <cell r="C5">
            <v>0.95</v>
          </cell>
        </row>
        <row r="6">
          <cell r="A6">
            <v>100873</v>
          </cell>
          <cell r="B6" t="str">
            <v>BYmyCAR Madrid</v>
          </cell>
          <cell r="C6">
            <v>0.79</v>
          </cell>
        </row>
        <row r="7">
          <cell r="A7">
            <v>100389</v>
          </cell>
          <cell r="B7" t="str">
            <v>Canaauto</v>
          </cell>
          <cell r="C7">
            <v>0.79</v>
          </cell>
        </row>
        <row r="8">
          <cell r="A8">
            <v>100738</v>
          </cell>
          <cell r="B8" t="str">
            <v>Marmotor</v>
          </cell>
          <cell r="C8">
            <v>1</v>
          </cell>
        </row>
        <row r="9">
          <cell r="B9" t="str">
            <v>DISTRITO 2</v>
          </cell>
        </row>
        <row r="10">
          <cell r="A10">
            <v>100213</v>
          </cell>
          <cell r="B10" t="str">
            <v>Movilnorte</v>
          </cell>
          <cell r="C10">
            <v>0.63</v>
          </cell>
        </row>
        <row r="11">
          <cell r="A11">
            <v>100319</v>
          </cell>
          <cell r="B11" t="str">
            <v>Vehinter</v>
          </cell>
          <cell r="C11">
            <v>0.74</v>
          </cell>
        </row>
        <row r="12">
          <cell r="A12">
            <v>100917</v>
          </cell>
          <cell r="B12" t="str">
            <v>Momentum Norte</v>
          </cell>
          <cell r="C12">
            <v>0.89</v>
          </cell>
        </row>
        <row r="13">
          <cell r="A13">
            <v>100349</v>
          </cell>
          <cell r="B13" t="str">
            <v>Auto Premier</v>
          </cell>
          <cell r="C13">
            <v>0.74</v>
          </cell>
        </row>
        <row r="14">
          <cell r="A14">
            <v>100726</v>
          </cell>
          <cell r="B14" t="str">
            <v>Enekuri Motor</v>
          </cell>
          <cell r="C14">
            <v>0.57999999999999996</v>
          </cell>
        </row>
        <row r="15">
          <cell r="B15" t="str">
            <v>DISTRITO 3</v>
          </cell>
        </row>
        <row r="16">
          <cell r="A16">
            <v>100380</v>
          </cell>
          <cell r="B16" t="str">
            <v>Ceres Motor</v>
          </cell>
          <cell r="C16">
            <v>0.89</v>
          </cell>
        </row>
        <row r="17">
          <cell r="A17">
            <v>100730</v>
          </cell>
          <cell r="B17" t="str">
            <v>Adler Motor</v>
          </cell>
          <cell r="C17">
            <v>1</v>
          </cell>
        </row>
        <row r="18">
          <cell r="A18">
            <v>100418</v>
          </cell>
          <cell r="B18" t="str">
            <v>Fuenteolid</v>
          </cell>
          <cell r="C18">
            <v>1</v>
          </cell>
        </row>
        <row r="19">
          <cell r="A19">
            <v>100764</v>
          </cell>
          <cell r="B19" t="str">
            <v>Albamoción</v>
          </cell>
          <cell r="C19">
            <v>0.79</v>
          </cell>
        </row>
        <row r="20">
          <cell r="A20">
            <v>100307</v>
          </cell>
          <cell r="B20" t="str">
            <v>Eresma (Avilcar)</v>
          </cell>
          <cell r="C20">
            <v>0.82</v>
          </cell>
        </row>
        <row r="21">
          <cell r="B21" t="str">
            <v>DISTRITO 4</v>
          </cell>
        </row>
        <row r="22">
          <cell r="A22">
            <v>100571</v>
          </cell>
          <cell r="B22" t="str">
            <v>Tormes Motor</v>
          </cell>
          <cell r="C22">
            <v>0.96</v>
          </cell>
        </row>
        <row r="23">
          <cell r="A23">
            <v>100346</v>
          </cell>
          <cell r="B23" t="str">
            <v>Amiocar</v>
          </cell>
          <cell r="C23">
            <v>0.95</v>
          </cell>
        </row>
        <row r="24">
          <cell r="A24">
            <v>100120</v>
          </cell>
          <cell r="B24" t="str">
            <v>Autogal</v>
          </cell>
          <cell r="C24">
            <v>1</v>
          </cell>
        </row>
        <row r="25">
          <cell r="A25">
            <v>100155</v>
          </cell>
          <cell r="B25" t="str">
            <v>Autosa</v>
          </cell>
          <cell r="C25">
            <v>0.95</v>
          </cell>
        </row>
        <row r="26">
          <cell r="A26">
            <v>100304</v>
          </cell>
          <cell r="B26" t="str">
            <v>Novomóvil</v>
          </cell>
          <cell r="C26">
            <v>1</v>
          </cell>
        </row>
        <row r="27">
          <cell r="A27">
            <v>100146</v>
          </cell>
          <cell r="B27" t="str">
            <v>Lugauto</v>
          </cell>
          <cell r="C27">
            <v>0.95</v>
          </cell>
        </row>
        <row r="28">
          <cell r="B28" t="str">
            <v>DISTRITO 5</v>
          </cell>
        </row>
        <row r="29">
          <cell r="A29">
            <v>100379</v>
          </cell>
          <cell r="B29" t="str">
            <v>Triocar</v>
          </cell>
          <cell r="C29">
            <v>1</v>
          </cell>
        </row>
        <row r="30">
          <cell r="A30">
            <v>100015</v>
          </cell>
          <cell r="B30" t="str">
            <v>Grünblau Motor</v>
          </cell>
          <cell r="C30">
            <v>0.89</v>
          </cell>
        </row>
        <row r="31">
          <cell r="A31">
            <v>100410</v>
          </cell>
          <cell r="B31" t="str">
            <v>Celtamotor</v>
          </cell>
          <cell r="C31">
            <v>0.83</v>
          </cell>
        </row>
        <row r="32">
          <cell r="A32">
            <v>100739</v>
          </cell>
          <cell r="B32" t="str">
            <v>Bernesga Motor</v>
          </cell>
          <cell r="C32">
            <v>1</v>
          </cell>
        </row>
        <row r="33">
          <cell r="A33">
            <v>100190</v>
          </cell>
          <cell r="B33" t="str">
            <v>Burgocar</v>
          </cell>
          <cell r="C33">
            <v>0.95</v>
          </cell>
        </row>
        <row r="34">
          <cell r="B34" t="str">
            <v>DISTRITO 6</v>
          </cell>
        </row>
        <row r="35">
          <cell r="A35">
            <v>100348</v>
          </cell>
          <cell r="B35" t="str">
            <v>Augusta Aragón</v>
          </cell>
          <cell r="C35">
            <v>0.63</v>
          </cell>
        </row>
        <row r="36">
          <cell r="A36">
            <v>100585</v>
          </cell>
          <cell r="B36" t="str">
            <v>Cabrero Motorsport</v>
          </cell>
          <cell r="C36">
            <v>1</v>
          </cell>
        </row>
        <row r="37">
          <cell r="A37">
            <v>100597</v>
          </cell>
          <cell r="B37" t="str">
            <v>Autoberón</v>
          </cell>
          <cell r="C37">
            <v>0.86</v>
          </cell>
        </row>
        <row r="38">
          <cell r="A38">
            <v>100728</v>
          </cell>
          <cell r="B38" t="str">
            <v>Oliva Motor</v>
          </cell>
          <cell r="C38">
            <v>0.95</v>
          </cell>
        </row>
        <row r="39">
          <cell r="A39">
            <v>100817</v>
          </cell>
          <cell r="B39" t="str">
            <v>Oliva Motor Girona</v>
          </cell>
          <cell r="C39">
            <v>1</v>
          </cell>
        </row>
        <row r="40">
          <cell r="A40">
            <v>100727</v>
          </cell>
          <cell r="B40" t="str">
            <v>Unicars Ponent</v>
          </cell>
          <cell r="C40">
            <v>0.68</v>
          </cell>
        </row>
        <row r="41">
          <cell r="B41" t="str">
            <v>DISTRITO 7</v>
          </cell>
        </row>
        <row r="42">
          <cell r="A42">
            <v>100572</v>
          </cell>
          <cell r="B42" t="str">
            <v>Barcelona Premium</v>
          </cell>
          <cell r="C42">
            <v>0.74</v>
          </cell>
        </row>
        <row r="43">
          <cell r="A43">
            <v>100909</v>
          </cell>
          <cell r="B43" t="str">
            <v>Quadis Munich</v>
          </cell>
          <cell r="C43">
            <v>0.91</v>
          </cell>
        </row>
        <row r="44">
          <cell r="A44">
            <v>100584</v>
          </cell>
          <cell r="B44" t="str">
            <v>Pruna Motor</v>
          </cell>
          <cell r="C44">
            <v>0.79</v>
          </cell>
        </row>
        <row r="45">
          <cell r="B45" t="str">
            <v>DISTRITO 8</v>
          </cell>
        </row>
        <row r="46">
          <cell r="A46">
            <v>100002</v>
          </cell>
          <cell r="B46" t="str">
            <v>Bertolín</v>
          </cell>
          <cell r="C46">
            <v>0.95</v>
          </cell>
        </row>
        <row r="47">
          <cell r="A47">
            <v>100468</v>
          </cell>
          <cell r="B47" t="str">
            <v>Benigar (Alicante)</v>
          </cell>
          <cell r="C47">
            <v>1</v>
          </cell>
        </row>
        <row r="48">
          <cell r="A48">
            <v>100394</v>
          </cell>
          <cell r="B48" t="str">
            <v>Maberauto</v>
          </cell>
          <cell r="C48">
            <v>0.95</v>
          </cell>
        </row>
        <row r="49">
          <cell r="A49">
            <v>100062</v>
          </cell>
          <cell r="B49" t="str">
            <v>Benigar (San Juan)</v>
          </cell>
          <cell r="C49">
            <v>0.88</v>
          </cell>
        </row>
        <row r="50">
          <cell r="A50">
            <v>100206</v>
          </cell>
          <cell r="B50" t="str">
            <v xml:space="preserve">Benigar (Elche)           </v>
          </cell>
          <cell r="C50">
            <v>1</v>
          </cell>
        </row>
        <row r="51">
          <cell r="A51">
            <v>100765</v>
          </cell>
          <cell r="B51" t="str">
            <v>Talleres Martin Lizaga</v>
          </cell>
          <cell r="C51">
            <v>0.88</v>
          </cell>
        </row>
        <row r="52">
          <cell r="B52" t="str">
            <v>DISTRITO 9</v>
          </cell>
        </row>
        <row r="53">
          <cell r="A53">
            <v>100734</v>
          </cell>
          <cell r="B53" t="str">
            <v>Proa Premium</v>
          </cell>
          <cell r="C53">
            <v>0.95</v>
          </cell>
        </row>
        <row r="54">
          <cell r="A54">
            <v>100393</v>
          </cell>
          <cell r="B54" t="str">
            <v>Murcia Premium</v>
          </cell>
          <cell r="C54">
            <v>1</v>
          </cell>
        </row>
        <row r="55">
          <cell r="A55">
            <v>100586</v>
          </cell>
          <cell r="B55" t="str">
            <v>Automotor</v>
          </cell>
          <cell r="C55">
            <v>0.89</v>
          </cell>
        </row>
        <row r="56">
          <cell r="A56">
            <v>100813</v>
          </cell>
          <cell r="B56" t="str">
            <v>Automotor Costa</v>
          </cell>
          <cell r="C56">
            <v>0.74</v>
          </cell>
        </row>
        <row r="57">
          <cell r="A57">
            <v>100311</v>
          </cell>
          <cell r="B57" t="str">
            <v>Engasa</v>
          </cell>
          <cell r="C57">
            <v>0.88</v>
          </cell>
        </row>
        <row r="58">
          <cell r="B58" t="str">
            <v>DISTRITO 10</v>
          </cell>
        </row>
        <row r="59">
          <cell r="A59">
            <v>100344</v>
          </cell>
          <cell r="B59" t="str">
            <v>San Pablo Motor</v>
          </cell>
          <cell r="C59">
            <v>0.74</v>
          </cell>
        </row>
        <row r="60">
          <cell r="A60">
            <v>100422</v>
          </cell>
          <cell r="B60" t="str">
            <v>San Rafael Motor</v>
          </cell>
          <cell r="C60">
            <v>0.93</v>
          </cell>
        </row>
        <row r="61">
          <cell r="A61">
            <v>100549</v>
          </cell>
          <cell r="B61" t="str">
            <v>Carteya Motor</v>
          </cell>
          <cell r="C61">
            <v>0.68</v>
          </cell>
        </row>
        <row r="62">
          <cell r="A62">
            <v>100589</v>
          </cell>
          <cell r="B62" t="str">
            <v>Ilbira Motor</v>
          </cell>
          <cell r="C62">
            <v>0.96</v>
          </cell>
        </row>
        <row r="63">
          <cell r="A63">
            <v>100819</v>
          </cell>
          <cell r="B63" t="str">
            <v>Motri Motor</v>
          </cell>
          <cell r="C63">
            <v>0.63</v>
          </cell>
        </row>
        <row r="64">
          <cell r="A64">
            <v>100881</v>
          </cell>
          <cell r="B64" t="str">
            <v>Movitransa</v>
          </cell>
          <cell r="C64">
            <v>1</v>
          </cell>
        </row>
      </sheetData>
      <sheetData sheetId="1">
        <row r="5">
          <cell r="A5">
            <v>100323</v>
          </cell>
          <cell r="B5" t="str">
            <v>Caetano Cuzco</v>
          </cell>
          <cell r="C5">
            <v>1</v>
          </cell>
        </row>
        <row r="6">
          <cell r="A6">
            <v>100873</v>
          </cell>
          <cell r="B6" t="str">
            <v>BYmyCAR Madrid</v>
          </cell>
          <cell r="C6">
            <v>1</v>
          </cell>
        </row>
        <row r="7">
          <cell r="A7">
            <v>100389</v>
          </cell>
          <cell r="B7" t="str">
            <v>Canaauto</v>
          </cell>
          <cell r="C7">
            <v>1</v>
          </cell>
        </row>
        <row r="8">
          <cell r="A8">
            <v>100738</v>
          </cell>
          <cell r="B8" t="str">
            <v>Marmotor</v>
          </cell>
          <cell r="C8">
            <v>1</v>
          </cell>
        </row>
        <row r="9">
          <cell r="B9" t="str">
            <v>DISTRITO 2</v>
          </cell>
        </row>
        <row r="10">
          <cell r="A10">
            <v>100213</v>
          </cell>
          <cell r="B10" t="str">
            <v>Movilnorte</v>
          </cell>
          <cell r="C10">
            <v>0.94</v>
          </cell>
        </row>
        <row r="11">
          <cell r="A11">
            <v>100319</v>
          </cell>
          <cell r="B11" t="str">
            <v>Vehinter</v>
          </cell>
          <cell r="C11">
            <v>0.56000000000000005</v>
          </cell>
        </row>
        <row r="12">
          <cell r="A12">
            <v>100917</v>
          </cell>
          <cell r="B12" t="str">
            <v>Momentum Norte</v>
          </cell>
          <cell r="C12">
            <v>0.89</v>
          </cell>
        </row>
        <row r="13">
          <cell r="A13">
            <v>100349</v>
          </cell>
          <cell r="B13" t="str">
            <v>Auto Premier</v>
          </cell>
          <cell r="C13">
            <v>0.88</v>
          </cell>
        </row>
        <row r="14">
          <cell r="A14">
            <v>100726</v>
          </cell>
          <cell r="B14" t="str">
            <v>Enekuri Motor</v>
          </cell>
          <cell r="C14">
            <v>0.75</v>
          </cell>
        </row>
        <row r="15">
          <cell r="B15" t="str">
            <v>DISTRITO 3</v>
          </cell>
        </row>
        <row r="16">
          <cell r="A16">
            <v>100380</v>
          </cell>
          <cell r="B16" t="str">
            <v>Ceres Motor</v>
          </cell>
          <cell r="C16">
            <v>1</v>
          </cell>
        </row>
        <row r="17">
          <cell r="A17">
            <v>100730</v>
          </cell>
          <cell r="B17" t="str">
            <v>Adler Motor</v>
          </cell>
          <cell r="C17">
            <v>0.94</v>
          </cell>
        </row>
        <row r="18">
          <cell r="A18">
            <v>100418</v>
          </cell>
          <cell r="B18" t="str">
            <v>Fuenteolid</v>
          </cell>
          <cell r="C18">
            <v>0.63</v>
          </cell>
        </row>
        <row r="19">
          <cell r="A19">
            <v>100764</v>
          </cell>
          <cell r="B19" t="str">
            <v>Albamoción</v>
          </cell>
          <cell r="C19">
            <v>0.75</v>
          </cell>
        </row>
        <row r="20">
          <cell r="A20">
            <v>100307</v>
          </cell>
          <cell r="B20" t="str">
            <v>Eresma (Avilcar)</v>
          </cell>
          <cell r="C20">
            <v>0.78</v>
          </cell>
        </row>
        <row r="21">
          <cell r="B21" t="str">
            <v>DISTRITO 4</v>
          </cell>
        </row>
        <row r="22">
          <cell r="A22">
            <v>100571</v>
          </cell>
          <cell r="B22" t="str">
            <v>Tormes Motor</v>
          </cell>
          <cell r="C22">
            <v>1</v>
          </cell>
        </row>
        <row r="23">
          <cell r="A23">
            <v>100155</v>
          </cell>
          <cell r="B23" t="str">
            <v>Autosa</v>
          </cell>
          <cell r="C23">
            <v>0.69</v>
          </cell>
        </row>
        <row r="24">
          <cell r="A24">
            <v>100304</v>
          </cell>
          <cell r="B24" t="str">
            <v>Novomóvil</v>
          </cell>
          <cell r="C24">
            <v>0.88</v>
          </cell>
        </row>
        <row r="25">
          <cell r="A25">
            <v>100146</v>
          </cell>
          <cell r="B25" t="str">
            <v>Lugauto</v>
          </cell>
          <cell r="C25">
            <v>1</v>
          </cell>
        </row>
        <row r="26">
          <cell r="B26" t="str">
            <v>DISTRITO 5</v>
          </cell>
        </row>
        <row r="27">
          <cell r="A27">
            <v>100379</v>
          </cell>
          <cell r="B27" t="str">
            <v>Triocar</v>
          </cell>
          <cell r="C27">
            <v>1</v>
          </cell>
        </row>
        <row r="28">
          <cell r="A28">
            <v>100015</v>
          </cell>
          <cell r="B28" t="str">
            <v>Grünblau Motor</v>
          </cell>
          <cell r="C28">
            <v>0.5</v>
          </cell>
        </row>
        <row r="29">
          <cell r="A29">
            <v>100410</v>
          </cell>
          <cell r="B29" t="str">
            <v>Celtamotor</v>
          </cell>
          <cell r="C29">
            <v>1</v>
          </cell>
        </row>
        <row r="30">
          <cell r="A30">
            <v>100739</v>
          </cell>
          <cell r="B30" t="str">
            <v>Bernesga Motor</v>
          </cell>
          <cell r="C30">
            <v>0.79</v>
          </cell>
        </row>
        <row r="31">
          <cell r="A31">
            <v>100190</v>
          </cell>
          <cell r="B31" t="str">
            <v>Burgocar Comercial del Automóvil</v>
          </cell>
          <cell r="C31">
            <v>0.88</v>
          </cell>
        </row>
        <row r="32">
          <cell r="B32" t="str">
            <v>DISTRITO 6</v>
          </cell>
        </row>
        <row r="33">
          <cell r="A33">
            <v>100348</v>
          </cell>
          <cell r="B33" t="str">
            <v>Augusta Aragón</v>
          </cell>
          <cell r="C33">
            <v>0.88</v>
          </cell>
        </row>
        <row r="34">
          <cell r="A34">
            <v>100728</v>
          </cell>
          <cell r="B34" t="str">
            <v>Oliva Motor</v>
          </cell>
          <cell r="C34">
            <v>1</v>
          </cell>
        </row>
        <row r="35">
          <cell r="A35">
            <v>100817</v>
          </cell>
          <cell r="B35" t="str">
            <v>Oliva Motor Girona</v>
          </cell>
          <cell r="C35">
            <v>1</v>
          </cell>
        </row>
        <row r="36">
          <cell r="A36">
            <v>100727</v>
          </cell>
          <cell r="B36" t="str">
            <v>Unicars Ponent</v>
          </cell>
          <cell r="C36">
            <v>1</v>
          </cell>
        </row>
        <row r="37">
          <cell r="B37" t="str">
            <v>DISTRITO 7</v>
          </cell>
        </row>
        <row r="38">
          <cell r="A38">
            <v>100572</v>
          </cell>
          <cell r="B38" t="str">
            <v>Barcelona Premium</v>
          </cell>
          <cell r="C38">
            <v>0.68</v>
          </cell>
        </row>
        <row r="39">
          <cell r="A39">
            <v>100909</v>
          </cell>
          <cell r="B39" t="str">
            <v>Quadis Munich</v>
          </cell>
          <cell r="C39">
            <v>1</v>
          </cell>
        </row>
        <row r="40">
          <cell r="B40" t="str">
            <v>DISTRITO 8</v>
          </cell>
        </row>
        <row r="41">
          <cell r="A41">
            <v>100002</v>
          </cell>
          <cell r="B41" t="str">
            <v>Bertolín</v>
          </cell>
          <cell r="C41">
            <v>0.81</v>
          </cell>
        </row>
        <row r="42">
          <cell r="A42">
            <v>100394</v>
          </cell>
          <cell r="B42" t="str">
            <v>Maberauto</v>
          </cell>
          <cell r="C42">
            <v>1</v>
          </cell>
        </row>
        <row r="43">
          <cell r="A43">
            <v>100062</v>
          </cell>
          <cell r="B43" t="str">
            <v>Benigar (San Juan)</v>
          </cell>
          <cell r="C43">
            <v>0.88</v>
          </cell>
        </row>
        <row r="44">
          <cell r="A44">
            <v>100468</v>
          </cell>
          <cell r="B44" t="str">
            <v>Benigar (Alicante)</v>
          </cell>
          <cell r="C44">
            <v>0.69</v>
          </cell>
        </row>
        <row r="45">
          <cell r="A45">
            <v>100206</v>
          </cell>
          <cell r="B45" t="str">
            <v xml:space="preserve">Benigar (Elche)           </v>
          </cell>
          <cell r="C45">
            <v>1</v>
          </cell>
        </row>
        <row r="46">
          <cell r="B46" t="str">
            <v>DISTRITO 9</v>
          </cell>
        </row>
        <row r="47">
          <cell r="A47">
            <v>100734</v>
          </cell>
          <cell r="B47" t="str">
            <v>Proa Premium</v>
          </cell>
          <cell r="C47">
            <v>0.88</v>
          </cell>
        </row>
        <row r="48">
          <cell r="A48">
            <v>100393</v>
          </cell>
          <cell r="B48" t="str">
            <v>Murcia Premium</v>
          </cell>
          <cell r="C48">
            <v>1</v>
          </cell>
        </row>
        <row r="49">
          <cell r="A49">
            <v>100586</v>
          </cell>
          <cell r="B49" t="str">
            <v>Automotor</v>
          </cell>
          <cell r="C49">
            <v>0.75</v>
          </cell>
        </row>
        <row r="50">
          <cell r="A50">
            <v>100813</v>
          </cell>
          <cell r="B50" t="str">
            <v>Automotor Costa</v>
          </cell>
          <cell r="C50">
            <v>0.81</v>
          </cell>
        </row>
        <row r="51">
          <cell r="A51">
            <v>100311</v>
          </cell>
          <cell r="B51" t="str">
            <v>Engasa</v>
          </cell>
          <cell r="C51">
            <v>0.87</v>
          </cell>
        </row>
        <row r="52">
          <cell r="B52" t="str">
            <v>DISTRITO 10</v>
          </cell>
        </row>
        <row r="53">
          <cell r="A53">
            <v>100344</v>
          </cell>
          <cell r="B53" t="str">
            <v>San Pablo Motor</v>
          </cell>
          <cell r="C53">
            <v>0.75</v>
          </cell>
        </row>
        <row r="54">
          <cell r="A54">
            <v>100422</v>
          </cell>
          <cell r="B54" t="str">
            <v>San Rafael Motor</v>
          </cell>
          <cell r="C54">
            <v>0.91</v>
          </cell>
        </row>
        <row r="55">
          <cell r="A55">
            <v>100549</v>
          </cell>
          <cell r="B55" t="str">
            <v>Carteya Motor</v>
          </cell>
          <cell r="C55">
            <v>0.75</v>
          </cell>
        </row>
        <row r="56">
          <cell r="A56">
            <v>100589</v>
          </cell>
          <cell r="B56" t="str">
            <v>Ilbira Motor</v>
          </cell>
          <cell r="C56">
            <v>1</v>
          </cell>
        </row>
        <row r="57">
          <cell r="A57">
            <v>100819</v>
          </cell>
          <cell r="B57" t="str">
            <v>Motri Motor</v>
          </cell>
          <cell r="C57">
            <v>1</v>
          </cell>
        </row>
        <row r="58">
          <cell r="A58">
            <v>100881</v>
          </cell>
          <cell r="B58" t="str">
            <v>Movitransa</v>
          </cell>
          <cell r="C58">
            <v>1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106</v>
    <v>8</v>
    <v>0</v>
    <v>6</v>
  </rv>
  <rv s="0">
    <v>118</v>
    <v>8</v>
    <v>0</v>
    <v>6</v>
  </rv>
  <rv s="0">
    <v>54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K2:L55" totalsRowShown="0" headerRowDxfId="36">
  <autoFilter ref="K2:L55" xr:uid="{00000000-0009-0000-0100-000001000000}"/>
  <sortState xmlns:xlrd2="http://schemas.microsoft.com/office/spreadsheetml/2017/richdata2" ref="K3:L55">
    <sortCondition ref="K3:K55"/>
  </sortState>
  <tableColumns count="2">
    <tableColumn id="1" xr3:uid="{00000000-0010-0000-0000-000001000000}" name="DEALER"/>
    <tableColumn id="2" xr3:uid="{00000000-0010-0000-0000-000002000000}" name="CÓDIGO DEAL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5" displayName="Tabla5" ref="P2:P10" totalsRowShown="0" headerRowDxfId="35">
  <autoFilter ref="P2:P10" xr:uid="{00000000-0009-0000-0100-000005000000}"/>
  <tableColumns count="1">
    <tableColumn id="1" xr3:uid="{00000000-0010-0000-0100-000001000000}" name="KPI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a6" displayName="Tabla6" ref="H2:H15" totalsRowShown="0" headerRowDxfId="34" headerRowBorderDxfId="33" tableBorderDxfId="32">
  <autoFilter ref="H2:H15" xr:uid="{00000000-0009-0000-0100-000006000000}"/>
  <tableColumns count="1">
    <tableColumn id="1" xr3:uid="{00000000-0010-0000-0200-000001000000}" name="M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a7" displayName="Tabla7" ref="F2:F6" totalsRowShown="0" headerRowDxfId="31" dataDxfId="29" headerRowBorderDxfId="30" tableBorderDxfId="28">
  <autoFilter ref="F2:F6" xr:uid="{00000000-0009-0000-0100-000007000000}"/>
  <tableColumns count="1">
    <tableColumn id="1" xr3:uid="{00000000-0010-0000-0300-000001000000}" name="Q" dataDxfId="2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a2" displayName="Tabla2" ref="N2:N55" totalsRowShown="0" headerRowDxfId="26" dataDxfId="25" tableBorderDxfId="24">
  <autoFilter ref="N2:N55" xr:uid="{00000000-0009-0000-0100-000002000000}"/>
  <sortState xmlns:xlrd2="http://schemas.microsoft.com/office/spreadsheetml/2017/richdata2" ref="N3:N55">
    <sortCondition ref="N2:N55"/>
  </sortState>
  <tableColumns count="1">
    <tableColumn id="1" xr3:uid="{00000000-0010-0000-0400-000001000000}" name="DEALER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D8AB-ED6E-47F1-A864-F96D8DCE11B2}">
  <sheetPr codeName="Hoja6">
    <tabColor theme="7" tint="0.39997558519241921"/>
    <pageSetUpPr fitToPage="1"/>
  </sheetPr>
  <dimension ref="B2:V104"/>
  <sheetViews>
    <sheetView zoomScale="70" zoomScaleNormal="70" workbookViewId="0">
      <selection activeCell="K12" sqref="K12"/>
    </sheetView>
  </sheetViews>
  <sheetFormatPr baseColWidth="10" defaultColWidth="8.7265625" defaultRowHeight="17.5" x14ac:dyDescent="0.35"/>
  <cols>
    <col min="1" max="1" width="8.7265625" style="438"/>
    <col min="2" max="2" width="10.54296875" style="440" customWidth="1"/>
    <col min="3" max="3" width="21.36328125" style="437" customWidth="1"/>
    <col min="4" max="4" width="29.6328125" style="474" customWidth="1"/>
    <col min="5" max="5" width="14.453125" style="474" customWidth="1"/>
    <col min="6" max="6" width="35.36328125" style="438" customWidth="1"/>
    <col min="7" max="7" width="12.453125" style="438" customWidth="1"/>
    <col min="8" max="9" width="14.54296875" style="438" customWidth="1"/>
    <col min="10" max="10" width="10.36328125" style="438" customWidth="1"/>
    <col min="11" max="11" width="22.36328125" style="438" customWidth="1"/>
    <col min="12" max="12" width="9.1796875" style="438" customWidth="1"/>
    <col min="13" max="13" width="11" style="438" customWidth="1"/>
    <col min="14" max="14" width="16.1796875" style="439" customWidth="1"/>
    <col min="15" max="15" width="16.81640625" style="439" customWidth="1"/>
    <col min="16" max="16" width="8.7265625" style="439" customWidth="1"/>
    <col min="17" max="21" width="8.7265625" style="439"/>
    <col min="22" max="22" width="14.1796875" style="439" bestFit="1" customWidth="1"/>
    <col min="23" max="23" width="9.81640625" style="438" bestFit="1" customWidth="1"/>
    <col min="24" max="16384" width="8.7265625" style="438"/>
  </cols>
  <sheetData>
    <row r="2" spans="2:22" x14ac:dyDescent="0.35">
      <c r="B2" s="436"/>
      <c r="D2" s="438"/>
      <c r="E2" s="438"/>
    </row>
    <row r="3" spans="2:22" ht="36" customHeight="1" x14ac:dyDescent="0.35">
      <c r="C3" s="647" t="s">
        <v>224</v>
      </c>
      <c r="D3" s="647"/>
      <c r="E3" s="647"/>
      <c r="F3" s="535" t="s">
        <v>240</v>
      </c>
      <c r="G3" s="499" t="s">
        <v>5</v>
      </c>
      <c r="H3" s="500"/>
      <c r="I3" s="480" t="str">
        <f>IF(F3="SEMESTRE 1", "ENERO - JUNIO",  IF(F3="SEMESTRE 2", "JULIO - DICIEMBRE", ""))</f>
        <v/>
      </c>
      <c r="J3" s="480"/>
      <c r="K3" s="537">
        <v>2026</v>
      </c>
      <c r="L3" s="480"/>
      <c r="M3" s="480"/>
    </row>
    <row r="4" spans="2:22" x14ac:dyDescent="0.35">
      <c r="D4" s="441"/>
      <c r="E4" s="438"/>
      <c r="O4" s="474" t="b">
        <v>1</v>
      </c>
    </row>
    <row r="5" spans="2:22" ht="31.5" x14ac:dyDescent="0.35">
      <c r="D5" s="536" t="s">
        <v>231</v>
      </c>
      <c r="E5" s="648" t="s">
        <v>166</v>
      </c>
      <c r="F5" s="648"/>
      <c r="G5" s="648"/>
      <c r="H5" s="648"/>
      <c r="I5" s="648"/>
      <c r="J5" s="648"/>
      <c r="K5" s="648"/>
      <c r="L5" s="648"/>
      <c r="M5" s="443"/>
    </row>
    <row r="6" spans="2:22" ht="8.25" customHeight="1" x14ac:dyDescent="0.35">
      <c r="D6" s="444"/>
      <c r="E6" s="445"/>
      <c r="F6" s="445"/>
      <c r="G6" s="445"/>
      <c r="H6" s="445"/>
      <c r="I6" s="445"/>
      <c r="J6" s="445"/>
      <c r="K6" s="445"/>
      <c r="L6" s="445"/>
    </row>
    <row r="7" spans="2:22" ht="8.25" customHeight="1" x14ac:dyDescent="0.35">
      <c r="D7" s="444"/>
      <c r="E7" s="445"/>
      <c r="F7" s="445"/>
      <c r="G7" s="445"/>
      <c r="H7" s="445"/>
      <c r="I7" s="445"/>
      <c r="J7" s="445"/>
      <c r="K7" s="445"/>
      <c r="L7" s="445"/>
    </row>
    <row r="8" spans="2:22" ht="8.25" customHeight="1" x14ac:dyDescent="0.35">
      <c r="D8" s="444"/>
      <c r="E8" s="445"/>
      <c r="F8" s="445"/>
      <c r="G8" s="445"/>
      <c r="H8" s="445"/>
      <c r="I8" s="445"/>
      <c r="J8" s="445"/>
      <c r="K8" s="445"/>
      <c r="L8" s="445"/>
    </row>
    <row r="9" spans="2:22" s="449" customFormat="1" x14ac:dyDescent="0.35">
      <c r="B9" s="446"/>
      <c r="C9" s="447"/>
      <c r="D9" s="448"/>
      <c r="F9" s="438"/>
      <c r="G9" s="438"/>
      <c r="H9" s="438"/>
      <c r="K9" s="453"/>
      <c r="L9" s="453"/>
      <c r="M9" s="450"/>
      <c r="N9" s="451"/>
      <c r="O9" s="451"/>
      <c r="P9" s="451"/>
      <c r="Q9" s="451"/>
      <c r="R9" s="451"/>
      <c r="S9" s="451"/>
      <c r="T9" s="451"/>
      <c r="U9" s="451"/>
      <c r="V9" s="451"/>
    </row>
    <row r="10" spans="2:22" ht="10.5" customHeight="1" thickBot="1" x14ac:dyDescent="0.4">
      <c r="D10" s="452"/>
      <c r="E10" s="438"/>
      <c r="H10" s="461"/>
      <c r="I10" s="486"/>
      <c r="J10" s="486"/>
      <c r="K10" s="439"/>
      <c r="L10" s="439"/>
      <c r="M10" s="439"/>
    </row>
    <row r="11" spans="2:22" ht="20.25" customHeight="1" thickBot="1" x14ac:dyDescent="0.4">
      <c r="B11" s="470"/>
      <c r="C11" s="501"/>
      <c r="D11" s="456"/>
      <c r="E11" s="460"/>
      <c r="F11" s="485" t="s">
        <v>223</v>
      </c>
      <c r="G11" s="649" t="s">
        <v>225</v>
      </c>
      <c r="H11" s="650"/>
      <c r="I11" s="651" t="s">
        <v>226</v>
      </c>
      <c r="J11" s="652"/>
      <c r="K11" s="439"/>
      <c r="L11" s="439"/>
      <c r="M11" s="439"/>
    </row>
    <row r="12" spans="2:22" ht="21" customHeight="1" x14ac:dyDescent="0.35">
      <c r="B12" s="470"/>
      <c r="C12" s="501"/>
      <c r="D12" s="456"/>
      <c r="E12" s="460"/>
      <c r="F12" s="488" t="s">
        <v>232</v>
      </c>
      <c r="G12" s="653" cm="1">
        <f t="array" aca="1" ref="G12" ca="1">IFERROR(
  IF(OR(F3="Acumulado Mes", F3="Acumulado Mes 2º S"),
    SUMPRODUCT(
      INDEX(
        'UC BMW 2026 BPS'!$F$4:$DH$67,
        MATCH(E5, 'UC BMW 2026 BPS'!$C$4:$C$67, 0),
        IF(
          F3="Acumulado Mes 2º S",
          {37;43;49;55;61;67},
          {1;7;13;19;25;31;37;43;49;55;61;67}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BMW 2026 BPS'!$F$4:$DH$67,
      MATCH(E5, 'UC BMW 2026 BPS'!$C$4:$C$67, 0),
      CHOOSE(
        MATCH(F3, {"ENERO";"FEBRERO";"MARZO";"ABRIL";"MAYO";"JUNIO";"JULIO";"AGOSTO";"SEPTIEMBRE";"OCTUBRE";"NOVIEMBRE";"DICIEMBRE";"ANUAL";"SEMESTRE 1";"SEMESTRE 2"}, 0),
        1, 7, 13, 19, 25, 31, 37, 43, 49, 55, 61, 67, 80, 94, 101
      )
    )
  ),
  "No encontrado"
)</f>
        <v>250</v>
      </c>
      <c r="H12" s="654"/>
      <c r="I12" s="655" cm="1">
        <f t="array" ref="I12">IFERROR(
  IF(OR(F3="Acumulado Mes", F3="Acumulado Mes 2º S"),
    SUMPRODUCT(
      INDEX(
        'UC MINI 2026 MINI NEXT'!$F$4:$DT$64,
        MATCH(E5, 'UC MINI 2026 MINI NEXT'!$C$4:$C$63, 0),
        IF(
          F3="Acumulado Mes 2º S",
          {43;50;57;64;71;78},
          {1;8;15;22;29;36;43;50;57;64;71;78}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MINI 2026 MINI NEXT'!$F$4:$DT$64,
      MATCH(E5, 'UC MINI 2026 MINI NEXT'!$C$4:$C$63, 0),
      CHOOSE(
        MATCH(F3, {"ENERO";"FEBRERO";"MARZO";"ABRIL";"MAYO";"JUNIO";"JULIO";"AGOSTO";"SEPTIEMBRE";"OCTUBRE";"NOVIEMBRE";"DICIEMBRE";"ANUAL";"SEMESTRE 1";"SEMESTRE 2"}, 0),
        1, 8, 15, 22, 29, 36, 43, 50, 57, 64, 71, 78, 92, 106, 113
      )
    )
  ),
  "No encontrado"
)</f>
        <v>75</v>
      </c>
      <c r="J12" s="656"/>
      <c r="K12" s="439"/>
      <c r="L12" s="439"/>
      <c r="M12" s="483">
        <f ca="1">IFERROR((G13-G12)/G12,0)</f>
        <v>0.248</v>
      </c>
      <c r="N12" s="438"/>
      <c r="P12" s="482">
        <f>IFERROR((I13-I12)/I12,0)</f>
        <v>0.42666666666666669</v>
      </c>
    </row>
    <row r="13" spans="2:22" ht="21" customHeight="1" x14ac:dyDescent="0.35">
      <c r="B13" s="470"/>
      <c r="C13" s="501"/>
      <c r="D13" s="456"/>
      <c r="E13" s="460"/>
      <c r="F13" s="489" t="s">
        <v>233</v>
      </c>
      <c r="G13" s="657" cm="1">
        <f t="array" aca="1" ref="G13" ca="1">IFERROR(
  IF(OR(F3="Acumulado Mes", F3="Acumulado Mes 2º S"),
    SUMPRODUCT(
      INDEX(
        'UC BMW 2026 BPS'!$F$4:$DH$67,
        MATCH(E5, 'UC BMW 2026 BPS'!$C$4:$C$67, 0),
        IF(
          F3="Acumulado Mes 2º S",
          {38;44;50;56;62;68},
          {2;8;14;20;26;32;38;44;50;56;62;68}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BMW 2026 BPS'!$F$4:$DH$67,
      MATCH(E5, 'UC BMW 2026 BPS'!$C$4:$C$67, 0),
      CHOOSE(
        MATCH(F3, {"ENERO";"FEBRERO";"MARZO";"ABRIL";"MAYO";"JUNIO";"JULIO";"AGOSTO";"SEPTIEMBRE";"OCTUBRE";"NOVIEMBRE";"DICIEMBRE";"ANUAL";"SEMESTRE 1";"SEMESTRE 2"}, 0),
        2, 8, 14, 20, 26, 32, 38, 44, 50, 56, 62, 68, 81, 95, 102
      )
    )
  ),
  "No encontrado"
)</f>
        <v>312</v>
      </c>
      <c r="H13" s="658"/>
      <c r="I13" s="659" cm="1">
        <f t="array" ref="I13">IFERROR(
  IF(OR(F3="Acumulado Mes", F3="Acumulado Mes 2º S"),
    SUMPRODUCT(
      INDEX(
        'UC MINI 2026 MINI NEXT'!$F$4:$DT$64,
        MATCH(E5, 'UC MINI 2026 MINI NEXT'!$C$4:$C$63, 0),
        IF(
          F3="Acumulado Mes 2º S",
          {44;51;58;65;72;79},
          {2;9;16;23;30;37;44;51;58;65;72;79}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MINI 2026 MINI NEXT'!$F$4:$DT$64,
      MATCH(E5, 'UC MINI 2026 MINI NEXT'!$C$4:$C$63, 0),
      CHOOSE(
        MATCH(F3, {"ENERO";"FEBRERO";"MARZO";"ABRIL";"MAYO";"JUNIO";"JULIO";"AGOSTO";"SEPTIEMBRE";"OCTUBRE";"NOVIEMBRE";"DICIEMBRE";"ANUAL";"SEMESTRE 1";"SEMESTRE 2"}, 0),
        2, 9, 16, 23, 30, 37, 44, 51, 58, 65, 72, 79, 93, 107, 114
      )
    )
  ),
  "No encontrado"
)</f>
        <v>107</v>
      </c>
      <c r="J13" s="660"/>
      <c r="K13" s="439"/>
      <c r="U13" s="506"/>
      <c r="V13" s="506"/>
    </row>
    <row r="14" spans="2:22" ht="20.5" customHeight="1" x14ac:dyDescent="0.35">
      <c r="B14" s="470"/>
      <c r="C14" s="501"/>
      <c r="D14" s="456"/>
      <c r="E14" s="460"/>
      <c r="F14" s="489" t="s">
        <v>241</v>
      </c>
      <c r="G14" s="661">
        <f ca="1">IFERROR(G13/G12,0)</f>
        <v>1.248</v>
      </c>
      <c r="H14" s="662"/>
      <c r="I14" s="661">
        <f>IFERROR(I13/I12,0)</f>
        <v>1.4266666666666667</v>
      </c>
      <c r="J14" s="662"/>
      <c r="K14" s="487"/>
    </row>
    <row r="15" spans="2:22" ht="21" customHeight="1" x14ac:dyDescent="0.35">
      <c r="B15" s="470"/>
      <c r="C15" s="501"/>
      <c r="D15" s="456"/>
      <c r="E15" s="460"/>
      <c r="F15" s="489" t="s">
        <v>234</v>
      </c>
      <c r="G15" s="663" cm="1">
        <f t="array" ref="G15">IFERROR(
  IF(OR(F3="Acumulado Mes", F3="Acumulado Mes 2º S"),
    SUMPRODUCT(
      INDEX(
        'UC BMW 2026 BPS'!$F$4:$DH$67,
        MATCH(E5, 'UC BMW 2026 BPS'!$C$4:$C$67, 0),
        IF(
          F3="Acumulado Mes 2º S",
          {39;45;51;57;63;69},
          {3;9;15;21;27;33;39;45;51;57;63;69}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BMW 2026 BPS'!$F$4:$DH$67,
      MATCH(E5, 'UC BMW 2026 BPS'!$C$4:$C$67, 0),
      CHOOSE(
        MATCH(F3, {"ENERO";"FEBRERO";"MARZO";"ABRIL";"MAYO";"JUNIO";"JULIO";"AGOSTO";"SEPTIEMBRE";"OCTUBRE";"NOVIEMBRE";"DICIEMBRE";"ANUAL";"SEMESTRE 1";"SEMESTRE 2"}, 0),
        3, 9, 15, 21, 27, 33, 39, 45, 51, 57, 63, 69, 83, 97, 104
      )
    )
  ),
  "No encontrado"
)</f>
        <v>288</v>
      </c>
      <c r="H15" s="664"/>
      <c r="I15" s="659" cm="1">
        <f t="array" ref="I15">IFERROR(
  IF(OR(F3="Acumulado Mes", F3="Acumulado Mes 2º S"),
    SUMPRODUCT(
      INDEX(
        'UC MINI 2026 MINI NEXT'!$F$4:$DT$64,
        MATCH(E5, 'UC MINI 2026 MINI NEXT'!$C$4:$C$63, 0),
        IF(
          F3="Acumulado Mes 2º S",
          {46;53;60;67;74;81},
          {4;11;18;25;32;39;46;53;60;67;74;81}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MINI 2026 MINI NEXT'!$F$4:$DT$64,
      MATCH(E5, 'UC MINI 2026 MINI NEXT'!$C$4:$C$63, 0),
      CHOOSE(
        MATCH(F3, {"ENERO";"FEBRERO";"MARZO";"ABRIL";"MAYO";"JUNIO";"JULIO";"AGOSTO";"SEPTIEMBRE";"OCTUBRE";"NOVIEMBRE";"DICIEMBRE";"ANUAL";"SEMESTRE 1";"SEMESTRE 2"}, 0),
        4, 11, 18, 25, 32, 39, 46, 53, 60, 67, 74, 81, 95, 109, 116
      )
    )
  ),
  "No encontrado"
)</f>
        <v>98</v>
      </c>
      <c r="J15" s="660"/>
      <c r="K15" s="439"/>
    </row>
    <row r="16" spans="2:22" ht="18" customHeight="1" x14ac:dyDescent="0.35">
      <c r="B16" s="462"/>
      <c r="C16" s="454"/>
      <c r="D16" s="463"/>
      <c r="E16" s="464"/>
      <c r="F16" s="489" t="s">
        <v>227</v>
      </c>
      <c r="G16" s="661">
        <f ca="1">IFERROR(G15/G13,0)</f>
        <v>0.92307692307692313</v>
      </c>
      <c r="H16" s="662"/>
      <c r="I16" s="671">
        <f>IFERROR(I15/I13,0)</f>
        <v>0.91588785046728971</v>
      </c>
      <c r="J16" s="672"/>
      <c r="K16" s="439"/>
      <c r="R16" s="506"/>
    </row>
    <row r="17" spans="2:22" ht="18" customHeight="1" x14ac:dyDescent="0.35">
      <c r="B17" s="462"/>
      <c r="C17" s="454"/>
      <c r="D17" s="463"/>
      <c r="E17" s="464"/>
      <c r="F17" s="489" t="s">
        <v>208</v>
      </c>
      <c r="G17" s="673" cm="1">
        <f t="array" ref="G17">IFERROR(
  IF(OR(F3="Acumulado Mes", F3="Acumulado Mes 2º S"),
    SUMPRODUCT(
      INDEX(
        'UC BMW 2026 BPS'!$F$4:$DH$67,
        MATCH(E5, 'UC BMW 2026 BPS'!$C$4:$C$67, 0),
        IF(
          F3="Acumulado Mes 2º S",
          {41;47;53;59;65;71},
          {5;11;17;23;29;35;41;47;53;59;65;71}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BMW 2026 BPS'!$F$4:$DH$67,
      MATCH(E5, 'UC BMW 2026 BPS'!$C$4:$C$67, 0),
      CHOOSE(
        MATCH(F3, {"ENERO";"FEBRERO";"MARZO";"ABRIL";"MAYO";"JUNIO";"JULIO";"AGOSTO";"SEPTIEMBRE";"OCTUBRE";"NOVIEMBRE";"DICIEMBRE";"ANUAL";"SEMESTRE 1";"SEMESTRE 2"}, 0),
        5, 11, 17, 23, 29, 35, 41, 47, 53, 59, 65, 71, 85, 99, 106
      )
    )
  ),
  "No encontrado"
)</f>
        <v>67</v>
      </c>
      <c r="H17" s="674"/>
      <c r="I17" s="659" cm="1">
        <f t="array" ref="I17">IFERROR(
  IF(OR(F3="Acumulado Mes", F3="Acumulado Mes 2º S"),
    SUMPRODUCT(
      INDEX(
        'UC MINI 2026 MINI NEXT'!$F$4:$DT$64,
        MATCH(E5, 'UC MINI 2026 MINI NEXT'!$C$4:$C$63, 0),
        IF(
          F3="Acumulado Mes 2º S",
          {48;55;62;69;76;83},
          {6;13;20;27;34;41;48;55;62;69;76;83}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'UC MINI 2026 MINI NEXT'!$F$4:$DT$64,
      MATCH(E5, 'UC MINI 2026 MINI NEXT'!$C$4:$C$63, 0),
      CHOOSE(
        MATCH(F3, {"ENERO";"FEBRERO";"MARZO";"ABRIL";"MAYO";"JUNIO";"JULIO";"AGOSTO";"SEPTIEMBRE";"OCTUBRE";"NOVIEMBRE";"DICIEMBRE";"ANUAL";"SEMESTRE 1";"SEMESTRE 2"}, 0),
        6, 13, 20, 27, 34, 41, 48, 55, 62, 69, 76, 83, 97, 111, 118
      )
    )
  ),
  "No encontrado"
)</f>
        <v>27</v>
      </c>
      <c r="J17" s="660"/>
      <c r="K17" s="439"/>
    </row>
    <row r="18" spans="2:22" ht="18" customHeight="1" x14ac:dyDescent="0.35">
      <c r="B18" s="462"/>
      <c r="C18" s="454"/>
      <c r="D18" s="463"/>
      <c r="E18" s="464"/>
      <c r="F18" s="489" t="s">
        <v>219</v>
      </c>
      <c r="G18" s="675">
        <f ca="1">IFERROR(G17/G12,0)</f>
        <v>0.26800000000000002</v>
      </c>
      <c r="H18" s="676"/>
      <c r="I18" s="677">
        <f>IFERROR(I17/I12,0)</f>
        <v>0.36</v>
      </c>
      <c r="J18" s="678"/>
      <c r="K18" s="439"/>
    </row>
    <row r="19" spans="2:22" ht="18" customHeight="1" x14ac:dyDescent="0.35">
      <c r="B19" s="462"/>
      <c r="C19" s="454"/>
      <c r="D19" s="463"/>
      <c r="E19" s="464"/>
      <c r="F19" s="489" t="s">
        <v>220</v>
      </c>
      <c r="G19" s="665" cm="1">
        <f t="array" ref="G19">IFERROR(
  IF(OR(F3="Acumulado Mes", F3="Acumulado Mes 2º S"),
    SUMPRODUCT(
      INDEX(
        'BEV BMW 2026'!$F$4:$BH$67,
        MATCH(E5, 'BEV BMW 2026'!$C$4:$C$67, 0),
        IF(
          F3="Acumulado Mes 2º S",
          {20;23;26;29;32;35},
          {2;5;8;11;14;17;20;23;26;29;32;35}
        )
      ),
      IF(
        F3="Acumulado Mes 2º S",
        CHOOSE(
          MATCH(G3, {"JULIO";"AGOSTO";"SEPTIEMBRE";"OCTUBRE";"NOVIEMBRE";"DICIEMBRE"}, 0),
          {1;0;0;0;0;0},
          {1;1;0;0;0;0},
          {1;1;1;0;0;0},
          {1;1;1;1;0;0},
          {1;1;1;1;1;0},
          {1;1;1;1;1;1}
        ),
        CHOOSE(
          MATCH(G3,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'BEV BMW 2026'!$F$4:$BH$67,
      MATCH(E5, 'BEV BMW 2026'!$C$4:$C$67, 0),
      CHOOSE(
        MATCH(F3, {"ENERO";"FEBRERO";"MARZO";"ABRIL";"MAYO";"JUNIO";"JULIO";"AGOSTO";"SEPTIEMBRE";"OCTUBRE";"NOVIEMBRE";"DICIEMBRE";"ANUAL";"SEMESTRE 1";"SEMESTRE 2"}, 0),
        2, 5, 8, 11, 14, 17, 20, 23, 26, 29, 32, 35, 41, 51, 54
      )
    )
  ),
  "No encontrado"
)</f>
        <v>701</v>
      </c>
      <c r="H19" s="666"/>
      <c r="I19" s="667" cm="1">
        <f t="array" ref="I19">IFERROR(
  IF(OR(F3="Acumulado Mes", F3="Acumulado Mes 2º S"),
    SUMPRODUCT(
      INDEX(
        'BEV MINI 2026'!$F$4:$BH$64,
        MATCH(E5, 'BEV MINI 2026'!$C$4:$C$64, 0),
        IF(
          F3="Acumulado Mes 2º S",
          {20;23;26;29;32;35},
          {2;5;8;11;14;17;20;23;26;29;32;35}
        )
      ),
      IF(
        F3="Acumulado Mes 2º S",
        CHOOSE(
          MATCH($G$3, {"JULIO";"AGOSTO";"SEPTIEMBRE";"OCTUBRE";"NOVIEMBRE";"DICIEMBRE"}, 0),
          {1;0;0;0;0;0},
          {1;1;0;0;0;0},
          {1;1;1;0;0;0},
          {1;1;1;1;0;0},
          {1;1;1;1;1;0},
          {1;1;1;1;1;1}
        ),
        CHOOSE(
          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
        )
      )
    ),
    INDEX(
      'BEV MINI 2026'!$F$4:$BH$64,
      MATCH(E5, 'BEV MINI 2026'!$C$4:$C$64, 0),
      CHOOSE(
        MATCH(F3, {"ENERO";"FEBRERO";"MARZO";"ABRIL";"MAYO";"JUNIO";"JULIO";"AGOSTO";"SEPTIEMBRE";"OCTUBRE";"NOVIEMBRE";"DICIEMBRE";"ANUAL";"SEMESTRE 1";"SEMESTRE 2"}, 0),
        2, 5, 8, 11, 14, 17, 20, 23, 26, 29, 32, 35, 41, 51, 54
      )
    )
  ),
  "No encontrado"
)</f>
        <v>162</v>
      </c>
      <c r="J19" s="668"/>
      <c r="K19" s="439"/>
    </row>
    <row r="20" spans="2:22" s="439" customFormat="1" ht="18" customHeight="1" thickBot="1" x14ac:dyDescent="0.4">
      <c r="B20" s="462"/>
      <c r="C20" s="454"/>
      <c r="D20" s="463"/>
      <c r="E20" s="464"/>
      <c r="F20" s="490" t="s">
        <v>221</v>
      </c>
      <c r="G20" s="669">
        <f ca="1">IFERROR(G19/G12,0)</f>
        <v>2.8039999999999998</v>
      </c>
      <c r="H20" s="670"/>
      <c r="I20" s="669">
        <f>IFERROR(I19/I12,0)</f>
        <v>2.16</v>
      </c>
      <c r="J20" s="670"/>
      <c r="L20" s="438"/>
      <c r="M20" s="438"/>
    </row>
    <row r="21" spans="2:22" s="439" customFormat="1" ht="18" customHeight="1" thickBot="1" x14ac:dyDescent="0.4">
      <c r="B21" s="462"/>
      <c r="C21" s="454"/>
      <c r="D21" s="463"/>
      <c r="E21" s="464"/>
      <c r="F21" s="438"/>
      <c r="G21" s="468"/>
      <c r="L21" s="438"/>
      <c r="M21" s="438"/>
    </row>
    <row r="22" spans="2:22" s="439" customFormat="1" ht="18" customHeight="1" thickBot="1" x14ac:dyDescent="0.4">
      <c r="B22" s="462"/>
      <c r="C22" s="454"/>
      <c r="D22" s="463"/>
      <c r="E22" s="464"/>
      <c r="F22" s="491" t="s">
        <v>222</v>
      </c>
      <c r="G22" s="661">
        <f>IFERROR(IF(OR(F3="ENERO",F3="FEBRERO",F3="MARZO",F3="ABRIL",F3="MAYO",F3="JUNIO"),
INDEX('MYS 2026'!$F$5:$F$68,MATCH(E5,'MYS 2026'!$C$5:$C$68,0)),
IF(OR(F3="JULIO",F3="AGOSTO",F3="SEPTIEMBRE",F3="OCTUBRE",F3="NOVIEMBRE",F3="DICIEMBRE"),
INDEX('MYS 2026'!$H$5:$H$68,MATCH(E5,'MYS 2026'!$C$5:$C$68,0)),
IF(F3="ANUAL",
0,
IF(F3="SEMESTRE 1",
INDEX('MYS 2026'!$F$5:$F$68,MATCH(E5,'MYS 2026'!$C$5:$C$68,0)),
IF(F3="SEMESTRE 2",
INDEX('MYS 2026'!$H$5:$H$68,MATCH(E5,'MYS 2026'!$C$5:$C$68,0)),
IF(F3="ACUMULADO MES",
IF(OR(G3="ENERO",G3="FEBRERO",G3="MARZO",G3="ABRIL",G3="MAYO",G3="JUNIO"),
INDEX('MYS 2026'!$F$5:$F$68,MATCH(E5,'MYS 2026'!$C$5:$C$68,0)),
INDEX('MYS 2026'!$H$5:$H$68,MATCH(E5,'MYS 2026'!$C$5:$C$68,0))),
"")))))),
"")</f>
        <v>0.79</v>
      </c>
      <c r="H22" s="662"/>
      <c r="I22" s="661">
        <f>IFERROR(IF(OR(F3="ENERO",F3="FEBRERO",F3="MARZO",F3="ABRIL",F3="MAYO",F3="JUNIO"),
INDEX('MYS 2026'!$G$5:$G$68,MATCH(E5,'MYS 2026'!$C$5:$C$68,0)),
IF(OR(F3="JULIO",F3="AGOSTO",F3="SEPTIEMBRE",F3="OCTUBRE",F3="NOVIEMBRE",F3="DICIEMBRE"),
INDEX('MYS 2026'!$I$5:$I$68,MATCH(E5,'MYS 2026'!$C$5:$C$68,0)),
IF(F3="ANUAL",
0,
IF(F3="SEMESTRE 1",
INDEX('MYS 2026'!$G$5:$G$68,MATCH(E5,'MYS 2026'!$C$5:$C$68,0)),
IF(F3="SEMESTRE 2",
INDEX('MYS 2026'!$I$5:$I$68,MATCH(E5,'MYS 2026'!$C$5:$C$68,0)),
IF(F3="ACUMULADO MES",
IF(OR(G3="ENERO",G3="FEBRERO",G3="MARZO",G3="ABRIL",G3="MAYO",G3="JUNIO"),
INDEX('MYS 2026'!$G$5:$G$68,MATCH(E5,'MYS 2026'!$C$5:$C$68,0)),
INDEX('MYS 2026'!$I$5:$I$68,MATCH(E5,'MYS 2026'!$C$5:$C$68,0))),
"")))))),
"")</f>
        <v>1</v>
      </c>
      <c r="J22" s="662"/>
      <c r="L22" s="438"/>
      <c r="M22" s="438"/>
    </row>
    <row r="23" spans="2:22" s="439" customFormat="1" ht="18" customHeight="1" thickBot="1" x14ac:dyDescent="0.4">
      <c r="B23" s="462"/>
      <c r="C23" s="454"/>
      <c r="D23" s="454"/>
      <c r="E23" s="454"/>
      <c r="F23" s="454"/>
      <c r="G23" s="460"/>
      <c r="H23" s="460"/>
      <c r="I23" s="460"/>
      <c r="J23" s="460"/>
      <c r="L23" s="438"/>
      <c r="M23" s="438"/>
    </row>
    <row r="24" spans="2:22" s="439" customFormat="1" ht="32.5" customHeight="1" thickBot="1" x14ac:dyDescent="0.4">
      <c r="B24" s="462"/>
      <c r="C24" s="454"/>
      <c r="D24" s="454"/>
      <c r="E24" s="454"/>
      <c r="F24" s="492" t="s">
        <v>239</v>
      </c>
      <c r="G24" s="681">
        <f ca="1">IFERROR(IF(OR(G15=0, ISBLANK(G15)), 4 * G13, MAX(0, 4 * (G13 - 1.25 * G15))),0)</f>
        <v>0</v>
      </c>
      <c r="H24" s="682"/>
      <c r="I24" s="683">
        <f>IFERROR(IF(OR(I15=0, ISBLANK(I15)), 4 * I13, MAX(0, 4 * (I13 - 1.25 * I15))),0)</f>
        <v>0</v>
      </c>
      <c r="J24" s="684"/>
      <c r="L24" s="438"/>
      <c r="M24" s="438"/>
      <c r="U24" s="506"/>
      <c r="V24" s="506"/>
    </row>
    <row r="25" spans="2:22" s="439" customFormat="1" ht="36" customHeight="1" thickBot="1" x14ac:dyDescent="0.4">
      <c r="B25" s="462"/>
      <c r="C25" s="454"/>
      <c r="D25" s="454"/>
      <c r="E25" s="454"/>
      <c r="F25" s="502"/>
      <c r="G25" s="502"/>
      <c r="H25" s="502"/>
      <c r="I25" s="502"/>
      <c r="J25" s="502"/>
      <c r="L25" s="438"/>
      <c r="M25" s="438"/>
    </row>
    <row r="26" spans="2:22" s="439" customFormat="1" ht="28" customHeight="1" thickBot="1" x14ac:dyDescent="0.4">
      <c r="B26" s="462"/>
      <c r="C26" s="454"/>
      <c r="D26" s="463"/>
      <c r="E26" s="464"/>
      <c r="F26" s="463"/>
      <c r="G26" s="563" t="s">
        <v>284</v>
      </c>
      <c r="H26" s="563" t="s">
        <v>285</v>
      </c>
      <c r="I26" s="587" t="s">
        <v>286</v>
      </c>
      <c r="J26" s="563" t="s">
        <v>290</v>
      </c>
      <c r="L26" s="438"/>
      <c r="M26" s="438"/>
    </row>
    <row r="27" spans="2:22" s="439" customFormat="1" ht="17.5" customHeight="1" thickBot="1" x14ac:dyDescent="0.4">
      <c r="B27" s="462"/>
      <c r="C27" s="465"/>
      <c r="D27" s="466"/>
      <c r="E27" s="460"/>
      <c r="F27" s="685" t="s">
        <v>238</v>
      </c>
      <c r="G27" s="496">
        <f ca="1">IFERROR(
    IF(
        (G17 / G12) &gt;= 0.18,
        0,
        ROUNDUP((0.18 * G12 - G17) / (1 - 0.18), 0)
    ),
    0
)</f>
        <v>0</v>
      </c>
      <c r="H27" s="590">
        <f ca="1">IFERROR(IF(OR(G12&lt;=0, G17/G12&gt;=0.22),
        0,
        ROUNDUP(0.22*G12-G17, 0)),
    0)</f>
        <v>0</v>
      </c>
      <c r="I27" s="496">
        <f ca="1">IFERROR(IF(OR(G12&lt;=0, G17/G12&gt;=0.27),
        0,
        ROUNDUP(0.27*G12-G17, 0)),
    0)</f>
        <v>1</v>
      </c>
      <c r="J27" s="493">
        <f ca="1">IFERROR(IF(OR(G12&lt;=0, G17/G12&gt;=0.32),
        0,
        ROUNDUP(0.32*G12-G17, 0)),
    0)</f>
        <v>13</v>
      </c>
    </row>
    <row r="28" spans="2:22" s="439" customFormat="1" ht="33.5" customHeight="1" thickBot="1" x14ac:dyDescent="0.4">
      <c r="B28" s="679"/>
      <c r="C28" s="680"/>
      <c r="D28" s="456"/>
      <c r="E28" s="458"/>
      <c r="F28" s="686"/>
      <c r="G28" s="563" t="s">
        <v>287</v>
      </c>
      <c r="H28" s="563" t="s">
        <v>288</v>
      </c>
      <c r="I28" s="587" t="s">
        <v>289</v>
      </c>
      <c r="J28" s="563" t="s">
        <v>291</v>
      </c>
      <c r="P28" s="438"/>
      <c r="Q28" s="438"/>
    </row>
    <row r="29" spans="2:22" s="439" customFormat="1" ht="16" hidden="1" customHeight="1" x14ac:dyDescent="0.35">
      <c r="B29" s="679"/>
      <c r="C29" s="680"/>
      <c r="D29" s="456"/>
      <c r="E29" s="458"/>
      <c r="F29" s="686"/>
      <c r="G29" s="563" t="s">
        <v>287</v>
      </c>
      <c r="H29" s="563" t="s">
        <v>288</v>
      </c>
      <c r="I29" s="563" t="s">
        <v>289</v>
      </c>
      <c r="J29" s="563" t="s">
        <v>291</v>
      </c>
      <c r="L29" s="438"/>
      <c r="M29" s="438"/>
    </row>
    <row r="30" spans="2:22" s="439" customFormat="1" ht="22" customHeight="1" thickBot="1" x14ac:dyDescent="0.4">
      <c r="B30" s="679"/>
      <c r="C30" s="680"/>
      <c r="D30" s="456"/>
      <c r="E30" s="455"/>
      <c r="F30" s="687"/>
      <c r="G30" s="494">
        <f>IFERROR(IF(OR(I12&lt;=0, I17/I12&gt;=0.15),
        0,
        ROUNDUP(0.15*I12-I17, 0)),
    0)</f>
        <v>0</v>
      </c>
      <c r="H30" s="494">
        <f>IFERROR(IF(OR(I12&lt;=0, I17/I12&gt;=0.2),
        0,
        ROUNDUP(0.2*I12-I17, 0)),
    0)</f>
        <v>0</v>
      </c>
      <c r="I30" s="494">
        <f>IFERROR(IF(OR(I12&lt;=0, I17/I12&gt;=0.25),
        0,
        ROUNDUP(0.25*I12-I17, 0)),
    0)</f>
        <v>0</v>
      </c>
      <c r="J30" s="494">
        <f>IFERROR(IF(OR(I12&lt;=0, I17/I12&gt;=0.3),
        0,
        ROUNDUP(0.3*I12-I17, 0)),
    0)</f>
        <v>0</v>
      </c>
      <c r="K30" s="469"/>
      <c r="L30" s="438"/>
      <c r="M30" s="438"/>
    </row>
    <row r="31" spans="2:22" s="439" customFormat="1" ht="32.5" customHeight="1" thickBot="1" x14ac:dyDescent="0.4">
      <c r="B31" s="498"/>
      <c r="C31" s="465"/>
      <c r="D31" s="466"/>
      <c r="E31" s="474"/>
      <c r="F31" s="562"/>
      <c r="G31" s="460"/>
      <c r="H31" s="460"/>
      <c r="I31" s="460"/>
      <c r="J31" s="460"/>
      <c r="K31" s="474"/>
      <c r="L31" s="438"/>
      <c r="M31" s="438"/>
    </row>
    <row r="32" spans="2:22" s="439" customFormat="1" ht="21" customHeight="1" thickBot="1" x14ac:dyDescent="0.4">
      <c r="B32" s="498"/>
      <c r="C32" s="497"/>
      <c r="D32" s="456"/>
      <c r="E32" s="474"/>
      <c r="F32" s="685" t="s">
        <v>237</v>
      </c>
      <c r="G32" s="563" t="s">
        <v>280</v>
      </c>
      <c r="H32" s="563" t="s">
        <v>281</v>
      </c>
      <c r="I32" s="563" t="s">
        <v>282</v>
      </c>
      <c r="J32" s="563" t="s">
        <v>283</v>
      </c>
      <c r="K32" s="474"/>
      <c r="L32" s="438"/>
      <c r="M32" s="438"/>
    </row>
    <row r="33" spans="2:22" s="439" customFormat="1" ht="21.5" customHeight="1" thickBot="1" x14ac:dyDescent="0.4">
      <c r="B33" s="498"/>
      <c r="C33" s="497"/>
      <c r="D33" s="467"/>
      <c r="E33" s="474"/>
      <c r="F33" s="687"/>
      <c r="G33" s="561">
        <f ca="1">IFERROR(
    IF((G19 /G12) &gt;= 0.06,
        0,
        ROUNDUP((0.05 *G12 - G19) / (1 - 0.06), 0)
    ),
    0
)</f>
        <v>0</v>
      </c>
      <c r="H33" s="493">
        <f ca="1">IFERROR(
    IF((G19 /G12) &gt;= 0.11,
        0,
        ROUNDUP((0.1 *G12 - G19) / (1 - 0.11), 0)
    ),
    0
)</f>
        <v>0</v>
      </c>
      <c r="I33" s="494">
        <f>IFERROR(
    IF((I19 /I12) &gt;= 0.1,
        0,
        ROUNDUP((0.05 *I12 - I19) / (1 - 0.1), 0)
    ),
    0
)</f>
        <v>0</v>
      </c>
      <c r="J33" s="494">
        <f>IFERROR(
    IF((I19 /I12) &gt;= 0.15,
        0,
        ROUNDUP((0.1 *I12 - I19) / (1 - 0.15), 0)
    ),
    0
)</f>
        <v>0</v>
      </c>
      <c r="K33" s="474"/>
      <c r="L33" s="438"/>
      <c r="M33" s="438"/>
    </row>
    <row r="34" spans="2:22" s="439" customFormat="1" ht="31" customHeight="1" thickBot="1" x14ac:dyDescent="0.4">
      <c r="B34" s="679"/>
      <c r="C34" s="680"/>
      <c r="D34" s="457"/>
      <c r="E34" s="474"/>
      <c r="F34" s="502"/>
      <c r="G34" s="476"/>
      <c r="H34" s="476"/>
      <c r="I34" s="474"/>
      <c r="J34" s="474"/>
      <c r="K34" s="474"/>
      <c r="L34" s="438"/>
      <c r="M34" s="438"/>
    </row>
    <row r="35" spans="2:22" s="439" customFormat="1" ht="15" customHeight="1" thickBot="1" x14ac:dyDescent="0.4">
      <c r="B35" s="679"/>
      <c r="C35" s="680"/>
      <c r="D35" s="457"/>
      <c r="E35" s="474"/>
      <c r="F35" s="564" t="str">
        <f>IF(O4=TRUE,"","Mercado &lt;6 años")</f>
        <v/>
      </c>
      <c r="G35" s="639" t="str" cm="1">
        <f t="array" ref="G35">IF(O4=TRUE,"",IFERROR(IF(OR(F3="Acumulado Mes", F3="Acumulado Mes 2º S"),
    SUMPRODUCT(INDEX('PENETRACION MERCADO VO BMW'!$F$4:$BH$67,
        MATCH(E5, 'PENETRACION MERCADO VO BMW'!$C$4:$C$67, 0),
        IF(F3="Acumulado Mes 2º S",
          {20;23;26;29;32;35}-1,
          {2;5;8;11;14;17;20;23;26;29;32;35}-1)),
      IF(F3="Acumulado Mes 2º S",
        CHOOSE(MATCH(G3, {"JULIO";"AGOSTO";"SEPTIEMBRE";"OCTUBRE";"NOVIEMBRE";"DICIEMBRE"}, 0),
          {1;0;0;0;0;0},
          {1;1;0;0;0;0},
          {1;1;1;0;0;0},
          {1;1;1;1;0;0},
          {1;1;1;1;1;0},
          {1;1;1;1;1;1}),
        CHOOSE(MATCH(G3,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{1;1;1;1;1;1;1;1;1;1;1;1}))),
    INDEX('PENETRACION MERCADO VO BMW'!$F$4:$BH$67,
      MATCH(E5, 'PENETRACION MERCADO VO BMW'!$C$4:$C$67, 0),
      CHOOSE(MATCH(F3, {"ENERO";"FEBRERO";"MARZO";"ABRIL";"MAYO";"JUNIO";"JULIO";"AGOSTO";"SEPTIEMBRE";"OCTUBRE";"NOVIEMBRE";"DICIEMBRE";"ANUAL";"SEMESTRE 1";"SEMESTRE 2"}, 0),
        2,5,8,11,14,17,20,23,26,29,32,35,41,51,54)-1)),
  "No encontrado"))</f>
        <v/>
      </c>
      <c r="H35" s="640"/>
      <c r="I35" s="641" t="str" cm="1">
        <f t="array" ref="I35">IF(O4=TRUE,"",IFERROR(IF(OR(F3="Acumulado Mes", F3="Acumulado Mes 2º S"),
    SUMPRODUCT(INDEX('PENETRACION MCDO VO MINI'!$F$4:$BH$64,
        MATCH(E5, 'PENETRACION MCDO VO MINI'!$C$4:$C$64, 0),
        IF(F3="Acumulado Mes 2º S",
          {20;23;26;29;32;35}-1,
          {2;5;8;11;14;17;20;23;26;29;32;35}-1)),
      IF(F3="Acumulado Mes 2º S",
        CHOOSE(MATCH($G$3, {"JULIO";"AGOSTO";"SEPTIEMBRE";"OCTUBRE";"NOVIEMBRE";"DICIEMBRE"}, 0),
          {1;0;0;0;0;0},
          {1;1;0;0;0;0},
          {1;1;1;0;0;0},
          {1;1;1;1;0;0},
          {1;1;1;1;1;0},
          {1;1;1;1;1;1}),
        CHOOSE(MATCH($G$3, {"ENERO";"FEBRERO";"MARZO";"ABRIL";"MAYO";"JUNIO";"JULIO";"AGOSTO";"SEPTIEMBRE";"OCTUBRE";"NOVIEMBRE";"DICIEMBRE"}, 0),
          {1;0;0;0;0;0;0;0;0;0;0;0},
          {1;1;0;0;0;0;0;0;0;0;0;0},
          {1;1;1;0;0;0;0;0;0;0;0;0},
          {1;1;1;1;0;0;0;0;0;0;0;0},
          {1;1;1;1;1;0;0;0;0;0;0;0},
          {1;1;1;1;1;1;0;0;0;0;0;0},
          {1;1;1;1;1;1;1;0;0;0;0;0},
          {1;1;1;1;1;1;1;1;0;0;0;0},
          {1;1;1;1;1;1;1;1;1;0;0;0},
          {1;1;1;1;1;1;1;1;1;1;0;0},
          {1;1;1;1;1;1;1;1;1;1;1;0},
          {1;1;1;1;1;1;1;1;1;1;1;1}))),
    INDEX('PENETRACION MCDO VO MINI'!$F$4:$BH$64,
      MATCH(E5, 'PENETRACION MCDO VO MINI'!$C$4:$C$64, 0),
      CHOOSE(MATCH(F3, {"ENERO";"FEBRERO";"MARZO";"ABRIL";"MAYO";"JUNIO";"JULIO";"AGOSTO";"SEPTIEMBRE";"OCTUBRE";"NOVIEMBRE";"DICIEMBRE";"ANUAL";"SEMESTRE 1";"SEMESTRE 2"}, 0),
        2,5,8,11,14,17,20,23,26,29,32,35,41,51,54)-1)),
  "No encontrado"))</f>
        <v/>
      </c>
      <c r="J35" s="642"/>
      <c r="K35" s="474"/>
      <c r="L35" s="491" t="str">
        <f>IF(E5="BYMYCAR MADRID","BYMYCAR DIRECTO","")</f>
        <v>BYMYCAR DIRECTO</v>
      </c>
      <c r="M35" s="491"/>
      <c r="N35" s="563" cm="1">
        <f t="array" aca="1" ref="N35" ca="1">IF(E5&lt;&gt;"BYMYCAR MADRID","",
IFERROR(IF(OR(F3="Acumulado Mes", F3="Acumulado Mes 2º S"),
    SUMPRODUCT(INDEX('UC BMW 2026 BPS'!$F$69:$DH$69,
        1,
        IF(F3="Acumulado Mes 2º S",
          {38,44,50,56,62,68},
          {2,8,14,20,26,32,38,44,50,56,62,68})),
      IF(F3="Acumulado Mes 2º S",
        CHOOSE(MATCH($G$3, {"JULIO";"AGOSTO";"SEPTIEMBRE";"OCTUBRE";"NOVIEMBRE";"DICIEMBRE"}, 0),
          {1,0,0,0,0,0},
          {1,1,0,0,0,0},
          {1,1,1,0,0,0},
          {1,1,1,1,0,0},
          {1,1,1,1,1,0},
          {1,1,1,1,1,1}),
        CHOOSE(MATCH($G$3, {"ENERO";"FEBRERO";"MARZO";"ABRIL";"MAYO";"JUNIO";"JULIO";"AGOSTO";"SEPTIEMBRE";"OCTUBRE";"NOVIEMBRE";"DICIEMBRE"}, 0),
          {1,0,0,0,0,0,0,0,0,0,0,0},
          {1,1,0,0,0,0,0,0,0,0,0,0},
          {1,1,1,0,0,0,0,0,0,0,0,0},
          {1,1,1,1,0,0,0,0,0,0,0,0},
          {1,1,1,1,1,0,0,0,0,0,0,0},
          {1,1,1,1,1,1,0,0,0,0,0,0},
          {1,1,1,1,1,1,1,0,0,0,0,0},
          {1,1,1,1,1,1,1,1,0,0,0,0},
          {1,1,1,1,1,1,1,1,1,0,0,0},
          {1,1,1,1,1,1,1,1,1,1,0,0},
          {1,1,1,1,1,1,1,1,1,1,1,0},
          {1,1,1,1,1,1,1,1,1,1,1,1}))),
    INDEX('UC BMW 2026 BPS'!$F$69:$DH$69,
      1,
      CHOOSE(MATCH(F3, {"ENERO";"FEBRERO";"MARZO";"ABRIL";"MAYO";"JUNIO";"JULIO";"AGOSTO";"SEPTIEMBRE";"OCTUBRE";"NOVIEMBRE";"DICIEMBRE";"ANUAL";"SEMESTRE 1";"SEMESTRE 2"}, 0),
        2, 8, 14, 20, 26, 32, 38, 44, 50, 56, 62, 68, 81, 95, 102))),
  "No encontrado"))</f>
        <v>139</v>
      </c>
      <c r="O35" s="563" cm="1">
        <f t="array" ref="O35">IF(E5&lt;&gt;"BYMYCAR MADRID","",
IFERROR(IF(OR(F3="Acumulado Mes", F3="Acumulado Mes 2º S"),
    SUMPRODUCT(INDEX('UC MINI 2026 MINI NEXT'!$F$65:$DT$65,
        1,
        IF(F3="Acumulado Mes 2º S",
          {44,51,58,65,72,79},
          {2,9,16,23,30,37,44,51,58,65,72,79})),
      IF(F3="Acumulado Mes 2º S",
        CHOOSE(MATCH($G$3, {"JULIO";"AGOSTO";"SEPTIEMBRE";"OCTUBRE";"NOVIEMBRE";"DICIEMBRE"}, 0),
          {1,0,0,0,0,0},
          {1,1,0,0,0,0},
          {1,1,1,0,0,0},
          {1,1,1,1,0,0},
          {1,1,1,1,1,0},
          {1,1,1,1,1,1}),
        CHOOSE(MATCH($G$3, {"ENERO";"FEBRERO";"MARZO";"ABRIL";"MAYO";"JUNIO";"JULIO";"AGOSTO";"SEPTIEMBRE";"OCTUBRE";"NOVIEMBRE";"DICIEMBRE"}, 0),
          {1,0,0,0,0,0,0,0,0,0,0,0},
          {1,1,0,0,0,0,0,0,0,0,0,0},
          {1,1,1,0,0,0,0,0,0,0,0,0},
          {1,1,1,1,0,0,0,0,0,0,0,0},
          {1,1,1,1,1,0,0,0,0,0,0,0},
          {1,1,1,1,1,1,0,0,0,0,0,0},
          {1,1,1,1,1,1,1,0,0,0,0,0},
          {1,1,1,1,1,1,1,1,0,0,0,0},
          {1,1,1,1,1,1,1,1,1,0,0,0},
          {1,1,1,1,1,1,1,1,1,1,0,0},
          {1,1,1,1,1,1,1,1,1,1,1,0},
          {1,1,1,1,1,1,1,1,1,1,1,1}))),
    INDEX('UC MINI 2026 MINI NEXT'!$F$65:$DT$65,
      1,
      CHOOSE(MATCH(F3, {"ENERO";"FEBRERO";"MARZO";"ABRIL";"MAYO";"JUNIO";"JULIO";"AGOSTO";"SEPTIEMBRE";"OCTUBRE";"NOVIEMBRE";"DICIEMBRE";"ANUAL";"SEMESTRE 1";"SEMESTRE 2"}, 0),
        2, 9, 16, 23, 30, 37, 44, 51, 58, 65, 72, 79, 93, 107, 114))),
  "No encontrado"))</f>
        <v>36</v>
      </c>
    </row>
    <row r="36" spans="2:22" ht="18.75" customHeight="1" thickBot="1" x14ac:dyDescent="0.4">
      <c r="B36" s="470"/>
      <c r="C36" s="471"/>
      <c r="D36" s="472"/>
      <c r="F36" s="586" t="str">
        <f>IF(O4=TRUE,"","% Penetracion")</f>
        <v/>
      </c>
      <c r="G36" s="643" t="str">
        <f>IF(O4=TRUE,"",G13/G35)</f>
        <v/>
      </c>
      <c r="H36" s="644"/>
      <c r="I36" s="645" t="str">
        <f>IF(O4=TRUE,"",I13/I35)</f>
        <v/>
      </c>
      <c r="J36" s="646"/>
      <c r="K36" s="474"/>
      <c r="L36" s="468"/>
      <c r="M36" s="468"/>
      <c r="V36" s="438"/>
    </row>
    <row r="37" spans="2:22" ht="16.5" customHeight="1" thickBot="1" x14ac:dyDescent="0.4">
      <c r="B37" s="454"/>
      <c r="F37" s="586" t="str">
        <f>IF(O4=TRUE,"","% Penetracion TOP 10")</f>
        <v/>
      </c>
      <c r="G37" s="637" t="str" cm="1">
        <f t="array" ref="G37">IF(O4=TRUE,"",'PENETRACION MERCADO VO BMW'!BR31:BR31)</f>
        <v/>
      </c>
      <c r="H37" s="638"/>
      <c r="I37" s="637" t="str">
        <f>IF(O4=TRUE,"",'PENETRACION MCDO VO MINI'!BS32)</f>
        <v/>
      </c>
      <c r="J37" s="638"/>
      <c r="K37" s="474"/>
      <c r="L37" s="439"/>
      <c r="M37" s="468"/>
      <c r="V37" s="438"/>
    </row>
    <row r="38" spans="2:22" s="473" customFormat="1" x14ac:dyDescent="0.35">
      <c r="B38" s="437"/>
      <c r="C38" s="437"/>
      <c r="D38" s="474"/>
      <c r="E38" s="474"/>
      <c r="F38" s="476"/>
      <c r="G38" s="476"/>
      <c r="H38" s="474"/>
      <c r="I38" s="474"/>
      <c r="J38" s="474"/>
      <c r="K38" s="474"/>
      <c r="L38" s="439"/>
      <c r="M38" s="439"/>
      <c r="N38" s="475"/>
      <c r="O38"/>
      <c r="P38" s="475"/>
      <c r="Q38" s="475"/>
      <c r="R38" s="475"/>
      <c r="S38" s="475"/>
      <c r="T38" s="475"/>
      <c r="U38" s="475"/>
    </row>
    <row r="39" spans="2:22" s="474" customFormat="1" ht="18.75" customHeight="1" x14ac:dyDescent="0.35">
      <c r="B39" s="437"/>
      <c r="C39" s="437"/>
      <c r="G39" s="476"/>
      <c r="L39" s="439"/>
      <c r="M39" s="439"/>
      <c r="N39" s="439"/>
      <c r="O39"/>
      <c r="P39" s="439"/>
      <c r="Q39" s="439"/>
      <c r="R39" s="439"/>
      <c r="S39" s="439"/>
      <c r="T39" s="439"/>
      <c r="U39" s="439"/>
    </row>
    <row r="40" spans="2:22" s="474" customFormat="1" x14ac:dyDescent="0.35">
      <c r="B40" s="437"/>
      <c r="C40" s="437"/>
      <c r="D40" s="439"/>
      <c r="G40" s="476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</row>
    <row r="41" spans="2:22" s="474" customFormat="1" x14ac:dyDescent="0.35">
      <c r="B41" s="437"/>
      <c r="C41" s="437"/>
      <c r="D41" s="439"/>
      <c r="G41" s="476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</row>
    <row r="42" spans="2:22" s="474" customFormat="1" x14ac:dyDescent="0.35">
      <c r="B42" s="437"/>
      <c r="C42" s="437"/>
      <c r="D42" s="439"/>
      <c r="G42" s="476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</row>
    <row r="43" spans="2:22" s="474" customFormat="1" x14ac:dyDescent="0.35">
      <c r="B43" s="437"/>
      <c r="C43" s="437"/>
      <c r="G43" s="476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</row>
    <row r="44" spans="2:22" s="474" customFormat="1" x14ac:dyDescent="0.35">
      <c r="B44" s="437"/>
      <c r="C44" s="437"/>
      <c r="G44" s="476"/>
      <c r="M44" s="439"/>
      <c r="N44" s="439"/>
      <c r="O44" s="439"/>
      <c r="P44" s="439"/>
      <c r="Q44" s="439"/>
      <c r="R44" s="439"/>
      <c r="S44" s="439"/>
      <c r="T44" s="439"/>
      <c r="U44" s="439"/>
      <c r="V44" s="439"/>
    </row>
    <row r="45" spans="2:22" s="474" customFormat="1" x14ac:dyDescent="0.35">
      <c r="B45" s="477"/>
      <c r="C45" s="477"/>
      <c r="G45" s="476"/>
      <c r="N45" s="439"/>
      <c r="O45" s="439"/>
      <c r="P45" s="439"/>
      <c r="Q45" s="439"/>
      <c r="R45" s="439"/>
      <c r="S45" s="439"/>
      <c r="T45" s="439"/>
      <c r="U45" s="439"/>
      <c r="V45" s="439"/>
    </row>
    <row r="46" spans="2:22" s="474" customFormat="1" x14ac:dyDescent="0.35">
      <c r="B46" s="477"/>
      <c r="C46" s="477"/>
      <c r="D46" s="476"/>
      <c r="G46" s="476"/>
      <c r="N46" s="439"/>
      <c r="O46" s="439"/>
      <c r="P46" s="439"/>
      <c r="Q46" s="439"/>
      <c r="R46" s="439"/>
      <c r="S46" s="439"/>
      <c r="T46" s="439"/>
      <c r="U46" s="439"/>
      <c r="V46" s="439"/>
    </row>
    <row r="47" spans="2:22" s="474" customFormat="1" x14ac:dyDescent="0.35">
      <c r="B47" s="477"/>
      <c r="C47" s="477"/>
      <c r="D47" s="476"/>
      <c r="G47" s="476"/>
      <c r="N47" s="439"/>
      <c r="O47" s="439"/>
      <c r="P47" s="439"/>
      <c r="Q47" s="439"/>
      <c r="R47" s="439"/>
      <c r="S47" s="439"/>
      <c r="T47" s="439"/>
      <c r="U47" s="439"/>
      <c r="V47" s="439"/>
    </row>
    <row r="48" spans="2:22" s="474" customFormat="1" ht="18" customHeight="1" x14ac:dyDescent="0.35">
      <c r="B48" s="477"/>
      <c r="C48" s="477"/>
      <c r="D48" s="476"/>
      <c r="G48" s="476"/>
      <c r="N48" s="439"/>
      <c r="O48" s="439"/>
      <c r="P48" s="439"/>
      <c r="Q48" s="439"/>
      <c r="R48" s="439"/>
      <c r="S48" s="439"/>
      <c r="T48" s="439"/>
      <c r="U48" s="439"/>
      <c r="V48" s="439"/>
    </row>
    <row r="49" spans="2:22" s="474" customFormat="1" x14ac:dyDescent="0.35">
      <c r="B49" s="477"/>
      <c r="C49" s="477"/>
      <c r="D49" s="476"/>
      <c r="G49" s="484">
        <f ca="1">IFERROR((G13-G12)/G12,0)</f>
        <v>0.248</v>
      </c>
      <c r="N49" s="439"/>
      <c r="O49" s="439"/>
      <c r="P49" s="439"/>
      <c r="Q49" s="439"/>
      <c r="R49" s="439"/>
      <c r="S49" s="439"/>
      <c r="T49" s="439"/>
      <c r="U49" s="439"/>
      <c r="V49" s="439"/>
    </row>
    <row r="50" spans="2:22" s="474" customFormat="1" x14ac:dyDescent="0.35">
      <c r="B50" s="477"/>
      <c r="C50" s="477"/>
      <c r="D50" s="476"/>
      <c r="F50" s="474" t="s">
        <v>228</v>
      </c>
      <c r="G50" s="484">
        <f>IFERROR((I13-I12)/I12,0)</f>
        <v>0.42666666666666669</v>
      </c>
      <c r="N50" s="439"/>
      <c r="O50" s="439"/>
      <c r="P50" s="439"/>
      <c r="Q50" s="439"/>
      <c r="R50" s="439"/>
      <c r="S50" s="439"/>
      <c r="T50" s="439"/>
      <c r="U50" s="439"/>
      <c r="V50" s="439"/>
    </row>
    <row r="51" spans="2:22" s="474" customFormat="1" x14ac:dyDescent="0.35">
      <c r="B51" s="477"/>
      <c r="C51" s="477"/>
      <c r="D51" s="476"/>
      <c r="F51" s="474" t="s">
        <v>229</v>
      </c>
      <c r="N51" s="439"/>
      <c r="O51" s="439"/>
      <c r="P51" s="439"/>
      <c r="Q51" s="439"/>
      <c r="R51" s="439"/>
      <c r="S51" s="439"/>
      <c r="T51" s="439"/>
      <c r="U51" s="439"/>
      <c r="V51" s="439"/>
    </row>
    <row r="52" spans="2:22" s="474" customFormat="1" x14ac:dyDescent="0.2">
      <c r="B52" s="478"/>
      <c r="C52" s="479"/>
      <c r="D52" s="474">
        <f t="shared" ref="D52:D81" si="0">+B52</f>
        <v>0</v>
      </c>
      <c r="G52" s="476"/>
      <c r="N52" s="439"/>
      <c r="O52" s="439"/>
      <c r="P52" s="439"/>
      <c r="Q52" s="439"/>
      <c r="R52" s="439"/>
      <c r="S52" s="439"/>
      <c r="T52" s="439"/>
      <c r="U52" s="439"/>
      <c r="V52" s="439"/>
    </row>
    <row r="53" spans="2:22" s="474" customFormat="1" x14ac:dyDescent="0.2">
      <c r="B53" s="478"/>
      <c r="C53" s="479"/>
      <c r="D53" s="474">
        <f t="shared" si="0"/>
        <v>0</v>
      </c>
      <c r="G53" s="476"/>
      <c r="N53" s="439"/>
      <c r="O53" s="439"/>
      <c r="P53" s="439"/>
      <c r="Q53" s="439"/>
      <c r="R53" s="439"/>
      <c r="S53" s="439"/>
      <c r="T53" s="439"/>
      <c r="U53" s="439"/>
      <c r="V53" s="439"/>
    </row>
    <row r="54" spans="2:22" s="474" customFormat="1" x14ac:dyDescent="0.2">
      <c r="B54" s="478"/>
      <c r="C54" s="479"/>
      <c r="D54" s="474">
        <f t="shared" si="0"/>
        <v>0</v>
      </c>
      <c r="G54" s="476"/>
      <c r="N54" s="439"/>
      <c r="O54" s="439"/>
      <c r="P54" s="439"/>
      <c r="Q54" s="439"/>
      <c r="R54" s="439"/>
      <c r="S54" s="439"/>
      <c r="T54" s="439"/>
      <c r="U54" s="439"/>
      <c r="V54" s="439"/>
    </row>
    <row r="55" spans="2:22" s="474" customFormat="1" x14ac:dyDescent="0.2">
      <c r="B55" s="478"/>
      <c r="C55" s="479"/>
      <c r="D55" s="474">
        <f t="shared" si="0"/>
        <v>0</v>
      </c>
      <c r="G55" s="476"/>
      <c r="N55" s="439"/>
      <c r="O55" s="439"/>
      <c r="P55" s="439"/>
      <c r="Q55" s="439"/>
      <c r="R55" s="439"/>
      <c r="S55" s="439"/>
      <c r="T55" s="439"/>
      <c r="U55" s="439"/>
      <c r="V55" s="439"/>
    </row>
    <row r="56" spans="2:22" s="474" customFormat="1" x14ac:dyDescent="0.2">
      <c r="B56" s="478"/>
      <c r="C56" s="479"/>
      <c r="D56" s="474">
        <f t="shared" si="0"/>
        <v>0</v>
      </c>
      <c r="G56" s="476"/>
      <c r="N56" s="439"/>
      <c r="O56" s="439"/>
      <c r="P56" s="439"/>
      <c r="Q56" s="439"/>
      <c r="R56" s="439"/>
      <c r="S56" s="439"/>
      <c r="T56" s="439"/>
      <c r="U56" s="439"/>
      <c r="V56" s="439"/>
    </row>
    <row r="57" spans="2:22" s="474" customFormat="1" x14ac:dyDescent="0.2">
      <c r="B57" s="478"/>
      <c r="C57" s="479"/>
      <c r="D57" s="474">
        <f t="shared" si="0"/>
        <v>0</v>
      </c>
      <c r="G57" s="476"/>
      <c r="N57" s="439"/>
      <c r="O57" s="439"/>
      <c r="P57" s="439"/>
      <c r="Q57" s="439"/>
      <c r="R57" s="439"/>
      <c r="S57" s="439"/>
      <c r="T57" s="439"/>
      <c r="U57" s="439"/>
      <c r="V57" s="439"/>
    </row>
    <row r="58" spans="2:22" s="474" customFormat="1" x14ac:dyDescent="0.2">
      <c r="B58" s="478"/>
      <c r="C58" s="479"/>
      <c r="D58" s="474">
        <f t="shared" si="0"/>
        <v>0</v>
      </c>
      <c r="G58" s="476"/>
      <c r="N58" s="439"/>
      <c r="O58" s="439"/>
      <c r="P58" s="439"/>
      <c r="Q58" s="439"/>
      <c r="R58" s="439"/>
      <c r="S58" s="439"/>
      <c r="T58" s="439"/>
      <c r="U58" s="439"/>
      <c r="V58" s="439"/>
    </row>
    <row r="59" spans="2:22" s="474" customFormat="1" x14ac:dyDescent="0.2">
      <c r="B59" s="478"/>
      <c r="C59" s="479"/>
      <c r="D59" s="474">
        <f t="shared" si="0"/>
        <v>0</v>
      </c>
      <c r="G59" s="476"/>
      <c r="N59" s="439"/>
      <c r="O59" s="439"/>
      <c r="P59" s="439"/>
      <c r="Q59" s="439"/>
      <c r="R59" s="439"/>
      <c r="S59" s="439"/>
      <c r="T59" s="439"/>
      <c r="U59" s="439"/>
      <c r="V59" s="439"/>
    </row>
    <row r="60" spans="2:22" s="474" customFormat="1" x14ac:dyDescent="0.2">
      <c r="B60" s="478"/>
      <c r="C60" s="479"/>
      <c r="D60" s="474">
        <f t="shared" si="0"/>
        <v>0</v>
      </c>
      <c r="G60" s="476"/>
      <c r="N60" s="439"/>
      <c r="O60" s="439"/>
      <c r="P60" s="439"/>
      <c r="Q60" s="439"/>
      <c r="R60" s="439"/>
      <c r="S60" s="439"/>
      <c r="T60" s="439"/>
      <c r="U60" s="439"/>
      <c r="V60" s="439"/>
    </row>
    <row r="61" spans="2:22" s="474" customFormat="1" ht="18" customHeight="1" x14ac:dyDescent="0.2">
      <c r="B61" s="478"/>
      <c r="C61" s="479"/>
      <c r="D61" s="474">
        <f t="shared" si="0"/>
        <v>0</v>
      </c>
      <c r="G61" s="476"/>
      <c r="N61" s="439"/>
      <c r="O61" s="439"/>
      <c r="P61" s="439"/>
      <c r="Q61" s="439"/>
      <c r="R61" s="439"/>
      <c r="S61" s="439"/>
      <c r="T61" s="439"/>
      <c r="U61" s="439"/>
      <c r="V61" s="439"/>
    </row>
    <row r="62" spans="2:22" s="474" customFormat="1" x14ac:dyDescent="0.2">
      <c r="B62" s="478"/>
      <c r="C62" s="479"/>
      <c r="D62" s="474">
        <f t="shared" si="0"/>
        <v>0</v>
      </c>
      <c r="G62" s="476"/>
      <c r="N62" s="439"/>
      <c r="O62" s="439"/>
      <c r="P62" s="439"/>
      <c r="Q62" s="439"/>
      <c r="R62" s="439"/>
      <c r="S62" s="439"/>
      <c r="T62" s="439"/>
      <c r="U62" s="439"/>
      <c r="V62" s="439"/>
    </row>
    <row r="63" spans="2:22" s="474" customFormat="1" x14ac:dyDescent="0.2">
      <c r="B63" s="478"/>
      <c r="C63" s="479"/>
      <c r="D63" s="474">
        <f t="shared" si="0"/>
        <v>0</v>
      </c>
      <c r="G63" s="476"/>
      <c r="K63" s="438"/>
      <c r="N63" s="439"/>
      <c r="O63" s="439"/>
      <c r="P63" s="439"/>
      <c r="Q63" s="439"/>
      <c r="R63" s="439"/>
      <c r="S63" s="439"/>
      <c r="T63" s="439"/>
      <c r="U63" s="439"/>
      <c r="V63" s="439"/>
    </row>
    <row r="64" spans="2:22" s="474" customFormat="1" x14ac:dyDescent="0.2">
      <c r="B64" s="478"/>
      <c r="C64" s="479"/>
      <c r="D64" s="474">
        <f t="shared" si="0"/>
        <v>0</v>
      </c>
      <c r="G64" s="476"/>
      <c r="K64" s="438"/>
      <c r="N64" s="439"/>
      <c r="O64" s="439"/>
      <c r="P64" s="439"/>
      <c r="Q64" s="439"/>
      <c r="R64" s="439"/>
      <c r="S64" s="439"/>
      <c r="T64" s="439"/>
      <c r="U64" s="439"/>
      <c r="V64" s="439"/>
    </row>
    <row r="65" spans="2:22" s="474" customFormat="1" x14ac:dyDescent="0.2">
      <c r="B65" s="478"/>
      <c r="C65" s="479"/>
      <c r="D65" s="474">
        <f t="shared" si="0"/>
        <v>0</v>
      </c>
      <c r="G65" s="476"/>
      <c r="K65" s="438"/>
      <c r="N65" s="439"/>
      <c r="O65" s="439"/>
      <c r="P65" s="439"/>
      <c r="Q65" s="439"/>
      <c r="R65" s="439"/>
      <c r="S65" s="439"/>
      <c r="T65" s="439"/>
      <c r="U65" s="439"/>
      <c r="V65" s="439"/>
    </row>
    <row r="66" spans="2:22" s="474" customFormat="1" x14ac:dyDescent="0.2">
      <c r="B66" s="478"/>
      <c r="C66" s="479"/>
      <c r="D66" s="474">
        <f t="shared" si="0"/>
        <v>0</v>
      </c>
      <c r="G66" s="476"/>
      <c r="K66" s="438"/>
      <c r="N66" s="439"/>
      <c r="O66" s="439"/>
      <c r="P66" s="439"/>
      <c r="Q66" s="439"/>
      <c r="R66" s="439"/>
      <c r="S66" s="439"/>
      <c r="T66" s="439"/>
      <c r="U66" s="439"/>
      <c r="V66" s="439"/>
    </row>
    <row r="67" spans="2:22" s="474" customFormat="1" x14ac:dyDescent="0.2">
      <c r="B67" s="478"/>
      <c r="C67" s="479"/>
      <c r="D67" s="474">
        <f t="shared" si="0"/>
        <v>0</v>
      </c>
      <c r="G67" s="476"/>
      <c r="K67" s="438"/>
      <c r="N67" s="439"/>
      <c r="O67" s="439"/>
      <c r="P67" s="439"/>
      <c r="Q67" s="439"/>
      <c r="R67" s="439"/>
      <c r="S67" s="439"/>
      <c r="T67" s="439"/>
      <c r="U67" s="439"/>
      <c r="V67" s="439"/>
    </row>
    <row r="68" spans="2:22" s="474" customFormat="1" x14ac:dyDescent="0.2">
      <c r="B68" s="478"/>
      <c r="C68" s="479"/>
      <c r="D68" s="474">
        <f t="shared" si="0"/>
        <v>0</v>
      </c>
      <c r="G68" s="476"/>
      <c r="K68" s="438"/>
      <c r="N68" s="439"/>
      <c r="O68" s="439"/>
      <c r="P68" s="439"/>
      <c r="Q68" s="439"/>
      <c r="R68" s="439"/>
      <c r="S68" s="439"/>
      <c r="T68" s="439"/>
      <c r="U68" s="439"/>
      <c r="V68" s="439"/>
    </row>
    <row r="69" spans="2:22" s="474" customFormat="1" x14ac:dyDescent="0.2">
      <c r="B69" s="478"/>
      <c r="C69" s="479"/>
      <c r="D69" s="474">
        <f t="shared" si="0"/>
        <v>0</v>
      </c>
      <c r="G69" s="476"/>
      <c r="H69" s="438"/>
      <c r="I69" s="438"/>
      <c r="J69" s="438"/>
      <c r="K69" s="438"/>
      <c r="L69" s="438"/>
      <c r="N69" s="439"/>
      <c r="O69" s="439"/>
      <c r="P69" s="439"/>
      <c r="Q69" s="439"/>
      <c r="R69" s="439"/>
      <c r="S69" s="439"/>
      <c r="T69" s="439"/>
      <c r="U69" s="439"/>
      <c r="V69" s="439"/>
    </row>
    <row r="70" spans="2:22" s="474" customFormat="1" x14ac:dyDescent="0.2">
      <c r="B70" s="478"/>
      <c r="C70" s="479"/>
      <c r="D70" s="474">
        <f t="shared" si="0"/>
        <v>0</v>
      </c>
      <c r="G70" s="476"/>
      <c r="H70" s="438"/>
      <c r="I70" s="438"/>
      <c r="J70" s="438"/>
      <c r="K70" s="438"/>
      <c r="L70" s="438"/>
      <c r="M70" s="438"/>
      <c r="N70" s="439"/>
      <c r="O70" s="439"/>
      <c r="P70" s="439"/>
      <c r="Q70" s="439"/>
      <c r="R70" s="439"/>
      <c r="S70" s="439"/>
      <c r="T70" s="439"/>
      <c r="U70" s="439"/>
      <c r="V70" s="439"/>
    </row>
    <row r="71" spans="2:22" s="474" customFormat="1" x14ac:dyDescent="0.2">
      <c r="B71" s="478"/>
      <c r="C71" s="479"/>
      <c r="D71" s="474">
        <f t="shared" si="0"/>
        <v>0</v>
      </c>
      <c r="G71" s="476"/>
      <c r="H71" s="438"/>
      <c r="I71" s="438"/>
      <c r="J71" s="438"/>
      <c r="K71" s="438"/>
      <c r="L71" s="438"/>
      <c r="M71" s="438"/>
      <c r="N71" s="439"/>
      <c r="O71" s="439"/>
      <c r="P71" s="439"/>
      <c r="Q71" s="439"/>
      <c r="R71" s="439"/>
      <c r="S71" s="439"/>
      <c r="T71" s="439"/>
      <c r="U71" s="439"/>
      <c r="V71" s="439"/>
    </row>
    <row r="72" spans="2:22" s="474" customFormat="1" x14ac:dyDescent="0.2">
      <c r="B72" s="478"/>
      <c r="C72" s="479"/>
      <c r="D72" s="474">
        <f t="shared" si="0"/>
        <v>0</v>
      </c>
      <c r="G72" s="476"/>
      <c r="H72" s="438"/>
      <c r="I72" s="438"/>
      <c r="J72" s="438"/>
      <c r="K72" s="438"/>
      <c r="L72" s="438"/>
      <c r="M72" s="438"/>
      <c r="N72" s="439"/>
      <c r="O72" s="439"/>
      <c r="P72" s="439"/>
      <c r="Q72" s="439"/>
      <c r="R72" s="439"/>
      <c r="S72" s="439"/>
      <c r="T72" s="439"/>
      <c r="U72" s="439"/>
      <c r="V72" s="439"/>
    </row>
    <row r="73" spans="2:22" s="474" customFormat="1" x14ac:dyDescent="0.2">
      <c r="B73" s="478"/>
      <c r="C73" s="479"/>
      <c r="D73" s="474">
        <f t="shared" si="0"/>
        <v>0</v>
      </c>
      <c r="G73" s="476"/>
      <c r="H73" s="438"/>
      <c r="I73" s="438"/>
      <c r="J73" s="438"/>
      <c r="K73" s="438"/>
      <c r="L73" s="438"/>
      <c r="M73" s="438"/>
      <c r="N73" s="439"/>
      <c r="O73" s="439"/>
      <c r="P73" s="439"/>
      <c r="Q73" s="439"/>
      <c r="R73" s="439"/>
      <c r="S73" s="439"/>
      <c r="T73" s="439"/>
      <c r="U73" s="439"/>
      <c r="V73" s="439"/>
    </row>
    <row r="74" spans="2:22" s="474" customFormat="1" x14ac:dyDescent="0.2">
      <c r="B74" s="478"/>
      <c r="C74" s="479"/>
      <c r="D74" s="474">
        <f t="shared" si="0"/>
        <v>0</v>
      </c>
      <c r="G74" s="476"/>
      <c r="H74" s="438"/>
      <c r="I74" s="438"/>
      <c r="J74" s="438"/>
      <c r="K74" s="438"/>
      <c r="L74" s="438"/>
      <c r="M74" s="438"/>
      <c r="N74" s="439"/>
      <c r="O74" s="439"/>
      <c r="P74" s="439"/>
      <c r="Q74" s="439"/>
      <c r="R74" s="439"/>
      <c r="S74" s="439"/>
      <c r="T74" s="439"/>
      <c r="U74" s="439"/>
      <c r="V74" s="439"/>
    </row>
    <row r="75" spans="2:22" s="474" customFormat="1" x14ac:dyDescent="0.2">
      <c r="B75" s="478"/>
      <c r="C75" s="479"/>
      <c r="D75" s="474">
        <f t="shared" si="0"/>
        <v>0</v>
      </c>
      <c r="G75" s="476"/>
      <c r="H75" s="438"/>
      <c r="I75" s="438"/>
      <c r="J75" s="438"/>
      <c r="K75" s="438"/>
      <c r="L75" s="438"/>
      <c r="M75" s="438"/>
      <c r="N75" s="439"/>
      <c r="O75" s="439"/>
      <c r="P75" s="439"/>
      <c r="Q75" s="439"/>
      <c r="R75" s="439"/>
      <c r="S75" s="439"/>
      <c r="T75" s="439"/>
      <c r="U75" s="439"/>
      <c r="V75" s="439"/>
    </row>
    <row r="76" spans="2:22" x14ac:dyDescent="0.2">
      <c r="B76" s="478"/>
      <c r="C76" s="479"/>
      <c r="D76" s="474">
        <f t="shared" si="0"/>
        <v>0</v>
      </c>
      <c r="F76" s="474"/>
      <c r="G76" s="476"/>
    </row>
    <row r="77" spans="2:22" x14ac:dyDescent="0.2">
      <c r="B77" s="478"/>
      <c r="C77" s="479"/>
      <c r="D77" s="474">
        <f t="shared" si="0"/>
        <v>0</v>
      </c>
      <c r="F77" s="474"/>
      <c r="G77" s="476"/>
    </row>
    <row r="78" spans="2:22" x14ac:dyDescent="0.2">
      <c r="B78" s="478"/>
      <c r="C78" s="479"/>
      <c r="D78" s="474">
        <f t="shared" si="0"/>
        <v>0</v>
      </c>
      <c r="F78" s="474"/>
      <c r="G78" s="476"/>
    </row>
    <row r="79" spans="2:22" x14ac:dyDescent="0.2">
      <c r="B79" s="478"/>
      <c r="C79" s="479"/>
      <c r="D79" s="474">
        <f t="shared" si="0"/>
        <v>0</v>
      </c>
      <c r="F79" s="474"/>
      <c r="G79" s="476"/>
    </row>
    <row r="80" spans="2:22" x14ac:dyDescent="0.2">
      <c r="B80" s="478"/>
      <c r="C80" s="479"/>
      <c r="D80" s="474">
        <f t="shared" si="0"/>
        <v>0</v>
      </c>
      <c r="F80" s="474"/>
      <c r="G80" s="476"/>
    </row>
    <row r="81" spans="2:7" x14ac:dyDescent="0.2">
      <c r="B81" s="478"/>
      <c r="C81" s="479"/>
      <c r="D81" s="474">
        <f t="shared" si="0"/>
        <v>0</v>
      </c>
      <c r="F81" s="474"/>
      <c r="G81" s="476"/>
    </row>
    <row r="82" spans="2:7" x14ac:dyDescent="0.2">
      <c r="B82" s="478"/>
      <c r="C82" s="479"/>
      <c r="F82" s="474"/>
      <c r="G82" s="476"/>
    </row>
    <row r="83" spans="2:7" x14ac:dyDescent="0.2">
      <c r="B83" s="478"/>
      <c r="C83" s="479"/>
      <c r="D83" s="474">
        <f t="shared" ref="D83:D93" si="1">+B83</f>
        <v>0</v>
      </c>
      <c r="F83" s="474"/>
      <c r="G83" s="476"/>
    </row>
    <row r="84" spans="2:7" x14ac:dyDescent="0.2">
      <c r="B84" s="478"/>
      <c r="C84" s="479"/>
      <c r="D84" s="474">
        <f t="shared" si="1"/>
        <v>0</v>
      </c>
      <c r="F84" s="474"/>
      <c r="G84" s="476"/>
    </row>
    <row r="85" spans="2:7" x14ac:dyDescent="0.2">
      <c r="B85" s="478"/>
      <c r="C85" s="479"/>
      <c r="D85" s="474">
        <f t="shared" si="1"/>
        <v>0</v>
      </c>
      <c r="F85" s="439"/>
    </row>
    <row r="86" spans="2:7" x14ac:dyDescent="0.2">
      <c r="B86" s="478"/>
      <c r="C86" s="479"/>
      <c r="D86" s="474" t="e">
        <f>+#REF!</f>
        <v>#REF!</v>
      </c>
      <c r="F86" s="439"/>
    </row>
    <row r="87" spans="2:7" x14ac:dyDescent="0.2">
      <c r="B87" s="478"/>
      <c r="C87" s="479"/>
      <c r="D87" s="474">
        <f>+B86</f>
        <v>0</v>
      </c>
      <c r="F87" s="439"/>
    </row>
    <row r="88" spans="2:7" x14ac:dyDescent="0.2">
      <c r="B88" s="478"/>
      <c r="C88" s="479"/>
      <c r="D88" s="474">
        <f>+B87</f>
        <v>0</v>
      </c>
      <c r="F88" s="439"/>
    </row>
    <row r="89" spans="2:7" x14ac:dyDescent="0.2">
      <c r="B89" s="478"/>
      <c r="C89" s="479"/>
      <c r="D89" s="474">
        <f>+B88</f>
        <v>0</v>
      </c>
      <c r="F89" s="439"/>
    </row>
    <row r="90" spans="2:7" x14ac:dyDescent="0.2">
      <c r="B90" s="478"/>
      <c r="C90" s="479"/>
      <c r="D90" s="474" t="e">
        <f>+#REF!</f>
        <v>#REF!</v>
      </c>
      <c r="F90" s="439"/>
    </row>
    <row r="91" spans="2:7" x14ac:dyDescent="0.2">
      <c r="B91" s="478"/>
      <c r="C91" s="479"/>
      <c r="D91" s="474">
        <f t="shared" si="1"/>
        <v>0</v>
      </c>
      <c r="F91" s="439"/>
    </row>
    <row r="92" spans="2:7" x14ac:dyDescent="0.2">
      <c r="B92" s="478"/>
      <c r="C92" s="479"/>
      <c r="D92" s="474">
        <f>+B89</f>
        <v>0</v>
      </c>
      <c r="E92" s="439"/>
      <c r="F92" s="439"/>
    </row>
    <row r="93" spans="2:7" x14ac:dyDescent="0.2">
      <c r="B93" s="478"/>
      <c r="C93" s="479"/>
      <c r="D93" s="474">
        <f t="shared" si="1"/>
        <v>0</v>
      </c>
      <c r="E93" s="439"/>
      <c r="F93" s="439"/>
    </row>
    <row r="94" spans="2:7" x14ac:dyDescent="0.2">
      <c r="B94" s="478"/>
      <c r="C94" s="479"/>
      <c r="D94" s="474">
        <f>+B90</f>
        <v>0</v>
      </c>
      <c r="E94" s="439"/>
      <c r="F94" s="439"/>
    </row>
    <row r="95" spans="2:7" x14ac:dyDescent="0.2">
      <c r="B95" s="478"/>
      <c r="C95" s="479"/>
      <c r="D95" s="476"/>
      <c r="E95" s="439"/>
      <c r="F95" s="439"/>
    </row>
    <row r="96" spans="2:7" x14ac:dyDescent="0.2">
      <c r="B96" s="478"/>
      <c r="C96" s="479"/>
      <c r="D96" s="476"/>
      <c r="E96" s="439"/>
      <c r="F96" s="439"/>
    </row>
    <row r="97" spans="2:6" x14ac:dyDescent="0.2">
      <c r="B97" s="478"/>
      <c r="C97" s="479"/>
      <c r="D97" s="476"/>
      <c r="E97" s="439"/>
      <c r="F97" s="439"/>
    </row>
    <row r="98" spans="2:6" x14ac:dyDescent="0.2">
      <c r="B98" s="478"/>
      <c r="C98" s="479"/>
      <c r="D98" s="439"/>
      <c r="E98" s="439"/>
      <c r="F98" s="439"/>
    </row>
    <row r="99" spans="2:6" x14ac:dyDescent="0.2">
      <c r="B99" s="478"/>
      <c r="C99" s="479"/>
      <c r="D99" s="439"/>
      <c r="F99" s="439"/>
    </row>
    <row r="100" spans="2:6" x14ac:dyDescent="0.2">
      <c r="B100" s="478"/>
      <c r="C100" s="479"/>
      <c r="D100" s="439"/>
      <c r="F100" s="439"/>
    </row>
    <row r="101" spans="2:6" x14ac:dyDescent="0.2">
      <c r="B101" s="478"/>
      <c r="C101" s="479"/>
      <c r="D101" s="439"/>
      <c r="F101" s="439"/>
    </row>
    <row r="102" spans="2:6" x14ac:dyDescent="0.2">
      <c r="B102" s="478"/>
      <c r="C102" s="479"/>
      <c r="D102" s="439"/>
    </row>
    <row r="103" spans="2:6" x14ac:dyDescent="0.35">
      <c r="D103" s="439"/>
    </row>
    <row r="104" spans="2:6" x14ac:dyDescent="0.35">
      <c r="D104" s="439"/>
    </row>
  </sheetData>
  <mergeCells count="38">
    <mergeCell ref="B34:B35"/>
    <mergeCell ref="C34:C35"/>
    <mergeCell ref="G22:H22"/>
    <mergeCell ref="I22:J22"/>
    <mergeCell ref="G24:H24"/>
    <mergeCell ref="I24:J24"/>
    <mergeCell ref="B28:B30"/>
    <mergeCell ref="C28:C30"/>
    <mergeCell ref="F27:F30"/>
    <mergeCell ref="F32:F33"/>
    <mergeCell ref="G19:H19"/>
    <mergeCell ref="I19:J19"/>
    <mergeCell ref="G20:H20"/>
    <mergeCell ref="I20:J20"/>
    <mergeCell ref="G16:H16"/>
    <mergeCell ref="I16:J16"/>
    <mergeCell ref="G17:H17"/>
    <mergeCell ref="I17:J17"/>
    <mergeCell ref="G18:H18"/>
    <mergeCell ref="I18:J18"/>
    <mergeCell ref="G13:H13"/>
    <mergeCell ref="I13:J13"/>
    <mergeCell ref="G14:H14"/>
    <mergeCell ref="I14:J14"/>
    <mergeCell ref="G15:H15"/>
    <mergeCell ref="I15:J15"/>
    <mergeCell ref="C3:E3"/>
    <mergeCell ref="E5:L5"/>
    <mergeCell ref="G11:H11"/>
    <mergeCell ref="I11:J11"/>
    <mergeCell ref="G12:H12"/>
    <mergeCell ref="I12:J12"/>
    <mergeCell ref="G37:H37"/>
    <mergeCell ref="I37:J37"/>
    <mergeCell ref="G35:H35"/>
    <mergeCell ref="I35:J35"/>
    <mergeCell ref="G36:H36"/>
    <mergeCell ref="I36:J36"/>
  </mergeCells>
  <conditionalFormatting sqref="G20 I20">
    <cfRule type="cellIs" dxfId="342" priority="54" operator="lessThan">
      <formula>0.06</formula>
    </cfRule>
    <cfRule type="cellIs" dxfId="341" priority="55" operator="between">
      <formula>0.06</formula>
      <formula>0.11</formula>
    </cfRule>
    <cfRule type="cellIs" dxfId="340" priority="56" operator="greaterThanOrEqual">
      <formula>0.11</formula>
    </cfRule>
  </conditionalFormatting>
  <conditionalFormatting sqref="G3">
    <cfRule type="expression" dxfId="339" priority="37">
      <formula>NOT(OR(F3="Acumulado Mes", F3="Acumulado Mes 2º S"))</formula>
    </cfRule>
  </conditionalFormatting>
  <conditionalFormatting sqref="G14:J14">
    <cfRule type="cellIs" dxfId="338" priority="33" operator="between">
      <formula>1</formula>
      <formula>1.1</formula>
    </cfRule>
    <cfRule type="cellIs" dxfId="337" priority="36" operator="greaterThanOrEqual">
      <formula>1.1</formula>
    </cfRule>
  </conditionalFormatting>
  <conditionalFormatting sqref="G14:J14">
    <cfRule type="cellIs" dxfId="336" priority="34" operator="between">
      <formula>0.9</formula>
      <formula>1</formula>
    </cfRule>
    <cfRule type="cellIs" dxfId="335" priority="35" operator="lessThan">
      <formula>0.9</formula>
    </cfRule>
  </conditionalFormatting>
  <conditionalFormatting sqref="F35:J37">
    <cfRule type="expression" dxfId="334" priority="28">
      <formula>$O$4=TRUE</formula>
    </cfRule>
  </conditionalFormatting>
  <conditionalFormatting sqref="G18:H18">
    <cfRule type="expression" dxfId="333" priority="15">
      <formula>OR($G$14&lt;90%,$G$18&lt;18%)</formula>
    </cfRule>
    <cfRule type="expression" dxfId="332" priority="16">
      <formula>AND($G$18&gt;=32%,$G$14&gt;=110%)</formula>
    </cfRule>
    <cfRule type="expression" dxfId="331" priority="17">
      <formula>AND($G$18&gt;=27%,$G$18&lt;32%,$G$14&gt;=110%)</formula>
    </cfRule>
    <cfRule type="expression" dxfId="330" priority="18">
      <formula>AND($G$18&gt;=22%,$G$18&lt;27%,$G$14&gt;=110%)</formula>
    </cfRule>
    <cfRule type="expression" dxfId="329" priority="19">
      <formula>AND($G$18&gt;=32%,$G$14&gt;=100%,$G$14&lt;110%)</formula>
    </cfRule>
    <cfRule type="expression" dxfId="328" priority="20">
      <formula>AND($G$18&gt;=27%,$G$18&lt;32%,$G$14&gt;=100%,$G$14&lt;110%)</formula>
    </cfRule>
    <cfRule type="expression" dxfId="327" priority="21">
      <formula>AND($G$18&gt;=22%,$G$18&lt;27%,$G$14&gt;=100%,$G$14&lt;110%)</formula>
    </cfRule>
    <cfRule type="expression" dxfId="326" priority="22">
      <formula>AND($G$18&gt;=32%,$G$14&gt;=90%,$G$14&lt;100%)</formula>
    </cfRule>
    <cfRule type="expression" dxfId="325" priority="23">
      <formula>AND($G$18&gt;=27%,$G$18&lt;32%,$G$14&gt;=90%,$G$14&lt;100%)</formula>
    </cfRule>
    <cfRule type="expression" dxfId="324" priority="24">
      <formula>AND($G$18&gt;=22%,$G$18&lt;27%,$G$14&gt;=90%,$G$14&lt;100%)</formula>
    </cfRule>
    <cfRule type="expression" dxfId="323" priority="25">
      <formula>AND($G$18&gt;=18%,$G$18&lt;22%,$G$14&gt;=100%,$G$14&lt;110%)</formula>
    </cfRule>
    <cfRule type="expression" dxfId="322" priority="26">
      <formula>AND($G$18&gt;=18%,$G$18&lt;22%,$G$14&gt;=90%,$G$14&lt;100%)</formula>
    </cfRule>
    <cfRule type="expression" dxfId="321" priority="27">
      <formula>AND($G$18&gt;=18%,$G$18&lt;22%,$G$14&gt;=110%)</formula>
    </cfRule>
  </conditionalFormatting>
  <conditionalFormatting sqref="G16 I16">
    <cfRule type="containsText" dxfId="320" priority="46" operator="containsText" text="N.D">
      <formula>NOT(ISERROR(SEARCH("N.D",G16)))</formula>
    </cfRule>
    <cfRule type="cellIs" dxfId="319" priority="47" operator="greaterThanOrEqual">
      <formula>0.8</formula>
    </cfRule>
    <cfRule type="cellIs" dxfId="318" priority="48" operator="lessThan">
      <formula>0.8</formula>
    </cfRule>
  </conditionalFormatting>
  <conditionalFormatting sqref="I18:J18">
    <cfRule type="expression" dxfId="317" priority="2">
      <formula>AND($I$18&gt;=30%,$I$14&gt;=110%)</formula>
    </cfRule>
    <cfRule type="expression" dxfId="316" priority="3">
      <formula>AND($I$18&gt;=25%,$I$18&lt;30%,$I$14&gt;=110%)</formula>
    </cfRule>
    <cfRule type="expression" dxfId="315" priority="4">
      <formula>AND($I$18&gt;=20%,$I$18&lt;25%,$I$14&gt;=110%)</formula>
    </cfRule>
    <cfRule type="expression" dxfId="314" priority="5">
      <formula>AND($I$18&gt;=15%,$I$18&lt;20%,$I$14&gt;=110%)</formula>
    </cfRule>
    <cfRule type="expression" dxfId="313" priority="6">
      <formula>AND($I$18&gt;=30%,$I$14&gt;=100%,$I$14&lt;110%)</formula>
    </cfRule>
    <cfRule type="expression" dxfId="312" priority="7">
      <formula>AND($I$18&gt;=25%,$I$18&lt;30%,$I$14&gt;=100%,$I$14&lt;110%)</formula>
    </cfRule>
    <cfRule type="expression" dxfId="311" priority="8">
      <formula>AND($I$18&gt;=20%,$I$18&lt;25%,$I$14&gt;=100%,$I$14&lt;110%)</formula>
    </cfRule>
    <cfRule type="expression" dxfId="310" priority="9">
      <formula>AND($I$18&gt;=15%,$I$18&lt;20%,$I$14&gt;=100%,$I$14&lt;110%)</formula>
    </cfRule>
    <cfRule type="expression" dxfId="309" priority="10">
      <formula>AND($I$18&gt;=30%,$I$14&gt;=90%,$I$14&lt;100%)</formula>
    </cfRule>
    <cfRule type="expression" dxfId="308" priority="11">
      <formula>AND($I$18&gt;=25%,$I$18&lt;30%,$I$14&gt;=90%,$I$14&lt;100%)</formula>
    </cfRule>
    <cfRule type="expression" dxfId="307" priority="12">
      <formula>AND($I$18&gt;=20%,$I$18&lt;25%,$I$14&gt;=90%,$I$14&lt;100%)</formula>
    </cfRule>
    <cfRule type="expression" dxfId="306" priority="13">
      <formula>AND($I$18&gt;=15%,$I$18&lt;20%,$I$14&gt;=90%,$I$14&lt;100%)</formula>
    </cfRule>
    <cfRule type="expression" dxfId="305" priority="14">
      <formula>OR($I$14&lt;90%,$I$18&lt;15%)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3" scale="75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9" r:id="rId4" name="Check Box 3">
              <controlPr defaultSize="0" autoFill="0" autoLine="0" autoPict="0">
                <anchor moveWithCells="1">
                  <from>
                    <xdr:col>16</xdr:col>
                    <xdr:colOff>228600</xdr:colOff>
                    <xdr:row>2</xdr:row>
                    <xdr:rowOff>349250</xdr:rowOff>
                  </from>
                  <to>
                    <xdr:col>18</xdr:col>
                    <xdr:colOff>25400</xdr:colOff>
                    <xdr:row>4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B8A5F32-ED05-45D4-80D2-F187E9370AA5}">
          <x14:formula1>
            <xm:f>MAESTRO!$H$3:$H$21</xm:f>
          </x14:formula1>
          <xm:sqref>F3</xm:sqref>
        </x14:dataValidation>
        <x14:dataValidation type="list" allowBlank="1" showInputMessage="1" showErrorMessage="1" xr:uid="{077BED4B-C873-4976-B8B8-6C34046F60D1}">
          <x14:formula1>
            <xm:f>IF(OR(F3="Acumulado Mes", F3="Acumulado Mes 2º S"), MAESTRO!$H$3:$H$14, INDIRECT(""))</xm:f>
          </x14:formula1>
          <xm:sqref>G3</xm:sqref>
        </x14:dataValidation>
        <x14:dataValidation type="list" allowBlank="1" showInputMessage="1" showErrorMessage="1" xr:uid="{48E51533-0200-4EFD-A902-6D228659EAC6}">
          <x14:formula1>
            <xm:f>MAESTRO!$N$3:$N$55</xm:f>
          </x14:formula1>
          <xm:sqref>E5:L5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F405-3F7A-465A-A261-3BBF03585C0E}">
  <sheetPr codeName="Hoja1">
    <tabColor theme="3" tint="0.59999389629810485"/>
    <pageSetUpPr fitToPage="1"/>
  </sheetPr>
  <dimension ref="A1:BO87"/>
  <sheetViews>
    <sheetView workbookViewId="0">
      <selection activeCell="AB27" sqref="AB27"/>
    </sheetView>
  </sheetViews>
  <sheetFormatPr baseColWidth="10" defaultColWidth="11.453125" defaultRowHeight="12.5" x14ac:dyDescent="0.25"/>
  <cols>
    <col min="1" max="1" width="8.6328125" style="2" customWidth="1"/>
    <col min="2" max="2" width="10.1796875" style="3" customWidth="1"/>
    <col min="3" max="3" width="21.81640625" style="2" customWidth="1"/>
    <col min="4" max="4" width="10.1796875" style="2" customWidth="1"/>
    <col min="5" max="5" width="22.1796875" style="2" customWidth="1"/>
    <col min="6" max="24" width="6.54296875" style="2" customWidth="1"/>
    <col min="25" max="25" width="6.7265625" style="2" customWidth="1"/>
    <col min="26" max="26" width="6.54296875" style="2" customWidth="1"/>
    <col min="27" max="27" width="6.7265625" style="2" customWidth="1"/>
    <col min="28" max="29" width="6.54296875" style="2" customWidth="1"/>
    <col min="30" max="30" width="9.1796875" style="2" customWidth="1"/>
    <col min="31" max="31" width="9" style="2" bestFit="1" customWidth="1"/>
    <col min="32" max="32" width="6.81640625" style="2" customWidth="1"/>
    <col min="33" max="33" width="7.81640625" style="2" customWidth="1"/>
    <col min="34" max="34" width="9" style="2" bestFit="1" customWidth="1"/>
    <col min="35" max="35" width="6.81640625" style="2" customWidth="1"/>
    <col min="36" max="36" width="6.81640625" style="2" hidden="1" customWidth="1"/>
    <col min="37" max="37" width="7.54296875" style="2" hidden="1" customWidth="1"/>
    <col min="38" max="38" width="6.81640625" style="2" hidden="1" customWidth="1"/>
    <col min="39" max="16384" width="11.453125" style="2"/>
  </cols>
  <sheetData>
    <row r="1" spans="1:41" s="16" customFormat="1" ht="18.5" thickBot="1" x14ac:dyDescent="0.3">
      <c r="A1" s="694" t="s">
        <v>256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  <c r="AE1" s="694"/>
      <c r="AF1" s="694"/>
      <c r="AG1" s="694"/>
      <c r="AH1" s="694"/>
      <c r="AI1" s="694"/>
      <c r="AJ1" s="694"/>
      <c r="AK1" s="694"/>
      <c r="AL1" s="366"/>
    </row>
    <row r="2" spans="1:41" s="119" customFormat="1" ht="13" thickBot="1" x14ac:dyDescent="0.3">
      <c r="A2" s="119" t="s">
        <v>162</v>
      </c>
      <c r="B2" s="120"/>
      <c r="F2" s="119">
        <v>8</v>
      </c>
      <c r="H2" s="119">
        <v>10</v>
      </c>
      <c r="J2" s="119">
        <v>12</v>
      </c>
      <c r="L2" s="119">
        <v>16</v>
      </c>
      <c r="N2" s="119">
        <v>18</v>
      </c>
      <c r="P2" s="119">
        <v>20</v>
      </c>
      <c r="R2" s="119">
        <v>24</v>
      </c>
      <c r="T2" s="119">
        <v>26</v>
      </c>
      <c r="V2" s="119">
        <v>28</v>
      </c>
      <c r="X2" s="119">
        <v>32</v>
      </c>
      <c r="Z2" s="119">
        <v>34</v>
      </c>
      <c r="AB2" s="119">
        <v>36</v>
      </c>
      <c r="AD2" s="83" t="s">
        <v>5</v>
      </c>
    </row>
    <row r="3" spans="1:41" ht="15" customHeight="1" x14ac:dyDescent="0.25">
      <c r="B3" s="695" t="s">
        <v>35</v>
      </c>
      <c r="C3" s="697" t="s">
        <v>36</v>
      </c>
      <c r="D3" s="699" t="s">
        <v>76</v>
      </c>
      <c r="E3" s="700"/>
      <c r="F3" s="691" t="s">
        <v>0</v>
      </c>
      <c r="G3" s="692"/>
      <c r="H3" s="693" t="s">
        <v>1</v>
      </c>
      <c r="I3" s="693"/>
      <c r="J3" s="691" t="s">
        <v>2</v>
      </c>
      <c r="K3" s="692"/>
      <c r="L3" s="693" t="s">
        <v>3</v>
      </c>
      <c r="M3" s="693"/>
      <c r="N3" s="691" t="s">
        <v>4</v>
      </c>
      <c r="O3" s="692"/>
      <c r="P3" s="703" t="s">
        <v>5</v>
      </c>
      <c r="Q3" s="703"/>
      <c r="R3" s="691" t="s">
        <v>6</v>
      </c>
      <c r="S3" s="692"/>
      <c r="T3" s="693" t="s">
        <v>7</v>
      </c>
      <c r="U3" s="693"/>
      <c r="V3" s="691" t="s">
        <v>29</v>
      </c>
      <c r="W3" s="692"/>
      <c r="X3" s="693" t="s">
        <v>30</v>
      </c>
      <c r="Y3" s="693"/>
      <c r="Z3" s="691" t="s">
        <v>31</v>
      </c>
      <c r="AA3" s="692"/>
      <c r="AB3" s="693" t="s">
        <v>32</v>
      </c>
      <c r="AC3" s="693"/>
      <c r="AD3" s="688" t="s">
        <v>33</v>
      </c>
      <c r="AE3" s="689"/>
      <c r="AF3" s="690"/>
      <c r="AG3" s="689" t="s">
        <v>34</v>
      </c>
      <c r="AH3" s="689"/>
      <c r="AI3" s="690"/>
      <c r="AJ3" s="688" t="s">
        <v>70</v>
      </c>
      <c r="AK3" s="689"/>
      <c r="AL3" s="690"/>
      <c r="AM3" s="688" t="s">
        <v>172</v>
      </c>
      <c r="AN3" s="689"/>
      <c r="AO3" s="690"/>
    </row>
    <row r="4" spans="1:41" ht="15" customHeight="1" thickBot="1" x14ac:dyDescent="0.3">
      <c r="B4" s="696"/>
      <c r="C4" s="698"/>
      <c r="D4" s="701"/>
      <c r="E4" s="702"/>
      <c r="F4" s="393" t="s">
        <v>168</v>
      </c>
      <c r="G4" s="313" t="s">
        <v>37</v>
      </c>
      <c r="H4" s="11" t="s">
        <v>168</v>
      </c>
      <c r="I4" s="394" t="s">
        <v>37</v>
      </c>
      <c r="J4" s="81" t="s">
        <v>168</v>
      </c>
      <c r="K4" s="394" t="s">
        <v>37</v>
      </c>
      <c r="L4" s="11" t="s">
        <v>168</v>
      </c>
      <c r="M4" s="394" t="s">
        <v>37</v>
      </c>
      <c r="N4" s="81" t="s">
        <v>168</v>
      </c>
      <c r="O4" s="394" t="s">
        <v>37</v>
      </c>
      <c r="P4" s="11" t="s">
        <v>168</v>
      </c>
      <c r="Q4" s="394" t="s">
        <v>37</v>
      </c>
      <c r="R4" s="81" t="s">
        <v>168</v>
      </c>
      <c r="S4" s="394" t="s">
        <v>37</v>
      </c>
      <c r="T4" s="11" t="s">
        <v>168</v>
      </c>
      <c r="U4" s="394" t="s">
        <v>37</v>
      </c>
      <c r="V4" s="81" t="s">
        <v>168</v>
      </c>
      <c r="W4" s="394" t="s">
        <v>37</v>
      </c>
      <c r="X4" s="393" t="s">
        <v>168</v>
      </c>
      <c r="Y4" s="11" t="s">
        <v>37</v>
      </c>
      <c r="Z4" s="81" t="s">
        <v>168</v>
      </c>
      <c r="AA4" s="394" t="s">
        <v>37</v>
      </c>
      <c r="AB4" s="393" t="s">
        <v>168</v>
      </c>
      <c r="AC4" s="11" t="s">
        <v>37</v>
      </c>
      <c r="AD4" s="392" t="s">
        <v>168</v>
      </c>
      <c r="AE4" s="395" t="s">
        <v>37</v>
      </c>
      <c r="AF4" s="396" t="s">
        <v>38</v>
      </c>
      <c r="AG4" s="11" t="s">
        <v>168</v>
      </c>
      <c r="AH4" s="397" t="s">
        <v>37</v>
      </c>
      <c r="AI4" s="398" t="s">
        <v>38</v>
      </c>
      <c r="AJ4" s="11" t="s">
        <v>168</v>
      </c>
      <c r="AK4" s="11" t="s">
        <v>37</v>
      </c>
      <c r="AL4" s="10" t="s">
        <v>38</v>
      </c>
      <c r="AM4" s="11" t="s">
        <v>168</v>
      </c>
      <c r="AN4" s="397" t="s">
        <v>37</v>
      </c>
      <c r="AO4" s="398" t="s">
        <v>38</v>
      </c>
    </row>
    <row r="5" spans="1:41" s="4" customFormat="1" ht="15" customHeight="1" x14ac:dyDescent="0.25">
      <c r="A5" s="4">
        <v>1</v>
      </c>
      <c r="B5" s="8">
        <v>100323</v>
      </c>
      <c r="C5" s="369" t="s">
        <v>165</v>
      </c>
      <c r="D5" s="8">
        <v>8337</v>
      </c>
      <c r="E5" s="309" t="s">
        <v>274</v>
      </c>
      <c r="F5" s="217">
        <v>38</v>
      </c>
      <c r="G5" s="124">
        <f>IFERROR(VLOOKUP(B5,[2]RETAIL!$B$8:$O$63,3,0),0)-IFERROR(IF(B5=100873,VLOOKUP("ENERO",[2]RETAIL!$B$78:$C$91,2,0),0),0)</f>
        <v>39</v>
      </c>
      <c r="H5" s="217">
        <v>38</v>
      </c>
      <c r="I5" s="124">
        <f>IFERROR(VLOOKUP(B5,[2]RETAIL!$B$8:$O$63,4,0),0)-IFERROR(IF(B5=100873,VLOOKUP("FEBRERO",[2]RETAIL!$B$78:$C$91,2,0),0),0)</f>
        <v>42</v>
      </c>
      <c r="J5" s="217">
        <v>39</v>
      </c>
      <c r="K5" s="124">
        <f>IFERROR(VLOOKUP(B5,[2]RETAIL!$B$8:$O$63,5,0),0)-IFERROR(IF(B5=100873,VLOOKUP("MARZO",[2]RETAIL!$B$78:$C$91,2,0),0),0)</f>
        <v>42</v>
      </c>
      <c r="L5" s="217">
        <v>38</v>
      </c>
      <c r="M5" s="124">
        <f>IFERROR(VLOOKUP(B5,[2]RETAIL!$B$8:$O$63,6,0),0)-IFERROR(IF(B5=100873,VLOOKUP("ABRIL",[2]RETAIL!$B$78:$C$91,2,0),0),0)</f>
        <v>34</v>
      </c>
      <c r="N5" s="217">
        <v>38</v>
      </c>
      <c r="O5" s="23">
        <f>IFERROR(VLOOKUP(B5,[2]RETAIL!$B$8:$O$63,7,0),0)-IFERROR(IF(B5=100873,VLOOKUP("MAYO",[2]RETAIL!$B$78:$C$91,2,0),0),0)</f>
        <v>34</v>
      </c>
      <c r="P5" s="217">
        <v>39</v>
      </c>
      <c r="Q5" s="87">
        <f>IFERROR(VLOOKUP(B5,[2]RETAIL!$B$8:$O$63,8,0),0)-IFERROR(IF(B5=100873,VLOOKUP("JUNIO",[2]RETAIL!$B$78:$C$91,2,0),0),0)</f>
        <v>39</v>
      </c>
      <c r="R5" s="217"/>
      <c r="S5" s="23">
        <f>IFERROR(VLOOKUP(B5,[2]RETAIL!$B$8:$O$63,9,0),0)-IFERROR(IF(B5=100873,VLOOKUP("JULIO",[2]RETAIL!$B$78:$C$91,2,0),0),0)</f>
        <v>0</v>
      </c>
      <c r="T5" s="217"/>
      <c r="U5" s="124">
        <f>IFERROR(VLOOKUP(B5,[2]RETAIL!$B$8:$O$63,10,0),0)-IFERROR(IF(B5=100873,VLOOKUP("AGOSTO",[2]RETAIL!$B$78:$C$91,2,0),0),0)</f>
        <v>0</v>
      </c>
      <c r="V5" s="217"/>
      <c r="W5" s="23">
        <f>IFERROR(VLOOKUP(B5,[2]RETAIL!$B$8:$O$63,11,0),0)-IFERROR(IF(B5=100873,VLOOKUP("SEPTIEMBRE",[2]RETAIL!$B$78:$C$91,2,0),0),0)</f>
        <v>0</v>
      </c>
      <c r="X5" s="217"/>
      <c r="Y5" s="257">
        <f>IFERROR(VLOOKUP(B5,[2]RETAIL!$B$8:$O$63,12,0),0)-IFERROR(IF(B5=100873,VLOOKUP("OCTUBRE",[2]RETAIL!$B$78:$C$91,2,0),0),0)</f>
        <v>0</v>
      </c>
      <c r="Z5" s="217"/>
      <c r="AA5" s="35">
        <f>IFERROR(VLOOKUP(B5,[2]RETAIL!$B$8:$O$63,13,0),0)-IFERROR(IF(B5=100873,VLOOKUP("NOVIEMBRE",[2]RETAIL!$B$78:$C$91,2,0),0),0)</f>
        <v>0</v>
      </c>
      <c r="AB5" s="220"/>
      <c r="AC5" s="35">
        <f>IFERROR(VLOOKUP(B5,[2]RETAIL!$B$8:$O$63,14,0),0)-IFERROR(IF(B5=100873,VLOOKUP("DICIEMBRE",[2]RETAIL!$B$78:$C$91,2,0),0),0)</f>
        <v>0</v>
      </c>
      <c r="AD5" s="21">
        <f t="shared" ref="AD5:AD34" si="0">IF($AD$2="ENERO",F5,IF($AD$2="FEBRERO",F5+H5,IF($AD$2="MARZO",F5+H5+J5,IF($AD$2="ABRIL",F5+H5+J5+L5,IF($AD$2="MAYO",F5+H5+J5+L5+N5,IF($AD$2="JUNIO",F5+H5+J5+L5+N5+P5,IF($AD$2="JULIO",F5+H5+J5+L5+N5+P5+R5,IF($AD$2="AGOSTO",F5+H5+J5+L5+N5+P5+R5+T5,IF($AD$2="SEPTIEMBRE",F5+H5+J5+L5+N5+P5+R5+T5+V5,IF($AD$2="OCTUBRE",F5+H5+J5+L5+N5+P5+R5+T5+V5+X5,IF($AD$2="NOVIEMBRE",F5+H5+J5+L5+N5+P5+R5+T5+V5+X5+Z5,IF($AD$2="DICIEMBRE",F5+H5+J5+L5+N5+P5+R5+T5+V5+X5+Z5+AB5,""))))))))))))</f>
        <v>230</v>
      </c>
      <c r="AE5" s="251">
        <f>IFERROR(IF($AD$2="ENERO",G5,IF($AD$2="FEBRERO",G5+I5,IF($AD$2="MARZO",G5+I5+K5,IF($AD$2="ABRIL",G5+I5+K5+M5,IF($AD$2="MAYO",G5+I5+K5+M5+O5,IF($AD$2="JUNIO",G5+I5+K5+M5+O5+Q5,IF($AD$2="JULIO",G5+I5+K5+M5+O5+Q5+S5,IF($AD$2="AGOSTO",G5+I5+K5+M5+O5+Q5+S5+U5,IF($AD$2="SEPTIEMBRE",G5+I5+K5+M5+O5+Q5+S5+U5+W5,IF($AD$2="OCTUBRE",G5+I5+K5+M5+O5+Q5+S5+U5+W5+Y5,IF($AD$2="NOVIEMBRE",G5+I5+K5+M5+O5+Q5+S5+U5+W5+Y5+AA5,IF($AD$2="DICIEMBRE",G5+I5+K5+M5+O5+Q5+S5+U5+W5+Y5+AA5+AC5,"")))))))))))),0)</f>
        <v>230</v>
      </c>
      <c r="AF5" s="239">
        <f>IFERROR((AE5/AD5),0)</f>
        <v>1</v>
      </c>
      <c r="AG5" s="21">
        <f t="shared" ref="AG5:AG21" si="1">+F5+H5+J5+L5+N5+P5+R5+T5+V5+X5+Z5+AB5</f>
        <v>230</v>
      </c>
      <c r="AH5" s="251">
        <f>IFERROR(IF($AD$2="ENERO",G5,IF($AD$2="FEBRERO",G5+I5,IF($AD$2="MARZO",G5+I5+K5,IF($AD$2="ABRIL",G5+I5+K5+M5,IF($AD$2="MAYO",G5+I5+K5+M5+O5,IF($AD$2="JUNIO",G5+I5+K5+M5+O5+Q5,IF($AD$2="JULIO",G5+I5+K5+M5+O5+Q5+S5,IF($AD$2="AGOSTO",G5+I5+K5+M5+O5+Q5+S5+U5,IF($AD$2="SEPTIEMBRE",G5+I5+K5+M5+O5+Q5+S5+U5+W5,IF($AD$2="OCTUBRE",G5+I5+K5+M5+O5+Q5+S5+U5+W5+Y5,IF($AD$2="NOVIEMBRE",G5+I5+K5+M5+O5+Q5+S5+U5+W5+Y5+AA5,IF($AD$2="DICIEMBRE",G5+I5+K5+M5+O5+Q5+S5+U5+W5+Y5+AA5+AC5,"")))))))))))),0)</f>
        <v>230</v>
      </c>
      <c r="AI5" s="239">
        <f t="shared" ref="AI5:AI21" si="2">IFERROR((AH5/AG5),0)</f>
        <v>1</v>
      </c>
      <c r="AJ5" s="21">
        <f t="shared" ref="AJ5:AK8" si="3">IFERROR(IF($AJ$3="Q1",F5+H5+J5,IF($AJ$3="Q2",L5+N5++P5,IF($AJ$3="Q3",R5+T5+V5,IF($AJ$3="Q4",X5+Z5+AB5,0)))),0)</f>
        <v>115</v>
      </c>
      <c r="AK5" s="24">
        <f t="shared" si="3"/>
        <v>123</v>
      </c>
      <c r="AL5" s="239">
        <f t="shared" ref="AL5:AL21" si="4">IFERROR((AK5/AJ5),0)</f>
        <v>1.0695652173913044</v>
      </c>
      <c r="AM5" s="21">
        <f t="shared" ref="AM5:AM21" si="5">IFERROR(IF($AM$3="S 1",F5+H5+J5+L5+N5++P5,IF($AM$3="S 2",R5+T5+V5+X5+Z5+AB5,0)),0)</f>
        <v>0</v>
      </c>
      <c r="AN5" s="24">
        <f t="shared" ref="AN5:AN21" si="6">IFERROR(IF($AM$3="S 1",G5+I5+K5+M5+O5+Q5,IF($AM$3="S 2",S5+U5+W5+Y5+AA5+AC5,0)),0)</f>
        <v>0</v>
      </c>
      <c r="AO5" s="239">
        <f t="shared" ref="AO5:AO21" si="7">IFERROR((AN5/AM5),0)</f>
        <v>0</v>
      </c>
    </row>
    <row r="6" spans="1:41" s="4" customFormat="1" ht="15" customHeight="1" x14ac:dyDescent="0.25">
      <c r="A6" s="4">
        <v>1</v>
      </c>
      <c r="B6" s="372">
        <v>100873</v>
      </c>
      <c r="C6" s="369" t="s">
        <v>166</v>
      </c>
      <c r="D6" s="8">
        <v>51827</v>
      </c>
      <c r="E6" s="309" t="s">
        <v>156</v>
      </c>
      <c r="F6" s="218">
        <v>41</v>
      </c>
      <c r="G6" s="124">
        <f>IFERROR(VLOOKUP(B6,[2]RETAIL!$B$8:$O$63,3,0),0)-IFERROR(IF(B6=100873,VLOOKUP("ENERO",[2]RETAIL!$B$78:$C$91,2,0),0),0)</f>
        <v>36</v>
      </c>
      <c r="H6" s="218">
        <v>42</v>
      </c>
      <c r="I6" s="124">
        <f>IFERROR(VLOOKUP(B6,[2]RETAIL!$B$8:$O$63,4,0),0)-IFERROR(IF(B6=100873,VLOOKUP("FEBRERO",[2]RETAIL!$B$78:$C$91,2,0),0),0)</f>
        <v>49</v>
      </c>
      <c r="J6" s="218">
        <v>42</v>
      </c>
      <c r="K6" s="124">
        <f>IFERROR(VLOOKUP(B6,[2]RETAIL!$B$8:$O$63,5,0),0)-IFERROR(IF(B6=100873,VLOOKUP("MARZO",[2]RETAIL!$B$78:$C$91,2,0),0),0)</f>
        <v>66</v>
      </c>
      <c r="L6" s="218">
        <v>41</v>
      </c>
      <c r="M6" s="124">
        <f>IFERROR(VLOOKUP(B6,[2]RETAIL!$B$8:$O$63,6,0),0)-IFERROR(IF(B6=100873,VLOOKUP("ABRIL",[2]RETAIL!$B$78:$C$91,2,0),0),0)</f>
        <v>51</v>
      </c>
      <c r="N6" s="218">
        <v>42</v>
      </c>
      <c r="O6" s="23">
        <f>IFERROR(VLOOKUP(B6,[2]RETAIL!$B$8:$O$63,7,0),0)-IFERROR(IF(B6=100873,VLOOKUP("MAYO",[2]RETAIL!$B$78:$C$91,2,0),0),0)</f>
        <v>53</v>
      </c>
      <c r="P6" s="218">
        <v>42</v>
      </c>
      <c r="Q6" s="87">
        <f>IFERROR(VLOOKUP(B6,[2]RETAIL!$B$8:$O$63,8,0),0)-IFERROR(IF(B6=100873,VLOOKUP("JUNIO",[2]RETAIL!$B$78:$C$91,2,0),0),0)</f>
        <v>57</v>
      </c>
      <c r="R6" s="218"/>
      <c r="S6" s="23">
        <f>IFERROR(VLOOKUP(B6,[2]RETAIL!$B$8:$O$63,9,0),0)-IFERROR(IF(B6=100873,VLOOKUP("JULIO",[2]RETAIL!$B$78:$C$91,2,0),0),0)</f>
        <v>0</v>
      </c>
      <c r="T6" s="217"/>
      <c r="U6" s="124">
        <f>IFERROR(VLOOKUP(B6,[2]RETAIL!$B$8:$O$63,10,0),0)-IFERROR(IF(B6=100873,VLOOKUP("AGOSTO",[2]RETAIL!$B$78:$C$91,2,0),0),0)</f>
        <v>0</v>
      </c>
      <c r="V6" s="217"/>
      <c r="W6" s="23">
        <f>IFERROR(VLOOKUP(B6,[2]RETAIL!$B$8:$O$63,11,0),0)-IFERROR(IF(B6=100873,VLOOKUP("SEPTIEMBRE",[2]RETAIL!$B$78:$C$91,2,0),0),0)</f>
        <v>0</v>
      </c>
      <c r="X6" s="217"/>
      <c r="Y6" s="257">
        <f>IFERROR(VLOOKUP(B6,[2]RETAIL!$B$8:$O$63,12,0),0)-IFERROR(IF(B6=100873,VLOOKUP("OCTUBRE",[2]RETAIL!$B$78:$C$91,2,0),0),0)</f>
        <v>0</v>
      </c>
      <c r="Z6" s="217"/>
      <c r="AA6" s="35">
        <f>IFERROR(VLOOKUP(B6,[2]RETAIL!$B$8:$O$63,13,0),0)-IFERROR(IF(B6=100873,VLOOKUP("NOVIEMBRE",[2]RETAIL!$B$78:$C$91,2,0),0),0)</f>
        <v>0</v>
      </c>
      <c r="AB6" s="220"/>
      <c r="AC6" s="35">
        <f>IFERROR(VLOOKUP(B6,[2]RETAIL!$B$8:$O$63,14,0),0)-IFERROR(IF(B6=100873,VLOOKUP("DICIEMBRE",[2]RETAIL!$B$78:$C$91,2,0),0),0)</f>
        <v>0</v>
      </c>
      <c r="AD6" s="25">
        <f t="shared" si="0"/>
        <v>250</v>
      </c>
      <c r="AE6" s="251">
        <f>IFERROR(IF($AD$2="ENERO",G6,IF($AD$2="FEBRERO",G6+I6,IF($AD$2="MARZO",G6+I6+K6,IF($AD$2="ABRIL",G6+I6+K6+M6,IF($AD$2="MAYO",G6+I6+K6+M6+O6,IF($AD$2="JUNIO",G6+I6+K6+M6+O6+Q6,IF($AD$2="JULIO",G6+I6+K6+M6+O6+Q6+S6,IF($AD$2="AGOSTO",G6+I6+K6+M6+O6+Q6+S6+U6,IF($AD$2="SEPTIEMBRE",G6+I6+K6+M6+O6+Q6+S6+U6+W6,IF($AD$2="OCTUBRE",G6+I6+K6+M6+O6+Q6+S6+U6+W6+Y6,IF($AD$2="NOVIEMBRE",G6+I6+K6+M6+O6+Q6+S6+U6+W6+Y6+AA6,IF($AD$2="DICIEMBRE",G6+I6+K6+M6+O6+Q6+S6+U6+W6+Y6+AA6+AC6,"")))))))))))),0)</f>
        <v>312</v>
      </c>
      <c r="AF6" s="371">
        <f>IFERROR((AE6/AD6),0)</f>
        <v>1.248</v>
      </c>
      <c r="AG6" s="25">
        <f t="shared" si="1"/>
        <v>250</v>
      </c>
      <c r="AH6" s="251">
        <f>IFERROR(IF($AD$2="ENERO",G6,IF($AD$2="FEBRERO",G6+I6,IF($AD$2="MARZO",G6+I6+K6,IF($AD$2="ABRIL",G6+I6+K6+M6,IF($AD$2="MAYO",G6+I6+K6+M6+O6,IF($AD$2="JUNIO",G6+I6+K6+M6+O6+Q6,IF($AD$2="JULIO",G6+I6+K6+M6+O6+Q6+S6,IF($AD$2="AGOSTO",G6+I6+K6+M6+O6+Q6+S6+U6,IF($AD$2="SEPTIEMBRE",G6+I6+K6+M6+O6+Q6+S6+U6+W6,IF($AD$2="OCTUBRE",G6+I6+K6+M6+O6+Q6+S6+U6+W6+Y6,IF($AD$2="NOVIEMBRE",G6+I6+K6+M6+O6+Q6+S6+U6+W6+Y6+AA6,IF($AD$2="DICIEMBRE",G6+I6+K6+M6+O6+Q6+S6+U6+W6+Y6+AA6+AC6,"")))))))))))),0)</f>
        <v>312</v>
      </c>
      <c r="AI6" s="371">
        <f t="shared" si="2"/>
        <v>1.248</v>
      </c>
      <c r="AJ6" s="25">
        <f t="shared" si="3"/>
        <v>125</v>
      </c>
      <c r="AK6" s="27">
        <f t="shared" si="3"/>
        <v>151</v>
      </c>
      <c r="AL6" s="371">
        <f t="shared" si="4"/>
        <v>1.208</v>
      </c>
      <c r="AM6" s="25">
        <f t="shared" si="5"/>
        <v>0</v>
      </c>
      <c r="AN6" s="27">
        <f t="shared" si="6"/>
        <v>0</v>
      </c>
      <c r="AO6" s="371">
        <f t="shared" si="7"/>
        <v>0</v>
      </c>
    </row>
    <row r="7" spans="1:41" s="4" customFormat="1" ht="15" customHeight="1" x14ac:dyDescent="0.25">
      <c r="A7" s="4">
        <v>1</v>
      </c>
      <c r="B7" s="8">
        <v>100389</v>
      </c>
      <c r="C7" s="369" t="s">
        <v>40</v>
      </c>
      <c r="D7" s="8">
        <v>20822</v>
      </c>
      <c r="E7" s="309" t="s">
        <v>275</v>
      </c>
      <c r="F7" s="217">
        <v>22</v>
      </c>
      <c r="G7" s="124">
        <f>IFERROR(VLOOKUP(B7,[2]RETAIL!$B$8:$O$63,3,0),0)-IFERROR(IF(B7=100873,VLOOKUP("ENERO",[2]RETAIL!$B$78:$C$91,2,0),0),0)</f>
        <v>4</v>
      </c>
      <c r="H7" s="217">
        <v>22</v>
      </c>
      <c r="I7" s="124">
        <f>IFERROR(VLOOKUP(B7,[2]RETAIL!$B$8:$O$63,4,0),0)-IFERROR(IF(B7=100873,VLOOKUP("FEBRERO",[2]RETAIL!$B$78:$C$91,2,0),0),0)</f>
        <v>42</v>
      </c>
      <c r="J7" s="217">
        <v>22</v>
      </c>
      <c r="K7" s="124">
        <f>IFERROR(VLOOKUP(B7,[2]RETAIL!$B$8:$O$63,5,0),0)-IFERROR(IF(B7=100873,VLOOKUP("MARZO",[2]RETAIL!$B$78:$C$91,2,0),0),0)</f>
        <v>25</v>
      </c>
      <c r="L7" s="217">
        <v>22</v>
      </c>
      <c r="M7" s="124">
        <f>IFERROR(VLOOKUP(B7,[2]RETAIL!$B$8:$O$63,6,0),0)-IFERROR(IF(B7=100873,VLOOKUP("ABRIL",[2]RETAIL!$B$78:$C$91,2,0),0),0)</f>
        <v>18</v>
      </c>
      <c r="N7" s="217">
        <v>22</v>
      </c>
      <c r="O7" s="23">
        <f>IFERROR(VLOOKUP(B7,[2]RETAIL!$B$8:$O$63,7,0),0)-IFERROR(IF(B7=100873,VLOOKUP("MAYO",[2]RETAIL!$B$78:$C$91,2,0),0),0)</f>
        <v>18</v>
      </c>
      <c r="P7" s="217">
        <v>22</v>
      </c>
      <c r="Q7" s="87">
        <f>IFERROR(VLOOKUP(B7,[2]RETAIL!$B$8:$O$63,8,0),0)-IFERROR(IF(B7=100873,VLOOKUP("JUNIO",[2]RETAIL!$B$78:$C$91,2,0),0),0)</f>
        <v>32</v>
      </c>
      <c r="R7" s="217"/>
      <c r="S7" s="23">
        <f>IFERROR(VLOOKUP(B7,[2]RETAIL!$B$8:$O$63,9,0),0)-IFERROR(IF(B7=100873,VLOOKUP("JULIO",[2]RETAIL!$B$78:$C$91,2,0),0),0)</f>
        <v>0</v>
      </c>
      <c r="T7" s="217"/>
      <c r="U7" s="124">
        <f>IFERROR(VLOOKUP(B7,[2]RETAIL!$B$8:$O$63,10,0),0)-IFERROR(IF(B7=100873,VLOOKUP("AGOSTO",[2]RETAIL!$B$78:$C$91,2,0),0),0)</f>
        <v>0</v>
      </c>
      <c r="V7" s="217"/>
      <c r="W7" s="23">
        <f>IFERROR(VLOOKUP(B7,[2]RETAIL!$B$8:$O$63,11,0),0)-IFERROR(IF(B7=100873,VLOOKUP("SEPTIEMBRE",[2]RETAIL!$B$78:$C$91,2,0),0),0)</f>
        <v>0</v>
      </c>
      <c r="X7" s="217"/>
      <c r="Y7" s="257">
        <f>IFERROR(VLOOKUP(B7,[2]RETAIL!$B$8:$O$63,12,0),0)-IFERROR(IF(B7=100873,VLOOKUP("OCTUBRE",[2]RETAIL!$B$78:$C$91,2,0),0),0)</f>
        <v>0</v>
      </c>
      <c r="Z7" s="217"/>
      <c r="AA7" s="35">
        <f>IFERROR(VLOOKUP(B7,[2]RETAIL!$B$8:$O$63,13,0),0)-IFERROR(IF(B7=100873,VLOOKUP("NOVIEMBRE",[2]RETAIL!$B$78:$C$91,2,0),0),0)</f>
        <v>0</v>
      </c>
      <c r="AB7" s="220"/>
      <c r="AC7" s="35">
        <f>IFERROR(VLOOKUP(B7,[2]RETAIL!$B$8:$O$63,14,0),0)-IFERROR(IF(B7=100873,VLOOKUP("DICIEMBRE",[2]RETAIL!$B$78:$C$91,2,0),0),0)</f>
        <v>0</v>
      </c>
      <c r="AD7" s="25">
        <f t="shared" si="0"/>
        <v>132</v>
      </c>
      <c r="AE7" s="27">
        <f>IFERROR(IF($AD$2="ENERO",G7,IF($AD$2="FEBRERO",G7+I7,IF($AD$2="MARZO",G7+I7+K7,IF($AD$2="ABRIL",G7+I7+K7+M7,IF($AD$2="MAYO",G7+I7+K7+M7+O7,IF($AD$2="JUNIO",G7+I7+K7+M7+O7+Q7,IF($AD$2="JULIO",G7+I7+K7+M7+O7+Q7+S7,IF($AD$2="AGOSTO",G7+I7+K7+M7+O7+Q7+S7+U7,IF($AD$2="SEPTIEMBRE",G7+I7+K7+M7+O7+Q7+S7+U7+W7,IF($AD$2="OCTUBRE",G7+I7+K7+M7+O7+Q7+S7+U7+W7+Y7,IF($AD$2="NOVIEMBRE",G7+I7+K7+M7+O7+Q7+S7+U7+W7+Y7+AA7,IF($AD$2="DICIEMBRE",G7+I7+K7+M7+O7+Q7+S7+U7+W7+Y7+AA7+AC7,"")))))))))))),0)</f>
        <v>139</v>
      </c>
      <c r="AF7" s="371">
        <f>IFERROR((AE7/AD7),0)</f>
        <v>1.053030303030303</v>
      </c>
      <c r="AG7" s="25">
        <f t="shared" si="1"/>
        <v>132</v>
      </c>
      <c r="AH7" s="27">
        <f>IFERROR(IF($AD$2="ENERO",G7,IF($AD$2="FEBRERO",G7+I7,IF($AD$2="MARZO",G7+I7+K7,IF($AD$2="ABRIL",G7+I7+K7+M7,IF($AD$2="MAYO",G7+I7+K7+M7+O7,IF($AD$2="JUNIO",G7+I7+K7+M7+O7+Q7,IF($AD$2="JULIO",G7+I7+K7+M7+O7+Q7+S7,IF($AD$2="AGOSTO",G7+I7+K7+M7+O7+Q7+S7+U7,IF($AD$2="SEPTIEMBRE",G7+I7+K7+M7+O7+Q7+S7+U7+W7,IF($AD$2="OCTUBRE",G7+I7+K7+M7+O7+Q7+S7+U7+W7+Y7,IF($AD$2="NOVIEMBRE",G7+I7+K7+M7+O7+Q7+S7+U7+W7+Y7+AA7,IF($AD$2="DICIEMBRE",G7+I7+K7+M7+O7+Q7+S7+U7+W7+Y7+AA7+AC7,"")))))))))))),0)</f>
        <v>139</v>
      </c>
      <c r="AI7" s="371">
        <f t="shared" si="2"/>
        <v>1.053030303030303</v>
      </c>
      <c r="AJ7" s="25">
        <f t="shared" si="3"/>
        <v>66</v>
      </c>
      <c r="AK7" s="27">
        <f t="shared" si="3"/>
        <v>71</v>
      </c>
      <c r="AL7" s="371">
        <f t="shared" si="4"/>
        <v>1.0757575757575757</v>
      </c>
      <c r="AM7" s="25">
        <f t="shared" si="5"/>
        <v>0</v>
      </c>
      <c r="AN7" s="27">
        <f t="shared" si="6"/>
        <v>0</v>
      </c>
      <c r="AO7" s="371">
        <f t="shared" si="7"/>
        <v>0</v>
      </c>
    </row>
    <row r="8" spans="1:41" s="4" customFormat="1" ht="15" customHeight="1" thickBot="1" x14ac:dyDescent="0.3">
      <c r="A8" s="4">
        <v>1</v>
      </c>
      <c r="B8" s="8">
        <v>100738</v>
      </c>
      <c r="C8" s="369" t="s">
        <v>42</v>
      </c>
      <c r="D8" s="8">
        <v>40230</v>
      </c>
      <c r="E8" s="309" t="s">
        <v>89</v>
      </c>
      <c r="F8" s="217">
        <v>18</v>
      </c>
      <c r="G8" s="124">
        <f>IFERROR(VLOOKUP(B8,[2]RETAIL!$B$8:$O$63,3,0),0)-IFERROR(IF(B8=100873,VLOOKUP("ENERO",[2]RETAIL!$B$78:$C$91,2,0),0),0)</f>
        <v>11</v>
      </c>
      <c r="H8" s="217">
        <v>19</v>
      </c>
      <c r="I8" s="124">
        <f>IFERROR(VLOOKUP(B8,[2]RETAIL!$B$8:$O$63,4,0),0)-IFERROR(IF(B8=100873,VLOOKUP("FEBRERO",[2]RETAIL!$B$78:$C$91,2,0),0),0)</f>
        <v>7</v>
      </c>
      <c r="J8" s="217">
        <v>19</v>
      </c>
      <c r="K8" s="124">
        <f>IFERROR(VLOOKUP(B8,[2]RETAIL!$B$8:$O$63,5,0),0)-IFERROR(IF(B8=100873,VLOOKUP("MARZO",[2]RETAIL!$B$78:$C$91,2,0),0),0)</f>
        <v>14</v>
      </c>
      <c r="L8" s="217">
        <v>18</v>
      </c>
      <c r="M8" s="124">
        <f>IFERROR(VLOOKUP(B8,[2]RETAIL!$B$8:$O$63,6,0),0)-IFERROR(IF(B8=100873,VLOOKUP("ABRIL",[2]RETAIL!$B$78:$C$91,2,0),0),0)</f>
        <v>11</v>
      </c>
      <c r="N8" s="217">
        <v>19</v>
      </c>
      <c r="O8" s="23">
        <f>IFERROR(VLOOKUP(B8,[2]RETAIL!$B$8:$O$63,7,0),0)-IFERROR(IF(B8=100873,VLOOKUP("MAYO",[2]RETAIL!$B$78:$C$91,2,0),0),0)</f>
        <v>12</v>
      </c>
      <c r="P8" s="217">
        <v>19</v>
      </c>
      <c r="Q8" s="87">
        <f>IFERROR(VLOOKUP(B8,[2]RETAIL!$B$8:$O$63,8,0),0)-IFERROR(IF(B8=100873,VLOOKUP("JUNIO",[2]RETAIL!$B$78:$C$91,2,0),0),0)</f>
        <v>9</v>
      </c>
      <c r="R8" s="217"/>
      <c r="S8" s="23">
        <f>IFERROR(VLOOKUP(B8,[2]RETAIL!$B$8:$O$63,9,0),0)-IFERROR(IF(B8=100873,VLOOKUP("JULIO",[2]RETAIL!$B$78:$C$91,2,0),0),0)</f>
        <v>0</v>
      </c>
      <c r="T8" s="217"/>
      <c r="U8" s="124">
        <f>IFERROR(VLOOKUP(B8,[2]RETAIL!$B$8:$O$63,10,0),0)-IFERROR(IF(B8=100873,VLOOKUP("AGOSTO",[2]RETAIL!$B$78:$C$91,2,0),0),0)</f>
        <v>0</v>
      </c>
      <c r="V8" s="217"/>
      <c r="W8" s="23">
        <f>IFERROR(VLOOKUP(B8,[2]RETAIL!$B$8:$O$63,11,0),0)-IFERROR(IF(B8=100873,VLOOKUP("SEPTIEMBRE",[2]RETAIL!$B$78:$C$91,2,0),0),0)</f>
        <v>0</v>
      </c>
      <c r="X8" s="217"/>
      <c r="Y8" s="257">
        <f>IFERROR(VLOOKUP(B8,[2]RETAIL!$B$8:$O$63,12,0),0)-IFERROR(IF(B8=100873,VLOOKUP("OCTUBRE",[2]RETAIL!$B$78:$C$91,2,0),0),0)</f>
        <v>0</v>
      </c>
      <c r="Z8" s="217"/>
      <c r="AA8" s="35">
        <f>IFERROR(VLOOKUP(B8,[2]RETAIL!$B$8:$O$63,13,0),0)-IFERROR(IF(B8=100873,VLOOKUP("NOVIEMBRE",[2]RETAIL!$B$78:$C$91,2,0),0),0)</f>
        <v>0</v>
      </c>
      <c r="AB8" s="220"/>
      <c r="AC8" s="35">
        <f>IFERROR(VLOOKUP(B8,[2]RETAIL!$B$8:$O$63,14,0),0)-IFERROR(IF(B8=100873,VLOOKUP("DICIEMBRE",[2]RETAIL!$B$78:$C$91,2,0),0),0)</f>
        <v>0</v>
      </c>
      <c r="AD8" s="25">
        <f t="shared" si="0"/>
        <v>112</v>
      </c>
      <c r="AE8" s="27">
        <f>IFERROR(IF($AD$2="ENERO",G8,IF($AD$2="FEBRERO",G8+I8,IF($AD$2="MARZO",G8+I8+K8,IF($AD$2="ABRIL",G8+I8+K8+M8,IF($AD$2="MAYO",G8+I8+K8+M8+O8,IF($AD$2="JUNIO",G8+I8+K8+M8+O8+Q8,IF($AD$2="JULIO",G8+I8+K8+M8+O8+Q8+S8,IF($AD$2="AGOSTO",G8+I8+K8+M8+O8+Q8+S8+U8,IF($AD$2="SEPTIEMBRE",G8+I8+K8+M8+O8+Q8+S8+U8+W8,IF($AD$2="OCTUBRE",G8+I8+K8+M8+O8+Q8+S8+U8+W8+Y8,IF($AD$2="NOVIEMBRE",G8+I8+K8+M8+O8+Q8+S8+U8+W8+Y8+AA8,IF($AD$2="DICIEMBRE",G8+I8+K8+M8+O8+Q8+S8+U8+W8+Y8+AA8+AC8,"")))))))))))),0)</f>
        <v>64</v>
      </c>
      <c r="AF8" s="371">
        <f>IFERROR((AE8/AD8),0)</f>
        <v>0.5714285714285714</v>
      </c>
      <c r="AG8" s="25">
        <f t="shared" si="1"/>
        <v>112</v>
      </c>
      <c r="AH8" s="27">
        <f>IFERROR(IF($AD$2="ENERO",G8,IF($AD$2="FEBRERO",G8+I8,IF($AD$2="MARZO",G8+I8+K8,IF($AD$2="ABRIL",G8+I8+K8+M8,IF($AD$2="MAYO",G8+I8+K8+M8+O8,IF($AD$2="JUNIO",G8+I8+K8+M8+O8+Q8,IF($AD$2="JULIO",G8+I8+K8+M8+O8+Q8+S8,IF($AD$2="AGOSTO",G8+I8+K8+M8+O8+Q8+S8+U8,IF($AD$2="SEPTIEMBRE",G8+I8+K8+M8+O8+Q8+S8+U8+W8,IF($AD$2="OCTUBRE",G8+I8+K8+M8+O8+Q8+S8+U8+W8+Y8,IF($AD$2="NOVIEMBRE",G8+I8+K8+M8+O8+Q8+S8+U8+W8+Y8+AA8,IF($AD$2="DICIEMBRE",G8+I8+K8+M8+O8+Q8+S8+U8+W8+Y8+AA8+AC8,"")))))))))))),0)</f>
        <v>64</v>
      </c>
      <c r="AI8" s="371">
        <f t="shared" si="2"/>
        <v>0.5714285714285714</v>
      </c>
      <c r="AJ8" s="25">
        <f t="shared" si="3"/>
        <v>56</v>
      </c>
      <c r="AK8" s="27">
        <f t="shared" si="3"/>
        <v>32</v>
      </c>
      <c r="AL8" s="371">
        <f t="shared" si="4"/>
        <v>0.5714285714285714</v>
      </c>
      <c r="AM8" s="25">
        <f t="shared" si="5"/>
        <v>0</v>
      </c>
      <c r="AN8" s="27">
        <f t="shared" si="6"/>
        <v>0</v>
      </c>
      <c r="AO8" s="371">
        <f t="shared" si="7"/>
        <v>0</v>
      </c>
    </row>
    <row r="9" spans="1:41" s="4" customFormat="1" ht="15" customHeight="1" thickBot="1" x14ac:dyDescent="0.3">
      <c r="B9" s="7" t="s">
        <v>264</v>
      </c>
      <c r="C9" s="28"/>
      <c r="D9" s="29"/>
      <c r="E9" s="7"/>
      <c r="F9" s="314">
        <f t="shared" ref="F9:AC9" si="8">SUM(F5:F8)</f>
        <v>119</v>
      </c>
      <c r="G9" s="32">
        <f t="shared" si="8"/>
        <v>90</v>
      </c>
      <c r="H9" s="314">
        <f t="shared" si="8"/>
        <v>121</v>
      </c>
      <c r="I9" s="32">
        <f t="shared" si="8"/>
        <v>140</v>
      </c>
      <c r="J9" s="314">
        <f t="shared" si="8"/>
        <v>122</v>
      </c>
      <c r="K9" s="32">
        <f t="shared" si="8"/>
        <v>147</v>
      </c>
      <c r="L9" s="314">
        <f t="shared" si="8"/>
        <v>119</v>
      </c>
      <c r="M9" s="32">
        <f t="shared" si="8"/>
        <v>114</v>
      </c>
      <c r="N9" s="314">
        <f t="shared" si="8"/>
        <v>121</v>
      </c>
      <c r="O9" s="32">
        <f t="shared" si="8"/>
        <v>117</v>
      </c>
      <c r="P9" s="314">
        <f t="shared" si="8"/>
        <v>122</v>
      </c>
      <c r="Q9" s="32">
        <f t="shared" si="8"/>
        <v>137</v>
      </c>
      <c r="R9" s="314">
        <f t="shared" si="8"/>
        <v>0</v>
      </c>
      <c r="S9" s="32">
        <f t="shared" si="8"/>
        <v>0</v>
      </c>
      <c r="T9" s="314">
        <f t="shared" si="8"/>
        <v>0</v>
      </c>
      <c r="U9" s="32">
        <f t="shared" si="8"/>
        <v>0</v>
      </c>
      <c r="V9" s="314">
        <f t="shared" si="8"/>
        <v>0</v>
      </c>
      <c r="W9" s="32">
        <f t="shared" si="8"/>
        <v>0</v>
      </c>
      <c r="X9" s="314">
        <f t="shared" si="8"/>
        <v>0</v>
      </c>
      <c r="Y9" s="32">
        <f t="shared" si="8"/>
        <v>0</v>
      </c>
      <c r="Z9" s="314">
        <f t="shared" si="8"/>
        <v>0</v>
      </c>
      <c r="AA9" s="32">
        <f t="shared" si="8"/>
        <v>0</v>
      </c>
      <c r="AB9" s="314">
        <f t="shared" si="8"/>
        <v>0</v>
      </c>
      <c r="AC9" s="32">
        <f t="shared" si="8"/>
        <v>0</v>
      </c>
      <c r="AD9" s="277">
        <f t="shared" si="0"/>
        <v>724</v>
      </c>
      <c r="AE9" s="88">
        <f>IF($AD$2="ENERO",G9,IF($AD$2="FEBRERO",G9+I9,IF($AD$2="MARZO",G9+I9+K9,IF($AD$2="ABRIL",G9+I9+K9+M9,IF($AD$2="MAYO",G9+I9+K9+M9+O9,IF($AD$2="JUNIO",G9+I9+K9+M9+O9+Q9,IF($AD$2="JULIO",G9+I9+K9+M9+O9+Q9+S9,IF($AD$2="AGOSTO",G9+I9+K9+M9+O9+Q9+S9+U9,IF($AD$2="SEPTIEMBRE",G9+I9+K9+M9+O9+Q9+S9+U9+W9,IF($AD$2="OCTUBRE",G9+I9+K9+M9+O9+Q9+S9+U9+W9+Y9,IF($AD$2="NOVIEMBRE",G9+I9+K9+M9+O9+Q9+S9+U9+W9+Y9+AA9,IF($AD$2="DICIEMBRE",G9+I9+K9+M9+O9+Q9+S9+U9+W9+Y9+AA9+AC9,""))))))))))))</f>
        <v>745</v>
      </c>
      <c r="AF9" s="390">
        <f>IFERROR((AE9/AD9),0)</f>
        <v>1.0290055248618784</v>
      </c>
      <c r="AG9" s="200">
        <f t="shared" si="1"/>
        <v>724</v>
      </c>
      <c r="AH9" s="391">
        <f>IF($AD$2="ENERO",G9,IF($AD$2="FEBRERO",G9+I9,IF($AD$2="MARZO",G9+I9+K9,IF($AD$2="ABRIL",G9+I9+K9+M9,IF($AD$2="MAYO",G9+I9+K9+M9+O9,IF($AD$2="JUNIO",G9+I9+K9+M9+O9+Q9,IF($AD$2="JULIO",G9+I9+K9+M9+O9+Q9+S9,IF($AD$2="AGOSTO",G9+I9+K9+M9+O9+Q9+S9+U9,IF($AD$2="SEPTIEMBRE",G9+I9+K9+M9+O9+Q9+S9+U9+W9,IF($AD$2="OCTUBRE",G9+I9+K9+M9+O9+Q9+S9+U9+W9+Y9,IF($AD$2="NOVIEMBRE",G9+I9+K9+M9+O9+Q9+S9+U9+W9+Y9+AA9,IF($AD$2="DICIEMBRE",G9+I9+K9+M9+O9+Q9+S9+U9+W9+Y9+AA9+AC9,""))))))))))))</f>
        <v>745</v>
      </c>
      <c r="AI9" s="390">
        <f t="shared" si="2"/>
        <v>1.0290055248618784</v>
      </c>
      <c r="AJ9" s="30">
        <f>IFERROR(IF($AJ$3="Q1",F9+H9+J9,IF($AJ$3="Q2",L9+N9++P9,IF($AJ$3="Q3",R9+T9+V9,IF($AJ$3="Q4",X9+Z9+AB9,0)))),0)</f>
        <v>362</v>
      </c>
      <c r="AK9" s="33">
        <f>IFERROR(IF($AJ$3="Q1",G9+I9+K9,IF($AJ$3="Q2",M9+O9++Q9,IF($AJ$3="Q3",S9+U9+W9,IF($AJ$3="Q4",Y9+AA9+AC9,0)))),0)</f>
        <v>377</v>
      </c>
      <c r="AL9" s="276">
        <f t="shared" si="4"/>
        <v>1.0414364640883977</v>
      </c>
      <c r="AM9" s="200">
        <f t="shared" si="5"/>
        <v>0</v>
      </c>
      <c r="AN9" s="391">
        <f t="shared" si="6"/>
        <v>0</v>
      </c>
      <c r="AO9" s="390">
        <f t="shared" si="7"/>
        <v>0</v>
      </c>
    </row>
    <row r="10" spans="1:41" s="4" customFormat="1" ht="15" customHeight="1" x14ac:dyDescent="0.25">
      <c r="A10" s="4">
        <v>2</v>
      </c>
      <c r="B10" s="8">
        <v>100213</v>
      </c>
      <c r="C10" s="369" t="s">
        <v>15</v>
      </c>
      <c r="D10" s="8">
        <v>7450</v>
      </c>
      <c r="E10" s="309" t="s">
        <v>276</v>
      </c>
      <c r="F10" s="219">
        <v>46</v>
      </c>
      <c r="G10" s="124">
        <f>IFERROR(VLOOKUP(B10,[2]RETAIL!$B$8:$O$63,3,0),0)-IFERROR(IF(B10=100873,VLOOKUP("ENERO",[2]RETAIL!$B$78:$C$91,2,0),0),0)</f>
        <v>38</v>
      </c>
      <c r="H10" s="219">
        <v>47</v>
      </c>
      <c r="I10" s="124">
        <f>IFERROR(VLOOKUP(B10,[2]RETAIL!$B$8:$O$63,4,0),0)-IFERROR(IF(B10=100873,VLOOKUP("FEBRERO",[2]RETAIL!$B$78:$C$91,2,0),0),0)</f>
        <v>51</v>
      </c>
      <c r="J10" s="219">
        <v>47</v>
      </c>
      <c r="K10" s="124">
        <f>IFERROR(VLOOKUP(B10,[2]RETAIL!$B$8:$O$63,5,0),0)-IFERROR(IF(B10=100873,VLOOKUP("MARZO",[2]RETAIL!$B$78:$C$91,2,0),0),0)</f>
        <v>63</v>
      </c>
      <c r="L10" s="219">
        <v>46</v>
      </c>
      <c r="M10" s="124">
        <f>IFERROR(VLOOKUP(B10,[2]RETAIL!$B$8:$O$63,6,0),0)-IFERROR(IF(B10=100873,VLOOKUP("ABRIL",[2]RETAIL!$B$78:$C$91,2,0),0),0)</f>
        <v>48</v>
      </c>
      <c r="N10" s="219">
        <v>47</v>
      </c>
      <c r="O10" s="23">
        <f>IFERROR(VLOOKUP(B10,[2]RETAIL!$B$8:$O$63,7,0),0)-IFERROR(IF(B10=100873,VLOOKUP("MAYO",[2]RETAIL!$B$78:$C$91,2,0),0),0)</f>
        <v>50</v>
      </c>
      <c r="P10" s="219">
        <v>47</v>
      </c>
      <c r="Q10" s="87">
        <f>IFERROR(VLOOKUP(B10,[2]RETAIL!$B$8:$O$63,8,0),0)-IFERROR(IF(B10=100873,VLOOKUP("JUNIO",[2]RETAIL!$B$78:$C$91,2,0),0),0)</f>
        <v>49</v>
      </c>
      <c r="R10" s="219"/>
      <c r="S10" s="23">
        <f>IFERROR(VLOOKUP(B10,[2]RETAIL!$B$8:$O$63,9,0),0)-IFERROR(IF(B10=100873,VLOOKUP("JULIO",[2]RETAIL!$B$78:$C$91,2,0),0),0)</f>
        <v>0</v>
      </c>
      <c r="T10" s="217"/>
      <c r="U10" s="124">
        <f>IFERROR(VLOOKUP(B10,[2]RETAIL!$B$8:$O$63,10,0),0)-IFERROR(IF(B10=100873,VLOOKUP("AGOSTO",[2]RETAIL!$B$78:$C$91,2,0),0),0)</f>
        <v>0</v>
      </c>
      <c r="V10" s="217"/>
      <c r="W10" s="23">
        <f>IFERROR(VLOOKUP(B10,[2]RETAIL!$B$8:$O$63,11,0),0)-IFERROR(IF(B10=100873,VLOOKUP("SEPTIEMBRE",[2]RETAIL!$B$78:$C$91,2,0),0),0)</f>
        <v>0</v>
      </c>
      <c r="X10" s="217"/>
      <c r="Y10" s="257">
        <f>IFERROR(VLOOKUP(B10,[2]RETAIL!$B$8:$O$63,12,0),0)-IFERROR(IF(B10=100873,VLOOKUP("OCTUBRE",[2]RETAIL!$B$78:$C$91,2,0),0),0)</f>
        <v>0</v>
      </c>
      <c r="Z10" s="217"/>
      <c r="AA10" s="35">
        <f>IFERROR(VLOOKUP(B10,[2]RETAIL!$B$8:$O$63,13,0),0)-IFERROR(IF(B10=100873,VLOOKUP("NOVIEMBRE",[2]RETAIL!$B$78:$C$91,2,0),0),0)</f>
        <v>0</v>
      </c>
      <c r="AB10" s="220"/>
      <c r="AC10" s="35">
        <f>IFERROR(VLOOKUP(B10,[2]RETAIL!$B$8:$O$63,14,0),0)-IFERROR(IF(B10=100873,VLOOKUP("DICIEMBRE",[2]RETAIL!$B$78:$C$91,2,0),0),0)</f>
        <v>0</v>
      </c>
      <c r="AD10" s="34">
        <f t="shared" si="0"/>
        <v>280</v>
      </c>
      <c r="AE10" s="251">
        <f>IFERROR(IF($AD$2="ENERO",G10,IF($AD$2="FEBRERO",G10+I10,IF($AD$2="MARZO",G10+I10+K10,IF($AD$2="ABRIL",G10+I10+K10+M10,IF($AD$2="MAYO",G10+I10+K10+M10+O10,IF($AD$2="JUNIO",G10+I10+K10+M10+O10+Q10,IF($AD$2="JULIO",G10+I10+K10+M10+O10+Q10+S10,IF($AD$2="AGOSTO",G10+I10+K10+M10+O10+Q10+S10+U10,IF($AD$2="SEPTIEMBRE",G10+I10+K10+M10+O10+Q10+S10+U10+W10,IF($AD$2="OCTUBRE",G10+I10+K10+M10+O10+Q10+S10+U10+W10+Y10,IF($AD$2="NOVIEMBRE",G10+I10+K10+M10+O10+Q10+S10+U10+W10+Y10+AA10,IF($AD$2="DICIEMBRE",G10+I10+K10+M10+O10+Q10+S10+U10+W10+Y10+AA10+AC10,"")))))))))))),0)</f>
        <v>299</v>
      </c>
      <c r="AF10" s="370">
        <f>IFERROR((AH10/AD10),0)</f>
        <v>1.0678571428571428</v>
      </c>
      <c r="AG10" s="34">
        <f t="shared" si="1"/>
        <v>280</v>
      </c>
      <c r="AH10" s="251">
        <f>IFERROR(IF($AD$2="ENERO",G10,IF($AD$2="FEBRERO",G10+I10,IF($AD$2="MARZO",G10+I10+K10,IF($AD$2="ABRIL",G10+I10+K10+M10,IF($AD$2="MAYO",G10+I10+K10+M10+O10,IF($AD$2="JUNIO",G10+I10+K10+M10+O10+Q10,IF($AD$2="JULIO",G10+I10+K10+M10+O10+Q10+S10,IF($AD$2="AGOSTO",G10+I10+K10+M10+O10+Q10+S10+U10,IF($AD$2="SEPTIEMBRE",G10+I10+K10+M10+O10+Q10+S10+U10+W10,IF($AD$2="OCTUBRE",G10+I10+K10+M10+O10+Q10+S10+U10+W10+Y10,IF($AD$2="NOVIEMBRE",G10+I10+K10+M10+O10+Q10+S10+U10+W10+Y10+AA10,IF($AD$2="DICIEMBRE",G10+I10+K10+M10+O10+Q10+S10+U10+W10+Y10+AA10+AC10,"")))))))))))),0)</f>
        <v>299</v>
      </c>
      <c r="AI10" s="370">
        <f t="shared" si="2"/>
        <v>1.0678571428571428</v>
      </c>
      <c r="AJ10" s="34">
        <f t="shared" ref="AJ10:AK14" si="9">IFERROR(IF($AJ$3="Q1",F10+H10+J10,IF($AJ$3="Q2",L10+N10++P10,IF($AJ$3="Q3",R10+T10+V10,IF($AJ$3="Q4",X10+Z10+AB10,0)))),0)</f>
        <v>140</v>
      </c>
      <c r="AK10" s="251">
        <f t="shared" si="9"/>
        <v>152</v>
      </c>
      <c r="AL10" s="370">
        <f t="shared" si="4"/>
        <v>1.0857142857142856</v>
      </c>
      <c r="AM10" s="34">
        <f t="shared" si="5"/>
        <v>0</v>
      </c>
      <c r="AN10" s="251">
        <f t="shared" si="6"/>
        <v>0</v>
      </c>
      <c r="AO10" s="370">
        <f t="shared" si="7"/>
        <v>0</v>
      </c>
    </row>
    <row r="11" spans="1:41" s="4" customFormat="1" ht="15" customHeight="1" x14ac:dyDescent="0.25">
      <c r="A11" s="4">
        <v>2</v>
      </c>
      <c r="B11" s="8">
        <v>100319</v>
      </c>
      <c r="C11" s="369" t="s">
        <v>16</v>
      </c>
      <c r="D11" s="8">
        <v>7450</v>
      </c>
      <c r="E11" s="309" t="s">
        <v>276</v>
      </c>
      <c r="F11" s="217">
        <v>47</v>
      </c>
      <c r="G11" s="124">
        <f>IFERROR(VLOOKUP(B11,[2]RETAIL!$B$8:$O$63,3,0),0)-IFERROR(IF(B11=100873,VLOOKUP("ENERO",[2]RETAIL!$B$78:$C$91,2,0),0),0)</f>
        <v>50</v>
      </c>
      <c r="H11" s="217">
        <v>49</v>
      </c>
      <c r="I11" s="124">
        <f>IFERROR(VLOOKUP(B11,[2]RETAIL!$B$8:$O$63,4,0),0)-IFERROR(IF(B11=100873,VLOOKUP("FEBRERO",[2]RETAIL!$B$78:$C$91,2,0),0),0)</f>
        <v>57</v>
      </c>
      <c r="J11" s="217">
        <v>49</v>
      </c>
      <c r="K11" s="124">
        <f>IFERROR(VLOOKUP(B11,[2]RETAIL!$B$8:$O$63,5,0),0)-IFERROR(IF(B11=100873,VLOOKUP("MARZO",[2]RETAIL!$B$78:$C$91,2,0),0),0)</f>
        <v>63</v>
      </c>
      <c r="L11" s="217">
        <v>47</v>
      </c>
      <c r="M11" s="124">
        <f>IFERROR(VLOOKUP(B11,[2]RETAIL!$B$8:$O$63,6,0),0)-IFERROR(IF(B11=100873,VLOOKUP("ABRIL",[2]RETAIL!$B$78:$C$91,2,0),0),0)</f>
        <v>56</v>
      </c>
      <c r="N11" s="217">
        <v>49</v>
      </c>
      <c r="O11" s="23">
        <f>IFERROR(VLOOKUP(B11,[2]RETAIL!$B$8:$O$63,7,0),0)-IFERROR(IF(B11=100873,VLOOKUP("MAYO",[2]RETAIL!$B$78:$C$91,2,0),0),0)</f>
        <v>44</v>
      </c>
      <c r="P11" s="217">
        <v>49</v>
      </c>
      <c r="Q11" s="87">
        <f>IFERROR(VLOOKUP(B11,[2]RETAIL!$B$8:$O$63,8,0),0)-IFERROR(IF(B11=100873,VLOOKUP("JUNIO",[2]RETAIL!$B$78:$C$91,2,0),0),0)</f>
        <v>60</v>
      </c>
      <c r="R11" s="217"/>
      <c r="S11" s="23">
        <f>IFERROR(VLOOKUP(B11,[2]RETAIL!$B$8:$O$63,9,0),0)-IFERROR(IF(B11=100873,VLOOKUP("JULIO",[2]RETAIL!$B$78:$C$91,2,0),0),0)</f>
        <v>0</v>
      </c>
      <c r="T11" s="217"/>
      <c r="U11" s="124">
        <f>IFERROR(VLOOKUP(B11,[2]RETAIL!$B$8:$O$63,10,0),0)-IFERROR(IF(B11=100873,VLOOKUP("AGOSTO",[2]RETAIL!$B$78:$C$91,2,0),0),0)</f>
        <v>0</v>
      </c>
      <c r="V11" s="217"/>
      <c r="W11" s="23">
        <f>IFERROR(VLOOKUP(B11,[2]RETAIL!$B$8:$O$63,11,0),0)-IFERROR(IF(B11=100873,VLOOKUP("SEPTIEMBRE",[2]RETAIL!$B$78:$C$91,2,0),0),0)</f>
        <v>0</v>
      </c>
      <c r="X11" s="217"/>
      <c r="Y11" s="257">
        <f>IFERROR(VLOOKUP(B11,[2]RETAIL!$B$8:$O$63,12,0),0)-IFERROR(IF(B11=100873,VLOOKUP("OCTUBRE",[2]RETAIL!$B$78:$C$91,2,0),0),0)</f>
        <v>0</v>
      </c>
      <c r="Z11" s="217"/>
      <c r="AA11" s="35">
        <f>IFERROR(VLOOKUP(B11,[2]RETAIL!$B$8:$O$63,13,0),0)-IFERROR(IF(B11=100873,VLOOKUP("NOVIEMBRE",[2]RETAIL!$B$78:$C$91,2,0),0),0)</f>
        <v>0</v>
      </c>
      <c r="AB11" s="220"/>
      <c r="AC11" s="35">
        <f>IFERROR(VLOOKUP(B11,[2]RETAIL!$B$8:$O$63,14,0),0)-IFERROR(IF(B11=100873,VLOOKUP("DICIEMBRE",[2]RETAIL!$B$78:$C$91,2,0),0),0)</f>
        <v>0</v>
      </c>
      <c r="AD11" s="21">
        <f t="shared" si="0"/>
        <v>290</v>
      </c>
      <c r="AE11" s="251">
        <f>IFERROR(IF($AD$2="ENERO",G11,IF($AD$2="FEBRERO",G11+I11,IF($AD$2="MARZO",G11+I11+K11,IF($AD$2="ABRIL",G11+I11+K11+M11,IF($AD$2="MAYO",G11+I11+K11+M11+O11,IF($AD$2="JUNIO",G11+I11+K11+M11+O11+Q11,IF($AD$2="JULIO",G11+I11+K11+M11+O11+Q11+S11,IF($AD$2="AGOSTO",G11+I11+K11+M11+O11+Q11+S11+U11,IF($AD$2="SEPTIEMBRE",G11+I11+K11+M11+O11+Q11+S11+U11+W11,IF($AD$2="OCTUBRE",G11+I11+K11+M11+O11+Q11+S11+U11+W11+Y11,IF($AD$2="NOVIEMBRE",G11+I11+K11+M11+O11+Q11+S11+U11+W11+Y11+AA11,IF($AD$2="DICIEMBRE",G11+I11+K11+M11+O11+Q11+S11+U11+W11+Y11+AA11+AC11,"")))))))))))),0)</f>
        <v>330</v>
      </c>
      <c r="AF11" s="239">
        <f>IFERROR((AE11/AD11),0)</f>
        <v>1.1379310344827587</v>
      </c>
      <c r="AG11" s="21">
        <f t="shared" si="1"/>
        <v>290</v>
      </c>
      <c r="AH11" s="251">
        <f>IFERROR(IF($AD$2="ENERO",G11,IF($AD$2="FEBRERO",G11+I11,IF($AD$2="MARZO",G11+I11+K11,IF($AD$2="ABRIL",G11+I11+K11+M11,IF($AD$2="MAYO",G11+I11+K11+M11+O11,IF($AD$2="JUNIO",G11+I11+K11+M11+O11+Q11,IF($AD$2="JULIO",G11+I11+K11+M11+O11+Q11+S11,IF($AD$2="AGOSTO",G11+I11+K11+M11+O11+Q11+S11+U11,IF($AD$2="SEPTIEMBRE",G11+I11+K11+M11+O11+Q11+S11+U11+W11,IF($AD$2="OCTUBRE",G11+I11+K11+M11+O11+Q11+S11+U11+W11+Y11,IF($AD$2="NOVIEMBRE",G11+I11+K11+M11+O11+Q11+S11+U11+W11+Y11+AA11,IF($AD$2="DICIEMBRE",G11+I11+K11+M11+O11+Q11+S11+U11+W11+Y11+AA11+AC11,"")))))))))))),0)</f>
        <v>330</v>
      </c>
      <c r="AI11" s="239">
        <f t="shared" si="2"/>
        <v>1.1379310344827587</v>
      </c>
      <c r="AJ11" s="21">
        <f t="shared" si="9"/>
        <v>145</v>
      </c>
      <c r="AK11" s="24">
        <f t="shared" si="9"/>
        <v>170</v>
      </c>
      <c r="AL11" s="239">
        <f t="shared" si="4"/>
        <v>1.1724137931034482</v>
      </c>
      <c r="AM11" s="21">
        <f t="shared" si="5"/>
        <v>0</v>
      </c>
      <c r="AN11" s="24">
        <f t="shared" si="6"/>
        <v>0</v>
      </c>
      <c r="AO11" s="239">
        <f t="shared" si="7"/>
        <v>0</v>
      </c>
    </row>
    <row r="12" spans="1:41" s="4" customFormat="1" ht="15" customHeight="1" x14ac:dyDescent="0.25">
      <c r="A12" s="4">
        <v>2</v>
      </c>
      <c r="B12" s="8">
        <v>100349</v>
      </c>
      <c r="C12" s="369" t="s">
        <v>10</v>
      </c>
      <c r="D12" s="8">
        <v>7450</v>
      </c>
      <c r="E12" s="309" t="s">
        <v>276</v>
      </c>
      <c r="F12" s="217">
        <v>41</v>
      </c>
      <c r="G12" s="124">
        <f>IFERROR(VLOOKUP(B12,[2]RETAIL!$B$8:$O$63,3,0),0)-IFERROR(IF(B12=100873,VLOOKUP("ENERO",[2]RETAIL!$B$78:$C$91,2,0),0),0)</f>
        <v>36</v>
      </c>
      <c r="H12" s="217">
        <v>41</v>
      </c>
      <c r="I12" s="124">
        <f>IFERROR(VLOOKUP(B12,[2]RETAIL!$B$8:$O$63,4,0),0)-IFERROR(IF(B12=100873,VLOOKUP("FEBRERO",[2]RETAIL!$B$78:$C$91,2,0),0),0)</f>
        <v>60</v>
      </c>
      <c r="J12" s="217">
        <v>43</v>
      </c>
      <c r="K12" s="124">
        <f>IFERROR(VLOOKUP(B12,[2]RETAIL!$B$8:$O$63,5,0),0)-IFERROR(IF(B12=100873,VLOOKUP("MARZO",[2]RETAIL!$B$78:$C$91,2,0),0),0)</f>
        <v>67</v>
      </c>
      <c r="L12" s="217">
        <v>41</v>
      </c>
      <c r="M12" s="124">
        <f>IFERROR(VLOOKUP(B12,[2]RETAIL!$B$8:$O$63,6,0),0)-IFERROR(IF(B12=100873,VLOOKUP("ABRIL",[2]RETAIL!$B$78:$C$91,2,0),0),0)</f>
        <v>71</v>
      </c>
      <c r="N12" s="217">
        <v>41</v>
      </c>
      <c r="O12" s="23">
        <f>IFERROR(VLOOKUP(B12,[2]RETAIL!$B$8:$O$63,7,0),0)-IFERROR(IF(B12=100873,VLOOKUP("MAYO",[2]RETAIL!$B$78:$C$91,2,0),0),0)</f>
        <v>44</v>
      </c>
      <c r="P12" s="217">
        <v>43</v>
      </c>
      <c r="Q12" s="87">
        <f>IFERROR(VLOOKUP(B12,[2]RETAIL!$B$8:$O$63,8,0),0)-IFERROR(IF(B12=100873,VLOOKUP("JUNIO",[2]RETAIL!$B$78:$C$91,2,0),0),0)</f>
        <v>60</v>
      </c>
      <c r="R12" s="217"/>
      <c r="S12" s="23">
        <f>IFERROR(VLOOKUP(B12,[2]RETAIL!$B$8:$O$63,9,0),0)-IFERROR(IF(B12=100873,VLOOKUP("JULIO",[2]RETAIL!$B$78:$C$91,2,0),0),0)</f>
        <v>0</v>
      </c>
      <c r="T12" s="217"/>
      <c r="U12" s="124">
        <f>IFERROR(VLOOKUP(B12,[2]RETAIL!$B$8:$O$63,10,0),0)-IFERROR(IF(B12=100873,VLOOKUP("AGOSTO",[2]RETAIL!$B$78:$C$91,2,0),0),0)</f>
        <v>0</v>
      </c>
      <c r="V12" s="217"/>
      <c r="W12" s="23">
        <f>IFERROR(VLOOKUP(B12,[2]RETAIL!$B$8:$O$63,11,0),0)-IFERROR(IF(B12=100873,VLOOKUP("SEPTIEMBRE",[2]RETAIL!$B$78:$C$91,2,0),0),0)</f>
        <v>0</v>
      </c>
      <c r="X12" s="217"/>
      <c r="Y12" s="257">
        <f>IFERROR(VLOOKUP(B12,[2]RETAIL!$B$8:$O$63,12,0),0)-IFERROR(IF(B12=100873,VLOOKUP("OCTUBRE",[2]RETAIL!$B$78:$C$91,2,0),0),0)</f>
        <v>0</v>
      </c>
      <c r="Z12" s="217"/>
      <c r="AA12" s="35">
        <f>IFERROR(VLOOKUP(B12,[2]RETAIL!$B$8:$O$63,13,0),0)-IFERROR(IF(B12=100873,VLOOKUP("NOVIEMBRE",[2]RETAIL!$B$78:$C$91,2,0),0),0)</f>
        <v>0</v>
      </c>
      <c r="AB12" s="220"/>
      <c r="AC12" s="35">
        <f>IFERROR(VLOOKUP(B12,[2]RETAIL!$B$8:$O$63,14,0),0)-IFERROR(IF(B12=100873,VLOOKUP("DICIEMBRE",[2]RETAIL!$B$78:$C$91,2,0),0),0)</f>
        <v>0</v>
      </c>
      <c r="AD12" s="21">
        <f t="shared" si="0"/>
        <v>250</v>
      </c>
      <c r="AE12" s="251">
        <f>IFERROR(IF($AD$2="ENERO",G12,IF($AD$2="FEBRERO",G12+I12,IF($AD$2="MARZO",G12+I12+K12,IF($AD$2="ABRIL",G12+I12+K12+M12,IF($AD$2="MAYO",G12+I12+K12+M12+O12,IF($AD$2="JUNIO",G12+I12+K12+M12+O12+Q12,IF($AD$2="JULIO",G12+I12+K12+M12+O12+Q12+S12,IF($AD$2="AGOSTO",G12+I12+K12+M12+O12+Q12+S12+U12,IF($AD$2="SEPTIEMBRE",G12+I12+K12+M12+O12+Q12+S12+U12+W12,IF($AD$2="OCTUBRE",G12+I12+K12+M12+O12+Q12+S12+U12+W12+Y12,IF($AD$2="NOVIEMBRE",G12+I12+K12+M12+O12+Q12+S12+U12+W12+Y12+AA12,IF($AD$2="DICIEMBRE",G12+I12+K12+M12+O12+Q12+S12+U12+W12+Y12+AA12+AC12,"")))))))))))),0)</f>
        <v>338</v>
      </c>
      <c r="AF12" s="239">
        <f>IFERROR((AE12/AD12),0)</f>
        <v>1.3520000000000001</v>
      </c>
      <c r="AG12" s="21">
        <f t="shared" si="1"/>
        <v>250</v>
      </c>
      <c r="AH12" s="251">
        <f>IFERROR(IF($AD$2="ENERO",G12,IF($AD$2="FEBRERO",G12+I12,IF($AD$2="MARZO",G12+I12+K12,IF($AD$2="ABRIL",G12+I12+K12+M12,IF($AD$2="MAYO",G12+I12+K12+M12+O12,IF($AD$2="JUNIO",G12+I12+K12+M12+O12+Q12,IF($AD$2="JULIO",G12+I12+K12+M12+O12+Q12+S12,IF($AD$2="AGOSTO",G12+I12+K12+M12+O12+Q12+S12+U12,IF($AD$2="SEPTIEMBRE",G12+I12+K12+M12+O12+Q12+S12+U12+W12,IF($AD$2="OCTUBRE",G12+I12+K12+M12+O12+Q12+S12+U12+W12+Y12,IF($AD$2="NOVIEMBRE",G12+I12+K12+M12+O12+Q12+S12+U12+W12+Y12+AA12,IF($AD$2="DICIEMBRE",G12+I12+K12+M12+O12+Q12+S12+U12+W12+Y12+AA12+AC12,"")))))))))))),0)</f>
        <v>338</v>
      </c>
      <c r="AI12" s="239">
        <f t="shared" si="2"/>
        <v>1.3520000000000001</v>
      </c>
      <c r="AJ12" s="21">
        <f t="shared" si="9"/>
        <v>125</v>
      </c>
      <c r="AK12" s="24">
        <f t="shared" si="9"/>
        <v>163</v>
      </c>
      <c r="AL12" s="239">
        <f t="shared" si="4"/>
        <v>1.304</v>
      </c>
      <c r="AM12" s="21">
        <f t="shared" si="5"/>
        <v>0</v>
      </c>
      <c r="AN12" s="24">
        <f t="shared" si="6"/>
        <v>0</v>
      </c>
      <c r="AO12" s="239">
        <f t="shared" si="7"/>
        <v>0</v>
      </c>
    </row>
    <row r="13" spans="1:41" s="4" customFormat="1" ht="15" customHeight="1" x14ac:dyDescent="0.25">
      <c r="A13" s="4">
        <v>2</v>
      </c>
      <c r="B13" s="8">
        <v>100917</v>
      </c>
      <c r="C13" s="369" t="s">
        <v>263</v>
      </c>
      <c r="D13" s="8">
        <v>7450</v>
      </c>
      <c r="E13" s="309" t="s">
        <v>276</v>
      </c>
      <c r="F13" s="538">
        <v>1</v>
      </c>
      <c r="G13" s="124">
        <f>IFERROR(VLOOKUP(B13,[2]RETAIL!$B$8:$O$63,3,0),0)-IFERROR(IF(B13=100873,VLOOKUP("ENERO",[2]RETAIL!$B$78:$C$91,2,0),0),0)</f>
        <v>0</v>
      </c>
      <c r="H13" s="538">
        <v>1</v>
      </c>
      <c r="I13" s="124">
        <f>IFERROR(VLOOKUP(B13,[2]RETAIL!$B$8:$O$63,4,0),0)-IFERROR(IF(B13=100873,VLOOKUP("FEBRERO",[2]RETAIL!$B$78:$C$91,2,0),0),0)</f>
        <v>0</v>
      </c>
      <c r="J13" s="538">
        <v>18</v>
      </c>
      <c r="K13" s="124">
        <f>IFERROR(VLOOKUP(B13,[2]RETAIL!$B$8:$O$63,5,0),0)-IFERROR(IF(B13=100873,VLOOKUP("MARZO",[2]RETAIL!$B$78:$C$91,2,0),0),0)</f>
        <v>0</v>
      </c>
      <c r="L13" s="538">
        <v>20</v>
      </c>
      <c r="M13" s="124">
        <f>IFERROR(VLOOKUP(B13,[2]RETAIL!$B$8:$O$63,6,0),0)-IFERROR(IF(B13=100873,VLOOKUP("ABRIL",[2]RETAIL!$B$78:$C$91,2,0),0),0)</f>
        <v>7</v>
      </c>
      <c r="N13" s="538">
        <v>30</v>
      </c>
      <c r="O13" s="23">
        <f>IFERROR(VLOOKUP(B13,[2]RETAIL!$B$8:$O$63,7,0),0)-IFERROR(IF(B13=100873,VLOOKUP("MAYO",[2]RETAIL!$B$78:$C$91,2,0),0),0)</f>
        <v>14</v>
      </c>
      <c r="P13" s="538">
        <v>30</v>
      </c>
      <c r="Q13" s="87">
        <f>IFERROR(VLOOKUP(B13,[2]RETAIL!$B$8:$O$63,8,0),0)-IFERROR(IF(B13=100873,VLOOKUP("JUNIO",[2]RETAIL!$B$78:$C$91,2,0),0),0)</f>
        <v>27</v>
      </c>
      <c r="R13" s="217"/>
      <c r="S13" s="23">
        <f>IFERROR(VLOOKUP(B13,[2]RETAIL!$B$8:$O$63,9,0),0)-IFERROR(IF(B13=100873,VLOOKUP("JULIO",[2]RETAIL!$B$78:$C$91,2,0),0),0)</f>
        <v>0</v>
      </c>
      <c r="T13" s="217"/>
      <c r="U13" s="124">
        <f>IFERROR(VLOOKUP(B13,[2]RETAIL!$B$8:$O$63,10,0),0)-IFERROR(IF(B13=100873,VLOOKUP("AGOSTO",[2]RETAIL!$B$78:$C$91,2,0),0),0)</f>
        <v>0</v>
      </c>
      <c r="V13" s="217"/>
      <c r="W13" s="23">
        <f>IFERROR(VLOOKUP(B13,[2]RETAIL!$B$8:$O$63,11,0),0)-IFERROR(IF(B13=100873,VLOOKUP("SEPTIEMBRE",[2]RETAIL!$B$78:$C$91,2,0),0),0)</f>
        <v>0</v>
      </c>
      <c r="X13" s="217"/>
      <c r="Y13" s="257">
        <f>IFERROR(VLOOKUP(B13,[2]RETAIL!$B$8:$O$63,12,0),0)-IFERROR(IF(B13=100873,VLOOKUP("OCTUBRE",[2]RETAIL!$B$78:$C$91,2,0),0),0)</f>
        <v>0</v>
      </c>
      <c r="Z13" s="217"/>
      <c r="AA13" s="35">
        <f>IFERROR(VLOOKUP(B13,[2]RETAIL!$B$8:$O$63,13,0),0)-IFERROR(IF(B13=100873,VLOOKUP("NOVIEMBRE",[2]RETAIL!$B$78:$C$91,2,0),0),0)</f>
        <v>0</v>
      </c>
      <c r="AB13" s="220"/>
      <c r="AC13" s="35">
        <f>IFERROR(VLOOKUP(B13,[2]RETAIL!$B$8:$O$63,14,0),0)-IFERROR(IF(B13=100873,VLOOKUP("DICIEMBRE",[2]RETAIL!$B$78:$C$91,2,0),0),0)</f>
        <v>0</v>
      </c>
      <c r="AD13" s="25">
        <f t="shared" si="0"/>
        <v>100</v>
      </c>
      <c r="AE13" s="27">
        <f>IFERROR(IF($AD$2="ENERO",G13,IF($AD$2="FEBRERO",G13+I13,IF($AD$2="MARZO",G13+I13+K13,IF($AD$2="ABRIL",G13+I13+K13+M13,IF($AD$2="MAYO",G13+I13+K13+M13+O13,IF($AD$2="JUNIO",G13+I13+K13+M13+O13+Q13,IF($AD$2="JULIO",G13+I13+K13+M13+O13+Q13+S13,IF($AD$2="AGOSTO",G13+I13+K13+M13+O13+Q13+S13+U13,IF($AD$2="SEPTIEMBRE",G13+I13+K13+M13+O13+Q13+S13+U13+W13,IF($AD$2="OCTUBRE",G13+I13+K13+M13+O13+Q13+S13+U13+W13+Y13,IF($AD$2="NOVIEMBRE",G13+I13+K13+M13+O13+Q13+S13+U13+W13+Y13+AA13,IF($AD$2="DICIEMBRE",G13+I13+K13+M13+O13+Q13+S13+U13+W13+Y13+AA13+AC13,"")))))))))))),0)</f>
        <v>48</v>
      </c>
      <c r="AF13" s="371">
        <f>IFERROR((AE13/AD13),0)</f>
        <v>0.48</v>
      </c>
      <c r="AG13" s="25">
        <f t="shared" si="1"/>
        <v>100</v>
      </c>
      <c r="AH13" s="27">
        <f>IFERROR(IF($AD$2="ENERO",G13,IF($AD$2="FEBRERO",G13+I13,IF($AD$2="MARZO",G13+I13+K13,IF($AD$2="ABRIL",G13+I13+K13+M13,IF($AD$2="MAYO",G13+I13+K13+M13+O13,IF($AD$2="JUNIO",G13+I13+K13+M13+O13+Q13,IF($AD$2="JULIO",G13+I13+K13+M13+O13+Q13+S13,IF($AD$2="AGOSTO",G13+I13+K13+M13+O13+Q13+S13+U13,IF($AD$2="SEPTIEMBRE",G13+I13+K13+M13+O13+Q13+S13+U13+W13,IF($AD$2="OCTUBRE",G13+I13+K13+M13+O13+Q13+S13+U13+W13+Y13,IF($AD$2="NOVIEMBRE",G13+I13+K13+M13+O13+Q13+S13+U13+W13+Y13+AA13,IF($AD$2="DICIEMBRE",G13+I13+K13+M13+O13+Q13+S13+U13+W13+Y13+AA13+AC13,"")))))))))))),0)</f>
        <v>48</v>
      </c>
      <c r="AI13" s="371">
        <f t="shared" si="2"/>
        <v>0.48</v>
      </c>
      <c r="AJ13" s="25">
        <f t="shared" si="9"/>
        <v>20</v>
      </c>
      <c r="AK13" s="27">
        <f t="shared" si="9"/>
        <v>0</v>
      </c>
      <c r="AL13" s="371">
        <f t="shared" si="4"/>
        <v>0</v>
      </c>
      <c r="AM13" s="25">
        <f t="shared" si="5"/>
        <v>0</v>
      </c>
      <c r="AN13" s="27">
        <f t="shared" si="6"/>
        <v>0</v>
      </c>
      <c r="AO13" s="371">
        <f t="shared" si="7"/>
        <v>0</v>
      </c>
    </row>
    <row r="14" spans="1:41" s="4" customFormat="1" ht="15" customHeight="1" thickBot="1" x14ac:dyDescent="0.3">
      <c r="A14" s="4">
        <v>2</v>
      </c>
      <c r="B14" s="8">
        <v>100726</v>
      </c>
      <c r="C14" s="369" t="s">
        <v>19</v>
      </c>
      <c r="D14" s="8">
        <v>39198</v>
      </c>
      <c r="E14" s="309" t="s">
        <v>88</v>
      </c>
      <c r="F14" s="217">
        <v>11</v>
      </c>
      <c r="G14" s="124">
        <f>IFERROR(VLOOKUP(B14,[2]RETAIL!$B$8:$O$63,3,0),0)-IFERROR(IF(B14=100873,VLOOKUP("ENERO",[2]RETAIL!$B$78:$C$91,2,0),0),0)</f>
        <v>7</v>
      </c>
      <c r="H14" s="217">
        <v>12</v>
      </c>
      <c r="I14" s="124">
        <f>IFERROR(VLOOKUP(B14,[2]RETAIL!$B$8:$O$63,4,0),0)-IFERROR(IF(B14=100873,VLOOKUP("FEBRERO",[2]RETAIL!$B$78:$C$91,2,0),0),0)</f>
        <v>12</v>
      </c>
      <c r="J14" s="217">
        <v>12</v>
      </c>
      <c r="K14" s="124">
        <f>IFERROR(VLOOKUP(B14,[2]RETAIL!$B$8:$O$63,5,0),0)-IFERROR(IF(B14=100873,VLOOKUP("MARZO",[2]RETAIL!$B$78:$C$91,2,0),0),0)</f>
        <v>24</v>
      </c>
      <c r="L14" s="217">
        <v>11</v>
      </c>
      <c r="M14" s="124">
        <f>IFERROR(VLOOKUP(B14,[2]RETAIL!$B$8:$O$63,6,0),0)-IFERROR(IF(B14=100873,VLOOKUP("ABRIL",[2]RETAIL!$B$78:$C$91,2,0),0),0)</f>
        <v>14</v>
      </c>
      <c r="N14" s="217">
        <v>12</v>
      </c>
      <c r="O14" s="23">
        <f>IFERROR(VLOOKUP(B14,[2]RETAIL!$B$8:$O$63,7,0),0)-IFERROR(IF(B14=100873,VLOOKUP("MAYO",[2]RETAIL!$B$78:$C$91,2,0),0),0)</f>
        <v>9</v>
      </c>
      <c r="P14" s="217">
        <v>12</v>
      </c>
      <c r="Q14" s="87">
        <f>IFERROR(VLOOKUP(B14,[2]RETAIL!$B$8:$O$63,8,0),0)-IFERROR(IF(B14=100873,VLOOKUP("JUNIO",[2]RETAIL!$B$78:$C$91,2,0),0),0)</f>
        <v>25</v>
      </c>
      <c r="R14" s="217"/>
      <c r="S14" s="23">
        <f>IFERROR(VLOOKUP(B14,[2]RETAIL!$B$8:$O$63,9,0),0)-IFERROR(IF(B14=100873,VLOOKUP("JULIO",[2]RETAIL!$B$78:$C$91,2,0),0),0)</f>
        <v>0</v>
      </c>
      <c r="T14" s="217"/>
      <c r="U14" s="124">
        <f>IFERROR(VLOOKUP(B14,[2]RETAIL!$B$8:$O$63,10,0),0)-IFERROR(IF(B14=100873,VLOOKUP("AGOSTO",[2]RETAIL!$B$78:$C$91,2,0),0),0)</f>
        <v>0</v>
      </c>
      <c r="V14" s="217"/>
      <c r="W14" s="23">
        <f>IFERROR(VLOOKUP(B14,[2]RETAIL!$B$8:$O$63,11,0),0)-IFERROR(IF(B14=100873,VLOOKUP("SEPTIEMBRE",[2]RETAIL!$B$78:$C$91,2,0),0),0)</f>
        <v>0</v>
      </c>
      <c r="X14" s="217"/>
      <c r="Y14" s="257">
        <f>IFERROR(VLOOKUP(B14,[2]RETAIL!$B$8:$O$63,12,0),0)-IFERROR(IF(B14=100873,VLOOKUP("OCTUBRE",[2]RETAIL!$B$78:$C$91,2,0),0),0)</f>
        <v>0</v>
      </c>
      <c r="Z14" s="217"/>
      <c r="AA14" s="35">
        <f>IFERROR(VLOOKUP(B14,[2]RETAIL!$B$8:$O$63,13,0),0)-IFERROR(IF(B14=100873,VLOOKUP("NOVIEMBRE",[2]RETAIL!$B$78:$C$91,2,0),0),0)</f>
        <v>0</v>
      </c>
      <c r="AB14" s="220"/>
      <c r="AC14" s="35">
        <f>IFERROR(VLOOKUP(B14,[2]RETAIL!$B$8:$O$63,14,0),0)-IFERROR(IF(B14=100873,VLOOKUP("DICIEMBRE",[2]RETAIL!$B$78:$C$91,2,0),0),0)</f>
        <v>0</v>
      </c>
      <c r="AD14" s="25">
        <f t="shared" si="0"/>
        <v>70</v>
      </c>
      <c r="AE14" s="27">
        <f>IFERROR(IF($AD$2="ENERO",G14,IF($AD$2="FEBRERO",G14+I14,IF($AD$2="MARZO",G14+I14+K14,IF($AD$2="ABRIL",G14+I14+K14+M14,IF($AD$2="MAYO",G14+I14+K14+M14+O14,IF($AD$2="JUNIO",G14+I14+K14+M14+O14+Q14,IF($AD$2="JULIO",G14+I14+K14+M14+O14+Q14+S14,IF($AD$2="AGOSTO",G14+I14+K14+M14+O14+Q14+S14+U14,IF($AD$2="SEPTIEMBRE",G14+I14+K14+M14+O14+Q14+S14+U14+W14,IF($AD$2="OCTUBRE",G14+I14+K14+M14+O14+Q14+S14+U14+W14+Y14,IF($AD$2="NOVIEMBRE",G14+I14+K14+M14+O14+Q14+S14+U14+W14+Y14+AA14,IF($AD$2="DICIEMBRE",G14+I14+K14+M14+O14+Q14+S14+U14+W14+Y14+AA14+AC14,"")))))))))))),0)</f>
        <v>91</v>
      </c>
      <c r="AF14" s="371">
        <f>IFERROR((AE14/AD14),0)</f>
        <v>1.3</v>
      </c>
      <c r="AG14" s="25">
        <f t="shared" si="1"/>
        <v>70</v>
      </c>
      <c r="AH14" s="27">
        <f>IFERROR(IF($AD$2="ENERO",G14,IF($AD$2="FEBRERO",G14+I14,IF($AD$2="MARZO",G14+I14+K14,IF($AD$2="ABRIL",G14+I14+K14+M14,IF($AD$2="MAYO",G14+I14+K14+M14+O14,IF($AD$2="JUNIO",G14+I14+K14+M14+O14+Q14,IF($AD$2="JULIO",G14+I14+K14+M14+O14+Q14+S14,IF($AD$2="AGOSTO",G14+I14+K14+M14+O14+Q14+S14+U14,IF($AD$2="SEPTIEMBRE",G14+I14+K14+M14+O14+Q14+S14+U14+W14,IF($AD$2="OCTUBRE",G14+I14+K14+M14+O14+Q14+S14+U14+W14+Y14,IF($AD$2="NOVIEMBRE",G14+I14+K14+M14+O14+Q14+S14+U14+W14+Y14+AA14,IF($AD$2="DICIEMBRE",G14+I14+K14+M14+O14+Q14+S14+U14+W14+Y14+AA14+AC14,"")))))))))))),0)</f>
        <v>91</v>
      </c>
      <c r="AI14" s="371">
        <f t="shared" si="2"/>
        <v>1.3</v>
      </c>
      <c r="AJ14" s="25">
        <f t="shared" si="9"/>
        <v>35</v>
      </c>
      <c r="AK14" s="27">
        <f t="shared" si="9"/>
        <v>43</v>
      </c>
      <c r="AL14" s="371">
        <f t="shared" si="4"/>
        <v>1.2285714285714286</v>
      </c>
      <c r="AM14" s="25">
        <f t="shared" si="5"/>
        <v>0</v>
      </c>
      <c r="AN14" s="27">
        <f t="shared" si="6"/>
        <v>0</v>
      </c>
      <c r="AO14" s="371">
        <f t="shared" si="7"/>
        <v>0</v>
      </c>
    </row>
    <row r="15" spans="1:41" s="4" customFormat="1" ht="15" customHeight="1" thickBot="1" x14ac:dyDescent="0.3">
      <c r="B15" s="7" t="s">
        <v>265</v>
      </c>
      <c r="C15" s="28"/>
      <c r="D15" s="29"/>
      <c r="E15" s="7"/>
      <c r="F15" s="314">
        <f t="shared" ref="F15:AC15" si="10">SUM(F10:F14)</f>
        <v>146</v>
      </c>
      <c r="G15" s="32">
        <f t="shared" si="10"/>
        <v>131</v>
      </c>
      <c r="H15" s="314">
        <f t="shared" si="10"/>
        <v>150</v>
      </c>
      <c r="I15" s="32">
        <f t="shared" si="10"/>
        <v>180</v>
      </c>
      <c r="J15" s="314">
        <f t="shared" si="10"/>
        <v>169</v>
      </c>
      <c r="K15" s="32">
        <f t="shared" si="10"/>
        <v>217</v>
      </c>
      <c r="L15" s="314">
        <f t="shared" si="10"/>
        <v>165</v>
      </c>
      <c r="M15" s="32">
        <f t="shared" si="10"/>
        <v>196</v>
      </c>
      <c r="N15" s="314">
        <f t="shared" si="10"/>
        <v>179</v>
      </c>
      <c r="O15" s="32">
        <f t="shared" si="10"/>
        <v>161</v>
      </c>
      <c r="P15" s="314">
        <f t="shared" si="10"/>
        <v>181</v>
      </c>
      <c r="Q15" s="32">
        <f t="shared" si="10"/>
        <v>221</v>
      </c>
      <c r="R15" s="314">
        <f t="shared" si="10"/>
        <v>0</v>
      </c>
      <c r="S15" s="32">
        <f t="shared" si="10"/>
        <v>0</v>
      </c>
      <c r="T15" s="314">
        <f t="shared" si="10"/>
        <v>0</v>
      </c>
      <c r="U15" s="32">
        <f t="shared" si="10"/>
        <v>0</v>
      </c>
      <c r="V15" s="314">
        <f t="shared" si="10"/>
        <v>0</v>
      </c>
      <c r="W15" s="32">
        <f t="shared" si="10"/>
        <v>0</v>
      </c>
      <c r="X15" s="314">
        <f t="shared" si="10"/>
        <v>0</v>
      </c>
      <c r="Y15" s="32">
        <f t="shared" si="10"/>
        <v>0</v>
      </c>
      <c r="Z15" s="314">
        <f t="shared" si="10"/>
        <v>0</v>
      </c>
      <c r="AA15" s="32">
        <f t="shared" si="10"/>
        <v>0</v>
      </c>
      <c r="AB15" s="314">
        <f t="shared" si="10"/>
        <v>0</v>
      </c>
      <c r="AC15" s="32">
        <f t="shared" si="10"/>
        <v>0</v>
      </c>
      <c r="AD15" s="277">
        <f t="shared" si="0"/>
        <v>990</v>
      </c>
      <c r="AE15" s="88">
        <f>IF($AD$2="ENERO",G15,IF($AD$2="FEBRERO",G15+I15,IF($AD$2="MARZO",G15+I15+K15,IF($AD$2="ABRIL",G15+I15+K15+M15,IF($AD$2="MAYO",G15+I15+K15+M15+O15,IF($AD$2="JUNIO",G15+I15+K15+M15+O15+Q15,IF($AD$2="JULIO",G15+I15+K15+M15+O15+Q15+S15,IF($AD$2="AGOSTO",G15+I15+K15+M15+O15+Q15+S15+U15,IF($AD$2="SEPTIEMBRE",G15+I15+K15+M15+O15+Q15+S15+U15+W15,IF($AD$2="OCTUBRE",G15+I15+K15+M15+O15+Q15+S15+U15+W15+Y15,IF($AD$2="NOVIEMBRE",G15+I15+K15+M15+O15+Q15+S15+U15+W15+Y15+AA15,IF($AD$2="DICIEMBRE",G15+I15+K15+M15+O15+Q15+S15+U15+W15+Y15+AA15+AC15,""))))))))))))</f>
        <v>1106</v>
      </c>
      <c r="AF15" s="390">
        <f>IFERROR((AE15/AD15),0)</f>
        <v>1.1171717171717173</v>
      </c>
      <c r="AG15" s="200">
        <f t="shared" si="1"/>
        <v>990</v>
      </c>
      <c r="AH15" s="391">
        <f>IF($AD$2="ENERO",G15,IF($AD$2="FEBRERO",G15+I15,IF($AD$2="MARZO",G15+I15+K15,IF($AD$2="ABRIL",G15+I15+K15+M15,IF($AD$2="MAYO",G15+I15+K15+M15+O15,IF($AD$2="JUNIO",G15+I15+K15+M15+O15+Q15,IF($AD$2="JULIO",G15+I15+K15+M15+O15+Q15+S15,IF($AD$2="AGOSTO",G15+I15+K15+M15+O15+Q15+S15+U15,IF($AD$2="SEPTIEMBRE",G15+I15+K15+M15+O15+Q15+S15+U15+W15,IF($AD$2="OCTUBRE",G15+I15+K15+M15+O15+Q15+S15+U15+W15+Y15,IF($AD$2="NOVIEMBRE",G15+I15+K15+M15+O15+Q15+S15+U15+W15+Y15+AA15,IF($AD$2="DICIEMBRE",G15+I15+K15+M15+O15+Q15+S15+U15+W15+Y15+AA15+AC15,""))))))))))))</f>
        <v>1106</v>
      </c>
      <c r="AI15" s="390">
        <f t="shared" si="2"/>
        <v>1.1171717171717173</v>
      </c>
      <c r="AJ15" s="30">
        <f>IFERROR(IF($AJ$3="Q1",F15+H15+J15,IF($AJ$3="Q2",L15+N15++P15,IF($AJ$3="Q3",R15+T15+V15,IF($AJ$3="Q4",X15+Z15+AB15,0)))),0)</f>
        <v>465</v>
      </c>
      <c r="AK15" s="33">
        <f>IFERROR(IF($AJ$3="Q1",G15+I15+K15,IF($AJ$3="Q2",M15+O15++Q15,IF($AJ$3="Q3",S15+U15+W15,IF($AJ$3="Q4",Y15+AA15+AC15,0)))),0)</f>
        <v>528</v>
      </c>
      <c r="AL15" s="276">
        <f t="shared" si="4"/>
        <v>1.1354838709677419</v>
      </c>
      <c r="AM15" s="200">
        <f t="shared" si="5"/>
        <v>0</v>
      </c>
      <c r="AN15" s="391">
        <f t="shared" si="6"/>
        <v>0</v>
      </c>
      <c r="AO15" s="390">
        <f t="shared" si="7"/>
        <v>0</v>
      </c>
    </row>
    <row r="16" spans="1:41" s="4" customFormat="1" ht="15" customHeight="1" x14ac:dyDescent="0.25">
      <c r="A16" s="4">
        <v>3</v>
      </c>
      <c r="B16" s="8">
        <v>100307</v>
      </c>
      <c r="C16" s="369" t="s">
        <v>39</v>
      </c>
      <c r="D16" s="8">
        <v>5570</v>
      </c>
      <c r="E16" s="309" t="s">
        <v>83</v>
      </c>
      <c r="F16" s="217">
        <v>7</v>
      </c>
      <c r="G16" s="124">
        <f>IFERROR(VLOOKUP(B16,[2]RETAIL!$B$8:$O$63,3,0),0)-IFERROR(IF(B16=100873,VLOOKUP("ENERO",[2]RETAIL!$B$78:$C$91,2,0),0),0)</f>
        <v>2</v>
      </c>
      <c r="H16" s="217">
        <v>7</v>
      </c>
      <c r="I16" s="124">
        <f>IFERROR(VLOOKUP(B16,[2]RETAIL!$B$8:$O$63,4,0),0)-IFERROR(IF(B16=100873,VLOOKUP("FEBRERO",[2]RETAIL!$B$78:$C$91,2,0),0),0)</f>
        <v>5</v>
      </c>
      <c r="J16" s="217">
        <v>7</v>
      </c>
      <c r="K16" s="124">
        <f>IFERROR(VLOOKUP(B16,[2]RETAIL!$B$8:$O$63,5,0),0)-IFERROR(IF(B16=100873,VLOOKUP("MARZO",[2]RETAIL!$B$78:$C$91,2,0),0),0)</f>
        <v>8</v>
      </c>
      <c r="L16" s="217">
        <v>8</v>
      </c>
      <c r="M16" s="124">
        <f>IFERROR(VLOOKUP(B16,[2]RETAIL!$B$8:$O$63,6,0),0)-IFERROR(IF(B16=100873,VLOOKUP("ABRIL",[2]RETAIL!$B$78:$C$91,2,0),0),0)</f>
        <v>6</v>
      </c>
      <c r="N16" s="217">
        <v>8</v>
      </c>
      <c r="O16" s="23">
        <f>IFERROR(VLOOKUP(B16,[2]RETAIL!$B$8:$O$63,7,0),0)-IFERROR(IF(B16=100873,VLOOKUP("MAYO",[2]RETAIL!$B$78:$C$91,2,0),0),0)</f>
        <v>4</v>
      </c>
      <c r="P16" s="217">
        <v>8</v>
      </c>
      <c r="Q16" s="87">
        <f>IFERROR(VLOOKUP(B16,[2]RETAIL!$B$8:$O$63,8,0),0)-IFERROR(IF(B16=100873,VLOOKUP("JUNIO",[2]RETAIL!$B$78:$C$91,2,0),0),0)</f>
        <v>20</v>
      </c>
      <c r="R16" s="219"/>
      <c r="S16" s="23">
        <f>IFERROR(VLOOKUP(B16,[2]RETAIL!$B$8:$O$63,9,0),0)-IFERROR(IF(B16=100873,VLOOKUP("JULIO",[2]RETAIL!$B$78:$C$91,2,0),0),0)</f>
        <v>0</v>
      </c>
      <c r="T16" s="217"/>
      <c r="U16" s="124">
        <f>IFERROR(VLOOKUP(B16,[2]RETAIL!$B$8:$O$63,10,0),0)-IFERROR(IF(B16=100873,VLOOKUP("AGOSTO",[2]RETAIL!$B$78:$C$91,2,0),0),0)</f>
        <v>0</v>
      </c>
      <c r="V16" s="217"/>
      <c r="W16" s="23">
        <f>IFERROR(VLOOKUP(B16,[2]RETAIL!$B$8:$O$63,11,0),0)-IFERROR(IF(B16=100873,VLOOKUP("SEPTIEMBRE",[2]RETAIL!$B$78:$C$91,2,0),0),0)</f>
        <v>0</v>
      </c>
      <c r="X16" s="217"/>
      <c r="Y16" s="257">
        <f>IFERROR(VLOOKUP(B16,[2]RETAIL!$B$8:$O$63,12,0),0)-IFERROR(IF(B16=100873,VLOOKUP("OCTUBRE",[2]RETAIL!$B$78:$C$91,2,0),0),0)</f>
        <v>0</v>
      </c>
      <c r="Z16" s="217"/>
      <c r="AA16" s="35">
        <f>IFERROR(VLOOKUP(B16,[2]RETAIL!$B$8:$O$63,13,0),0)-IFERROR(IF(B16=100873,VLOOKUP("NOVIEMBRE",[2]RETAIL!$B$78:$C$91,2,0),0),0)</f>
        <v>0</v>
      </c>
      <c r="AB16" s="220"/>
      <c r="AC16" s="35">
        <f>IFERROR(VLOOKUP(B16,[2]RETAIL!$B$8:$O$63,14,0),0)-IFERROR(IF(B16=100873,VLOOKUP("DICIEMBRE",[2]RETAIL!$B$78:$C$91,2,0),0),0)</f>
        <v>0</v>
      </c>
      <c r="AD16" s="34">
        <f t="shared" si="0"/>
        <v>45</v>
      </c>
      <c r="AE16" s="251">
        <f>IFERROR(IF($AD$2="ENERO",G16,IF($AD$2="FEBRERO",G16+I16,IF($AD$2="MARZO",G16+I16+K16,IF($AD$2="ABRIL",G16+I16+K16+M16,IF($AD$2="MAYO",G16+I16+K16+M16+O16,IF($AD$2="JUNIO",G16+I16+K16+M16+O16+Q16,IF($AD$2="JULIO",G16+I16+K16+M16+O16+Q16+S16,IF($AD$2="AGOSTO",G16+I16+K16+M16+O16+Q16+S16+U16,IF($AD$2="SEPTIEMBRE",G16+I16+K16+M16+O16+Q16+S16+U16+W16,IF($AD$2="OCTUBRE",G16+I16+K16+M16+O16+Q16+S16+U16+W16+Y16,IF($AD$2="NOVIEMBRE",G16+I16+K16+M16+O16+Q16+S16+U16+W16+Y16+AA16,IF($AD$2="DICIEMBRE",G16+I16+K16+M16+O16+Q16+S16+U16+W16+Y16+AA16+AC16,"")))))))))))),0)</f>
        <v>45</v>
      </c>
      <c r="AF16" s="370">
        <f>IFERROR((AH16/AD16),0)</f>
        <v>1</v>
      </c>
      <c r="AG16" s="34">
        <f t="shared" si="1"/>
        <v>45</v>
      </c>
      <c r="AH16" s="251">
        <f>IFERROR(IF($AD$2="ENERO",G16,IF($AD$2="FEBRERO",G16+I16,IF($AD$2="MARZO",G16+I16+K16,IF($AD$2="ABRIL",G16+I16+K16+M16,IF($AD$2="MAYO",G16+I16+K16+M16+O16,IF($AD$2="JUNIO",G16+I16+K16+M16+O16+Q16,IF($AD$2="JULIO",G16+I16+K16+M16+O16+Q16+S16,IF($AD$2="AGOSTO",G16+I16+K16+M16+O16+Q16+S16+U16,IF($AD$2="SEPTIEMBRE",G16+I16+K16+M16+O16+Q16+S16+U16+W16,IF($AD$2="OCTUBRE",G16+I16+K16+M16+O16+Q16+S16+U16+W16+Y16,IF($AD$2="NOVIEMBRE",G16+I16+K16+M16+O16+Q16+S16+U16+W16+Y16+AA16,IF($AD$2="DICIEMBRE",G16+I16+K16+M16+O16+Q16+S16+U16+W16+Y16+AA16+AC16,"")))))))))))),0)</f>
        <v>45</v>
      </c>
      <c r="AI16" s="370">
        <f t="shared" si="2"/>
        <v>1</v>
      </c>
      <c r="AJ16" s="34">
        <f t="shared" ref="AJ16:AK20" si="11">IFERROR(IF($AJ$3="Q1",F16+H16+J16,IF($AJ$3="Q2",L16+N16++P16,IF($AJ$3="Q3",R16+T16+V16,IF($AJ$3="Q4",X16+Z16+AB16,0)))),0)</f>
        <v>21</v>
      </c>
      <c r="AK16" s="251">
        <f t="shared" si="11"/>
        <v>15</v>
      </c>
      <c r="AL16" s="370">
        <f t="shared" si="4"/>
        <v>0.7142857142857143</v>
      </c>
      <c r="AM16" s="34">
        <f t="shared" si="5"/>
        <v>0</v>
      </c>
      <c r="AN16" s="251">
        <f t="shared" si="6"/>
        <v>0</v>
      </c>
      <c r="AO16" s="370">
        <f t="shared" si="7"/>
        <v>0</v>
      </c>
    </row>
    <row r="17" spans="1:67" s="4" customFormat="1" ht="15" customHeight="1" x14ac:dyDescent="0.25">
      <c r="A17" s="4">
        <v>3</v>
      </c>
      <c r="B17" s="8">
        <v>100380</v>
      </c>
      <c r="C17" s="369" t="s">
        <v>11</v>
      </c>
      <c r="D17" s="8">
        <v>20285</v>
      </c>
      <c r="E17" s="309" t="s">
        <v>78</v>
      </c>
      <c r="F17" s="217">
        <v>22</v>
      </c>
      <c r="G17" s="124">
        <f>IFERROR(VLOOKUP(B17,[2]RETAIL!$B$8:$O$63,3,0),0)-IFERROR(IF(B17=100873,VLOOKUP("ENERO",[2]RETAIL!$B$78:$C$91,2,0),0),0)</f>
        <v>11</v>
      </c>
      <c r="H17" s="217">
        <v>22</v>
      </c>
      <c r="I17" s="124">
        <f>IFERROR(VLOOKUP(B17,[2]RETAIL!$B$8:$O$63,4,0),0)-IFERROR(IF(B17=100873,VLOOKUP("FEBRERO",[2]RETAIL!$B$78:$C$91,2,0),0),0)</f>
        <v>22</v>
      </c>
      <c r="J17" s="217">
        <v>22</v>
      </c>
      <c r="K17" s="124">
        <f>IFERROR(VLOOKUP(B17,[2]RETAIL!$B$8:$O$63,5,0),0)-IFERROR(IF(B17=100873,VLOOKUP("MARZO",[2]RETAIL!$B$78:$C$91,2,0),0),0)</f>
        <v>26</v>
      </c>
      <c r="L17" s="217">
        <v>23</v>
      </c>
      <c r="M17" s="124">
        <f>IFERROR(VLOOKUP(B17,[2]RETAIL!$B$8:$O$63,6,0),0)-IFERROR(IF(B17=100873,VLOOKUP("ABRIL",[2]RETAIL!$B$78:$C$91,2,0),0),0)</f>
        <v>25</v>
      </c>
      <c r="N17" s="217">
        <v>23</v>
      </c>
      <c r="O17" s="23">
        <f>IFERROR(VLOOKUP(B17,[2]RETAIL!$B$8:$O$63,7,0),0)-IFERROR(IF(B17=100873,VLOOKUP("MAYO",[2]RETAIL!$B$78:$C$91,2,0),0),0)</f>
        <v>11</v>
      </c>
      <c r="P17" s="217">
        <v>23</v>
      </c>
      <c r="Q17" s="87">
        <f>IFERROR(VLOOKUP(B17,[2]RETAIL!$B$8:$O$63,8,0),0)-IFERROR(IF(B17=100873,VLOOKUP("JUNIO",[2]RETAIL!$B$78:$C$91,2,0),0),0)</f>
        <v>27</v>
      </c>
      <c r="R17" s="217"/>
      <c r="S17" s="23">
        <f>IFERROR(VLOOKUP(B17,[2]RETAIL!$B$8:$O$63,9,0),0)-IFERROR(IF(B17=100873,VLOOKUP("JULIO",[2]RETAIL!$B$78:$C$91,2,0),0),0)</f>
        <v>0</v>
      </c>
      <c r="T17" s="217"/>
      <c r="U17" s="124">
        <f>IFERROR(VLOOKUP(B17,[2]RETAIL!$B$8:$O$63,10,0),0)-IFERROR(IF(B17=100873,VLOOKUP("AGOSTO",[2]RETAIL!$B$78:$C$91,2,0),0),0)</f>
        <v>0</v>
      </c>
      <c r="V17" s="217"/>
      <c r="W17" s="23">
        <f>IFERROR(VLOOKUP(B17,[2]RETAIL!$B$8:$O$63,11,0),0)-IFERROR(IF(B17=100873,VLOOKUP("SEPTIEMBRE",[2]RETAIL!$B$78:$C$91,2,0),0),0)</f>
        <v>0</v>
      </c>
      <c r="X17" s="217"/>
      <c r="Y17" s="257">
        <f>IFERROR(VLOOKUP(B17,[2]RETAIL!$B$8:$O$63,12,0),0)-IFERROR(IF(B17=100873,VLOOKUP("OCTUBRE",[2]RETAIL!$B$78:$C$91,2,0),0),0)</f>
        <v>0</v>
      </c>
      <c r="Z17" s="217"/>
      <c r="AA17" s="35">
        <f>IFERROR(VLOOKUP(B17,[2]RETAIL!$B$8:$O$63,13,0),0)-IFERROR(IF(B17=100873,VLOOKUP("NOVIEMBRE",[2]RETAIL!$B$78:$C$91,2,0),0),0)</f>
        <v>0</v>
      </c>
      <c r="AB17" s="220"/>
      <c r="AC17" s="35">
        <f>IFERROR(VLOOKUP(B17,[2]RETAIL!$B$8:$O$63,14,0),0)-IFERROR(IF(B17=100873,VLOOKUP("DICIEMBRE",[2]RETAIL!$B$78:$C$91,2,0),0),0)</f>
        <v>0</v>
      </c>
      <c r="AD17" s="21">
        <f t="shared" si="0"/>
        <v>135</v>
      </c>
      <c r="AE17" s="251">
        <f>IFERROR(IF($AD$2="ENERO",G17,IF($AD$2="FEBRERO",G17+I17,IF($AD$2="MARZO",G17+I17+K17,IF($AD$2="ABRIL",G17+I17+K17+M17,IF($AD$2="MAYO",G17+I17+K17+M17+O17,IF($AD$2="JUNIO",G17+I17+K17+M17+O17+Q17,IF($AD$2="JULIO",G17+I17+K17+M17+O17+Q17+S17,IF($AD$2="AGOSTO",G17+I17+K17+M17+O17+Q17+S17+U17,IF($AD$2="SEPTIEMBRE",G17+I17+K17+M17+O17+Q17+S17+U17+W17,IF($AD$2="OCTUBRE",G17+I17+K17+M17+O17+Q17+S17+U17+W17+Y17,IF($AD$2="NOVIEMBRE",G17+I17+K17+M17+O17+Q17+S17+U17+W17+Y17+AA17,IF($AD$2="DICIEMBRE",G17+I17+K17+M17+O17+Q17+S17+U17+W17+Y17+AA17+AC17,"")))))))))))),0)</f>
        <v>122</v>
      </c>
      <c r="AF17" s="239">
        <f>IFERROR((AE17/AD17),0)</f>
        <v>0.90370370370370368</v>
      </c>
      <c r="AG17" s="21">
        <f t="shared" si="1"/>
        <v>135</v>
      </c>
      <c r="AH17" s="251">
        <f>IFERROR(IF($AD$2="ENERO",G17,IF($AD$2="FEBRERO",G17+I17,IF($AD$2="MARZO",G17+I17+K17,IF($AD$2="ABRIL",G17+I17+K17+M17,IF($AD$2="MAYO",G17+I17+K17+M17+O17,IF($AD$2="JUNIO",G17+I17+K17+M17+O17+Q17,IF($AD$2="JULIO",G17+I17+K17+M17+O17+Q17+S17,IF($AD$2="AGOSTO",G17+I17+K17+M17+O17+Q17+S17+U17,IF($AD$2="SEPTIEMBRE",G17+I17+K17+M17+O17+Q17+S17+U17+W17,IF($AD$2="OCTUBRE",G17+I17+K17+M17+O17+Q17+S17+U17+W17+Y17,IF($AD$2="NOVIEMBRE",G17+I17+K17+M17+O17+Q17+S17+U17+W17+Y17+AA17,IF($AD$2="DICIEMBRE",G17+I17+K17+M17+O17+Q17+S17+U17+W17+Y17+AA17+AC17,"")))))))))))),0)</f>
        <v>122</v>
      </c>
      <c r="AI17" s="239">
        <f t="shared" si="2"/>
        <v>0.90370370370370368</v>
      </c>
      <c r="AJ17" s="21">
        <f t="shared" si="11"/>
        <v>66</v>
      </c>
      <c r="AK17" s="24">
        <f t="shared" si="11"/>
        <v>59</v>
      </c>
      <c r="AL17" s="239">
        <f t="shared" si="4"/>
        <v>0.89393939393939392</v>
      </c>
      <c r="AM17" s="21">
        <f t="shared" si="5"/>
        <v>0</v>
      </c>
      <c r="AN17" s="24">
        <f t="shared" si="6"/>
        <v>0</v>
      </c>
      <c r="AO17" s="239">
        <f t="shared" si="7"/>
        <v>0</v>
      </c>
    </row>
    <row r="18" spans="1:67" s="4" customFormat="1" ht="15" customHeight="1" x14ac:dyDescent="0.25">
      <c r="A18" s="4">
        <v>3</v>
      </c>
      <c r="B18" s="8">
        <v>100418</v>
      </c>
      <c r="C18" s="369" t="s">
        <v>13</v>
      </c>
      <c r="D18" s="8">
        <v>5570</v>
      </c>
      <c r="E18" s="309" t="s">
        <v>83</v>
      </c>
      <c r="F18" s="217">
        <v>11</v>
      </c>
      <c r="G18" s="124">
        <f>IFERROR(VLOOKUP(B18,[2]RETAIL!$B$8:$O$63,3,0),0)-IFERROR(IF(B18=100873,VLOOKUP("ENERO",[2]RETAIL!$B$78:$C$91,2,0),0),0)</f>
        <v>1</v>
      </c>
      <c r="H18" s="217">
        <v>11</v>
      </c>
      <c r="I18" s="124">
        <f>IFERROR(VLOOKUP(B18,[2]RETAIL!$B$8:$O$63,4,0),0)-IFERROR(IF(B18=100873,VLOOKUP("FEBRERO",[2]RETAIL!$B$78:$C$91,2,0),0),0)</f>
        <v>14</v>
      </c>
      <c r="J18" s="217">
        <v>11</v>
      </c>
      <c r="K18" s="124">
        <f>IFERROR(VLOOKUP(B18,[2]RETAIL!$B$8:$O$63,5,0),0)-IFERROR(IF(B18=100873,VLOOKUP("MARZO",[2]RETAIL!$B$78:$C$91,2,0),0),0)</f>
        <v>10</v>
      </c>
      <c r="L18" s="217">
        <v>11</v>
      </c>
      <c r="M18" s="124">
        <f>IFERROR(VLOOKUP(B18,[2]RETAIL!$B$8:$O$63,6,0),0)-IFERROR(IF(B18=100873,VLOOKUP("ABRIL",[2]RETAIL!$B$78:$C$91,2,0),0),0)</f>
        <v>9</v>
      </c>
      <c r="N18" s="217">
        <v>12</v>
      </c>
      <c r="O18" s="23">
        <f>IFERROR(VLOOKUP(B18,[2]RETAIL!$B$8:$O$63,7,0),0)-IFERROR(IF(B18=100873,VLOOKUP("MAYO",[2]RETAIL!$B$78:$C$91,2,0),0),0)</f>
        <v>6</v>
      </c>
      <c r="P18" s="217">
        <v>12</v>
      </c>
      <c r="Q18" s="87">
        <f>IFERROR(VLOOKUP(B18,[2]RETAIL!$B$8:$O$63,8,0),0)-IFERROR(IF(B18=100873,VLOOKUP("JUNIO",[2]RETAIL!$B$78:$C$91,2,0),0),0)</f>
        <v>14</v>
      </c>
      <c r="R18" s="218"/>
      <c r="S18" s="23">
        <f>IFERROR(VLOOKUP(B18,[2]RETAIL!$B$8:$O$63,9,0),0)-IFERROR(IF(B18=100873,VLOOKUP("JULIO",[2]RETAIL!$B$78:$C$91,2,0),0),0)</f>
        <v>0</v>
      </c>
      <c r="T18" s="217"/>
      <c r="U18" s="124">
        <f>IFERROR(VLOOKUP(B18,[2]RETAIL!$B$8:$O$63,10,0),0)-IFERROR(IF(B18=100873,VLOOKUP("AGOSTO",[2]RETAIL!$B$78:$C$91,2,0),0),0)</f>
        <v>0</v>
      </c>
      <c r="V18" s="217"/>
      <c r="W18" s="23">
        <f>IFERROR(VLOOKUP(B18,[2]RETAIL!$B$8:$O$63,11,0),0)-IFERROR(IF(B18=100873,VLOOKUP("SEPTIEMBRE",[2]RETAIL!$B$78:$C$91,2,0),0),0)</f>
        <v>0</v>
      </c>
      <c r="X18" s="217"/>
      <c r="Y18" s="257">
        <f>IFERROR(VLOOKUP(B18,[2]RETAIL!$B$8:$O$63,12,0),0)-IFERROR(IF(B18=100873,VLOOKUP("OCTUBRE",[2]RETAIL!$B$78:$C$91,2,0),0),0)</f>
        <v>0</v>
      </c>
      <c r="Z18" s="217"/>
      <c r="AA18" s="35">
        <f>IFERROR(VLOOKUP(B18,[2]RETAIL!$B$8:$O$63,13,0),0)-IFERROR(IF(B18=100873,VLOOKUP("NOVIEMBRE",[2]RETAIL!$B$78:$C$91,2,0),0),0)</f>
        <v>0</v>
      </c>
      <c r="AB18" s="220"/>
      <c r="AC18" s="35">
        <f>IFERROR(VLOOKUP(B18,[2]RETAIL!$B$8:$O$63,14,0),0)-IFERROR(IF(B18=100873,VLOOKUP("DICIEMBRE",[2]RETAIL!$B$78:$C$91,2,0),0),0)</f>
        <v>0</v>
      </c>
      <c r="AD18" s="25">
        <f t="shared" si="0"/>
        <v>68</v>
      </c>
      <c r="AE18" s="251">
        <f>IFERROR(IF($AD$2="ENERO",G18,IF($AD$2="FEBRERO",G18+I18,IF($AD$2="MARZO",G18+I18+K18,IF($AD$2="ABRIL",G18+I18+K18+M18,IF($AD$2="MAYO",G18+I18+K18+M18+O18,IF($AD$2="JUNIO",G18+I18+K18+M18+O18+Q18,IF($AD$2="JULIO",G18+I18+K18+M18+O18+Q18+S18,IF($AD$2="AGOSTO",G18+I18+K18+M18+O18+Q18+S18+U18,IF($AD$2="SEPTIEMBRE",G18+I18+K18+M18+O18+Q18+S18+U18+W18,IF($AD$2="OCTUBRE",G18+I18+K18+M18+O18+Q18+S18+U18+W18+Y18,IF($AD$2="NOVIEMBRE",G18+I18+K18+M18+O18+Q18+S18+U18+W18+Y18+AA18,IF($AD$2="DICIEMBRE",G18+I18+K18+M18+O18+Q18+S18+U18+W18+Y18+AA18+AC18,"")))))))))))),0)</f>
        <v>54</v>
      </c>
      <c r="AF18" s="371">
        <f>IFERROR((AH18/AD18),0)</f>
        <v>0.79411764705882348</v>
      </c>
      <c r="AG18" s="25">
        <f t="shared" si="1"/>
        <v>68</v>
      </c>
      <c r="AH18" s="251">
        <f>IFERROR(IF($AD$2="ENERO",G18,IF($AD$2="FEBRERO",G18+I18,IF($AD$2="MARZO",G18+I18+K18,IF($AD$2="ABRIL",G18+I18+K18+M18,IF($AD$2="MAYO",G18+I18+K18+M18+O18,IF($AD$2="JUNIO",G18+I18+K18+M18+O18+Q18,IF($AD$2="JULIO",G18+I18+K18+M18+O18+Q18+S18,IF($AD$2="AGOSTO",G18+I18+K18+M18+O18+Q18+S18+U18,IF($AD$2="SEPTIEMBRE",G18+I18+K18+M18+O18+Q18+S18+U18+W18,IF($AD$2="OCTUBRE",G18+I18+K18+M18+O18+Q18+S18+U18+W18+Y18,IF($AD$2="NOVIEMBRE",G18+I18+K18+M18+O18+Q18+S18+U18+W18+Y18+AA18,IF($AD$2="DICIEMBRE",G18+I18+K18+M18+O18+Q18+S18+U18+W18+Y18+AA18+AC18,"")))))))))))),0)</f>
        <v>54</v>
      </c>
      <c r="AI18" s="371">
        <f t="shared" si="2"/>
        <v>0.79411764705882348</v>
      </c>
      <c r="AJ18" s="25">
        <f t="shared" si="11"/>
        <v>33</v>
      </c>
      <c r="AK18" s="27">
        <f t="shared" si="11"/>
        <v>25</v>
      </c>
      <c r="AL18" s="371">
        <f t="shared" si="4"/>
        <v>0.75757575757575757</v>
      </c>
      <c r="AM18" s="25">
        <f t="shared" si="5"/>
        <v>0</v>
      </c>
      <c r="AN18" s="27">
        <f t="shared" si="6"/>
        <v>0</v>
      </c>
      <c r="AO18" s="371">
        <f t="shared" si="7"/>
        <v>0</v>
      </c>
    </row>
    <row r="19" spans="1:67" s="4" customFormat="1" ht="15" customHeight="1" x14ac:dyDescent="0.25">
      <c r="A19" s="4">
        <v>3</v>
      </c>
      <c r="B19" s="8">
        <v>100730</v>
      </c>
      <c r="C19" s="369" t="s">
        <v>41</v>
      </c>
      <c r="D19" s="8">
        <v>20285</v>
      </c>
      <c r="E19" s="309" t="s">
        <v>78</v>
      </c>
      <c r="F19" s="217">
        <v>18</v>
      </c>
      <c r="G19" s="124">
        <f>IFERROR(VLOOKUP(B19,[2]RETAIL!$B$8:$O$63,3,0),0)-IFERROR(IF(B19=100873,VLOOKUP("ENERO",[2]RETAIL!$B$78:$C$91,2,0),0),0)</f>
        <v>11</v>
      </c>
      <c r="H19" s="217">
        <v>18</v>
      </c>
      <c r="I19" s="124">
        <f>IFERROR(VLOOKUP(B19,[2]RETAIL!$B$8:$O$63,4,0),0)-IFERROR(IF(B19=100873,VLOOKUP("FEBRERO",[2]RETAIL!$B$78:$C$91,2,0),0),0)</f>
        <v>19</v>
      </c>
      <c r="J19" s="217">
        <v>18</v>
      </c>
      <c r="K19" s="124">
        <f>IFERROR(VLOOKUP(B19,[2]RETAIL!$B$8:$O$63,5,0),0)-IFERROR(IF(B19=100873,VLOOKUP("MARZO",[2]RETAIL!$B$78:$C$91,2,0),0),0)</f>
        <v>18</v>
      </c>
      <c r="L19" s="217">
        <v>18</v>
      </c>
      <c r="M19" s="124">
        <f>IFERROR(VLOOKUP(B19,[2]RETAIL!$B$8:$O$63,6,0),0)-IFERROR(IF(B19=100873,VLOOKUP("ABRIL",[2]RETAIL!$B$78:$C$91,2,0),0),0)</f>
        <v>9</v>
      </c>
      <c r="N19" s="217">
        <v>18</v>
      </c>
      <c r="O19" s="23">
        <f>IFERROR(VLOOKUP(B19,[2]RETAIL!$B$8:$O$63,7,0),0)-IFERROR(IF(B19=100873,VLOOKUP("MAYO",[2]RETAIL!$B$78:$C$91,2,0),0),0)</f>
        <v>16</v>
      </c>
      <c r="P19" s="217">
        <v>19</v>
      </c>
      <c r="Q19" s="87">
        <f>IFERROR(VLOOKUP(B19,[2]RETAIL!$B$8:$O$63,8,0),0)-IFERROR(IF(B19=100873,VLOOKUP("JUNIO",[2]RETAIL!$B$78:$C$91,2,0),0),0)</f>
        <v>25</v>
      </c>
      <c r="R19" s="218"/>
      <c r="S19" s="23">
        <f>IFERROR(VLOOKUP(B19,[2]RETAIL!$B$8:$O$63,9,0),0)-IFERROR(IF(B19=100873,VLOOKUP("JULIO",[2]RETAIL!$B$78:$C$91,2,0),0),0)</f>
        <v>0</v>
      </c>
      <c r="T19" s="217"/>
      <c r="U19" s="124">
        <f>IFERROR(VLOOKUP(B19,[2]RETAIL!$B$8:$O$63,10,0),0)-IFERROR(IF(B19=100873,VLOOKUP("AGOSTO",[2]RETAIL!$B$78:$C$91,2,0),0),0)</f>
        <v>0</v>
      </c>
      <c r="V19" s="217"/>
      <c r="W19" s="23">
        <f>IFERROR(VLOOKUP(B19,[2]RETAIL!$B$8:$O$63,11,0),0)-IFERROR(IF(B19=100873,VLOOKUP("SEPTIEMBRE",[2]RETAIL!$B$78:$C$91,2,0),0),0)</f>
        <v>0</v>
      </c>
      <c r="X19" s="217"/>
      <c r="Y19" s="257">
        <f>IFERROR(VLOOKUP(B19,[2]RETAIL!$B$8:$O$63,12,0),0)-IFERROR(IF(B19=100873,VLOOKUP("OCTUBRE",[2]RETAIL!$B$78:$C$91,2,0),0),0)</f>
        <v>0</v>
      </c>
      <c r="Z19" s="217"/>
      <c r="AA19" s="35">
        <f>IFERROR(VLOOKUP(B19,[2]RETAIL!$B$8:$O$63,13,0),0)-IFERROR(IF(B19=100873,VLOOKUP("NOVIEMBRE",[2]RETAIL!$B$78:$C$91,2,0),0),0)</f>
        <v>0</v>
      </c>
      <c r="AB19" s="220"/>
      <c r="AC19" s="35">
        <f>IFERROR(VLOOKUP(B19,[2]RETAIL!$B$8:$O$63,14,0),0)-IFERROR(IF(B19=100873,VLOOKUP("DICIEMBRE",[2]RETAIL!$B$78:$C$91,2,0),0),0)</f>
        <v>0</v>
      </c>
      <c r="AD19" s="25">
        <f t="shared" si="0"/>
        <v>109</v>
      </c>
      <c r="AE19" s="251">
        <f>IFERROR(IF($AD$2="ENERO",G19,IF($AD$2="FEBRERO",G19+I19,IF($AD$2="MARZO",G19+I19+K19,IF($AD$2="ABRIL",G19+I19+K19+M19,IF($AD$2="MAYO",G19+I19+K19+M19+O19,IF($AD$2="JUNIO",G19+I19+K19+M19+O19+Q19,IF($AD$2="JULIO",G19+I19+K19+M19+O19+Q19+S19,IF($AD$2="AGOSTO",G19+I19+K19+M19+O19+Q19+S19+U19,IF($AD$2="SEPTIEMBRE",G19+I19+K19+M19+O19+Q19+S19+U19+W19,IF($AD$2="OCTUBRE",G19+I19+K19+M19+O19+Q19+S19+U19+W19+Y19,IF($AD$2="NOVIEMBRE",G19+I19+K19+M19+O19+Q19+S19+U19+W19+Y19+AA19,IF($AD$2="DICIEMBRE",G19+I19+K19+M19+O19+Q19+S19+U19+W19+Y19+AA19+AC19,"")))))))))))),0)</f>
        <v>98</v>
      </c>
      <c r="AF19" s="371">
        <f>IFERROR((AE19/AD19),0)</f>
        <v>0.8990825688073395</v>
      </c>
      <c r="AG19" s="25">
        <f t="shared" si="1"/>
        <v>109</v>
      </c>
      <c r="AH19" s="251">
        <f>IFERROR(IF($AD$2="ENERO",G19,IF($AD$2="FEBRERO",G19+I19,IF($AD$2="MARZO",G19+I19+K19,IF($AD$2="ABRIL",G19+I19+K19+M19,IF($AD$2="MAYO",G19+I19+K19+M19+O19,IF($AD$2="JUNIO",G19+I19+K19+M19+O19+Q19,IF($AD$2="JULIO",G19+I19+K19+M19+O19+Q19+S19,IF($AD$2="AGOSTO",G19+I19+K19+M19+O19+Q19+S19+U19,IF($AD$2="SEPTIEMBRE",G19+I19+K19+M19+O19+Q19+S19+U19+W19,IF($AD$2="OCTUBRE",G19+I19+K19+M19+O19+Q19+S19+U19+W19+Y19,IF($AD$2="NOVIEMBRE",G19+I19+K19+M19+O19+Q19+S19+U19+W19+Y19+AA19,IF($AD$2="DICIEMBRE",G19+I19+K19+M19+O19+Q19+S19+U19+W19+Y19+AA19+AC19,"")))))))))))),0)</f>
        <v>98</v>
      </c>
      <c r="AI19" s="371">
        <f t="shared" si="2"/>
        <v>0.8990825688073395</v>
      </c>
      <c r="AJ19" s="25">
        <f t="shared" si="11"/>
        <v>54</v>
      </c>
      <c r="AK19" s="27">
        <f t="shared" si="11"/>
        <v>48</v>
      </c>
      <c r="AL19" s="371">
        <f t="shared" si="4"/>
        <v>0.88888888888888884</v>
      </c>
      <c r="AM19" s="25">
        <f t="shared" si="5"/>
        <v>0</v>
      </c>
      <c r="AN19" s="27">
        <f t="shared" si="6"/>
        <v>0</v>
      </c>
      <c r="AO19" s="371">
        <f t="shared" si="7"/>
        <v>0</v>
      </c>
    </row>
    <row r="20" spans="1:67" s="4" customFormat="1" ht="15" customHeight="1" thickBot="1" x14ac:dyDescent="0.3">
      <c r="A20" s="4">
        <v>3</v>
      </c>
      <c r="B20" s="8">
        <v>100764</v>
      </c>
      <c r="C20" s="369" t="s">
        <v>26</v>
      </c>
      <c r="D20" s="8">
        <v>41672</v>
      </c>
      <c r="E20" s="309" t="s">
        <v>277</v>
      </c>
      <c r="F20" s="218">
        <v>19</v>
      </c>
      <c r="G20" s="124">
        <f>IFERROR(VLOOKUP(B20,[2]RETAIL!$B$8:$O$63,3,0),0)-IFERROR(IF(B20=100873,VLOOKUP("ENERO",[2]RETAIL!$B$78:$C$91,2,0),0),0)</f>
        <v>17</v>
      </c>
      <c r="H20" s="218">
        <v>19</v>
      </c>
      <c r="I20" s="124">
        <f>IFERROR(VLOOKUP(B20,[2]RETAIL!$B$8:$O$63,4,0),0)-IFERROR(IF(B20=100873,VLOOKUP("FEBRERO",[2]RETAIL!$B$78:$C$91,2,0),0),0)</f>
        <v>21</v>
      </c>
      <c r="J20" s="218">
        <v>19</v>
      </c>
      <c r="K20" s="124">
        <f>IFERROR(VLOOKUP(B20,[2]RETAIL!$B$8:$O$63,5,0),0)-IFERROR(IF(B20=100873,VLOOKUP("MARZO",[2]RETAIL!$B$78:$C$91,2,0),0),0)</f>
        <v>14</v>
      </c>
      <c r="L20" s="218">
        <v>20</v>
      </c>
      <c r="M20" s="124">
        <f>IFERROR(VLOOKUP(B20,[2]RETAIL!$B$8:$O$63,6,0),0)-IFERROR(IF(B20=100873,VLOOKUP("ABRIL",[2]RETAIL!$B$78:$C$91,2,0),0),0)</f>
        <v>13</v>
      </c>
      <c r="N20" s="218">
        <v>20</v>
      </c>
      <c r="O20" s="23">
        <f>IFERROR(VLOOKUP(B20,[2]RETAIL!$B$8:$O$63,7,0),0)-IFERROR(IF(B20=100873,VLOOKUP("MAYO",[2]RETAIL!$B$78:$C$91,2,0),0),0)</f>
        <v>19</v>
      </c>
      <c r="P20" s="218">
        <v>20</v>
      </c>
      <c r="Q20" s="87">
        <f>IFERROR(VLOOKUP(B20,[2]RETAIL!$B$8:$O$63,8,0),0)-IFERROR(IF(B20=100873,VLOOKUP("JUNIO",[2]RETAIL!$B$78:$C$91,2,0),0),0)</f>
        <v>37</v>
      </c>
      <c r="R20" s="218"/>
      <c r="S20" s="23">
        <f>IFERROR(VLOOKUP(B20,[2]RETAIL!$B$8:$O$63,9,0),0)-IFERROR(IF(B20=100873,VLOOKUP("JULIO",[2]RETAIL!$B$78:$C$91,2,0),0),0)</f>
        <v>0</v>
      </c>
      <c r="T20" s="217"/>
      <c r="U20" s="124">
        <f>IFERROR(VLOOKUP(B20,[2]RETAIL!$B$8:$O$63,10,0),0)-IFERROR(IF(B20=100873,VLOOKUP("AGOSTO",[2]RETAIL!$B$78:$C$91,2,0),0),0)</f>
        <v>0</v>
      </c>
      <c r="V20" s="217"/>
      <c r="W20" s="23">
        <f>IFERROR(VLOOKUP(B20,[2]RETAIL!$B$8:$O$63,11,0),0)-IFERROR(IF(B20=100873,VLOOKUP("SEPTIEMBRE",[2]RETAIL!$B$78:$C$91,2,0),0),0)</f>
        <v>0</v>
      </c>
      <c r="X20" s="217"/>
      <c r="Y20" s="257">
        <f>IFERROR(VLOOKUP(B20,[2]RETAIL!$B$8:$O$63,12,0),0)-IFERROR(IF(B20=100873,VLOOKUP("OCTUBRE",[2]RETAIL!$B$78:$C$91,2,0),0),0)</f>
        <v>0</v>
      </c>
      <c r="Z20" s="217"/>
      <c r="AA20" s="35">
        <f>IFERROR(VLOOKUP(B20,[2]RETAIL!$B$8:$O$63,13,0),0)-IFERROR(IF(B20=100873,VLOOKUP("NOVIEMBRE",[2]RETAIL!$B$78:$C$91,2,0),0),0)</f>
        <v>0</v>
      </c>
      <c r="AB20" s="220"/>
      <c r="AC20" s="35">
        <f>IFERROR(VLOOKUP(B20,[2]RETAIL!$B$8:$O$63,14,0),0)-IFERROR(IF(B20=100873,VLOOKUP("DICIEMBRE",[2]RETAIL!$B$78:$C$91,2,0),0),0)</f>
        <v>0</v>
      </c>
      <c r="AD20" s="25">
        <f t="shared" si="0"/>
        <v>117</v>
      </c>
      <c r="AE20" s="27">
        <f>IFERROR(IF($AD$2="ENERO",G20,IF($AD$2="FEBRERO",G20+I20,IF($AD$2="MARZO",G20+I20+K20,IF($AD$2="ABRIL",G20+I20+K20+M20,IF($AD$2="MAYO",G20+I20+K20+M20+O20,IF($AD$2="JUNIO",G20+I20+K20+M20+O20+Q20,IF($AD$2="JULIO",G20+I20+K20+M20+O20+Q20+S20,IF($AD$2="AGOSTO",G20+I20+K20+M20+O20+Q20+S20+U20,IF($AD$2="SEPTIEMBRE",G20+I20+K20+M20+O20+Q20+S20+U20+W20,IF($AD$2="OCTUBRE",G20+I20+K20+M20+O20+Q20+S20+U20+W20+Y20,IF($AD$2="NOVIEMBRE",G20+I20+K20+M20+O20+Q20+S20+U20+W20+Y20+AA20,IF($AD$2="DICIEMBRE",G20+I20+K20+M20+O20+Q20+S20+U20+W20+Y20+AA20+AC20,"")))))))))))),0)</f>
        <v>121</v>
      </c>
      <c r="AF20" s="371">
        <f>IFERROR((AE20/AD20),0)</f>
        <v>1.0341880341880343</v>
      </c>
      <c r="AG20" s="25">
        <f t="shared" si="1"/>
        <v>117</v>
      </c>
      <c r="AH20" s="27">
        <f>IFERROR(IF($AD$2="ENERO",G20,IF($AD$2="FEBRERO",G20+I20,IF($AD$2="MARZO",G20+I20+K20,IF($AD$2="ABRIL",G20+I20+K20+M20,IF($AD$2="MAYO",G20+I20+K20+M20+O20,IF($AD$2="JUNIO",G20+I20+K20+M20+O20+Q20,IF($AD$2="JULIO",G20+I20+K20+M20+O20+Q20+S20,IF($AD$2="AGOSTO",G20+I20+K20+M20+O20+Q20+S20+U20,IF($AD$2="SEPTIEMBRE",G20+I20+K20+M20+O20+Q20+S20+U20+W20,IF($AD$2="OCTUBRE",G20+I20+K20+M20+O20+Q20+S20+U20+W20+Y20,IF($AD$2="NOVIEMBRE",G20+I20+K20+M20+O20+Q20+S20+U20+W20+Y20+AA20,IF($AD$2="DICIEMBRE",G20+I20+K20+M20+O20+Q20+S20+U20+W20+Y20+AA20+AC20,"")))))))))))),0)</f>
        <v>121</v>
      </c>
      <c r="AI20" s="371">
        <f t="shared" si="2"/>
        <v>1.0341880341880343</v>
      </c>
      <c r="AJ20" s="25">
        <f t="shared" si="11"/>
        <v>57</v>
      </c>
      <c r="AK20" s="27">
        <f t="shared" si="11"/>
        <v>52</v>
      </c>
      <c r="AL20" s="371">
        <f t="shared" si="4"/>
        <v>0.91228070175438591</v>
      </c>
      <c r="AM20" s="25">
        <f t="shared" si="5"/>
        <v>0</v>
      </c>
      <c r="AN20" s="27">
        <f t="shared" si="6"/>
        <v>0</v>
      </c>
      <c r="AO20" s="371">
        <f t="shared" si="7"/>
        <v>0</v>
      </c>
    </row>
    <row r="21" spans="1:67" s="4" customFormat="1" ht="15" customHeight="1" thickBot="1" x14ac:dyDescent="0.3">
      <c r="B21" s="7" t="s">
        <v>273</v>
      </c>
      <c r="C21" s="28"/>
      <c r="D21" s="29"/>
      <c r="E21" s="7"/>
      <c r="F21" s="314">
        <f t="shared" ref="F21:AC21" si="12">SUM(F16:F20)</f>
        <v>77</v>
      </c>
      <c r="G21" s="32">
        <f t="shared" si="12"/>
        <v>42</v>
      </c>
      <c r="H21" s="314">
        <f t="shared" si="12"/>
        <v>77</v>
      </c>
      <c r="I21" s="32">
        <f t="shared" si="12"/>
        <v>81</v>
      </c>
      <c r="J21" s="314">
        <f t="shared" si="12"/>
        <v>77</v>
      </c>
      <c r="K21" s="32">
        <f t="shared" si="12"/>
        <v>76</v>
      </c>
      <c r="L21" s="314">
        <f t="shared" si="12"/>
        <v>80</v>
      </c>
      <c r="M21" s="32">
        <f t="shared" si="12"/>
        <v>62</v>
      </c>
      <c r="N21" s="314">
        <f t="shared" si="12"/>
        <v>81</v>
      </c>
      <c r="O21" s="32">
        <f t="shared" si="12"/>
        <v>56</v>
      </c>
      <c r="P21" s="314">
        <f t="shared" si="12"/>
        <v>82</v>
      </c>
      <c r="Q21" s="32">
        <f t="shared" si="12"/>
        <v>123</v>
      </c>
      <c r="R21" s="314">
        <f t="shared" si="12"/>
        <v>0</v>
      </c>
      <c r="S21" s="32">
        <f t="shared" si="12"/>
        <v>0</v>
      </c>
      <c r="T21" s="314">
        <f t="shared" si="12"/>
        <v>0</v>
      </c>
      <c r="U21" s="32">
        <f t="shared" si="12"/>
        <v>0</v>
      </c>
      <c r="V21" s="314">
        <f t="shared" si="12"/>
        <v>0</v>
      </c>
      <c r="W21" s="32">
        <f t="shared" si="12"/>
        <v>0</v>
      </c>
      <c r="X21" s="314">
        <f t="shared" si="12"/>
        <v>0</v>
      </c>
      <c r="Y21" s="32">
        <f t="shared" si="12"/>
        <v>0</v>
      </c>
      <c r="Z21" s="314">
        <f t="shared" si="12"/>
        <v>0</v>
      </c>
      <c r="AA21" s="32">
        <f t="shared" si="12"/>
        <v>0</v>
      </c>
      <c r="AB21" s="314">
        <f t="shared" si="12"/>
        <v>0</v>
      </c>
      <c r="AC21" s="32">
        <f t="shared" si="12"/>
        <v>0</v>
      </c>
      <c r="AD21" s="277">
        <f t="shared" si="0"/>
        <v>474</v>
      </c>
      <c r="AE21" s="88">
        <f>IF($AD$2="ENERO",G21,IF($AD$2="FEBRERO",G21+I21,IF($AD$2="MARZO",G21+I21+K21,IF($AD$2="ABRIL",G21+I21+K21+M21,IF($AD$2="MAYO",G21+I21+K21+M21+O21,IF($AD$2="JUNIO",G21+I21+K21+M21+O21+Q21,IF($AD$2="JULIO",G21+I21+K21+M21+O21+Q21+S21,IF($AD$2="AGOSTO",G21+I21+K21+M21+O21+Q21+S21+U21,IF($AD$2="SEPTIEMBRE",G21+I21+K21+M21+O21+Q21+S21+U21+W21,IF($AD$2="OCTUBRE",G21+I21+K21+M21+O21+Q21+S21+U21+W21+Y21,IF($AD$2="NOVIEMBRE",G21+I21+K21+M21+O21+Q21+S21+U21+W21+Y21+AA21,IF($AD$2="DICIEMBRE",G21+I21+K21+M21+O21+Q21+S21+U21+W21+Y21+AA21+AC21,""))))))))))))</f>
        <v>440</v>
      </c>
      <c r="AF21" s="390">
        <f>IFERROR((AE21/AD21),0)</f>
        <v>0.92827004219409281</v>
      </c>
      <c r="AG21" s="200">
        <f t="shared" si="1"/>
        <v>474</v>
      </c>
      <c r="AH21" s="391">
        <f>IF($AD$2="ENERO",G21,IF($AD$2="FEBRERO",G21+I21,IF($AD$2="MARZO",G21+I21+K21,IF($AD$2="ABRIL",G21+I21+K21+M21,IF($AD$2="MAYO",G21+I21+K21+M21+O21,IF($AD$2="JUNIO",G21+I21+K21+M21+O21+Q21,IF($AD$2="JULIO",G21+I21+K21+M21+O21+Q21+S21,IF($AD$2="AGOSTO",G21+I21+K21+M21+O21+Q21+S21+U21,IF($AD$2="SEPTIEMBRE",G21+I21+K21+M21+O21+Q21+S21+U21+W21,IF($AD$2="OCTUBRE",G21+I21+K21+M21+O21+Q21+S21+U21+W21+Y21,IF($AD$2="NOVIEMBRE",G21+I21+K21+M21+O21+Q21+S21+U21+W21+Y21+AA21,IF($AD$2="DICIEMBRE",G21+I21+K21+M21+O21+Q21+S21+U21+W21+Y21+AA21+AC21,""))))))))))))</f>
        <v>440</v>
      </c>
      <c r="AI21" s="390">
        <f t="shared" si="2"/>
        <v>0.92827004219409281</v>
      </c>
      <c r="AJ21" s="30">
        <f>IFERROR(IF($AJ$3="Q1",F21+H21+J21,IF($AJ$3="Q2",L21+N21++P21,IF($AJ$3="Q3",R21+T21+V21,IF($AJ$3="Q4",X21+Z21+AB21,0)))),0)</f>
        <v>231</v>
      </c>
      <c r="AK21" s="33">
        <f>IFERROR(IF($AJ$3="Q1",G21+I21+K21,IF($AJ$3="Q2",M21+O21++Q21,IF($AJ$3="Q3",S21+U21+W21,IF($AJ$3="Q4",Y21+AA21+AC21,0)))),0)</f>
        <v>199</v>
      </c>
      <c r="AL21" s="276">
        <f t="shared" si="4"/>
        <v>0.8614718614718615</v>
      </c>
      <c r="AM21" s="200">
        <f t="shared" si="5"/>
        <v>0</v>
      </c>
      <c r="AN21" s="391">
        <f t="shared" si="6"/>
        <v>0</v>
      </c>
      <c r="AO21" s="390">
        <f t="shared" si="7"/>
        <v>0</v>
      </c>
    </row>
    <row r="22" spans="1:67" s="4" customFormat="1" ht="15" customHeight="1" x14ac:dyDescent="0.25">
      <c r="A22" s="4">
        <v>4</v>
      </c>
      <c r="B22" s="8">
        <v>100120</v>
      </c>
      <c r="C22" s="369" t="s">
        <v>44</v>
      </c>
      <c r="D22" s="8">
        <v>1211</v>
      </c>
      <c r="E22" s="309" t="s">
        <v>80</v>
      </c>
      <c r="F22" s="217">
        <v>7</v>
      </c>
      <c r="G22" s="124">
        <f>IFERROR(VLOOKUP(B22,[2]RETAIL!$B$8:$O$63,3,0),0)-IFERROR(IF(B22=100873,VLOOKUP("ENERO",[2]RETAIL!$B$78:$C$91,2,0),0),0)</f>
        <v>0</v>
      </c>
      <c r="H22" s="217">
        <v>7</v>
      </c>
      <c r="I22" s="124">
        <f>IFERROR(VLOOKUP(B22,[2]RETAIL!$B$8:$O$63,4,0),0)-IFERROR(IF(B22=100873,VLOOKUP("FEBRERO",[2]RETAIL!$B$78:$C$91,2,0),0),0)</f>
        <v>3</v>
      </c>
      <c r="J22" s="217">
        <v>7</v>
      </c>
      <c r="K22" s="124">
        <f>IFERROR(VLOOKUP(B22,[2]RETAIL!$B$8:$O$63,5,0),0)-IFERROR(IF(B22=100873,VLOOKUP("MARZO",[2]RETAIL!$B$78:$C$91,2,0),0),0)</f>
        <v>4</v>
      </c>
      <c r="L22" s="217">
        <v>7</v>
      </c>
      <c r="M22" s="124">
        <f>IFERROR(VLOOKUP(B22,[2]RETAIL!$B$8:$O$63,6,0),0)-IFERROR(IF(B22=100873,VLOOKUP("ABRIL",[2]RETAIL!$B$78:$C$91,2,0),0),0)</f>
        <v>5</v>
      </c>
      <c r="N22" s="217">
        <v>7</v>
      </c>
      <c r="O22" s="23">
        <f>IFERROR(VLOOKUP(B22,[2]RETAIL!$B$8:$O$63,7,0),0)-IFERROR(IF(B22=100873,VLOOKUP("MAYO",[2]RETAIL!$B$78:$C$91,2,0),0),0)</f>
        <v>10</v>
      </c>
      <c r="P22" s="217">
        <v>7</v>
      </c>
      <c r="Q22" s="87">
        <f>IFERROR(VLOOKUP(B22,[2]RETAIL!$B$8:$O$63,8,0),0)-IFERROR(IF(B22=100873,VLOOKUP("JUNIO",[2]RETAIL!$B$78:$C$91,2,0),0),0)</f>
        <v>10</v>
      </c>
      <c r="R22" s="217"/>
      <c r="S22" s="23">
        <f>IFERROR(VLOOKUP(B22,[2]RETAIL!$B$8:$O$63,9,0),0)-IFERROR(IF(B22=100873,VLOOKUP("JULIO",[2]RETAIL!$B$78:$C$91,2,0),0),0)</f>
        <v>0</v>
      </c>
      <c r="T22" s="217"/>
      <c r="U22" s="124">
        <f>IFERROR(VLOOKUP(B22,[2]RETAIL!$B$8:$O$63,10,0),0)-IFERROR(IF(B22=100873,VLOOKUP("AGOSTO",[2]RETAIL!$B$78:$C$91,2,0),0),0)</f>
        <v>0</v>
      </c>
      <c r="V22" s="217"/>
      <c r="W22" s="23">
        <f>IFERROR(VLOOKUP(B22,[2]RETAIL!$B$8:$O$63,11,0),0)-IFERROR(IF(B22=100873,VLOOKUP("SEPTIEMBRE",[2]RETAIL!$B$78:$C$91,2,0),0),0)</f>
        <v>0</v>
      </c>
      <c r="X22" s="217"/>
      <c r="Y22" s="257">
        <f>IFERROR(VLOOKUP(B22,[2]RETAIL!$B$8:$O$63,12,0),0)-IFERROR(IF(B22=100873,VLOOKUP("OCTUBRE",[2]RETAIL!$B$78:$C$91,2,0),0),0)</f>
        <v>0</v>
      </c>
      <c r="Z22" s="217"/>
      <c r="AA22" s="35">
        <f>IFERROR(VLOOKUP(B22,[2]RETAIL!$B$8:$O$63,13,0),0)-IFERROR(IF(B22=100873,VLOOKUP("NOVIEMBRE",[2]RETAIL!$B$78:$C$91,2,0),0),0)</f>
        <v>0</v>
      </c>
      <c r="AB22" s="220"/>
      <c r="AC22" s="35">
        <f>IFERROR(VLOOKUP(B22,[2]RETAIL!$B$8:$O$63,14,0),0)-IFERROR(IF(B22=100873,VLOOKUP("DICIEMBRE",[2]RETAIL!$B$78:$C$91,2,0),0),0)</f>
        <v>0</v>
      </c>
      <c r="AD22" s="25">
        <f t="shared" si="0"/>
        <v>42</v>
      </c>
      <c r="AE22" s="27">
        <f t="shared" ref="AE22:AE28" si="13">IFERROR(IF($AD$2="ENERO",G22,IF($AD$2="FEBRERO",G22+I22,IF($AD$2="MARZO",G22+I22+K22,IF($AD$2="ABRIL",G22+I22+K22+M22,IF($AD$2="MAYO",G22+I22+K22+M22+O22,IF($AD$2="JUNIO",G22+I22+K22+M22+O22+Q22,IF($AD$2="JULIO",G22+I22+K22+M22+O22+Q22+S22,IF($AD$2="AGOSTO",G22+I22+K22+M22+O22+Q22+S22+U22,IF($AD$2="SEPTIEMBRE",G22+I22+K22+M22+O22+Q22+S22+U22+W22,IF($AD$2="OCTUBRE",G22+I22+K22+M22+O22+Q22+S22+U22+W22+Y22,IF($AD$2="NOVIEMBRE",G22+I22+K22+M22+O22+Q22+S22+U22+W22+Y22+AA22,IF($AD$2="DICIEMBRE",G22+I22+K22+M22+O22+Q22+S22+U22+W22+Y22+AA22+AC22,"")))))))))))),0)</f>
        <v>32</v>
      </c>
      <c r="AF22" s="373">
        <f t="shared" ref="AF22:AF34" si="14">IFERROR((AE22/AD22),0)</f>
        <v>0.76190476190476186</v>
      </c>
      <c r="AG22" s="25">
        <f t="shared" ref="AG22:AG34" si="15">+F22+H22+J22+L22+N22+P22+R22+T22+V22+X22+Z22+AB22</f>
        <v>42</v>
      </c>
      <c r="AH22" s="27">
        <f t="shared" ref="AH22:AH28" si="16">IFERROR(IF($AD$2="ENERO",G22,IF($AD$2="FEBRERO",G22+I22,IF($AD$2="MARZO",G22+I22+K22,IF($AD$2="ABRIL",G22+I22+K22+M22,IF($AD$2="MAYO",G22+I22+K22+M22+O22,IF($AD$2="JUNIO",G22+I22+K22+M22+O22+Q22,IF($AD$2="JULIO",G22+I22+K22+M22+O22+Q22+S22,IF($AD$2="AGOSTO",G22+I22+K22+M22+O22+Q22+S22+U22,IF($AD$2="SEPTIEMBRE",G22+I22+K22+M22+O22+Q22+S22+U22+W22,IF($AD$2="OCTUBRE",G22+I22+K22+M22+O22+Q22+S22+U22+W22+Y22,IF($AD$2="NOVIEMBRE",G22+I22+K22+M22+O22+Q22+S22+U22+W22+Y22+AA22,IF($AD$2="DICIEMBRE",G22+I22+K22+M22+O22+Q22+S22+U22+W22+Y22+AA22+AC22,"")))))))))))),0)</f>
        <v>32</v>
      </c>
      <c r="AI22" s="373">
        <f t="shared" ref="AI22:AI34" si="17">IFERROR((AH22/AG22),0)</f>
        <v>0.76190476190476186</v>
      </c>
      <c r="AJ22" s="25">
        <f t="shared" ref="AJ22:AJ34" si="18">IFERROR(IF($AJ$3="Q1",F22+H22+J22,IF($AJ$3="Q2",L22+N22++P22,IF($AJ$3="Q3",R22+T22+V22,IF($AJ$3="Q4",X22+Z22+AB22,0)))),0)</f>
        <v>21</v>
      </c>
      <c r="AK22" s="27">
        <f t="shared" ref="AK22:AK34" si="19">IFERROR(IF($AJ$3="Q1",G22+I22+K22,IF($AJ$3="Q2",M22+O22++Q22,IF($AJ$3="Q3",S22+U22+W22,IF($AJ$3="Q4",Y22+AA22+AC22,0)))),0)</f>
        <v>7</v>
      </c>
      <c r="AL22" s="373">
        <f t="shared" ref="AL22:AL34" si="20">IFERROR((AK22/AJ22),0)</f>
        <v>0.33333333333333331</v>
      </c>
      <c r="AM22" s="25">
        <f t="shared" ref="AM22:AM34" si="21">IFERROR(IF($AM$3="S 1",F22+H22+J22+L22+N22++P22,IF($AM$3="S 2",R22+T22+V22+X22+Z22+AB22,0)),0)</f>
        <v>0</v>
      </c>
      <c r="AN22" s="27">
        <f t="shared" ref="AN22:AN34" si="22">IFERROR(IF($AM$3="S 1",G22+I22+K22+M22+O22+Q22,IF($AM$3="S 2",S22+U22+W22+Y22+AA22+AC22,0)),0)</f>
        <v>0</v>
      </c>
      <c r="AO22" s="373">
        <f t="shared" ref="AO22:AO34" si="23">IFERROR((AN22/AM22),0)</f>
        <v>0</v>
      </c>
      <c r="BE22" s="4">
        <f ca="1">SUM(BE5:BE32)</f>
        <v>0</v>
      </c>
      <c r="BG22" s="4">
        <f ca="1">SUM(BG5:BG32)</f>
        <v>0</v>
      </c>
      <c r="BH22" s="4">
        <f ca="1">SUM(BH5:BH32)</f>
        <v>0</v>
      </c>
      <c r="BJ22" s="4">
        <f ca="1">SUM(BJ5:BJ32)</f>
        <v>0</v>
      </c>
      <c r="BO22" s="4">
        <f ca="1">SUM(BO5:BO32)</f>
        <v>0</v>
      </c>
    </row>
    <row r="23" spans="1:67" s="4" customFormat="1" ht="15" customHeight="1" x14ac:dyDescent="0.25">
      <c r="A23" s="4">
        <v>4</v>
      </c>
      <c r="B23" s="8">
        <v>100146</v>
      </c>
      <c r="C23" s="369" t="s">
        <v>18</v>
      </c>
      <c r="D23" s="8">
        <v>9785</v>
      </c>
      <c r="E23" s="309" t="s">
        <v>81</v>
      </c>
      <c r="F23" s="218">
        <v>7</v>
      </c>
      <c r="G23" s="124">
        <f>IFERROR(VLOOKUP(B23,[2]RETAIL!$B$8:$O$63,3,0),0)-IFERROR(IF(B23=100873,VLOOKUP("ENERO",[2]RETAIL!$B$78:$C$91,2,0),0),0)</f>
        <v>12</v>
      </c>
      <c r="H23" s="218">
        <v>7</v>
      </c>
      <c r="I23" s="124">
        <f>IFERROR(VLOOKUP(B23,[2]RETAIL!$B$8:$O$63,4,0),0)-IFERROR(IF(B23=100873,VLOOKUP("FEBRERO",[2]RETAIL!$B$78:$C$91,2,0),0),0)</f>
        <v>4</v>
      </c>
      <c r="J23" s="218">
        <v>7</v>
      </c>
      <c r="K23" s="124">
        <f>IFERROR(VLOOKUP(B23,[2]RETAIL!$B$8:$O$63,5,0),0)-IFERROR(IF(B23=100873,VLOOKUP("MARZO",[2]RETAIL!$B$78:$C$91,2,0),0),0)</f>
        <v>0</v>
      </c>
      <c r="L23" s="218">
        <v>8</v>
      </c>
      <c r="M23" s="124">
        <f>IFERROR(VLOOKUP(B23,[2]RETAIL!$B$8:$O$63,6,0),0)-IFERROR(IF(B23=100873,VLOOKUP("ABRIL",[2]RETAIL!$B$78:$C$91,2,0),0),0)</f>
        <v>5</v>
      </c>
      <c r="N23" s="218">
        <v>8</v>
      </c>
      <c r="O23" s="23">
        <f>IFERROR(VLOOKUP(B23,[2]RETAIL!$B$8:$O$63,7,0),0)-IFERROR(IF(B23=100873,VLOOKUP("MAYO",[2]RETAIL!$B$78:$C$91,2,0),0),0)</f>
        <v>1</v>
      </c>
      <c r="P23" s="218">
        <v>8</v>
      </c>
      <c r="Q23" s="87">
        <f>IFERROR(VLOOKUP(B23,[2]RETAIL!$B$8:$O$63,8,0),0)-IFERROR(IF(B23=100873,VLOOKUP("JUNIO",[2]RETAIL!$B$78:$C$91,2,0),0),0)</f>
        <v>3</v>
      </c>
      <c r="R23" s="217"/>
      <c r="S23" s="23">
        <f>IFERROR(VLOOKUP(B23,[2]RETAIL!$B$8:$O$63,9,0),0)-IFERROR(IF(B23=100873,VLOOKUP("JULIO",[2]RETAIL!$B$78:$C$91,2,0),0),0)</f>
        <v>0</v>
      </c>
      <c r="T23" s="217"/>
      <c r="U23" s="124">
        <f>IFERROR(VLOOKUP(B23,[2]RETAIL!$B$8:$O$63,10,0),0)-IFERROR(IF(B23=100873,VLOOKUP("AGOSTO",[2]RETAIL!$B$78:$C$91,2,0),0),0)</f>
        <v>0</v>
      </c>
      <c r="V23" s="217"/>
      <c r="W23" s="23">
        <f>IFERROR(VLOOKUP(B23,[2]RETAIL!$B$8:$O$63,11,0),0)-IFERROR(IF(B23=100873,VLOOKUP("SEPTIEMBRE",[2]RETAIL!$B$78:$C$91,2,0),0),0)</f>
        <v>0</v>
      </c>
      <c r="X23" s="217"/>
      <c r="Y23" s="257">
        <f>IFERROR(VLOOKUP(B23,[2]RETAIL!$B$8:$O$63,12,0),0)-IFERROR(IF(B23=100873,VLOOKUP("OCTUBRE",[2]RETAIL!$B$78:$C$91,2,0),0),0)</f>
        <v>0</v>
      </c>
      <c r="Z23" s="217"/>
      <c r="AA23" s="35">
        <f>IFERROR(VLOOKUP(B23,[2]RETAIL!$B$8:$O$63,13,0),0)-IFERROR(IF(B23=100873,VLOOKUP("NOVIEMBRE",[2]RETAIL!$B$78:$C$91,2,0),0),0)</f>
        <v>0</v>
      </c>
      <c r="AB23" s="220"/>
      <c r="AC23" s="35">
        <f>IFERROR(VLOOKUP(B23,[2]RETAIL!$B$8:$O$63,14,0),0)-IFERROR(IF(B23=100873,VLOOKUP("DICIEMBRE",[2]RETAIL!$B$78:$C$91,2,0),0),0)</f>
        <v>0</v>
      </c>
      <c r="AD23" s="25">
        <f t="shared" si="0"/>
        <v>45</v>
      </c>
      <c r="AE23" s="27">
        <f t="shared" si="13"/>
        <v>25</v>
      </c>
      <c r="AF23" s="371">
        <f t="shared" si="14"/>
        <v>0.55555555555555558</v>
      </c>
      <c r="AG23" s="25">
        <f t="shared" si="15"/>
        <v>45</v>
      </c>
      <c r="AH23" s="27">
        <f t="shared" si="16"/>
        <v>25</v>
      </c>
      <c r="AI23" s="371">
        <f t="shared" si="17"/>
        <v>0.55555555555555558</v>
      </c>
      <c r="AJ23" s="25">
        <f t="shared" si="18"/>
        <v>21</v>
      </c>
      <c r="AK23" s="27">
        <f t="shared" si="19"/>
        <v>16</v>
      </c>
      <c r="AL23" s="371">
        <f t="shared" si="20"/>
        <v>0.76190476190476186</v>
      </c>
      <c r="AM23" s="25">
        <f t="shared" si="21"/>
        <v>0</v>
      </c>
      <c r="AN23" s="27">
        <f t="shared" si="22"/>
        <v>0</v>
      </c>
      <c r="AO23" s="371">
        <f t="shared" si="23"/>
        <v>0</v>
      </c>
    </row>
    <row r="24" spans="1:67" s="4" customFormat="1" ht="15" customHeight="1" x14ac:dyDescent="0.25">
      <c r="A24" s="4">
        <v>4</v>
      </c>
      <c r="B24" s="8">
        <v>100155</v>
      </c>
      <c r="C24" s="369" t="s">
        <v>167</v>
      </c>
      <c r="D24" s="8">
        <v>1212</v>
      </c>
      <c r="E24" s="309" t="s">
        <v>82</v>
      </c>
      <c r="F24" s="538">
        <v>10</v>
      </c>
      <c r="G24" s="124">
        <f>IFERROR(VLOOKUP(B24,[2]RETAIL!$B$8:$O$63,3,0),0)-IFERROR(IF(B24=100873,VLOOKUP("ENERO",[2]RETAIL!$B$78:$C$91,2,0),0),0)</f>
        <v>5</v>
      </c>
      <c r="H24" s="538">
        <v>10</v>
      </c>
      <c r="I24" s="124">
        <f>IFERROR(VLOOKUP(B24,[2]RETAIL!$B$8:$O$63,4,0),0)-IFERROR(IF(B24=100873,VLOOKUP("FEBRERO",[2]RETAIL!$B$78:$C$91,2,0),0),0)</f>
        <v>11</v>
      </c>
      <c r="J24" s="538">
        <v>10</v>
      </c>
      <c r="K24" s="124">
        <f>IFERROR(VLOOKUP(B24,[2]RETAIL!$B$8:$O$63,5,0),0)-IFERROR(IF(B24=100873,VLOOKUP("MARZO",[2]RETAIL!$B$78:$C$91,2,0),0),0)</f>
        <v>15</v>
      </c>
      <c r="L24" s="538">
        <v>10</v>
      </c>
      <c r="M24" s="124">
        <f>IFERROR(VLOOKUP(B24,[2]RETAIL!$B$8:$O$63,6,0),0)-IFERROR(IF(B24=100873,VLOOKUP("ABRIL",[2]RETAIL!$B$78:$C$91,2,0),0),0)</f>
        <v>11</v>
      </c>
      <c r="N24" s="538">
        <v>10</v>
      </c>
      <c r="O24" s="23">
        <f>IFERROR(VLOOKUP(B24,[2]RETAIL!$B$8:$O$63,7,0),0)-IFERROR(IF(B24=100873,VLOOKUP("MAYO",[2]RETAIL!$B$78:$C$91,2,0),0),0)</f>
        <v>6</v>
      </c>
      <c r="P24" s="538">
        <v>10</v>
      </c>
      <c r="Q24" s="87">
        <f>IFERROR(VLOOKUP(B24,[2]RETAIL!$B$8:$O$63,8,0),0)-IFERROR(IF(B24=100873,VLOOKUP("JUNIO",[2]RETAIL!$B$78:$C$91,2,0),0),0)</f>
        <v>14</v>
      </c>
      <c r="R24" s="217"/>
      <c r="S24" s="23">
        <f>IFERROR(VLOOKUP(B24,[2]RETAIL!$B$8:$O$63,9,0),0)-IFERROR(IF(B24=100873,VLOOKUP("JULIO",[2]RETAIL!$B$78:$C$91,2,0),0),0)</f>
        <v>0</v>
      </c>
      <c r="T24" s="217"/>
      <c r="U24" s="124">
        <f>IFERROR(VLOOKUP(B24,[2]RETAIL!$B$8:$O$63,10,0),0)-IFERROR(IF(B24=100873,VLOOKUP("AGOSTO",[2]RETAIL!$B$78:$C$91,2,0),0),0)</f>
        <v>0</v>
      </c>
      <c r="V24" s="217"/>
      <c r="W24" s="23">
        <f>IFERROR(VLOOKUP(B24,[2]RETAIL!$B$8:$O$63,11,0),0)-IFERROR(IF(B24=100873,VLOOKUP("SEPTIEMBRE",[2]RETAIL!$B$78:$C$91,2,0),0),0)</f>
        <v>0</v>
      </c>
      <c r="X24" s="217"/>
      <c r="Y24" s="257">
        <f>IFERROR(VLOOKUP(B24,[2]RETAIL!$B$8:$O$63,12,0),0)-IFERROR(IF(B24=100873,VLOOKUP("OCTUBRE",[2]RETAIL!$B$78:$C$91,2,0),0),0)</f>
        <v>0</v>
      </c>
      <c r="Z24" s="217"/>
      <c r="AA24" s="35">
        <f>IFERROR(VLOOKUP(B24,[2]RETAIL!$B$8:$O$63,13,0),0)-IFERROR(IF(B24=100873,VLOOKUP("NOVIEMBRE",[2]RETAIL!$B$78:$C$91,2,0),0),0)</f>
        <v>0</v>
      </c>
      <c r="AB24" s="220"/>
      <c r="AC24" s="35">
        <f>IFERROR(VLOOKUP(B24,[2]RETAIL!$B$8:$O$63,14,0),0)-IFERROR(IF(B24=100873,VLOOKUP("DICIEMBRE",[2]RETAIL!$B$78:$C$91,2,0),0),0)</f>
        <v>0</v>
      </c>
      <c r="AD24" s="25">
        <f t="shared" si="0"/>
        <v>60</v>
      </c>
      <c r="AE24" s="27">
        <f t="shared" si="13"/>
        <v>62</v>
      </c>
      <c r="AF24" s="371">
        <f t="shared" si="14"/>
        <v>1.0333333333333334</v>
      </c>
      <c r="AG24" s="25">
        <f t="shared" si="15"/>
        <v>60</v>
      </c>
      <c r="AH24" s="27">
        <f t="shared" si="16"/>
        <v>62</v>
      </c>
      <c r="AI24" s="371">
        <f t="shared" si="17"/>
        <v>1.0333333333333334</v>
      </c>
      <c r="AJ24" s="25">
        <f t="shared" si="18"/>
        <v>30</v>
      </c>
      <c r="AK24" s="27">
        <f t="shared" si="19"/>
        <v>31</v>
      </c>
      <c r="AL24" s="371">
        <f t="shared" si="20"/>
        <v>1.0333333333333334</v>
      </c>
      <c r="AM24" s="25">
        <f t="shared" si="21"/>
        <v>0</v>
      </c>
      <c r="AN24" s="27">
        <f t="shared" si="22"/>
        <v>0</v>
      </c>
      <c r="AO24" s="371">
        <f t="shared" si="23"/>
        <v>0</v>
      </c>
    </row>
    <row r="25" spans="1:67" s="4" customFormat="1" ht="15" customHeight="1" x14ac:dyDescent="0.25">
      <c r="A25" s="4">
        <v>4</v>
      </c>
      <c r="B25" s="8">
        <v>100304</v>
      </c>
      <c r="C25" s="369" t="s">
        <v>45</v>
      </c>
      <c r="D25" s="8">
        <v>9785</v>
      </c>
      <c r="E25" s="309" t="s">
        <v>81</v>
      </c>
      <c r="F25" s="217">
        <v>15</v>
      </c>
      <c r="G25" s="124">
        <f>IFERROR(VLOOKUP(B25,[2]RETAIL!$B$8:$O$63,3,0),0)-IFERROR(IF(B25=100873,VLOOKUP("ENERO",[2]RETAIL!$B$78:$C$91,2,0),0),0)</f>
        <v>8</v>
      </c>
      <c r="H25" s="217">
        <v>16</v>
      </c>
      <c r="I25" s="124">
        <f>IFERROR(VLOOKUP(B25,[2]RETAIL!$B$8:$O$63,4,0),0)-IFERROR(IF(B25=100873,VLOOKUP("FEBRERO",[2]RETAIL!$B$78:$C$91,2,0),0),0)</f>
        <v>9</v>
      </c>
      <c r="J25" s="217">
        <v>16</v>
      </c>
      <c r="K25" s="124">
        <f>IFERROR(VLOOKUP(B25,[2]RETAIL!$B$8:$O$63,5,0),0)-IFERROR(IF(B25=100873,VLOOKUP("MARZO",[2]RETAIL!$B$78:$C$91,2,0),0),0)</f>
        <v>10</v>
      </c>
      <c r="L25" s="217">
        <v>16</v>
      </c>
      <c r="M25" s="124">
        <f>IFERROR(VLOOKUP(B25,[2]RETAIL!$B$8:$O$63,6,0),0)-IFERROR(IF(B25=100873,VLOOKUP("ABRIL",[2]RETAIL!$B$78:$C$91,2,0),0),0)</f>
        <v>17</v>
      </c>
      <c r="N25" s="217">
        <v>16</v>
      </c>
      <c r="O25" s="23">
        <f>IFERROR(VLOOKUP(B25,[2]RETAIL!$B$8:$O$63,7,0),0)-IFERROR(IF(B25=100873,VLOOKUP("MAYO",[2]RETAIL!$B$78:$C$91,2,0),0),0)</f>
        <v>14</v>
      </c>
      <c r="P25" s="217">
        <v>16</v>
      </c>
      <c r="Q25" s="87">
        <f>IFERROR(VLOOKUP(B25,[2]RETAIL!$B$8:$O$63,8,0),0)-IFERROR(IF(B25=100873,VLOOKUP("JUNIO",[2]RETAIL!$B$78:$C$91,2,0),0),0)</f>
        <v>38</v>
      </c>
      <c r="R25" s="217"/>
      <c r="S25" s="23">
        <f>IFERROR(VLOOKUP(B25,[2]RETAIL!$B$8:$O$63,9,0),0)-IFERROR(IF(B25=100873,VLOOKUP("JULIO",[2]RETAIL!$B$78:$C$91,2,0),0),0)</f>
        <v>0</v>
      </c>
      <c r="T25" s="217"/>
      <c r="U25" s="124">
        <f>IFERROR(VLOOKUP(B25,[2]RETAIL!$B$8:$O$63,10,0),0)-IFERROR(IF(B25=100873,VLOOKUP("AGOSTO",[2]RETAIL!$B$78:$C$91,2,0),0),0)</f>
        <v>0</v>
      </c>
      <c r="V25" s="217"/>
      <c r="W25" s="23">
        <f>IFERROR(VLOOKUP(B25,[2]RETAIL!$B$8:$O$63,11,0),0)-IFERROR(IF(B25=100873,VLOOKUP("SEPTIEMBRE",[2]RETAIL!$B$78:$C$91,2,0),0),0)</f>
        <v>0</v>
      </c>
      <c r="X25" s="217"/>
      <c r="Y25" s="257">
        <f>IFERROR(VLOOKUP(B25,[2]RETAIL!$B$8:$O$63,12,0),0)-IFERROR(IF(B25=100873,VLOOKUP("OCTUBRE",[2]RETAIL!$B$78:$C$91,2,0),0),0)</f>
        <v>0</v>
      </c>
      <c r="Z25" s="217"/>
      <c r="AA25" s="35">
        <f>IFERROR(VLOOKUP(B25,[2]RETAIL!$B$8:$O$63,13,0),0)-IFERROR(IF(B25=100873,VLOOKUP("NOVIEMBRE",[2]RETAIL!$B$78:$C$91,2,0),0),0)</f>
        <v>0</v>
      </c>
      <c r="AB25" s="220"/>
      <c r="AC25" s="35">
        <f>IFERROR(VLOOKUP(B25,[2]RETAIL!$B$8:$O$63,14,0),0)-IFERROR(IF(B25=100873,VLOOKUP("DICIEMBRE",[2]RETAIL!$B$78:$C$91,2,0),0),0)</f>
        <v>0</v>
      </c>
      <c r="AD25" s="25">
        <f t="shared" si="0"/>
        <v>95</v>
      </c>
      <c r="AE25" s="27">
        <f t="shared" si="13"/>
        <v>96</v>
      </c>
      <c r="AF25" s="371">
        <f t="shared" si="14"/>
        <v>1.0105263157894737</v>
      </c>
      <c r="AG25" s="25">
        <f t="shared" si="15"/>
        <v>95</v>
      </c>
      <c r="AH25" s="27">
        <f t="shared" si="16"/>
        <v>96</v>
      </c>
      <c r="AI25" s="371">
        <f t="shared" si="17"/>
        <v>1.0105263157894737</v>
      </c>
      <c r="AJ25" s="25">
        <f t="shared" si="18"/>
        <v>47</v>
      </c>
      <c r="AK25" s="27">
        <f t="shared" si="19"/>
        <v>27</v>
      </c>
      <c r="AL25" s="371">
        <f t="shared" si="20"/>
        <v>0.57446808510638303</v>
      </c>
      <c r="AM25" s="25">
        <f t="shared" si="21"/>
        <v>0</v>
      </c>
      <c r="AN25" s="27">
        <f t="shared" si="22"/>
        <v>0</v>
      </c>
      <c r="AO25" s="371">
        <f t="shared" si="23"/>
        <v>0</v>
      </c>
    </row>
    <row r="26" spans="1:67" s="4" customFormat="1" ht="15" customHeight="1" x14ac:dyDescent="0.25">
      <c r="A26" s="4">
        <v>4</v>
      </c>
      <c r="B26" s="8">
        <v>100346</v>
      </c>
      <c r="C26" s="369" t="s">
        <v>46</v>
      </c>
      <c r="D26" s="8">
        <v>9785</v>
      </c>
      <c r="E26" s="309" t="s">
        <v>81</v>
      </c>
      <c r="F26" s="217">
        <v>10</v>
      </c>
      <c r="G26" s="124">
        <f>IFERROR(VLOOKUP(B26,[2]RETAIL!$B$8:$O$63,3,0),0)-IFERROR(IF(B26=100873,VLOOKUP("ENERO",[2]RETAIL!$B$78:$C$91,2,0),0),0)</f>
        <v>4</v>
      </c>
      <c r="H26" s="217">
        <v>10</v>
      </c>
      <c r="I26" s="124">
        <f>IFERROR(VLOOKUP(B26,[2]RETAIL!$B$8:$O$63,4,0),0)-IFERROR(IF(B26=100873,VLOOKUP("FEBRERO",[2]RETAIL!$B$78:$C$91,2,0),0),0)</f>
        <v>7</v>
      </c>
      <c r="J26" s="217">
        <v>10</v>
      </c>
      <c r="K26" s="124">
        <f>IFERROR(VLOOKUP(B26,[2]RETAIL!$B$8:$O$63,5,0),0)-IFERROR(IF(B26=100873,VLOOKUP("MARZO",[2]RETAIL!$B$78:$C$91,2,0),0),0)</f>
        <v>4</v>
      </c>
      <c r="L26" s="217">
        <v>10</v>
      </c>
      <c r="M26" s="124">
        <f>IFERROR(VLOOKUP(B26,[2]RETAIL!$B$8:$O$63,6,0),0)-IFERROR(IF(B26=100873,VLOOKUP("ABRIL",[2]RETAIL!$B$78:$C$91,2,0),0),0)</f>
        <v>5</v>
      </c>
      <c r="N26" s="217">
        <v>10</v>
      </c>
      <c r="O26" s="23">
        <f>IFERROR(VLOOKUP(B26,[2]RETAIL!$B$8:$O$63,7,0),0)-IFERROR(IF(B26=100873,VLOOKUP("MAYO",[2]RETAIL!$B$78:$C$91,2,0),0),0)</f>
        <v>2</v>
      </c>
      <c r="P26" s="217">
        <v>10</v>
      </c>
      <c r="Q26" s="87">
        <f>IFERROR(VLOOKUP(B26,[2]RETAIL!$B$8:$O$63,8,0),0)-IFERROR(IF(B26=100873,VLOOKUP("JUNIO",[2]RETAIL!$B$78:$C$91,2,0),0),0)</f>
        <v>4</v>
      </c>
      <c r="R26" s="217">
        <v>11</v>
      </c>
      <c r="S26" s="23">
        <f>IFERROR(VLOOKUP(B26,[2]RETAIL!$B$8:$O$63,9,0),0)-IFERROR(IF(B26=100873,VLOOKUP("JULIO",[2]RETAIL!$B$78:$C$91,2,0),0),0)</f>
        <v>0</v>
      </c>
      <c r="T26" s="217">
        <v>10</v>
      </c>
      <c r="U26" s="124">
        <f>IFERROR(VLOOKUP(B26,[2]RETAIL!$B$8:$O$63,10,0),0)-IFERROR(IF(B26=100873,VLOOKUP("AGOSTO",[2]RETAIL!$B$78:$C$91,2,0),0),0)</f>
        <v>0</v>
      </c>
      <c r="V26" s="217">
        <v>11</v>
      </c>
      <c r="W26" s="23">
        <f>IFERROR(VLOOKUP(B26,[2]RETAIL!$B$8:$O$63,11,0),0)-IFERROR(IF(B26=100873,VLOOKUP("SEPTIEMBRE",[2]RETAIL!$B$78:$C$91,2,0),0),0)</f>
        <v>0</v>
      </c>
      <c r="X26" s="217">
        <v>11</v>
      </c>
      <c r="Y26" s="257">
        <f>IFERROR(VLOOKUP(B26,[2]RETAIL!$B$8:$O$63,12,0),0)-IFERROR(IF(B26=100873,VLOOKUP("OCTUBRE",[2]RETAIL!$B$78:$C$91,2,0),0),0)</f>
        <v>0</v>
      </c>
      <c r="Z26" s="217">
        <v>11</v>
      </c>
      <c r="AA26" s="35">
        <f>IFERROR(VLOOKUP(B26,[2]RETAIL!$B$8:$O$63,13,0),0)-IFERROR(IF(B26=100873,VLOOKUP("NOVIEMBRE",[2]RETAIL!$B$78:$C$91,2,0),0),0)</f>
        <v>0</v>
      </c>
      <c r="AB26" s="220">
        <v>11</v>
      </c>
      <c r="AC26" s="35">
        <f>IFERROR(VLOOKUP(B26,[2]RETAIL!$B$8:$O$63,14,0),0)-IFERROR(IF(B26=100873,VLOOKUP("DICIEMBRE",[2]RETAIL!$B$78:$C$91,2,0),0),0)</f>
        <v>0</v>
      </c>
      <c r="AD26" s="25">
        <f t="shared" si="0"/>
        <v>60</v>
      </c>
      <c r="AE26" s="27">
        <f t="shared" si="13"/>
        <v>26</v>
      </c>
      <c r="AF26" s="373">
        <f t="shared" si="14"/>
        <v>0.43333333333333335</v>
      </c>
      <c r="AG26" s="25">
        <f t="shared" si="15"/>
        <v>125</v>
      </c>
      <c r="AH26" s="27">
        <f t="shared" si="16"/>
        <v>26</v>
      </c>
      <c r="AI26" s="373">
        <f t="shared" si="17"/>
        <v>0.20799999999999999</v>
      </c>
      <c r="AJ26" s="25">
        <f t="shared" si="18"/>
        <v>30</v>
      </c>
      <c r="AK26" s="27">
        <f t="shared" si="19"/>
        <v>15</v>
      </c>
      <c r="AL26" s="373">
        <f t="shared" si="20"/>
        <v>0.5</v>
      </c>
      <c r="AM26" s="25">
        <f t="shared" si="21"/>
        <v>65</v>
      </c>
      <c r="AN26" s="27">
        <f t="shared" si="22"/>
        <v>0</v>
      </c>
      <c r="AO26" s="373">
        <f t="shared" si="23"/>
        <v>0</v>
      </c>
    </row>
    <row r="27" spans="1:67" s="4" customFormat="1" ht="15" customHeight="1" x14ac:dyDescent="0.25">
      <c r="A27" s="4">
        <v>4</v>
      </c>
      <c r="B27" s="8">
        <v>100454</v>
      </c>
      <c r="C27" s="369" t="s">
        <v>47</v>
      </c>
      <c r="D27" s="8">
        <v>28067</v>
      </c>
      <c r="E27" s="309" t="s">
        <v>84</v>
      </c>
      <c r="F27" s="217">
        <v>4</v>
      </c>
      <c r="G27" s="124">
        <f>IFERROR(VLOOKUP(B27,[2]RETAIL!$B$8:$O$63,3,0),0)-IFERROR(IF(B27=100873,VLOOKUP("ENERO",[2]RETAIL!$B$78:$C$91,2,0),0),0)</f>
        <v>8</v>
      </c>
      <c r="H27" s="217">
        <v>4</v>
      </c>
      <c r="I27" s="124">
        <f>IFERROR(VLOOKUP(B27,[2]RETAIL!$B$8:$O$63,4,0),0)-IFERROR(IF(B27=100873,VLOOKUP("FEBRERO",[2]RETAIL!$B$78:$C$91,2,0),0),0)</f>
        <v>2</v>
      </c>
      <c r="J27" s="217">
        <v>4</v>
      </c>
      <c r="K27" s="124">
        <f>IFERROR(VLOOKUP(B27,[2]RETAIL!$B$8:$O$63,5,0),0)-IFERROR(IF(B27=100873,VLOOKUP("MARZO",[2]RETAIL!$B$78:$C$91,2,0),0),0)</f>
        <v>2</v>
      </c>
      <c r="L27" s="217">
        <v>4</v>
      </c>
      <c r="M27" s="124">
        <f>IFERROR(VLOOKUP(B27,[2]RETAIL!$B$8:$O$63,6,0),0)-IFERROR(IF(B27=100873,VLOOKUP("ABRIL",[2]RETAIL!$B$78:$C$91,2,0),0),0)</f>
        <v>3</v>
      </c>
      <c r="N27" s="217">
        <v>4</v>
      </c>
      <c r="O27" s="23">
        <f>IFERROR(VLOOKUP(B27,[2]RETAIL!$B$8:$O$63,7,0),0)-IFERROR(IF(B27=100873,VLOOKUP("MAYO",[2]RETAIL!$B$78:$C$91,2,0),0),0)</f>
        <v>1</v>
      </c>
      <c r="P27" s="217">
        <v>4</v>
      </c>
      <c r="Q27" s="87">
        <f>IFERROR(VLOOKUP(B27,[2]RETAIL!$B$8:$O$63,8,0),0)-IFERROR(IF(B27=100873,VLOOKUP("JUNIO",[2]RETAIL!$B$78:$C$91,2,0),0),0)</f>
        <v>3</v>
      </c>
      <c r="R27" s="217"/>
      <c r="S27" s="23">
        <f>IFERROR(VLOOKUP(B27,[2]RETAIL!$B$8:$O$63,9,0),0)-IFERROR(IF(B27=100873,VLOOKUP("JULIO",[2]RETAIL!$B$78:$C$91,2,0),0),0)</f>
        <v>0</v>
      </c>
      <c r="T27" s="217"/>
      <c r="U27" s="124">
        <f>IFERROR(VLOOKUP(B27,[2]RETAIL!$B$8:$O$63,10,0),0)-IFERROR(IF(B27=100873,VLOOKUP("AGOSTO",[2]RETAIL!$B$78:$C$91,2,0),0),0)</f>
        <v>0</v>
      </c>
      <c r="V27" s="217"/>
      <c r="W27" s="23">
        <f>IFERROR(VLOOKUP(B27,[2]RETAIL!$B$8:$O$63,11,0),0)-IFERROR(IF(B27=100873,VLOOKUP("SEPTIEMBRE",[2]RETAIL!$B$78:$C$91,2,0),0),0)</f>
        <v>0</v>
      </c>
      <c r="X27" s="217"/>
      <c r="Y27" s="257">
        <f>IFERROR(VLOOKUP(B27,[2]RETAIL!$B$8:$O$63,12,0),0)-IFERROR(IF(B27=100873,VLOOKUP("OCTUBRE",[2]RETAIL!$B$78:$C$91,2,0),0),0)</f>
        <v>0</v>
      </c>
      <c r="Z27" s="217"/>
      <c r="AA27" s="35">
        <f>IFERROR(VLOOKUP(B27,[2]RETAIL!$B$8:$O$63,13,0),0)-IFERROR(IF(B27=100873,VLOOKUP("NOVIEMBRE",[2]RETAIL!$B$78:$C$91,2,0),0),0)</f>
        <v>0</v>
      </c>
      <c r="AB27" s="220"/>
      <c r="AC27" s="35">
        <f>IFERROR(VLOOKUP(B27,[2]RETAIL!$B$8:$O$63,14,0),0)-IFERROR(IF(B27=100873,VLOOKUP("DICIEMBRE",[2]RETAIL!$B$78:$C$91,2,0),0),0)</f>
        <v>0</v>
      </c>
      <c r="AD27" s="25">
        <f t="shared" si="0"/>
        <v>24</v>
      </c>
      <c r="AE27" s="27">
        <f t="shared" si="13"/>
        <v>19</v>
      </c>
      <c r="AF27" s="371">
        <f t="shared" si="14"/>
        <v>0.79166666666666663</v>
      </c>
      <c r="AG27" s="25">
        <f t="shared" si="15"/>
        <v>24</v>
      </c>
      <c r="AH27" s="27">
        <f t="shared" si="16"/>
        <v>19</v>
      </c>
      <c r="AI27" s="371">
        <f t="shared" si="17"/>
        <v>0.79166666666666663</v>
      </c>
      <c r="AJ27" s="25">
        <f t="shared" si="18"/>
        <v>12</v>
      </c>
      <c r="AK27" s="27">
        <f t="shared" si="19"/>
        <v>12</v>
      </c>
      <c r="AL27" s="371">
        <f t="shared" si="20"/>
        <v>1</v>
      </c>
      <c r="AM27" s="25">
        <f t="shared" si="21"/>
        <v>0</v>
      </c>
      <c r="AN27" s="27">
        <f t="shared" si="22"/>
        <v>0</v>
      </c>
      <c r="AO27" s="371">
        <f t="shared" si="23"/>
        <v>0</v>
      </c>
    </row>
    <row r="28" spans="1:67" s="4" customFormat="1" ht="15" customHeight="1" thickBot="1" x14ac:dyDescent="0.3">
      <c r="A28" s="4">
        <v>4</v>
      </c>
      <c r="B28" s="8">
        <v>100571</v>
      </c>
      <c r="C28" s="369" t="s">
        <v>48</v>
      </c>
      <c r="D28" s="8">
        <v>1212</v>
      </c>
      <c r="E28" s="309" t="s">
        <v>82</v>
      </c>
      <c r="F28" s="538">
        <v>6</v>
      </c>
      <c r="G28" s="124">
        <f>IFERROR(VLOOKUP(B28,[2]RETAIL!$B$8:$O$63,3,0),0)-IFERROR(IF(B28=100873,VLOOKUP("ENERO",[2]RETAIL!$B$78:$C$91,2,0),0),0)</f>
        <v>1</v>
      </c>
      <c r="H28" s="538">
        <v>6</v>
      </c>
      <c r="I28" s="124">
        <f>IFERROR(VLOOKUP(B28,[2]RETAIL!$B$8:$O$63,4,0),0)-IFERROR(IF(B28=100873,VLOOKUP("FEBRERO",[2]RETAIL!$B$78:$C$91,2,0),0),0)</f>
        <v>2</v>
      </c>
      <c r="J28" s="538">
        <v>6</v>
      </c>
      <c r="K28" s="124">
        <f>IFERROR(VLOOKUP(B28,[2]RETAIL!$B$8:$O$63,5,0),0)-IFERROR(IF(B28=100873,VLOOKUP("MARZO",[2]RETAIL!$B$78:$C$91,2,0),0),0)</f>
        <v>2</v>
      </c>
      <c r="L28" s="538">
        <v>6</v>
      </c>
      <c r="M28" s="124">
        <f>IFERROR(VLOOKUP(B28,[2]RETAIL!$B$8:$O$63,6,0),0)-IFERROR(IF(B28=100873,VLOOKUP("ABRIL",[2]RETAIL!$B$78:$C$91,2,0),0),0)</f>
        <v>0</v>
      </c>
      <c r="N28" s="538">
        <v>6</v>
      </c>
      <c r="O28" s="23">
        <f>IFERROR(VLOOKUP(B28,[2]RETAIL!$B$8:$O$63,7,0),0)-IFERROR(IF(B28=100873,VLOOKUP("MAYO",[2]RETAIL!$B$78:$C$91,2,0),0),0)</f>
        <v>0</v>
      </c>
      <c r="P28" s="538">
        <v>6</v>
      </c>
      <c r="Q28" s="87">
        <f>IFERROR(VLOOKUP(B28,[2]RETAIL!$B$8:$O$63,8,0),0)-IFERROR(IF(B28=100873,VLOOKUP("JUNIO",[2]RETAIL!$B$78:$C$91,2,0),0),0)</f>
        <v>3</v>
      </c>
      <c r="R28" s="217"/>
      <c r="S28" s="23">
        <f>IFERROR(VLOOKUP(B28,[2]RETAIL!$B$8:$O$63,9,0),0)-IFERROR(IF(B28=100873,VLOOKUP("JULIO",[2]RETAIL!$B$78:$C$91,2,0),0),0)</f>
        <v>0</v>
      </c>
      <c r="T28" s="217"/>
      <c r="U28" s="124">
        <f>IFERROR(VLOOKUP(B28,[2]RETAIL!$B$8:$O$63,10,0),0)-IFERROR(IF(B28=100873,VLOOKUP("AGOSTO",[2]RETAIL!$B$78:$C$91,2,0),0),0)</f>
        <v>0</v>
      </c>
      <c r="V28" s="217"/>
      <c r="W28" s="23">
        <f>IFERROR(VLOOKUP(B28,[2]RETAIL!$B$8:$O$63,11,0),0)-IFERROR(IF(B28=100873,VLOOKUP("SEPTIEMBRE",[2]RETAIL!$B$78:$C$91,2,0),0),0)</f>
        <v>0</v>
      </c>
      <c r="X28" s="217"/>
      <c r="Y28" s="257">
        <f>IFERROR(VLOOKUP(B28,[2]RETAIL!$B$8:$O$63,12,0),0)-IFERROR(IF(B28=100873,VLOOKUP("OCTUBRE",[2]RETAIL!$B$78:$C$91,2,0),0),0)</f>
        <v>0</v>
      </c>
      <c r="Z28" s="217"/>
      <c r="AA28" s="35">
        <f>IFERROR(VLOOKUP(B28,[2]RETAIL!$B$8:$O$63,13,0),0)-IFERROR(IF(B28=100873,VLOOKUP("NOVIEMBRE",[2]RETAIL!$B$78:$C$91,2,0),0),0)</f>
        <v>0</v>
      </c>
      <c r="AB28" s="220"/>
      <c r="AC28" s="35">
        <f>IFERROR(VLOOKUP(B28,[2]RETAIL!$B$8:$O$63,14,0),0)-IFERROR(IF(B28=100873,VLOOKUP("DICIEMBRE",[2]RETAIL!$B$78:$C$91,2,0),0),0)</f>
        <v>0</v>
      </c>
      <c r="AD28" s="25">
        <f t="shared" si="0"/>
        <v>36</v>
      </c>
      <c r="AE28" s="27">
        <f t="shared" si="13"/>
        <v>8</v>
      </c>
      <c r="AF28" s="371">
        <f t="shared" si="14"/>
        <v>0.22222222222222221</v>
      </c>
      <c r="AG28" s="25">
        <f t="shared" si="15"/>
        <v>36</v>
      </c>
      <c r="AH28" s="27">
        <f t="shared" si="16"/>
        <v>8</v>
      </c>
      <c r="AI28" s="371">
        <f t="shared" si="17"/>
        <v>0.22222222222222221</v>
      </c>
      <c r="AJ28" s="25">
        <f t="shared" si="18"/>
        <v>18</v>
      </c>
      <c r="AK28" s="27">
        <f t="shared" si="19"/>
        <v>5</v>
      </c>
      <c r="AL28" s="371">
        <f t="shared" si="20"/>
        <v>0.27777777777777779</v>
      </c>
      <c r="AM28" s="25">
        <f t="shared" si="21"/>
        <v>0</v>
      </c>
      <c r="AN28" s="27">
        <f t="shared" si="22"/>
        <v>0</v>
      </c>
      <c r="AO28" s="371">
        <f t="shared" si="23"/>
        <v>0</v>
      </c>
    </row>
    <row r="29" spans="1:67" s="4" customFormat="1" ht="15" customHeight="1" thickBot="1" x14ac:dyDescent="0.3">
      <c r="B29" s="7" t="s">
        <v>266</v>
      </c>
      <c r="C29" s="28"/>
      <c r="D29" s="29"/>
      <c r="E29" s="7"/>
      <c r="F29" s="314">
        <f t="shared" ref="F29:AC29" si="24">SUM(F22:F28)</f>
        <v>59</v>
      </c>
      <c r="G29" s="389">
        <f t="shared" si="24"/>
        <v>38</v>
      </c>
      <c r="H29" s="314">
        <f t="shared" si="24"/>
        <v>60</v>
      </c>
      <c r="I29" s="389">
        <f t="shared" si="24"/>
        <v>38</v>
      </c>
      <c r="J29" s="314">
        <f t="shared" si="24"/>
        <v>60</v>
      </c>
      <c r="K29" s="389">
        <f t="shared" si="24"/>
        <v>37</v>
      </c>
      <c r="L29" s="314">
        <f t="shared" si="24"/>
        <v>61</v>
      </c>
      <c r="M29" s="389">
        <f t="shared" si="24"/>
        <v>46</v>
      </c>
      <c r="N29" s="314">
        <f t="shared" si="24"/>
        <v>61</v>
      </c>
      <c r="O29" s="389">
        <f t="shared" si="24"/>
        <v>34</v>
      </c>
      <c r="P29" s="314">
        <f t="shared" si="24"/>
        <v>61</v>
      </c>
      <c r="Q29" s="389">
        <f t="shared" si="24"/>
        <v>75</v>
      </c>
      <c r="R29" s="314">
        <f t="shared" si="24"/>
        <v>11</v>
      </c>
      <c r="S29" s="389">
        <f t="shared" si="24"/>
        <v>0</v>
      </c>
      <c r="T29" s="314">
        <f t="shared" si="24"/>
        <v>10</v>
      </c>
      <c r="U29" s="389">
        <f t="shared" si="24"/>
        <v>0</v>
      </c>
      <c r="V29" s="314">
        <f t="shared" si="24"/>
        <v>11</v>
      </c>
      <c r="W29" s="389">
        <f t="shared" si="24"/>
        <v>0</v>
      </c>
      <c r="X29" s="314">
        <f t="shared" si="24"/>
        <v>11</v>
      </c>
      <c r="Y29" s="389">
        <f t="shared" si="24"/>
        <v>0</v>
      </c>
      <c r="Z29" s="314">
        <f t="shared" si="24"/>
        <v>11</v>
      </c>
      <c r="AA29" s="389">
        <f t="shared" si="24"/>
        <v>0</v>
      </c>
      <c r="AB29" s="314">
        <f t="shared" si="24"/>
        <v>11</v>
      </c>
      <c r="AC29" s="389">
        <f t="shared" si="24"/>
        <v>0</v>
      </c>
      <c r="AD29" s="277">
        <f t="shared" si="0"/>
        <v>362</v>
      </c>
      <c r="AE29" s="88">
        <f>IF($AD$2="ENERO",G29,IF($AD$2="FEBRERO",G29+I29,IF($AD$2="MARZO",G29+I29+K29,IF($AD$2="ABRIL",G29+I29+K29+M29,IF($AD$2="MAYO",G29+I29+K29+M29+O29,IF($AD$2="JUNIO",G29+I29+K29+M29+O29+Q29,IF($AD$2="JULIO",G29+I29+K29+M29+O29+Q29+S29,IF($AD$2="AGOSTO",G29+I29+K29+M29+O29+Q29+S29+U29,IF($AD$2="SEPTIEMBRE",G29+I29+K29+M29+O29+Q29+S29+U29+W29,IF($AD$2="OCTUBRE",G29+I29+K29+M29+O29+Q29+S29+U29+W29+Y29,IF($AD$2="NOVIEMBRE",G29+I29+K29+M29+O29+Q29+S29+U29+W29+Y29+AA29,IF($AD$2="DICIEMBRE",G29+I29+K29+M29+O29+Q29+S29+U29+W29+Y29+AA29+AC29,""))))))))))))</f>
        <v>268</v>
      </c>
      <c r="AF29" s="390">
        <f t="shared" si="14"/>
        <v>0.74033149171270718</v>
      </c>
      <c r="AG29" s="200">
        <f t="shared" si="15"/>
        <v>427</v>
      </c>
      <c r="AH29" s="391">
        <f>IF($AD$2="ENERO",G29,IF($AD$2="FEBRERO",G29+I29,IF($AD$2="MARZO",G29+I29+K29,IF($AD$2="ABRIL",G29+I29+K29+M29,IF($AD$2="MAYO",G29+I29+K29+M29+O29,IF($AD$2="JUNIO",G29+I29+K29+M29+O29+Q29,IF($AD$2="JULIO",G29+I29+K29+M29+O29+Q29+S29,IF($AD$2="AGOSTO",G29+I29+K29+M29+O29+Q29+S29+U29,IF($AD$2="SEPTIEMBRE",G29+I29+K29+M29+O29+Q29+S29+U29+W29,IF($AD$2="OCTUBRE",G29+I29+K29+M29+O29+Q29+S29+U29+W29+Y29,IF($AD$2="NOVIEMBRE",G29+I29+K29+M29+O29+Q29+S29+U29+W29+Y29+AA29,IF($AD$2="DICIEMBRE",G29+I29+K29+M29+O29+Q29+S29+U29+W29+Y29+AA29+AC29,""))))))))))))</f>
        <v>268</v>
      </c>
      <c r="AI29" s="390">
        <f t="shared" si="17"/>
        <v>0.6276346604215457</v>
      </c>
      <c r="AJ29" s="30">
        <f t="shared" si="18"/>
        <v>179</v>
      </c>
      <c r="AK29" s="33">
        <f t="shared" si="19"/>
        <v>113</v>
      </c>
      <c r="AL29" s="276">
        <f t="shared" si="20"/>
        <v>0.63128491620111726</v>
      </c>
      <c r="AM29" s="200">
        <f t="shared" si="21"/>
        <v>65</v>
      </c>
      <c r="AN29" s="391">
        <f t="shared" si="22"/>
        <v>0</v>
      </c>
      <c r="AO29" s="390">
        <f t="shared" si="23"/>
        <v>0</v>
      </c>
    </row>
    <row r="30" spans="1:67" s="4" customFormat="1" ht="15" customHeight="1" x14ac:dyDescent="0.25">
      <c r="A30" s="4">
        <v>5</v>
      </c>
      <c r="B30" s="8">
        <v>100015</v>
      </c>
      <c r="C30" s="369" t="s">
        <v>51</v>
      </c>
      <c r="D30" s="8">
        <v>22761</v>
      </c>
      <c r="E30" s="309" t="s">
        <v>79</v>
      </c>
      <c r="F30" s="219">
        <v>12</v>
      </c>
      <c r="G30" s="124">
        <f>IFERROR(VLOOKUP(B30,[2]RETAIL!$B$8:$O$63,3,0),0)-IFERROR(IF(B30=100873,VLOOKUP("ENERO",[2]RETAIL!$B$78:$C$91,2,0),0),0)</f>
        <v>9</v>
      </c>
      <c r="H30" s="219">
        <v>12</v>
      </c>
      <c r="I30" s="124">
        <f>IFERROR(VLOOKUP(B30,[2]RETAIL!$B$8:$O$63,4,0),0)-IFERROR(IF(B30=100873,VLOOKUP("FEBRERO",[2]RETAIL!$B$78:$C$91,2,0),0),0)</f>
        <v>8</v>
      </c>
      <c r="J30" s="219">
        <v>12</v>
      </c>
      <c r="K30" s="124">
        <f>IFERROR(VLOOKUP(B30,[2]RETAIL!$B$8:$O$63,5,0),0)-IFERROR(IF(B30=100873,VLOOKUP("MARZO",[2]RETAIL!$B$78:$C$91,2,0),0),0)</f>
        <v>9</v>
      </c>
      <c r="L30" s="219">
        <v>13</v>
      </c>
      <c r="M30" s="124">
        <f>IFERROR(VLOOKUP(B30,[2]RETAIL!$B$8:$O$63,6,0),0)-IFERROR(IF(B30=100873,VLOOKUP("ABRIL",[2]RETAIL!$B$78:$C$91,2,0),0),0)</f>
        <v>9</v>
      </c>
      <c r="N30" s="219">
        <v>13</v>
      </c>
      <c r="O30" s="23">
        <f>IFERROR(VLOOKUP(B30,[2]RETAIL!$B$8:$O$63,7,0),0)-IFERROR(IF(B30=100873,VLOOKUP("MAYO",[2]RETAIL!$B$78:$C$91,2,0),0),0)</f>
        <v>10</v>
      </c>
      <c r="P30" s="219">
        <v>13</v>
      </c>
      <c r="Q30" s="87">
        <f>IFERROR(VLOOKUP(B30,[2]RETAIL!$B$8:$O$63,8,0),0)-IFERROR(IF(B30=100873,VLOOKUP("JUNIO",[2]RETAIL!$B$78:$C$91,2,0),0),0)</f>
        <v>22</v>
      </c>
      <c r="R30" s="219">
        <v>11</v>
      </c>
      <c r="S30" s="23">
        <f>IFERROR(VLOOKUP(B30,[2]RETAIL!$B$8:$O$63,9,0),0)-IFERROR(IF(B30=100873,VLOOKUP("JULIO",[2]RETAIL!$B$78:$C$91,2,0),0),0)</f>
        <v>0</v>
      </c>
      <c r="T30" s="217">
        <v>9</v>
      </c>
      <c r="U30" s="124">
        <f>IFERROR(VLOOKUP(B30,[2]RETAIL!$B$8:$O$63,10,0),0)-IFERROR(IF(B30=100873,VLOOKUP("AGOSTO",[2]RETAIL!$B$78:$C$91,2,0),0),0)</f>
        <v>0</v>
      </c>
      <c r="V30" s="217">
        <v>12</v>
      </c>
      <c r="W30" s="23">
        <f>IFERROR(VLOOKUP(B30,[2]RETAIL!$B$8:$O$63,11,0),0)-IFERROR(IF(B30=100873,VLOOKUP("SEPTIEMBRE",[2]RETAIL!$B$78:$C$91,2,0),0),0)</f>
        <v>0</v>
      </c>
      <c r="X30" s="217">
        <v>12</v>
      </c>
      <c r="Y30" s="257">
        <f>IFERROR(VLOOKUP(B30,[2]RETAIL!$B$8:$O$63,12,0),0)-IFERROR(IF(B30=100873,VLOOKUP("OCTUBRE",[2]RETAIL!$B$78:$C$91,2,0),0),0)</f>
        <v>0</v>
      </c>
      <c r="Z30" s="217">
        <v>12</v>
      </c>
      <c r="AA30" s="35">
        <f>IFERROR(VLOOKUP(B30,[2]RETAIL!$B$8:$O$63,13,0),0)-IFERROR(IF(B30=100873,VLOOKUP("NOVIEMBRE",[2]RETAIL!$B$78:$C$91,2,0),0),0)</f>
        <v>0</v>
      </c>
      <c r="AB30" s="220">
        <v>11</v>
      </c>
      <c r="AC30" s="35">
        <f>IFERROR(VLOOKUP(B30,[2]RETAIL!$B$8:$O$63,14,0),0)-IFERROR(IF(B30=100873,VLOOKUP("DICIEMBRE",[2]RETAIL!$B$78:$C$91,2,0),0),0)</f>
        <v>0</v>
      </c>
      <c r="AD30" s="25">
        <f t="shared" si="0"/>
        <v>75</v>
      </c>
      <c r="AE30" s="27">
        <f>IFERROR(IF($AD$2="ENERO",G30,IF($AD$2="FEBRERO",G30+I30,IF($AD$2="MARZO",G30+I30+K30,IF($AD$2="ABRIL",G30+I30+K30+M30,IF($AD$2="MAYO",G30+I30+K30+M30+O30,IF($AD$2="JUNIO",G30+I30+K30+M30+O30+Q30,IF($AD$2="JULIO",G30+I30+K30+M30+O30+Q30+S30,IF($AD$2="AGOSTO",G30+I30+K30+M30+O30+Q30+S30+U30,IF($AD$2="SEPTIEMBRE",G30+I30+K30+M30+O30+Q30+S30+U30+W30,IF($AD$2="OCTUBRE",G30+I30+K30+M30+O30+Q30+S30+U30+W30+Y30,IF($AD$2="NOVIEMBRE",G30+I30+K30+M30+O30+Q30+S30+U30+W30+Y30+AA30,IF($AD$2="DICIEMBRE",G30+I30+K30+M30+O30+Q30+S30+U30+W30+Y30+AA30+AC30,"")))))))))))),0)</f>
        <v>67</v>
      </c>
      <c r="AF30" s="371">
        <f t="shared" si="14"/>
        <v>0.89333333333333331</v>
      </c>
      <c r="AG30" s="25">
        <f t="shared" si="15"/>
        <v>142</v>
      </c>
      <c r="AH30" s="27">
        <f>IFERROR(IF($AD$2="ENERO",G30,IF($AD$2="FEBRERO",G30+I30,IF($AD$2="MARZO",G30+I30+K30,IF($AD$2="ABRIL",G30+I30+K30+M30,IF($AD$2="MAYO",G30+I30+K30+M30+O30,IF($AD$2="JUNIO",G30+I30+K30+M30+O30+Q30,IF($AD$2="JULIO",G30+I30+K30+M30+O30+Q30+S30,IF($AD$2="AGOSTO",G30+I30+K30+M30+O30+Q30+S30+U30,IF($AD$2="SEPTIEMBRE",G30+I30+K30+M30+O30+Q30+S30+U30+W30,IF($AD$2="OCTUBRE",G30+I30+K30+M30+O30+Q30+S30+U30+W30+Y30,IF($AD$2="NOVIEMBRE",G30+I30+K30+M30+O30+Q30+S30+U30+W30+Y30+AA30,IF($AD$2="DICIEMBRE",G30+I30+K30+M30+O30+Q30+S30+U30+W30+Y30+AA30+AC30,"")))))))))))),0)</f>
        <v>67</v>
      </c>
      <c r="AI30" s="371">
        <f t="shared" si="17"/>
        <v>0.47183098591549294</v>
      </c>
      <c r="AJ30" s="25">
        <f t="shared" si="18"/>
        <v>36</v>
      </c>
      <c r="AK30" s="27">
        <f t="shared" si="19"/>
        <v>26</v>
      </c>
      <c r="AL30" s="371">
        <f t="shared" si="20"/>
        <v>0.72222222222222221</v>
      </c>
      <c r="AM30" s="25">
        <f t="shared" si="21"/>
        <v>67</v>
      </c>
      <c r="AN30" s="27">
        <f t="shared" si="22"/>
        <v>0</v>
      </c>
      <c r="AO30" s="371">
        <f t="shared" si="23"/>
        <v>0</v>
      </c>
    </row>
    <row r="31" spans="1:67" s="4" customFormat="1" ht="15" customHeight="1" x14ac:dyDescent="0.25">
      <c r="A31" s="4">
        <v>5</v>
      </c>
      <c r="B31" s="8">
        <v>100190</v>
      </c>
      <c r="C31" s="369" t="s">
        <v>52</v>
      </c>
      <c r="D31" s="8">
        <v>22761</v>
      </c>
      <c r="E31" s="309" t="s">
        <v>79</v>
      </c>
      <c r="F31" s="217">
        <v>16</v>
      </c>
      <c r="G31" s="124">
        <f>IFERROR(VLOOKUP(B31,[2]RETAIL!$B$8:$O$63,3,0),0)-IFERROR(IF(B31=100873,VLOOKUP("ENERO",[2]RETAIL!$B$78:$C$91,2,0),0),0)</f>
        <v>13</v>
      </c>
      <c r="H31" s="217">
        <v>16</v>
      </c>
      <c r="I31" s="124">
        <f>IFERROR(VLOOKUP(B31,[2]RETAIL!$B$8:$O$63,4,0),0)-IFERROR(IF(B31=100873,VLOOKUP("FEBRERO",[2]RETAIL!$B$78:$C$91,2,0),0),0)</f>
        <v>11</v>
      </c>
      <c r="J31" s="217">
        <v>17</v>
      </c>
      <c r="K31" s="124">
        <f>IFERROR(VLOOKUP(B31,[2]RETAIL!$B$8:$O$63,5,0),0)-IFERROR(IF(B31=100873,VLOOKUP("MARZO",[2]RETAIL!$B$78:$C$91,2,0),0),0)</f>
        <v>15</v>
      </c>
      <c r="L31" s="217">
        <v>17</v>
      </c>
      <c r="M31" s="124">
        <f>IFERROR(VLOOKUP(B31,[2]RETAIL!$B$8:$O$63,6,0),0)-IFERROR(IF(B31=100873,VLOOKUP("ABRIL",[2]RETAIL!$B$78:$C$91,2,0),0),0)</f>
        <v>21</v>
      </c>
      <c r="N31" s="217">
        <v>17</v>
      </c>
      <c r="O31" s="23">
        <f>IFERROR(VLOOKUP(B31,[2]RETAIL!$B$8:$O$63,7,0),0)-IFERROR(IF(B31=100873,VLOOKUP("MAYO",[2]RETAIL!$B$78:$C$91,2,0),0),0)</f>
        <v>17</v>
      </c>
      <c r="P31" s="217">
        <v>17</v>
      </c>
      <c r="Q31" s="87">
        <f>IFERROR(VLOOKUP(B31,[2]RETAIL!$B$8:$O$63,8,0),0)-IFERROR(IF(B31=100873,VLOOKUP("JUNIO",[2]RETAIL!$B$78:$C$91,2,0),0),0)</f>
        <v>24</v>
      </c>
      <c r="R31" s="217">
        <v>15</v>
      </c>
      <c r="S31" s="23">
        <f>IFERROR(VLOOKUP(B31,[2]RETAIL!$B$8:$O$63,9,0),0)-IFERROR(IF(B31=100873,VLOOKUP("JULIO",[2]RETAIL!$B$78:$C$91,2,0),0),0)</f>
        <v>0</v>
      </c>
      <c r="T31" s="217">
        <v>12</v>
      </c>
      <c r="U31" s="124">
        <f>IFERROR(VLOOKUP(B31,[2]RETAIL!$B$8:$O$63,10,0),0)-IFERROR(IF(B31=100873,VLOOKUP("AGOSTO",[2]RETAIL!$B$78:$C$91,2,0),0),0)</f>
        <v>0</v>
      </c>
      <c r="V31" s="217">
        <v>15</v>
      </c>
      <c r="W31" s="23">
        <f>IFERROR(VLOOKUP(B31,[2]RETAIL!$B$8:$O$63,11,0),0)-IFERROR(IF(B31=100873,VLOOKUP("SEPTIEMBRE",[2]RETAIL!$B$78:$C$91,2,0),0),0)</f>
        <v>0</v>
      </c>
      <c r="X31" s="217">
        <v>16</v>
      </c>
      <c r="Y31" s="257">
        <f>IFERROR(VLOOKUP(B31,[2]RETAIL!$B$8:$O$63,12,0),0)-IFERROR(IF(B31=100873,VLOOKUP("OCTUBRE",[2]RETAIL!$B$78:$C$91,2,0),0),0)</f>
        <v>0</v>
      </c>
      <c r="Z31" s="217">
        <v>17</v>
      </c>
      <c r="AA31" s="35">
        <f>IFERROR(VLOOKUP(B31,[2]RETAIL!$B$8:$O$63,13,0),0)-IFERROR(IF(B31=100873,VLOOKUP("NOVIEMBRE",[2]RETAIL!$B$78:$C$91,2,0),0),0)</f>
        <v>0</v>
      </c>
      <c r="AB31" s="220">
        <v>15</v>
      </c>
      <c r="AC31" s="35">
        <f>IFERROR(VLOOKUP(B31,[2]RETAIL!$B$8:$O$63,14,0),0)-IFERROR(IF(B31=100873,VLOOKUP("DICIEMBRE",[2]RETAIL!$B$78:$C$91,2,0),0),0)</f>
        <v>0</v>
      </c>
      <c r="AD31" s="25">
        <f t="shared" si="0"/>
        <v>100</v>
      </c>
      <c r="AE31" s="27">
        <f>IFERROR(IF($AD$2="ENERO",G31,IF($AD$2="FEBRERO",G31+I31,IF($AD$2="MARZO",G31+I31+K31,IF($AD$2="ABRIL",G31+I31+K31+M31,IF($AD$2="MAYO",G31+I31+K31+M31+O31,IF($AD$2="JUNIO",G31+I31+K31+M31+O31+Q31,IF($AD$2="JULIO",G31+I31+K31+M31+O31+Q31+S31,IF($AD$2="AGOSTO",G31+I31+K31+M31+O31+Q31+S31+U31,IF($AD$2="SEPTIEMBRE",G31+I31+K31+M31+O31+Q31+S31+U31+W31,IF($AD$2="OCTUBRE",G31+I31+K31+M31+O31+Q31+S31+U31+W31+Y31,IF($AD$2="NOVIEMBRE",G31+I31+K31+M31+O31+Q31+S31+U31+W31+Y31+AA31,IF($AD$2="DICIEMBRE",G31+I31+K31+M31+O31+Q31+S31+U31+W31+Y31+AA31+AC31,"")))))))))))),0)</f>
        <v>101</v>
      </c>
      <c r="AF31" s="371">
        <f t="shared" si="14"/>
        <v>1.01</v>
      </c>
      <c r="AG31" s="25">
        <f t="shared" si="15"/>
        <v>190</v>
      </c>
      <c r="AH31" s="27">
        <f>IFERROR(IF($AD$2="ENERO",G31,IF($AD$2="FEBRERO",G31+I31,IF($AD$2="MARZO",G31+I31+K31,IF($AD$2="ABRIL",G31+I31+K31+M31,IF($AD$2="MAYO",G31+I31+K31+M31+O31,IF($AD$2="JUNIO",G31+I31+K31+M31+O31+Q31,IF($AD$2="JULIO",G31+I31+K31+M31+O31+Q31+S31,IF($AD$2="AGOSTO",G31+I31+K31+M31+O31+Q31+S31+U31,IF($AD$2="SEPTIEMBRE",G31+I31+K31+M31+O31+Q31+S31+U31+W31,IF($AD$2="OCTUBRE",G31+I31+K31+M31+O31+Q31+S31+U31+W31+Y31,IF($AD$2="NOVIEMBRE",G31+I31+K31+M31+O31+Q31+S31+U31+W31+Y31+AA31,IF($AD$2="DICIEMBRE",G31+I31+K31+M31+O31+Q31+S31+U31+W31+Y31+AA31+AC31,"")))))))))))),0)</f>
        <v>101</v>
      </c>
      <c r="AI31" s="371">
        <f t="shared" si="17"/>
        <v>0.53157894736842104</v>
      </c>
      <c r="AJ31" s="25">
        <f t="shared" si="18"/>
        <v>49</v>
      </c>
      <c r="AK31" s="27">
        <f t="shared" si="19"/>
        <v>39</v>
      </c>
      <c r="AL31" s="371">
        <f t="shared" si="20"/>
        <v>0.79591836734693877</v>
      </c>
      <c r="AM31" s="25">
        <f t="shared" si="21"/>
        <v>90</v>
      </c>
      <c r="AN31" s="27">
        <f t="shared" si="22"/>
        <v>0</v>
      </c>
      <c r="AO31" s="371">
        <f t="shared" si="23"/>
        <v>0</v>
      </c>
    </row>
    <row r="32" spans="1:67" s="4" customFormat="1" ht="15" customHeight="1" x14ac:dyDescent="0.25">
      <c r="A32" s="4">
        <v>5</v>
      </c>
      <c r="B32" s="8">
        <v>100379</v>
      </c>
      <c r="C32" s="369" t="s">
        <v>9</v>
      </c>
      <c r="D32" s="8">
        <v>22761</v>
      </c>
      <c r="E32" s="309" t="s">
        <v>79</v>
      </c>
      <c r="F32" s="217">
        <v>18</v>
      </c>
      <c r="G32" s="124">
        <f>IFERROR(VLOOKUP(B32,[2]RETAIL!$B$8:$O$63,3,0),0)-IFERROR(IF(B32=100873,VLOOKUP("ENERO",[2]RETAIL!$B$78:$C$91,2,0),0),0)</f>
        <v>13</v>
      </c>
      <c r="H32" s="217">
        <v>18</v>
      </c>
      <c r="I32" s="124">
        <f>IFERROR(VLOOKUP(B32,[2]RETAIL!$B$8:$O$63,4,0),0)-IFERROR(IF(B32=100873,VLOOKUP("FEBRERO",[2]RETAIL!$B$78:$C$91,2,0),0),0)</f>
        <v>15</v>
      </c>
      <c r="J32" s="217">
        <v>18</v>
      </c>
      <c r="K32" s="124">
        <f>IFERROR(VLOOKUP(B32,[2]RETAIL!$B$8:$O$63,5,0),0)-IFERROR(IF(B32=100873,VLOOKUP("MARZO",[2]RETAIL!$B$78:$C$91,2,0),0),0)</f>
        <v>20</v>
      </c>
      <c r="L32" s="217">
        <v>18</v>
      </c>
      <c r="M32" s="124">
        <f>IFERROR(VLOOKUP(B32,[2]RETAIL!$B$8:$O$63,6,0),0)-IFERROR(IF(B32=100873,VLOOKUP("ABRIL",[2]RETAIL!$B$78:$C$91,2,0),0),0)</f>
        <v>11</v>
      </c>
      <c r="N32" s="217">
        <v>19</v>
      </c>
      <c r="O32" s="23">
        <f>IFERROR(VLOOKUP(B32,[2]RETAIL!$B$8:$O$63,7,0),0)-IFERROR(IF(B32=100873,VLOOKUP("MAYO",[2]RETAIL!$B$78:$C$91,2,0),0),0)</f>
        <v>27</v>
      </c>
      <c r="P32" s="217">
        <v>19</v>
      </c>
      <c r="Q32" s="87">
        <f>IFERROR(VLOOKUP(B32,[2]RETAIL!$B$8:$O$63,8,0),0)-IFERROR(IF(B32=100873,VLOOKUP("JUNIO",[2]RETAIL!$B$78:$C$91,2,0),0),0)</f>
        <v>33</v>
      </c>
      <c r="R32" s="217">
        <v>15</v>
      </c>
      <c r="S32" s="23">
        <f>IFERROR(VLOOKUP(B32,[2]RETAIL!$B$8:$O$63,9,0),0)-IFERROR(IF(B32=100873,VLOOKUP("JULIO",[2]RETAIL!$B$78:$C$91,2,0),0),0)</f>
        <v>0</v>
      </c>
      <c r="T32" s="217">
        <v>14</v>
      </c>
      <c r="U32" s="124">
        <f>IFERROR(VLOOKUP(B32,[2]RETAIL!$B$8:$O$63,10,0),0)-IFERROR(IF(B32=100873,VLOOKUP("AGOSTO",[2]RETAIL!$B$78:$C$91,2,0),0),0)</f>
        <v>0</v>
      </c>
      <c r="V32" s="217">
        <v>15</v>
      </c>
      <c r="W32" s="23">
        <f>IFERROR(VLOOKUP(B32,[2]RETAIL!$B$8:$O$63,11,0),0)-IFERROR(IF(B32=100873,VLOOKUP("SEPTIEMBRE",[2]RETAIL!$B$78:$C$91,2,0),0),0)</f>
        <v>0</v>
      </c>
      <c r="X32" s="217">
        <v>20</v>
      </c>
      <c r="Y32" s="257">
        <f>IFERROR(VLOOKUP(B32,[2]RETAIL!$B$8:$O$63,12,0),0)-IFERROR(IF(B32=100873,VLOOKUP("OCTUBRE",[2]RETAIL!$B$78:$C$91,2,0),0),0)</f>
        <v>0</v>
      </c>
      <c r="Z32" s="217">
        <v>19</v>
      </c>
      <c r="AA32" s="35">
        <f>IFERROR(VLOOKUP(B32,[2]RETAIL!$B$8:$O$63,13,0),0)-IFERROR(IF(B32=100873,VLOOKUP("NOVIEMBRE",[2]RETAIL!$B$78:$C$91,2,0),0),0)</f>
        <v>0</v>
      </c>
      <c r="AB32" s="220">
        <v>17</v>
      </c>
      <c r="AC32" s="35">
        <f>IFERROR(VLOOKUP(B32,[2]RETAIL!$B$8:$O$63,14,0),0)-IFERROR(IF(B32=100873,VLOOKUP("DICIEMBRE",[2]RETAIL!$B$78:$C$91,2,0),0),0)</f>
        <v>0</v>
      </c>
      <c r="AD32" s="25">
        <f t="shared" si="0"/>
        <v>110</v>
      </c>
      <c r="AE32" s="27">
        <f>IFERROR(IF($AD$2="ENERO",G32,IF($AD$2="FEBRERO",G32+I32,IF($AD$2="MARZO",G32+I32+K32,IF($AD$2="ABRIL",G32+I32+K32+M32,IF($AD$2="MAYO",G32+I32+K32+M32+O32,IF($AD$2="JUNIO",G32+I32+K32+M32+O32+Q32,IF($AD$2="JULIO",G32+I32+K32+M32+O32+Q32+S32,IF($AD$2="AGOSTO",G32+I32+K32+M32+O32+Q32+S32+U32,IF($AD$2="SEPTIEMBRE",G32+I32+K32+M32+O32+Q32+S32+U32+W32,IF($AD$2="OCTUBRE",G32+I32+K32+M32+O32+Q32+S32+U32+W32+Y32,IF($AD$2="NOVIEMBRE",G32+I32+K32+M32+O32+Q32+S32+U32+W32+Y32+AA32,IF($AD$2="DICIEMBRE",G32+I32+K32+M32+O32+Q32+S32+U32+W32+Y32+AA32+AC32,"")))))))))))),0)</f>
        <v>119</v>
      </c>
      <c r="AF32" s="371">
        <f t="shared" si="14"/>
        <v>1.0818181818181818</v>
      </c>
      <c r="AG32" s="25">
        <f t="shared" si="15"/>
        <v>210</v>
      </c>
      <c r="AH32" s="27">
        <f>IFERROR(IF($AD$2="ENERO",G32,IF($AD$2="FEBRERO",G32+I32,IF($AD$2="MARZO",G32+I32+K32,IF($AD$2="ABRIL",G32+I32+K32+M32,IF($AD$2="MAYO",G32+I32+K32+M32+O32,IF($AD$2="JUNIO",G32+I32+K32+M32+O32+Q32,IF($AD$2="JULIO",G32+I32+K32+M32+O32+Q32+S32,IF($AD$2="AGOSTO",G32+I32+K32+M32+O32+Q32+S32+U32,IF($AD$2="SEPTIEMBRE",G32+I32+K32+M32+O32+Q32+S32+U32+W32,IF($AD$2="OCTUBRE",G32+I32+K32+M32+O32+Q32+S32+U32+W32+Y32,IF($AD$2="NOVIEMBRE",G32+I32+K32+M32+O32+Q32+S32+U32+W32+Y32+AA32,IF($AD$2="DICIEMBRE",G32+I32+K32+M32+O32+Q32+S32+U32+W32+Y32+AA32+AC32,"")))))))))))),0)</f>
        <v>119</v>
      </c>
      <c r="AI32" s="371">
        <f t="shared" si="17"/>
        <v>0.56666666666666665</v>
      </c>
      <c r="AJ32" s="25">
        <f t="shared" si="18"/>
        <v>54</v>
      </c>
      <c r="AK32" s="27">
        <f t="shared" si="19"/>
        <v>48</v>
      </c>
      <c r="AL32" s="371">
        <f t="shared" si="20"/>
        <v>0.88888888888888884</v>
      </c>
      <c r="AM32" s="25">
        <f t="shared" si="21"/>
        <v>100</v>
      </c>
      <c r="AN32" s="27">
        <f t="shared" si="22"/>
        <v>0</v>
      </c>
      <c r="AO32" s="371">
        <f t="shared" si="23"/>
        <v>0</v>
      </c>
    </row>
    <row r="33" spans="1:41" s="4" customFormat="1" ht="15" customHeight="1" x14ac:dyDescent="0.25">
      <c r="A33" s="4">
        <v>5</v>
      </c>
      <c r="B33" s="8">
        <v>100410</v>
      </c>
      <c r="C33" s="369" t="s">
        <v>22</v>
      </c>
      <c r="D33" s="8">
        <v>22761</v>
      </c>
      <c r="E33" s="309" t="s">
        <v>79</v>
      </c>
      <c r="F33" s="217">
        <v>23</v>
      </c>
      <c r="G33" s="124">
        <f>IFERROR(VLOOKUP(B33,[2]RETAIL!$B$8:$O$63,3,0),0)-IFERROR(IF(B33=100873,VLOOKUP("ENERO",[2]RETAIL!$B$78:$C$91,2,0),0),0)</f>
        <v>24</v>
      </c>
      <c r="H33" s="217">
        <v>23</v>
      </c>
      <c r="I33" s="124">
        <f>IFERROR(VLOOKUP(B33,[2]RETAIL!$B$8:$O$63,4,0),0)-IFERROR(IF(B33=100873,VLOOKUP("FEBRERO",[2]RETAIL!$B$78:$C$91,2,0),0),0)</f>
        <v>13</v>
      </c>
      <c r="J33" s="217">
        <v>23</v>
      </c>
      <c r="K33" s="124">
        <f>IFERROR(VLOOKUP(B33,[2]RETAIL!$B$8:$O$63,5,0),0)-IFERROR(IF(B33=100873,VLOOKUP("MARZO",[2]RETAIL!$B$78:$C$91,2,0),0),0)</f>
        <v>28</v>
      </c>
      <c r="L33" s="217">
        <v>23</v>
      </c>
      <c r="M33" s="124">
        <f>IFERROR(VLOOKUP(B33,[2]RETAIL!$B$8:$O$63,6,0),0)-IFERROR(IF(B33=100873,VLOOKUP("ABRIL",[2]RETAIL!$B$78:$C$91,2,0),0),0)</f>
        <v>12</v>
      </c>
      <c r="N33" s="217">
        <v>24</v>
      </c>
      <c r="O33" s="23">
        <f>IFERROR(VLOOKUP(B33,[2]RETAIL!$B$8:$O$63,7,0),0)-IFERROR(IF(B33=100873,VLOOKUP("MAYO",[2]RETAIL!$B$78:$C$91,2,0),0),0)</f>
        <v>30</v>
      </c>
      <c r="P33" s="217">
        <v>24</v>
      </c>
      <c r="Q33" s="87">
        <f>IFERROR(VLOOKUP(B33,[2]RETAIL!$B$8:$O$63,8,0),0)-IFERROR(IF(B33=100873,VLOOKUP("JUNIO",[2]RETAIL!$B$78:$C$91,2,0),0),0)</f>
        <v>39</v>
      </c>
      <c r="R33" s="217">
        <v>20</v>
      </c>
      <c r="S33" s="23">
        <f>IFERROR(VLOOKUP(B33,[2]RETAIL!$B$8:$O$63,9,0),0)-IFERROR(IF(B33=100873,VLOOKUP("JULIO",[2]RETAIL!$B$78:$C$91,2,0),0),0)</f>
        <v>0</v>
      </c>
      <c r="T33" s="217">
        <v>18</v>
      </c>
      <c r="U33" s="124">
        <f>IFERROR(VLOOKUP(B33,[2]RETAIL!$B$8:$O$63,10,0),0)-IFERROR(IF(B33=100873,VLOOKUP("AGOSTO",[2]RETAIL!$B$78:$C$91,2,0),0),0)</f>
        <v>0</v>
      </c>
      <c r="V33" s="217">
        <v>23</v>
      </c>
      <c r="W33" s="23">
        <f>IFERROR(VLOOKUP(B33,[2]RETAIL!$B$8:$O$63,11,0),0)-IFERROR(IF(B33=100873,VLOOKUP("SEPTIEMBRE",[2]RETAIL!$B$78:$C$91,2,0),0),0)</f>
        <v>0</v>
      </c>
      <c r="X33" s="217">
        <v>27</v>
      </c>
      <c r="Y33" s="257">
        <f>IFERROR(VLOOKUP(B33,[2]RETAIL!$B$8:$O$63,12,0),0)-IFERROR(IF(B33=100873,VLOOKUP("OCTUBRE",[2]RETAIL!$B$78:$C$91,2,0),0),0)</f>
        <v>0</v>
      </c>
      <c r="Z33" s="217">
        <v>26</v>
      </c>
      <c r="AA33" s="35">
        <f>IFERROR(VLOOKUP(B33,[2]RETAIL!$B$8:$O$63,13,0),0)-IFERROR(IF(B33=100873,VLOOKUP("NOVIEMBRE",[2]RETAIL!$B$78:$C$91,2,0),0),0)</f>
        <v>0</v>
      </c>
      <c r="AB33" s="220">
        <v>26</v>
      </c>
      <c r="AC33" s="35">
        <f>IFERROR(VLOOKUP(B33,[2]RETAIL!$B$8:$O$63,14,0),0)-IFERROR(IF(B33=100873,VLOOKUP("DICIEMBRE",[2]RETAIL!$B$78:$C$91,2,0),0),0)</f>
        <v>0</v>
      </c>
      <c r="AD33" s="25">
        <f t="shared" si="0"/>
        <v>140</v>
      </c>
      <c r="AE33" s="27">
        <f>IFERROR(IF($AD$2="ENERO",G33,IF($AD$2="FEBRERO",G33+I33,IF($AD$2="MARZO",G33+I33+K33,IF($AD$2="ABRIL",G33+I33+K33+M33,IF($AD$2="MAYO",G33+I33+K33+M33+O33,IF($AD$2="JUNIO",G33+I33+K33+M33+O33+Q33,IF($AD$2="JULIO",G33+I33+K33+M33+O33+Q33+S33,IF($AD$2="AGOSTO",G33+I33+K33+M33+O33+Q33+S33+U33,IF($AD$2="SEPTIEMBRE",G33+I33+K33+M33+O33+Q33+S33+U33+W33,IF($AD$2="OCTUBRE",G33+I33+K33+M33+O33+Q33+S33+U33+W33+Y33,IF($AD$2="NOVIEMBRE",G33+I33+K33+M33+O33+Q33+S33+U33+W33+Y33+AA33,IF($AD$2="DICIEMBRE",G33+I33+K33+M33+O33+Q33+S33+U33+W33+Y33+AA33+AC33,"")))))))))))),0)</f>
        <v>146</v>
      </c>
      <c r="AF33" s="371">
        <f t="shared" si="14"/>
        <v>1.0428571428571429</v>
      </c>
      <c r="AG33" s="25">
        <f t="shared" si="15"/>
        <v>280</v>
      </c>
      <c r="AH33" s="27">
        <f>IFERROR(IF($AD$2="ENERO",G33,IF($AD$2="FEBRERO",G33+I33,IF($AD$2="MARZO",G33+I33+K33,IF($AD$2="ABRIL",G33+I33+K33+M33,IF($AD$2="MAYO",G33+I33+K33+M33+O33,IF($AD$2="JUNIO",G33+I33+K33+M33+O33+Q33,IF($AD$2="JULIO",G33+I33+K33+M33+O33+Q33+S33,IF($AD$2="AGOSTO",G33+I33+K33+M33+O33+Q33+S33+U33,IF($AD$2="SEPTIEMBRE",G33+I33+K33+M33+O33+Q33+S33+U33+W33,IF($AD$2="OCTUBRE",G33+I33+K33+M33+O33+Q33+S33+U33+W33+Y33,IF($AD$2="NOVIEMBRE",G33+I33+K33+M33+O33+Q33+S33+U33+W33+Y33+AA33,IF($AD$2="DICIEMBRE",G33+I33+K33+M33+O33+Q33+S33+U33+W33+Y33+AA33+AC33,"")))))))))))),0)</f>
        <v>146</v>
      </c>
      <c r="AI33" s="371">
        <f t="shared" si="17"/>
        <v>0.52142857142857146</v>
      </c>
      <c r="AJ33" s="25">
        <f t="shared" si="18"/>
        <v>69</v>
      </c>
      <c r="AK33" s="27">
        <f t="shared" si="19"/>
        <v>65</v>
      </c>
      <c r="AL33" s="371">
        <f t="shared" si="20"/>
        <v>0.94202898550724634</v>
      </c>
      <c r="AM33" s="25">
        <f t="shared" si="21"/>
        <v>140</v>
      </c>
      <c r="AN33" s="27">
        <f t="shared" si="22"/>
        <v>0</v>
      </c>
      <c r="AO33" s="371">
        <f t="shared" si="23"/>
        <v>0</v>
      </c>
    </row>
    <row r="34" spans="1:41" s="4" customFormat="1" ht="15" customHeight="1" thickBot="1" x14ac:dyDescent="0.3">
      <c r="A34" s="4">
        <v>5</v>
      </c>
      <c r="B34" s="8">
        <v>100739</v>
      </c>
      <c r="C34" s="369" t="s">
        <v>49</v>
      </c>
      <c r="D34" s="8">
        <v>22761</v>
      </c>
      <c r="E34" s="309" t="s">
        <v>79</v>
      </c>
      <c r="F34" s="218">
        <v>10</v>
      </c>
      <c r="G34" s="124">
        <f>IFERROR(VLOOKUP(B34,[2]RETAIL!$B$8:$O$63,3,0),0)-IFERROR(IF(B34=100873,VLOOKUP("ENERO",[2]RETAIL!$B$78:$C$91,2,0),0),0)</f>
        <v>10</v>
      </c>
      <c r="H34" s="218">
        <v>10</v>
      </c>
      <c r="I34" s="124">
        <f>IFERROR(VLOOKUP(B34,[2]RETAIL!$B$8:$O$63,4,0),0)-IFERROR(IF(B34=100873,VLOOKUP("FEBRERO",[2]RETAIL!$B$78:$C$91,2,0),0),0)</f>
        <v>6</v>
      </c>
      <c r="J34" s="218">
        <v>10</v>
      </c>
      <c r="K34" s="124">
        <f>IFERROR(VLOOKUP(B34,[2]RETAIL!$B$8:$O$63,5,0),0)-IFERROR(IF(B34=100873,VLOOKUP("MARZO",[2]RETAIL!$B$78:$C$91,2,0),0),0)</f>
        <v>13</v>
      </c>
      <c r="L34" s="218">
        <v>10</v>
      </c>
      <c r="M34" s="124">
        <f>IFERROR(VLOOKUP(B34,[2]RETAIL!$B$8:$O$63,6,0),0)-IFERROR(IF(B34=100873,VLOOKUP("ABRIL",[2]RETAIL!$B$78:$C$91,2,0),0),0)</f>
        <v>5</v>
      </c>
      <c r="N34" s="218">
        <v>11</v>
      </c>
      <c r="O34" s="23">
        <f>IFERROR(VLOOKUP(B34,[2]RETAIL!$B$8:$O$63,7,0),0)-IFERROR(IF(B34=100873,VLOOKUP("MAYO",[2]RETAIL!$B$78:$C$91,2,0),0),0)</f>
        <v>9</v>
      </c>
      <c r="P34" s="218">
        <v>11</v>
      </c>
      <c r="Q34" s="87">
        <f>IFERROR(VLOOKUP(B34,[2]RETAIL!$B$8:$O$63,8,0),0)-IFERROR(IF(B34=100873,VLOOKUP("JUNIO",[2]RETAIL!$B$78:$C$91,2,0),0),0)</f>
        <v>12</v>
      </c>
      <c r="R34" s="218">
        <v>8</v>
      </c>
      <c r="S34" s="23">
        <f>IFERROR(VLOOKUP(B34,[2]RETAIL!$B$8:$O$63,9,0),0)-IFERROR(IF(B34=100873,VLOOKUP("JULIO",[2]RETAIL!$B$78:$C$91,2,0),0),0)</f>
        <v>0</v>
      </c>
      <c r="T34" s="217">
        <v>7</v>
      </c>
      <c r="U34" s="124">
        <f>IFERROR(VLOOKUP(B34,[2]RETAIL!$B$8:$O$63,10,0),0)-IFERROR(IF(B34=100873,VLOOKUP("AGOSTO",[2]RETAIL!$B$78:$C$91,2,0),0),0)</f>
        <v>0</v>
      </c>
      <c r="V34" s="217">
        <v>9</v>
      </c>
      <c r="W34" s="23">
        <f>IFERROR(VLOOKUP(B34,[2]RETAIL!$B$8:$O$63,11,0),0)-IFERROR(IF(B34=100873,VLOOKUP("SEPTIEMBRE",[2]RETAIL!$B$78:$C$91,2,0),0),0)</f>
        <v>0</v>
      </c>
      <c r="X34" s="217">
        <v>9</v>
      </c>
      <c r="Y34" s="257">
        <f>IFERROR(VLOOKUP(B34,[2]RETAIL!$B$8:$O$63,12,0),0)-IFERROR(IF(B34=100873,VLOOKUP("OCTUBRE",[2]RETAIL!$B$78:$C$91,2,0),0),0)</f>
        <v>0</v>
      </c>
      <c r="Z34" s="217">
        <v>9</v>
      </c>
      <c r="AA34" s="35">
        <f>IFERROR(VLOOKUP(B34,[2]RETAIL!$B$8:$O$63,13,0),0)-IFERROR(IF(B34=100873,VLOOKUP("NOVIEMBRE",[2]RETAIL!$B$78:$C$91,2,0),0),0)</f>
        <v>0</v>
      </c>
      <c r="AB34" s="220">
        <v>8</v>
      </c>
      <c r="AC34" s="35">
        <f>IFERROR(VLOOKUP(B34,[2]RETAIL!$B$8:$O$63,14,0),0)-IFERROR(IF(B34=100873,VLOOKUP("DICIEMBRE",[2]RETAIL!$B$78:$C$91,2,0),0),0)</f>
        <v>0</v>
      </c>
      <c r="AD34" s="25">
        <f t="shared" si="0"/>
        <v>62</v>
      </c>
      <c r="AE34" s="27">
        <f>IFERROR(IF($AD$2="ENERO",G34,IF($AD$2="FEBRERO",G34+I34,IF($AD$2="MARZO",G34+I34+K34,IF($AD$2="ABRIL",G34+I34+K34+M34,IF($AD$2="MAYO",G34+I34+K34+M34+O34,IF($AD$2="JUNIO",G34+I34+K34+M34+O34+Q34,IF($AD$2="JULIO",G34+I34+K34+M34+O34+Q34+S34,IF($AD$2="AGOSTO",G34+I34+K34+M34+O34+Q34+S34+U34,IF($AD$2="SEPTIEMBRE",G34+I34+K34+M34+O34+Q34+S34+U34+W34,IF($AD$2="OCTUBRE",G34+I34+K34+M34+O34+Q34+S34+U34+W34+Y34,IF($AD$2="NOVIEMBRE",G34+I34+K34+M34+O34+Q34+S34+U34+W34+Y34+AA34,IF($AD$2="DICIEMBRE",G34+I34+K34+M34+O34+Q34+S34+U34+W34+Y34+AA34+AC34,"")))))))))))),0)</f>
        <v>55</v>
      </c>
      <c r="AF34" s="371">
        <f t="shared" si="14"/>
        <v>0.88709677419354838</v>
      </c>
      <c r="AG34" s="25">
        <f t="shared" si="15"/>
        <v>112</v>
      </c>
      <c r="AH34" s="27">
        <f>IFERROR(IF($AD$2="ENERO",G34,IF($AD$2="FEBRERO",G34+I34,IF($AD$2="MARZO",G34+I34+K34,IF($AD$2="ABRIL",G34+I34+K34+M34,IF($AD$2="MAYO",G34+I34+K34+M34+O34,IF($AD$2="JUNIO",G34+I34+K34+M34+O34+Q34,IF($AD$2="JULIO",G34+I34+K34+M34+O34+Q34+S34,IF($AD$2="AGOSTO",G34+I34+K34+M34+O34+Q34+S34+U34,IF($AD$2="SEPTIEMBRE",G34+I34+K34+M34+O34+Q34+S34+U34+W34,IF($AD$2="OCTUBRE",G34+I34+K34+M34+O34+Q34+S34+U34+W34+Y34,IF($AD$2="NOVIEMBRE",G34+I34+K34+M34+O34+Q34+S34+U34+W34+Y34+AA34,IF($AD$2="DICIEMBRE",G34+I34+K34+M34+O34+Q34+S34+U34+W34+Y34+AA34+AC34,"")))))))))))),0)</f>
        <v>55</v>
      </c>
      <c r="AI34" s="371">
        <f t="shared" si="17"/>
        <v>0.49107142857142855</v>
      </c>
      <c r="AJ34" s="25">
        <f t="shared" si="18"/>
        <v>30</v>
      </c>
      <c r="AK34" s="27">
        <f t="shared" si="19"/>
        <v>29</v>
      </c>
      <c r="AL34" s="371">
        <f t="shared" si="20"/>
        <v>0.96666666666666667</v>
      </c>
      <c r="AM34" s="25">
        <f t="shared" si="21"/>
        <v>50</v>
      </c>
      <c r="AN34" s="27">
        <f t="shared" si="22"/>
        <v>0</v>
      </c>
      <c r="AO34" s="371">
        <f t="shared" si="23"/>
        <v>0</v>
      </c>
    </row>
    <row r="35" spans="1:41" s="4" customFormat="1" ht="15" customHeight="1" thickBot="1" x14ac:dyDescent="0.3">
      <c r="B35" s="7" t="s">
        <v>267</v>
      </c>
      <c r="C35" s="28"/>
      <c r="D35" s="29"/>
      <c r="E35" s="7"/>
      <c r="F35" s="314">
        <f t="shared" ref="F35:AC35" si="25">SUM(F30:F34)</f>
        <v>79</v>
      </c>
      <c r="G35" s="389">
        <f t="shared" si="25"/>
        <v>69</v>
      </c>
      <c r="H35" s="314">
        <f t="shared" si="25"/>
        <v>79</v>
      </c>
      <c r="I35" s="389">
        <f t="shared" si="25"/>
        <v>53</v>
      </c>
      <c r="J35" s="314">
        <f t="shared" si="25"/>
        <v>80</v>
      </c>
      <c r="K35" s="389">
        <f t="shared" si="25"/>
        <v>85</v>
      </c>
      <c r="L35" s="314">
        <f t="shared" si="25"/>
        <v>81</v>
      </c>
      <c r="M35" s="389">
        <f>SUM(M30:M34)</f>
        <v>58</v>
      </c>
      <c r="N35" s="314">
        <f t="shared" si="25"/>
        <v>84</v>
      </c>
      <c r="O35" s="389">
        <f t="shared" si="25"/>
        <v>93</v>
      </c>
      <c r="P35" s="314">
        <f t="shared" si="25"/>
        <v>84</v>
      </c>
      <c r="Q35" s="389">
        <f t="shared" si="25"/>
        <v>130</v>
      </c>
      <c r="R35" s="314">
        <f t="shared" si="25"/>
        <v>69</v>
      </c>
      <c r="S35" s="389">
        <f t="shared" si="25"/>
        <v>0</v>
      </c>
      <c r="T35" s="314">
        <f t="shared" si="25"/>
        <v>60</v>
      </c>
      <c r="U35" s="389">
        <f t="shared" si="25"/>
        <v>0</v>
      </c>
      <c r="V35" s="314">
        <f t="shared" si="25"/>
        <v>74</v>
      </c>
      <c r="W35" s="389">
        <f t="shared" si="25"/>
        <v>0</v>
      </c>
      <c r="X35" s="314">
        <f t="shared" si="25"/>
        <v>84</v>
      </c>
      <c r="Y35" s="389">
        <f t="shared" si="25"/>
        <v>0</v>
      </c>
      <c r="Z35" s="314">
        <f t="shared" si="25"/>
        <v>83</v>
      </c>
      <c r="AA35" s="389">
        <f t="shared" si="25"/>
        <v>0</v>
      </c>
      <c r="AB35" s="314">
        <f t="shared" si="25"/>
        <v>77</v>
      </c>
      <c r="AC35" s="389">
        <f t="shared" si="25"/>
        <v>0</v>
      </c>
      <c r="AD35" s="30">
        <f>IF($AD$2="ENERO",F35,IF($AD$2="FEBRERO",F35+H35,IF($AD$2="MARZO",F35+H35+J35,IF($AD$2="ABRIL",F35+H35+J35+L35,IF($AD$2="MAYO",F35+H35+J35+L35+N35,IF($AD$2="JUNIO",F35+H35+J35+L35+N35+P35,IF($AD$2="JULIO",F35+H35+J35+L35+N35+P35+R35,IF($AD$2="AGOSTO",F35+H35+J35+L35+N35+P35+R35+T35,IF($AD$2="SEPTIEMBRE",F35+H35+J35+L35+N35+P35+R35+T35+V35,IF($AD$2="OCTUBRE",F35+H35+J35+L35+N35+P35+R35+T35+V35+X35,IF($AD$2="NOVIEMBRE",F35+H35+J35+L35+N35+P35+R35+T35+V35+X35+Z35,IF($AD$2="DICIEMBRE",F35+H35+J35+L35+N35+P35+R35+T35+V35+X35+Z35+AB35,""))))))))))))</f>
        <v>487</v>
      </c>
      <c r="AE35" s="33">
        <f>IF($AD$2="ENERO",G35,IF($AD$2="FEBRERO",G35+I35,IF($AD$2="MARZO",G35+I35+K35,IF($AD$2="ABRIL",G35+I35+K35+M35,IF($AD$2="MAYO",G35+I35+K35+M35+O35,IF($AD$2="JUNIO",G35+I35+K35+M35+O35+Q35,IF($AD$2="JULIO",G35+I35+K35+M35+O35+Q35+S35,IF($AD$2="AGOSTO",G35+I35+K35+M35+O35+Q35+S35+U35,IF($AD$2="SEPTIEMBRE",G35+I35+K35+M35+O35+Q35+S35+U35+W35,IF($AD$2="OCTUBRE",G35+I35+K35+M35+O35+Q35+S35+U35+W35+Y35,IF($AD$2="NOVIEMBRE",G35+I35+K35+M35+O35+Q35+S35+U35+W35+Y35+AA35,IF($AD$2="DICIEMBRE",G35+I35+K35+M35+O35+Q35+S35+U35+W35+Y35+AA35+AC35,""))))))))))))</f>
        <v>488</v>
      </c>
      <c r="AF35" s="276">
        <f>IFERROR((AE35/AD35),0)</f>
        <v>1.0020533880903491</v>
      </c>
      <c r="AG35" s="30">
        <f>+F35+H35+J35+L35+N35+P35+R35+T35+V35+X35+Z35+AB35</f>
        <v>934</v>
      </c>
      <c r="AH35" s="33">
        <f>IF($AD$2="ENERO",G35,IF($AD$2="FEBRERO",G35+I35,IF($AD$2="MARZO",G35+I35+K35,IF($AD$2="ABRIL",G35+I35+K35+M35,IF($AD$2="MAYO",G35+I35+K35+M35+O35,IF($AD$2="JUNIO",G35+I35+K35+M35+O35+Q35,IF($AD$2="JULIO",G35+I35+K35+M35+O35+Q35+S35,IF($AD$2="AGOSTO",G35+I35+K35+M35+O35+Q35+S35+U35,IF($AD$2="SEPTIEMBRE",G35+I35+K35+M35+O35+Q35+S35+U35+W35,IF($AD$2="OCTUBRE",G35+I35+K35+M35+O35+Q35+S35+U35+W35+Y35,IF($AD$2="NOVIEMBRE",G35+I35+K35+M35+O35+Q35+S35+U35+W35+Y35+AA35,IF($AD$2="DICIEMBRE",G35+I35+K35+M35+O35+Q35+S35+U35+W35+Y35+AA35+AC35,""))))))))))))</f>
        <v>488</v>
      </c>
      <c r="AI35" s="276">
        <f>IFERROR((AH35/AG35),0)</f>
        <v>0.5224839400428265</v>
      </c>
      <c r="AJ35" s="30">
        <f>IFERROR(IF($AJ$3="Q1",F35+H35+J35,IF($AJ$3="Q2",L35+N35++P35,IF($AJ$3="Q3",R35+T35+V35,IF($AJ$3="Q4",X35+Z35+AB35,0)))),0)</f>
        <v>238</v>
      </c>
      <c r="AK35" s="33">
        <f>IFERROR(IF($AJ$3="Q1",G35+I35+K35,IF($AJ$3="Q2",M35+O35++Q35,IF($AJ$3="Q3",S35+U35+W35,IF($AJ$3="Q4",Y35+AA35+AC35,0)))),0)</f>
        <v>207</v>
      </c>
      <c r="AL35" s="276">
        <f>IFERROR((AK35/AJ35),0)</f>
        <v>0.86974789915966388</v>
      </c>
      <c r="AM35" s="30">
        <f>IFERROR(IF($AM$3="S 1",F35+H35+J35+L35+N35++P35,IF($AM$3="S 2",R35+T35+V35+X35+Z35+AB35,0)),0)</f>
        <v>447</v>
      </c>
      <c r="AN35" s="33">
        <f>IFERROR(IF($AM$3="S 1",G35+I35+K35+M35+O35+Q35,IF($AM$3="S 2",S35+U35+W35+Y35+AA35+AC35,0)),0)</f>
        <v>0</v>
      </c>
      <c r="AO35" s="276">
        <f>IFERROR((AN35/AM35),0)</f>
        <v>0</v>
      </c>
    </row>
    <row r="36" spans="1:41" s="4" customFormat="1" ht="15" customHeight="1" x14ac:dyDescent="0.25">
      <c r="A36" s="4">
        <v>6</v>
      </c>
      <c r="B36" s="8">
        <v>100348</v>
      </c>
      <c r="C36" s="369" t="s">
        <v>56</v>
      </c>
      <c r="D36" s="8">
        <v>8596</v>
      </c>
      <c r="E36" s="309" t="s">
        <v>105</v>
      </c>
      <c r="F36" s="217">
        <v>25</v>
      </c>
      <c r="G36" s="124">
        <f>IFERROR(VLOOKUP(B36,[2]RETAIL!$B$8:$O$63,3,0),0)-IFERROR(IF(B36=100873,VLOOKUP("ENERO",[2]RETAIL!$B$78:$C$91,2,0),0),0)</f>
        <v>22</v>
      </c>
      <c r="H36" s="217">
        <v>26</v>
      </c>
      <c r="I36" s="124">
        <f>IFERROR(VLOOKUP(B36,[2]RETAIL!$B$8:$O$63,4,0),0)-IFERROR(IF(B36=100873,VLOOKUP("FEBRERO",[2]RETAIL!$B$78:$C$91,2,0),0),0)</f>
        <v>30</v>
      </c>
      <c r="J36" s="217">
        <v>26</v>
      </c>
      <c r="K36" s="124">
        <f>IFERROR(VLOOKUP(B36,[2]RETAIL!$B$8:$O$63,5,0),0)-IFERROR(IF(B36=100873,VLOOKUP("MARZO",[2]RETAIL!$B$78:$C$91,2,0),0),0)</f>
        <v>35</v>
      </c>
      <c r="L36" s="217">
        <v>26</v>
      </c>
      <c r="M36" s="124">
        <f>IFERROR(VLOOKUP(B36,[2]RETAIL!$B$8:$O$63,6,0),0)-IFERROR(IF(B36=100873,VLOOKUP("ABRIL",[2]RETAIL!$B$78:$C$91,2,0),0),0)</f>
        <v>33</v>
      </c>
      <c r="N36" s="217">
        <v>26</v>
      </c>
      <c r="O36" s="23">
        <f>IFERROR(VLOOKUP(B36,[2]RETAIL!$B$8:$O$63,7,0),0)-IFERROR(IF(B36=100873,VLOOKUP("MAYO",[2]RETAIL!$B$78:$C$91,2,0),0),0)</f>
        <v>26</v>
      </c>
      <c r="P36" s="217">
        <v>26</v>
      </c>
      <c r="Q36" s="87">
        <f>IFERROR(VLOOKUP(B36,[2]RETAIL!$B$8:$O$63,8,0),0)-IFERROR(IF(B36=100873,VLOOKUP("JUNIO",[2]RETAIL!$B$78:$C$91,2,0),0),0)</f>
        <v>29</v>
      </c>
      <c r="R36" s="217"/>
      <c r="S36" s="23">
        <f>IFERROR(VLOOKUP(B36,[2]RETAIL!$B$8:$O$63,9,0),0)-IFERROR(IF(B36=100873,VLOOKUP("JULIO",[2]RETAIL!$B$78:$C$91,2,0),0),0)</f>
        <v>0</v>
      </c>
      <c r="T36" s="217"/>
      <c r="U36" s="124">
        <f>IFERROR(VLOOKUP(B36,[2]RETAIL!$B$8:$O$63,10,0),0)-IFERROR(IF(B36=100873,VLOOKUP("AGOSTO",[2]RETAIL!$B$78:$C$91,2,0),0),0)</f>
        <v>0</v>
      </c>
      <c r="V36" s="217"/>
      <c r="W36" s="23">
        <f>IFERROR(VLOOKUP(B36,[2]RETAIL!$B$8:$O$63,11,0),0)-IFERROR(IF(B36=100873,VLOOKUP("SEPTIEMBRE",[2]RETAIL!$B$78:$C$91,2,0),0),0)</f>
        <v>0</v>
      </c>
      <c r="X36" s="217"/>
      <c r="Y36" s="257">
        <f>IFERROR(VLOOKUP(B36,[2]RETAIL!$B$8:$O$63,12,0),0)-IFERROR(IF(B36=100873,VLOOKUP("OCTUBRE",[2]RETAIL!$B$78:$C$91,2,0),0),0)</f>
        <v>0</v>
      </c>
      <c r="Z36" s="217"/>
      <c r="AA36" s="35">
        <f>IFERROR(VLOOKUP(B36,[2]RETAIL!$B$8:$O$63,13,0),0)-IFERROR(IF(B36=100873,VLOOKUP("NOVIEMBRE",[2]RETAIL!$B$78:$C$91,2,0),0),0)</f>
        <v>0</v>
      </c>
      <c r="AB36" s="220"/>
      <c r="AC36" s="35">
        <f>IFERROR(VLOOKUP(B36,[2]RETAIL!$B$8:$O$63,14,0),0)-IFERROR(IF(B36=100873,VLOOKUP("DICIEMBRE",[2]RETAIL!$B$78:$C$91,2,0),0),0)</f>
        <v>0</v>
      </c>
      <c r="AD36" s="25">
        <f t="shared" ref="AD36:AD41" si="26">IF($AD$2="ENERO",F36,IF($AD$2="FEBRERO",F36+H36,IF($AD$2="MARZO",F36+H36+J36,IF($AD$2="ABRIL",F36+H36+J36+L36,IF($AD$2="MAYO",F36+H36+J36+L36+N36,IF($AD$2="JUNIO",F36+H36+J36+L36+N36+P36,IF($AD$2="JULIO",F36+H36+J36+L36+N36+P36+R36,IF($AD$2="AGOSTO",F36+H36+J36+L36+N36+P36+R36+T36,IF($AD$2="SEPTIEMBRE",F36+H36+J36+L36+N36+P36+R36+T36+V36,IF($AD$2="OCTUBRE",F36+H36+J36+L36+N36+P36+R36+T36+V36+X36,IF($AD$2="NOVIEMBRE",F36+H36+J36+L36+N36+P36+R36+T36+V36+X36+Z36,IF($AD$2="DICIEMBRE",F36+H36+J36+L36+N36+P36+R36+T36+V36+X36+Z36+AB36,""))))))))))))</f>
        <v>155</v>
      </c>
      <c r="AE36" s="27">
        <f>IFERROR(IF($AD$2="ENERO",G36,IF($AD$2="FEBRERO",G36+I36,IF($AD$2="MARZO",G36+I36+K36,IF($AD$2="ABRIL",G36+I36+K36+M36,IF($AD$2="MAYO",G36+I36+K36+M36+O36,IF($AD$2="JUNIO",G36+I36+K36+M36+O36+Q36,IF($AD$2="JULIO",G36+I36+K36+M36+O36+Q36+S36,IF($AD$2="AGOSTO",G36+I36+K36+M36+O36+Q36+S36+U36,IF($AD$2="SEPTIEMBRE",G36+I36+K36+M36+O36+Q36+S36+U36+W36,IF($AD$2="OCTUBRE",G36+I36+K36+M36+O36+Q36+S36+U36+W36+Y36,IF($AD$2="NOVIEMBRE",G36+I36+K36+M36+O36+Q36+S36+U36+W36+Y36+AA36,IF($AD$2="DICIEMBRE",G36+I36+K36+M36+O36+Q36+S36+U36+W36+Y36+AA36+AC36,"")))))))))))),0)</f>
        <v>175</v>
      </c>
      <c r="AF36" s="371">
        <f t="shared" ref="AF36:AF45" si="27">IFERROR((AE36/AD36),0)</f>
        <v>1.1290322580645162</v>
      </c>
      <c r="AG36" s="25">
        <f t="shared" ref="AG36:AG45" si="28">+F36+H36+J36+L36+N36+P36+R36+T36+V36+X36+Z36+AB36</f>
        <v>155</v>
      </c>
      <c r="AH36" s="27">
        <f>IFERROR(IF($AD$2="ENERO",G36,IF($AD$2="FEBRERO",G36+I36,IF($AD$2="MARZO",G36+I36+K36,IF($AD$2="ABRIL",G36+I36+K36+M36,IF($AD$2="MAYO",G36+I36+K36+M36+O36,IF($AD$2="JUNIO",G36+I36+K36+M36+O36+Q36,IF($AD$2="JULIO",G36+I36+K36+M36+O36+Q36+S36,IF($AD$2="AGOSTO",G36+I36+K36+M36+O36+Q36+S36+U36,IF($AD$2="SEPTIEMBRE",G36+I36+K36+M36+O36+Q36+S36+U36+W36,IF($AD$2="OCTUBRE",G36+I36+K36+M36+O36+Q36+S36+U36+W36+Y36,IF($AD$2="NOVIEMBRE",G36+I36+K36+M36+O36+Q36+S36+U36+W36+Y36+AA36,IF($AD$2="DICIEMBRE",G36+I36+K36+M36+O36+Q36+S36+U36+W36+Y36+AA36+AC36,"")))))))))))),0)</f>
        <v>175</v>
      </c>
      <c r="AI36" s="371">
        <f t="shared" ref="AI36:AI45" si="29">IFERROR((AH36/AG36),0)</f>
        <v>1.1290322580645162</v>
      </c>
      <c r="AJ36" s="25">
        <f t="shared" ref="AJ36:AJ45" si="30">IFERROR(IF($AJ$3="Q1",F36+H36+J36,IF($AJ$3="Q2",L36+N36++P36,IF($AJ$3="Q3",R36+T36+V36,IF($AJ$3="Q4",X36+Z36+AB36,0)))),0)</f>
        <v>77</v>
      </c>
      <c r="AK36" s="27">
        <f t="shared" ref="AK36:AK45" si="31">IFERROR(IF($AJ$3="Q1",G36+I36+K36,IF($AJ$3="Q2",M36+O36++Q36,IF($AJ$3="Q3",S36+U36+W36,IF($AJ$3="Q4",Y36+AA36+AC36,0)))),0)</f>
        <v>87</v>
      </c>
      <c r="AL36" s="371">
        <f t="shared" ref="AL36:AL45" si="32">IFERROR((AK36/AJ36),0)</f>
        <v>1.1298701298701299</v>
      </c>
      <c r="AM36" s="25">
        <f t="shared" ref="AM36:AM45" si="33">IFERROR(IF($AM$3="S 1",F36+H36+J36+L36+N36++P36,IF($AM$3="S 2",R36+T36+V36+X36+Z36+AB36,0)),0)</f>
        <v>0</v>
      </c>
      <c r="AN36" s="27">
        <f t="shared" ref="AN36:AN45" si="34">IFERROR(IF($AM$3="S 1",G36+I36+K36+M36+O36+Q36,IF($AM$3="S 2",S36+U36+W36+Y36+AA36+AC36,0)),0)</f>
        <v>0</v>
      </c>
      <c r="AO36" s="371">
        <f t="shared" ref="AO36:AO45" si="35">IFERROR((AN36/AM36),0)</f>
        <v>0</v>
      </c>
    </row>
    <row r="37" spans="1:41" s="4" customFormat="1" ht="15" customHeight="1" x14ac:dyDescent="0.25">
      <c r="A37" s="4">
        <v>6</v>
      </c>
      <c r="B37" s="8">
        <v>100585</v>
      </c>
      <c r="C37" s="369" t="s">
        <v>58</v>
      </c>
      <c r="D37" s="8">
        <v>34177</v>
      </c>
      <c r="E37" s="309" t="s">
        <v>87</v>
      </c>
      <c r="F37" s="217">
        <v>6</v>
      </c>
      <c r="G37" s="124">
        <f>IFERROR(VLOOKUP(B37,[2]RETAIL!$B$8:$O$63,3,0),0)-IFERROR(IF(B37=100873,VLOOKUP("ENERO",[2]RETAIL!$B$78:$C$91,2,0),0),0)</f>
        <v>6</v>
      </c>
      <c r="H37" s="217">
        <v>6</v>
      </c>
      <c r="I37" s="124">
        <f>IFERROR(VLOOKUP(B37,[2]RETAIL!$B$8:$O$63,4,0),0)-IFERROR(IF(B37=100873,VLOOKUP("FEBRERO",[2]RETAIL!$B$78:$C$91,2,0),0),0)</f>
        <v>5</v>
      </c>
      <c r="J37" s="217">
        <v>7</v>
      </c>
      <c r="K37" s="124">
        <f>IFERROR(VLOOKUP(B37,[2]RETAIL!$B$8:$O$63,5,0),0)-IFERROR(IF(B37=100873,VLOOKUP("MARZO",[2]RETAIL!$B$78:$C$91,2,0),0),0)</f>
        <v>11</v>
      </c>
      <c r="L37" s="217">
        <v>6</v>
      </c>
      <c r="M37" s="124">
        <f>IFERROR(VLOOKUP(B37,[2]RETAIL!$B$8:$O$63,6,0),0)-IFERROR(IF(B37=100873,VLOOKUP("ABRIL",[2]RETAIL!$B$78:$C$91,2,0),0),0)</f>
        <v>2</v>
      </c>
      <c r="N37" s="217">
        <v>6</v>
      </c>
      <c r="O37" s="23">
        <f>IFERROR(VLOOKUP(B37,[2]RETAIL!$B$8:$O$63,7,0),0)-IFERROR(IF(B37=100873,VLOOKUP("MAYO",[2]RETAIL!$B$78:$C$91,2,0),0),0)</f>
        <v>9</v>
      </c>
      <c r="P37" s="217">
        <v>7</v>
      </c>
      <c r="Q37" s="87">
        <f>IFERROR(VLOOKUP(B37,[2]RETAIL!$B$8:$O$63,8,0),0)-IFERROR(IF(B37=100873,VLOOKUP("JUNIO",[2]RETAIL!$B$78:$C$91,2,0),0),0)</f>
        <v>10</v>
      </c>
      <c r="R37" s="217">
        <v>6</v>
      </c>
      <c r="S37" s="23">
        <f>IFERROR(VLOOKUP(B37,[2]RETAIL!$B$8:$O$63,9,0),0)-IFERROR(IF(B37=100873,VLOOKUP("JULIO",[2]RETAIL!$B$78:$C$91,2,0),0),0)</f>
        <v>0</v>
      </c>
      <c r="T37" s="217">
        <v>6</v>
      </c>
      <c r="U37" s="124">
        <f>IFERROR(VLOOKUP(B37,[2]RETAIL!$B$8:$O$63,10,0),0)-IFERROR(IF(B37=100873,VLOOKUP("AGOSTO",[2]RETAIL!$B$78:$C$91,2,0),0),0)</f>
        <v>0</v>
      </c>
      <c r="V37" s="217">
        <v>6</v>
      </c>
      <c r="W37" s="23">
        <f>IFERROR(VLOOKUP(B37,[2]RETAIL!$B$8:$O$63,11,0),0)-IFERROR(IF(B37=100873,VLOOKUP("SEPTIEMBRE",[2]RETAIL!$B$78:$C$91,2,0),0),0)</f>
        <v>0</v>
      </c>
      <c r="X37" s="217">
        <v>6</v>
      </c>
      <c r="Y37" s="257">
        <f>IFERROR(VLOOKUP(B37,[2]RETAIL!$B$8:$O$63,12,0),0)-IFERROR(IF(B37=100873,VLOOKUP("OCTUBRE",[2]RETAIL!$B$78:$C$91,2,0),0),0)</f>
        <v>0</v>
      </c>
      <c r="Z37" s="217">
        <v>6</v>
      </c>
      <c r="AA37" s="35">
        <f>IFERROR(VLOOKUP(B37,[2]RETAIL!$B$8:$O$63,13,0),0)-IFERROR(IF(B37=100873,VLOOKUP("NOVIEMBRE",[2]RETAIL!$B$78:$C$91,2,0),0),0)</f>
        <v>0</v>
      </c>
      <c r="AB37" s="220">
        <v>8</v>
      </c>
      <c r="AC37" s="35">
        <f>IFERROR(VLOOKUP(B37,[2]RETAIL!$B$8:$O$63,14,0),0)-IFERROR(IF(B37=100873,VLOOKUP("DICIEMBRE",[2]RETAIL!$B$78:$C$91,2,0),0),0)</f>
        <v>0</v>
      </c>
      <c r="AD37" s="25">
        <f t="shared" si="26"/>
        <v>38</v>
      </c>
      <c r="AE37" s="27">
        <f>IFERROR(IF($AD$2="ENERO",G37,IF($AD$2="FEBRERO",G37+I37,IF($AD$2="MARZO",G37+I37+K37,IF($AD$2="ABRIL",G37+I37+K37+M37,IF($AD$2="MAYO",G37+I37+K37+M37+O37,IF($AD$2="JUNIO",G37+I37+K37+M37+O37+Q37,IF($AD$2="JULIO",G37+I37+K37+M37+O37+Q37+S37,IF($AD$2="AGOSTO",G37+I37+K37+M37+O37+Q37+S37+U37,IF($AD$2="SEPTIEMBRE",G37+I37+K37+M37+O37+Q37+S37+U37+W37,IF($AD$2="OCTUBRE",G37+I37+K37+M37+O37+Q37+S37+U37+W37+Y37,IF($AD$2="NOVIEMBRE",G37+I37+K37+M37+O37+Q37+S37+U37+W37+Y37+AA37,IF($AD$2="DICIEMBRE",G37+I37+K37+M37+O37+Q37+S37+U37+W37+Y37+AA37+AC37,"")))))))))))),0)</f>
        <v>43</v>
      </c>
      <c r="AF37" s="371">
        <f t="shared" si="27"/>
        <v>1.131578947368421</v>
      </c>
      <c r="AG37" s="25">
        <f t="shared" si="28"/>
        <v>76</v>
      </c>
      <c r="AH37" s="27">
        <f>IFERROR(IF($AD$2="ENERO",G37,IF($AD$2="FEBRERO",G37+I37,IF($AD$2="MARZO",G37+I37+K37,IF($AD$2="ABRIL",G37+I37+K37+M37,IF($AD$2="MAYO",G37+I37+K37+M37+O37,IF($AD$2="JUNIO",G37+I37+K37+M37+O37+Q37,IF($AD$2="JULIO",G37+I37+K37+M37+O37+Q37+S37,IF($AD$2="AGOSTO",G37+I37+K37+M37+O37+Q37+S37+U37,IF($AD$2="SEPTIEMBRE",G37+I37+K37+M37+O37+Q37+S37+U37+W37,IF($AD$2="OCTUBRE",G37+I37+K37+M37+O37+Q37+S37+U37+W37+Y37,IF($AD$2="NOVIEMBRE",G37+I37+K37+M37+O37+Q37+S37+U37+W37+Y37+AA37,IF($AD$2="DICIEMBRE",G37+I37+K37+M37+O37+Q37+S37+U37+W37+Y37+AA37+AC37,"")))))))))))),0)</f>
        <v>43</v>
      </c>
      <c r="AI37" s="371">
        <f t="shared" si="29"/>
        <v>0.56578947368421051</v>
      </c>
      <c r="AJ37" s="25">
        <f t="shared" si="30"/>
        <v>19</v>
      </c>
      <c r="AK37" s="27">
        <f t="shared" si="31"/>
        <v>22</v>
      </c>
      <c r="AL37" s="371">
        <f t="shared" si="32"/>
        <v>1.1578947368421053</v>
      </c>
      <c r="AM37" s="25">
        <f t="shared" si="33"/>
        <v>38</v>
      </c>
      <c r="AN37" s="27">
        <f t="shared" si="34"/>
        <v>0</v>
      </c>
      <c r="AO37" s="371">
        <f t="shared" si="35"/>
        <v>0</v>
      </c>
    </row>
    <row r="38" spans="1:41" s="4" customFormat="1" ht="15" customHeight="1" x14ac:dyDescent="0.25">
      <c r="A38" s="4">
        <v>6</v>
      </c>
      <c r="B38" s="8">
        <v>100597</v>
      </c>
      <c r="C38" s="369" t="s">
        <v>53</v>
      </c>
      <c r="D38" s="8">
        <v>8596</v>
      </c>
      <c r="E38" s="309" t="s">
        <v>105</v>
      </c>
      <c r="F38" s="217">
        <v>6</v>
      </c>
      <c r="G38" s="124">
        <f>IFERROR(VLOOKUP(B38,[2]RETAIL!$B$8:$O$63,3,0),0)-IFERROR(IF(B38=100873,VLOOKUP("ENERO",[2]RETAIL!$B$78:$C$91,2,0),0),0)</f>
        <v>7</v>
      </c>
      <c r="H38" s="217">
        <v>6</v>
      </c>
      <c r="I38" s="124">
        <f>IFERROR(VLOOKUP(B38,[2]RETAIL!$B$8:$O$63,4,0),0)-IFERROR(IF(B38=100873,VLOOKUP("FEBRERO",[2]RETAIL!$B$78:$C$91,2,0),0),0)</f>
        <v>7</v>
      </c>
      <c r="J38" s="217">
        <v>6</v>
      </c>
      <c r="K38" s="124">
        <f>IFERROR(VLOOKUP(B38,[2]RETAIL!$B$8:$O$63,5,0),0)-IFERROR(IF(B38=100873,VLOOKUP("MARZO",[2]RETAIL!$B$78:$C$91,2,0),0),0)</f>
        <v>6</v>
      </c>
      <c r="L38" s="217">
        <v>6</v>
      </c>
      <c r="M38" s="124">
        <f>IFERROR(VLOOKUP(B38,[2]RETAIL!$B$8:$O$63,6,0),0)-IFERROR(IF(B38=100873,VLOOKUP("ABRIL",[2]RETAIL!$B$78:$C$91,2,0),0),0)</f>
        <v>8</v>
      </c>
      <c r="N38" s="217">
        <v>6</v>
      </c>
      <c r="O38" s="23">
        <f>IFERROR(VLOOKUP(B38,[2]RETAIL!$B$8:$O$63,7,0),0)-IFERROR(IF(B38=100873,VLOOKUP("MAYO",[2]RETAIL!$B$78:$C$91,2,0),0),0)</f>
        <v>3</v>
      </c>
      <c r="P38" s="217">
        <v>7</v>
      </c>
      <c r="Q38" s="87">
        <f>IFERROR(VLOOKUP(B38,[2]RETAIL!$B$8:$O$63,8,0),0)-IFERROR(IF(B38=100873,VLOOKUP("JUNIO",[2]RETAIL!$B$78:$C$91,2,0),0),0)</f>
        <v>7</v>
      </c>
      <c r="R38" s="217">
        <v>6</v>
      </c>
      <c r="S38" s="23">
        <f>IFERROR(VLOOKUP(B38,[2]RETAIL!$B$8:$O$63,9,0),0)-IFERROR(IF(B38=100873,VLOOKUP("JULIO",[2]RETAIL!$B$78:$C$91,2,0),0),0)</f>
        <v>0</v>
      </c>
      <c r="T38" s="217">
        <v>6</v>
      </c>
      <c r="U38" s="124">
        <f>IFERROR(VLOOKUP(B38,[2]RETAIL!$B$8:$O$63,10,0),0)-IFERROR(IF(B38=100873,VLOOKUP("AGOSTO",[2]RETAIL!$B$78:$C$91,2,0),0),0)</f>
        <v>0</v>
      </c>
      <c r="V38" s="217">
        <v>6</v>
      </c>
      <c r="W38" s="23">
        <f>IFERROR(VLOOKUP(B38,[2]RETAIL!$B$8:$O$63,11,0),0)-IFERROR(IF(B38=100873,VLOOKUP("SEPTIEMBRE",[2]RETAIL!$B$78:$C$91,2,0),0),0)</f>
        <v>0</v>
      </c>
      <c r="X38" s="217">
        <v>6</v>
      </c>
      <c r="Y38" s="257">
        <f>IFERROR(VLOOKUP(B38,[2]RETAIL!$B$8:$O$63,12,0),0)-IFERROR(IF(B38=100873,VLOOKUP("OCTUBRE",[2]RETAIL!$B$78:$C$91,2,0),0),0)</f>
        <v>0</v>
      </c>
      <c r="Z38" s="217">
        <v>6</v>
      </c>
      <c r="AA38" s="35">
        <f>IFERROR(VLOOKUP(B38,[2]RETAIL!$B$8:$O$63,13,0),0)-IFERROR(IF(B38=100873,VLOOKUP("NOVIEMBRE",[2]RETAIL!$B$78:$C$91,2,0),0),0)</f>
        <v>0</v>
      </c>
      <c r="AB38" s="220">
        <v>7</v>
      </c>
      <c r="AC38" s="35">
        <f>IFERROR(VLOOKUP(B38,[2]RETAIL!$B$8:$O$63,14,0),0)-IFERROR(IF(B38=100873,VLOOKUP("DICIEMBRE",[2]RETAIL!$B$78:$C$91,2,0),0),0)</f>
        <v>0</v>
      </c>
      <c r="AD38" s="25">
        <f t="shared" si="26"/>
        <v>37</v>
      </c>
      <c r="AE38" s="27">
        <f>IFERROR(IF($AD$2="ENERO",G38,IF($AD$2="FEBRERO",G38+I38,IF($AD$2="MARZO",G38+I38+K38,IF($AD$2="ABRIL",G38+I38+K38+M38,IF($AD$2="MAYO",G38+I38+K38+M38+O38,IF($AD$2="JUNIO",G38+I38+K38+M38+O38+Q38,IF($AD$2="JULIO",G38+I38+K38+M38+O38+Q38+S38,IF($AD$2="AGOSTO",G38+I38+K38+M38+O38+Q38+S38+U38,IF($AD$2="SEPTIEMBRE",G38+I38+K38+M38+O38+Q38+S38+U38+W38,IF($AD$2="OCTUBRE",G38+I38+K38+M38+O38+Q38+S38+U38+W38+Y38,IF($AD$2="NOVIEMBRE",G38+I38+K38+M38+O38+Q38+S38+U38+W38+Y38+AA38,IF($AD$2="DICIEMBRE",G38+I38+K38+M38+O38+Q38+S38+U38+W38+Y38+AA38+AC38,"")))))))))))),0)</f>
        <v>38</v>
      </c>
      <c r="AF38" s="371">
        <f t="shared" si="27"/>
        <v>1.027027027027027</v>
      </c>
      <c r="AG38" s="25">
        <f t="shared" si="28"/>
        <v>74</v>
      </c>
      <c r="AH38" s="27">
        <f>IFERROR(IF($AD$2="ENERO",G38,IF($AD$2="FEBRERO",G38+I38,IF($AD$2="MARZO",G38+I38+K38,IF($AD$2="ABRIL",G38+I38+K38+M38,IF($AD$2="MAYO",G38+I38+K38+M38+O38,IF($AD$2="JUNIO",G38+I38+K38+M38+O38+Q38,IF($AD$2="JULIO",G38+I38+K38+M38+O38+Q38+S38,IF($AD$2="AGOSTO",G38+I38+K38+M38+O38+Q38+S38+U38,IF($AD$2="SEPTIEMBRE",G38+I38+K38+M38+O38+Q38+S38+U38+W38,IF($AD$2="OCTUBRE",G38+I38+K38+M38+O38+Q38+S38+U38+W38+Y38,IF($AD$2="NOVIEMBRE",G38+I38+K38+M38+O38+Q38+S38+U38+W38+Y38+AA38,IF($AD$2="DICIEMBRE",G38+I38+K38+M38+O38+Q38+S38+U38+W38+Y38+AA38+AC38,"")))))))))))),0)</f>
        <v>38</v>
      </c>
      <c r="AI38" s="371">
        <f t="shared" si="29"/>
        <v>0.51351351351351349</v>
      </c>
      <c r="AJ38" s="25">
        <f t="shared" si="30"/>
        <v>18</v>
      </c>
      <c r="AK38" s="27">
        <f t="shared" si="31"/>
        <v>20</v>
      </c>
      <c r="AL38" s="371">
        <f t="shared" si="32"/>
        <v>1.1111111111111112</v>
      </c>
      <c r="AM38" s="25">
        <f t="shared" si="33"/>
        <v>37</v>
      </c>
      <c r="AN38" s="27">
        <f t="shared" si="34"/>
        <v>0</v>
      </c>
      <c r="AO38" s="371">
        <f t="shared" si="35"/>
        <v>0</v>
      </c>
    </row>
    <row r="39" spans="1:41" s="4" customFormat="1" ht="15" customHeight="1" x14ac:dyDescent="0.25">
      <c r="A39" s="4">
        <v>6</v>
      </c>
      <c r="B39" s="8">
        <v>100727</v>
      </c>
      <c r="C39" s="369" t="s">
        <v>21</v>
      </c>
      <c r="D39" s="8">
        <v>39200</v>
      </c>
      <c r="E39" s="309" t="s">
        <v>93</v>
      </c>
      <c r="F39" s="217">
        <v>10</v>
      </c>
      <c r="G39" s="124">
        <f>IFERROR(VLOOKUP(B39,[2]RETAIL!$B$8:$O$63,3,0),0)-IFERROR(IF(B39=100873,VLOOKUP("ENERO",[2]RETAIL!$B$78:$C$91,2,0),0),0)</f>
        <v>15</v>
      </c>
      <c r="H39" s="217">
        <v>11</v>
      </c>
      <c r="I39" s="124">
        <f>IFERROR(VLOOKUP(B39,[2]RETAIL!$B$8:$O$63,4,0),0)-IFERROR(IF(B39=100873,VLOOKUP("FEBRERO",[2]RETAIL!$B$78:$C$91,2,0),0),0)</f>
        <v>20</v>
      </c>
      <c r="J39" s="217">
        <v>12</v>
      </c>
      <c r="K39" s="124">
        <f>IFERROR(VLOOKUP(B39,[2]RETAIL!$B$8:$O$63,5,0),0)-IFERROR(IF(B39=100873,VLOOKUP("MARZO",[2]RETAIL!$B$78:$C$91,2,0),0),0)</f>
        <v>5</v>
      </c>
      <c r="L39" s="217">
        <v>12</v>
      </c>
      <c r="M39" s="124">
        <f>IFERROR(VLOOKUP(B39,[2]RETAIL!$B$8:$O$63,6,0),0)-IFERROR(IF(B39=100873,VLOOKUP("ABRIL",[2]RETAIL!$B$78:$C$91,2,0),0),0)</f>
        <v>10</v>
      </c>
      <c r="N39" s="217">
        <v>12</v>
      </c>
      <c r="O39" s="23">
        <f>IFERROR(VLOOKUP(B39,[2]RETAIL!$B$8:$O$63,7,0),0)-IFERROR(IF(B39=100873,VLOOKUP("MAYO",[2]RETAIL!$B$78:$C$91,2,0),0),0)</f>
        <v>7</v>
      </c>
      <c r="P39" s="217">
        <v>13</v>
      </c>
      <c r="Q39" s="87">
        <f>IFERROR(VLOOKUP(B39,[2]RETAIL!$B$8:$O$63,8,0),0)-IFERROR(IF(B39=100873,VLOOKUP("JUNIO",[2]RETAIL!$B$78:$C$91,2,0),0),0)</f>
        <v>21</v>
      </c>
      <c r="R39" s="217"/>
      <c r="S39" s="23">
        <f>IFERROR(VLOOKUP(B39,[2]RETAIL!$B$8:$O$63,9,0),0)-IFERROR(IF(B39=100873,VLOOKUP("JULIO",[2]RETAIL!$B$78:$C$91,2,0),0),0)</f>
        <v>0</v>
      </c>
      <c r="T39" s="217"/>
      <c r="U39" s="124">
        <f>IFERROR(VLOOKUP(B39,[2]RETAIL!$B$8:$O$63,10,0),0)-IFERROR(IF(B39=100873,VLOOKUP("AGOSTO",[2]RETAIL!$B$78:$C$91,2,0),0),0)</f>
        <v>0</v>
      </c>
      <c r="V39" s="217"/>
      <c r="W39" s="23">
        <f>IFERROR(VLOOKUP(B39,[2]RETAIL!$B$8:$O$63,11,0),0)-IFERROR(IF(B39=100873,VLOOKUP("SEPTIEMBRE",[2]RETAIL!$B$78:$C$91,2,0),0),0)</f>
        <v>0</v>
      </c>
      <c r="X39" s="217"/>
      <c r="Y39" s="257">
        <f>IFERROR(VLOOKUP(B39,[2]RETAIL!$B$8:$O$63,12,0),0)-IFERROR(IF(B39=100873,VLOOKUP("OCTUBRE",[2]RETAIL!$B$78:$C$91,2,0),0),0)</f>
        <v>0</v>
      </c>
      <c r="Z39" s="217"/>
      <c r="AA39" s="35">
        <f>IFERROR(VLOOKUP(B39,[2]RETAIL!$B$8:$O$63,13,0),0)-IFERROR(IF(B39=100873,VLOOKUP("NOVIEMBRE",[2]RETAIL!$B$78:$C$91,2,0),0),0)</f>
        <v>0</v>
      </c>
      <c r="AB39" s="220"/>
      <c r="AC39" s="35">
        <f>IFERROR(VLOOKUP(B39,[2]RETAIL!$B$8:$O$63,14,0),0)-IFERROR(IF(B39=100873,VLOOKUP("DICIEMBRE",[2]RETAIL!$B$78:$C$91,2,0),0),0)</f>
        <v>0</v>
      </c>
      <c r="AD39" s="25">
        <f t="shared" si="26"/>
        <v>70</v>
      </c>
      <c r="AE39" s="27">
        <f>IFERROR(IF($AD$2="ENERO",G39,IF($AD$2="FEBRERO",G39+I39,IF($AD$2="MARZO",G39+I39+K39,IF($AD$2="ABRIL",G39+I39+K39+M39,IF($AD$2="MAYO",G39+I39+K39+M39+O39,IF($AD$2="JUNIO",G39+I39+K39+M39+O39+Q39,IF($AD$2="JULIO",G39+I39+K39+M39+O39+Q39+S39,IF($AD$2="AGOSTO",G39+I39+K39+M39+O39+Q39+S39+U39,IF($AD$2="SEPTIEMBRE",G39+I39+K39+M39+O39+Q39+S39+U39+W39,IF($AD$2="OCTUBRE",G39+I39+K39+M39+O39+Q39+S39+U39+W39+Y39,IF($AD$2="NOVIEMBRE",G39+I39+K39+M39+O39+Q39+S39+U39+W39+Y45+AA39,IF($AD$2="DICIEMBRE",G39+I39+K39+M39+O39+Q39+S39+U39+W39+Y45+AA39+AC39,"")))))))))))),0)</f>
        <v>78</v>
      </c>
      <c r="AF39" s="371">
        <f t="shared" si="27"/>
        <v>1.1142857142857143</v>
      </c>
      <c r="AG39" s="25">
        <f t="shared" si="28"/>
        <v>70</v>
      </c>
      <c r="AH39" s="27">
        <f>IFERROR(IF($AD$2="ENERO",G39,IF($AD$2="FEBRERO",G39+I39,IF($AD$2="MARZO",G39+I39+K39,IF($AD$2="ABRIL",G39+I39+K39+M39,IF($AD$2="MAYO",G39+I39+K39+M39+O39,IF($AD$2="JUNIO",G39+I39+K39+M39+O39+Q39,IF($AD$2="JULIO",G39+I39+K39+M39+O39+Q39+S39,IF($AD$2="AGOSTO",G39+I39+K39+M39+O39+Q39+S39+U39,IF($AD$2="SEPTIEMBRE",G39+I39+K39+M39+O39+Q39+S39+U39+W39,IF($AD$2="OCTUBRE",G39+I39+K39+M39+O39+Q39+S39+U39+W39+Y39,IF($AD$2="NOVIEMBRE",G39+I39+K39+M39+O39+Q39+S39+U39+W39+Y45+AA39,IF($AD$2="DICIEMBRE",G39+I39+K39+M39+O39+Q39+S39+U39+W39+Y45+AA39+AC39,"")))))))))))),0)</f>
        <v>78</v>
      </c>
      <c r="AI39" s="371">
        <f t="shared" si="29"/>
        <v>1.1142857142857143</v>
      </c>
      <c r="AJ39" s="25">
        <f t="shared" si="30"/>
        <v>33</v>
      </c>
      <c r="AK39" s="27">
        <f t="shared" si="31"/>
        <v>40</v>
      </c>
      <c r="AL39" s="371">
        <f t="shared" si="32"/>
        <v>1.2121212121212122</v>
      </c>
      <c r="AM39" s="25">
        <f t="shared" si="33"/>
        <v>0</v>
      </c>
      <c r="AN39" s="27">
        <f t="shared" si="34"/>
        <v>0</v>
      </c>
      <c r="AO39" s="371">
        <f t="shared" si="35"/>
        <v>0</v>
      </c>
    </row>
    <row r="40" spans="1:41" s="4" customFormat="1" ht="15" customHeight="1" x14ac:dyDescent="0.25">
      <c r="A40" s="4">
        <v>6</v>
      </c>
      <c r="B40" s="8">
        <v>100728</v>
      </c>
      <c r="C40" s="369" t="s">
        <v>24</v>
      </c>
      <c r="D40" s="8">
        <v>39349</v>
      </c>
      <c r="E40" s="309" t="s">
        <v>94</v>
      </c>
      <c r="F40" s="217">
        <v>30</v>
      </c>
      <c r="G40" s="124">
        <f>IFERROR(VLOOKUP(B40,[2]RETAIL!$B$8:$O$63,3,0),0)-IFERROR(IF(B40=100873,VLOOKUP("ENERO",[2]RETAIL!$B$78:$C$91,2,0),0),0)</f>
        <v>24</v>
      </c>
      <c r="H40" s="217">
        <v>31</v>
      </c>
      <c r="I40" s="124">
        <f>IFERROR(VLOOKUP(B40,[2]RETAIL!$B$8:$O$63,4,0),0)-IFERROR(IF(B40=100873,VLOOKUP("FEBRERO",[2]RETAIL!$B$78:$C$91,2,0),0),0)</f>
        <v>27</v>
      </c>
      <c r="J40" s="217">
        <v>31</v>
      </c>
      <c r="K40" s="124">
        <f>IFERROR(VLOOKUP(B40,[2]RETAIL!$B$8:$O$63,5,0),0)-IFERROR(IF(B40=100873,VLOOKUP("MARZO",[2]RETAIL!$B$78:$C$91,2,0),0),0)</f>
        <v>33</v>
      </c>
      <c r="L40" s="217">
        <v>31</v>
      </c>
      <c r="M40" s="124">
        <f>IFERROR(VLOOKUP(B40,[2]RETAIL!$B$8:$O$63,6,0),0)-IFERROR(IF(B40=100873,VLOOKUP("ABRIL",[2]RETAIL!$B$78:$C$91,2,0),0),0)</f>
        <v>45</v>
      </c>
      <c r="N40" s="217">
        <v>31</v>
      </c>
      <c r="O40" s="23">
        <f>IFERROR(VLOOKUP(B40,[2]RETAIL!$B$8:$O$63,7,0),0)-IFERROR(IF(B40=100873,VLOOKUP("MAYO",[2]RETAIL!$B$78:$C$91,2,0),0),0)</f>
        <v>23</v>
      </c>
      <c r="P40" s="217">
        <v>31</v>
      </c>
      <c r="Q40" s="87">
        <f>IFERROR(VLOOKUP(B40,[2]RETAIL!$B$8:$O$63,8,0),0)-IFERROR(IF(B40=100873,VLOOKUP("JUNIO",[2]RETAIL!$B$78:$C$91,2,0),0),0)</f>
        <v>60</v>
      </c>
      <c r="R40" s="217">
        <v>32</v>
      </c>
      <c r="S40" s="23">
        <f>IFERROR(VLOOKUP(B40,[2]RETAIL!$B$8:$O$63,9,0),0)-IFERROR(IF(B40=100873,VLOOKUP("JULIO",[2]RETAIL!$B$78:$C$91,2,0),0),0)</f>
        <v>0</v>
      </c>
      <c r="T40" s="217">
        <v>32</v>
      </c>
      <c r="U40" s="124">
        <f>IFERROR(VLOOKUP(B40,[2]RETAIL!$B$8:$O$63,10,0),0)-IFERROR(IF(B40=100873,VLOOKUP("AGOSTO",[2]RETAIL!$B$78:$C$91,2,0),0),0)</f>
        <v>0</v>
      </c>
      <c r="V40" s="217">
        <v>32</v>
      </c>
      <c r="W40" s="23">
        <f>IFERROR(VLOOKUP(B40,[2]RETAIL!$B$8:$O$63,11,0),0)-IFERROR(IF(B40=100873,VLOOKUP("SEPTIEMBRE",[2]RETAIL!$B$78:$C$91,2,0),0),0)</f>
        <v>0</v>
      </c>
      <c r="X40" s="217">
        <v>32</v>
      </c>
      <c r="Y40" s="257">
        <f>IFERROR(VLOOKUP(B40,[2]RETAIL!$B$8:$O$63,12,0),0)-IFERROR(IF(B40=100873,VLOOKUP("OCTUBRE",[2]RETAIL!$B$78:$C$91,2,0),0),0)</f>
        <v>0</v>
      </c>
      <c r="Z40" s="217">
        <v>32</v>
      </c>
      <c r="AA40" s="35">
        <f>IFERROR(VLOOKUP(B40,[2]RETAIL!$B$8:$O$63,13,0),0)-IFERROR(IF(B40=100873,VLOOKUP("NOVIEMBRE",[2]RETAIL!$B$78:$C$91,2,0),0),0)</f>
        <v>0</v>
      </c>
      <c r="AB40" s="220">
        <v>30</v>
      </c>
      <c r="AC40" s="35">
        <f>IFERROR(VLOOKUP(B40,[2]RETAIL!$B$8:$O$63,14,0),0)-IFERROR(IF(B40=100873,VLOOKUP("DICIEMBRE",[2]RETAIL!$B$78:$C$91,2,0),0),0)</f>
        <v>0</v>
      </c>
      <c r="AD40" s="25">
        <f t="shared" si="26"/>
        <v>185</v>
      </c>
      <c r="AE40" s="27">
        <f>IFERROR(IF($AD$2="ENERO",G40,IF($AD$2="FEBRERO",G40+I40,IF($AD$2="MARZO",G40+I40+K40,IF($AD$2="ABRIL",G40+I40+K40+M40,IF($AD$2="MAYO",G40+I40+K40+M40+O40,IF($AD$2="JUNIO",G40+I40+K40+M40+O40+Q40,IF($AD$2="JULIO",G40+I40+K40+M40+O40+Q40+S40,IF($AD$2="AGOSTO",G40+I40+K40+M40+O40+Q40+S40+U40,IF($AD$2="SEPTIEMBRE",G40+I40+K40+M40+O40+Q40+S40+U40+W40,IF($AD$2="OCTUBRE",G40+I40+K40+M40+O40+Q40+S40+U40+W40+Y40,IF($AD$2="NOVIEMBRE",G40+I40+K40+M40+O40+Q40+S40+U40+W40+Y54+AA40,IF($AD$2="DICIEMBRE",G40+I40+K40+M40+O40+Q40+S40+U40+W40+Y54+AA40+AC40,"")))))))))))),0)</f>
        <v>212</v>
      </c>
      <c r="AF40" s="371">
        <f t="shared" si="27"/>
        <v>1.145945945945946</v>
      </c>
      <c r="AG40" s="25">
        <f t="shared" si="28"/>
        <v>375</v>
      </c>
      <c r="AH40" s="27">
        <f>IFERROR(IF($AD$2="ENERO",G40,IF($AD$2="FEBRERO",G40+I40,IF($AD$2="MARZO",G40+I40+K40,IF($AD$2="ABRIL",G40+I40+K40+M40,IF($AD$2="MAYO",G40+I40+K40+M40+O40,IF($AD$2="JUNIO",G40+I40+K40+M40+O40+Q40,IF($AD$2="JULIO",G40+I40+K40+M40+O40+Q40+S40,IF($AD$2="AGOSTO",G40+I40+K40+M40+O40+Q40+S40+U40,IF($AD$2="SEPTIEMBRE",G40+I40+K40+M40+O40+Q40+S40+U40+W40,IF($AD$2="OCTUBRE",G40+I40+K40+M40+O40+Q40+S40+U40+W40+Y40,IF($AD$2="NOVIEMBRE",G40+I40+K40+M40+O40+Q40+S40+U40+W40+Y54+AA40,IF($AD$2="DICIEMBRE",G40+I40+K40+M40+O40+Q40+S40+U40+W40+Y54+AA40+AC40,"")))))))))))),0)</f>
        <v>212</v>
      </c>
      <c r="AI40" s="371">
        <f t="shared" si="29"/>
        <v>0.56533333333333335</v>
      </c>
      <c r="AJ40" s="25">
        <f t="shared" si="30"/>
        <v>92</v>
      </c>
      <c r="AK40" s="27">
        <f t="shared" si="31"/>
        <v>84</v>
      </c>
      <c r="AL40" s="371">
        <f t="shared" si="32"/>
        <v>0.91304347826086951</v>
      </c>
      <c r="AM40" s="25">
        <f t="shared" si="33"/>
        <v>190</v>
      </c>
      <c r="AN40" s="27">
        <f t="shared" si="34"/>
        <v>0</v>
      </c>
      <c r="AO40" s="371">
        <f t="shared" si="35"/>
        <v>0</v>
      </c>
    </row>
    <row r="41" spans="1:41" s="4" customFormat="1" ht="15" customHeight="1" thickBot="1" x14ac:dyDescent="0.3">
      <c r="A41" s="4">
        <v>6</v>
      </c>
      <c r="B41" s="8">
        <v>100817</v>
      </c>
      <c r="C41" s="369" t="s">
        <v>69</v>
      </c>
      <c r="D41" s="8">
        <v>39349</v>
      </c>
      <c r="E41" s="309" t="s">
        <v>94</v>
      </c>
      <c r="F41" s="217">
        <v>30</v>
      </c>
      <c r="G41" s="124">
        <f>IFERROR(VLOOKUP(B41,[2]RETAIL!$B$8:$O$63,3,0),0)-IFERROR(IF(B41=100873,VLOOKUP("ENERO",[2]RETAIL!$B$78:$C$91,2,0),0),0)</f>
        <v>30</v>
      </c>
      <c r="H41" s="217">
        <v>30</v>
      </c>
      <c r="I41" s="124">
        <f>IFERROR(VLOOKUP(B41,[2]RETAIL!$B$8:$O$63,4,0),0)-IFERROR(IF(B41=100873,VLOOKUP("FEBRERO",[2]RETAIL!$B$78:$C$91,2,0),0),0)</f>
        <v>22</v>
      </c>
      <c r="J41" s="217">
        <v>30</v>
      </c>
      <c r="K41" s="124">
        <f>IFERROR(VLOOKUP(B41,[2]RETAIL!$B$8:$O$63,5,0),0)-IFERROR(IF(B41=100873,VLOOKUP("MARZO",[2]RETAIL!$B$78:$C$91,2,0),0),0)</f>
        <v>38</v>
      </c>
      <c r="L41" s="217">
        <v>30</v>
      </c>
      <c r="M41" s="124">
        <f>IFERROR(VLOOKUP(B41,[2]RETAIL!$B$8:$O$63,6,0),0)-IFERROR(IF(B41=100873,VLOOKUP("ABRIL",[2]RETAIL!$B$78:$C$91,2,0),0),0)</f>
        <v>42</v>
      </c>
      <c r="N41" s="217">
        <v>30</v>
      </c>
      <c r="O41" s="23">
        <f>IFERROR(VLOOKUP(B41,[2]RETAIL!$B$8:$O$63,7,0),0)-IFERROR(IF(B41=100873,VLOOKUP("MAYO",[2]RETAIL!$B$78:$C$91,2,0),0),0)</f>
        <v>39</v>
      </c>
      <c r="P41" s="217">
        <v>30</v>
      </c>
      <c r="Q41" s="87">
        <f>IFERROR(VLOOKUP(B41,[2]RETAIL!$B$8:$O$63,8,0),0)-IFERROR(IF(B41=100873,VLOOKUP("JUNIO",[2]RETAIL!$B$78:$C$91,2,0),0),0)</f>
        <v>47</v>
      </c>
      <c r="R41" s="217">
        <v>33</v>
      </c>
      <c r="S41" s="23">
        <f>IFERROR(VLOOKUP(B41,[2]RETAIL!$B$8:$O$63,9,0),0)-IFERROR(IF(B41=100873,VLOOKUP("JULIO",[2]RETAIL!$B$78:$C$91,2,0),0),0)</f>
        <v>0</v>
      </c>
      <c r="T41" s="217">
        <v>33</v>
      </c>
      <c r="U41" s="124">
        <f>IFERROR(VLOOKUP(B41,[2]RETAIL!$B$8:$O$63,10,0),0)-IFERROR(IF(B41=100873,VLOOKUP("AGOSTO",[2]RETAIL!$B$78:$C$91,2,0),0),0)</f>
        <v>0</v>
      </c>
      <c r="V41" s="217">
        <v>33</v>
      </c>
      <c r="W41" s="23">
        <f>IFERROR(VLOOKUP(B41,[2]RETAIL!$B$8:$O$63,11,0),0)-IFERROR(IF(B41=100873,VLOOKUP("SEPTIEMBRE",[2]RETAIL!$B$78:$C$91,2,0),0),0)</f>
        <v>0</v>
      </c>
      <c r="X41" s="217">
        <v>33</v>
      </c>
      <c r="Y41" s="257">
        <f>IFERROR(VLOOKUP(B41,[2]RETAIL!$B$8:$O$63,12,0),0)-IFERROR(IF(B41=100873,VLOOKUP("OCTUBRE",[2]RETAIL!$B$78:$C$91,2,0),0),0)</f>
        <v>0</v>
      </c>
      <c r="Z41" s="217">
        <v>33</v>
      </c>
      <c r="AA41" s="35">
        <f>IFERROR(VLOOKUP(B41,[2]RETAIL!$B$8:$O$63,13,0),0)-IFERROR(IF(B41=100873,VLOOKUP("NOVIEMBRE",[2]RETAIL!$B$78:$C$91,2,0),0),0)</f>
        <v>0</v>
      </c>
      <c r="AB41" s="220">
        <v>35</v>
      </c>
      <c r="AC41" s="35">
        <f>IFERROR(VLOOKUP(B41,[2]RETAIL!$B$8:$O$63,14,0),0)-IFERROR(IF(B41=100873,VLOOKUP("DICIEMBRE",[2]RETAIL!$B$78:$C$91,2,0),0),0)</f>
        <v>0</v>
      </c>
      <c r="AD41" s="25">
        <f t="shared" si="26"/>
        <v>180</v>
      </c>
      <c r="AE41" s="27">
        <f>IFERROR(IF($AD$2="ENERO",G41,IF($AD$2="FEBRERO",G41+I41,IF($AD$2="MARZO",G41+I41+K41,IF($AD$2="ABRIL",G41+I41+K41+M41,IF($AD$2="MAYO",G41+I41+K41+M41+O41,IF($AD$2="JUNIO",G41+I41+K41+M41+O41+Q41,IF($AD$2="JULIO",G41+I41+K41+M41+O41+Q41+S41,IF($AD$2="AGOSTO",G41+I41+K41+M41+O41+Q41+S41+U41,IF($AD$2="SEPTIEMBRE",G41+I41+K41+M41+O41+Q41+S41+U41+W41,IF($AD$2="OCTUBRE",G41+I41+K41+M41+O41+Q41+S41+U41+W41+Y41,IF($AD$2="NOVIEMBRE",G41+I41+K41+M41+O41+Q41+S41+U41+W41+Y39+AA41,IF($AD$2="DICIEMBRE",G41+I41+K41+M41+O41+Q41+S41+U41+W41+Y39+AA41+AC41,"")))))))))))),0)</f>
        <v>218</v>
      </c>
      <c r="AF41" s="371">
        <f t="shared" si="27"/>
        <v>1.211111111111111</v>
      </c>
      <c r="AG41" s="25">
        <f t="shared" si="28"/>
        <v>380</v>
      </c>
      <c r="AH41" s="27">
        <f>IFERROR(IF($AD$2="ENERO",G41,IF($AD$2="FEBRERO",G41+I41,IF($AD$2="MARZO",G41+I41+K41,IF($AD$2="ABRIL",G41+I41+K41+M41,IF($AD$2="MAYO",G41+I41+K41+M41+O41,IF($AD$2="JUNIO",G41+I41+K41+M41+O41+Q41,IF($AD$2="JULIO",G41+I41+K41+M41+O41+Q41+S41,IF($AD$2="AGOSTO",G41+I41+K41+M41+O41+Q41+S41+U41,IF($AD$2="SEPTIEMBRE",G41+I41+K41+M41+O41+Q41+S41+U41+W41,IF($AD$2="OCTUBRE",G41+I41+K41+M41+O41+Q41+S41+U41+W41+Y41,IF($AD$2="NOVIEMBRE",G41+I41+K41+M41+O41+Q41+S41+U41+W41+Y39+AA41,IF($AD$2="DICIEMBRE",G41+I41+K41+M41+O41+Q41+S41+U41+W41+Y39+AA41+AC41,"")))))))))))),0)</f>
        <v>218</v>
      </c>
      <c r="AI41" s="371">
        <f t="shared" si="29"/>
        <v>0.5736842105263158</v>
      </c>
      <c r="AJ41" s="25">
        <f t="shared" si="30"/>
        <v>90</v>
      </c>
      <c r="AK41" s="27">
        <f t="shared" si="31"/>
        <v>90</v>
      </c>
      <c r="AL41" s="371">
        <f t="shared" si="32"/>
        <v>1</v>
      </c>
      <c r="AM41" s="25">
        <f t="shared" si="33"/>
        <v>200</v>
      </c>
      <c r="AN41" s="27">
        <f t="shared" si="34"/>
        <v>0</v>
      </c>
      <c r="AO41" s="371">
        <f t="shared" si="35"/>
        <v>0</v>
      </c>
    </row>
    <row r="42" spans="1:41" s="4" customFormat="1" ht="15" customHeight="1" thickBot="1" x14ac:dyDescent="0.3">
      <c r="B42" s="7" t="s">
        <v>268</v>
      </c>
      <c r="C42" s="28"/>
      <c r="D42" s="29"/>
      <c r="E42" s="7"/>
      <c r="F42" s="314">
        <f t="shared" ref="F42:AC42" si="36">SUM(F36:F41)</f>
        <v>107</v>
      </c>
      <c r="G42" s="389">
        <f t="shared" si="36"/>
        <v>104</v>
      </c>
      <c r="H42" s="314">
        <f t="shared" si="36"/>
        <v>110</v>
      </c>
      <c r="I42" s="389">
        <f t="shared" si="36"/>
        <v>111</v>
      </c>
      <c r="J42" s="314">
        <f t="shared" si="36"/>
        <v>112</v>
      </c>
      <c r="K42" s="389">
        <f t="shared" si="36"/>
        <v>128</v>
      </c>
      <c r="L42" s="314">
        <f t="shared" si="36"/>
        <v>111</v>
      </c>
      <c r="M42" s="389">
        <f t="shared" si="36"/>
        <v>140</v>
      </c>
      <c r="N42" s="314">
        <f t="shared" si="36"/>
        <v>111</v>
      </c>
      <c r="O42" s="389">
        <f t="shared" si="36"/>
        <v>107</v>
      </c>
      <c r="P42" s="314">
        <f t="shared" si="36"/>
        <v>114</v>
      </c>
      <c r="Q42" s="389">
        <f t="shared" si="36"/>
        <v>174</v>
      </c>
      <c r="R42" s="314">
        <f t="shared" si="36"/>
        <v>77</v>
      </c>
      <c r="S42" s="389">
        <f t="shared" si="36"/>
        <v>0</v>
      </c>
      <c r="T42" s="314">
        <f t="shared" si="36"/>
        <v>77</v>
      </c>
      <c r="U42" s="389">
        <f t="shared" si="36"/>
        <v>0</v>
      </c>
      <c r="V42" s="314">
        <f t="shared" si="36"/>
        <v>77</v>
      </c>
      <c r="W42" s="389">
        <f t="shared" si="36"/>
        <v>0</v>
      </c>
      <c r="X42" s="314">
        <f t="shared" si="36"/>
        <v>77</v>
      </c>
      <c r="Y42" s="389">
        <f t="shared" si="36"/>
        <v>0</v>
      </c>
      <c r="Z42" s="314">
        <f t="shared" si="36"/>
        <v>77</v>
      </c>
      <c r="AA42" s="389">
        <f t="shared" si="36"/>
        <v>0</v>
      </c>
      <c r="AB42" s="314">
        <f t="shared" si="36"/>
        <v>80</v>
      </c>
      <c r="AC42" s="389">
        <f t="shared" si="36"/>
        <v>0</v>
      </c>
      <c r="AD42" s="30">
        <f>IF($AD$2="ENERO",F42,IF($AD$2="FEBRERO",F42+H42,IF($AD$2="MARZO",F42+H42+J42,IF($AD$2="ABRIL",F42+H42+J42+L42,IF($AD$2="MAYO",F42+H42+J42+L42+N42,IF($AD$2="JUNIO",F42+H42+J42+L42+N42+P42,IF($AD$2="JULIO",F42+H42+J42+L42+N42+P42+R42,IF($AD$2="AGOSTO",F42+H42+J42+L42+N42+P42+R42+T42,IF($AD$2="SEPTIEMBRE",F42+H42+J42+L42+N42+P42+R42+T42+V42,IF($AD$2="OCTUBRE",F42+H42+J42+L42+N42+P42+R42+T42+V42+X42,IF($AD$2="NOVIEMBRE",F42+H42+J42+L42+N42+P42+R42+T42+V42+X42+Z42,IF($AD$2="DICIEMBRE",F42+H42+J42+L42+N42+P42+R42+T42+V42+X42+Z42+AB42,""))))))))))))</f>
        <v>665</v>
      </c>
      <c r="AE42" s="33">
        <f>IF($AD$2="ENERO",G42,IF($AD$2="FEBRERO",G42+I42,IF($AD$2="MARZO",G42+I42+K42,IF($AD$2="ABRIL",G42+I42+K42+M42,IF($AD$2="MAYO",G42+I42+K42+M42+O42,IF($AD$2="JUNIO",G42+I42+K42+M42+O42+Q42,IF($AD$2="JULIO",G42+I42+K42+M42+O42+Q42+S42,IF($AD$2="AGOSTO",G42+I42+K42+M42+O42+Q42+S42+U42,IF($AD$2="SEPTIEMBRE",G42+I42+K42+M42+O42+Q42+S42+U42+W42,IF($AD$2="OCTUBRE",G42+I42+K42+M42+O42+Q42+S42+U42+W42+Y42,IF($AD$2="NOVIEMBRE",G42+I42+K42+M42+O42+Q42+S42+U42+W42+Y42+AA42,IF($AD$2="DICIEMBRE",G42+I42+K42+M42+O42+Q42+S42+U42+W42+Y42+AA42+AC42,""))))))))))))</f>
        <v>764</v>
      </c>
      <c r="AF42" s="276">
        <f t="shared" si="27"/>
        <v>1.1488721804511277</v>
      </c>
      <c r="AG42" s="30">
        <f t="shared" si="28"/>
        <v>1130</v>
      </c>
      <c r="AH42" s="33">
        <f>IF($AD$2="ENERO",G42,IF($AD$2="FEBRERO",G42+I42,IF($AD$2="MARZO",G42+I42+K42,IF($AD$2="ABRIL",G42+I42+K42+M42,IF($AD$2="MAYO",G42+I42+K42+M42+O42,IF($AD$2="JUNIO",G42+I42+K42+M42+O42+Q42,IF($AD$2="JULIO",G42+I42+K42+M42+O42+Q42+S42,IF($AD$2="AGOSTO",G42+I42+K42+M42+O42+Q42+S42+U42,IF($AD$2="SEPTIEMBRE",G42+I42+K42+M42+O42+Q42+S42+U42+W42,IF($AD$2="OCTUBRE",G42+I42+K42+M42+O42+Q42+S42+U42+W42+Y42,IF($AD$2="NOVIEMBRE",G42+I42+K42+M42+O42+Q42+S42+U42+W42+Y42+AA42,IF($AD$2="DICIEMBRE",G42+I42+K42+M42+O42+Q42+S42+U42+W42+Y42+AA42+AC42,""))))))))))))</f>
        <v>764</v>
      </c>
      <c r="AI42" s="276">
        <f t="shared" si="29"/>
        <v>0.67610619469026545</v>
      </c>
      <c r="AJ42" s="30">
        <f t="shared" si="30"/>
        <v>329</v>
      </c>
      <c r="AK42" s="33">
        <f t="shared" si="31"/>
        <v>343</v>
      </c>
      <c r="AL42" s="276">
        <f t="shared" si="32"/>
        <v>1.0425531914893618</v>
      </c>
      <c r="AM42" s="30">
        <f t="shared" si="33"/>
        <v>465</v>
      </c>
      <c r="AN42" s="33">
        <f t="shared" si="34"/>
        <v>0</v>
      </c>
      <c r="AO42" s="276">
        <f t="shared" si="35"/>
        <v>0</v>
      </c>
    </row>
    <row r="43" spans="1:41" s="4" customFormat="1" ht="15" customHeight="1" x14ac:dyDescent="0.25">
      <c r="A43" s="4">
        <v>7</v>
      </c>
      <c r="B43" s="8">
        <v>100909</v>
      </c>
      <c r="C43" s="369" t="s">
        <v>252</v>
      </c>
      <c r="D43" s="8">
        <v>54468</v>
      </c>
      <c r="E43" s="309" t="s">
        <v>254</v>
      </c>
      <c r="F43" s="217">
        <v>28</v>
      </c>
      <c r="G43" s="124">
        <f>IFERROR(VLOOKUP(B43,[2]RETAIL!$B$8:$O$63,3,0),0)-IFERROR(IF(B43=100873,VLOOKUP("ENERO",[2]RETAIL!$B$78:$C$91,2,0),0),0)</f>
        <v>18</v>
      </c>
      <c r="H43" s="217">
        <v>28</v>
      </c>
      <c r="I43" s="124">
        <f>IFERROR(VLOOKUP(B43,[2]RETAIL!$B$9:$O$63,4,0),0)-IFERROR(IF(B43=100873,GETPIVOTDATA("Chasis",[2]RETAIL!$B$77,"Código INT",100873,"Concesión","Bymycar Madrid","Fecha venta mes","Febrero"),0),0)</f>
        <v>16</v>
      </c>
      <c r="J43" s="217">
        <v>28</v>
      </c>
      <c r="K43" s="124">
        <f>IFERROR(VLOOKUP(B43,[2]RETAIL!$B$8:$O$63,5,0),0)-IFERROR(IF(B43=100873,VLOOKUP("MARZO",[2]RETAIL!$B$78:$C$91,2,0),0),0)</f>
        <v>25</v>
      </c>
      <c r="L43" s="217">
        <v>28</v>
      </c>
      <c r="M43" s="124">
        <f>IFERROR(VLOOKUP(B43,[2]RETAIL!$B$8:$O$63,6,0),0)-IFERROR(IF(B43=100873,VLOOKUP("ABRIL",[2]RETAIL!$B$78:$C$91,2,0),0),0)</f>
        <v>19</v>
      </c>
      <c r="N43" s="217">
        <v>28</v>
      </c>
      <c r="O43" s="23">
        <f>IFERROR(VLOOKUP(B43,[2]RETAIL!$B$8:$O$63,7,0),0)-IFERROR(IF(B43=100873,VLOOKUP("MAYO",[2]RETAIL!$B$78:$C$91,2,0),0),0)</f>
        <v>25</v>
      </c>
      <c r="P43" s="217">
        <v>28</v>
      </c>
      <c r="Q43" s="87">
        <f>IFERROR(VLOOKUP(B43,[2]RETAIL!$B$8:$O$63,8,0),0)-IFERROR(IF(B43=100873,VLOOKUP("JUNIO",[2]RETAIL!$B$78:$C$91,2,0),0),0)</f>
        <v>19</v>
      </c>
      <c r="R43" s="217"/>
      <c r="S43" s="23">
        <f>IFERROR(VLOOKUP(B43,[2]RETAIL!$B$8:$O$63,9,0),0)-IFERROR(IF(B43=100873,VLOOKUP("JULIO",[2]RETAIL!$B$78:$C$91,2,0),0),0)</f>
        <v>0</v>
      </c>
      <c r="T43" s="217"/>
      <c r="U43" s="124">
        <f>IFERROR(VLOOKUP(B43,[2]RETAIL!$B$8:$O$63,10,0),0)-IFERROR(IF(B43=100873,VLOOKUP("AGOSTO",[2]RETAIL!$B$78:$C$91,2,0),0),0)</f>
        <v>0</v>
      </c>
      <c r="V43" s="217"/>
      <c r="W43" s="23">
        <f>IFERROR(VLOOKUP(B43,[2]RETAIL!$B$8:$O$63,11,0),0)-IFERROR(IF(B43=100873,VLOOKUP("SEPTIEMBRE",[2]RETAIL!$B$78:$C$91,2,0),0),0)</f>
        <v>0</v>
      </c>
      <c r="X43" s="217"/>
      <c r="Y43" s="257">
        <f>IFERROR(VLOOKUP(B43,[2]RETAIL!$B$8:$O$63,12,0),0)-IFERROR(IF(B43=100873,VLOOKUP("OCTUBRE",[2]RETAIL!$B$78:$C$91,2,0),0),0)</f>
        <v>0</v>
      </c>
      <c r="Z43" s="217"/>
      <c r="AA43" s="35">
        <f>IFERROR(VLOOKUP(B43,[2]RETAIL!$B$8:$O$63,13,0),0)-IFERROR(IF(B43=100873,VLOOKUP("NOVIEMBRE",[2]RETAIL!$B$78:$C$91,2,0),0),0)</f>
        <v>0</v>
      </c>
      <c r="AB43" s="220"/>
      <c r="AC43" s="35">
        <f>IFERROR(VLOOKUP(B43,[2]RETAIL!$B$8:$O$63,14,0),0)-IFERROR(IF(B43=100873,VLOOKUP("DICIEMBRE",[2]RETAIL!$B$78:$C$91,2,0),0),0)</f>
        <v>0</v>
      </c>
      <c r="AD43" s="25">
        <f>IF($AD$2="ENERO",F43,IF($AD$2="FEBRERO",F43+H43,IF($AD$2="MARZO",F43+H43+J43,IF($AD$2="ABRIL",F43+H43+J43+L43,IF($AD$2="MAYO",F43+H43+J43+L43+N43,IF($AD$2="JUNIO",F43+H43+J43+L43+N43+P43,IF($AD$2="JULIO",F43+H43+J43+L43+N43+P43+R43,IF($AD$2="AGOSTO",F43+H43+J43+L43+N43+P43+R43+T43,IF($AD$2="SEPTIEMBRE",F43+H43+J43+L43+N43+P43+R43+T43+V43,IF($AD$2="OCTUBRE",F43+H43+J43+L43+N43+P43+R43+T43+V43+X43,IF($AD$2="NOVIEMBRE",F43+H43+J43+L43+N43+P43+R43+T43+V43+X43+Z43,IF($AD$2="DICIEMBRE",F43+H43+J43+L43+N43+P43+R43+T43+V43+X43+Z43+AB43,""))))))))))))</f>
        <v>168</v>
      </c>
      <c r="AE43" s="27">
        <f>IFERROR(IF($AD$2="ENERO",G43,IF($AD$2="FEBRERO",G43+I43,IF($AD$2="MARZO",G43+I43+K43,IF($AD$2="ABRIL",G43+I43+K43+M43,IF($AD$2="MAYO",G43+I43+K43+M43+O43,IF($AD$2="JUNIO",G43+I43+K43+M43+O43+Q43,IF($AD$2="JULIO",G43+I43+K43+M43+O43+Q43+S43,IF($AD$2="AGOSTO",G43+I43+K43+M43+O43+Q43+S43+U43,IF($AD$2="SEPTIEMBRE",G43+I43+K43+M43+O43+Q43+S43+U43+W43,IF($AD$2="OCTUBRE",G43+I43+K43+M43+O43+Q43+S43+U43+W43+Y43,IF($AD$2="NOVIEMBRE",G43+I43+K43+M43+O43+Q43+S43+U43+W43+Y43+AA43,IF($AD$2="DICIEMBRE",G43+I43+K43+M43+O43+Q43+S43+U43+W43+Y43+AA43+AC43,"")))))))))))),0)</f>
        <v>122</v>
      </c>
      <c r="AF43" s="371">
        <f t="shared" si="27"/>
        <v>0.72619047619047616</v>
      </c>
      <c r="AG43" s="25">
        <f t="shared" si="28"/>
        <v>168</v>
      </c>
      <c r="AH43" s="27">
        <f>IFERROR(IF($AD$2="ENERO",G43,IF($AD$2="FEBRERO",G43+I43,IF($AD$2="MARZO",G43+I43+K43,IF($AD$2="ABRIL",G43+I43+K43+M43,IF($AD$2="MAYO",G43+I43+K43+M43+O43,IF($AD$2="JUNIO",G43+I43+K43+M43+O43+Q43,IF($AD$2="JULIO",G43+I43+K43+M43+O43+Q43+S43,IF($AD$2="AGOSTO",G43+I43+K43+M43+O43+Q43+S43+U43,IF($AD$2="SEPTIEMBRE",G43+I43+K43+M43+O43+Q43+S43+U43+W43,IF($AD$2="OCTUBRE",G43+I43+K43+M43+O43+Q43+S43+U43+W43+Y43,IF($AD$2="NOVIEMBRE",G43+I43+K43+M43+O43+Q43+S43+U43+W43+Y43+AA43,IF($AD$2="DICIEMBRE",G43+I43+K43+M43+O43+Q43+S43+U43+W43+Y43+AA43+AC43,"")))))))))))),0)</f>
        <v>122</v>
      </c>
      <c r="AI43" s="371">
        <f t="shared" si="29"/>
        <v>0.72619047619047616</v>
      </c>
      <c r="AJ43" s="25">
        <f t="shared" si="30"/>
        <v>84</v>
      </c>
      <c r="AK43" s="27">
        <f t="shared" si="31"/>
        <v>59</v>
      </c>
      <c r="AL43" s="371">
        <f t="shared" si="32"/>
        <v>0.70238095238095233</v>
      </c>
      <c r="AM43" s="25">
        <f t="shared" si="33"/>
        <v>0</v>
      </c>
      <c r="AN43" s="27">
        <f t="shared" si="34"/>
        <v>0</v>
      </c>
      <c r="AO43" s="371">
        <f t="shared" si="35"/>
        <v>0</v>
      </c>
    </row>
    <row r="44" spans="1:41" s="4" customFormat="1" ht="15" customHeight="1" x14ac:dyDescent="0.25">
      <c r="A44" s="4">
        <v>7</v>
      </c>
      <c r="B44" s="8">
        <v>100572</v>
      </c>
      <c r="C44" s="369" t="s">
        <v>55</v>
      </c>
      <c r="D44" s="8">
        <v>8337</v>
      </c>
      <c r="E44" s="309" t="s">
        <v>274</v>
      </c>
      <c r="F44" s="217">
        <v>67</v>
      </c>
      <c r="G44" s="124">
        <f>IFERROR(VLOOKUP(B44,[2]RETAIL!$B$8:$O$63,3,0),0)-IFERROR(IF(B44=100873,VLOOKUP("ENERO",[2]RETAIL!$B$78:$C$91,2,0),0),0)</f>
        <v>47</v>
      </c>
      <c r="H44" s="217">
        <v>67</v>
      </c>
      <c r="I44" s="124">
        <f>IFERROR(VLOOKUP(B44,[2]RETAIL!$B$9:$O$63,4,0),0)-IFERROR(IF(B44=100873,GETPIVOTDATA("Chasis",[2]RETAIL!$B$77,"Código INT",100873,"Concesión","Bymycar Madrid","Fecha venta mes","Febrero"),0),0)</f>
        <v>49</v>
      </c>
      <c r="J44" s="217">
        <v>67</v>
      </c>
      <c r="K44" s="124">
        <f>IFERROR(VLOOKUP(B44,[2]RETAIL!$B$8:$O$63,5,0),0)-IFERROR(IF(B44=100873,VLOOKUP("MARZO",[2]RETAIL!$B$78:$C$91,2,0),0),0)</f>
        <v>47</v>
      </c>
      <c r="L44" s="217">
        <v>67</v>
      </c>
      <c r="M44" s="124">
        <f>IFERROR(VLOOKUP(B44,[2]RETAIL!$B$8:$O$63,6,0),0)-IFERROR(IF(B44=100873,VLOOKUP("ABRIL",[2]RETAIL!$B$78:$C$91,2,0),0),0)</f>
        <v>30</v>
      </c>
      <c r="N44" s="217">
        <v>67</v>
      </c>
      <c r="O44" s="23">
        <f>IFERROR(VLOOKUP(B44,[2]RETAIL!$B$8:$O$63,7,0),0)-IFERROR(IF(B44=100873,VLOOKUP("MAYO",[2]RETAIL!$B$78:$C$91,2,0),0),0)</f>
        <v>43</v>
      </c>
      <c r="P44" s="217">
        <v>67</v>
      </c>
      <c r="Q44" s="87">
        <f>IFERROR(VLOOKUP(B44,[2]RETAIL!$B$8:$O$63,8,0),0)-IFERROR(IF(B44=100873,VLOOKUP("JUNIO",[2]RETAIL!$B$78:$C$91,2,0),0),0)</f>
        <v>52</v>
      </c>
      <c r="R44" s="217"/>
      <c r="S44" s="23">
        <f>IFERROR(VLOOKUP(B44,[2]RETAIL!$B$8:$O$63,9,0),0)-IFERROR(IF(B44=100873,VLOOKUP("JULIO",[2]RETAIL!$B$78:$C$91,2,0),0),0)</f>
        <v>0</v>
      </c>
      <c r="T44" s="217"/>
      <c r="U44" s="124">
        <f>IFERROR(VLOOKUP(B44,[2]RETAIL!$B$8:$O$63,10,0),0)-IFERROR(IF(B44=100873,VLOOKUP("AGOSTO",[2]RETAIL!$B$78:$C$91,2,0),0),0)</f>
        <v>0</v>
      </c>
      <c r="V44" s="217"/>
      <c r="W44" s="23">
        <f>IFERROR(VLOOKUP(B44,[2]RETAIL!$B$8:$O$63,11,0),0)-IFERROR(IF(B44=100873,VLOOKUP("SEPTIEMBRE",[2]RETAIL!$B$78:$C$91,2,0),0),0)</f>
        <v>0</v>
      </c>
      <c r="X44" s="217"/>
      <c r="Y44" s="257">
        <f>IFERROR(VLOOKUP(B44,[2]RETAIL!$B$8:$O$63,12,0),0)-IFERROR(IF(B44=100873,VLOOKUP("OCTUBRE",[2]RETAIL!$B$78:$C$91,2,0),0),0)</f>
        <v>0</v>
      </c>
      <c r="Z44" s="217"/>
      <c r="AA44" s="35">
        <f>IFERROR(VLOOKUP(B44,[2]RETAIL!$B$8:$O$63,13,0),0)-IFERROR(IF(B44=100873,VLOOKUP("NOVIEMBRE",[2]RETAIL!$B$78:$C$91,2,0),0),0)</f>
        <v>0</v>
      </c>
      <c r="AB44" s="220"/>
      <c r="AC44" s="35">
        <f>IFERROR(VLOOKUP(B44,[2]RETAIL!$B$8:$O$63,14,0),0)-IFERROR(IF(B44=100873,VLOOKUP("DICIEMBRE",[2]RETAIL!$B$78:$C$91,2,0),0),0)</f>
        <v>0</v>
      </c>
      <c r="AD44" s="25">
        <f>IF($AD$2="ENERO",F44,IF($AD$2="FEBRERO",F44+H44,IF($AD$2="MARZO",F44+H44+J44,IF($AD$2="ABRIL",F44+H44+J44+L44,IF($AD$2="MAYO",F44+H44+J44+L44+N44,IF($AD$2="JUNIO",F44+H44+J44+L44+N44+P44,IF($AD$2="JULIO",F44+H44+J44+L44+N44+P44+R44,IF($AD$2="AGOSTO",F44+H44+J44+L44+N44+P44+R44+T44,IF($AD$2="SEPTIEMBRE",F44+H44+J44+L44+N44+P44+R44+T44+V44,IF($AD$2="OCTUBRE",F44+H44+J44+L44+N44+P44+R44+T44+V44+X44,IF($AD$2="NOVIEMBRE",F44+H44+J44+L44+N44+P44+R44+T44+V44+X44+Z44,IF($AD$2="DICIEMBRE",F44+H44+J44+L44+N44+P44+R44+T44+V44+X44+Z44+AB44,""))))))))))))</f>
        <v>402</v>
      </c>
      <c r="AE44" s="27">
        <f>IFERROR(IF($AD$2="ENERO",G44,IF($AD$2="FEBRERO",G44+I44,IF($AD$2="MARZO",G44+I44+K44,IF($AD$2="ABRIL",G44+I44+K44+M44,IF($AD$2="MAYO",G44+I44+K44+M44+O44,IF($AD$2="JUNIO",G44+I44+K44+M44+O44+Q44,IF($AD$2="JULIO",G44+I44+K44+M44+O44+Q44+S44,IF($AD$2="AGOSTO",G44+I44+K44+M44+O44+Q44+S44+U44,IF($AD$2="SEPTIEMBRE",G44+I44+K44+M44+O44+Q44+S44+U44+W44,IF($AD$2="OCTUBRE",G44+I44+K44+M44+O44+Q44+S44+U44+W44+Y44,IF($AD$2="NOVIEMBRE",G44+I44+K44+M44+O44+Q44+S44+U44+W44+#REF!+AA44,IF($AD$2="DICIEMBRE",G44+I44+K44+M44+O44+Q44+S44+U44+W44+#REF!+AA44+AC44,"")))))))))))),0)</f>
        <v>268</v>
      </c>
      <c r="AF44" s="371">
        <f t="shared" si="27"/>
        <v>0.66666666666666663</v>
      </c>
      <c r="AG44" s="25">
        <f t="shared" si="28"/>
        <v>402</v>
      </c>
      <c r="AH44" s="27">
        <f>IFERROR(IF($AD$2="ENERO",G44,IF($AD$2="FEBRERO",G44+I44,IF($AD$2="MARZO",G44+I44+K44,IF($AD$2="ABRIL",G44+I44+K44+M44,IF($AD$2="MAYO",G44+I44+K44+M44+O44,IF($AD$2="JUNIO",G44+I44+K44+M44+O44+Q44,IF($AD$2="JULIO",G44+I44+K44+M44+O44+Q44+S44,IF($AD$2="AGOSTO",G44+I44+K44+M44+O44+Q44+S44+U44,IF($AD$2="SEPTIEMBRE",G44+I44+K44+M44+O44+Q44+S44+U44+W44,IF($AD$2="OCTUBRE",G44+I44+K44+M44+O44+Q44+S44+U44+W44+Y44,IF($AD$2="NOVIEMBRE",G44+I44+K44+M44+O44+Q44+S44+U44+W44+#REF!+AA44,IF($AD$2="DICIEMBRE",G44+I44+K44+M44+O44+Q44+S44+U44+W44+#REF!+AA44+AC44,"")))))))))))),0)</f>
        <v>268</v>
      </c>
      <c r="AI44" s="371">
        <f t="shared" si="29"/>
        <v>0.66666666666666663</v>
      </c>
      <c r="AJ44" s="25">
        <f t="shared" si="30"/>
        <v>201</v>
      </c>
      <c r="AK44" s="27">
        <f t="shared" si="31"/>
        <v>143</v>
      </c>
      <c r="AL44" s="371">
        <f t="shared" si="32"/>
        <v>0.71144278606965172</v>
      </c>
      <c r="AM44" s="25">
        <f t="shared" si="33"/>
        <v>0</v>
      </c>
      <c r="AN44" s="27">
        <f t="shared" si="34"/>
        <v>0</v>
      </c>
      <c r="AO44" s="371">
        <f t="shared" si="35"/>
        <v>0</v>
      </c>
    </row>
    <row r="45" spans="1:41" s="4" customFormat="1" ht="15" customHeight="1" thickBot="1" x14ac:dyDescent="0.3">
      <c r="A45" s="4">
        <v>7</v>
      </c>
      <c r="B45" s="8">
        <v>100584</v>
      </c>
      <c r="C45" s="369" t="s">
        <v>8</v>
      </c>
      <c r="D45" s="8">
        <v>33948</v>
      </c>
      <c r="E45" s="309" t="s">
        <v>92</v>
      </c>
      <c r="F45" s="217">
        <v>16</v>
      </c>
      <c r="G45" s="124">
        <f>IFERROR(VLOOKUP(B45,[2]RETAIL!$B$8:$O$63,3,0),0)-IFERROR(IF(B45=100873,VLOOKUP("ENERO",[2]RETAIL!$B$78:$C$91,2,0),0),0)</f>
        <v>14</v>
      </c>
      <c r="H45" s="217">
        <v>16</v>
      </c>
      <c r="I45" s="124">
        <f>IFERROR(VLOOKUP(B45,[2]RETAIL!$B$9:$O$63,4,0),0)-IFERROR(IF(B45=100873,GETPIVOTDATA("Chasis",[2]RETAIL!$B$77,"Código INT",100873,"Concesión","Bymycar Madrid","Fecha venta mes","Febrero"),0),0)</f>
        <v>12</v>
      </c>
      <c r="J45" s="217">
        <v>16</v>
      </c>
      <c r="K45" s="124">
        <f>IFERROR(VLOOKUP(B45,[2]RETAIL!$B$8:$O$63,5,0),0)-IFERROR(IF(B45=100873,VLOOKUP("MARZO",[2]RETAIL!$B$78:$C$91,2,0),0),0)</f>
        <v>9</v>
      </c>
      <c r="L45" s="217">
        <v>16</v>
      </c>
      <c r="M45" s="124">
        <f>IFERROR(VLOOKUP(B45,[2]RETAIL!$B$8:$O$63,6,0),0)-IFERROR(IF(B45=100873,VLOOKUP("ABRIL",[2]RETAIL!$B$78:$C$91,2,0),0),0)</f>
        <v>16</v>
      </c>
      <c r="N45" s="217">
        <v>16</v>
      </c>
      <c r="O45" s="23">
        <f>IFERROR(VLOOKUP(B45,[2]RETAIL!$B$8:$O$63,7,0),0)-IFERROR(IF(B45=100873,VLOOKUP("MAYO",[2]RETAIL!$B$78:$C$91,2,0),0),0)</f>
        <v>21</v>
      </c>
      <c r="P45" s="217">
        <v>17</v>
      </c>
      <c r="Q45" s="87">
        <f>IFERROR(VLOOKUP(B45,[2]RETAIL!$B$8:$O$63,8,0),0)-IFERROR(IF(B45=100873,VLOOKUP("JUNIO",[2]RETAIL!$B$78:$C$91,2,0),0),0)</f>
        <v>43</v>
      </c>
      <c r="R45" s="217"/>
      <c r="S45" s="23">
        <f>IFERROR(VLOOKUP(B45,[2]RETAIL!$B$8:$O$63,9,0),0)-IFERROR(IF(B45=100873,VLOOKUP("JULIO",[2]RETAIL!$B$78:$C$91,2,0),0),0)</f>
        <v>0</v>
      </c>
      <c r="T45" s="217"/>
      <c r="U45" s="124">
        <f>IFERROR(VLOOKUP(B45,[2]RETAIL!$B$8:$O$63,10,0),0)-IFERROR(IF(B45=100873,VLOOKUP("AGOSTO",[2]RETAIL!$B$78:$C$91,2,0),0),0)</f>
        <v>0</v>
      </c>
      <c r="V45" s="217"/>
      <c r="W45" s="23">
        <f>IFERROR(VLOOKUP(B45,[2]RETAIL!$B$8:$O$63,11,0),0)-IFERROR(IF(B45=100873,VLOOKUP("SEPTIEMBRE",[2]RETAIL!$B$78:$C$91,2,0),0),0)</f>
        <v>0</v>
      </c>
      <c r="X45" s="217"/>
      <c r="Y45" s="257">
        <f>IFERROR(VLOOKUP(B45,[2]RETAIL!$B$8:$O$63,12,0),0)-IFERROR(IF(B45=100873,VLOOKUP("OCTUBRE",[2]RETAIL!$B$78:$C$91,2,0),0),0)</f>
        <v>0</v>
      </c>
      <c r="Z45" s="217"/>
      <c r="AA45" s="35">
        <f>IFERROR(VLOOKUP(B45,[2]RETAIL!$B$8:$O$63,13,0),0)-IFERROR(IF(B45=100873,VLOOKUP("NOVIEMBRE",[2]RETAIL!$B$78:$C$91,2,0),0),0)</f>
        <v>0</v>
      </c>
      <c r="AB45" s="220"/>
      <c r="AC45" s="35">
        <f>IFERROR(VLOOKUP(B45,[2]RETAIL!$B$8:$O$63,14,0),0)-IFERROR(IF(B45=100873,VLOOKUP("DICIEMBRE",[2]RETAIL!$B$78:$C$91,2,0),0),0)</f>
        <v>0</v>
      </c>
      <c r="AD45" s="25">
        <f>IF($AD$2="ENERO",F45,IF($AD$2="FEBRERO",F45+H45,IF($AD$2="MARZO",F45+H45+J45,IF($AD$2="ABRIL",F45+H45+J45+L45,IF($AD$2="MAYO",F45+H45+J45+L45+N45,IF($AD$2="JUNIO",F45+H45+J45+L45+N45+P45,IF($AD$2="JULIO",F45+H45+J45+L45+N45+P45+R45,IF($AD$2="AGOSTO",F45+H45+J45+L45+N45+P45+R45+T45,IF($AD$2="SEPTIEMBRE",F45+H45+J45+L45+N45+P45+R45+T45+V45,IF($AD$2="OCTUBRE",F45+H45+J45+L45+N45+P45+R45+T45+V45+X45,IF($AD$2="NOVIEMBRE",F45+H45+J45+L45+N45+P45+R45+T45+V45+X45+Z45,IF($AD$2="DICIEMBRE",F45+H45+J45+L45+N45+P45+R45+T45+V45+X45+Z45+AB45,""))))))))))))</f>
        <v>97</v>
      </c>
      <c r="AE45" s="27">
        <f>IFERROR(IF($AD$2="ENERO",G45,IF($AD$2="FEBRERO",G45+I45,IF($AD$2="MARZO",G45+I45+K45,IF($AD$2="ABRIL",G45+I45+K45+M45,IF($AD$2="MAYO",G45+I45+K45+M45+O45,IF($AD$2="JUNIO",G45+I45+K45+M45+O45+Q45,IF($AD$2="JULIO",G45+I45+K45+M45+O45+Q45+S45,IF($AD$2="AGOSTO",G45+I45+K45+M45+O45+Q45+S45+U45,IF($AD$2="SEPTIEMBRE",G45+I45+K45+M45+O45+Q45+S45+U45+W45,IF($AD$2="OCTUBRE",G45+I45+K45+M45+O45+Q45+S45+U45+W45+Y45,IF($AD$2="NOVIEMBRE",G45+I45+K45+M45+O45+Q45+S45+U45+W45+Y44+AA45,IF($AD$2="DICIEMBRE",G45+I45+K45+M45+O45+Q45+S45+U45+W45+Y44+AA45+AC45,"")))))))))))),0)</f>
        <v>115</v>
      </c>
      <c r="AF45" s="371">
        <f t="shared" si="27"/>
        <v>1.1855670103092784</v>
      </c>
      <c r="AG45" s="25">
        <f t="shared" si="28"/>
        <v>97</v>
      </c>
      <c r="AH45" s="27">
        <f>IFERROR(IF($AD$2="ENERO",G45,IF($AD$2="FEBRERO",G45+I45,IF($AD$2="MARZO",G45+I45+K45,IF($AD$2="ABRIL",G45+I45+K45+M45,IF($AD$2="MAYO",G45+I45+K45+M45+O45,IF($AD$2="JUNIO",G45+I45+K45+M45+O45+Q45,IF($AD$2="JULIO",G45+I45+K45+M45+O45+Q45+S45,IF($AD$2="AGOSTO",G45+I45+K45+M45+O45+Q45+S45+U45,IF($AD$2="SEPTIEMBRE",G45+I45+K45+M45+O45+Q45+S45+U45+W45,IF($AD$2="OCTUBRE",G45+I45+K45+M45+O45+Q45+S45+U45+W45+Y45,IF($AD$2="NOVIEMBRE",G45+I45+K45+M45+O45+Q45+S45+U45+W45+Y44+AA45,IF($AD$2="DICIEMBRE",G45+I45+K45+M45+O45+Q45+S45+U45+W45+Y44+AA45+AC45,"")))))))))))),0)</f>
        <v>115</v>
      </c>
      <c r="AI45" s="371">
        <f t="shared" si="29"/>
        <v>1.1855670103092784</v>
      </c>
      <c r="AJ45" s="25">
        <f t="shared" si="30"/>
        <v>48</v>
      </c>
      <c r="AK45" s="27">
        <f t="shared" si="31"/>
        <v>35</v>
      </c>
      <c r="AL45" s="371">
        <f t="shared" si="32"/>
        <v>0.72916666666666663</v>
      </c>
      <c r="AM45" s="25">
        <f t="shared" si="33"/>
        <v>0</v>
      </c>
      <c r="AN45" s="27">
        <f t="shared" si="34"/>
        <v>0</v>
      </c>
      <c r="AO45" s="371">
        <f t="shared" si="35"/>
        <v>0</v>
      </c>
    </row>
    <row r="46" spans="1:41" s="4" customFormat="1" ht="15" customHeight="1" thickBot="1" x14ac:dyDescent="0.3">
      <c r="B46" s="7" t="s">
        <v>269</v>
      </c>
      <c r="C46" s="28"/>
      <c r="D46" s="29"/>
      <c r="E46" s="7"/>
      <c r="F46" s="314">
        <f t="shared" ref="F46:AC46" si="37">SUM(F43:F45)</f>
        <v>111</v>
      </c>
      <c r="G46" s="389">
        <f t="shared" si="37"/>
        <v>79</v>
      </c>
      <c r="H46" s="314">
        <f t="shared" si="37"/>
        <v>111</v>
      </c>
      <c r="I46" s="389">
        <f t="shared" si="37"/>
        <v>77</v>
      </c>
      <c r="J46" s="314">
        <f t="shared" si="37"/>
        <v>111</v>
      </c>
      <c r="K46" s="389">
        <f t="shared" si="37"/>
        <v>81</v>
      </c>
      <c r="L46" s="314">
        <f t="shared" si="37"/>
        <v>111</v>
      </c>
      <c r="M46" s="389">
        <f t="shared" si="37"/>
        <v>65</v>
      </c>
      <c r="N46" s="314">
        <f t="shared" si="37"/>
        <v>111</v>
      </c>
      <c r="O46" s="389">
        <f t="shared" si="37"/>
        <v>89</v>
      </c>
      <c r="P46" s="314">
        <f t="shared" si="37"/>
        <v>112</v>
      </c>
      <c r="Q46" s="389">
        <f t="shared" si="37"/>
        <v>114</v>
      </c>
      <c r="R46" s="314">
        <f t="shared" si="37"/>
        <v>0</v>
      </c>
      <c r="S46" s="389">
        <f t="shared" si="37"/>
        <v>0</v>
      </c>
      <c r="T46" s="314">
        <f t="shared" si="37"/>
        <v>0</v>
      </c>
      <c r="U46" s="389">
        <f t="shared" si="37"/>
        <v>0</v>
      </c>
      <c r="V46" s="314">
        <f t="shared" si="37"/>
        <v>0</v>
      </c>
      <c r="W46" s="389">
        <f t="shared" si="37"/>
        <v>0</v>
      </c>
      <c r="X46" s="314">
        <f t="shared" si="37"/>
        <v>0</v>
      </c>
      <c r="Y46" s="389">
        <f t="shared" si="37"/>
        <v>0</v>
      </c>
      <c r="Z46" s="314">
        <f t="shared" si="37"/>
        <v>0</v>
      </c>
      <c r="AA46" s="389">
        <f t="shared" si="37"/>
        <v>0</v>
      </c>
      <c r="AB46" s="314">
        <f t="shared" si="37"/>
        <v>0</v>
      </c>
      <c r="AC46" s="389">
        <f t="shared" si="37"/>
        <v>0</v>
      </c>
      <c r="AD46" s="30">
        <f>IF($AD$2="ENERO",F46,IF($AD$2="FEBRERO",F46+H46,IF($AD$2="MARZO",F46+H46+J46,IF($AD$2="ABRIL",F46+H46+J46+L46,IF($AD$2="MAYO",F46+H46+J46+L46+N46,IF($AD$2="JUNIO",F46+H46+J46+L46+N46+P46,IF($AD$2="JULIO",F46+H46+J46+L46+N46+P46+R46,IF($AD$2="AGOSTO",F46+H46+J46+L46+N46+P46+R46+T46,IF($AD$2="SEPTIEMBRE",F46+H46+J46+L46+N46+P46+R46+T46+V46,IF($AD$2="OCTUBRE",F46+H46+J46+L46+N46+P46+R46+T46+V46+X46,IF($AD$2="NOVIEMBRE",F46+H46+J46+L46+N46+P46+R46+T46+V46+X46+Z46,IF($AD$2="DICIEMBRE",F46+H46+J46+L46+N46+P46+R46+T46+V46+X46+Z46+AB46,""))))))))))))</f>
        <v>667</v>
      </c>
      <c r="AE46" s="33">
        <f>IF($AD$2="ENERO",G46,IF($AD$2="FEBRERO",G46+I46,IF($AD$2="MARZO",G46+I46+K46,IF($AD$2="ABRIL",G46+I46+K46+M46,IF($AD$2="MAYO",G46+I46+K46+M46+O46,IF($AD$2="JUNIO",G46+I46+K46+M46+O46+Q46,IF($AD$2="JULIO",G46+I46+K46+M46+O46+Q46+S46,IF($AD$2="AGOSTO",G46+I46+K46+M46+O46+Q46+S46+U46,IF($AD$2="SEPTIEMBRE",G46+I46+K46+M46+O46+Q46+S46+U46+W46,IF($AD$2="OCTUBRE",G46+I46+K46+M46+O46+Q46+S46+U46+W46+Y46,IF($AD$2="NOVIEMBRE",G46+I46+K46+M46+O46+Q46+S46+U46+W46+Y46+AA46,IF($AD$2="DICIEMBRE",G46+I46+K46+M46+O46+Q46+S46+U46+W46+Y46+AA46+AC46,""))))))))))))</f>
        <v>505</v>
      </c>
      <c r="AF46" s="276">
        <f>IFERROR((AE46/AD46),0)</f>
        <v>0.7571214392803598</v>
      </c>
      <c r="AG46" s="30">
        <f>+F46+H46+J46+L46+N46+P46+R46+T46+V46+X46+Z46+AB46</f>
        <v>667</v>
      </c>
      <c r="AH46" s="33">
        <f>IF($AD$2="ENERO",G46,IF($AD$2="FEBRERO",G46+I46,IF($AD$2="MARZO",G46+I46+K46,IF($AD$2="ABRIL",G46+I46+K46+M46,IF($AD$2="MAYO",G46+I46+K46+M46+O46,IF($AD$2="JUNIO",G46+I46+K46+M46+O46+Q46,IF($AD$2="JULIO",G46+I46+K46+M46+O46+Q46+S46,IF($AD$2="AGOSTO",G46+I46+K46+M46+O46+Q46+S46+U46,IF($AD$2="SEPTIEMBRE",G46+I46+K46+M46+O46+Q46+S46+U46+W46,IF($AD$2="OCTUBRE",G46+I46+K46+M46+O46+Q46+S46+U46+W46+Y46,IF($AD$2="NOVIEMBRE",G46+I46+K46+M46+O46+Q46+S46+U46+W46+Y46+AA46,IF($AD$2="DICIEMBRE",G46+I46+K46+M46+O46+Q46+S46+U46+W46+Y46+AA46+AC46,""))))))))))))</f>
        <v>505</v>
      </c>
      <c r="AI46" s="276">
        <f>IFERROR((AH46/AG46),0)</f>
        <v>0.7571214392803598</v>
      </c>
      <c r="AJ46" s="30">
        <f>IFERROR(IF($AJ$3="Q1",F46+H46+J46,IF($AJ$3="Q2",L46+N46++P46,IF($AJ$3="Q3",R46+T46+V46,IF($AJ$3="Q4",X46+Z46+AB46,0)))),0)</f>
        <v>333</v>
      </c>
      <c r="AK46" s="33">
        <f>IFERROR(IF($AJ$3="Q1",G46+I46+K46,IF($AJ$3="Q2",M46+O46++Q46,IF($AJ$3="Q3",S46+U46+W46,IF($AJ$3="Q4",Y46+AA46+AC46,0)))),0)</f>
        <v>237</v>
      </c>
      <c r="AL46" s="276">
        <f>IFERROR((AK46/AJ46),0)</f>
        <v>0.71171171171171166</v>
      </c>
      <c r="AM46" s="30">
        <f>IFERROR(IF($AM$3="S 1",F46+H46+J46+L46+N46++P46,IF($AM$3="S 2",R46+T46+V46+X46+Z46+AB46,0)),0)</f>
        <v>0</v>
      </c>
      <c r="AN46" s="33">
        <f>IFERROR(IF($AM$3="S 1",G46+I46+K46+M46+O46+Q46,IF($AM$3="S 2",S46+U46+W46+Y46+AA46+AC46,0)),0)</f>
        <v>0</v>
      </c>
      <c r="AO46" s="276">
        <f>IFERROR((AN46/AM46),0)</f>
        <v>0</v>
      </c>
    </row>
    <row r="47" spans="1:41" s="4" customFormat="1" ht="15" customHeight="1" x14ac:dyDescent="0.25">
      <c r="A47" s="4">
        <v>8</v>
      </c>
      <c r="B47" s="9">
        <v>100765</v>
      </c>
      <c r="C47" s="374" t="s">
        <v>60</v>
      </c>
      <c r="D47" s="8">
        <v>41991</v>
      </c>
      <c r="E47" s="309" t="s">
        <v>90</v>
      </c>
      <c r="F47" s="218">
        <v>4</v>
      </c>
      <c r="G47" s="124">
        <f>IFERROR(VLOOKUP(B47,[2]RETAIL!$B$8:$O$63,3,0),0)-IFERROR(IF(B47=100873,VLOOKUP("ENERO",[2]RETAIL!$B$78:$C$91,2,0),0),0)</f>
        <v>3</v>
      </c>
      <c r="H47" s="218">
        <v>4</v>
      </c>
      <c r="I47" s="124">
        <f>IFERROR(VLOOKUP(B47,[2]RETAIL!$B$8:$O$63,4,0),0)-IFERROR(IF(B47=100873,VLOOKUP("FEBRERO",[2]RETAIL!$B$78:$C$91,2,0),0),0)</f>
        <v>5</v>
      </c>
      <c r="J47" s="218">
        <v>5</v>
      </c>
      <c r="K47" s="124">
        <f>IFERROR(VLOOKUP(B47,[2]RETAIL!$B$8:$O$63,5,0),0)-IFERROR(IF(B47=100873,VLOOKUP("MARZO",[2]RETAIL!$B$78:$C$91,2,0),0),0)</f>
        <v>4</v>
      </c>
      <c r="L47" s="218">
        <v>4</v>
      </c>
      <c r="M47" s="124">
        <f>IFERROR(VLOOKUP(B47,[2]RETAIL!$B$8:$O$63,6,0),0)-IFERROR(IF(B47=100873,VLOOKUP("ABRIL",[2]RETAIL!$B$78:$C$91,2,0),0),0)</f>
        <v>4</v>
      </c>
      <c r="N47" s="218">
        <v>5</v>
      </c>
      <c r="O47" s="23">
        <f>IFERROR(VLOOKUP(B47,[2]RETAIL!$B$8:$O$63,7,0),0)-IFERROR(IF(B47=100873,VLOOKUP("MAYO",[2]RETAIL!$B$78:$C$91,2,0),0),0)</f>
        <v>7</v>
      </c>
      <c r="P47" s="218">
        <v>5</v>
      </c>
      <c r="Q47" s="87">
        <f>IFERROR(VLOOKUP(B47,[2]RETAIL!$B$8:$O$63,8,0),0)-IFERROR(IF(B47=100873,VLOOKUP("JUNIO",[2]RETAIL!$B$78:$C$91,2,0),0),0)</f>
        <v>6</v>
      </c>
      <c r="R47" s="218"/>
      <c r="S47" s="23">
        <f>IFERROR(VLOOKUP(B47,[2]RETAIL!$B$8:$O$63,9,0),0)-IFERROR(IF(B47=100873,VLOOKUP("JULIO",[2]RETAIL!$B$78:$C$91,2,0),0),0)</f>
        <v>0</v>
      </c>
      <c r="T47" s="217"/>
      <c r="U47" s="124">
        <f>IFERROR(VLOOKUP(B47,[2]RETAIL!$B$8:$O$63,10,0),0)-IFERROR(IF(B47=100873,VLOOKUP("AGOSTO",[2]RETAIL!$B$78:$C$91,2,0),0),0)</f>
        <v>0</v>
      </c>
      <c r="V47" s="217"/>
      <c r="W47" s="23">
        <f>IFERROR(VLOOKUP(B47,[2]RETAIL!$B$8:$O$63,11,0),0)-IFERROR(IF(B47=100873,VLOOKUP("SEPTIEMBRE",[2]RETAIL!$B$78:$C$91,2,0),0),0)</f>
        <v>0</v>
      </c>
      <c r="X47" s="217"/>
      <c r="Y47" s="257">
        <f>IFERROR(VLOOKUP(B47,[2]RETAIL!$B$8:$O$63,12,0),0)-IFERROR(IF(B47=100873,VLOOKUP("OCTUBRE",[2]RETAIL!$B$78:$C$91,2,0),0),0)</f>
        <v>0</v>
      </c>
      <c r="Z47" s="217"/>
      <c r="AA47" s="35">
        <f>IFERROR(VLOOKUP(B47,[2]RETAIL!$B$8:$O$63,13,0),0)-IFERROR(IF(B47=100873,VLOOKUP("NOVIEMBRE",[2]RETAIL!$B$78:$C$91,2,0),0),0)</f>
        <v>0</v>
      </c>
      <c r="AB47" s="220"/>
      <c r="AC47" s="35">
        <f>IFERROR(VLOOKUP(B47,[2]RETAIL!$B$8:$O$63,14,0),0)-IFERROR(IF(B47=100873,VLOOKUP("DICIEMBRE",[2]RETAIL!$B$78:$C$91,2,0),0),0)</f>
        <v>0</v>
      </c>
      <c r="AD47" s="25">
        <f t="shared" ref="AD47:AD68" si="38">IF($AD$2="ENERO",F47,IF($AD$2="FEBRERO",F47+H47,IF($AD$2="MARZO",F47+H47+J47,IF($AD$2="ABRIL",F47+H47+J47+L47,IF($AD$2="MAYO",F47+H47+J47+L47+N47,IF($AD$2="JUNIO",F47+H47+J47+L47+N47+P47,IF($AD$2="JULIO",F47+H47+J47+L47+N47+P47+R47,IF($AD$2="AGOSTO",F47+H47+J47+L47+N47+P47+R47+T47,IF($AD$2="SEPTIEMBRE",F47+H47+J47+L47+N47+P47+R47+T47+V47,IF($AD$2="OCTUBRE",F47+H47+J47+L47+N47+P47+R47+T47+V47+X47,IF($AD$2="NOVIEMBRE",F47+H47+J47+L47+N47+P47+R47+T47+V47+X47+Z47,IF($AD$2="DICIEMBRE",F47+H47+J47+L47+N47+P47+R47+T47+V47+X47+Z47+AB47,""))))))))))))</f>
        <v>27</v>
      </c>
      <c r="AE47" s="27">
        <f t="shared" ref="AE47:AE52" si="39">IFERROR(IF($AD$2="ENERO",G47,IF($AD$2="FEBRERO",G47+I47,IF($AD$2="MARZO",G47+I47+K47,IF($AD$2="ABRIL",G47+I47+K47+M47,IF($AD$2="MAYO",G47+I47+K47+M47+O47,IF($AD$2="JUNIO",G47+I47+K47+M47+O47+Q47,IF($AD$2="JULIO",G47+I47+K47+M47+O47+Q47+S47,IF($AD$2="AGOSTO",G47+I47+K47+M47+O47+Q47+S47+U47,IF($AD$2="SEPTIEMBRE",G47+I47+K47+M47+O47+Q47+S47+U47+W47,IF($AD$2="OCTUBRE",G47+I47+K47+M47+O47+Q47+S47+U47+W47+Y47,IF($AD$2="NOVIEMBRE",G47+I47+K47+M47+O47+Q47+S47+U47+W47+Y47+AA47,IF($AD$2="DICIEMBRE",G47+I47+K47+M47+O47+Q47+S47+U47+W47+Y47+AA47+AC47,"")))))))))))),0)</f>
        <v>29</v>
      </c>
      <c r="AF47" s="371">
        <f t="shared" ref="AF47:AF68" si="40">IFERROR((AE47/AD47),0)</f>
        <v>1.0740740740740742</v>
      </c>
      <c r="AG47" s="25">
        <f t="shared" ref="AG47:AG68" si="41">+F47+H47+J47+L47+N47+P47+R47+T47+V47+X47+Z47+AB47</f>
        <v>27</v>
      </c>
      <c r="AH47" s="27">
        <f t="shared" ref="AH47:AH52" si="42">IFERROR(IF($AD$2="ENERO",G47,IF($AD$2="FEBRERO",G47+I47,IF($AD$2="MARZO",G47+I47+K47,IF($AD$2="ABRIL",G47+I47+K47+M47,IF($AD$2="MAYO",G47+I47+K47+M47+O47,IF($AD$2="JUNIO",G47+I47+K47+M47+O47+Q47,IF($AD$2="JULIO",G47+I47+K47+M47+O47+Q47+S47,IF($AD$2="AGOSTO",G47+I47+K47+M47+O47+Q47+S47+U47,IF($AD$2="SEPTIEMBRE",G47+I47+K47+M47+O47+Q47+S47+U47+W47,IF($AD$2="OCTUBRE",G47+I47+K47+M47+O47+Q47+S47+U47+W47+Y47,IF($AD$2="NOVIEMBRE",G47+I47+K47+M47+O47+Q47+S47+U47+W47+Y47+AA47,IF($AD$2="DICIEMBRE",G47+I47+K47+M47+O47+Q47+S47+U47+W47+Y47+AA47+AC47,"")))))))))))),0)</f>
        <v>29</v>
      </c>
      <c r="AI47" s="371">
        <f t="shared" ref="AI47:AI68" si="43">IFERROR((AH47/AG47),0)</f>
        <v>1.0740740740740742</v>
      </c>
      <c r="AJ47" s="25">
        <f t="shared" ref="AJ47:AJ65" si="44">IFERROR(IF($AJ$3="Q1",F47+H47+J47,IF($AJ$3="Q2",L47+N47++P47,IF($AJ$3="Q3",R47+T47+V47,IF($AJ$3="Q4",X47+Z47+AB47,0)))),0)</f>
        <v>13</v>
      </c>
      <c r="AK47" s="27">
        <f t="shared" ref="AK47:AK65" si="45">IFERROR(IF($AJ$3="Q1",G47+I47+K47,IF($AJ$3="Q2",M47+O47++Q47,IF($AJ$3="Q3",S47+U47+W47,IF($AJ$3="Q4",Y47+AA47+AC47,0)))),0)</f>
        <v>12</v>
      </c>
      <c r="AL47" s="371">
        <f t="shared" ref="AL47:AL68" si="46">IFERROR((AK47/AJ47),0)</f>
        <v>0.92307692307692313</v>
      </c>
      <c r="AM47" s="25">
        <f t="shared" ref="AM47:AM65" si="47">IFERROR(IF($AM$3="S 1",F47+H47+J47+L47+N47++P47,IF($AM$3="S 2",R47+T47+V47+X47+Z47+AB47,0)),0)</f>
        <v>0</v>
      </c>
      <c r="AN47" s="27">
        <f t="shared" ref="AN47:AN65" si="48">IFERROR(IF($AM$3="S 1",G47+I47+K47+M47+O47+Q47,IF($AM$3="S 2",S47+U47+W47+Y47+AA47+AC47,0)),0)</f>
        <v>0</v>
      </c>
      <c r="AO47" s="371">
        <f t="shared" ref="AO47:AO68" si="49">IFERROR((AN47/AM47),0)</f>
        <v>0</v>
      </c>
    </row>
    <row r="48" spans="1:41" s="4" customFormat="1" ht="15" customHeight="1" x14ac:dyDescent="0.25">
      <c r="A48" s="4">
        <v>8</v>
      </c>
      <c r="B48" s="8">
        <v>100002</v>
      </c>
      <c r="C48" s="369" t="s">
        <v>61</v>
      </c>
      <c r="D48" s="8">
        <v>1357</v>
      </c>
      <c r="E48" s="309" t="s">
        <v>96</v>
      </c>
      <c r="F48" s="217">
        <v>19</v>
      </c>
      <c r="G48" s="124">
        <f>IFERROR(VLOOKUP(B48,[2]RETAIL!$B$8:$O$63,3,0),0)-IFERROR(IF(B48=100873,VLOOKUP("ENERO",[2]RETAIL!$B$78:$C$91,2,0),0),0)</f>
        <v>18</v>
      </c>
      <c r="H48" s="217">
        <v>19</v>
      </c>
      <c r="I48" s="124">
        <f>IFERROR(VLOOKUP(B48,[2]RETAIL!$B$8:$O$63,4,0),0)-IFERROR(IF(B48=100873,VLOOKUP("FEBRERO",[2]RETAIL!$B$78:$C$91,2,0),0),0)</f>
        <v>16</v>
      </c>
      <c r="J48" s="217">
        <v>19</v>
      </c>
      <c r="K48" s="124">
        <f>IFERROR(VLOOKUP(B48,[2]RETAIL!$B$8:$O$63,5,0),0)-IFERROR(IF(B48=100873,VLOOKUP("MARZO",[2]RETAIL!$B$78:$C$91,2,0),0),0)</f>
        <v>17</v>
      </c>
      <c r="L48" s="217">
        <v>19</v>
      </c>
      <c r="M48" s="124">
        <f>IFERROR(VLOOKUP(B48,[2]RETAIL!$B$8:$O$63,6,0),0)-IFERROR(IF(B48=100873,VLOOKUP("ABRIL",[2]RETAIL!$B$78:$C$91,2,0),0),0)</f>
        <v>16</v>
      </c>
      <c r="N48" s="217">
        <v>19</v>
      </c>
      <c r="O48" s="23">
        <f>IFERROR(VLOOKUP(B48,[2]RETAIL!$B$8:$O$63,7,0),0)-IFERROR(IF(B48=100873,VLOOKUP("MAYO",[2]RETAIL!$B$78:$C$91,2,0),0),0)</f>
        <v>12</v>
      </c>
      <c r="P48" s="217">
        <v>20</v>
      </c>
      <c r="Q48" s="87">
        <f>IFERROR(VLOOKUP(B48,[2]RETAIL!$B$8:$O$63,8,0),0)-IFERROR(IF(B48=100873,VLOOKUP("JUNIO",[2]RETAIL!$B$78:$C$91,2,0),0),0)</f>
        <v>17</v>
      </c>
      <c r="R48" s="219"/>
      <c r="S48" s="23">
        <f>IFERROR(VLOOKUP(B48,[2]RETAIL!$B$8:$O$63,9,0),0)-IFERROR(IF(B48=100873,VLOOKUP("JULIO",[2]RETAIL!$B$78:$C$91,2,0),0),0)</f>
        <v>0</v>
      </c>
      <c r="T48" s="217"/>
      <c r="U48" s="124">
        <f>IFERROR(VLOOKUP(B48,[2]RETAIL!$B$8:$O$63,10,0),0)-IFERROR(IF(B48=100873,VLOOKUP("AGOSTO",[2]RETAIL!$B$78:$C$91,2,0),0),0)</f>
        <v>0</v>
      </c>
      <c r="V48" s="217"/>
      <c r="W48" s="23">
        <f>IFERROR(VLOOKUP(B48,[2]RETAIL!$B$8:$O$63,11,0),0)-IFERROR(IF(B48=100873,VLOOKUP("SEPTIEMBRE",[2]RETAIL!$B$78:$C$91,2,0),0),0)</f>
        <v>0</v>
      </c>
      <c r="X48" s="217"/>
      <c r="Y48" s="257">
        <f>IFERROR(VLOOKUP(B48,[2]RETAIL!$B$8:$O$63,12,0),0)-IFERROR(IF(B48=100873,VLOOKUP("OCTUBRE",[2]RETAIL!$B$78:$C$91,2,0),0),0)</f>
        <v>0</v>
      </c>
      <c r="Z48" s="217"/>
      <c r="AA48" s="35">
        <f>IFERROR(VLOOKUP(B48,[2]RETAIL!$B$8:$O$63,13,0),0)-IFERROR(IF(B48=100873,VLOOKUP("NOVIEMBRE",[2]RETAIL!$B$78:$C$91,2,0),0),0)</f>
        <v>0</v>
      </c>
      <c r="AB48" s="220"/>
      <c r="AC48" s="35">
        <f>IFERROR(VLOOKUP(B48,[2]RETAIL!$B$8:$O$63,14,0),0)-IFERROR(IF(B48=100873,VLOOKUP("DICIEMBRE",[2]RETAIL!$B$78:$C$91,2,0),0),0)</f>
        <v>0</v>
      </c>
      <c r="AD48" s="25">
        <f t="shared" si="38"/>
        <v>115</v>
      </c>
      <c r="AE48" s="27">
        <f t="shared" si="39"/>
        <v>96</v>
      </c>
      <c r="AF48" s="371">
        <f t="shared" si="40"/>
        <v>0.83478260869565213</v>
      </c>
      <c r="AG48" s="25">
        <f t="shared" si="41"/>
        <v>115</v>
      </c>
      <c r="AH48" s="27">
        <f t="shared" si="42"/>
        <v>96</v>
      </c>
      <c r="AI48" s="371">
        <f t="shared" si="43"/>
        <v>0.83478260869565213</v>
      </c>
      <c r="AJ48" s="25">
        <f t="shared" si="44"/>
        <v>57</v>
      </c>
      <c r="AK48" s="27">
        <f t="shared" si="45"/>
        <v>51</v>
      </c>
      <c r="AL48" s="371">
        <f t="shared" si="46"/>
        <v>0.89473684210526316</v>
      </c>
      <c r="AM48" s="25">
        <f t="shared" si="47"/>
        <v>0</v>
      </c>
      <c r="AN48" s="27">
        <f t="shared" si="48"/>
        <v>0</v>
      </c>
      <c r="AO48" s="371">
        <f t="shared" si="49"/>
        <v>0</v>
      </c>
    </row>
    <row r="49" spans="1:41" s="4" customFormat="1" ht="15" customHeight="1" x14ac:dyDescent="0.25">
      <c r="A49" s="4">
        <v>8</v>
      </c>
      <c r="B49" s="8">
        <v>100062</v>
      </c>
      <c r="C49" s="369" t="s">
        <v>62</v>
      </c>
      <c r="D49" s="8">
        <v>9911</v>
      </c>
      <c r="E49" s="309" t="s">
        <v>97</v>
      </c>
      <c r="F49" s="217">
        <v>39</v>
      </c>
      <c r="G49" s="124">
        <f>IFERROR(VLOOKUP(B49,[2]RETAIL!$B$8:$O$63,3,0),0)-IFERROR(IF(B49=100873,VLOOKUP("ENERO",[2]RETAIL!$B$78:$C$91,2,0),0),0)</f>
        <v>19</v>
      </c>
      <c r="H49" s="217">
        <v>39</v>
      </c>
      <c r="I49" s="124">
        <f>IFERROR(VLOOKUP(B49,[2]RETAIL!$B$8:$O$63,4,0),0)-IFERROR(IF(B49=100873,VLOOKUP("FEBRERO",[2]RETAIL!$B$78:$C$91,2,0),0),0)</f>
        <v>26</v>
      </c>
      <c r="J49" s="217">
        <v>39</v>
      </c>
      <c r="K49" s="124">
        <f>IFERROR(VLOOKUP(B49,[2]RETAIL!$B$8:$O$63,5,0),0)-IFERROR(IF(B49=100873,VLOOKUP("MARZO",[2]RETAIL!$B$78:$C$91,2,0),0),0)</f>
        <v>41</v>
      </c>
      <c r="L49" s="217">
        <v>39</v>
      </c>
      <c r="M49" s="124">
        <f>IFERROR(VLOOKUP(B49,[2]RETAIL!$B$8:$O$63,6,0),0)-IFERROR(IF(B49=100873,VLOOKUP("ABRIL",[2]RETAIL!$B$78:$C$91,2,0),0),0)</f>
        <v>30</v>
      </c>
      <c r="N49" s="217">
        <v>39</v>
      </c>
      <c r="O49" s="23">
        <f>IFERROR(VLOOKUP(B49,[2]RETAIL!$B$8:$O$63,7,0),0)-IFERROR(IF(B49=100873,VLOOKUP("MAYO",[2]RETAIL!$B$78:$C$91,2,0),0),0)</f>
        <v>37</v>
      </c>
      <c r="P49" s="217">
        <v>39</v>
      </c>
      <c r="Q49" s="87">
        <f>IFERROR(VLOOKUP(B49,[2]RETAIL!$B$8:$O$63,8,0),0)-IFERROR(IF(B49=100873,VLOOKUP("JUNIO",[2]RETAIL!$B$78:$C$91,2,0),0),0)</f>
        <v>84</v>
      </c>
      <c r="R49" s="217"/>
      <c r="S49" s="23">
        <f>IFERROR(VLOOKUP(B49,[2]RETAIL!$B$8:$O$63,9,0),0)-IFERROR(IF(B49=100873,VLOOKUP("JULIO",[2]RETAIL!$B$78:$C$91,2,0),0),0)</f>
        <v>0</v>
      </c>
      <c r="T49" s="217"/>
      <c r="U49" s="124">
        <f>IFERROR(VLOOKUP(B49,[2]RETAIL!$B$8:$O$63,10,0),0)-IFERROR(IF(B49=100873,VLOOKUP("AGOSTO",[2]RETAIL!$B$78:$C$91,2,0),0),0)</f>
        <v>0</v>
      </c>
      <c r="V49" s="217"/>
      <c r="W49" s="23">
        <f>IFERROR(VLOOKUP(B49,[2]RETAIL!$B$8:$O$63,11,0),0)-IFERROR(IF(B49=100873,VLOOKUP("SEPTIEMBRE",[2]RETAIL!$B$78:$C$91,2,0),0),0)</f>
        <v>0</v>
      </c>
      <c r="X49" s="217"/>
      <c r="Y49" s="257">
        <f>IFERROR(VLOOKUP(B49,[2]RETAIL!$B$8:$O$63,12,0),0)-IFERROR(IF(B49=100873,VLOOKUP("OCTUBRE",[2]RETAIL!$B$78:$C$91,2,0),0),0)</f>
        <v>0</v>
      </c>
      <c r="Z49" s="217"/>
      <c r="AA49" s="35">
        <f>IFERROR(VLOOKUP(B49,[2]RETAIL!$B$8:$O$63,13,0),0)-IFERROR(IF(B49=100873,VLOOKUP("NOVIEMBRE",[2]RETAIL!$B$78:$C$91,2,0),0),0)</f>
        <v>0</v>
      </c>
      <c r="AB49" s="220"/>
      <c r="AC49" s="35">
        <f>IFERROR(VLOOKUP(B49,[2]RETAIL!$B$8:$O$63,14,0),0)-IFERROR(IF(B49=100873,VLOOKUP("DICIEMBRE",[2]RETAIL!$B$78:$C$91,2,0),0),0)</f>
        <v>0</v>
      </c>
      <c r="AD49" s="25">
        <f t="shared" si="38"/>
        <v>234</v>
      </c>
      <c r="AE49" s="27">
        <f t="shared" si="39"/>
        <v>237</v>
      </c>
      <c r="AF49" s="371">
        <f t="shared" si="40"/>
        <v>1.0128205128205128</v>
      </c>
      <c r="AG49" s="25">
        <f t="shared" si="41"/>
        <v>234</v>
      </c>
      <c r="AH49" s="27">
        <f t="shared" si="42"/>
        <v>237</v>
      </c>
      <c r="AI49" s="371">
        <f t="shared" si="43"/>
        <v>1.0128205128205128</v>
      </c>
      <c r="AJ49" s="25">
        <f t="shared" si="44"/>
        <v>117</v>
      </c>
      <c r="AK49" s="27">
        <f t="shared" si="45"/>
        <v>86</v>
      </c>
      <c r="AL49" s="371">
        <f t="shared" si="46"/>
        <v>0.7350427350427351</v>
      </c>
      <c r="AM49" s="25">
        <f t="shared" si="47"/>
        <v>0</v>
      </c>
      <c r="AN49" s="27">
        <f t="shared" si="48"/>
        <v>0</v>
      </c>
      <c r="AO49" s="371">
        <f t="shared" si="49"/>
        <v>0</v>
      </c>
    </row>
    <row r="50" spans="1:41" s="4" customFormat="1" ht="15" customHeight="1" x14ac:dyDescent="0.25">
      <c r="A50" s="4">
        <v>8</v>
      </c>
      <c r="B50" s="8">
        <v>100206</v>
      </c>
      <c r="C50" s="369" t="s">
        <v>63</v>
      </c>
      <c r="D50" s="8">
        <v>9911</v>
      </c>
      <c r="E50" s="309" t="s">
        <v>97</v>
      </c>
      <c r="F50" s="217">
        <v>25</v>
      </c>
      <c r="G50" s="124">
        <f>IFERROR(VLOOKUP(B50,[2]RETAIL!$B$8:$O$63,3,0),0)-IFERROR(IF(B50=100873,VLOOKUP("ENERO",[2]RETAIL!$B$78:$C$91,2,0),0),0)</f>
        <v>22</v>
      </c>
      <c r="H50" s="217">
        <v>25</v>
      </c>
      <c r="I50" s="124">
        <f>IFERROR(VLOOKUP(B50,[2]RETAIL!$B$8:$O$63,4,0),0)-IFERROR(IF(B50=100873,VLOOKUP("FEBRERO",[2]RETAIL!$B$78:$C$91,2,0),0),0)</f>
        <v>37</v>
      </c>
      <c r="J50" s="217">
        <v>25</v>
      </c>
      <c r="K50" s="124">
        <f>IFERROR(VLOOKUP(B50,[2]RETAIL!$B$8:$O$63,5,0),0)-IFERROR(IF(B50=100873,VLOOKUP("MARZO",[2]RETAIL!$B$78:$C$91,2,0),0),0)</f>
        <v>32</v>
      </c>
      <c r="L50" s="217">
        <v>25</v>
      </c>
      <c r="M50" s="124">
        <f>IFERROR(VLOOKUP(B50,[2]RETAIL!$B$8:$O$63,6,0),0)-IFERROR(IF(B50=100873,VLOOKUP("ABRIL",[2]RETAIL!$B$78:$C$91,2,0),0),0)</f>
        <v>31</v>
      </c>
      <c r="N50" s="217">
        <v>25</v>
      </c>
      <c r="O50" s="23">
        <f>IFERROR(VLOOKUP(B50,[2]RETAIL!$B$8:$O$63,7,0),0)-IFERROR(IF(B50=100873,VLOOKUP("MAYO",[2]RETAIL!$B$78:$C$91,2,0),0),0)</f>
        <v>24</v>
      </c>
      <c r="P50" s="217">
        <v>25</v>
      </c>
      <c r="Q50" s="87">
        <f>IFERROR(VLOOKUP(B50,[2]RETAIL!$B$8:$O$63,8,0),0)-IFERROR(IF(B50=100873,VLOOKUP("JUNIO",[2]RETAIL!$B$78:$C$91,2,0),0),0)</f>
        <v>31</v>
      </c>
      <c r="R50" s="217"/>
      <c r="S50" s="23">
        <f>IFERROR(VLOOKUP(B50,[2]RETAIL!$B$8:$O$63,9,0),0)-IFERROR(IF(B50=100873,VLOOKUP("JULIO",[2]RETAIL!$B$78:$C$91,2,0),0),0)</f>
        <v>0</v>
      </c>
      <c r="T50" s="217"/>
      <c r="U50" s="124">
        <f>IFERROR(VLOOKUP(B50,[2]RETAIL!$B$8:$O$63,10,0),0)-IFERROR(IF(B50=100873,VLOOKUP("AGOSTO",[2]RETAIL!$B$78:$C$91,2,0),0),0)</f>
        <v>0</v>
      </c>
      <c r="V50" s="217"/>
      <c r="W50" s="23">
        <f>IFERROR(VLOOKUP(B50,[2]RETAIL!$B$8:$O$63,11,0),0)-IFERROR(IF(B50=100873,VLOOKUP("SEPTIEMBRE",[2]RETAIL!$B$78:$C$91,2,0),0),0)</f>
        <v>0</v>
      </c>
      <c r="X50" s="217"/>
      <c r="Y50" s="257">
        <f>IFERROR(VLOOKUP(B50,[2]RETAIL!$B$8:$O$63,12,0),0)-IFERROR(IF(B50=100873,VLOOKUP("OCTUBRE",[2]RETAIL!$B$78:$C$91,2,0),0),0)</f>
        <v>0</v>
      </c>
      <c r="Z50" s="217"/>
      <c r="AA50" s="35">
        <f>IFERROR(VLOOKUP(B50,[2]RETAIL!$B$8:$O$63,13,0),0)-IFERROR(IF(B50=100873,VLOOKUP("NOVIEMBRE",[2]RETAIL!$B$78:$C$91,2,0),0),0)</f>
        <v>0</v>
      </c>
      <c r="AB50" s="220"/>
      <c r="AC50" s="35">
        <f>IFERROR(VLOOKUP(B50,[2]RETAIL!$B$8:$O$63,14,0),0)-IFERROR(IF(B50=100873,VLOOKUP("DICIEMBRE",[2]RETAIL!$B$78:$C$91,2,0),0),0)</f>
        <v>0</v>
      </c>
      <c r="AD50" s="25">
        <f t="shared" si="38"/>
        <v>150</v>
      </c>
      <c r="AE50" s="27">
        <f t="shared" si="39"/>
        <v>177</v>
      </c>
      <c r="AF50" s="371">
        <f t="shared" si="40"/>
        <v>1.18</v>
      </c>
      <c r="AG50" s="25">
        <f t="shared" si="41"/>
        <v>150</v>
      </c>
      <c r="AH50" s="27">
        <f t="shared" si="42"/>
        <v>177</v>
      </c>
      <c r="AI50" s="371">
        <f t="shared" si="43"/>
        <v>1.18</v>
      </c>
      <c r="AJ50" s="25">
        <f t="shared" si="44"/>
        <v>75</v>
      </c>
      <c r="AK50" s="27">
        <f t="shared" si="45"/>
        <v>91</v>
      </c>
      <c r="AL50" s="371">
        <f t="shared" si="46"/>
        <v>1.2133333333333334</v>
      </c>
      <c r="AM50" s="25">
        <f t="shared" si="47"/>
        <v>0</v>
      </c>
      <c r="AN50" s="27">
        <f t="shared" si="48"/>
        <v>0</v>
      </c>
      <c r="AO50" s="371">
        <f t="shared" si="49"/>
        <v>0</v>
      </c>
    </row>
    <row r="51" spans="1:41" s="4" customFormat="1" ht="15" customHeight="1" x14ac:dyDescent="0.25">
      <c r="A51" s="4">
        <v>8</v>
      </c>
      <c r="B51" s="9">
        <v>100394</v>
      </c>
      <c r="C51" s="374" t="s">
        <v>64</v>
      </c>
      <c r="D51" s="8">
        <v>1357</v>
      </c>
      <c r="E51" s="309" t="s">
        <v>96</v>
      </c>
      <c r="F51" s="217">
        <v>10</v>
      </c>
      <c r="G51" s="124">
        <f>IFERROR(VLOOKUP(B51,[2]RETAIL!$B$8:$O$63,3,0),0)-IFERROR(IF(B51=100873,VLOOKUP("ENERO",[2]RETAIL!$B$78:$C$91,2,0),0),0)</f>
        <v>4</v>
      </c>
      <c r="H51" s="217">
        <v>10</v>
      </c>
      <c r="I51" s="124">
        <f>IFERROR(VLOOKUP(B51,[2]RETAIL!$B$8:$O$63,4,0),0)-IFERROR(IF(B51=100873,VLOOKUP("FEBRERO",[2]RETAIL!$B$78:$C$91,2,0),0),0)</f>
        <v>10</v>
      </c>
      <c r="J51" s="217">
        <v>10</v>
      </c>
      <c r="K51" s="124">
        <f>IFERROR(VLOOKUP(B51,[2]RETAIL!$B$8:$O$63,5,0),0)-IFERROR(IF(B51=100873,VLOOKUP("MARZO",[2]RETAIL!$B$78:$C$91,2,0),0),0)</f>
        <v>5</v>
      </c>
      <c r="L51" s="217">
        <v>10</v>
      </c>
      <c r="M51" s="124">
        <f>IFERROR(VLOOKUP(B51,[2]RETAIL!$B$8:$O$63,6,0),0)-IFERROR(IF(B51=100873,VLOOKUP("ABRIL",[2]RETAIL!$B$78:$C$91,2,0),0),0)</f>
        <v>12</v>
      </c>
      <c r="N51" s="217">
        <v>10</v>
      </c>
      <c r="O51" s="23">
        <f>IFERROR(VLOOKUP(B51,[2]RETAIL!$B$8:$O$63,7,0),0)-IFERROR(IF(B51=100873,VLOOKUP("MAYO",[2]RETAIL!$B$78:$C$91,2,0),0),0)</f>
        <v>3</v>
      </c>
      <c r="P51" s="217">
        <v>10</v>
      </c>
      <c r="Q51" s="87">
        <f>IFERROR(VLOOKUP(B51,[2]RETAIL!$B$8:$O$63,8,0),0)-IFERROR(IF(B51=100873,VLOOKUP("JUNIO",[2]RETAIL!$B$78:$C$91,2,0),0),0)</f>
        <v>9</v>
      </c>
      <c r="R51" s="217"/>
      <c r="S51" s="23">
        <f>IFERROR(VLOOKUP(B51,[2]RETAIL!$B$8:$O$63,9,0),0)-IFERROR(IF(B51=100873,VLOOKUP("JULIO",[2]RETAIL!$B$78:$C$91,2,0),0),0)</f>
        <v>0</v>
      </c>
      <c r="T51" s="217"/>
      <c r="U51" s="124">
        <f>IFERROR(VLOOKUP(B51,[2]RETAIL!$B$8:$O$63,10,0),0)-IFERROR(IF(B51=100873,VLOOKUP("AGOSTO",[2]RETAIL!$B$78:$C$91,2,0),0),0)</f>
        <v>0</v>
      </c>
      <c r="V51" s="217"/>
      <c r="W51" s="23">
        <f>IFERROR(VLOOKUP(B51,[2]RETAIL!$B$8:$O$63,11,0),0)-IFERROR(IF(B51=100873,VLOOKUP("SEPTIEMBRE",[2]RETAIL!$B$78:$C$91,2,0),0),0)</f>
        <v>0</v>
      </c>
      <c r="X51" s="217"/>
      <c r="Y51" s="257">
        <f>IFERROR(VLOOKUP(B51,[2]RETAIL!$B$8:$O$63,12,0),0)-IFERROR(IF(B51=100873,VLOOKUP("OCTUBRE",[2]RETAIL!$B$78:$C$91,2,0),0),0)</f>
        <v>0</v>
      </c>
      <c r="Z51" s="217"/>
      <c r="AA51" s="35">
        <f>IFERROR(VLOOKUP(B51,[2]RETAIL!$B$8:$O$63,13,0),0)-IFERROR(IF(B51=100873,VLOOKUP("NOVIEMBRE",[2]RETAIL!$B$78:$C$91,2,0),0),0)</f>
        <v>0</v>
      </c>
      <c r="AB51" s="220"/>
      <c r="AC51" s="35">
        <f>IFERROR(VLOOKUP(B51,[2]RETAIL!$B$8:$O$63,14,0),0)-IFERROR(IF(B51=100873,VLOOKUP("DICIEMBRE",[2]RETAIL!$B$78:$C$91,2,0),0),0)</f>
        <v>0</v>
      </c>
      <c r="AD51" s="25">
        <f t="shared" si="38"/>
        <v>60</v>
      </c>
      <c r="AE51" s="27">
        <f t="shared" si="39"/>
        <v>43</v>
      </c>
      <c r="AF51" s="371">
        <f t="shared" si="40"/>
        <v>0.71666666666666667</v>
      </c>
      <c r="AG51" s="25">
        <f t="shared" si="41"/>
        <v>60</v>
      </c>
      <c r="AH51" s="27">
        <f t="shared" si="42"/>
        <v>43</v>
      </c>
      <c r="AI51" s="371">
        <f t="shared" si="43"/>
        <v>0.71666666666666667</v>
      </c>
      <c r="AJ51" s="25">
        <f t="shared" si="44"/>
        <v>30</v>
      </c>
      <c r="AK51" s="27">
        <f t="shared" si="45"/>
        <v>19</v>
      </c>
      <c r="AL51" s="371">
        <f t="shared" si="46"/>
        <v>0.6333333333333333</v>
      </c>
      <c r="AM51" s="25">
        <f t="shared" si="47"/>
        <v>0</v>
      </c>
      <c r="AN51" s="27">
        <f t="shared" si="48"/>
        <v>0</v>
      </c>
      <c r="AO51" s="371">
        <f t="shared" si="49"/>
        <v>0</v>
      </c>
    </row>
    <row r="52" spans="1:41" s="4" customFormat="1" ht="15" customHeight="1" thickBot="1" x14ac:dyDescent="0.3">
      <c r="A52" s="4">
        <v>8</v>
      </c>
      <c r="B52" s="9">
        <v>100468</v>
      </c>
      <c r="C52" s="374" t="s">
        <v>65</v>
      </c>
      <c r="D52" s="8">
        <v>9911</v>
      </c>
      <c r="E52" s="309" t="s">
        <v>97</v>
      </c>
      <c r="F52" s="217">
        <v>28</v>
      </c>
      <c r="G52" s="124">
        <f>IFERROR(VLOOKUP(B52,[2]RETAIL!$B$8:$O$63,3,0),0)-IFERROR(IF(B52=100873,VLOOKUP("ENERO",[2]RETAIL!$B$78:$C$91,2,0),0),0)</f>
        <v>33</v>
      </c>
      <c r="H52" s="217">
        <v>28</v>
      </c>
      <c r="I52" s="124">
        <f>IFERROR(VLOOKUP(B52,[2]RETAIL!$B$8:$O$63,4,0),0)-IFERROR(IF(B52=100873,VLOOKUP("FEBRERO",[2]RETAIL!$B$78:$C$91,2,0),0),0)</f>
        <v>32</v>
      </c>
      <c r="J52" s="217">
        <v>29</v>
      </c>
      <c r="K52" s="124">
        <f>IFERROR(VLOOKUP(B52,[2]RETAIL!$B$8:$O$63,5,0),0)-IFERROR(IF(B52=100873,VLOOKUP("MARZO",[2]RETAIL!$B$78:$C$91,2,0),0),0)</f>
        <v>39</v>
      </c>
      <c r="L52" s="217">
        <v>28</v>
      </c>
      <c r="M52" s="124">
        <f>IFERROR(VLOOKUP(B52,[2]RETAIL!$B$8:$O$63,6,0),0)-IFERROR(IF(B52=100873,VLOOKUP("ABRIL",[2]RETAIL!$B$78:$C$91,2,0),0),0)</f>
        <v>35</v>
      </c>
      <c r="N52" s="217">
        <v>29</v>
      </c>
      <c r="O52" s="23">
        <f>IFERROR(VLOOKUP(B52,[2]RETAIL!$B$8:$O$63,7,0),0)-IFERROR(IF(B52=100873,VLOOKUP("MAYO",[2]RETAIL!$B$78:$C$91,2,0),0),0)</f>
        <v>37</v>
      </c>
      <c r="P52" s="217">
        <v>29</v>
      </c>
      <c r="Q52" s="87">
        <f>IFERROR(VLOOKUP(B52,[2]RETAIL!$B$8:$O$63,8,0),0)-IFERROR(IF(B52=100873,VLOOKUP("JUNIO",[2]RETAIL!$B$78:$C$91,2,0),0),0)</f>
        <v>36</v>
      </c>
      <c r="R52" s="217"/>
      <c r="S52" s="23">
        <f>IFERROR(VLOOKUP(B52,[2]RETAIL!$B$8:$O$63,9,0),0)-IFERROR(IF(B52=100873,VLOOKUP("JULIO",[2]RETAIL!$B$78:$C$91,2,0),0),0)</f>
        <v>0</v>
      </c>
      <c r="T52" s="217"/>
      <c r="U52" s="124">
        <f>IFERROR(VLOOKUP(B52,[2]RETAIL!$B$8:$O$63,10,0),0)-IFERROR(IF(B52=100873,VLOOKUP("AGOSTO",[2]RETAIL!$B$78:$C$91,2,0),0),0)</f>
        <v>0</v>
      </c>
      <c r="V52" s="217"/>
      <c r="W52" s="23">
        <f>IFERROR(VLOOKUP(B52,[2]RETAIL!$B$8:$O$63,11,0),0)-IFERROR(IF(B52=100873,VLOOKUP("SEPTIEMBRE",[2]RETAIL!$B$78:$C$91,2,0),0),0)</f>
        <v>0</v>
      </c>
      <c r="X52" s="217"/>
      <c r="Y52" s="257">
        <f>IFERROR(VLOOKUP(B52,[2]RETAIL!$B$8:$O$63,12,0),0)-IFERROR(IF(B52=100873,VLOOKUP("OCTUBRE",[2]RETAIL!$B$78:$C$91,2,0),0),0)</f>
        <v>0</v>
      </c>
      <c r="Z52" s="217"/>
      <c r="AA52" s="35">
        <f>IFERROR(VLOOKUP(B52,[2]RETAIL!$B$8:$O$63,13,0),0)-IFERROR(IF(B52=100873,VLOOKUP("NOVIEMBRE",[2]RETAIL!$B$78:$C$91,2,0),0),0)</f>
        <v>0</v>
      </c>
      <c r="AB52" s="220"/>
      <c r="AC52" s="35">
        <f>IFERROR(VLOOKUP(B52,[2]RETAIL!$B$8:$O$63,14,0),0)-IFERROR(IF(B52=100873,VLOOKUP("DICIEMBRE",[2]RETAIL!$B$78:$C$91,2,0),0),0)</f>
        <v>0</v>
      </c>
      <c r="AD52" s="25">
        <f t="shared" si="38"/>
        <v>171</v>
      </c>
      <c r="AE52" s="27">
        <f t="shared" si="39"/>
        <v>212</v>
      </c>
      <c r="AF52" s="371">
        <f t="shared" si="40"/>
        <v>1.239766081871345</v>
      </c>
      <c r="AG52" s="25">
        <f t="shared" si="41"/>
        <v>171</v>
      </c>
      <c r="AH52" s="27">
        <f t="shared" si="42"/>
        <v>212</v>
      </c>
      <c r="AI52" s="371">
        <f t="shared" si="43"/>
        <v>1.239766081871345</v>
      </c>
      <c r="AJ52" s="25">
        <f t="shared" si="44"/>
        <v>85</v>
      </c>
      <c r="AK52" s="27">
        <f t="shared" si="45"/>
        <v>104</v>
      </c>
      <c r="AL52" s="371">
        <f t="shared" si="46"/>
        <v>1.223529411764706</v>
      </c>
      <c r="AM52" s="25">
        <f t="shared" si="47"/>
        <v>0</v>
      </c>
      <c r="AN52" s="27">
        <f t="shared" si="48"/>
        <v>0</v>
      </c>
      <c r="AO52" s="371">
        <f t="shared" si="49"/>
        <v>0</v>
      </c>
    </row>
    <row r="53" spans="1:41" s="4" customFormat="1" ht="15" customHeight="1" thickBot="1" x14ac:dyDescent="0.3">
      <c r="B53" s="7" t="s">
        <v>270</v>
      </c>
      <c r="C53" s="28"/>
      <c r="D53" s="29"/>
      <c r="E53" s="7"/>
      <c r="F53" s="314">
        <f t="shared" ref="F53:AC53" si="50">SUM(F47:F52)</f>
        <v>125</v>
      </c>
      <c r="G53" s="389">
        <f t="shared" si="50"/>
        <v>99</v>
      </c>
      <c r="H53" s="314">
        <f t="shared" si="50"/>
        <v>125</v>
      </c>
      <c r="I53" s="389">
        <f t="shared" si="50"/>
        <v>126</v>
      </c>
      <c r="J53" s="314">
        <f t="shared" si="50"/>
        <v>127</v>
      </c>
      <c r="K53" s="389">
        <f t="shared" si="50"/>
        <v>138</v>
      </c>
      <c r="L53" s="314">
        <f t="shared" si="50"/>
        <v>125</v>
      </c>
      <c r="M53" s="389">
        <f t="shared" si="50"/>
        <v>128</v>
      </c>
      <c r="N53" s="314">
        <f t="shared" si="50"/>
        <v>127</v>
      </c>
      <c r="O53" s="389">
        <f t="shared" si="50"/>
        <v>120</v>
      </c>
      <c r="P53" s="314">
        <f t="shared" si="50"/>
        <v>128</v>
      </c>
      <c r="Q53" s="389">
        <f t="shared" si="50"/>
        <v>183</v>
      </c>
      <c r="R53" s="314">
        <f t="shared" si="50"/>
        <v>0</v>
      </c>
      <c r="S53" s="389">
        <f t="shared" si="50"/>
        <v>0</v>
      </c>
      <c r="T53" s="314">
        <f t="shared" si="50"/>
        <v>0</v>
      </c>
      <c r="U53" s="389">
        <f t="shared" si="50"/>
        <v>0</v>
      </c>
      <c r="V53" s="314">
        <f t="shared" si="50"/>
        <v>0</v>
      </c>
      <c r="W53" s="389">
        <f t="shared" si="50"/>
        <v>0</v>
      </c>
      <c r="X53" s="314">
        <f t="shared" si="50"/>
        <v>0</v>
      </c>
      <c r="Y53" s="389">
        <f t="shared" si="50"/>
        <v>0</v>
      </c>
      <c r="Z53" s="314">
        <f t="shared" si="50"/>
        <v>0</v>
      </c>
      <c r="AA53" s="389">
        <f t="shared" si="50"/>
        <v>0</v>
      </c>
      <c r="AB53" s="314">
        <f t="shared" si="50"/>
        <v>0</v>
      </c>
      <c r="AC53" s="389">
        <f t="shared" si="50"/>
        <v>0</v>
      </c>
      <c r="AD53" s="30">
        <f t="shared" si="38"/>
        <v>757</v>
      </c>
      <c r="AE53" s="33">
        <f>IF($AD$2="ENERO",G53,IF($AD$2="FEBRERO",G53+I53,IF($AD$2="MARZO",G53+I53+K53,IF($AD$2="ABRIL",G53+I53+K53+M53,IF($AD$2="MAYO",G53+I53+K53+M53+O53,IF($AD$2="JUNIO",G53+I53+K53+M53+O53+Q53,IF($AD$2="JULIO",G53+I53+K53+M53+O53+Q53+S53,IF($AD$2="AGOSTO",G53+I53+K53+M53+O53+Q53+S53+U53,IF($AD$2="SEPTIEMBRE",G53+I53+K53+M53+O53+Q53+S53+U53+W53,IF($AD$2="OCTUBRE",G53+I53+K53+M53+O53+Q53+S53+U53+W53+Y53,IF($AD$2="NOVIEMBRE",G53+I53+K53+M53+O53+Q53+S53+U53+W53+Y53+AA53,IF($AD$2="DICIEMBRE",G53+I53+K53+M53+O53+Q53+S53+U53+W53+Y53+AA53+AC53,""))))))))))))</f>
        <v>794</v>
      </c>
      <c r="AF53" s="276">
        <f t="shared" si="40"/>
        <v>1.0488771466314399</v>
      </c>
      <c r="AG53" s="30">
        <f t="shared" si="41"/>
        <v>757</v>
      </c>
      <c r="AH53" s="33">
        <f>IF($AD$2="ENERO",G53,IF($AD$2="FEBRERO",G53+I53,IF($AD$2="MARZO",G53+I53+K53,IF($AD$2="ABRIL",G53+I53+K53+M53,IF($AD$2="MAYO",G53+I53+K53+M53+O53,IF($AD$2="JUNIO",G53+I53+K53+M53+O53+Q53,IF($AD$2="JULIO",G53+I53+K53+M53+O53+Q53+S53,IF($AD$2="AGOSTO",G53+I53+K53+M53+O53+Q53+S53+U53,IF($AD$2="SEPTIEMBRE",G53+I53+K53+M53+O53+Q53+S53+U53+W53,IF($AD$2="OCTUBRE",G53+I53+K53+M53+O53+Q53+S53+U53+W53+Y53,IF($AD$2="NOVIEMBRE",G53+I53+K53+M53+O53+Q53+S53+U53+W53+Y53+AA53,IF($AD$2="DICIEMBRE",G53+I53+K53+M53+O53+Q53+S53+U53+W53+Y53+AA53+AC53,""))))))))))))</f>
        <v>794</v>
      </c>
      <c r="AI53" s="276">
        <f t="shared" si="43"/>
        <v>1.0488771466314399</v>
      </c>
      <c r="AJ53" s="30">
        <f t="shared" si="44"/>
        <v>377</v>
      </c>
      <c r="AK53" s="33">
        <f t="shared" si="45"/>
        <v>363</v>
      </c>
      <c r="AL53" s="276">
        <f t="shared" si="46"/>
        <v>0.96286472148541113</v>
      </c>
      <c r="AM53" s="30">
        <f t="shared" si="47"/>
        <v>0</v>
      </c>
      <c r="AN53" s="33">
        <f t="shared" si="48"/>
        <v>0</v>
      </c>
      <c r="AO53" s="276">
        <f t="shared" si="49"/>
        <v>0</v>
      </c>
    </row>
    <row r="54" spans="1:41" s="4" customFormat="1" ht="15" customHeight="1" x14ac:dyDescent="0.25">
      <c r="A54" s="4">
        <v>9</v>
      </c>
      <c r="B54" s="8">
        <v>100734</v>
      </c>
      <c r="C54" s="369" t="s">
        <v>59</v>
      </c>
      <c r="D54" s="8">
        <v>39812</v>
      </c>
      <c r="E54" s="309" t="s">
        <v>95</v>
      </c>
      <c r="F54" s="217">
        <v>33</v>
      </c>
      <c r="G54" s="124">
        <f>IFERROR(VLOOKUP(B54,[2]RETAIL!$B$8:$O$63,3,0),0)-IFERROR(IF(B54=100873,VLOOKUP("ENERO",[2]RETAIL!$B$78:$C$91,2,0),0),0)</f>
        <v>23</v>
      </c>
      <c r="H54" s="217">
        <v>33</v>
      </c>
      <c r="I54" s="124">
        <f>IFERROR(VLOOKUP(B54,[2]RETAIL!$B$8:$O$63,4,0),0)-IFERROR(IF(B54=100873,VLOOKUP("FEBRERO",[2]RETAIL!$B$78:$C$91,2,0),0),0)</f>
        <v>35</v>
      </c>
      <c r="J54" s="217">
        <v>34</v>
      </c>
      <c r="K54" s="124">
        <f>IFERROR(VLOOKUP(B54,[2]RETAIL!$B$8:$O$63,5,0),0)-IFERROR(IF(B54=100873,VLOOKUP("MARZO",[2]RETAIL!$B$78:$C$91,2,0),0),0)</f>
        <v>39</v>
      </c>
      <c r="L54" s="217">
        <v>33</v>
      </c>
      <c r="M54" s="124">
        <f>IFERROR(VLOOKUP(B54,[2]RETAIL!$B$8:$O$63,6,0),0)-IFERROR(IF(B54=100873,VLOOKUP("ABRIL",[2]RETAIL!$B$78:$C$91,2,0),0),0)</f>
        <v>23</v>
      </c>
      <c r="N54" s="217">
        <v>33</v>
      </c>
      <c r="O54" s="23">
        <f>IFERROR(VLOOKUP(B54,[2]RETAIL!$B$8:$O$63,7,0),0)-IFERROR(IF(B54=100873,VLOOKUP("MAYO",[2]RETAIL!$B$78:$C$91,2,0),0),0)</f>
        <v>32</v>
      </c>
      <c r="P54" s="217">
        <v>34</v>
      </c>
      <c r="Q54" s="87">
        <f>IFERROR(VLOOKUP(B54,[2]RETAIL!$B$8:$O$63,8,0),0)-IFERROR(IF(B54=100873,VLOOKUP("JUNIO",[2]RETAIL!$B$78:$C$91,2,0),0),0)</f>
        <v>49</v>
      </c>
      <c r="R54" s="217"/>
      <c r="S54" s="23">
        <f>IFERROR(VLOOKUP(B54,[2]RETAIL!$B$8:$O$63,9,0),0)-IFERROR(IF(B54=100873,VLOOKUP("JULIO",[2]RETAIL!$B$78:$C$91,2,0),0),0)</f>
        <v>0</v>
      </c>
      <c r="T54" s="217"/>
      <c r="U54" s="124">
        <f>IFERROR(VLOOKUP(B54,[2]RETAIL!$B$8:$O$63,10,0),0)-IFERROR(IF(B54=100873,VLOOKUP("AGOSTO",[2]RETAIL!$B$78:$C$91,2,0),0),0)</f>
        <v>0</v>
      </c>
      <c r="V54" s="217"/>
      <c r="W54" s="23">
        <f>IFERROR(VLOOKUP(B54,[2]RETAIL!$B$8:$O$63,11,0),0)-IFERROR(IF(B54=100873,VLOOKUP("SEPTIEMBRE",[2]RETAIL!$B$78:$C$91,2,0),0),0)</f>
        <v>0</v>
      </c>
      <c r="X54" s="217"/>
      <c r="Y54" s="257">
        <f>IFERROR(VLOOKUP(B54,[2]RETAIL!$B$8:$O$63,12,0),0)-IFERROR(IF(B54=100873,VLOOKUP("OCTUBRE",[2]RETAIL!$B$78:$C$91,2,0),0),0)</f>
        <v>0</v>
      </c>
      <c r="Z54" s="217"/>
      <c r="AA54" s="35">
        <f>IFERROR(VLOOKUP(B54,[2]RETAIL!$B$8:$O$63,13,0),0)-IFERROR(IF(B54=100873,VLOOKUP("NOVIEMBRE",[2]RETAIL!$B$78:$C$91,2,0),0),0)</f>
        <v>0</v>
      </c>
      <c r="AB54" s="220"/>
      <c r="AC54" s="35">
        <f>IFERROR(VLOOKUP(B54,[2]RETAIL!$B$8:$O$63,14,0),0)-IFERROR(IF(B54=100873,VLOOKUP("DICIEMBRE",[2]RETAIL!$B$78:$C$91,2,0),0),0)</f>
        <v>0</v>
      </c>
      <c r="AD54" s="25">
        <f t="shared" si="38"/>
        <v>200</v>
      </c>
      <c r="AE54" s="27">
        <f>IFERROR(IF($AD$2="ENERO",G54,IF($AD$2="FEBRERO",G54+I54,IF($AD$2="MARZO",G54+I54+K54,IF($AD$2="ABRIL",G54+I54+K54+M54,IF($AD$2="MAYO",G54+I54+K54+M54+O54,IF($AD$2="JUNIO",G54+I54+K54+M54+O54+Q54,IF($AD$2="JULIO",G54+I54+K54+M54+O54+Q54+S54,IF($AD$2="AGOSTO",G54+I54+K54+M54+O54+Q54+S54+U54,IF($AD$2="SEPTIEMBRE",G54+I54+K54+M54+O54+Q54+S54+U54+W54,IF($AD$2="OCTUBRE",G54+I54+K54+M54+O54+Q54+S54+U54+W54+Y54,IF($AD$2="NOVIEMBRE",G54+I54+K54+M54+O54+Q54+S54+U54+W54+Y41+AA54,IF($AD$2="DICIEMBRE",G54+I54+K54+M54+O54+Q54+S54+U54+W54+Y41+AA54+AC54,"")))))))))))),0)</f>
        <v>201</v>
      </c>
      <c r="AF54" s="371">
        <f t="shared" si="40"/>
        <v>1.0049999999999999</v>
      </c>
      <c r="AG54" s="25">
        <f t="shared" si="41"/>
        <v>200</v>
      </c>
      <c r="AH54" s="27">
        <f>IFERROR(IF($AD$2="ENERO",G54,IF($AD$2="FEBRERO",G54+I54,IF($AD$2="MARZO",G54+I54+K54,IF($AD$2="ABRIL",G54+I54+K54+M54,IF($AD$2="MAYO",G54+I54+K54+M54+O54,IF($AD$2="JUNIO",G54+I54+K54+M54+O54+Q54,IF($AD$2="JULIO",G54+I54+K54+M54+O54+Q54+S54,IF($AD$2="AGOSTO",G54+I54+K54+M54+O54+Q54+S54+U54,IF($AD$2="SEPTIEMBRE",G54+I54+K54+M54+O54+Q54+S54+U54+W54,IF($AD$2="OCTUBRE",G54+I54+K54+M54+O54+Q54+S54+U54+W54+Y54,IF($AD$2="NOVIEMBRE",G54+I54+K54+M54+O54+Q54+S54+U54+W54+Y41+AA54,IF($AD$2="DICIEMBRE",G54+I54+K54+M54+O54+Q54+S54+U54+W54+Y41+AA54+AC54,"")))))))))))),0)</f>
        <v>201</v>
      </c>
      <c r="AI54" s="371">
        <f t="shared" si="43"/>
        <v>1.0049999999999999</v>
      </c>
      <c r="AJ54" s="25">
        <f t="shared" si="44"/>
        <v>100</v>
      </c>
      <c r="AK54" s="27">
        <f t="shared" si="45"/>
        <v>97</v>
      </c>
      <c r="AL54" s="371">
        <f t="shared" si="46"/>
        <v>0.97</v>
      </c>
      <c r="AM54" s="25">
        <f t="shared" si="47"/>
        <v>0</v>
      </c>
      <c r="AN54" s="27">
        <f t="shared" si="48"/>
        <v>0</v>
      </c>
      <c r="AO54" s="371">
        <f t="shared" si="49"/>
        <v>0</v>
      </c>
    </row>
    <row r="55" spans="1:41" s="4" customFormat="1" ht="15" customHeight="1" x14ac:dyDescent="0.25">
      <c r="A55" s="4">
        <v>9</v>
      </c>
      <c r="B55" s="8">
        <v>100311</v>
      </c>
      <c r="C55" s="369" t="s">
        <v>12</v>
      </c>
      <c r="D55" s="8">
        <v>20839</v>
      </c>
      <c r="E55" s="309" t="s">
        <v>201</v>
      </c>
      <c r="F55" s="217">
        <v>26</v>
      </c>
      <c r="G55" s="124">
        <f>IFERROR(VLOOKUP(B55,[2]RETAIL!$B$8:$O$63,3,0),0)-IFERROR(IF(B55=100873,VLOOKUP("ENERO",[2]RETAIL!$B$78:$C$91,2,0),0),0)</f>
        <v>15</v>
      </c>
      <c r="H55" s="217">
        <v>26</v>
      </c>
      <c r="I55" s="124">
        <f>IFERROR(VLOOKUP(B55,[2]RETAIL!$B$8:$O$63,4,0),0)-IFERROR(IF(B55=100873,VLOOKUP("FEBRERO",[2]RETAIL!$B$78:$C$91,2,0),0),0)</f>
        <v>16</v>
      </c>
      <c r="J55" s="217">
        <v>26</v>
      </c>
      <c r="K55" s="124">
        <f>IFERROR(VLOOKUP(B55,[2]RETAIL!$B$8:$O$63,5,0),0)-IFERROR(IF(B55=100873,VLOOKUP("MARZO",[2]RETAIL!$B$78:$C$91,2,0),0),0)</f>
        <v>24</v>
      </c>
      <c r="L55" s="217">
        <v>27</v>
      </c>
      <c r="M55" s="124">
        <f>IFERROR(VLOOKUP(B55,[2]RETAIL!$B$8:$O$63,6,0),0)-IFERROR(IF(B55=100873,VLOOKUP("ABRIL",[2]RETAIL!$B$78:$C$91,2,0),0),0)</f>
        <v>13</v>
      </c>
      <c r="N55" s="217">
        <v>27</v>
      </c>
      <c r="O55" s="23">
        <f>IFERROR(VLOOKUP(B55,[2]RETAIL!$B$8:$O$63,7,0),0)-IFERROR(IF(B55=100873,VLOOKUP("MAYO",[2]RETAIL!$B$78:$C$91,2,0),0),0)</f>
        <v>25</v>
      </c>
      <c r="P55" s="217">
        <v>28</v>
      </c>
      <c r="Q55" s="87">
        <f>IFERROR(VLOOKUP(B55,[2]RETAIL!$B$8:$O$63,8,0),0)-IFERROR(IF(B55=100873,VLOOKUP("JUNIO",[2]RETAIL!$B$78:$C$91,2,0),0),0)</f>
        <v>16</v>
      </c>
      <c r="R55" s="217">
        <v>26</v>
      </c>
      <c r="S55" s="23">
        <f>IFERROR(VLOOKUP(B55,[2]RETAIL!$B$8:$O$63,9,0),0)-IFERROR(IF(B55=100873,VLOOKUP("JULIO",[2]RETAIL!$B$78:$C$91,2,0),0),0)</f>
        <v>0</v>
      </c>
      <c r="T55" s="217">
        <v>23</v>
      </c>
      <c r="U55" s="124">
        <f>IFERROR(VLOOKUP(B55,[2]RETAIL!$B$8:$O$63,10,0),0)-IFERROR(IF(B55=100873,VLOOKUP("AGOSTO",[2]RETAIL!$B$78:$C$91,2,0),0),0)</f>
        <v>0</v>
      </c>
      <c r="V55" s="217">
        <v>26</v>
      </c>
      <c r="W55" s="23">
        <f>IFERROR(VLOOKUP(B55,[2]RETAIL!$B$8:$O$63,11,0),0)-IFERROR(IF(B55=100873,VLOOKUP("SEPTIEMBRE",[2]RETAIL!$B$78:$C$91,2,0),0),0)</f>
        <v>0</v>
      </c>
      <c r="X55" s="217">
        <v>30</v>
      </c>
      <c r="Y55" s="257">
        <f>IFERROR(VLOOKUP(B55,[2]RETAIL!$B$8:$O$63,12,0),0)-IFERROR(IF(B55=100873,VLOOKUP("OCTUBRE",[2]RETAIL!$B$78:$C$91,2,0),0),0)</f>
        <v>0</v>
      </c>
      <c r="Z55" s="217">
        <v>30</v>
      </c>
      <c r="AA55" s="35">
        <f>IFERROR(VLOOKUP(B55,[2]RETAIL!$B$8:$O$63,13,0),0)-IFERROR(IF(B55=100873,VLOOKUP("NOVIEMBRE",[2]RETAIL!$B$78:$C$91,2,0),0),0)</f>
        <v>0</v>
      </c>
      <c r="AB55" s="220">
        <v>25</v>
      </c>
      <c r="AC55" s="35">
        <f>IFERROR(VLOOKUP(B55,[2]RETAIL!$B$8:$O$63,14,0),0)-IFERROR(IF(B55=100873,VLOOKUP("DICIEMBRE",[2]RETAIL!$B$78:$C$91,2,0),0),0)</f>
        <v>0</v>
      </c>
      <c r="AD55" s="25">
        <f t="shared" si="38"/>
        <v>160</v>
      </c>
      <c r="AE55" s="27">
        <f>IFERROR(IF($AD$2="ENERO",G55,IF($AD$2="FEBRERO",G55+I55,IF($AD$2="MARZO",G55+I55+K55,IF($AD$2="ABRIL",G55+I55+K55+M55,IF($AD$2="MAYO",G55+I55+K55+M55+O55,IF($AD$2="JUNIO",G55+I55+K55+M55+O55+Q55,IF($AD$2="JULIO",G55+I55+K55+M55+O55+Q55+S55,IF($AD$2="AGOSTO",G55+I55+K55+M55+O55+Q55+S55+U55,IF($AD$2="SEPTIEMBRE",G55+I55+K55+M55+O55+Q55+S55+U55+W55,IF($AD$2="OCTUBRE",G55+I55+K55+M55+O55+Q55+S55+U55+W55+Y55,IF($AD$2="NOVIEMBRE",G55+I55+K55+M55+O55+Q55+S55+U55+W55+Y55+AA55,IF($AD$2="DICIEMBRE",G55+I55+K55+M55+O55+Q55+S55+U55+W55+Y55+AA55+AC55,"")))))))))))),0)</f>
        <v>109</v>
      </c>
      <c r="AF55" s="371">
        <f t="shared" si="40"/>
        <v>0.68125000000000002</v>
      </c>
      <c r="AG55" s="25">
        <f t="shared" si="41"/>
        <v>320</v>
      </c>
      <c r="AH55" s="27">
        <f>IFERROR(IF($AD$2="ENERO",G55,IF($AD$2="FEBRERO",G55+I55,IF($AD$2="MARZO",G55+I55+K55,IF($AD$2="ABRIL",G55+I55+K55+M55,IF($AD$2="MAYO",G55+I55+K55+M55+O55,IF($AD$2="JUNIO",G55+I55+K55+M55+O55+Q55,IF($AD$2="JULIO",G55+I55+K55+M55+O55+Q55+S55,IF($AD$2="AGOSTO",G55+I55+K55+M55+O55+Q55+S55+U55,IF($AD$2="SEPTIEMBRE",G55+I55+K55+M55+O55+Q55+S55+U55+W55,IF($AD$2="OCTUBRE",G55+I55+K55+M55+O55+Q55+S55+U55+W55+Y55,IF($AD$2="NOVIEMBRE",G55+I55+K55+M55+O55+Q55+S55+U55+W55+Y55+AA55,IF($AD$2="DICIEMBRE",G55+I55+K55+M55+O55+Q55+S55+U55+W55+Y55+AA55+AC55,"")))))))))))),0)</f>
        <v>109</v>
      </c>
      <c r="AI55" s="371">
        <f t="shared" si="43"/>
        <v>0.34062500000000001</v>
      </c>
      <c r="AJ55" s="25">
        <f t="shared" si="44"/>
        <v>78</v>
      </c>
      <c r="AK55" s="27">
        <f t="shared" si="45"/>
        <v>55</v>
      </c>
      <c r="AL55" s="371">
        <f t="shared" si="46"/>
        <v>0.70512820512820518</v>
      </c>
      <c r="AM55" s="25">
        <f t="shared" si="47"/>
        <v>160</v>
      </c>
      <c r="AN55" s="27">
        <f t="shared" si="48"/>
        <v>0</v>
      </c>
      <c r="AO55" s="371">
        <f t="shared" si="49"/>
        <v>0</v>
      </c>
    </row>
    <row r="56" spans="1:41" s="14" customFormat="1" ht="15" customHeight="1" x14ac:dyDescent="0.25">
      <c r="A56" s="4">
        <v>9</v>
      </c>
      <c r="B56" s="13">
        <v>100393</v>
      </c>
      <c r="C56" s="374" t="s">
        <v>75</v>
      </c>
      <c r="D56" s="8">
        <v>20839</v>
      </c>
      <c r="E56" s="309" t="s">
        <v>201</v>
      </c>
      <c r="F56" s="217">
        <v>34</v>
      </c>
      <c r="G56" s="124">
        <f>IFERROR(VLOOKUP(B56,[2]RETAIL!$B$8:$O$63,3,0),0)-IFERROR(IF(B56=100873,VLOOKUP("ENERO",[2]RETAIL!$B$78:$C$91,2,0),0),0)</f>
        <v>23</v>
      </c>
      <c r="H56" s="217">
        <v>34</v>
      </c>
      <c r="I56" s="124">
        <f>IFERROR(VLOOKUP(B56,[2]RETAIL!$B$8:$O$63,4,0),0)-IFERROR(IF(B56=100873,VLOOKUP("FEBRERO",[2]RETAIL!$B$78:$C$91,2,0),0),0)</f>
        <v>15</v>
      </c>
      <c r="J56" s="217">
        <v>34</v>
      </c>
      <c r="K56" s="124">
        <f>IFERROR(VLOOKUP(B56,[2]RETAIL!$B$8:$O$63,5,0),0)-IFERROR(IF(B56=100873,VLOOKUP("MARZO",[2]RETAIL!$B$78:$C$91,2,0),0),0)</f>
        <v>21</v>
      </c>
      <c r="L56" s="217">
        <v>34</v>
      </c>
      <c r="M56" s="124">
        <f>IFERROR(VLOOKUP(B56,[2]RETAIL!$B$8:$O$63,6,0),0)-IFERROR(IF(B56=100873,VLOOKUP("ABRIL",[2]RETAIL!$B$78:$C$91,2,0),0),0)</f>
        <v>19</v>
      </c>
      <c r="N56" s="217">
        <v>34</v>
      </c>
      <c r="O56" s="23">
        <f>IFERROR(VLOOKUP(B56,[2]RETAIL!$B$8:$O$63,7,0),0)-IFERROR(IF(B56=100873,VLOOKUP("MAYO",[2]RETAIL!$B$78:$C$91,2,0),0),0)</f>
        <v>18</v>
      </c>
      <c r="P56" s="217">
        <v>35</v>
      </c>
      <c r="Q56" s="87">
        <f>IFERROR(VLOOKUP(B56,[2]RETAIL!$B$8:$O$63,8,0),0)-IFERROR(IF(B56=100873,VLOOKUP("JUNIO",[2]RETAIL!$B$78:$C$91,2,0),0),0)</f>
        <v>14</v>
      </c>
      <c r="R56" s="217"/>
      <c r="S56" s="23">
        <f>IFERROR(VLOOKUP(B56,[2]RETAIL!$B$8:$O$63,9,0),0)-IFERROR(IF(B56=100873,VLOOKUP("JULIO",[2]RETAIL!$B$78:$C$91,2,0),0),0)</f>
        <v>0</v>
      </c>
      <c r="T56" s="217"/>
      <c r="U56" s="124">
        <f>IFERROR(VLOOKUP(B56,[2]RETAIL!$B$8:$O$63,10,0),0)-IFERROR(IF(B56=100873,VLOOKUP("AGOSTO",[2]RETAIL!$B$78:$C$91,2,0),0),0)</f>
        <v>0</v>
      </c>
      <c r="V56" s="217"/>
      <c r="W56" s="23">
        <f>IFERROR(VLOOKUP(B56,[2]RETAIL!$B$8:$O$63,11,0),0)-IFERROR(IF(B56=100873,VLOOKUP("SEPTIEMBRE",[2]RETAIL!$B$78:$C$91,2,0),0),0)</f>
        <v>0</v>
      </c>
      <c r="X56" s="217"/>
      <c r="Y56" s="257">
        <f>IFERROR(VLOOKUP(B56,[2]RETAIL!$B$8:$O$63,12,0),0)-IFERROR(IF(B56=100873,VLOOKUP("OCTUBRE",[2]RETAIL!$B$78:$C$91,2,0),0),0)</f>
        <v>0</v>
      </c>
      <c r="Z56" s="217"/>
      <c r="AA56" s="35">
        <f>IFERROR(VLOOKUP(B56,[2]RETAIL!$B$8:$O$63,13,0),0)-IFERROR(IF(B56=100873,VLOOKUP("NOVIEMBRE",[2]RETAIL!$B$78:$C$91,2,0),0),0)</f>
        <v>0</v>
      </c>
      <c r="AB56" s="220"/>
      <c r="AC56" s="35">
        <f>IFERROR(VLOOKUP(B56,[2]RETAIL!$B$8:$O$63,14,0),0)-IFERROR(IF(B56=100873,VLOOKUP("DICIEMBRE",[2]RETAIL!$B$78:$C$91,2,0),0),0)</f>
        <v>0</v>
      </c>
      <c r="AD56" s="25">
        <f t="shared" si="38"/>
        <v>205</v>
      </c>
      <c r="AE56" s="27">
        <f>IFERROR(IF($AD$2="ENERO",G56,IF($AD$2="FEBRERO",G56+I56,IF($AD$2="MARZO",G56+I56+K56,IF($AD$2="ABRIL",G56+I56+K56+M56,IF($AD$2="MAYO",G56+I56+K56+M56+O56,IF($AD$2="JUNIO",G56+I56+K56+M56+O56+Q56,IF($AD$2="JULIO",G56+I56+K56+M56+O56+Q56+S56,IF($AD$2="AGOSTO",G56+I56+K56+M56+O56+Q56+S56+U56,IF($AD$2="SEPTIEMBRE",G56+I56+K56+M56+O56+Q56+S56+U56+W56,IF($AD$2="OCTUBRE",G56+I56+K56+M56+O56+Q56+S56+U56+W56+Y56,IF($AD$2="NOVIEMBRE",G56+I56+K56+M56+O56+Q56+S56+U56+W56+Y56+AA56,IF($AD$2="DICIEMBRE",G56+I56+K56+M56+O56+Q56+S56+U56+W56+Y56+AA56+AC56,"")))))))))))),0)</f>
        <v>110</v>
      </c>
      <c r="AF56" s="371">
        <f t="shared" si="40"/>
        <v>0.53658536585365857</v>
      </c>
      <c r="AG56" s="25">
        <f t="shared" si="41"/>
        <v>205</v>
      </c>
      <c r="AH56" s="27">
        <f>IFERROR(IF($AD$2="ENERO",G56,IF($AD$2="FEBRERO",G56+I56,IF($AD$2="MARZO",G56+I56+K56,IF($AD$2="ABRIL",G56+I56+K56+M56,IF($AD$2="MAYO",G56+I56+K56+M56+O56,IF($AD$2="JUNIO",G56+I56+K56+M56+O56+Q56,IF($AD$2="JULIO",G56+I56+K56+M56+O56+Q56+S56,IF($AD$2="AGOSTO",G56+I56+K56+M56+O56+Q56+S56+U56,IF($AD$2="SEPTIEMBRE",G56+I56+K56+M56+O56+Q56+S56+U56+W56,IF($AD$2="OCTUBRE",G56+I56+K56+M56+O56+Q56+S56+U56+W56+Y56,IF($AD$2="NOVIEMBRE",G56+I56+K56+M56+O56+Q56+S56+U56+W56+Y56+AA56,IF($AD$2="DICIEMBRE",G56+I56+K56+M56+O56+Q56+S56+U56+W56+Y56+AA56+AC56,"")))))))))))),0)</f>
        <v>110</v>
      </c>
      <c r="AI56" s="371">
        <f t="shared" si="43"/>
        <v>0.53658536585365857</v>
      </c>
      <c r="AJ56" s="25">
        <f t="shared" si="44"/>
        <v>102</v>
      </c>
      <c r="AK56" s="27">
        <f t="shared" si="45"/>
        <v>59</v>
      </c>
      <c r="AL56" s="371">
        <f t="shared" si="46"/>
        <v>0.57843137254901966</v>
      </c>
      <c r="AM56" s="25">
        <f t="shared" si="47"/>
        <v>0</v>
      </c>
      <c r="AN56" s="27">
        <f t="shared" si="48"/>
        <v>0</v>
      </c>
      <c r="AO56" s="371">
        <f t="shared" si="49"/>
        <v>0</v>
      </c>
    </row>
    <row r="57" spans="1:41" s="4" customFormat="1" ht="15" customHeight="1" x14ac:dyDescent="0.25">
      <c r="A57" s="4">
        <v>9</v>
      </c>
      <c r="B57" s="8">
        <v>100586</v>
      </c>
      <c r="C57" s="369" t="s">
        <v>67</v>
      </c>
      <c r="D57" s="8">
        <v>34945</v>
      </c>
      <c r="E57" s="309" t="s">
        <v>98</v>
      </c>
      <c r="F57" s="218">
        <v>39</v>
      </c>
      <c r="G57" s="124">
        <f>IFERROR(VLOOKUP(B57,[2]RETAIL!$B$8:$O$63,3,0),0)-IFERROR(IF(B57=100873,VLOOKUP("ENERO",[2]RETAIL!$B$78:$C$91,2,0),0),0)</f>
        <v>38</v>
      </c>
      <c r="H57" s="218">
        <v>39</v>
      </c>
      <c r="I57" s="124">
        <f>IFERROR(VLOOKUP(B57,[2]RETAIL!$B$8:$O$63,4,0),0)-IFERROR(IF(B57=100873,VLOOKUP("FEBRERO",[2]RETAIL!$B$78:$C$91,2,0),0),0)</f>
        <v>56</v>
      </c>
      <c r="J57" s="218">
        <v>39</v>
      </c>
      <c r="K57" s="124">
        <f>IFERROR(VLOOKUP(B57,[2]RETAIL!$B$8:$O$63,5,0),0)-IFERROR(IF(B57=100873,VLOOKUP("MARZO",[2]RETAIL!$B$78:$C$91,2,0),0),0)</f>
        <v>54</v>
      </c>
      <c r="L57" s="218">
        <v>39</v>
      </c>
      <c r="M57" s="124">
        <f>IFERROR(VLOOKUP(B57,[2]RETAIL!$B$8:$O$63,6,0),0)-IFERROR(IF(B57=100873,VLOOKUP("ABRIL",[2]RETAIL!$B$78:$C$91,2,0),0),0)</f>
        <v>42</v>
      </c>
      <c r="N57" s="218">
        <v>39</v>
      </c>
      <c r="O57" s="23">
        <f>IFERROR(VLOOKUP(B57,[2]RETAIL!$B$8:$O$63,7,0),0)-IFERROR(IF(B57=100873,VLOOKUP("MAYO",[2]RETAIL!$B$78:$C$91,2,0),0),0)</f>
        <v>55</v>
      </c>
      <c r="P57" s="218">
        <v>40</v>
      </c>
      <c r="Q57" s="87">
        <f>IFERROR(VLOOKUP(B57,[2]RETAIL!$B$8:$O$63,8,0),0)-IFERROR(IF(B57=100873,VLOOKUP("JUNIO",[2]RETAIL!$B$78:$C$91,2,0),0),0)</f>
        <v>45</v>
      </c>
      <c r="R57" s="217"/>
      <c r="S57" s="23">
        <f>IFERROR(VLOOKUP(B57,[2]RETAIL!$B$8:$O$63,9,0),0)-IFERROR(IF(B57=100873,VLOOKUP("JULIO",[2]RETAIL!$B$78:$C$91,2,0),0),0)</f>
        <v>0</v>
      </c>
      <c r="T57" s="217"/>
      <c r="U57" s="124">
        <f>IFERROR(VLOOKUP(B57,[2]RETAIL!$B$8:$O$63,10,0),0)-IFERROR(IF(B57=100873,VLOOKUP("AGOSTO",[2]RETAIL!$B$78:$C$91,2,0),0),0)</f>
        <v>0</v>
      </c>
      <c r="V57" s="217"/>
      <c r="W57" s="23">
        <f>IFERROR(VLOOKUP(B57,[2]RETAIL!$B$8:$O$63,11,0),0)-IFERROR(IF(B57=100873,VLOOKUP("SEPTIEMBRE",[2]RETAIL!$B$78:$C$91,2,0),0),0)</f>
        <v>0</v>
      </c>
      <c r="X57" s="217"/>
      <c r="Y57" s="257">
        <f>IFERROR(VLOOKUP(B57,[2]RETAIL!$B$8:$O$63,12,0),0)-IFERROR(IF(B57=100873,VLOOKUP("OCTUBRE",[2]RETAIL!$B$78:$C$91,2,0),0),0)</f>
        <v>0</v>
      </c>
      <c r="Z57" s="217"/>
      <c r="AA57" s="35">
        <f>IFERROR(VLOOKUP(B57,[2]RETAIL!$B$8:$O$63,13,0),0)-IFERROR(IF(B57=100873,VLOOKUP("NOVIEMBRE",[2]RETAIL!$B$78:$C$91,2,0),0),0)</f>
        <v>0</v>
      </c>
      <c r="AB57" s="220"/>
      <c r="AC57" s="35">
        <f>IFERROR(VLOOKUP(B57,[2]RETAIL!$B$8:$O$63,14,0),0)-IFERROR(IF(B57=100873,VLOOKUP("DICIEMBRE",[2]RETAIL!$B$78:$C$91,2,0),0),0)</f>
        <v>0</v>
      </c>
      <c r="AD57" s="25">
        <f t="shared" si="38"/>
        <v>235</v>
      </c>
      <c r="AE57" s="27">
        <f>IFERROR(IF($AD$2="ENERO",G57,IF($AD$2="FEBRERO",G57+I57,IF($AD$2="MARZO",G57+I57+K57,IF($AD$2="ABRIL",G57+I57+K57+M57,IF($AD$2="MAYO",G57+I57+K57+M57+O57,IF($AD$2="JUNIO",G57+I57+K57+M57+O57+Q57,IF($AD$2="JULIO",G57+I57+K57+M57+O57+Q57+S57,IF($AD$2="AGOSTO",G57+I57+K57+M57+O57+Q57+S57+U57,IF($AD$2="SEPTIEMBRE",G57+I57+K57+M57+O57+Q57+S57+U57+W57,IF($AD$2="OCTUBRE",G57+I57+K57+M57+O57+Q57+S57+U57+W57+Y57,IF($AD$2="NOVIEMBRE",G57+I57+K57+M57+O57+Q57+S57+U57+W57+Y57+AA57,IF($AD$2="DICIEMBRE",G57+I57+K57+M57+O57+Q57+S57+U57+W57+Y57+AA57+AC57,"")))))))))))),0)</f>
        <v>290</v>
      </c>
      <c r="AF57" s="371">
        <f t="shared" si="40"/>
        <v>1.2340425531914894</v>
      </c>
      <c r="AG57" s="25">
        <f t="shared" si="41"/>
        <v>235</v>
      </c>
      <c r="AH57" s="27">
        <f>IFERROR(IF($AD$2="ENERO",G57,IF($AD$2="FEBRERO",G57+I57,IF($AD$2="MARZO",G57+I57+K57,IF($AD$2="ABRIL",G57+I57+K57+M57,IF($AD$2="MAYO",G57+I57+K57+M57+O57,IF($AD$2="JUNIO",G57+I57+K57+M57+O57+Q57,IF($AD$2="JULIO",G57+I57+K57+M57+O57+Q57+S57,IF($AD$2="AGOSTO",G57+I57+K57+M57+O57+Q57+S57+U57,IF($AD$2="SEPTIEMBRE",G57+I57+K57+M57+O57+Q57+S57+U57+W57,IF($AD$2="OCTUBRE",G57+I57+K57+M57+O57+Q57+S57+U57+W57+Y57,IF($AD$2="NOVIEMBRE",G57+I57+K57+M57+O57+Q57+S57+U57+W57+Y57+AA57,IF($AD$2="DICIEMBRE",G57+I57+K57+M57+O57+Q57+S57+U57+W57+Y57+AA57+AC57,"")))))))))))),0)</f>
        <v>290</v>
      </c>
      <c r="AI57" s="371">
        <f t="shared" si="43"/>
        <v>1.2340425531914894</v>
      </c>
      <c r="AJ57" s="25">
        <f t="shared" si="44"/>
        <v>117</v>
      </c>
      <c r="AK57" s="27">
        <f t="shared" si="45"/>
        <v>148</v>
      </c>
      <c r="AL57" s="371">
        <f t="shared" si="46"/>
        <v>1.2649572649572649</v>
      </c>
      <c r="AM57" s="25">
        <f t="shared" si="47"/>
        <v>0</v>
      </c>
      <c r="AN57" s="27">
        <f t="shared" si="48"/>
        <v>0</v>
      </c>
      <c r="AO57" s="371">
        <f t="shared" si="49"/>
        <v>0</v>
      </c>
    </row>
    <row r="58" spans="1:41" s="4" customFormat="1" ht="15" customHeight="1" thickBot="1" x14ac:dyDescent="0.3">
      <c r="A58" s="4">
        <v>9</v>
      </c>
      <c r="B58" s="36">
        <v>100813</v>
      </c>
      <c r="C58" s="375" t="s">
        <v>68</v>
      </c>
      <c r="D58" s="8">
        <v>34945</v>
      </c>
      <c r="E58" s="309" t="s">
        <v>98</v>
      </c>
      <c r="F58" s="217">
        <v>22</v>
      </c>
      <c r="G58" s="124">
        <f>IFERROR(VLOOKUP(B58,[2]RETAIL!$B$8:$O$63,3,0),0)-IFERROR(IF(B58=100873,VLOOKUP("ENERO",[2]RETAIL!$B$78:$C$91,2,0),0),0)</f>
        <v>37</v>
      </c>
      <c r="H58" s="217">
        <v>22</v>
      </c>
      <c r="I58" s="124">
        <f>IFERROR(VLOOKUP(B58,[2]RETAIL!$B$8:$O$63,4,0),0)-IFERROR(IF(B58=100873,VLOOKUP("FEBRERO",[2]RETAIL!$B$78:$C$91,2,0),0),0)</f>
        <v>42</v>
      </c>
      <c r="J58" s="217">
        <v>22</v>
      </c>
      <c r="K58" s="124">
        <f>IFERROR(VLOOKUP(B58,[2]RETAIL!$B$8:$O$63,5,0),0)-IFERROR(IF(B58=100873,VLOOKUP("MARZO",[2]RETAIL!$B$78:$C$91,2,0),0),0)</f>
        <v>38</v>
      </c>
      <c r="L58" s="217">
        <v>23</v>
      </c>
      <c r="M58" s="124">
        <f>IFERROR(VLOOKUP(B58,[2]RETAIL!$B$8:$O$63,6,0),0)-IFERROR(IF(B58=100873,VLOOKUP("ABRIL",[2]RETAIL!$B$78:$C$91,2,0),0),0)</f>
        <v>37</v>
      </c>
      <c r="N58" s="217">
        <v>23</v>
      </c>
      <c r="O58" s="23">
        <f>IFERROR(VLOOKUP(B58,[2]RETAIL!$B$8:$O$63,7,0),0)-IFERROR(IF(B58=100873,VLOOKUP("MAYO",[2]RETAIL!$B$78:$C$91,2,0),0),0)</f>
        <v>25</v>
      </c>
      <c r="P58" s="217">
        <v>23</v>
      </c>
      <c r="Q58" s="87">
        <f>IFERROR(VLOOKUP(B58,[2]RETAIL!$B$8:$O$63,8,0),0)-IFERROR(IF(B58=100873,VLOOKUP("JUNIO",[2]RETAIL!$B$78:$C$91,2,0),0),0)</f>
        <v>39</v>
      </c>
      <c r="R58" s="217"/>
      <c r="S58" s="23">
        <f>IFERROR(VLOOKUP(B58,[2]RETAIL!$B$8:$O$63,9,0),0)-IFERROR(IF(B58=100873,VLOOKUP("JULIO",[2]RETAIL!$B$78:$C$91,2,0),0),0)</f>
        <v>0</v>
      </c>
      <c r="T58" s="217"/>
      <c r="U58" s="124">
        <f>IFERROR(VLOOKUP(B58,[2]RETAIL!$B$8:$O$63,10,0),0)-IFERROR(IF(B58=100873,VLOOKUP("AGOSTO",[2]RETAIL!$B$78:$C$91,2,0),0),0)</f>
        <v>0</v>
      </c>
      <c r="V58" s="217"/>
      <c r="W58" s="23">
        <f>IFERROR(VLOOKUP(B58,[2]RETAIL!$B$8:$O$63,11,0),0)-IFERROR(IF(B58=100873,VLOOKUP("SEPTIEMBRE",[2]RETAIL!$B$78:$C$91,2,0),0),0)</f>
        <v>0</v>
      </c>
      <c r="X58" s="217"/>
      <c r="Y58" s="257">
        <f>IFERROR(VLOOKUP(B58,[2]RETAIL!$B$8:$O$63,12,0),0)-IFERROR(IF(B58=100873,VLOOKUP("OCTUBRE",[2]RETAIL!$B$78:$C$91,2,0),0),0)</f>
        <v>0</v>
      </c>
      <c r="Z58" s="217"/>
      <c r="AA58" s="35">
        <f>IFERROR(VLOOKUP(B58,[2]RETAIL!$B$8:$O$63,13,0),0)-IFERROR(IF(B58=100873,VLOOKUP("NOVIEMBRE",[2]RETAIL!$B$78:$C$91,2,0),0),0)</f>
        <v>0</v>
      </c>
      <c r="AB58" s="220"/>
      <c r="AC58" s="35">
        <f>IFERROR(VLOOKUP(B58,[2]RETAIL!$B$8:$O$63,14,0),0)-IFERROR(IF(B58=100873,VLOOKUP("DICIEMBRE",[2]RETAIL!$B$78:$C$91,2,0),0),0)</f>
        <v>0</v>
      </c>
      <c r="AD58" s="25">
        <f t="shared" si="38"/>
        <v>135</v>
      </c>
      <c r="AE58" s="27">
        <f>IFERROR(IF($AD$2="ENERO",G58,IF($AD$2="FEBRERO",G58+I58,IF($AD$2="MARZO",G58+I58+K58,IF($AD$2="ABRIL",G58+I58+K58+M58,IF($AD$2="MAYO",G58+I58+K58+M58+O58,IF($AD$2="JUNIO",G58+I58+K58+M58+O58+Q58,IF($AD$2="JULIO",G58+I58+K58+M58+O58+Q58+S58,IF($AD$2="AGOSTO",G58+I58+K58+M58+O58+Q58+S58+U58,IF($AD$2="SEPTIEMBRE",G58+I58+K58+M58+O58+Q58+S58+U58+W58,IF($AD$2="OCTUBRE",G58+I58+K58+M58+O58+Q58+S58+U58+W58+Y58,IF($AD$2="NOVIEMBRE",G58+I58+K58+M58+O58+Q58+S58+U58+W58+Y58+AA58,IF($AD$2="DICIEMBRE",G58+I58+K58+M58+O58+Q58+S58+U58+W58+Y58+AA58+AC58,"")))))))))))),0)</f>
        <v>218</v>
      </c>
      <c r="AF58" s="371">
        <f t="shared" si="40"/>
        <v>1.6148148148148149</v>
      </c>
      <c r="AG58" s="25">
        <f t="shared" si="41"/>
        <v>135</v>
      </c>
      <c r="AH58" s="27">
        <f>IFERROR(IF($AD$2="ENERO",G58,IF($AD$2="FEBRERO",G58+I58,IF($AD$2="MARZO",G58+I58+K58,IF($AD$2="ABRIL",G58+I58+K58+M58,IF($AD$2="MAYO",G58+I58+K58+M58+O58,IF($AD$2="JUNIO",G58+I58+K58+M58+O58+Q58,IF($AD$2="JULIO",G58+I58+K58+M58+O58+Q58+S58,IF($AD$2="AGOSTO",G58+I58+K58+M58+O58+Q58+S58+U58,IF($AD$2="SEPTIEMBRE",G58+I58+K58+M58+O58+Q58+S58+U58+W58,IF($AD$2="OCTUBRE",G58+I58+K58+M58+O58+Q58+S58+U58+W58+Y58,IF($AD$2="NOVIEMBRE",G58+I58+K58+M58+O58+Q58+S58+U58+W58+Y58+AA58,IF($AD$2="DICIEMBRE",G58+I58+K58+M58+O58+Q58+S58+U58+W58+Y58+AA58+AC58,"")))))))))))),0)</f>
        <v>218</v>
      </c>
      <c r="AI58" s="371">
        <f t="shared" si="43"/>
        <v>1.6148148148148149</v>
      </c>
      <c r="AJ58" s="25">
        <f t="shared" si="44"/>
        <v>66</v>
      </c>
      <c r="AK58" s="27">
        <f t="shared" si="45"/>
        <v>117</v>
      </c>
      <c r="AL58" s="371">
        <f t="shared" si="46"/>
        <v>1.7727272727272727</v>
      </c>
      <c r="AM58" s="25">
        <f t="shared" si="47"/>
        <v>0</v>
      </c>
      <c r="AN58" s="27">
        <f t="shared" si="48"/>
        <v>0</v>
      </c>
      <c r="AO58" s="371">
        <f t="shared" si="49"/>
        <v>0</v>
      </c>
    </row>
    <row r="59" spans="1:41" s="4" customFormat="1" ht="15" customHeight="1" thickBot="1" x14ac:dyDescent="0.3">
      <c r="B59" s="7" t="s">
        <v>271</v>
      </c>
      <c r="C59" s="28"/>
      <c r="D59" s="29"/>
      <c r="E59" s="7"/>
      <c r="F59" s="314">
        <f t="shared" ref="F59:AC59" si="51">SUM(F54:F58)</f>
        <v>154</v>
      </c>
      <c r="G59" s="389">
        <f t="shared" si="51"/>
        <v>136</v>
      </c>
      <c r="H59" s="314">
        <f t="shared" si="51"/>
        <v>154</v>
      </c>
      <c r="I59" s="389">
        <f t="shared" si="51"/>
        <v>164</v>
      </c>
      <c r="J59" s="314">
        <f t="shared" si="51"/>
        <v>155</v>
      </c>
      <c r="K59" s="389">
        <f t="shared" si="51"/>
        <v>176</v>
      </c>
      <c r="L59" s="314">
        <f t="shared" si="51"/>
        <v>156</v>
      </c>
      <c r="M59" s="389">
        <f t="shared" si="51"/>
        <v>134</v>
      </c>
      <c r="N59" s="314">
        <f t="shared" si="51"/>
        <v>156</v>
      </c>
      <c r="O59" s="389">
        <f t="shared" si="51"/>
        <v>155</v>
      </c>
      <c r="P59" s="314">
        <f t="shared" si="51"/>
        <v>160</v>
      </c>
      <c r="Q59" s="389">
        <f t="shared" si="51"/>
        <v>163</v>
      </c>
      <c r="R59" s="314">
        <f t="shared" si="51"/>
        <v>26</v>
      </c>
      <c r="S59" s="389">
        <f t="shared" si="51"/>
        <v>0</v>
      </c>
      <c r="T59" s="314">
        <f t="shared" si="51"/>
        <v>23</v>
      </c>
      <c r="U59" s="389">
        <f t="shared" si="51"/>
        <v>0</v>
      </c>
      <c r="V59" s="314">
        <f t="shared" si="51"/>
        <v>26</v>
      </c>
      <c r="W59" s="389">
        <f t="shared" si="51"/>
        <v>0</v>
      </c>
      <c r="X59" s="314">
        <f t="shared" si="51"/>
        <v>30</v>
      </c>
      <c r="Y59" s="389">
        <f t="shared" si="51"/>
        <v>0</v>
      </c>
      <c r="Z59" s="314">
        <f t="shared" si="51"/>
        <v>30</v>
      </c>
      <c r="AA59" s="389">
        <f t="shared" si="51"/>
        <v>0</v>
      </c>
      <c r="AB59" s="314">
        <f t="shared" si="51"/>
        <v>25</v>
      </c>
      <c r="AC59" s="389">
        <f t="shared" si="51"/>
        <v>0</v>
      </c>
      <c r="AD59" s="30">
        <f t="shared" si="38"/>
        <v>935</v>
      </c>
      <c r="AE59" s="33">
        <f>IF($AD$2="ENERO",G59,IF($AD$2="FEBRERO",G59+I59,IF($AD$2="MARZO",G59+I59+K59,IF($AD$2="ABRIL",G59+I59+K59+M59,IF($AD$2="MAYO",G59+I59+K59+M59+O59,IF($AD$2="JUNIO",G59+I59+K59+M59+O59+Q59,IF($AD$2="JULIO",G59+I59+K59+M59+O59+Q59+S59,IF($AD$2="AGOSTO",G59+I59+K59+M59+O59+Q59+S59+U59,IF($AD$2="SEPTIEMBRE",G59+I59+K59+M59+O59+Q59+S59+U59+W59,IF($AD$2="OCTUBRE",G59+I59+K59+M59+O59+Q59+S59+U59+W59+Y59,IF($AD$2="NOVIEMBRE",G59+I59+K59+M59+O59+Q59+S59+U59+W59+Y59+AA59,IF($AD$2="DICIEMBRE",G59+I59+K59+M59+O59+Q59+S59+U59+W59+Y59+AA59+AC59,""))))))))))))</f>
        <v>928</v>
      </c>
      <c r="AF59" s="276">
        <f t="shared" si="40"/>
        <v>0.99251336898395726</v>
      </c>
      <c r="AG59" s="30">
        <f t="shared" si="41"/>
        <v>1095</v>
      </c>
      <c r="AH59" s="33">
        <f>IF($AD$2="ENERO",G59,IF($AD$2="FEBRERO",G59+I59,IF($AD$2="MARZO",G59+I59+K59,IF($AD$2="ABRIL",G59+I59+K59+M59,IF($AD$2="MAYO",G59+I59+K59+M59+O59,IF($AD$2="JUNIO",G59+I59+K59+M59+O59+Q59,IF($AD$2="JULIO",G59+I59+K59+M59+O59+Q59+S59,IF($AD$2="AGOSTO",G59+I59+K59+M59+O59+Q59+S59+U59,IF($AD$2="SEPTIEMBRE",G59+I59+K59+M59+O59+Q59+S59+U59+W59,IF($AD$2="OCTUBRE",G59+I59+K59+M59+O59+Q59+S59+U59+W59+Y59,IF($AD$2="NOVIEMBRE",G59+I59+K59+M59+O59+Q59+S59+U59+W59+Y59+AA59,IF($AD$2="DICIEMBRE",G59+I59+K59+M59+O59+Q59+S59+U59+W59+Y59+AA59+AC59,""))))))))))))</f>
        <v>928</v>
      </c>
      <c r="AI59" s="276">
        <f t="shared" si="43"/>
        <v>0.84748858447488584</v>
      </c>
      <c r="AJ59" s="30">
        <f t="shared" si="44"/>
        <v>463</v>
      </c>
      <c r="AK59" s="33">
        <f t="shared" si="45"/>
        <v>476</v>
      </c>
      <c r="AL59" s="276">
        <f t="shared" si="46"/>
        <v>1.0280777537796977</v>
      </c>
      <c r="AM59" s="30">
        <f t="shared" si="47"/>
        <v>160</v>
      </c>
      <c r="AN59" s="33">
        <f t="shared" si="48"/>
        <v>0</v>
      </c>
      <c r="AO59" s="276">
        <f t="shared" si="49"/>
        <v>0</v>
      </c>
    </row>
    <row r="60" spans="1:41" s="4" customFormat="1" ht="15" customHeight="1" x14ac:dyDescent="0.25">
      <c r="A60" s="4">
        <v>10</v>
      </c>
      <c r="B60" s="8">
        <v>100344</v>
      </c>
      <c r="C60" s="369" t="s">
        <v>25</v>
      </c>
      <c r="D60" s="8">
        <v>9144</v>
      </c>
      <c r="E60" s="309" t="s">
        <v>202</v>
      </c>
      <c r="F60" s="217">
        <v>33</v>
      </c>
      <c r="G60" s="124">
        <f>IFERROR(VLOOKUP(B60,[2]RETAIL!$B$8:$O$63,3,0),0)-IFERROR(IF(B60=100873,VLOOKUP("ENERO",[2]RETAIL!$B$78:$C$91,2,0),0),0)</f>
        <v>37</v>
      </c>
      <c r="H60" s="217">
        <v>33</v>
      </c>
      <c r="I60" s="124">
        <f>IFERROR(VLOOKUP(B60,[2]RETAIL!$B$8:$O$63,4,0),0)-IFERROR(IF(B60=100873,VLOOKUP("FEBRERO",[2]RETAIL!$B$78:$C$91,2,0),0),0)</f>
        <v>33</v>
      </c>
      <c r="J60" s="217">
        <v>33</v>
      </c>
      <c r="K60" s="124">
        <f>IFERROR(VLOOKUP(B60,[2]RETAIL!$B$8:$O$63,5,0),0)-IFERROR(IF(B60=100873,VLOOKUP("MARZO",[2]RETAIL!$B$78:$C$91,2,0),0),0)</f>
        <v>39</v>
      </c>
      <c r="L60" s="217">
        <v>33</v>
      </c>
      <c r="M60" s="124">
        <f>IFERROR(VLOOKUP(B60,[2]RETAIL!$B$8:$O$63,6,0),0)-IFERROR(IF(B60=100873,VLOOKUP("ABRIL",[2]RETAIL!$B$78:$C$91,2,0),0),0)</f>
        <v>33</v>
      </c>
      <c r="N60" s="217">
        <v>34</v>
      </c>
      <c r="O60" s="23">
        <f>IFERROR(VLOOKUP(B60,[2]RETAIL!$B$8:$O$63,7,0),0)-IFERROR(IF(B60=100873,VLOOKUP("MAYO",[2]RETAIL!$B$78:$C$91,2,0),0),0)</f>
        <v>29</v>
      </c>
      <c r="P60" s="217">
        <v>34</v>
      </c>
      <c r="Q60" s="87">
        <f>IFERROR(VLOOKUP(B60,[2]RETAIL!$B$8:$O$63,8,0),0)-IFERROR(IF(B60=100873,VLOOKUP("JUNIO",[2]RETAIL!$B$78:$C$91,2,0),0),0)</f>
        <v>30</v>
      </c>
      <c r="R60" s="217"/>
      <c r="S60" s="23">
        <f>IFERROR(VLOOKUP(B60,[2]RETAIL!$B$8:$O$63,9,0),0)-IFERROR(IF(B60=100873,VLOOKUP("JULIO",[2]RETAIL!$B$78:$C$91,2,0),0),0)</f>
        <v>0</v>
      </c>
      <c r="T60" s="217"/>
      <c r="U60" s="124">
        <f>IFERROR(VLOOKUP(B60,[2]RETAIL!$B$8:$O$63,10,0),0)-IFERROR(IF(B60=100873,VLOOKUP("AGOSTO",[2]RETAIL!$B$78:$C$91,2,0),0),0)</f>
        <v>0</v>
      </c>
      <c r="V60" s="217"/>
      <c r="W60" s="23">
        <f>IFERROR(VLOOKUP(B60,[2]RETAIL!$B$8:$O$63,11,0),0)-IFERROR(IF(B60=100873,VLOOKUP("SEPTIEMBRE",[2]RETAIL!$B$78:$C$91,2,0),0),0)</f>
        <v>0</v>
      </c>
      <c r="X60" s="217"/>
      <c r="Y60" s="257">
        <f>IFERROR(VLOOKUP(B60,[2]RETAIL!$B$8:$O$63,12,0),0)-IFERROR(IF(B60=100873,VLOOKUP("OCTUBRE",[2]RETAIL!$B$78:$C$91,2,0),0),0)</f>
        <v>0</v>
      </c>
      <c r="Z60" s="217"/>
      <c r="AA60" s="35">
        <f>IFERROR(VLOOKUP(B60,[2]RETAIL!$B$8:$O$63,13,0),0)-IFERROR(IF(B60=100873,VLOOKUP("NOVIEMBRE",[2]RETAIL!$B$78:$C$91,2,0),0),0)</f>
        <v>0</v>
      </c>
      <c r="AB60" s="220"/>
      <c r="AC60" s="35">
        <f>IFERROR(VLOOKUP(B60,[2]RETAIL!$B$8:$O$63,14,0),0)-IFERROR(IF(B60=100873,VLOOKUP("DICIEMBRE",[2]RETAIL!$B$78:$C$91,2,0),0),0)</f>
        <v>0</v>
      </c>
      <c r="AD60" s="25">
        <f t="shared" si="38"/>
        <v>200</v>
      </c>
      <c r="AE60" s="27">
        <f t="shared" ref="AE60:AE65" si="52">IFERROR(IF($AD$2="ENERO",G60,IF($AD$2="FEBRERO",G60+I60,IF($AD$2="MARZO",G60+I60+K60,IF($AD$2="ABRIL",G60+I60+K60+M60,IF($AD$2="MAYO",G60+I60+K60+M60+O60,IF($AD$2="JUNIO",G60+I60+K60+M60+O60+Q60,IF($AD$2="JULIO",G60+I60+K60+M60+O60+Q60+S60,IF($AD$2="AGOSTO",G60+I60+K60+M60+O60+Q60+S60+U60,IF($AD$2="SEPTIEMBRE",G60+I60+K60+M60+O60+Q60+S60+U60+W60,IF($AD$2="OCTUBRE",G60+I60+K60+M60+O60+Q60+S60+U60+W60+Y60,IF($AD$2="NOVIEMBRE",G60+I60+K60+M60+O60+Q60+S60+U60+W60+Y60+AA60,IF($AD$2="DICIEMBRE",G60+I60+K60+M60+O60+Q60+S60+U60+W60+Y60+AA60+AC60,"")))))))))))),0)</f>
        <v>201</v>
      </c>
      <c r="AF60" s="371">
        <f t="shared" si="40"/>
        <v>1.0049999999999999</v>
      </c>
      <c r="AG60" s="25">
        <f t="shared" si="41"/>
        <v>200</v>
      </c>
      <c r="AH60" s="27">
        <f t="shared" ref="AH60:AH65" si="53">IFERROR(IF($AD$2="ENERO",G60,IF($AD$2="FEBRERO",G60+I60,IF($AD$2="MARZO",G60+I60+K60,IF($AD$2="ABRIL",G60+I60+K60+M60,IF($AD$2="MAYO",G60+I60+K60+M60+O60,IF($AD$2="JUNIO",G60+I60+K60+M60+O60+Q60,IF($AD$2="JULIO",G60+I60+K60+M60+O60+Q60+S60,IF($AD$2="AGOSTO",G60+I60+K60+M60+O60+Q60+S60+U60,IF($AD$2="SEPTIEMBRE",G60+I60+K60+M60+O60+Q60+S60+U60+W60,IF($AD$2="OCTUBRE",G60+I60+K60+M60+O60+Q60+S60+U60+W60+Y60,IF($AD$2="NOVIEMBRE",G60+I60+K60+M60+O60+Q60+S60+U60+W60+Y60+AA60,IF($AD$2="DICIEMBRE",G60+I60+K60+M60+O60+Q60+S60+U60+W60+Y60+AA60+AC60,"")))))))))))),0)</f>
        <v>201</v>
      </c>
      <c r="AI60" s="371">
        <f t="shared" si="43"/>
        <v>1.0049999999999999</v>
      </c>
      <c r="AJ60" s="25">
        <f t="shared" si="44"/>
        <v>99</v>
      </c>
      <c r="AK60" s="27">
        <f t="shared" si="45"/>
        <v>109</v>
      </c>
      <c r="AL60" s="371">
        <f t="shared" si="46"/>
        <v>1.101010101010101</v>
      </c>
      <c r="AM60" s="25">
        <f t="shared" si="47"/>
        <v>0</v>
      </c>
      <c r="AN60" s="27">
        <f t="shared" si="48"/>
        <v>0</v>
      </c>
      <c r="AO60" s="371">
        <f t="shared" si="49"/>
        <v>0</v>
      </c>
    </row>
    <row r="61" spans="1:41" s="4" customFormat="1" ht="15" customHeight="1" x14ac:dyDescent="0.25">
      <c r="A61" s="4">
        <v>10</v>
      </c>
      <c r="B61" s="8">
        <v>100422</v>
      </c>
      <c r="C61" s="369" t="s">
        <v>20</v>
      </c>
      <c r="D61" s="8">
        <v>9144</v>
      </c>
      <c r="E61" s="309" t="s">
        <v>202</v>
      </c>
      <c r="F61" s="217">
        <v>15</v>
      </c>
      <c r="G61" s="124">
        <f>IFERROR(VLOOKUP(B61,[2]RETAIL!$B$8:$O$63,3,0),0)-IFERROR(IF(B61=100873,VLOOKUP("ENERO",[2]RETAIL!$B$78:$C$91,2,0),0),0)</f>
        <v>8</v>
      </c>
      <c r="H61" s="217">
        <v>15</v>
      </c>
      <c r="I61" s="124">
        <f>IFERROR(VLOOKUP(B61,[2]RETAIL!$B$8:$O$63,4,0),0)-IFERROR(IF(B61=100873,VLOOKUP("FEBRERO",[2]RETAIL!$B$78:$C$91,2,0),0),0)</f>
        <v>18</v>
      </c>
      <c r="J61" s="217">
        <v>15</v>
      </c>
      <c r="K61" s="124">
        <f>IFERROR(VLOOKUP(B61,[2]RETAIL!$B$8:$O$63,5,0),0)-IFERROR(IF(B61=100873,VLOOKUP("MARZO",[2]RETAIL!$B$78:$C$91,2,0),0),0)</f>
        <v>14</v>
      </c>
      <c r="L61" s="217">
        <v>15</v>
      </c>
      <c r="M61" s="124">
        <f>IFERROR(VLOOKUP(B61,[2]RETAIL!$B$8:$O$63,6,0),0)-IFERROR(IF(B61=100873,VLOOKUP("ABRIL",[2]RETAIL!$B$78:$C$91,2,0),0),0)</f>
        <v>17</v>
      </c>
      <c r="N61" s="217">
        <v>15</v>
      </c>
      <c r="O61" s="23">
        <f>IFERROR(VLOOKUP(B61,[2]RETAIL!$B$8:$O$63,7,0),0)-IFERROR(IF(B61=100873,VLOOKUP("MAYO",[2]RETAIL!$B$78:$C$91,2,0),0),0)</f>
        <v>12</v>
      </c>
      <c r="P61" s="217">
        <v>15</v>
      </c>
      <c r="Q61" s="87">
        <f>IFERROR(VLOOKUP(B61,[2]RETAIL!$B$8:$O$63,8,0),0)-IFERROR(IF(B61=100873,VLOOKUP("JUNIO",[2]RETAIL!$B$78:$C$91,2,0),0),0)</f>
        <v>14</v>
      </c>
      <c r="R61" s="217"/>
      <c r="S61" s="23">
        <f>IFERROR(VLOOKUP(B61,[2]RETAIL!$B$8:$O$63,9,0),0)-IFERROR(IF(B61=100873,VLOOKUP("JULIO",[2]RETAIL!$B$78:$C$91,2,0),0),0)</f>
        <v>0</v>
      </c>
      <c r="T61" s="217"/>
      <c r="U61" s="124">
        <f>IFERROR(VLOOKUP(B61,[2]RETAIL!$B$8:$O$63,10,0),0)-IFERROR(IF(B61=100873,VLOOKUP("AGOSTO",[2]RETAIL!$B$78:$C$91,2,0),0),0)</f>
        <v>0</v>
      </c>
      <c r="V61" s="217"/>
      <c r="W61" s="23">
        <f>IFERROR(VLOOKUP(B61,[2]RETAIL!$B$8:$O$63,11,0),0)-IFERROR(IF(B61=100873,VLOOKUP("SEPTIEMBRE",[2]RETAIL!$B$78:$C$91,2,0),0),0)</f>
        <v>0</v>
      </c>
      <c r="X61" s="217"/>
      <c r="Y61" s="257">
        <f>IFERROR(VLOOKUP(B61,[2]RETAIL!$B$8:$O$63,12,0),0)-IFERROR(IF(B61=100873,VLOOKUP("OCTUBRE",[2]RETAIL!$B$78:$C$91,2,0),0),0)</f>
        <v>0</v>
      </c>
      <c r="Z61" s="217"/>
      <c r="AA61" s="35">
        <f>IFERROR(VLOOKUP(B61,[2]RETAIL!$B$8:$O$63,13,0),0)-IFERROR(IF(B61=100873,VLOOKUP("NOVIEMBRE",[2]RETAIL!$B$78:$C$91,2,0),0),0)</f>
        <v>0</v>
      </c>
      <c r="AB61" s="220"/>
      <c r="AC61" s="35">
        <f>IFERROR(VLOOKUP(B61,[2]RETAIL!$B$8:$O$63,14,0),0)-IFERROR(IF(B61=100873,VLOOKUP("DICIEMBRE",[2]RETAIL!$B$78:$C$91,2,0),0),0)</f>
        <v>0</v>
      </c>
      <c r="AD61" s="26">
        <f t="shared" si="38"/>
        <v>90</v>
      </c>
      <c r="AE61" s="27">
        <f t="shared" si="52"/>
        <v>83</v>
      </c>
      <c r="AF61" s="371">
        <f t="shared" si="40"/>
        <v>0.92222222222222228</v>
      </c>
      <c r="AG61" s="25">
        <f t="shared" si="41"/>
        <v>90</v>
      </c>
      <c r="AH61" s="27">
        <f t="shared" si="53"/>
        <v>83</v>
      </c>
      <c r="AI61" s="371">
        <f t="shared" si="43"/>
        <v>0.92222222222222228</v>
      </c>
      <c r="AJ61" s="25">
        <f t="shared" si="44"/>
        <v>45</v>
      </c>
      <c r="AK61" s="27">
        <f t="shared" si="45"/>
        <v>40</v>
      </c>
      <c r="AL61" s="371">
        <f t="shared" si="46"/>
        <v>0.88888888888888884</v>
      </c>
      <c r="AM61" s="25">
        <f t="shared" si="47"/>
        <v>0</v>
      </c>
      <c r="AN61" s="27">
        <f t="shared" si="48"/>
        <v>0</v>
      </c>
      <c r="AO61" s="371">
        <f t="shared" si="49"/>
        <v>0</v>
      </c>
    </row>
    <row r="62" spans="1:41" s="4" customFormat="1" ht="15" customHeight="1" x14ac:dyDescent="0.25">
      <c r="A62" s="4">
        <v>10</v>
      </c>
      <c r="B62" s="8">
        <v>100549</v>
      </c>
      <c r="C62" s="369" t="s">
        <v>66</v>
      </c>
      <c r="D62" s="8">
        <v>9144</v>
      </c>
      <c r="E62" s="309" t="s">
        <v>202</v>
      </c>
      <c r="F62" s="217">
        <v>7</v>
      </c>
      <c r="G62" s="124">
        <f>IFERROR(VLOOKUP(B62,[2]RETAIL!$B$8:$O$63,3,0),0)-IFERROR(IF(B62=100873,VLOOKUP("ENERO",[2]RETAIL!$B$78:$C$91,2,0),0),0)</f>
        <v>7</v>
      </c>
      <c r="H62" s="217">
        <v>7</v>
      </c>
      <c r="I62" s="124">
        <f>IFERROR(VLOOKUP(B62,[2]RETAIL!$B$8:$O$63,4,0),0)-IFERROR(IF(B62=100873,VLOOKUP("FEBRERO",[2]RETAIL!$B$78:$C$91,2,0),0),0)</f>
        <v>7</v>
      </c>
      <c r="J62" s="217">
        <v>7</v>
      </c>
      <c r="K62" s="124">
        <f>IFERROR(VLOOKUP(B62,[2]RETAIL!$B$8:$O$63,5,0),0)-IFERROR(IF(B62=100873,VLOOKUP("MARZO",[2]RETAIL!$B$78:$C$91,2,0),0),0)</f>
        <v>11</v>
      </c>
      <c r="L62" s="217">
        <v>7</v>
      </c>
      <c r="M62" s="124">
        <f>IFERROR(VLOOKUP(B62,[2]RETAIL!$B$8:$O$63,6,0),0)-IFERROR(IF(B62=100873,VLOOKUP("ABRIL",[2]RETAIL!$B$78:$C$91,2,0),0),0)</f>
        <v>7</v>
      </c>
      <c r="N62" s="217">
        <v>7</v>
      </c>
      <c r="O62" s="23">
        <f>IFERROR(VLOOKUP(B62,[2]RETAIL!$B$8:$O$63,7,0),0)-IFERROR(IF(B62=100873,VLOOKUP("MAYO",[2]RETAIL!$B$78:$C$91,2,0),0),0)</f>
        <v>7</v>
      </c>
      <c r="P62" s="217">
        <v>7</v>
      </c>
      <c r="Q62" s="87">
        <f>IFERROR(VLOOKUP(B62,[2]RETAIL!$B$8:$O$63,8,0),0)-IFERROR(IF(B62=100873,VLOOKUP("JUNIO",[2]RETAIL!$B$78:$C$91,2,0),0),0)</f>
        <v>7</v>
      </c>
      <c r="R62" s="217"/>
      <c r="S62" s="23">
        <f>IFERROR(VLOOKUP(B62,[2]RETAIL!$B$8:$O$63,9,0),0)-IFERROR(IF(B62=100873,VLOOKUP("JULIO",[2]RETAIL!$B$78:$C$91,2,0),0),0)</f>
        <v>0</v>
      </c>
      <c r="T62" s="217"/>
      <c r="U62" s="124">
        <f>IFERROR(VLOOKUP(B62,[2]RETAIL!$B$8:$O$63,10,0),0)-IFERROR(IF(B62=100873,VLOOKUP("AGOSTO",[2]RETAIL!$B$78:$C$91,2,0),0),0)</f>
        <v>0</v>
      </c>
      <c r="V62" s="217"/>
      <c r="W62" s="23">
        <f>IFERROR(VLOOKUP(B62,[2]RETAIL!$B$8:$O$63,11,0),0)-IFERROR(IF(B62=100873,VLOOKUP("SEPTIEMBRE",[2]RETAIL!$B$78:$C$91,2,0),0),0)</f>
        <v>0</v>
      </c>
      <c r="X62" s="217"/>
      <c r="Y62" s="257">
        <f>IFERROR(VLOOKUP(B62,[2]RETAIL!$B$8:$O$63,12,0),0)-IFERROR(IF(B62=100873,VLOOKUP("OCTUBRE",[2]RETAIL!$B$78:$C$91,2,0),0),0)</f>
        <v>0</v>
      </c>
      <c r="Z62" s="217"/>
      <c r="AA62" s="35">
        <f>IFERROR(VLOOKUP(B62,[2]RETAIL!$B$8:$O$63,13,0),0)-IFERROR(IF(B62=100873,VLOOKUP("NOVIEMBRE",[2]RETAIL!$B$78:$C$91,2,0),0),0)</f>
        <v>0</v>
      </c>
      <c r="AB62" s="220"/>
      <c r="AC62" s="35">
        <f>IFERROR(VLOOKUP(B62,[2]RETAIL!$B$8:$O$63,14,0),0)-IFERROR(IF(B62=100873,VLOOKUP("DICIEMBRE",[2]RETAIL!$B$78:$C$91,2,0),0),0)</f>
        <v>0</v>
      </c>
      <c r="AD62" s="25">
        <f t="shared" si="38"/>
        <v>42</v>
      </c>
      <c r="AE62" s="27">
        <f t="shared" si="52"/>
        <v>46</v>
      </c>
      <c r="AF62" s="371">
        <f t="shared" si="40"/>
        <v>1.0952380952380953</v>
      </c>
      <c r="AG62" s="25">
        <f t="shared" si="41"/>
        <v>42</v>
      </c>
      <c r="AH62" s="27">
        <f t="shared" si="53"/>
        <v>46</v>
      </c>
      <c r="AI62" s="371">
        <f t="shared" si="43"/>
        <v>1.0952380952380953</v>
      </c>
      <c r="AJ62" s="25">
        <f t="shared" si="44"/>
        <v>21</v>
      </c>
      <c r="AK62" s="27">
        <f t="shared" si="45"/>
        <v>25</v>
      </c>
      <c r="AL62" s="371">
        <f t="shared" si="46"/>
        <v>1.1904761904761905</v>
      </c>
      <c r="AM62" s="25">
        <f t="shared" si="47"/>
        <v>0</v>
      </c>
      <c r="AN62" s="27">
        <f t="shared" si="48"/>
        <v>0</v>
      </c>
      <c r="AO62" s="371">
        <f t="shared" si="49"/>
        <v>0</v>
      </c>
    </row>
    <row r="63" spans="1:41" s="4" customFormat="1" ht="15" customHeight="1" x14ac:dyDescent="0.25">
      <c r="A63" s="4">
        <v>10</v>
      </c>
      <c r="B63" s="8">
        <v>100589</v>
      </c>
      <c r="C63" s="369" t="s">
        <v>17</v>
      </c>
      <c r="D63" s="8">
        <v>9144</v>
      </c>
      <c r="E63" s="309" t="s">
        <v>202</v>
      </c>
      <c r="F63" s="217">
        <v>22</v>
      </c>
      <c r="G63" s="124">
        <f>IFERROR(VLOOKUP(B63,[2]RETAIL!$B$8:$O$63,3,0),0)-IFERROR(IF(B63=100873,VLOOKUP("ENERO",[2]RETAIL!$B$78:$C$91,2,0),0),0)</f>
        <v>24</v>
      </c>
      <c r="H63" s="217">
        <v>22</v>
      </c>
      <c r="I63" s="124">
        <f>IFERROR(VLOOKUP(B63,[2]RETAIL!$B$8:$O$63,4,0),0)-IFERROR(IF(B63=100873,VLOOKUP("FEBRERO",[2]RETAIL!$B$78:$C$91,2,0),0),0)</f>
        <v>31</v>
      </c>
      <c r="J63" s="217">
        <v>22</v>
      </c>
      <c r="K63" s="124">
        <f>IFERROR(VLOOKUP(B63,[2]RETAIL!$B$8:$O$63,5,0),0)-IFERROR(IF(B63=100873,VLOOKUP("MARZO",[2]RETAIL!$B$78:$C$91,2,0),0),0)</f>
        <v>27</v>
      </c>
      <c r="L63" s="217">
        <v>23</v>
      </c>
      <c r="M63" s="124">
        <f>IFERROR(VLOOKUP(B63,[2]RETAIL!$B$8:$O$63,6,0),0)-IFERROR(IF(B63=100873,VLOOKUP("ABRIL",[2]RETAIL!$B$78:$C$91,2,0),0),0)</f>
        <v>22</v>
      </c>
      <c r="N63" s="217">
        <v>23</v>
      </c>
      <c r="O63" s="23">
        <f>IFERROR(VLOOKUP(B63,[2]RETAIL!$B$8:$O$63,7,0),0)-IFERROR(IF(B63=100873,VLOOKUP("MAYO",[2]RETAIL!$B$78:$C$91,2,0),0),0)</f>
        <v>15</v>
      </c>
      <c r="P63" s="217">
        <v>23</v>
      </c>
      <c r="Q63" s="87">
        <f>IFERROR(VLOOKUP(B63,[2]RETAIL!$B$8:$O$63,8,0),0)-IFERROR(IF(B63=100873,VLOOKUP("JUNIO",[2]RETAIL!$B$78:$C$91,2,0),0),0)</f>
        <v>16</v>
      </c>
      <c r="R63" s="217"/>
      <c r="S63" s="23">
        <f>IFERROR(VLOOKUP(B63,[2]RETAIL!$B$8:$O$63,9,0),0)-IFERROR(IF(B63=100873,VLOOKUP("JULIO",[2]RETAIL!$B$78:$C$91,2,0),0),0)</f>
        <v>0</v>
      </c>
      <c r="T63" s="217"/>
      <c r="U63" s="124">
        <f>IFERROR(VLOOKUP(B63,[2]RETAIL!$B$8:$O$63,10,0),0)-IFERROR(IF(B63=100873,VLOOKUP("AGOSTO",[2]RETAIL!$B$78:$C$91,2,0),0),0)</f>
        <v>0</v>
      </c>
      <c r="V63" s="217"/>
      <c r="W63" s="23">
        <f>IFERROR(VLOOKUP(B63,[2]RETAIL!$B$8:$O$63,11,0),0)-IFERROR(IF(B63=100873,VLOOKUP("SEPTIEMBRE",[2]RETAIL!$B$78:$C$91,2,0),0),0)</f>
        <v>0</v>
      </c>
      <c r="X63" s="217"/>
      <c r="Y63" s="257">
        <f>IFERROR(VLOOKUP(B63,[2]RETAIL!$B$8:$O$63,12,0),0)-IFERROR(IF(B63=100873,VLOOKUP("OCTUBRE",[2]RETAIL!$B$78:$C$91,2,0),0),0)</f>
        <v>0</v>
      </c>
      <c r="Z63" s="217"/>
      <c r="AA63" s="35">
        <f>IFERROR(VLOOKUP(B63,[2]RETAIL!$B$8:$O$63,13,0),0)-IFERROR(IF(B63=100873,VLOOKUP("NOVIEMBRE",[2]RETAIL!$B$78:$C$91,2,0),0),0)</f>
        <v>0</v>
      </c>
      <c r="AB63" s="220"/>
      <c r="AC63" s="35">
        <f>IFERROR(VLOOKUP(B63,[2]RETAIL!$B$8:$O$63,14,0),0)-IFERROR(IF(B63=100873,VLOOKUP("DICIEMBRE",[2]RETAIL!$B$78:$C$91,2,0),0),0)</f>
        <v>0</v>
      </c>
      <c r="AD63" s="25">
        <f t="shared" si="38"/>
        <v>135</v>
      </c>
      <c r="AE63" s="27">
        <f t="shared" si="52"/>
        <v>135</v>
      </c>
      <c r="AF63" s="371">
        <f t="shared" si="40"/>
        <v>1</v>
      </c>
      <c r="AG63" s="25">
        <f t="shared" si="41"/>
        <v>135</v>
      </c>
      <c r="AH63" s="27">
        <f t="shared" si="53"/>
        <v>135</v>
      </c>
      <c r="AI63" s="371">
        <f t="shared" si="43"/>
        <v>1</v>
      </c>
      <c r="AJ63" s="25">
        <f t="shared" si="44"/>
        <v>66</v>
      </c>
      <c r="AK63" s="27">
        <f t="shared" si="45"/>
        <v>82</v>
      </c>
      <c r="AL63" s="371">
        <f t="shared" si="46"/>
        <v>1.2424242424242424</v>
      </c>
      <c r="AM63" s="25">
        <f t="shared" si="47"/>
        <v>0</v>
      </c>
      <c r="AN63" s="27">
        <f t="shared" si="48"/>
        <v>0</v>
      </c>
      <c r="AO63" s="371">
        <f t="shared" si="49"/>
        <v>0</v>
      </c>
    </row>
    <row r="64" spans="1:41" s="4" customFormat="1" ht="15" customHeight="1" x14ac:dyDescent="0.25">
      <c r="A64" s="4">
        <v>10</v>
      </c>
      <c r="B64" s="8">
        <v>100819</v>
      </c>
      <c r="C64" s="369" t="s">
        <v>74</v>
      </c>
      <c r="D64" s="8">
        <v>9144</v>
      </c>
      <c r="E64" s="309" t="s">
        <v>202</v>
      </c>
      <c r="F64" s="217">
        <v>18</v>
      </c>
      <c r="G64" s="124">
        <f>IFERROR(VLOOKUP(B64,[2]RETAIL!$B$8:$O$63,3,0),0)-IFERROR(IF(B64=100873,VLOOKUP("ENERO",[2]RETAIL!$B$78:$C$91,2,0),0),0)</f>
        <v>14</v>
      </c>
      <c r="H64" s="217">
        <v>18</v>
      </c>
      <c r="I64" s="124">
        <f>IFERROR(VLOOKUP(B64,[2]RETAIL!$B$8:$O$63,4,0),0)-IFERROR(IF(B64=100873,VLOOKUP("FEBRERO",[2]RETAIL!$B$78:$C$91,2,0),0),0)</f>
        <v>21</v>
      </c>
      <c r="J64" s="217">
        <v>18</v>
      </c>
      <c r="K64" s="124">
        <f>IFERROR(VLOOKUP(B64,[2]RETAIL!$B$8:$O$63,5,0),0)-IFERROR(IF(B64=100873,VLOOKUP("MARZO",[2]RETAIL!$B$78:$C$91,2,0),0),0)</f>
        <v>19</v>
      </c>
      <c r="L64" s="217">
        <v>18</v>
      </c>
      <c r="M64" s="124">
        <f>IFERROR(VLOOKUP(B64,[2]RETAIL!$B$8:$O$63,6,0),0)-IFERROR(IF(B64=100873,VLOOKUP("ABRIL",[2]RETAIL!$B$78:$C$91,2,0),0),0)</f>
        <v>18</v>
      </c>
      <c r="N64" s="217">
        <v>19</v>
      </c>
      <c r="O64" s="23">
        <f>IFERROR(VLOOKUP(B64,[2]RETAIL!$B$8:$O$63,7,0),0)-IFERROR(IF(B64=100873,VLOOKUP("MAYO",[2]RETAIL!$B$78:$C$91,2,0),0),0)</f>
        <v>15</v>
      </c>
      <c r="P64" s="217">
        <v>19</v>
      </c>
      <c r="Q64" s="87">
        <f>IFERROR(VLOOKUP(B64,[2]RETAIL!$B$8:$O$63,8,0),0)-IFERROR(IF(B64=100873,VLOOKUP("JUNIO",[2]RETAIL!$B$78:$C$91,2,0),0),0)</f>
        <v>16</v>
      </c>
      <c r="R64" s="217"/>
      <c r="S64" s="23">
        <f>IFERROR(VLOOKUP(B64,[2]RETAIL!$B$8:$O$63,9,0),0)-IFERROR(IF(B64=100873,VLOOKUP("JULIO",[2]RETAIL!$B$78:$C$91,2,0),0),0)</f>
        <v>0</v>
      </c>
      <c r="T64" s="217"/>
      <c r="U64" s="124">
        <f>IFERROR(VLOOKUP(B64,[2]RETAIL!$B$8:$O$63,10,0),0)-IFERROR(IF(B64=100873,VLOOKUP("AGOSTO",[2]RETAIL!$B$78:$C$91,2,0),0),0)</f>
        <v>0</v>
      </c>
      <c r="V64" s="217"/>
      <c r="W64" s="23">
        <f>IFERROR(VLOOKUP(B64,[2]RETAIL!$B$8:$O$63,11,0),0)-IFERROR(IF(B64=100873,VLOOKUP("SEPTIEMBRE",[2]RETAIL!$B$78:$C$91,2,0),0),0)</f>
        <v>0</v>
      </c>
      <c r="X64" s="217"/>
      <c r="Y64" s="257">
        <f>IFERROR(VLOOKUP(B64,[2]RETAIL!$B$8:$O$63,12,0),0)-IFERROR(IF(B64=100873,VLOOKUP("OCTUBRE",[2]RETAIL!$B$78:$C$91,2,0),0),0)</f>
        <v>0</v>
      </c>
      <c r="Z64" s="217"/>
      <c r="AA64" s="35">
        <f>IFERROR(VLOOKUP(B64,[2]RETAIL!$B$8:$O$63,13,0),0)-IFERROR(IF(B64=100873,VLOOKUP("NOVIEMBRE",[2]RETAIL!$B$78:$C$91,2,0),0),0)</f>
        <v>0</v>
      </c>
      <c r="AB64" s="220"/>
      <c r="AC64" s="35">
        <f>IFERROR(VLOOKUP(B64,[2]RETAIL!$B$8:$O$63,14,0),0)-IFERROR(IF(B64=100873,VLOOKUP("DICIEMBRE",[2]RETAIL!$B$78:$C$91,2,0),0),0)</f>
        <v>0</v>
      </c>
      <c r="AD64" s="25">
        <f t="shared" si="38"/>
        <v>110</v>
      </c>
      <c r="AE64" s="27">
        <f t="shared" si="52"/>
        <v>103</v>
      </c>
      <c r="AF64" s="371">
        <f t="shared" si="40"/>
        <v>0.9363636363636364</v>
      </c>
      <c r="AG64" s="25">
        <f t="shared" si="41"/>
        <v>110</v>
      </c>
      <c r="AH64" s="27">
        <f t="shared" si="53"/>
        <v>103</v>
      </c>
      <c r="AI64" s="371">
        <f t="shared" si="43"/>
        <v>0.9363636363636364</v>
      </c>
      <c r="AJ64" s="25">
        <f t="shared" si="44"/>
        <v>54</v>
      </c>
      <c r="AK64" s="27">
        <f t="shared" si="45"/>
        <v>54</v>
      </c>
      <c r="AL64" s="371">
        <f t="shared" si="46"/>
        <v>1</v>
      </c>
      <c r="AM64" s="25">
        <f t="shared" si="47"/>
        <v>0</v>
      </c>
      <c r="AN64" s="27">
        <f t="shared" si="48"/>
        <v>0</v>
      </c>
      <c r="AO64" s="371">
        <f t="shared" si="49"/>
        <v>0</v>
      </c>
    </row>
    <row r="65" spans="1:41" s="4" customFormat="1" ht="15" customHeight="1" thickBot="1" x14ac:dyDescent="0.3">
      <c r="A65" s="4">
        <v>10</v>
      </c>
      <c r="B65" s="8">
        <v>100881</v>
      </c>
      <c r="C65" s="369" t="s">
        <v>163</v>
      </c>
      <c r="D65" s="8">
        <v>52622</v>
      </c>
      <c r="E65" s="309" t="s">
        <v>164</v>
      </c>
      <c r="F65" s="218">
        <v>26</v>
      </c>
      <c r="G65" s="124">
        <f>IFERROR(VLOOKUP(B65,[2]RETAIL!$B$8:$O$63,3,0),0)-IFERROR(IF(B65=100873,VLOOKUP("ENERO",[2]RETAIL!$B$78:$C$91,2,0),0),0)</f>
        <v>17</v>
      </c>
      <c r="H65" s="218">
        <v>26</v>
      </c>
      <c r="I65" s="124">
        <f>IFERROR(VLOOKUP(B65,[2]RETAIL!$B$8:$O$63,4,0),0)-IFERROR(IF(B65=100873,VLOOKUP("FEBRERO",[2]RETAIL!$B$78:$C$91,2,0),0),0)</f>
        <v>19</v>
      </c>
      <c r="J65" s="218">
        <v>27</v>
      </c>
      <c r="K65" s="124">
        <f>IFERROR(VLOOKUP(B65,[2]RETAIL!$B$8:$O$63,5,0),0)-IFERROR(IF(B65=100873,VLOOKUP("MARZO",[2]RETAIL!$B$78:$C$91,2,0),0),0)</f>
        <v>32</v>
      </c>
      <c r="L65" s="218">
        <v>27</v>
      </c>
      <c r="M65" s="124">
        <f>IFERROR(VLOOKUP(B65,[2]RETAIL!$B$8:$O$63,6,0),0)-IFERROR(IF(B65=100873,VLOOKUP("ABRIL",[2]RETAIL!$B$78:$C$91,2,0),0),0)</f>
        <v>37</v>
      </c>
      <c r="N65" s="218">
        <v>27</v>
      </c>
      <c r="O65" s="23">
        <f>IFERROR(VLOOKUP(B65,[2]RETAIL!$B$8:$O$63,7,0),0)-IFERROR(IF(B65=100873,VLOOKUP("MAYO",[2]RETAIL!$B$78:$C$91,2,0),0),0)</f>
        <v>28</v>
      </c>
      <c r="P65" s="218">
        <v>27</v>
      </c>
      <c r="Q65" s="87">
        <f>IFERROR(VLOOKUP(B65,[2]RETAIL!$B$8:$O$63,8,0),0)-IFERROR(IF(B65=100873,VLOOKUP("JUNIO",[2]RETAIL!$B$78:$C$91,2,0),0),0)</f>
        <v>35</v>
      </c>
      <c r="R65" s="218"/>
      <c r="S65" s="23">
        <f>IFERROR(VLOOKUP(B65,[2]RETAIL!$B$8:$O$63,9,0),0)-IFERROR(IF(B65=100873,VLOOKUP("JULIO",[2]RETAIL!$B$78:$C$91,2,0),0),0)</f>
        <v>0</v>
      </c>
      <c r="T65" s="217"/>
      <c r="U65" s="124">
        <f>IFERROR(VLOOKUP(B65,[2]RETAIL!$B$8:$O$63,10,0),0)-IFERROR(IF(B65=100873,VLOOKUP("AGOSTO",[2]RETAIL!$B$78:$C$91,2,0),0),0)</f>
        <v>0</v>
      </c>
      <c r="V65" s="217"/>
      <c r="W65" s="23">
        <f>IFERROR(VLOOKUP(B65,[2]RETAIL!$B$8:$O$63,11,0),0)-IFERROR(IF(B65=100873,VLOOKUP("SEPTIEMBRE",[2]RETAIL!$B$78:$C$91,2,0),0),0)</f>
        <v>0</v>
      </c>
      <c r="X65" s="217"/>
      <c r="Y65" s="257">
        <f>IFERROR(VLOOKUP(B65,[2]RETAIL!$B$8:$O$63,12,0),0)-IFERROR(IF(B65=100873,VLOOKUP("OCTUBRE",[2]RETAIL!$B$78:$C$91,2,0),0),0)</f>
        <v>0</v>
      </c>
      <c r="Z65" s="217"/>
      <c r="AA65" s="35">
        <f>IFERROR(VLOOKUP(B65,[2]RETAIL!$B$8:$O$63,13,0),0)-IFERROR(IF(B65=100873,VLOOKUP("NOVIEMBRE",[2]RETAIL!$B$78:$C$91,2,0),0),0)</f>
        <v>0</v>
      </c>
      <c r="AB65" s="220"/>
      <c r="AC65" s="35">
        <f>IFERROR(VLOOKUP(B65,[2]RETAIL!$B$8:$O$63,14,0),0)-IFERROR(IF(B65=100873,VLOOKUP("DICIEMBRE",[2]RETAIL!$B$78:$C$91,2,0),0),0)</f>
        <v>0</v>
      </c>
      <c r="AD65" s="25">
        <f t="shared" si="38"/>
        <v>160</v>
      </c>
      <c r="AE65" s="27">
        <f t="shared" si="52"/>
        <v>168</v>
      </c>
      <c r="AF65" s="371">
        <f t="shared" si="40"/>
        <v>1.05</v>
      </c>
      <c r="AG65" s="25">
        <f t="shared" si="41"/>
        <v>160</v>
      </c>
      <c r="AH65" s="27">
        <f t="shared" si="53"/>
        <v>168</v>
      </c>
      <c r="AI65" s="371">
        <f t="shared" si="43"/>
        <v>1.05</v>
      </c>
      <c r="AJ65" s="25">
        <f t="shared" si="44"/>
        <v>79</v>
      </c>
      <c r="AK65" s="27">
        <f t="shared" si="45"/>
        <v>68</v>
      </c>
      <c r="AL65" s="371">
        <f t="shared" si="46"/>
        <v>0.86075949367088611</v>
      </c>
      <c r="AM65" s="25">
        <f t="shared" si="47"/>
        <v>0</v>
      </c>
      <c r="AN65" s="27">
        <f t="shared" si="48"/>
        <v>0</v>
      </c>
      <c r="AO65" s="371">
        <f t="shared" si="49"/>
        <v>0</v>
      </c>
    </row>
    <row r="66" spans="1:41" s="4" customFormat="1" ht="15" customHeight="1" thickBot="1" x14ac:dyDescent="0.3">
      <c r="B66" s="7" t="s">
        <v>272</v>
      </c>
      <c r="C66" s="28"/>
      <c r="D66" s="29"/>
      <c r="E66" s="7"/>
      <c r="F66" s="314">
        <f t="shared" ref="F66:AC66" si="54">SUM(F60:F65)</f>
        <v>121</v>
      </c>
      <c r="G66" s="389">
        <f t="shared" si="54"/>
        <v>107</v>
      </c>
      <c r="H66" s="314">
        <f t="shared" si="54"/>
        <v>121</v>
      </c>
      <c r="I66" s="389">
        <f t="shared" si="54"/>
        <v>129</v>
      </c>
      <c r="J66" s="314">
        <f t="shared" si="54"/>
        <v>122</v>
      </c>
      <c r="K66" s="389">
        <f t="shared" si="54"/>
        <v>142</v>
      </c>
      <c r="L66" s="314">
        <f t="shared" si="54"/>
        <v>123</v>
      </c>
      <c r="M66" s="389">
        <f t="shared" si="54"/>
        <v>134</v>
      </c>
      <c r="N66" s="314">
        <f t="shared" si="54"/>
        <v>125</v>
      </c>
      <c r="O66" s="389">
        <f t="shared" si="54"/>
        <v>106</v>
      </c>
      <c r="P66" s="314">
        <f t="shared" si="54"/>
        <v>125</v>
      </c>
      <c r="Q66" s="389">
        <f t="shared" si="54"/>
        <v>118</v>
      </c>
      <c r="R66" s="314">
        <f t="shared" si="54"/>
        <v>0</v>
      </c>
      <c r="S66" s="389">
        <f t="shared" si="54"/>
        <v>0</v>
      </c>
      <c r="T66" s="314">
        <f t="shared" si="54"/>
        <v>0</v>
      </c>
      <c r="U66" s="389">
        <f t="shared" si="54"/>
        <v>0</v>
      </c>
      <c r="V66" s="314">
        <f t="shared" si="54"/>
        <v>0</v>
      </c>
      <c r="W66" s="389">
        <f t="shared" si="54"/>
        <v>0</v>
      </c>
      <c r="X66" s="314">
        <f t="shared" si="54"/>
        <v>0</v>
      </c>
      <c r="Y66" s="389">
        <f t="shared" si="54"/>
        <v>0</v>
      </c>
      <c r="Z66" s="314">
        <f t="shared" si="54"/>
        <v>0</v>
      </c>
      <c r="AA66" s="389">
        <f t="shared" si="54"/>
        <v>0</v>
      </c>
      <c r="AB66" s="314">
        <f t="shared" si="54"/>
        <v>0</v>
      </c>
      <c r="AC66" s="389">
        <f t="shared" si="54"/>
        <v>0</v>
      </c>
      <c r="AD66" s="30">
        <f t="shared" si="38"/>
        <v>737</v>
      </c>
      <c r="AE66" s="33">
        <f>IF($AD$2="ENERO",G66,IF($AD$2="FEBRERO",G66+I66,IF($AD$2="MARZO",G66+I66+K66,IF($AD$2="ABRIL",G66+I66+K66+M66,IF($AD$2="MAYO",G66+I66+K66+M66+O66,IF($AD$2="JUNIO",G66+I66+K66+M66+O66+Q66,IF($AD$2="JULIO",G66+I66+K66+M66+O66+Q66+S66,IF($AD$2="AGOSTO",G66+I66+K66+M66+O66+Q66+S66+U66,IF($AD$2="SEPTIEMBRE",G66+I66+K66+M66+O66+Q66+S66+U66+W66,IF($AD$2="OCTUBRE",G66+I66+K66+M66+O66+Q66+S66+U66+W66+Y66,IF($AD$2="NOVIEMBRE",G66+I66+K66+M66+O66+Q66+S66+U66+W66+Y66+AA66,IF($AD$2="DICIEMBRE",G66+I66+K66+M66+O66+Q66+S66+U66+W66+Y66+AA66+AC66,""))))))))))))</f>
        <v>736</v>
      </c>
      <c r="AF66" s="276">
        <f t="shared" si="40"/>
        <v>0.99864314789687925</v>
      </c>
      <c r="AG66" s="30">
        <f t="shared" si="41"/>
        <v>737</v>
      </c>
      <c r="AH66" s="33">
        <f>IF($AD$2="ENERO",G66,IF($AD$2="FEBRERO",G66+I66,IF($AD$2="MARZO",G66+I66+K66,IF($AD$2="ABRIL",G66+I66+K66+M66,IF($AD$2="MAYO",G66+I66+K66+M66+O66,IF($AD$2="JUNIO",G66+I66+K66+M66+O66+Q66,IF($AD$2="JULIO",G66+I66+K66+M66+O66+Q66+S66,IF($AD$2="AGOSTO",G66+I66+K66+M66+O66+Q66+S66+U66,IF($AD$2="SEPTIEMBRE",G66+I66+K66+M66+O66+Q66+S66+U66+W66,IF($AD$2="OCTUBRE",G66+I66+K66+M66+O66+Q66+S66+U66+W66+Y66,IF($AD$2="NOVIEMBRE",G66+I66+K66+M66+O66+Q66+S66+U66+W66+Y66+AA66,IF($AD$2="DICIEMBRE",G66+I66+K66+M66+O66+Q66+S66+U66+W66+Y66+AA66+AC66,""))))))))))))</f>
        <v>736</v>
      </c>
      <c r="AI66" s="276">
        <f t="shared" si="43"/>
        <v>0.99864314789687925</v>
      </c>
      <c r="AJ66" s="30">
        <f t="shared" ref="AJ66:AK68" si="55">IF($AJ$3="Q1",F66+H66+J66,IF($AJ$3="Q2",L66+N66++P66,IF($AJ$3="Q3",R66+T66+V66,IF($AJ$3="Q4",X66+Z66+AB66,0))))</f>
        <v>364</v>
      </c>
      <c r="AK66" s="33">
        <f t="shared" si="55"/>
        <v>378</v>
      </c>
      <c r="AL66" s="276">
        <f t="shared" si="46"/>
        <v>1.0384615384615385</v>
      </c>
      <c r="AM66" s="30">
        <f>IF($AM$3="S 1",F66+H66+J66+L66+N66++P66,IF($AM$3="S 2",R66+T66+V66+X66+Z66+AB66,0))</f>
        <v>0</v>
      </c>
      <c r="AN66" s="33">
        <f>IF($AM$3="S 1",G66+I66+K66+M66+O66+Q66,IF($AM$3="S 2",S66+U66+W66+Y66+AA66+AC66,0))</f>
        <v>0</v>
      </c>
      <c r="AO66" s="276">
        <f t="shared" si="49"/>
        <v>0</v>
      </c>
    </row>
    <row r="67" spans="1:41" s="4" customFormat="1" ht="15" customHeight="1" thickBot="1" x14ac:dyDescent="0.3">
      <c r="B67" s="8">
        <v>12345</v>
      </c>
      <c r="C67" s="369" t="s">
        <v>278</v>
      </c>
      <c r="D67" s="8">
        <v>12345</v>
      </c>
      <c r="E67" s="309"/>
      <c r="F67" s="217"/>
      <c r="G67" s="23">
        <f>IFERROR(VLOOKUP("ENERO",[2]RETAIL!$B$78:$C$91,2,0),0)</f>
        <v>22</v>
      </c>
      <c r="H67" s="217"/>
      <c r="I67" s="23">
        <f>IFERROR(VLOOKUP("FEBRERO",[2]RETAIL!$B$78:$C$91,2,0),0)</f>
        <v>24</v>
      </c>
      <c r="J67" s="217"/>
      <c r="K67" s="23">
        <f>IFERROR(VLOOKUP("MARZO",[2]RETAIL!$B$78:$C$91,2,0),0)</f>
        <v>27</v>
      </c>
      <c r="L67" s="217"/>
      <c r="M67" s="23">
        <f>IFERROR(VLOOKUP("ABRIL",[2]RETAIL!$B$78:$C$91,2,0),0)</f>
        <v>26</v>
      </c>
      <c r="N67" s="217"/>
      <c r="O67" s="23">
        <f>IFERROR(VLOOKUP("MAYO",[2]RETAIL!$B$78:$C$91,2,0),0)</f>
        <v>21</v>
      </c>
      <c r="P67" s="217"/>
      <c r="Q67" s="23">
        <f>IFERROR(VLOOKUP("JUNIO",[2]RETAIL!$B$78:$C$91,2,0),0)</f>
        <v>19</v>
      </c>
      <c r="R67" s="217"/>
      <c r="S67" s="23">
        <f>IFERROR(VLOOKUP("JULIO",[2]RETAIL!$B$78:$C$91,2,0),0)</f>
        <v>0</v>
      </c>
      <c r="T67" s="217"/>
      <c r="U67" s="23">
        <f>IFERROR(VLOOKUP("AGOSTO",[2]RETAIL!$B$78:$C$91,2,0),0)</f>
        <v>0</v>
      </c>
      <c r="V67" s="217"/>
      <c r="W67" s="23">
        <f>IFERROR(VLOOKUP("SEPTIEMBRE",[2]RETAIL!$B$78:$C$91,2,0),0)</f>
        <v>0</v>
      </c>
      <c r="X67" s="217"/>
      <c r="Y67" s="23">
        <f>IFERROR(VLOOKUP("OCTUBRE",[2]RETAIL!$B$78:$C$91,2,0),0)</f>
        <v>0</v>
      </c>
      <c r="Z67" s="217"/>
      <c r="AA67" s="23">
        <f>IFERROR(VLOOKUP("NOVIEMBRE",[2]RETAIL!$B$78:$C$91,2,0),0)</f>
        <v>0</v>
      </c>
      <c r="AB67" s="220"/>
      <c r="AC67" s="23">
        <f>IFERROR(VLOOKUP("DICIEMBRE",[2]RETAIL!$B$78:$C$91,2,0),0)</f>
        <v>0</v>
      </c>
      <c r="AD67" s="25">
        <f>IF($AD$2="ENERO",F67,IF($AD$2="FEBRERO",F67+H67,IF($AD$2="MARZO",F67+H67+J67,IF($AD$2="ABRIL",F67+H67+J67+L67,IF($AD$2="MAYO",F67+H67+J67+L67+N67,IF($AD$2="JUNIO",F67+H67+J67+L67+N67+P67,IF($AD$2="JULIO",F67+H67+J67+L67+N67+P67+R67,IF($AD$2="AGOSTO",F67+H67+J67+L67+N67+P67+R67+T67,IF($AD$2="SEPTIEMBRE",F67+H67+J67+L67+N67+P67+R67+T67+V67,IF($AD$2="OCTUBRE",F67+H67+J67+L67+N67+P67+R67+T67+V67+X67,IF($AD$2="NOVIEMBRE",F67+H67+J67+L67+N67+P67+R67+T67+V67+X67+Z67,IF($AD$2="DICIEMBRE",F67+H67+J67+L67+N67+P67+R67+T67+V67+X67+Z67+AB67,""))))))))))))</f>
        <v>0</v>
      </c>
      <c r="AE67" s="27">
        <f>IFERROR(IF($AD$2="ENERO",G67,IF($AD$2="FEBRERO",G67+I67,IF($AD$2="MARZO",G67+I67+K67,IF($AD$2="ABRIL",G67+I67+K67+M67,IF($AD$2="MAYO",G67+I67+K67+M67+O67,IF($AD$2="JUNIO",G67+I67+K67+M67+O67+Q67,IF($AD$2="JULIO",G67+I67+K67+M67+O67+Q67+S67,IF($AD$2="AGOSTO",G67+I67+K67+M67+O67+Q67+S67+U67,IF($AD$2="SEPTIEMBRE",G67+I67+K67+M67+O67+Q67+S67+U67+W67,IF($AD$2="OCTUBRE",G67+I67+K67+M67+O67+Q67+S67+U67+W67+Y67,IF($AD$2="NOVIEMBRE",G67+I67+K67+M67+O67+Q67+S67+U67+W67+Y67+AA67,IF($AD$2="DICIEMBRE",G67+I67+K67+M67+O67+Q67+S67+U67+W67+Y67+AA67+AC67,"")))))))))))),0)</f>
        <v>139</v>
      </c>
      <c r="AF67" s="371">
        <f>IFERROR((AE67/AD67),0)</f>
        <v>0</v>
      </c>
      <c r="AG67" s="25">
        <f>+F67+H67+J67+L67+N67+P67+R67+T67+V67+X67+Z67+AB67</f>
        <v>0</v>
      </c>
      <c r="AH67" s="27">
        <f>IFERROR(IF($AD$2="ENERO",G67,IF($AD$2="FEBRERO",G67+I67,IF($AD$2="MARZO",G67+I67+K67,IF($AD$2="ABRIL",G67+I67+K67+M67,IF($AD$2="MAYO",G67+I67+K67+M67+O67,IF($AD$2="JUNIO",G67+I67+K67+M67+O67+Q67,IF($AD$2="JULIO",G67+I67+K67+M67+O67+Q67+S67,IF($AD$2="AGOSTO",G67+I67+K67+M67+O67+Q67+S67+U67,IF($AD$2="SEPTIEMBRE",G67+I67+K67+M67+O67+Q67+S67+U67+W67,IF($AD$2="OCTUBRE",G67+I67+K67+M67+O67+Q67+S67+U67+W67+Y67,IF($AD$2="NOVIEMBRE",G67+I67+K67+M67+O67+Q67+S67+U67+W67+Y67+AA67,IF($AD$2="DICIEMBRE",G67+I67+K67+M67+O67+Q67+S67+U67+W67+Y67+AA67+AC67,"")))))))))))),0)</f>
        <v>139</v>
      </c>
      <c r="AI67" s="371">
        <f>IFERROR((AH67/AG67),0)</f>
        <v>0</v>
      </c>
      <c r="AJ67" s="25"/>
      <c r="AK67" s="27"/>
      <c r="AL67" s="371"/>
      <c r="AM67" s="25">
        <f>IFERROR(IF($AM$3="S 1",F67+H67+J67+L67+N67++P67,IF($AM$3="S 2",R67+T67+V67+X67+Z67+AB67,0)),0)</f>
        <v>0</v>
      </c>
      <c r="AN67" s="27">
        <f>IFERROR(IF($AM$3="S 1",G67+I67+K67+M67+O67+Q67,IF($AM$3="S 2",S67+U67+W67+Y67+AA67+AC67,0)),0)</f>
        <v>0</v>
      </c>
      <c r="AO67" s="371">
        <f>IFERROR((AN67/AM67),0)</f>
        <v>0</v>
      </c>
    </row>
    <row r="68" spans="1:41" s="4" customFormat="1" ht="15" customHeight="1" thickBot="1" x14ac:dyDescent="0.4">
      <c r="B68" s="6" t="s">
        <v>27</v>
      </c>
      <c r="C68" s="37"/>
      <c r="D68" s="38"/>
      <c r="E68" s="6"/>
      <c r="F68" s="39">
        <f t="shared" ref="F68:AC68" si="56">F9+F15+F21+F29+F35+F42+F46+F53+F59+F66+F67</f>
        <v>1098</v>
      </c>
      <c r="G68" s="39">
        <f t="shared" si="56"/>
        <v>917</v>
      </c>
      <c r="H68" s="39">
        <f t="shared" si="56"/>
        <v>1108</v>
      </c>
      <c r="I68" s="39">
        <f t="shared" si="56"/>
        <v>1123</v>
      </c>
      <c r="J68" s="39">
        <f t="shared" si="56"/>
        <v>1135</v>
      </c>
      <c r="K68" s="39">
        <f t="shared" si="56"/>
        <v>1254</v>
      </c>
      <c r="L68" s="39">
        <f t="shared" si="56"/>
        <v>1132</v>
      </c>
      <c r="M68" s="39">
        <f t="shared" si="56"/>
        <v>1103</v>
      </c>
      <c r="N68" s="39">
        <f t="shared" si="56"/>
        <v>1156</v>
      </c>
      <c r="O68" s="39">
        <f t="shared" si="56"/>
        <v>1059</v>
      </c>
      <c r="P68" s="39">
        <f t="shared" si="56"/>
        <v>1169</v>
      </c>
      <c r="Q68" s="39">
        <f t="shared" si="56"/>
        <v>1457</v>
      </c>
      <c r="R68" s="39">
        <f t="shared" si="56"/>
        <v>183</v>
      </c>
      <c r="S68" s="39">
        <f t="shared" si="56"/>
        <v>0</v>
      </c>
      <c r="T68" s="39">
        <f t="shared" si="56"/>
        <v>170</v>
      </c>
      <c r="U68" s="39">
        <f t="shared" si="56"/>
        <v>0</v>
      </c>
      <c r="V68" s="39">
        <f t="shared" si="56"/>
        <v>188</v>
      </c>
      <c r="W68" s="39">
        <f t="shared" si="56"/>
        <v>0</v>
      </c>
      <c r="X68" s="39">
        <f t="shared" si="56"/>
        <v>202</v>
      </c>
      <c r="Y68" s="39">
        <f t="shared" si="56"/>
        <v>0</v>
      </c>
      <c r="Z68" s="39">
        <f t="shared" si="56"/>
        <v>201</v>
      </c>
      <c r="AA68" s="39">
        <f t="shared" si="56"/>
        <v>0</v>
      </c>
      <c r="AB68" s="39">
        <f t="shared" si="56"/>
        <v>193</v>
      </c>
      <c r="AC68" s="39">
        <f t="shared" si="56"/>
        <v>0</v>
      </c>
      <c r="AD68" s="39">
        <f t="shared" si="38"/>
        <v>6798</v>
      </c>
      <c r="AE68" s="40">
        <f>IF($AD$2="ENERO",G68,IF($AD$2="FEBRERO",G68+I68,IF($AD$2="MARZO",G68+I68+K68,IF($AD$2="ABRIL",G68+I68+K68+M68,IF($AD$2="MAYO",G68+I68+K68+M68+O68,IF($AD$2="JUNIO",G68+I68+K68+M68+O68+Q68,IF($AD$2="JULIO",G68+I68+K68+M68+O68+Q68+S68,IF($AD$2="AGOSTO",G68+I68+K68+M68+O68+Q68+S68+U68,IF($AD$2="SEPTIEMBRE",G68+I68+K68+M68+O68+Q68+S68+U68+W68,IF($AD$2="OCTUBRE",G68+I68+K68+M68+O68+Q68+S68+U68+W68+Y68,IF($AD$2="NOVIEMBRE",G68+I68+K68+M68+O68+Q68+S68+U68+W68+Y68+AA68,IF($AD$2="DICIEMBRE",G68+I68+K68+M68+O68+Q68+S68+U68+W68+Y68+AA68+AC68,""))))))))))))</f>
        <v>6913</v>
      </c>
      <c r="AF68" s="241">
        <f t="shared" si="40"/>
        <v>1.0169167402177111</v>
      </c>
      <c r="AG68" s="39">
        <f t="shared" si="41"/>
        <v>7935</v>
      </c>
      <c r="AH68" s="40">
        <f>IF($AD$2="ENERO",G68,IF($AD$2="FEBRERO",G68+I68,IF($AD$2="MARZO",G68+I68+K68,IF($AD$2="ABRIL",G68+I68+K68+M68,IF($AD$2="MAYO",G68+I68+K68+M68+O68,IF($AD$2="JUNIO",G68+I68+K68+M68+O68+Q68,IF($AD$2="JULIO",G68+I68+K68+M68+O68+Q68+S68,IF($AD$2="AGOSTO",G68+I68+K68+M68+O68+Q68+S68+U68,IF($AD$2="SEPTIEMBRE",G68+I68+K68+M68+O68+Q68+S68+U68+W68,IF($AD$2="OCTUBRE",G68+I68+K68+M68+O68+Q68+S68+U68+W68+Y68,IF($AD$2="NOVIEMBRE",G68+I68+K68+M68+O68+Q68+S68+U68+W68+Y68+AA68,IF($AD$2="DICIEMBRE",G68+I68+K68+M68+O68+Q68+S68+U68+W68+Y68+AA68+AC68,""))))))))))))</f>
        <v>6913</v>
      </c>
      <c r="AI68" s="241">
        <f t="shared" si="43"/>
        <v>0.87120352867044737</v>
      </c>
      <c r="AJ68" s="39">
        <f t="shared" si="55"/>
        <v>3341</v>
      </c>
      <c r="AK68" s="40">
        <f t="shared" si="55"/>
        <v>3294</v>
      </c>
      <c r="AL68" s="241">
        <f t="shared" si="46"/>
        <v>0.98593235558216108</v>
      </c>
      <c r="AM68" s="39">
        <f>SUM(AM9,AM15,AM21,AM29,AM35,AM42,AM46,AM53,AM59,AM66)</f>
        <v>1137</v>
      </c>
      <c r="AN68" s="39">
        <f>SUM(AN9,AN15,AN21,AN29,AN35,AN42,AN46,AN53,AN59,AN66)</f>
        <v>0</v>
      </c>
      <c r="AO68" s="241">
        <f t="shared" si="49"/>
        <v>0</v>
      </c>
    </row>
    <row r="73" spans="1:41" ht="13" thickBot="1" x14ac:dyDescent="0.3">
      <c r="K73" s="41"/>
    </row>
    <row r="74" spans="1:41" ht="14.5" customHeight="1" x14ac:dyDescent="0.35">
      <c r="F74" s="618" t="s">
        <v>181</v>
      </c>
      <c r="G74" s="619"/>
      <c r="H74" s="619"/>
      <c r="I74" s="620"/>
      <c r="J74" s="174"/>
      <c r="K74" s="174"/>
      <c r="L74" s="174"/>
      <c r="M74" s="174"/>
      <c r="N74" s="356"/>
      <c r="O74" s="356"/>
      <c r="P74" s="356"/>
      <c r="Q74" s="356"/>
      <c r="R74" s="356"/>
      <c r="S74" s="357"/>
    </row>
    <row r="75" spans="1:41" ht="15" thickBot="1" x14ac:dyDescent="0.4">
      <c r="F75" s="621"/>
      <c r="G75" s="622"/>
      <c r="H75" s="622"/>
      <c r="I75" s="623"/>
      <c r="J75"/>
      <c r="K75"/>
      <c r="L75"/>
      <c r="M75"/>
      <c r="S75" s="358"/>
    </row>
    <row r="76" spans="1:41" ht="14.5" x14ac:dyDescent="0.35">
      <c r="F76" s="359"/>
      <c r="G76"/>
      <c r="H76"/>
      <c r="I76"/>
      <c r="J76"/>
      <c r="K76"/>
      <c r="L76"/>
      <c r="M76" t="str">
        <f>CONCATENATE("2 - Cierre ventas YTD_",
CHOOSE(MATCH(AD2,{"Enero";"Febrero";"Marzo";"Abril";"Mayo";"Junio";"Julio";"Agosto";"Septiembre";"Octubre";"Noviembre";"Diciembre"},0),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S76" s="358"/>
    </row>
    <row r="77" spans="1:41" ht="14.5" x14ac:dyDescent="0.35">
      <c r="F77" s="359" t="s">
        <v>175</v>
      </c>
      <c r="G77" t="str">
        <f>M76</f>
        <v>2 - Cierre ventas YTD_JUN_2026.xlsx</v>
      </c>
      <c r="H77"/>
      <c r="I77"/>
      <c r="J77"/>
      <c r="K77"/>
      <c r="L77">
        <v>2025</v>
      </c>
      <c r="M77" s="360" t="str">
        <f>HYPERLINK(
    "O:\USED CAR &amp; REMARKETING\03-VO\2025\Informe Seguimiento Concesionarios 2025\ESPANHA\" &amp;
    CHOOSE(MATCH(AD2, {"Enero";"Febrero";"Marzo";"Abril";"Mayo";"Junio";"Julio";"Agosto";"Septiembre";"Octubre";"Noviembre";"Diciembre"}, 0),
        "1. ENERO\2 - Cierre ventas YTD_ENE_2025.xlsx",
        "2. FEBRERO\2 - Cierre ventas YTD_FEB_2025.xlsx",
        "3. MARZO\2 - Cierre ventas YTD_MAR_2025.xlsx",
        "4. ABRIL\2 - Cierre ventas YTD_ABR_2025.xlsx",
        "5. MAYO\2 - Cierre ventas YTD_MAY_2025.xlsx",
        "6. JUNIO\2 - Cierre ventas YTD_JUN_2025.xlsx",
        "7. JULIO\2 - Cierre ventas YTD_JUL_2025.xlsx",
        "8. AGOSTO\2 - Cierre ventas YTD_AGO_2025.xlsx",
        "9. SEPTIEMBRE\2 - Cierre ventas YTD_SEP_2025.xlsx",
        "10. OCTUBRE\2 - Cierre ventas YTD_OCT_2025.xlsx",
        "11. NOVIEMBRE\2 - Cierre ventas YTD_NOV_2025.xlsx",
        "12. DICIEMBRE\2 - Cierre ventas YTD_DIC_2025.xlsx"
    ),
    "Cierre Ventas " &amp;
    CHOOSE(MATCH(AD2,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S77" s="358"/>
    </row>
    <row r="78" spans="1:41" ht="14.5" x14ac:dyDescent="0.35">
      <c r="F78" s="359" t="s">
        <v>176</v>
      </c>
      <c r="G78" t="s">
        <v>188</v>
      </c>
      <c r="H78"/>
      <c r="I78"/>
      <c r="J78"/>
      <c r="K78"/>
      <c r="L78">
        <v>2026</v>
      </c>
      <c r="M78" s="360" t="str">
        <f>HYPERLINK(
    "O:\USED CAR &amp; REMARKETING\03-VO\2026\Informe Seguimiento Concesionarios 2026\ESPAÑA\" &amp;
    CHOOSE(MATCH(AD2, {"ENERO";"FEBRERO";"MARZO";"ABRRIL";"MAYO";"JUNIO";"JULIO";"AGOSTO";"SEPTIEMBRE";"OCTUBRE";"NOVIEMBRE";"DICIEMBRE"},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&amp;G77,
    "Cierre Ventas " &amp;
    CHOOSE(MATCH(AD2, {"ENERO";"FEBRERO";"MARZO";"ABRRIL";"MAYO";"JUNIO";"JULIO";"AGOSTO";"SEPTIEMBRE";"OCTUBRE";"NOVIEMBRE";"DICIEMBRE"},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S78" s="358"/>
    </row>
    <row r="79" spans="1:41" ht="14.5" x14ac:dyDescent="0.35">
      <c r="F79" s="361" t="s">
        <v>177</v>
      </c>
      <c r="G79" s="354" t="s">
        <v>180</v>
      </c>
      <c r="H79"/>
      <c r="I79"/>
      <c r="J79"/>
      <c r="K79"/>
      <c r="L79"/>
      <c r="M79"/>
      <c r="S79" s="358"/>
    </row>
    <row r="80" spans="1:41" ht="14.5" x14ac:dyDescent="0.35">
      <c r="F80" s="361"/>
      <c r="G80" s="354"/>
      <c r="H80"/>
      <c r="I80"/>
      <c r="J80"/>
      <c r="K80"/>
      <c r="L80" s="376"/>
      <c r="M80"/>
      <c r="P80" s="2" t="s">
        <v>187</v>
      </c>
      <c r="S80" s="358"/>
    </row>
    <row r="81" spans="2:41" s="4" customFormat="1" ht="14.5" x14ac:dyDescent="0.35">
      <c r="B81" s="5"/>
      <c r="D81" s="139"/>
      <c r="E81" s="2"/>
      <c r="F81" s="359"/>
      <c r="G81" t="str">
        <f>CONCATENATE("'[", G77, "]", G78, "'", G80, G79)</f>
        <v>'[2 - Cierre ventas YTD_JUN_2026.xlsx]TD Retail Mensual '!$A$9:$L$65</v>
      </c>
      <c r="H81"/>
      <c r="I81"/>
      <c r="J81"/>
      <c r="K81"/>
      <c r="L81"/>
      <c r="M81"/>
      <c r="N81" s="2"/>
      <c r="O81" s="2"/>
      <c r="P81" s="2"/>
      <c r="Q81" s="2"/>
      <c r="R81" s="2"/>
      <c r="S81" s="358"/>
      <c r="T81" s="2"/>
      <c r="U81" s="2"/>
      <c r="V81" s="2"/>
      <c r="AN81" s="2"/>
      <c r="AO81" s="2"/>
    </row>
    <row r="82" spans="2:41" ht="13" thickBot="1" x14ac:dyDescent="0.3">
      <c r="F82" s="362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4"/>
      <c r="AE82" s="41"/>
    </row>
    <row r="83" spans="2:41" x14ac:dyDescent="0.25">
      <c r="AE83" s="41"/>
    </row>
    <row r="87" spans="2:41" ht="14.5" customHeight="1" x14ac:dyDescent="0.25"/>
  </sheetData>
  <mergeCells count="21">
    <mergeCell ref="F74:I75"/>
    <mergeCell ref="A1:AK1"/>
    <mergeCell ref="B3:B4"/>
    <mergeCell ref="C3:C4"/>
    <mergeCell ref="D3:E4"/>
    <mergeCell ref="F3:G3"/>
    <mergeCell ref="H3:I3"/>
    <mergeCell ref="J3:K3"/>
    <mergeCell ref="L3:M3"/>
    <mergeCell ref="N3:O3"/>
    <mergeCell ref="P3:Q3"/>
    <mergeCell ref="AD3:AF3"/>
    <mergeCell ref="AG3:AI3"/>
    <mergeCell ref="AJ3:AL3"/>
    <mergeCell ref="AM3:AO3"/>
    <mergeCell ref="R3:S3"/>
    <mergeCell ref="T3:U3"/>
    <mergeCell ref="V3:W3"/>
    <mergeCell ref="X3:Y3"/>
    <mergeCell ref="Z3:AA3"/>
    <mergeCell ref="AB3:AC3"/>
  </mergeCells>
  <conditionalFormatting sqref="A1 AL1">
    <cfRule type="duplicateValues" dxfId="304" priority="3"/>
  </conditionalFormatting>
  <conditionalFormatting sqref="F3:G3">
    <cfRule type="expression" dxfId="303" priority="15">
      <formula>IF($AD$2="ENERO","VERDADERO")</formula>
    </cfRule>
  </conditionalFormatting>
  <conditionalFormatting sqref="F3:I3">
    <cfRule type="expression" dxfId="302" priority="14">
      <formula>IF($AD$2="FEBRERO","VERDADERO")</formula>
    </cfRule>
  </conditionalFormatting>
  <conditionalFormatting sqref="F3:K3">
    <cfRule type="expression" dxfId="301" priority="13">
      <formula>IF($AD$2="MARZO","VERDADERO")</formula>
    </cfRule>
  </conditionalFormatting>
  <conditionalFormatting sqref="F3:M3">
    <cfRule type="expression" dxfId="300" priority="12">
      <formula>IF($AD$2="ABRIL","VERDADERO")</formula>
    </cfRule>
  </conditionalFormatting>
  <conditionalFormatting sqref="F3:O3">
    <cfRule type="expression" dxfId="299" priority="11">
      <formula>IF($AD$2="MAYO","VERDADERO")</formula>
    </cfRule>
  </conditionalFormatting>
  <conditionalFormatting sqref="F3:Q3">
    <cfRule type="expression" dxfId="298" priority="10">
      <formula>IF($AD$2="JUNIO","VERDADERO")</formula>
    </cfRule>
  </conditionalFormatting>
  <conditionalFormatting sqref="F3:S3">
    <cfRule type="expression" dxfId="297" priority="9">
      <formula>IF($AD$2="JULIO","VERDADERO")</formula>
    </cfRule>
  </conditionalFormatting>
  <conditionalFormatting sqref="F3:U3">
    <cfRule type="expression" dxfId="296" priority="8">
      <formula>IF($AD$2="AGOSTO","VERDADERO")</formula>
    </cfRule>
  </conditionalFormatting>
  <conditionalFormatting sqref="F3:W3">
    <cfRule type="expression" dxfId="295" priority="7">
      <formula>IF($AD$2="SEPTIEMBRE","VERDADERO")</formula>
    </cfRule>
  </conditionalFormatting>
  <conditionalFormatting sqref="F3:Y3">
    <cfRule type="expression" dxfId="294" priority="6">
      <formula>IF($AD$2="OCTUBRE","VERDADERO")</formula>
    </cfRule>
  </conditionalFormatting>
  <conditionalFormatting sqref="F3:AA3">
    <cfRule type="expression" dxfId="293" priority="5">
      <formula>IF($AD$2="NOVIEMBRE","VERDADERO")</formula>
    </cfRule>
  </conditionalFormatting>
  <conditionalFormatting sqref="F3:AC3">
    <cfRule type="expression" dxfId="292" priority="4">
      <formula>IF($AD$2="DICIEMBRE","VERDADERO")</formula>
    </cfRule>
  </conditionalFormatting>
  <conditionalFormatting sqref="W91">
    <cfRule type="cellIs" dxfId="291" priority="2" operator="greaterThan">
      <formula>1</formula>
    </cfRule>
  </conditionalFormatting>
  <conditionalFormatting sqref="H76:J82 N74:P82 J74:J75">
    <cfRule type="cellIs" dxfId="290" priority="1" operator="greaterThan">
      <formula>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C78B4A0-C0CC-451D-A3AE-7FD218C0C952}">
          <x14:formula1>
            <xm:f>MAESTRO!$H$3:$H$14</xm:f>
          </x14:formula1>
          <xm:sqref>AD2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5AA3-14AE-47DF-97F4-9880AFA039F9}">
  <sheetPr codeName="Hoja3">
    <tabColor theme="3" tint="0.59999389629810485"/>
    <pageSetUpPr fitToPage="1"/>
  </sheetPr>
  <dimension ref="A1:BM94"/>
  <sheetViews>
    <sheetView topLeftCell="A3" workbookViewId="0">
      <selection activeCell="AC69" sqref="F69:AC69"/>
    </sheetView>
  </sheetViews>
  <sheetFormatPr baseColWidth="10" defaultColWidth="11.453125" defaultRowHeight="12.5" x14ac:dyDescent="0.25"/>
  <cols>
    <col min="1" max="1" width="6.7265625" style="2" customWidth="1"/>
    <col min="2" max="2" width="10.1796875" style="3" customWidth="1"/>
    <col min="3" max="3" width="21.81640625" style="2" customWidth="1"/>
    <col min="4" max="4" width="10.1796875" style="2" customWidth="1"/>
    <col min="5" max="5" width="22.1796875" style="2" customWidth="1"/>
    <col min="6" max="30" width="10.54296875" style="2" customWidth="1"/>
    <col min="31" max="31" width="9.1796875" style="2" customWidth="1"/>
    <col min="32" max="32" width="10.1796875" style="2" customWidth="1"/>
    <col min="33" max="33" width="8.81640625" style="2" customWidth="1"/>
    <col min="34" max="34" width="8.54296875" style="2" customWidth="1"/>
    <col min="35" max="35" width="10.54296875" style="2" customWidth="1"/>
    <col min="36" max="36" width="9.1796875" style="2" customWidth="1"/>
    <col min="37" max="37" width="10.1796875" style="2" customWidth="1"/>
    <col min="38" max="38" width="8.54296875" style="2" customWidth="1"/>
    <col min="39" max="39" width="6.1796875" style="2" customWidth="1"/>
    <col min="40" max="40" width="10.54296875" style="2" customWidth="1"/>
    <col min="41" max="41" width="9.1796875" style="2" customWidth="1"/>
    <col min="42" max="42" width="10.1796875" style="2" customWidth="1"/>
    <col min="43" max="43" width="9.81640625" style="2" customWidth="1"/>
    <col min="44" max="44" width="10.1796875" style="2" customWidth="1"/>
    <col min="45" max="45" width="8.1796875" style="2" customWidth="1"/>
    <col min="46" max="16384" width="11.453125" style="2"/>
  </cols>
  <sheetData>
    <row r="1" spans="1:65" hidden="1" x14ac:dyDescent="0.25">
      <c r="E1" s="2" t="s">
        <v>109</v>
      </c>
      <c r="F1" s="2" t="s">
        <v>0</v>
      </c>
      <c r="G1" s="2" t="s">
        <v>0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101</v>
      </c>
      <c r="W1" s="2" t="s">
        <v>101</v>
      </c>
      <c r="X1" s="2" t="s">
        <v>102</v>
      </c>
      <c r="Y1" s="2" t="s">
        <v>102</v>
      </c>
      <c r="Z1" s="2" t="s">
        <v>103</v>
      </c>
      <c r="AA1" s="2" t="s">
        <v>103</v>
      </c>
      <c r="AB1" s="2" t="s">
        <v>104</v>
      </c>
      <c r="AC1" s="2" t="s">
        <v>104</v>
      </c>
    </row>
    <row r="2" spans="1:65" hidden="1" x14ac:dyDescent="0.25">
      <c r="E2" s="2" t="s">
        <v>108</v>
      </c>
      <c r="F2" s="89" t="str">
        <f>$AD$4</f>
        <v>JUNIO</v>
      </c>
      <c r="G2" s="89" t="str">
        <f>$AD$4</f>
        <v>JUNIO</v>
      </c>
      <c r="H2" s="89" t="str">
        <f>IF($AD$4="ENERO",0,$AD$4)</f>
        <v>JUNIO</v>
      </c>
      <c r="I2" s="89" t="str">
        <f>IF($AD$4="ENERO",0,$AD$4)</f>
        <v>JUNIO</v>
      </c>
      <c r="J2" s="89" t="str">
        <f>IF(OR($AD$4="ENERO",$AD$4="FEBRERO"),0,$AD$4)</f>
        <v>JUNIO</v>
      </c>
      <c r="K2" s="89" t="str">
        <f>IF(OR($AD$4="ENERO",$AD$4="FEBRERO"),0,$AD$4)</f>
        <v>JUNIO</v>
      </c>
      <c r="L2" s="89" t="str">
        <f>IF(OR($AD$4="ENERO",$AD$4="FEBRERO",$AD$4="MARZO"),0,$AD$4)</f>
        <v>JUNIO</v>
      </c>
      <c r="M2" s="89" t="str">
        <f>IF(OR($AD$4="ENERO",$AD$4="FEBRERO",$AD$4="MARZO"),0,$AD$4)</f>
        <v>JUNIO</v>
      </c>
      <c r="N2" s="89" t="str">
        <f>IF(OR($AD$4="ENERO",$AD$4="FEBRERO",$AD$4="MARZO",$AD$4="ABRIL"),0,$AD$4)</f>
        <v>JUNIO</v>
      </c>
      <c r="O2" s="89" t="str">
        <f>IF(OR($AD$4="ENERO",$AD$4="FEBRERO",$AD$4="MARZO",$AD$4="ABRIL"),0,$AD$4)</f>
        <v>JUNIO</v>
      </c>
      <c r="P2" s="89" t="str">
        <f>IF(OR($AD$4="ENERO",$AD$4="FEBRERO",$AD$4="MARZO",$AD$4="ABRIL",$AD$4="MAYO"),0,$AD$4)</f>
        <v>JUNIO</v>
      </c>
      <c r="Q2" s="89" t="str">
        <f>IF(OR($AD$4="ENERO",$AD$4="FEBRERO",$AD$4="MARZO",$AD$4="ABRIL",$AD$4="MAYO"),0,$AD$4)</f>
        <v>JUNIO</v>
      </c>
      <c r="R2" s="89">
        <f>IF(OR($AD$4="ENERO",$AD$4="FEBRERO",$AD$4="MARZO",$AD$4="ABRIL",$AD$4="MAYO",$AD$4="JUNIO"),0,$AD$4)</f>
        <v>0</v>
      </c>
      <c r="S2" s="89">
        <f>IF(OR($AD$4="ENERO",$AD$4="FEBRERO",$AD$4="MARZO",$AD$4="ABRIL",$AD$4="MAYO",$AD$4="JUNIO"),0,$AD$4)</f>
        <v>0</v>
      </c>
      <c r="T2" s="89">
        <f>IF(OR($AD$4="ENERO",$AD$4="FEBRERO",$AD$4="MARZO",$AD$4="ABRIL",$AD$4="MAYO",$AD$4="JUNIO",$AD$4="JULIO"),0,$AD$4)</f>
        <v>0</v>
      </c>
      <c r="U2" s="89">
        <f>IF(OR($AD$4="ENERO",$AD$4="FEBRERO",$AD$4="MARZO",$AD$4="ABRIL",$AD$4="MAYO",$AD$4="JUNIO",$AD$4="JULIO"),0,$AD$4)</f>
        <v>0</v>
      </c>
      <c r="V2" s="89">
        <f>IF(OR($AD$4="ENERO",$AD$4="FEBRERO",$AD$4="MARZO",$AD$4="ABRIL",$AD$4="MAYO",$AD$4="JUNIO",$AD$4="JULIO",$AD$4="AGOSTO"),0,$AD$4)</f>
        <v>0</v>
      </c>
      <c r="W2" s="89">
        <f>IF(OR($AD$4="ENERO",$AD$4="FEBRERO",$AD$4="MARZO",$AD$4="ABRIL",$AD$4="MAYO",$AD$4="JUNIO",$AD$4="JULIO",$AD$4="AGOSTO"),0,$AD$4)</f>
        <v>0</v>
      </c>
      <c r="X2" s="89">
        <f>IF(OR($AD$4="ENERO",$AD$4="FEBRERO",$AD$4="MARZO",$AD$4="ABRIL",$AD$4="MAYO",$AD$4="JUNIO",$AD$4="JULIO",$AD$4="AGOSTO",$AD$4="SEPTIEMBRE"),0,$AD$4)</f>
        <v>0</v>
      </c>
      <c r="Y2" s="89">
        <f>IF(OR($AD$4="ENERO",$AD$4="FEBRERO",$AD$4="MARZO",$AD$4="ABRIL",$AD$4="MAYO",$AD$4="JUNIO",$AD$4="JULIO",$AD$4="AGOSTO",$AD$4="SEPTIEMBRE"),0,$AD$4)</f>
        <v>0</v>
      </c>
      <c r="Z2" s="89">
        <f>IF(OR($AD$4="ENERO",$AD$4="FEBRERO",$AD$4="MARZO",$AD$4="ABRIL",$AD$4="MAYO",$AD$4="JUNIO",$AD$4="JULIO",$AD$4="AGOSTO",$AD$4="SEPTIEMBRE",$AD$4="OCTUBRE"),0,$AD$4)</f>
        <v>0</v>
      </c>
      <c r="AA2" s="89">
        <f>IF(OR($AD$4="ENERO",$AD$4="FEBRERO",$AD$4="MARZO",$AD$4="ABRIL",$AD$4="MAYO",$AD$4="JUNIO",$AD$4="JULIO",$AD$4="AGOSTO",$AD$4="SEPTIEMBRE",$AD$4="OCTUBRE"),0,$AD$4)</f>
        <v>0</v>
      </c>
      <c r="AB2" s="89">
        <f>IF(OR($AD$4="ENERO",$AD$4="FEBRERO",$AD$4="MARZO",$AD$4="ABRIL",$AD$4="MAYO",$AD$4="JUNIO",$AD$4="JULIO",$AD$4="AGOSTO",$AD$4="SEPTIEMBRE",$AD$4="OCTUBRE",$AD$4="NOVIEMBRE"),0,$AD$4)</f>
        <v>0</v>
      </c>
      <c r="AC2" s="89">
        <f>IF(OR($AD$4="ENERO",$AD$4="FEBRERO",$AD$4="MARZO",$AD$4="ABRIL",$AD$4="MAYO",$AD$4="JUNIO",$AD$4="JULIO",$AD$4="AGOSTO",$AD$4="SEPTIEMBRE",$AD$4="OCTUBRE",$AD$4="NOVIEMBRE"),0,$AD$4)</f>
        <v>0</v>
      </c>
    </row>
    <row r="3" spans="1:65" s="16" customFormat="1" ht="18.5" thickBot="1" x14ac:dyDescent="0.3">
      <c r="A3" s="694" t="s">
        <v>257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4"/>
      <c r="S3" s="694"/>
      <c r="T3" s="694"/>
      <c r="U3" s="694"/>
      <c r="V3" s="694"/>
      <c r="W3" s="694"/>
      <c r="X3" s="694"/>
      <c r="Y3" s="694"/>
      <c r="Z3" s="694"/>
      <c r="AA3" s="694"/>
      <c r="AB3" s="694"/>
      <c r="AC3" s="694"/>
      <c r="AD3" s="694"/>
      <c r="AE3" s="694"/>
      <c r="AF3" s="694"/>
      <c r="AG3" s="694"/>
      <c r="AH3" s="694"/>
      <c r="AI3" s="694"/>
      <c r="AJ3" s="694"/>
      <c r="AK3" s="694"/>
      <c r="AL3" s="694"/>
      <c r="AM3" s="694"/>
      <c r="AN3" s="694"/>
      <c r="AO3" s="694"/>
      <c r="AP3" s="366"/>
      <c r="AQ3" s="366"/>
      <c r="AR3" s="366"/>
      <c r="AS3" s="4"/>
    </row>
    <row r="4" spans="1:65" s="119" customFormat="1" ht="13" thickBot="1" x14ac:dyDescent="0.3">
      <c r="B4" s="120"/>
      <c r="E4" s="121"/>
      <c r="F4" s="377" t="s">
        <v>107</v>
      </c>
      <c r="G4" s="378" t="s">
        <v>158</v>
      </c>
      <c r="P4" s="2"/>
      <c r="AD4" s="83" t="s">
        <v>5</v>
      </c>
      <c r="AE4" s="119" t="s">
        <v>0</v>
      </c>
      <c r="AS4" s="4"/>
    </row>
    <row r="5" spans="1:65" ht="15" customHeight="1" thickBot="1" x14ac:dyDescent="0.3">
      <c r="B5" s="695" t="s">
        <v>35</v>
      </c>
      <c r="C5" s="697" t="s">
        <v>36</v>
      </c>
      <c r="D5" s="699" t="s">
        <v>76</v>
      </c>
      <c r="E5" s="700"/>
      <c r="F5" s="709" t="s">
        <v>0</v>
      </c>
      <c r="G5" s="708"/>
      <c r="H5" s="707" t="s">
        <v>1</v>
      </c>
      <c r="I5" s="708"/>
      <c r="J5" s="707" t="s">
        <v>2</v>
      </c>
      <c r="K5" s="708"/>
      <c r="L5" s="707" t="s">
        <v>3</v>
      </c>
      <c r="M5" s="708"/>
      <c r="N5" s="709" t="s">
        <v>4</v>
      </c>
      <c r="O5" s="708"/>
      <c r="P5" s="709" t="s">
        <v>5</v>
      </c>
      <c r="Q5" s="708"/>
      <c r="R5" s="707" t="s">
        <v>6</v>
      </c>
      <c r="S5" s="708"/>
      <c r="T5" s="707" t="s">
        <v>7</v>
      </c>
      <c r="U5" s="708"/>
      <c r="V5" s="709" t="s">
        <v>101</v>
      </c>
      <c r="W5" s="708"/>
      <c r="X5" s="709" t="s">
        <v>102</v>
      </c>
      <c r="Y5" s="708"/>
      <c r="Z5" s="709" t="s">
        <v>103</v>
      </c>
      <c r="AA5" s="708"/>
      <c r="AB5" s="709" t="s">
        <v>104</v>
      </c>
      <c r="AC5" s="708"/>
      <c r="AD5" s="704" t="s">
        <v>33</v>
      </c>
      <c r="AE5" s="705"/>
      <c r="AF5" s="705"/>
      <c r="AG5" s="705"/>
      <c r="AH5" s="706"/>
      <c r="AI5" s="704" t="s">
        <v>34</v>
      </c>
      <c r="AJ5" s="705"/>
      <c r="AK5" s="705"/>
      <c r="AL5" s="705"/>
      <c r="AM5" s="706"/>
      <c r="AN5" s="704" t="s">
        <v>73</v>
      </c>
      <c r="AO5" s="705"/>
      <c r="AP5" s="705"/>
      <c r="AQ5" s="705"/>
      <c r="AR5" s="706"/>
      <c r="AS5" s="704" t="s">
        <v>171</v>
      </c>
      <c r="AT5" s="705"/>
      <c r="AU5" s="705"/>
      <c r="AV5" s="705"/>
      <c r="AW5" s="706"/>
      <c r="BA5" s="704" t="s">
        <v>246</v>
      </c>
      <c r="BB5" s="705"/>
      <c r="BC5" s="705"/>
      <c r="BD5" s="705"/>
      <c r="BE5" s="706"/>
    </row>
    <row r="6" spans="1:65" ht="15" customHeight="1" thickBot="1" x14ac:dyDescent="0.3">
      <c r="B6" s="696"/>
      <c r="C6" s="698"/>
      <c r="D6" s="701"/>
      <c r="E6" s="702"/>
      <c r="F6" s="169" t="s">
        <v>159</v>
      </c>
      <c r="G6" s="198" t="s">
        <v>160</v>
      </c>
      <c r="H6" s="93" t="s">
        <v>159</v>
      </c>
      <c r="I6" s="171" t="s">
        <v>160</v>
      </c>
      <c r="J6" s="93" t="s">
        <v>159</v>
      </c>
      <c r="K6" s="171" t="s">
        <v>160</v>
      </c>
      <c r="L6" s="93" t="s">
        <v>159</v>
      </c>
      <c r="M6" s="171" t="s">
        <v>160</v>
      </c>
      <c r="N6" s="93" t="s">
        <v>159</v>
      </c>
      <c r="O6" s="171" t="s">
        <v>160</v>
      </c>
      <c r="P6" s="93" t="s">
        <v>159</v>
      </c>
      <c r="Q6" s="171" t="s">
        <v>160</v>
      </c>
      <c r="R6" s="93" t="s">
        <v>159</v>
      </c>
      <c r="S6" s="171" t="s">
        <v>160</v>
      </c>
      <c r="T6" s="93" t="s">
        <v>159</v>
      </c>
      <c r="U6" s="171" t="s">
        <v>160</v>
      </c>
      <c r="V6" s="93" t="s">
        <v>159</v>
      </c>
      <c r="W6" s="171" t="s">
        <v>160</v>
      </c>
      <c r="X6" s="93" t="s">
        <v>159</v>
      </c>
      <c r="Y6" s="171" t="s">
        <v>160</v>
      </c>
      <c r="Z6" s="93" t="s">
        <v>159</v>
      </c>
      <c r="AA6" s="171" t="s">
        <v>160</v>
      </c>
      <c r="AB6" s="93" t="s">
        <v>159</v>
      </c>
      <c r="AC6" s="171" t="s">
        <v>160</v>
      </c>
      <c r="AD6" s="215" t="s">
        <v>111</v>
      </c>
      <c r="AE6" s="92" t="s">
        <v>159</v>
      </c>
      <c r="AF6" s="201" t="s">
        <v>112</v>
      </c>
      <c r="AG6" s="90" t="s">
        <v>160</v>
      </c>
      <c r="AH6" s="91" t="s">
        <v>161</v>
      </c>
      <c r="AI6" s="208" t="s">
        <v>111</v>
      </c>
      <c r="AJ6" s="92" t="s">
        <v>159</v>
      </c>
      <c r="AK6" s="201" t="s">
        <v>112</v>
      </c>
      <c r="AL6" s="90" t="s">
        <v>160</v>
      </c>
      <c r="AM6" s="91" t="s">
        <v>161</v>
      </c>
      <c r="AN6" s="215" t="s">
        <v>111</v>
      </c>
      <c r="AO6" s="92" t="s">
        <v>159</v>
      </c>
      <c r="AP6" s="201" t="s">
        <v>112</v>
      </c>
      <c r="AQ6" s="90" t="s">
        <v>160</v>
      </c>
      <c r="AR6" s="91" t="s">
        <v>161</v>
      </c>
      <c r="AS6" s="215" t="s">
        <v>111</v>
      </c>
      <c r="AT6" s="92" t="s">
        <v>159</v>
      </c>
      <c r="AU6" s="201" t="s">
        <v>112</v>
      </c>
      <c r="AV6" s="90" t="s">
        <v>160</v>
      </c>
      <c r="AW6" s="91" t="s">
        <v>161</v>
      </c>
      <c r="BA6" s="215" t="s">
        <v>111</v>
      </c>
      <c r="BB6" s="92" t="s">
        <v>159</v>
      </c>
      <c r="BC6" s="201" t="s">
        <v>112</v>
      </c>
      <c r="BD6" s="90" t="s">
        <v>160</v>
      </c>
      <c r="BE6" s="91" t="s">
        <v>161</v>
      </c>
    </row>
    <row r="7" spans="1:65" s="4" customFormat="1" ht="15" customHeight="1" x14ac:dyDescent="0.3">
      <c r="A7" s="4">
        <f>_xlfn.XLOOKUP(B7,'UC BMW 2026'!$B$5:$B$65,'UC BMW 2026'!$A$5:$A$65)</f>
        <v>1</v>
      </c>
      <c r="B7" s="8">
        <v>100323</v>
      </c>
      <c r="C7" s="369" t="s">
        <v>165</v>
      </c>
      <c r="D7" s="8">
        <v>8337</v>
      </c>
      <c r="E7" s="309" t="s">
        <v>274</v>
      </c>
      <c r="F7" s="199">
        <f>IFERROR(VLOOKUP(B7,'[2]COMPRAS UC'!$B$11:$O$66,3,0),0)</f>
        <v>2</v>
      </c>
      <c r="G7" s="23">
        <f>IFERROR(VLOOKUP(B7,'[2]COMPRAS YUC'!$B$10:$P$63,3,0),0)</f>
        <v>11</v>
      </c>
      <c r="H7" s="87">
        <f>IFERROR(VLOOKUP(B7,'[2]COMPRAS UC'!$B$11:$O$66,4,0),0)</f>
        <v>6</v>
      </c>
      <c r="I7" s="23">
        <f>IFERROR(VLOOKUP(B7,'[2]COMPRAS YUC'!$B$10:$P$63,4,0),0)</f>
        <v>9</v>
      </c>
      <c r="J7" s="87">
        <f>IFERROR(VLOOKUP(B7,'[2]COMPRAS UC'!$B$11:$O$66,5,0),0)</f>
        <v>2</v>
      </c>
      <c r="K7" s="23">
        <f>IFERROR(VLOOKUP(B7,'[2]COMPRAS YUC'!$B$10:$P$63,5,0),0)</f>
        <v>6</v>
      </c>
      <c r="L7" s="87">
        <f>IFERROR(VLOOKUP(B7,'[2]COMPRAS UC'!$B$11:$O$66,6,0),0)</f>
        <v>3</v>
      </c>
      <c r="M7" s="23">
        <f>IFERROR(VLOOKUP(B7,'[2]COMPRAS YUC'!$B$10:$P$63,6,0),0)</f>
        <v>12</v>
      </c>
      <c r="N7" s="87">
        <f>IFERROR(VLOOKUP(B7,'[2]COMPRAS UC'!$B$11:$O$66,7,0),0)</f>
        <v>5</v>
      </c>
      <c r="O7" s="23">
        <f>IFERROR(VLOOKUP(B7,'[2]COMPRAS YUC'!$B$10:$P$63,7,0),0)</f>
        <v>12</v>
      </c>
      <c r="P7" s="87">
        <f>IFERROR(VLOOKUP(B7,'[2]COMPRAS UC'!$B$11:$O$66,8,0),0)</f>
        <v>7</v>
      </c>
      <c r="Q7" s="23">
        <f>IFERROR(VLOOKUP(B7,'[2]COMPRAS YUC'!$B$10:$P$63,8,0),0)</f>
        <v>6</v>
      </c>
      <c r="R7" s="87">
        <f>IFERROR(VLOOKUP(B7,'[2]COMPRAS UC'!$B$11:$O$66,9,0),0)</f>
        <v>0</v>
      </c>
      <c r="S7" s="23">
        <f>IFERROR(VLOOKUP(B7,'[2]COMPRAS YUC'!$B$10:$P$63,9,0),0)</f>
        <v>0</v>
      </c>
      <c r="T7" s="87">
        <f>IFERROR(VLOOKUP(B7,'[2]COMPRAS UC'!$B$11:$O$66,10,0),0)</f>
        <v>0</v>
      </c>
      <c r="U7" s="23">
        <f>IFERROR(VLOOKUP(B7,'[2]COMPRAS YUC'!$B$10:$P$63,10,0),0)</f>
        <v>0</v>
      </c>
      <c r="V7" s="87">
        <f>IFERROR(VLOOKUP(B7,'[2]COMPRAS UC'!$B$11:$O$66,11,0),0)</f>
        <v>0</v>
      </c>
      <c r="W7" s="23">
        <f>IFERROR(VLOOKUP(B7,'[2]COMPRAS YUC'!$B$10:$P$63,11,0),0)</f>
        <v>0</v>
      </c>
      <c r="X7" s="87">
        <f>IFERROR(VLOOKUP(B7,'[2]COMPRAS UC'!$B$11:$O$66,12,0),0)</f>
        <v>0</v>
      </c>
      <c r="Y7" s="23">
        <f>IFERROR(VLOOKUP(B7,'[2]COMPRAS YUC'!$B$10:$P$63,12,0),0)</f>
        <v>0</v>
      </c>
      <c r="Z7" s="87">
        <f>IFERROR(VLOOKUP(B7,'[2]COMPRAS UC'!$B$11:$O$66,13,0),0)</f>
        <v>0</v>
      </c>
      <c r="AA7" s="23">
        <f>IFERROR(VLOOKUP(B7,'[2]COMPRAS YUC'!$B$10:$P$63,13,0),0)</f>
        <v>0</v>
      </c>
      <c r="AB7" s="87">
        <f>IFERROR(VLOOKUP(B7,'[2]COMPRAS UC'!$B$11:$O$66,14,0),0)</f>
        <v>0</v>
      </c>
      <c r="AC7" s="23">
        <f>IFERROR(VLOOKUP(B7,'[2]COMPRAS YUC'!$B$10:$P$63,14,0),0)</f>
        <v>0</v>
      </c>
      <c r="AD7" s="210">
        <f>SUMIFS($F7:$AC7,$F$6:$AC$6,AD$6,$F$1:$AC$1,$AD$4)</f>
        <v>0</v>
      </c>
      <c r="AE7" s="108">
        <f t="shared" ref="AE7:AE23" si="0">IFERROR(IF($AD$4="ENERO",F7,IF($AD$4="FEBRERO",F7+H7,IF($AD$4="MARZO",F7+H7+J7,IF($AD$4="ABRIL",F7+H7+J7+L7,IF($AD$4="MAYO",F7+H7+J7+L7+N7,IF($AD$4="JUNIO",F7+H7+J7+L7+N7+P7,IF($AD$4="JULIO",F7+H7+J7+L7+N7+P7+R7,IF($AD$4="AGOSTO",F7+H7+J7+L7+N7+P7+R7+T7,IF($AD$4="SEPTIEMBRE",F7+H7+J7+L7+N7+P7+R7+T7+V7,IF($AD$4="OCTUBRE",F7+H7+J7+L7+N7+P7+R7+T7+V7+X7,IF($AD$4="NOVIEMBRE",F7+H7+J7+L7+N7+P7+R7+T7+V7+X7+Z7,IF($AD$4="DICIEMBRE",F7+H7+J7+L7+N7+P7+R7+T7+V7+X7+Z7+AB7,"")))))))))))),0)</f>
        <v>25</v>
      </c>
      <c r="AF7" s="203">
        <f>SUMIFS($F7:$AC7,$F$6:$AC$6,AF$6,$F$1:$AC$1,$AD$4)</f>
        <v>0</v>
      </c>
      <c r="AG7" s="108">
        <f t="shared" ref="AG7:AG47" si="1">IFERROR(IF($AD$4="ENERO",G7,IF($AD$4="FEBRERO",G7+I7,IF($AD$4="MARZO",G7+I7+K7,IF($AD$4="ABRIL",G7+I7+K7+M7,IF($AD$4="MAYO",G7+I7+K7+M7+O7,IF($AD$4="JUNIO",G7+I7+K7+M7+O7+Q7,IF($AD$4="JULIO",G7+I7+K7+M7+O7+Q7+S7,IF($AD$4="AGOSTO",G7+I7+K7+M7+O7+Q7+S7+U7,IF($AD$4="SEPTIEMBRE",G7+I7+K7+M7+O7+Q7+S7+U7+W7,IF($AD$4="OCTUBRE",G7+I7+K7+M7+O7+Q7+S7+U7+W7+Y7,IF($AD$4="NOVIEMBRE",G7+I7+K7+M7+O7+Q7+S7+U7+W7+Y7+AA7,IF($AD$4="DICIEMBRE",G7+I7+K7+M7+O7+Q7+S7+U7+W7+Y7+AA7+AC7,"")))))))))))),0)</f>
        <v>56</v>
      </c>
      <c r="AH7" s="228">
        <f>IFERROR(AE7+AG7,0)</f>
        <v>81</v>
      </c>
      <c r="AI7" s="210">
        <f>SUMIFS($F7:$AC7,$F$6:$AC$6,AI$6,$F$2:$AC$2,$AD$4)</f>
        <v>0</v>
      </c>
      <c r="AJ7" s="108">
        <f t="shared" ref="AJ7:AJ23" si="2">IFERROR(SUM(F7,H7,J7,L7,N7,P7,R7,T7,V7,X7,Z7,AB7),0)</f>
        <v>25</v>
      </c>
      <c r="AK7" s="203">
        <f>SUMIFS($F7:$AC7,$F$6:$AC$6,AK$6,$F$2:$AC$2,$AD$4)</f>
        <v>0</v>
      </c>
      <c r="AL7" s="108">
        <f t="shared" ref="AL7:AL23" si="3">IFERROR(SUM(G7,I7,K7,M7,O7,Q7,S7,U7,W7,Y7,AA7,AC7),0)</f>
        <v>56</v>
      </c>
      <c r="AM7" s="228">
        <f>AJ7+AL7</f>
        <v>81</v>
      </c>
      <c r="AN7" s="210"/>
      <c r="AO7" s="108">
        <f>IF($AN$5="Q1",F7+H7+J7,
IF($AN$5="Q2",L7+N7++P7,
IF($AN$5="Q3",R7+T7+V7,
IF($AN$5="Q4",X7+Z7+AB7,0))))</f>
        <v>0</v>
      </c>
      <c r="AP7" s="203"/>
      <c r="AQ7" s="110">
        <f>IF($AN$5="Q1",G7+I7+K7,
IF($AN$5="Q2",M7+O7++Q7,
IF($AN$5="Q3",S7+U7+W7,
IF($AN$5="Q4",Y7+AA7+AC7,0))))</f>
        <v>0</v>
      </c>
      <c r="AR7" s="228">
        <f>AO7+AQ7</f>
        <v>0</v>
      </c>
      <c r="AS7" s="210"/>
      <c r="AT7" s="108">
        <f t="shared" ref="AT7:AT23" si="4">IFERROR(IF($AS$5="S 1",F7+H7+J7+L7+N7++P7,
IF($AS$5="S 2",R7+T7+V7+X7+Z7+AB7,0)),0)</f>
        <v>25</v>
      </c>
      <c r="AU7" s="203"/>
      <c r="AV7" s="108">
        <f t="shared" ref="AV7:AV23" si="5">IFERROR(IF($AS$5="S 1",G7+I7+K7+M7+O7++Q7,
IF($AS$5="S 2",S7+U7+W7+Y7+AA7+AC7,0)),0)</f>
        <v>56</v>
      </c>
      <c r="AW7" s="228">
        <f>AT7+AV7</f>
        <v>81</v>
      </c>
      <c r="AX7" s="4">
        <v>1</v>
      </c>
      <c r="BM7" s="15">
        <f>SUM(L7:Q7)</f>
        <v>45</v>
      </c>
    </row>
    <row r="8" spans="1:65" s="4" customFormat="1" ht="15" customHeight="1" x14ac:dyDescent="0.3">
      <c r="A8" s="4">
        <f>_xlfn.XLOOKUP(B8,'UC BMW 2026'!$B$5:$B$65,'UC BMW 2026'!$A$5:$A$65)</f>
        <v>1</v>
      </c>
      <c r="B8" s="372">
        <v>100873</v>
      </c>
      <c r="C8" s="369" t="s">
        <v>166</v>
      </c>
      <c r="D8" s="8">
        <v>51827</v>
      </c>
      <c r="E8" s="309" t="s">
        <v>156</v>
      </c>
      <c r="F8" s="199">
        <f>IFERROR(VLOOKUP(B8,'[2]COMPRAS UC'!$B$11:$O$66,3,0),0)</f>
        <v>16</v>
      </c>
      <c r="G8" s="23">
        <f>IFERROR(VLOOKUP(B8,'[2]COMPRAS YUC'!$B$10:$P$63,3,0),0)</f>
        <v>17</v>
      </c>
      <c r="H8" s="87">
        <f>IFERROR(VLOOKUP(B8,'[2]COMPRAS UC'!$B$11:$O$66,4,0),0)</f>
        <v>32</v>
      </c>
      <c r="I8" s="23">
        <f>IFERROR(VLOOKUP(B8,'[2]COMPRAS YUC'!$B$10:$P$63,4,0),0)</f>
        <v>29</v>
      </c>
      <c r="J8" s="87">
        <f>IFERROR(VLOOKUP(B8,'[2]COMPRAS UC'!$B$11:$O$66,5,0),0)</f>
        <v>40</v>
      </c>
      <c r="K8" s="23">
        <f>IFERROR(VLOOKUP(B8,'[2]COMPRAS YUC'!$B$10:$P$63,5,0),0)</f>
        <v>32</v>
      </c>
      <c r="L8" s="87">
        <f>IFERROR(VLOOKUP(B8,'[2]COMPRAS UC'!$B$11:$O$66,6,0),0)</f>
        <v>40</v>
      </c>
      <c r="M8" s="23">
        <f>IFERROR(VLOOKUP(B8,'[2]COMPRAS YUC'!$B$10:$P$63,6,0),0)</f>
        <v>17</v>
      </c>
      <c r="N8" s="87">
        <f>IFERROR(VLOOKUP(B8,'[2]COMPRAS UC'!$B$11:$O$66,7,0),0)</f>
        <v>37</v>
      </c>
      <c r="O8" s="23">
        <f>IFERROR(VLOOKUP(B8,'[2]COMPRAS YUC'!$B$10:$P$63,7,0),0)</f>
        <v>24</v>
      </c>
      <c r="P8" s="87">
        <f>IFERROR(VLOOKUP(B8,'[2]COMPRAS UC'!$B$11:$O$66,8,0),0)</f>
        <v>42</v>
      </c>
      <c r="Q8" s="23">
        <f>IFERROR(VLOOKUP(B8,'[2]COMPRAS YUC'!$B$10:$P$63,8,0),0)</f>
        <v>4</v>
      </c>
      <c r="R8" s="87">
        <f>IFERROR(VLOOKUP(B8,'[2]COMPRAS UC'!$B$11:$O$66,9,0),0)</f>
        <v>0</v>
      </c>
      <c r="S8" s="23">
        <f>IFERROR(VLOOKUP(B8,'[2]COMPRAS YUC'!$B$10:$P$63,9,0),0)</f>
        <v>0</v>
      </c>
      <c r="T8" s="87">
        <f>IFERROR(VLOOKUP(B8,'[2]COMPRAS UC'!$B$11:$O$66,10,0),0)</f>
        <v>0</v>
      </c>
      <c r="U8" s="23">
        <f>IFERROR(VLOOKUP(B8,'[2]COMPRAS YUC'!$B$10:$P$63,10,0),0)</f>
        <v>0</v>
      </c>
      <c r="V8" s="87">
        <f>IFERROR(VLOOKUP(B8,'[2]COMPRAS UC'!$B$11:$O$66,11,0),0)</f>
        <v>0</v>
      </c>
      <c r="W8" s="23">
        <f>IFERROR(VLOOKUP(B8,'[2]COMPRAS YUC'!$B$10:$P$63,11,0),0)</f>
        <v>0</v>
      </c>
      <c r="X8" s="87">
        <f>IFERROR(VLOOKUP(B8,'[2]COMPRAS UC'!$B$11:$O$66,12,0),0)</f>
        <v>0</v>
      </c>
      <c r="Y8" s="23">
        <f>IFERROR(VLOOKUP(B8,'[2]COMPRAS YUC'!$B$10:$P$63,12,0),0)</f>
        <v>0</v>
      </c>
      <c r="Z8" s="87">
        <f>IFERROR(VLOOKUP(B8,'[2]COMPRAS UC'!$B$11:$O$66,13,0),0)</f>
        <v>0</v>
      </c>
      <c r="AA8" s="23">
        <f>IFERROR(VLOOKUP(B8,'[2]COMPRAS YUC'!$B$10:$P$63,13,0),0)</f>
        <v>0</v>
      </c>
      <c r="AB8" s="87">
        <f>IFERROR(VLOOKUP(B8,'[2]COMPRAS UC'!$B$11:$O$66,14,0),0)</f>
        <v>0</v>
      </c>
      <c r="AC8" s="23">
        <f>IFERROR(VLOOKUP(B8,'[2]COMPRAS YUC'!$B$10:$P$63,14,0),0)</f>
        <v>0</v>
      </c>
      <c r="AD8" s="210"/>
      <c r="AE8" s="108">
        <f t="shared" si="0"/>
        <v>207</v>
      </c>
      <c r="AF8" s="203"/>
      <c r="AG8" s="108">
        <f t="shared" si="1"/>
        <v>123</v>
      </c>
      <c r="AH8" s="230">
        <f>IFERROR(AE8+AG8,0)</f>
        <v>330</v>
      </c>
      <c r="AI8" s="212"/>
      <c r="AJ8" s="108">
        <f t="shared" si="2"/>
        <v>207</v>
      </c>
      <c r="AK8" s="205"/>
      <c r="AL8" s="108">
        <f t="shared" si="3"/>
        <v>123</v>
      </c>
      <c r="AM8" s="230">
        <f>AJ8+AL8</f>
        <v>330</v>
      </c>
      <c r="AN8" s="212"/>
      <c r="AO8" s="184">
        <f>IF($AN$5="Q1",F8+H8+J8,
IF($AN$5="Q2",L8+N8++P8,
IF($AN$5="Q3",R8+T8+V8,
IF($AN$5="Q4",X8+Z8+AB8,0))))</f>
        <v>0</v>
      </c>
      <c r="AP8" s="205"/>
      <c r="AQ8" s="185">
        <f>IF($AN$5="Q1",G8+I8+K8,
IF($AN$5="Q2",M8+O8++Q8,
IF($AN$5="Q3",S8+U8+W8,
IF($AN$5="Q4",Y8+AA8+AC8,0))))</f>
        <v>0</v>
      </c>
      <c r="AR8" s="230">
        <f>AO8+AQ8</f>
        <v>0</v>
      </c>
      <c r="AS8" s="212"/>
      <c r="AT8" s="108">
        <f t="shared" si="4"/>
        <v>207</v>
      </c>
      <c r="AU8" s="205"/>
      <c r="AV8" s="108">
        <f t="shared" si="5"/>
        <v>123</v>
      </c>
      <c r="AW8" s="230">
        <f>AT8+AV8</f>
        <v>330</v>
      </c>
      <c r="AX8" s="4">
        <v>1</v>
      </c>
      <c r="BM8" s="15">
        <f>SUM(L8:Q8)</f>
        <v>164</v>
      </c>
    </row>
    <row r="9" spans="1:65" s="4" customFormat="1" ht="15" customHeight="1" x14ac:dyDescent="0.3">
      <c r="A9" s="4">
        <f>_xlfn.XLOOKUP(B9,'UC BMW 2026'!$B$5:$B$65,'UC BMW 2026'!$A$5:$A$65)</f>
        <v>1</v>
      </c>
      <c r="B9" s="8">
        <v>100389</v>
      </c>
      <c r="C9" s="369" t="s">
        <v>40</v>
      </c>
      <c r="D9" s="8">
        <v>20822</v>
      </c>
      <c r="E9" s="309" t="s">
        <v>275</v>
      </c>
      <c r="F9" s="199">
        <f>IFERROR(VLOOKUP(B9,'[2]COMPRAS UC'!$B$11:$O$66,3,0),0)</f>
        <v>0</v>
      </c>
      <c r="G9" s="23">
        <f>IFERROR(VLOOKUP(B9,'[2]COMPRAS YUC'!$B$10:$P$63,3,0),0)</f>
        <v>12</v>
      </c>
      <c r="H9" s="87">
        <f>IFERROR(VLOOKUP(B9,'[2]COMPRAS UC'!$B$11:$O$66,4,0),0)</f>
        <v>1</v>
      </c>
      <c r="I9" s="23">
        <f>IFERROR(VLOOKUP(B9,'[2]COMPRAS YUC'!$B$10:$P$63,4,0),0)</f>
        <v>10</v>
      </c>
      <c r="J9" s="87">
        <f>IFERROR(VLOOKUP(B9,'[2]COMPRAS UC'!$B$11:$O$66,5,0),0)</f>
        <v>1</v>
      </c>
      <c r="K9" s="23">
        <f>IFERROR(VLOOKUP(B9,'[2]COMPRAS YUC'!$B$10:$P$63,5,0),0)</f>
        <v>11</v>
      </c>
      <c r="L9" s="87">
        <f>IFERROR(VLOOKUP(B9,'[2]COMPRAS UC'!$B$11:$O$66,6,0),0)</f>
        <v>1</v>
      </c>
      <c r="M9" s="23">
        <f>IFERROR(VLOOKUP(B9,'[2]COMPRAS YUC'!$B$10:$P$63,6,0),0)</f>
        <v>6</v>
      </c>
      <c r="N9" s="87">
        <f>IFERROR(VLOOKUP(B9,'[2]COMPRAS UC'!$B$11:$O$66,7,0),0)</f>
        <v>0</v>
      </c>
      <c r="O9" s="23">
        <f>IFERROR(VLOOKUP(B9,'[2]COMPRAS YUC'!$B$10:$P$63,7,0),0)</f>
        <v>6</v>
      </c>
      <c r="P9" s="87">
        <f>IFERROR(VLOOKUP(B9,'[2]COMPRAS UC'!$B$11:$O$66,8,0),0)</f>
        <v>2</v>
      </c>
      <c r="Q9" s="23">
        <f>IFERROR(VLOOKUP(B9,'[2]COMPRAS YUC'!$B$10:$P$63,8,0),0)</f>
        <v>4</v>
      </c>
      <c r="R9" s="87">
        <f>IFERROR(VLOOKUP(B9,'[2]COMPRAS UC'!$B$11:$O$66,9,0),0)</f>
        <v>0</v>
      </c>
      <c r="S9" s="23">
        <f>IFERROR(VLOOKUP(B9,'[2]COMPRAS YUC'!$B$10:$P$63,9,0),0)</f>
        <v>0</v>
      </c>
      <c r="T9" s="87">
        <f>IFERROR(VLOOKUP(B9,'[2]COMPRAS UC'!$B$11:$O$66,10,0),0)</f>
        <v>0</v>
      </c>
      <c r="U9" s="23">
        <f>IFERROR(VLOOKUP(B9,'[2]COMPRAS YUC'!$B$10:$P$63,10,0),0)</f>
        <v>0</v>
      </c>
      <c r="V9" s="87">
        <f>IFERROR(VLOOKUP(B9,'[2]COMPRAS UC'!$B$11:$O$66,11,0),0)</f>
        <v>0</v>
      </c>
      <c r="W9" s="23">
        <f>IFERROR(VLOOKUP(B9,'[2]COMPRAS YUC'!$B$10:$P$63,11,0),0)</f>
        <v>0</v>
      </c>
      <c r="X9" s="87">
        <f>IFERROR(VLOOKUP(B9,'[2]COMPRAS UC'!$B$11:$O$66,12,0),0)</f>
        <v>0</v>
      </c>
      <c r="Y9" s="23">
        <f>IFERROR(VLOOKUP(B9,'[2]COMPRAS YUC'!$B$10:$P$63,12,0),0)</f>
        <v>0</v>
      </c>
      <c r="Z9" s="87">
        <f>IFERROR(VLOOKUP(B9,'[2]COMPRAS UC'!$B$11:$O$66,13,0),0)</f>
        <v>0</v>
      </c>
      <c r="AA9" s="23">
        <f>IFERROR(VLOOKUP(B9,'[2]COMPRAS YUC'!$B$10:$P$63,13,0),0)</f>
        <v>0</v>
      </c>
      <c r="AB9" s="87">
        <f>IFERROR(VLOOKUP(B9,'[2]COMPRAS UC'!$B$11:$O$66,14,0),0)</f>
        <v>0</v>
      </c>
      <c r="AC9" s="23">
        <f>IFERROR(VLOOKUP(B9,'[2]COMPRAS YUC'!$B$10:$P$63,14,0),0)</f>
        <v>0</v>
      </c>
      <c r="AD9" s="211">
        <f>SUMIFS($F9:$AC9,$F$6:$AC$6,AD$6,$F$1:$AC$1,$AD$4)</f>
        <v>0</v>
      </c>
      <c r="AE9" s="111">
        <f t="shared" si="0"/>
        <v>5</v>
      </c>
      <c r="AF9" s="204">
        <f>SUMIFS($F9:$AC9,$F$6:$AC$6,AF$6,$F$1:$AC$1,$AD$4)</f>
        <v>0</v>
      </c>
      <c r="AG9" s="111">
        <f t="shared" si="1"/>
        <v>49</v>
      </c>
      <c r="AH9" s="229">
        <f>IFERROR(AE9+AG9,0)</f>
        <v>54</v>
      </c>
      <c r="AI9" s="211">
        <f>SUMIFS($F9:$AC9,$F$6:$AC$6,AI$6,$F$2:$AC$2,$AD$4)</f>
        <v>0</v>
      </c>
      <c r="AJ9" s="111">
        <f t="shared" si="2"/>
        <v>5</v>
      </c>
      <c r="AK9" s="204">
        <f>SUMIFS($F9:$AC9,$F$6:$AC$6,AK$6,$F$2:$AC$2,$AD$4)</f>
        <v>0</v>
      </c>
      <c r="AL9" s="111">
        <f t="shared" si="3"/>
        <v>49</v>
      </c>
      <c r="AM9" s="229">
        <f>AJ9+AL9</f>
        <v>54</v>
      </c>
      <c r="AN9" s="211"/>
      <c r="AO9" s="111">
        <f>IF($AN$5="Q1",F9+H9+J9,
IF($AN$5="Q2",L9+N9++P9,
IF($AN$5="Q3",R9+T9+V9,
IF($AN$5="Q4",X9+Z9+AB9,0))))</f>
        <v>0</v>
      </c>
      <c r="AP9" s="204"/>
      <c r="AQ9" s="113">
        <f>IF($AN$5="Q1",G9+I9+K9,
IF($AN$5="Q2",M9+O9++Q9,
IF($AN$5="Q3",S9+U9+W9,
IF($AN$5="Q4",Y9+AA9+AC9,0))))</f>
        <v>0</v>
      </c>
      <c r="AR9" s="229">
        <f>AO9+AQ9</f>
        <v>0</v>
      </c>
      <c r="AS9" s="211"/>
      <c r="AT9" s="111">
        <f t="shared" si="4"/>
        <v>5</v>
      </c>
      <c r="AU9" s="204"/>
      <c r="AV9" s="111">
        <f t="shared" si="5"/>
        <v>49</v>
      </c>
      <c r="AW9" s="229">
        <f>AT9+AV9</f>
        <v>54</v>
      </c>
      <c r="AX9" s="4">
        <v>1</v>
      </c>
      <c r="BM9" s="15">
        <f>SUM(L9:Q9)</f>
        <v>19</v>
      </c>
    </row>
    <row r="10" spans="1:65" s="4" customFormat="1" ht="15" customHeight="1" thickBot="1" x14ac:dyDescent="0.35">
      <c r="A10" s="4">
        <f>_xlfn.XLOOKUP(B10,'UC BMW 2026'!$B$5:$B$65,'UC BMW 2026'!$A$5:$A$65)</f>
        <v>1</v>
      </c>
      <c r="B10" s="8">
        <v>100738</v>
      </c>
      <c r="C10" s="369" t="s">
        <v>42</v>
      </c>
      <c r="D10" s="8">
        <v>40230</v>
      </c>
      <c r="E10" s="309" t="s">
        <v>89</v>
      </c>
      <c r="F10" s="199">
        <f>IFERROR(VLOOKUP(B10,'[2]COMPRAS UC'!$B$11:$O$66,3,0),0)</f>
        <v>0</v>
      </c>
      <c r="G10" s="23">
        <f>IFERROR(VLOOKUP(B10,'[2]COMPRAS YUC'!$B$10:$P$63,3,0),0)</f>
        <v>10</v>
      </c>
      <c r="H10" s="87">
        <f>IFERROR(VLOOKUP(B10,'[2]COMPRAS UC'!$B$11:$O$66,4,0),0)</f>
        <v>0</v>
      </c>
      <c r="I10" s="23">
        <f>IFERROR(VLOOKUP(B10,'[2]COMPRAS YUC'!$B$10:$P$63,4,0),0)</f>
        <v>6</v>
      </c>
      <c r="J10" s="87">
        <f>IFERROR(VLOOKUP(B10,'[2]COMPRAS UC'!$B$11:$O$66,5,0),0)</f>
        <v>0</v>
      </c>
      <c r="K10" s="23">
        <f>IFERROR(VLOOKUP(B10,'[2]COMPRAS YUC'!$B$10:$P$63,5,0),0)</f>
        <v>1</v>
      </c>
      <c r="L10" s="87">
        <f>IFERROR(VLOOKUP(B10,'[2]COMPRAS UC'!$B$11:$O$66,6,0),0)</f>
        <v>0</v>
      </c>
      <c r="M10" s="23">
        <f>IFERROR(VLOOKUP(B10,'[2]COMPRAS YUC'!$B$10:$P$63,6,0),0)</f>
        <v>0</v>
      </c>
      <c r="N10" s="87">
        <f>IFERROR(VLOOKUP(B10,'[2]COMPRAS UC'!$B$11:$O$66,7,0),0)</f>
        <v>0</v>
      </c>
      <c r="O10" s="23">
        <f>IFERROR(VLOOKUP(B10,'[2]COMPRAS YUC'!$B$10:$P$63,7,0),0)</f>
        <v>11</v>
      </c>
      <c r="P10" s="87">
        <f>IFERROR(VLOOKUP(B10,'[2]COMPRAS UC'!$B$11:$O$66,8,0),0)</f>
        <v>5</v>
      </c>
      <c r="Q10" s="23">
        <f>IFERROR(VLOOKUP(B10,'[2]COMPRAS YUC'!$B$10:$P$63,8,0),0)</f>
        <v>5</v>
      </c>
      <c r="R10" s="87">
        <f>IFERROR(VLOOKUP(B10,'[2]COMPRAS UC'!$B$11:$O$66,9,0),0)</f>
        <v>0</v>
      </c>
      <c r="S10" s="23">
        <f>IFERROR(VLOOKUP(B10,'[2]COMPRAS YUC'!$B$10:$P$63,9,0),0)</f>
        <v>0</v>
      </c>
      <c r="T10" s="87">
        <f>IFERROR(VLOOKUP(B10,'[2]COMPRAS UC'!$B$11:$O$66,10,0),0)</f>
        <v>0</v>
      </c>
      <c r="U10" s="23">
        <f>IFERROR(VLOOKUP(B10,'[2]COMPRAS YUC'!$B$10:$P$63,10,0),0)</f>
        <v>0</v>
      </c>
      <c r="V10" s="87">
        <f>IFERROR(VLOOKUP(B10,'[2]COMPRAS UC'!$B$11:$O$66,11,0),0)</f>
        <v>0</v>
      </c>
      <c r="W10" s="23">
        <f>IFERROR(VLOOKUP(B10,'[2]COMPRAS YUC'!$B$10:$P$63,11,0),0)</f>
        <v>0</v>
      </c>
      <c r="X10" s="87">
        <f>IFERROR(VLOOKUP(B10,'[2]COMPRAS UC'!$B$11:$O$66,12,0),0)</f>
        <v>0</v>
      </c>
      <c r="Y10" s="23">
        <f>IFERROR(VLOOKUP(B10,'[2]COMPRAS YUC'!$B$10:$P$63,12,0),0)</f>
        <v>0</v>
      </c>
      <c r="Z10" s="87">
        <f>IFERROR(VLOOKUP(B10,'[2]COMPRAS UC'!$B$11:$O$66,13,0),0)</f>
        <v>0</v>
      </c>
      <c r="AA10" s="23">
        <f>IFERROR(VLOOKUP(B10,'[2]COMPRAS YUC'!$B$10:$P$63,13,0),0)</f>
        <v>0</v>
      </c>
      <c r="AB10" s="87">
        <f>IFERROR(VLOOKUP(B10,'[2]COMPRAS UC'!$B$11:$O$66,14,0),0)</f>
        <v>0</v>
      </c>
      <c r="AC10" s="23">
        <f>IFERROR(VLOOKUP(B10,'[2]COMPRAS YUC'!$B$10:$P$63,14,0),0)</f>
        <v>0</v>
      </c>
      <c r="AD10" s="211">
        <f>SUMIFS($F10:$AC10,$F$6:$AC$6,AD$6,$F$1:$AC$1,$AD$4)</f>
        <v>0</v>
      </c>
      <c r="AE10" s="111">
        <f t="shared" si="0"/>
        <v>5</v>
      </c>
      <c r="AF10" s="204">
        <f>SUMIFS($F10:$AC10,$F$6:$AC$6,AF$6,$F$1:$AC$1,$AD$4)</f>
        <v>0</v>
      </c>
      <c r="AG10" s="111">
        <f t="shared" si="1"/>
        <v>33</v>
      </c>
      <c r="AH10" s="229">
        <f>IFERROR(AE10+AG10,0)</f>
        <v>38</v>
      </c>
      <c r="AI10" s="211">
        <f>SUMIFS($F10:$AC10,$F$6:$AC$6,AI$6,$F$2:$AC$2,$AD$4)</f>
        <v>0</v>
      </c>
      <c r="AJ10" s="111">
        <f t="shared" si="2"/>
        <v>5</v>
      </c>
      <c r="AK10" s="204">
        <f>SUMIFS($F10:$AC10,$F$6:$AC$6,AK$6,$F$2:$AC$2,$AD$4)</f>
        <v>0</v>
      </c>
      <c r="AL10" s="111">
        <f t="shared" si="3"/>
        <v>33</v>
      </c>
      <c r="AM10" s="229">
        <f>AJ10+AL10</f>
        <v>38</v>
      </c>
      <c r="AN10" s="211"/>
      <c r="AO10" s="111">
        <f>IF($AN$5="Q1",F10+H10+J10,
IF($AN$5="Q2",L10+N10++P10,
IF($AN$5="Q3",R10+T10+V10,
IF($AN$5="Q4",X10+Z10+AB10,0))))</f>
        <v>0</v>
      </c>
      <c r="AP10" s="204"/>
      <c r="AQ10" s="113">
        <f>IF($AN$5="Q1",G10+I10+K10,
IF($AN$5="Q2",M10+O10++Q10,
IF($AN$5="Q3",S10+U10+W10,
IF($AN$5="Q4",Y10+AA10+AC10,0))))</f>
        <v>0</v>
      </c>
      <c r="AR10" s="229">
        <f>AO10+AQ10</f>
        <v>0</v>
      </c>
      <c r="AS10" s="211"/>
      <c r="AT10" s="111">
        <f t="shared" si="4"/>
        <v>5</v>
      </c>
      <c r="AU10" s="204"/>
      <c r="AV10" s="111">
        <f t="shared" si="5"/>
        <v>33</v>
      </c>
      <c r="AW10" s="229">
        <f>AT10+AV10</f>
        <v>38</v>
      </c>
      <c r="AX10" s="4">
        <v>1</v>
      </c>
      <c r="BM10" s="15">
        <f>SUM(L10:Q10)</f>
        <v>21</v>
      </c>
    </row>
    <row r="11" spans="1:65" s="4" customFormat="1" ht="15" customHeight="1" thickBot="1" x14ac:dyDescent="0.35">
      <c r="A11" s="4">
        <f>_xlfn.XLOOKUP(B11,'UC BMW 2026'!$B$5:$B$65,'UC BMW 2026'!$A$5:$A$65)</f>
        <v>0</v>
      </c>
      <c r="B11" s="7" t="s">
        <v>264</v>
      </c>
      <c r="C11" s="28"/>
      <c r="D11" s="29"/>
      <c r="E11" s="7"/>
      <c r="F11" s="200">
        <f t="shared" ref="F11:AD11" si="6">SUM(F7:F10)</f>
        <v>18</v>
      </c>
      <c r="G11" s="32">
        <f t="shared" si="6"/>
        <v>50</v>
      </c>
      <c r="H11" s="200">
        <f t="shared" si="6"/>
        <v>39</v>
      </c>
      <c r="I11" s="32">
        <f t="shared" si="6"/>
        <v>54</v>
      </c>
      <c r="J11" s="200">
        <f t="shared" si="6"/>
        <v>43</v>
      </c>
      <c r="K11" s="32">
        <f>SUM(K7:K10)</f>
        <v>50</v>
      </c>
      <c r="L11" s="200">
        <f t="shared" si="6"/>
        <v>44</v>
      </c>
      <c r="M11" s="32">
        <f t="shared" si="6"/>
        <v>35</v>
      </c>
      <c r="N11" s="200">
        <f t="shared" si="6"/>
        <v>42</v>
      </c>
      <c r="O11" s="32">
        <f t="shared" si="6"/>
        <v>53</v>
      </c>
      <c r="P11" s="200">
        <f t="shared" si="6"/>
        <v>56</v>
      </c>
      <c r="Q11" s="32">
        <f t="shared" si="6"/>
        <v>19</v>
      </c>
      <c r="R11" s="200">
        <f t="shared" si="6"/>
        <v>0</v>
      </c>
      <c r="S11" s="32">
        <f t="shared" si="6"/>
        <v>0</v>
      </c>
      <c r="T11" s="200">
        <f t="shared" si="6"/>
        <v>0</v>
      </c>
      <c r="U11" s="32">
        <f t="shared" si="6"/>
        <v>0</v>
      </c>
      <c r="V11" s="200">
        <f t="shared" si="6"/>
        <v>0</v>
      </c>
      <c r="W11" s="32">
        <f t="shared" si="6"/>
        <v>0</v>
      </c>
      <c r="X11" s="200">
        <f t="shared" si="6"/>
        <v>0</v>
      </c>
      <c r="Y11" s="32">
        <f t="shared" si="6"/>
        <v>0</v>
      </c>
      <c r="Z11" s="200">
        <f t="shared" si="6"/>
        <v>0</v>
      </c>
      <c r="AA11" s="32">
        <f t="shared" si="6"/>
        <v>0</v>
      </c>
      <c r="AB11" s="200">
        <f t="shared" si="6"/>
        <v>0</v>
      </c>
      <c r="AC11" s="32">
        <f t="shared" si="6"/>
        <v>0</v>
      </c>
      <c r="AD11" s="213">
        <f t="shared" si="6"/>
        <v>0</v>
      </c>
      <c r="AE11" s="114">
        <f t="shared" si="0"/>
        <v>242</v>
      </c>
      <c r="AF11" s="206">
        <f>SUM(AF7:AF10)</f>
        <v>0</v>
      </c>
      <c r="AG11" s="114">
        <f t="shared" si="1"/>
        <v>261</v>
      </c>
      <c r="AH11" s="245">
        <f>SUM(AH7:AH10)</f>
        <v>503</v>
      </c>
      <c r="AI11" s="213">
        <f>SUM(AI7:AI10)</f>
        <v>0</v>
      </c>
      <c r="AJ11" s="114">
        <f t="shared" si="2"/>
        <v>242</v>
      </c>
      <c r="AK11" s="206">
        <f>SUM(AK7:AK10)</f>
        <v>0</v>
      </c>
      <c r="AL11" s="114">
        <f t="shared" si="3"/>
        <v>261</v>
      </c>
      <c r="AM11" s="245">
        <f t="shared" ref="AM11:AS11" si="7">SUM(AM7:AM10)</f>
        <v>503</v>
      </c>
      <c r="AN11" s="213">
        <f t="shared" si="7"/>
        <v>0</v>
      </c>
      <c r="AO11" s="114">
        <f t="shared" si="7"/>
        <v>0</v>
      </c>
      <c r="AP11" s="206">
        <f t="shared" si="7"/>
        <v>0</v>
      </c>
      <c r="AQ11" s="115">
        <f t="shared" si="7"/>
        <v>0</v>
      </c>
      <c r="AR11" s="245">
        <f t="shared" si="7"/>
        <v>0</v>
      </c>
      <c r="AS11" s="213">
        <f t="shared" si="7"/>
        <v>0</v>
      </c>
      <c r="AT11" s="114">
        <f t="shared" si="4"/>
        <v>242</v>
      </c>
      <c r="AU11" s="206"/>
      <c r="AV11" s="114">
        <f t="shared" si="5"/>
        <v>261</v>
      </c>
      <c r="AW11" s="245">
        <f>SUM(AW7:AW10)</f>
        <v>503</v>
      </c>
      <c r="AX11" s="4">
        <v>0</v>
      </c>
      <c r="BM11" s="15"/>
    </row>
    <row r="12" spans="1:65" s="4" customFormat="1" ht="15" customHeight="1" x14ac:dyDescent="0.3">
      <c r="A12" s="4">
        <f>_xlfn.XLOOKUP(B12,'UC BMW 2026'!$B$5:$B$65,'UC BMW 2026'!$A$5:$A$65)</f>
        <v>2</v>
      </c>
      <c r="B12" s="8">
        <v>100213</v>
      </c>
      <c r="C12" s="369" t="s">
        <v>15</v>
      </c>
      <c r="D12" s="8">
        <v>7450</v>
      </c>
      <c r="E12" s="309" t="s">
        <v>276</v>
      </c>
      <c r="F12" s="199">
        <f>IFERROR(VLOOKUP(B12,'[2]COMPRAS UC'!$B$11:$O$66,3,0),0)</f>
        <v>0</v>
      </c>
      <c r="G12" s="23">
        <f>IFERROR(VLOOKUP(B12,'[2]COMPRAS YUC'!$B$10:$P$63,3,0),0)</f>
        <v>24</v>
      </c>
      <c r="H12" s="87">
        <f>IFERROR(VLOOKUP(B12,'[2]COMPRAS UC'!$B$11:$O$66,4,0),0)</f>
        <v>0</v>
      </c>
      <c r="I12" s="23">
        <f>IFERROR(VLOOKUP(B12,'[2]COMPRAS YUC'!$B$10:$P$63,4,0),0)</f>
        <v>18</v>
      </c>
      <c r="J12" s="87">
        <f>IFERROR(VLOOKUP(B12,'[2]COMPRAS UC'!$B$11:$O$66,5,0),0)</f>
        <v>1</v>
      </c>
      <c r="K12" s="23">
        <f>IFERROR(VLOOKUP(B12,'[2]COMPRAS YUC'!$B$10:$P$63,5,0),0)</f>
        <v>13</v>
      </c>
      <c r="L12" s="87">
        <f>IFERROR(VLOOKUP(B12,'[2]COMPRAS UC'!$B$11:$O$66,6,0),0)</f>
        <v>0</v>
      </c>
      <c r="M12" s="23">
        <f>IFERROR(VLOOKUP(B12,'[2]COMPRAS YUC'!$B$10:$P$63,6,0),0)</f>
        <v>15</v>
      </c>
      <c r="N12" s="87">
        <f>IFERROR(VLOOKUP(B12,'[2]COMPRAS UC'!$B$11:$O$66,7,0),0)</f>
        <v>1</v>
      </c>
      <c r="O12" s="23">
        <f>IFERROR(VLOOKUP(B12,'[2]COMPRAS YUC'!$B$10:$P$63,7,0),0)</f>
        <v>33</v>
      </c>
      <c r="P12" s="87">
        <f>IFERROR(VLOOKUP(B12,'[2]COMPRAS UC'!$B$11:$O$66,8,0),0)</f>
        <v>2</v>
      </c>
      <c r="Q12" s="23">
        <f>IFERROR(VLOOKUP(B12,'[2]COMPRAS YUC'!$B$10:$P$63,8,0),0)</f>
        <v>10</v>
      </c>
      <c r="R12" s="87">
        <f>IFERROR(VLOOKUP(B12,'[2]COMPRAS UC'!$B$11:$O$66,9,0),0)</f>
        <v>0</v>
      </c>
      <c r="S12" s="23">
        <f>IFERROR(VLOOKUP(B12,'[2]COMPRAS YUC'!$B$10:$P$63,9,0),0)</f>
        <v>0</v>
      </c>
      <c r="T12" s="87">
        <f>IFERROR(VLOOKUP(B12,'[2]COMPRAS UC'!$B$11:$O$66,10,0),0)</f>
        <v>0</v>
      </c>
      <c r="U12" s="23">
        <f>IFERROR(VLOOKUP(B12,'[2]COMPRAS YUC'!$B$10:$P$63,10,0),0)</f>
        <v>0</v>
      </c>
      <c r="V12" s="87">
        <f>IFERROR(VLOOKUP(B12,'[2]COMPRAS UC'!$B$11:$O$66,11,0),0)</f>
        <v>0</v>
      </c>
      <c r="W12" s="23">
        <f>IFERROR(VLOOKUP(B12,'[2]COMPRAS YUC'!$B$10:$P$63,11,0),0)</f>
        <v>0</v>
      </c>
      <c r="X12" s="87">
        <f>IFERROR(VLOOKUP(B12,'[2]COMPRAS UC'!$B$11:$O$66,12,0),0)</f>
        <v>0</v>
      </c>
      <c r="Y12" s="23">
        <f>IFERROR(VLOOKUP(B12,'[2]COMPRAS YUC'!$B$10:$P$63,12,0),0)</f>
        <v>0</v>
      </c>
      <c r="Z12" s="87">
        <f>IFERROR(VLOOKUP(B12,'[2]COMPRAS UC'!$B$11:$O$66,13,0),0)</f>
        <v>0</v>
      </c>
      <c r="AA12" s="23">
        <f>IFERROR(VLOOKUP(B12,'[2]COMPRAS YUC'!$B$10:$P$63,13,0),0)</f>
        <v>0</v>
      </c>
      <c r="AB12" s="87">
        <f>IFERROR(VLOOKUP(B12,'[2]COMPRAS UC'!$B$11:$O$66,14,0),0)</f>
        <v>0</v>
      </c>
      <c r="AC12" s="23">
        <f>IFERROR(VLOOKUP(B12,'[2]COMPRAS YUC'!$B$10:$P$63,14,0),0)</f>
        <v>0</v>
      </c>
      <c r="AD12" s="209">
        <f>SUMIFS($F12:$AC12,$F$6:$AC$6,AD$6,$F$1:$AC$1,$AD$4)</f>
        <v>0</v>
      </c>
      <c r="AE12" s="106">
        <f t="shared" si="0"/>
        <v>4</v>
      </c>
      <c r="AF12" s="216">
        <f>SUMIFS($F12:$AC12,$F$6:$AC$6,AF$6,$F$1:$AC$1,$AD$4)</f>
        <v>0</v>
      </c>
      <c r="AG12" s="106">
        <f t="shared" si="1"/>
        <v>113</v>
      </c>
      <c r="AH12" s="227">
        <f>IFERROR(AE12+AG12,0)</f>
        <v>117</v>
      </c>
      <c r="AI12" s="209">
        <f>SUMIFS($F12:$AC12,$F$6:$AC$6,AI$6,$F$2:$AC$2,$AD$4)</f>
        <v>0</v>
      </c>
      <c r="AJ12" s="106">
        <f t="shared" si="2"/>
        <v>4</v>
      </c>
      <c r="AK12" s="202">
        <f>SUMIFS($F12:$AC12,$F$6:$AC$6,AK$6,$F$2:$AC$2,$AD$4)</f>
        <v>0</v>
      </c>
      <c r="AL12" s="106">
        <f t="shared" si="3"/>
        <v>113</v>
      </c>
      <c r="AM12" s="227">
        <f>AJ12+AL12</f>
        <v>117</v>
      </c>
      <c r="AN12" s="209"/>
      <c r="AO12" s="106">
        <f>IF($AN$5="Q1",F12+H12+J12,
IF($AN$5="Q2",L12+N12++P12,
IF($AN$5="Q3",R12+T12+V12,
IF($AN$5="Q4",X12+Z12+AB12,0))))</f>
        <v>0</v>
      </c>
      <c r="AP12" s="202"/>
      <c r="AQ12" s="107">
        <f>IF($AN$5="Q1",G12+I12+K12,
IF($AN$5="Q2",M12+O12++Q12,
IF($AN$5="Q3",S12+U12+W12,
IF($AN$5="Q4",Y12+AA12+AC12,0))))</f>
        <v>0</v>
      </c>
      <c r="AR12" s="227">
        <f>AO12+AQ12</f>
        <v>0</v>
      </c>
      <c r="AS12" s="209"/>
      <c r="AT12" s="106">
        <f t="shared" si="4"/>
        <v>4</v>
      </c>
      <c r="AU12" s="202"/>
      <c r="AV12" s="106">
        <f t="shared" si="5"/>
        <v>113</v>
      </c>
      <c r="AW12" s="227">
        <f>AT12+AV12</f>
        <v>117</v>
      </c>
      <c r="AX12" s="4">
        <v>1</v>
      </c>
      <c r="BE12" s="4" cm="1">
        <f t="array" ref="BE12:BE59">_xlfn._xlws.SORT(_xlfn._xlws.FILTER(AH12:AH67, AX12:AX67=1),1, -1)</f>
        <v>1183</v>
      </c>
      <c r="BM12" s="15">
        <f>SUM(L12:Q12)</f>
        <v>61</v>
      </c>
    </row>
    <row r="13" spans="1:65" s="4" customFormat="1" ht="15" customHeight="1" x14ac:dyDescent="0.3">
      <c r="A13" s="4">
        <f>_xlfn.XLOOKUP(B13,'UC BMW 2026'!$B$5:$B$65,'UC BMW 2026'!$A$5:$A$65)</f>
        <v>2</v>
      </c>
      <c r="B13" s="8">
        <v>100319</v>
      </c>
      <c r="C13" s="369" t="s">
        <v>16</v>
      </c>
      <c r="D13" s="8">
        <v>7450</v>
      </c>
      <c r="E13" s="309" t="s">
        <v>276</v>
      </c>
      <c r="F13" s="199">
        <f>IFERROR(VLOOKUP(B13,'[2]COMPRAS UC'!$B$11:$O$66,3,0),0)</f>
        <v>11</v>
      </c>
      <c r="G13" s="23">
        <f>IFERROR(VLOOKUP(B13,'[2]COMPRAS YUC'!$B$10:$P$63,3,0),0)</f>
        <v>17</v>
      </c>
      <c r="H13" s="87">
        <f>IFERROR(VLOOKUP(B13,'[2]COMPRAS UC'!$B$11:$O$66,4,0),0)</f>
        <v>16</v>
      </c>
      <c r="I13" s="23">
        <f>IFERROR(VLOOKUP(B13,'[2]COMPRAS YUC'!$B$10:$P$63,4,0),0)</f>
        <v>19</v>
      </c>
      <c r="J13" s="87">
        <f>IFERROR(VLOOKUP(B13,'[2]COMPRAS UC'!$B$11:$O$66,5,0),0)</f>
        <v>20</v>
      </c>
      <c r="K13" s="23">
        <f>IFERROR(VLOOKUP(B13,'[2]COMPRAS YUC'!$B$10:$P$63,5,0),0)</f>
        <v>18</v>
      </c>
      <c r="L13" s="87">
        <f>IFERROR(VLOOKUP(B13,'[2]COMPRAS UC'!$B$11:$O$66,6,0),0)</f>
        <v>17</v>
      </c>
      <c r="M13" s="23">
        <f>IFERROR(VLOOKUP(B13,'[2]COMPRAS YUC'!$B$10:$P$63,6,0),0)</f>
        <v>3</v>
      </c>
      <c r="N13" s="87">
        <f>IFERROR(VLOOKUP(B13,'[2]COMPRAS UC'!$B$11:$O$66,7,0),0)</f>
        <v>18</v>
      </c>
      <c r="O13" s="23">
        <f>IFERROR(VLOOKUP(B13,'[2]COMPRAS YUC'!$B$10:$P$63,7,0),0)</f>
        <v>12</v>
      </c>
      <c r="P13" s="87">
        <f>IFERROR(VLOOKUP(B13,'[2]COMPRAS UC'!$B$11:$O$66,8,0),0)</f>
        <v>19</v>
      </c>
      <c r="Q13" s="23">
        <f>IFERROR(VLOOKUP(B13,'[2]COMPRAS YUC'!$B$10:$P$63,8,0),0)</f>
        <v>13</v>
      </c>
      <c r="R13" s="87">
        <f>IFERROR(VLOOKUP(B13,'[2]COMPRAS UC'!$B$11:$O$66,9,0),0)</f>
        <v>0</v>
      </c>
      <c r="S13" s="23">
        <f>IFERROR(VLOOKUP(B13,'[2]COMPRAS YUC'!$B$10:$P$63,9,0),0)</f>
        <v>0</v>
      </c>
      <c r="T13" s="87">
        <f>IFERROR(VLOOKUP(B13,'[2]COMPRAS UC'!$B$11:$O$66,10,0),0)</f>
        <v>0</v>
      </c>
      <c r="U13" s="23">
        <f>IFERROR(VLOOKUP(B13,'[2]COMPRAS YUC'!$B$10:$P$63,10,0),0)</f>
        <v>0</v>
      </c>
      <c r="V13" s="87">
        <f>IFERROR(VLOOKUP(B13,'[2]COMPRAS UC'!$B$11:$O$66,11,0),0)</f>
        <v>0</v>
      </c>
      <c r="W13" s="23">
        <f>IFERROR(VLOOKUP(B13,'[2]COMPRAS YUC'!$B$10:$P$63,11,0),0)</f>
        <v>0</v>
      </c>
      <c r="X13" s="87">
        <f>IFERROR(VLOOKUP(B13,'[2]COMPRAS UC'!$B$11:$O$66,12,0),0)</f>
        <v>0</v>
      </c>
      <c r="Y13" s="23">
        <f>IFERROR(VLOOKUP(B13,'[2]COMPRAS YUC'!$B$10:$P$63,12,0),0)</f>
        <v>0</v>
      </c>
      <c r="Z13" s="87">
        <f>IFERROR(VLOOKUP(B13,'[2]COMPRAS UC'!$B$11:$O$66,13,0),0)</f>
        <v>0</v>
      </c>
      <c r="AA13" s="23">
        <f>IFERROR(VLOOKUP(B13,'[2]COMPRAS YUC'!$B$10:$P$63,13,0),0)</f>
        <v>0</v>
      </c>
      <c r="AB13" s="87">
        <f>IFERROR(VLOOKUP(B13,'[2]COMPRAS UC'!$B$11:$O$66,14,0),0)</f>
        <v>0</v>
      </c>
      <c r="AC13" s="23">
        <f>IFERROR(VLOOKUP(B13,'[2]COMPRAS YUC'!$B$10:$P$63,14,0),0)</f>
        <v>0</v>
      </c>
      <c r="AD13" s="210">
        <f>SUMIFS($F13:$AC13,$F$6:$AC$6,AD$6,$F$1:$AC$1,$AD$4)</f>
        <v>0</v>
      </c>
      <c r="AE13" s="108">
        <f t="shared" si="0"/>
        <v>101</v>
      </c>
      <c r="AF13" s="203">
        <f>SUMIFS($F13:$AC13,$F$6:$AC$6,AF$6,$F$1:$AC$1,$AD$4)</f>
        <v>0</v>
      </c>
      <c r="AG13" s="108">
        <f t="shared" si="1"/>
        <v>82</v>
      </c>
      <c r="AH13" s="228">
        <f>IFERROR(AE13+AG13,0)</f>
        <v>183</v>
      </c>
      <c r="AI13" s="210">
        <f>SUMIFS($F13:$AC13,$F$6:$AC$6,AI$6,$F$2:$AC$2,$AD$4)</f>
        <v>0</v>
      </c>
      <c r="AJ13" s="108">
        <f t="shared" si="2"/>
        <v>101</v>
      </c>
      <c r="AK13" s="203">
        <f>SUMIFS($F13:$AC13,$F$6:$AC$6,AK$6,$F$2:$AC$2,$AD$4)</f>
        <v>0</v>
      </c>
      <c r="AL13" s="108">
        <f t="shared" si="3"/>
        <v>82</v>
      </c>
      <c r="AM13" s="228">
        <f>AJ13+AL13</f>
        <v>183</v>
      </c>
      <c r="AN13" s="210"/>
      <c r="AO13" s="108">
        <f>IF($AN$5="Q1",F13+H13+J13,
IF($AN$5="Q2",L13+N13++P13,
IF($AN$5="Q3",R13+T13+V13,
IF($AN$5="Q4",X13+Z13+AB13,0))))</f>
        <v>0</v>
      </c>
      <c r="AP13" s="203"/>
      <c r="AQ13" s="110">
        <f>IF($AN$5="Q1",G13+I13+K13,
IF($AN$5="Q2",M13+O13++Q13,
IF($AN$5="Q3",S13+U13+W13,
IF($AN$5="Q4",Y13+AA13+AC13,0))))</f>
        <v>0</v>
      </c>
      <c r="AR13" s="228">
        <f>AO13+AQ13</f>
        <v>0</v>
      </c>
      <c r="AS13" s="210"/>
      <c r="AT13" s="108">
        <f t="shared" si="4"/>
        <v>101</v>
      </c>
      <c r="AU13" s="203"/>
      <c r="AV13" s="108">
        <f t="shared" si="5"/>
        <v>82</v>
      </c>
      <c r="AW13" s="228">
        <f>AT13+AV13</f>
        <v>183</v>
      </c>
      <c r="AX13" s="4">
        <v>1</v>
      </c>
      <c r="BE13" s="4">
        <v>321</v>
      </c>
      <c r="BM13" s="15">
        <f>SUM(L13:Q13)</f>
        <v>82</v>
      </c>
    </row>
    <row r="14" spans="1:65" s="4" customFormat="1" ht="15" customHeight="1" x14ac:dyDescent="0.3">
      <c r="A14" s="4">
        <f>_xlfn.XLOOKUP(B14,'UC BMW 2026'!$B$5:$B$65,'UC BMW 2026'!$A$5:$A$65)</f>
        <v>2</v>
      </c>
      <c r="B14" s="8">
        <v>100349</v>
      </c>
      <c r="C14" s="369" t="s">
        <v>10</v>
      </c>
      <c r="D14" s="8">
        <v>7450</v>
      </c>
      <c r="E14" s="309" t="s">
        <v>276</v>
      </c>
      <c r="F14" s="199">
        <f>IFERROR(VLOOKUP(B14,'[2]COMPRAS UC'!$B$11:$O$66,3,0),0)</f>
        <v>11</v>
      </c>
      <c r="G14" s="23">
        <f>IFERROR(VLOOKUP(B14,'[2]COMPRAS YUC'!$B$10:$P$63,3,0),0)</f>
        <v>14</v>
      </c>
      <c r="H14" s="87">
        <f>IFERROR(VLOOKUP(B14,'[2]COMPRAS UC'!$B$11:$O$66,4,0),0)</f>
        <v>24</v>
      </c>
      <c r="I14" s="23">
        <f>IFERROR(VLOOKUP(B14,'[2]COMPRAS YUC'!$B$10:$P$63,4,0),0)</f>
        <v>16</v>
      </c>
      <c r="J14" s="87">
        <f>IFERROR(VLOOKUP(B14,'[2]COMPRAS UC'!$B$11:$O$66,5,0),0)</f>
        <v>23</v>
      </c>
      <c r="K14" s="23">
        <f>IFERROR(VLOOKUP(B14,'[2]COMPRAS YUC'!$B$10:$P$63,5,0),0)</f>
        <v>23</v>
      </c>
      <c r="L14" s="87">
        <f>IFERROR(VLOOKUP(B14,'[2]COMPRAS UC'!$B$11:$O$66,6,0),0)</f>
        <v>33</v>
      </c>
      <c r="M14" s="23">
        <f>IFERROR(VLOOKUP(B14,'[2]COMPRAS YUC'!$B$10:$P$63,6,0),0)</f>
        <v>21</v>
      </c>
      <c r="N14" s="87">
        <f>IFERROR(VLOOKUP(B14,'[2]COMPRAS UC'!$B$11:$O$66,7,0),0)</f>
        <v>18</v>
      </c>
      <c r="O14" s="23">
        <f>IFERROR(VLOOKUP(B14,'[2]COMPRAS YUC'!$B$10:$P$63,7,0),0)</f>
        <v>28</v>
      </c>
      <c r="P14" s="87">
        <f>IFERROR(VLOOKUP(B14,'[2]COMPRAS UC'!$B$11:$O$66,8,0),0)</f>
        <v>33</v>
      </c>
      <c r="Q14" s="23">
        <f>IFERROR(VLOOKUP(B14,'[2]COMPRAS YUC'!$B$10:$P$63,8,0),0)</f>
        <v>17</v>
      </c>
      <c r="R14" s="87">
        <f>IFERROR(VLOOKUP(B14,'[2]COMPRAS UC'!$B$11:$O$66,9,0),0)</f>
        <v>0</v>
      </c>
      <c r="S14" s="23">
        <f>IFERROR(VLOOKUP(B14,'[2]COMPRAS YUC'!$B$10:$P$63,9,0),0)</f>
        <v>0</v>
      </c>
      <c r="T14" s="87">
        <f>IFERROR(VLOOKUP(B14,'[2]COMPRAS UC'!$B$11:$O$66,10,0),0)</f>
        <v>0</v>
      </c>
      <c r="U14" s="23">
        <f>IFERROR(VLOOKUP(B14,'[2]COMPRAS YUC'!$B$10:$P$63,10,0),0)</f>
        <v>0</v>
      </c>
      <c r="V14" s="87">
        <f>IFERROR(VLOOKUP(B14,'[2]COMPRAS UC'!$B$11:$O$66,11,0),0)</f>
        <v>0</v>
      </c>
      <c r="W14" s="23">
        <f>IFERROR(VLOOKUP(B14,'[2]COMPRAS YUC'!$B$10:$P$63,11,0),0)</f>
        <v>0</v>
      </c>
      <c r="X14" s="87">
        <f>IFERROR(VLOOKUP(B14,'[2]COMPRAS UC'!$B$11:$O$66,12,0),0)</f>
        <v>0</v>
      </c>
      <c r="Y14" s="23">
        <f>IFERROR(VLOOKUP(B14,'[2]COMPRAS YUC'!$B$10:$P$63,12,0),0)</f>
        <v>0</v>
      </c>
      <c r="Z14" s="87">
        <f>IFERROR(VLOOKUP(B14,'[2]COMPRAS UC'!$B$11:$O$66,13,0),0)</f>
        <v>0</v>
      </c>
      <c r="AA14" s="23">
        <f>IFERROR(VLOOKUP(B14,'[2]COMPRAS YUC'!$B$10:$P$63,13,0),0)</f>
        <v>0</v>
      </c>
      <c r="AB14" s="87">
        <f>IFERROR(VLOOKUP(B14,'[2]COMPRAS UC'!$B$11:$O$66,14,0),0)</f>
        <v>0</v>
      </c>
      <c r="AC14" s="23">
        <f>IFERROR(VLOOKUP(B14,'[2]COMPRAS YUC'!$B$10:$P$63,14,0),0)</f>
        <v>0</v>
      </c>
      <c r="AD14" s="210">
        <f>SUMIFS($F14:$AC14,$F$6:$AC$6,AD$6,$F$1:$AC$1,$AD$4)</f>
        <v>0</v>
      </c>
      <c r="AE14" s="108">
        <f t="shared" si="0"/>
        <v>142</v>
      </c>
      <c r="AF14" s="203">
        <f>SUMIFS($F14:$AC14,$F$6:$AC$6,AF$6,$F$1:$AC$1,$AD$4)</f>
        <v>0</v>
      </c>
      <c r="AG14" s="108">
        <f t="shared" si="1"/>
        <v>119</v>
      </c>
      <c r="AH14" s="228">
        <f>IFERROR(AE14+AG14,0)</f>
        <v>261</v>
      </c>
      <c r="AI14" s="210">
        <f>SUMIFS($F14:$AC14,$F$6:$AC$6,AI$6,$F$2:$AC$2,$AD$4)</f>
        <v>0</v>
      </c>
      <c r="AJ14" s="108">
        <f t="shared" si="2"/>
        <v>142</v>
      </c>
      <c r="AK14" s="203">
        <f>SUMIFS($F14:$AC14,$F$6:$AC$6,AK$6,$F$2:$AC$2,$AD$4)</f>
        <v>0</v>
      </c>
      <c r="AL14" s="108">
        <f t="shared" si="3"/>
        <v>119</v>
      </c>
      <c r="AM14" s="228">
        <f>AJ14+AL14</f>
        <v>261</v>
      </c>
      <c r="AN14" s="210"/>
      <c r="AO14" s="108">
        <f>IF($AN$5="Q1",F14+H14+J14,
IF($AN$5="Q2",L14+N14++P14,
IF($AN$5="Q3",R14+T14+V14,
IF($AN$5="Q4",X14+Z14+AB14,0))))</f>
        <v>0</v>
      </c>
      <c r="AP14" s="203"/>
      <c r="AQ14" s="110">
        <f>IF($AN$5="Q1",G14+I14+K14,
IF($AN$5="Q2",M14+O14++Q14,
IF($AN$5="Q3",S14+U14+W14,
IF($AN$5="Q4",Y14+AA14+AC14,0))))</f>
        <v>0</v>
      </c>
      <c r="AR14" s="228">
        <f>AO14+AQ14</f>
        <v>0</v>
      </c>
      <c r="AS14" s="210"/>
      <c r="AT14" s="108">
        <f t="shared" si="4"/>
        <v>142</v>
      </c>
      <c r="AU14" s="203"/>
      <c r="AV14" s="108">
        <f t="shared" si="5"/>
        <v>119</v>
      </c>
      <c r="AW14" s="228">
        <f>AT14+AV14</f>
        <v>261</v>
      </c>
      <c r="AX14" s="4">
        <v>1</v>
      </c>
      <c r="BE14" s="4">
        <v>261</v>
      </c>
      <c r="BM14" s="15">
        <f>SUM(L14:Q14)</f>
        <v>150</v>
      </c>
    </row>
    <row r="15" spans="1:65" s="4" customFormat="1" ht="15" customHeight="1" x14ac:dyDescent="0.3">
      <c r="A15" s="4">
        <f>_xlfn.XLOOKUP(B15,'UC BMW 2026'!$B$5:$B$65,'UC BMW 2026'!$A$5:$A$65)</f>
        <v>2</v>
      </c>
      <c r="B15" s="8">
        <v>100917</v>
      </c>
      <c r="C15" s="369" t="s">
        <v>263</v>
      </c>
      <c r="D15" s="8">
        <v>7450</v>
      </c>
      <c r="E15" s="309" t="s">
        <v>276</v>
      </c>
      <c r="F15" s="199">
        <f>IFERROR(VLOOKUP(B15,'[2]COMPRAS UC'!$B$11:$O$66,3,0),0)</f>
        <v>0</v>
      </c>
      <c r="G15" s="23">
        <f>IFERROR(VLOOKUP(B15,'[2]COMPRAS YUC'!$B$10:$P$63,3,0),0)</f>
        <v>0</v>
      </c>
      <c r="H15" s="87">
        <f>IFERROR(VLOOKUP(B15,'[2]COMPRAS UC'!$B$11:$O$66,4,0),0)</f>
        <v>0</v>
      </c>
      <c r="I15" s="23">
        <f>IFERROR(VLOOKUP(B15,'[2]COMPRAS YUC'!$B$10:$P$63,4,0),0)</f>
        <v>0</v>
      </c>
      <c r="J15" s="87">
        <f>IFERROR(VLOOKUP(B15,'[2]COMPRAS UC'!$B$11:$O$66,5,0),0)</f>
        <v>0</v>
      </c>
      <c r="K15" s="23">
        <f>IFERROR(VLOOKUP(B15,'[2]COMPRAS YUC'!$B$10:$P$63,5,0),0)</f>
        <v>0</v>
      </c>
      <c r="L15" s="87">
        <f>IFERROR(VLOOKUP(B15,'[2]COMPRAS UC'!$B$11:$O$66,6,0),0)</f>
        <v>2</v>
      </c>
      <c r="M15" s="23">
        <f>IFERROR(VLOOKUP(B15,'[2]COMPRAS YUC'!$B$10:$P$63,6,0),0)</f>
        <v>26</v>
      </c>
      <c r="N15" s="87">
        <f>IFERROR(VLOOKUP(B15,'[2]COMPRAS UC'!$B$11:$O$66,7,0),0)</f>
        <v>0</v>
      </c>
      <c r="O15" s="23">
        <f>IFERROR(VLOOKUP(B15,'[2]COMPRAS YUC'!$B$10:$P$63,7,0),0)</f>
        <v>0</v>
      </c>
      <c r="P15" s="87">
        <f>IFERROR(VLOOKUP(B15,'[2]COMPRAS UC'!$B$11:$O$66,8,0),0)</f>
        <v>9</v>
      </c>
      <c r="Q15" s="23">
        <f>IFERROR(VLOOKUP(B15,'[2]COMPRAS YUC'!$B$10:$P$63,8,0),0)</f>
        <v>9</v>
      </c>
      <c r="R15" s="87">
        <f>IFERROR(VLOOKUP(B15,'[2]COMPRAS UC'!$B$11:$O$66,9,0),0)</f>
        <v>0</v>
      </c>
      <c r="S15" s="23">
        <f>IFERROR(VLOOKUP(B15,'[2]COMPRAS YUC'!$B$10:$P$63,9,0),0)</f>
        <v>0</v>
      </c>
      <c r="T15" s="87">
        <f>IFERROR(VLOOKUP(B15,'[2]COMPRAS UC'!$B$11:$O$66,10,0),0)</f>
        <v>0</v>
      </c>
      <c r="U15" s="23">
        <f>IFERROR(VLOOKUP(B15,'[2]COMPRAS YUC'!$B$10:$P$63,10,0),0)</f>
        <v>0</v>
      </c>
      <c r="V15" s="87">
        <f>IFERROR(VLOOKUP(B15,'[2]COMPRAS UC'!$B$11:$O$66,11,0),0)</f>
        <v>0</v>
      </c>
      <c r="W15" s="23">
        <f>IFERROR(VLOOKUP(B15,'[2]COMPRAS YUC'!$B$10:$P$63,11,0),0)</f>
        <v>0</v>
      </c>
      <c r="X15" s="87">
        <f>IFERROR(VLOOKUP(B15,'[2]COMPRAS UC'!$B$11:$O$66,12,0),0)</f>
        <v>0</v>
      </c>
      <c r="Y15" s="23">
        <f>IFERROR(VLOOKUP(B15,'[2]COMPRAS YUC'!$B$10:$P$63,12,0),0)</f>
        <v>0</v>
      </c>
      <c r="Z15" s="87">
        <f>IFERROR(VLOOKUP(B15,'[2]COMPRAS UC'!$B$11:$O$66,13,0),0)</f>
        <v>0</v>
      </c>
      <c r="AA15" s="23">
        <f>IFERROR(VLOOKUP(B15,'[2]COMPRAS YUC'!$B$10:$P$63,13,0),0)</f>
        <v>0</v>
      </c>
      <c r="AB15" s="87">
        <f>IFERROR(VLOOKUP(B15,'[2]COMPRAS UC'!$B$11:$O$66,14,0),0)</f>
        <v>0</v>
      </c>
      <c r="AC15" s="23">
        <f>IFERROR(VLOOKUP(B15,'[2]COMPRAS YUC'!$B$10:$P$63,14,0),0)</f>
        <v>0</v>
      </c>
      <c r="AD15" s="211">
        <f>SUMIFS($F15:$AC15,$F$6:$AC$6,AD$6,$F$1:$AC$1,$AD$4)</f>
        <v>0</v>
      </c>
      <c r="AE15" s="111">
        <f t="shared" si="0"/>
        <v>11</v>
      </c>
      <c r="AF15" s="204">
        <f>SUMIFS($F15:$AC15,$F$6:$AC$6,AF$6,$F$1:$AC$1,$AD$4)</f>
        <v>0</v>
      </c>
      <c r="AG15" s="111">
        <f t="shared" si="1"/>
        <v>35</v>
      </c>
      <c r="AH15" s="229">
        <f>IFERROR(AE15+AG15,0)</f>
        <v>46</v>
      </c>
      <c r="AI15" s="211">
        <f>SUMIFS($F15:$AC15,$F$6:$AC$6,AI$6,$F$2:$AC$2,$AD$4)</f>
        <v>0</v>
      </c>
      <c r="AJ15" s="111">
        <f t="shared" si="2"/>
        <v>11</v>
      </c>
      <c r="AK15" s="204">
        <f>SUMIFS($F15:$AC15,$F$6:$AC$6,AK$6,$F$2:$AC$2,$AD$4)</f>
        <v>0</v>
      </c>
      <c r="AL15" s="111">
        <f t="shared" si="3"/>
        <v>35</v>
      </c>
      <c r="AM15" s="229">
        <f>AJ15+AL15</f>
        <v>46</v>
      </c>
      <c r="AN15" s="211"/>
      <c r="AO15" s="111">
        <f>IF($AN$5="Q1",F15+H15+J15,
IF($AN$5="Q2",L15+N15++P15,
IF($AN$5="Q3",R15+T15+V15,
IF($AN$5="Q4",X15+Z15+AB15,0))))</f>
        <v>0</v>
      </c>
      <c r="AP15" s="204"/>
      <c r="AQ15" s="113">
        <f>IF($AN$5="Q1",G15+I15+K15,
IF($AN$5="Q2",M15+O15++Q15,
IF($AN$5="Q3",S15+U15+W15,
IF($AN$5="Q4",Y15+AA15+AC15,0))))</f>
        <v>0</v>
      </c>
      <c r="AR15" s="229">
        <f>AO15+AQ15</f>
        <v>0</v>
      </c>
      <c r="AS15" s="211"/>
      <c r="AT15" s="111">
        <f t="shared" si="4"/>
        <v>11</v>
      </c>
      <c r="AU15" s="204"/>
      <c r="AV15" s="111">
        <f t="shared" si="5"/>
        <v>35</v>
      </c>
      <c r="AW15" s="229">
        <f>AT15+AV15</f>
        <v>46</v>
      </c>
      <c r="AX15" s="4">
        <v>1</v>
      </c>
      <c r="BE15" s="4">
        <v>183</v>
      </c>
      <c r="BM15" s="15">
        <f>SUM(L15:Q15)</f>
        <v>46</v>
      </c>
    </row>
    <row r="16" spans="1:65" s="4" customFormat="1" ht="15" customHeight="1" thickBot="1" x14ac:dyDescent="0.35">
      <c r="A16" s="4">
        <f>_xlfn.XLOOKUP(B16,'UC BMW 2026'!$B$5:$B$65,'UC BMW 2026'!$A$5:$A$65)</f>
        <v>2</v>
      </c>
      <c r="B16" s="8">
        <v>100726</v>
      </c>
      <c r="C16" s="369" t="s">
        <v>19</v>
      </c>
      <c r="D16" s="8">
        <v>39198</v>
      </c>
      <c r="E16" s="309" t="s">
        <v>88</v>
      </c>
      <c r="F16" s="199">
        <f>IFERROR(VLOOKUP(B16,'[2]COMPRAS UC'!$B$11:$O$66,3,0),0)</f>
        <v>0</v>
      </c>
      <c r="G16" s="23">
        <f>IFERROR(VLOOKUP(B16,'[2]COMPRAS YUC'!$B$10:$P$63,3,0),0)</f>
        <v>3</v>
      </c>
      <c r="H16" s="87">
        <f>IFERROR(VLOOKUP(B16,'[2]COMPRAS UC'!$B$11:$O$66,4,0),0)</f>
        <v>0</v>
      </c>
      <c r="I16" s="23">
        <f>IFERROR(VLOOKUP(B16,'[2]COMPRAS YUC'!$B$10:$P$63,4,0),0)</f>
        <v>1</v>
      </c>
      <c r="J16" s="87">
        <f>IFERROR(VLOOKUP(B16,'[2]COMPRAS UC'!$B$11:$O$66,5,0),0)</f>
        <v>1</v>
      </c>
      <c r="K16" s="23">
        <f>IFERROR(VLOOKUP(B16,'[2]COMPRAS YUC'!$B$10:$P$63,5,0),0)</f>
        <v>1</v>
      </c>
      <c r="L16" s="87">
        <f>IFERROR(VLOOKUP(B16,'[2]COMPRAS UC'!$B$11:$O$66,6,0),0)</f>
        <v>1</v>
      </c>
      <c r="M16" s="23">
        <f>IFERROR(VLOOKUP(B16,'[2]COMPRAS YUC'!$B$10:$P$63,6,0),0)</f>
        <v>1</v>
      </c>
      <c r="N16" s="87">
        <f>IFERROR(VLOOKUP(B16,'[2]COMPRAS UC'!$B$11:$O$66,7,0),0)</f>
        <v>3</v>
      </c>
      <c r="O16" s="23">
        <f>IFERROR(VLOOKUP(B16,'[2]COMPRAS YUC'!$B$10:$P$63,7,0),0)</f>
        <v>6</v>
      </c>
      <c r="P16" s="87">
        <f>IFERROR(VLOOKUP(B16,'[2]COMPRAS UC'!$B$11:$O$66,8,0),0)</f>
        <v>0</v>
      </c>
      <c r="Q16" s="23">
        <f>IFERROR(VLOOKUP(B16,'[2]COMPRAS YUC'!$B$10:$P$63,8,0),0)</f>
        <v>4</v>
      </c>
      <c r="R16" s="87">
        <f>IFERROR(VLOOKUP(B16,'[2]COMPRAS UC'!$B$11:$O$66,9,0),0)</f>
        <v>0</v>
      </c>
      <c r="S16" s="23">
        <f>IFERROR(VLOOKUP(B16,'[2]COMPRAS YUC'!$B$10:$P$63,9,0),0)</f>
        <v>0</v>
      </c>
      <c r="T16" s="87">
        <f>IFERROR(VLOOKUP(B16,'[2]COMPRAS UC'!$B$11:$O$66,10,0),0)</f>
        <v>0</v>
      </c>
      <c r="U16" s="23">
        <f>IFERROR(VLOOKUP(B16,'[2]COMPRAS YUC'!$B$10:$P$63,10,0),0)</f>
        <v>0</v>
      </c>
      <c r="V16" s="87">
        <f>IFERROR(VLOOKUP(B16,'[2]COMPRAS UC'!$B$11:$O$66,11,0),0)</f>
        <v>0</v>
      </c>
      <c r="W16" s="23">
        <f>IFERROR(VLOOKUP(B16,'[2]COMPRAS YUC'!$B$10:$P$63,11,0),0)</f>
        <v>0</v>
      </c>
      <c r="X16" s="87">
        <f>IFERROR(VLOOKUP(B16,'[2]COMPRAS UC'!$B$11:$O$66,12,0),0)</f>
        <v>0</v>
      </c>
      <c r="Y16" s="23">
        <f>IFERROR(VLOOKUP(B16,'[2]COMPRAS YUC'!$B$10:$P$63,12,0),0)</f>
        <v>0</v>
      </c>
      <c r="Z16" s="87">
        <f>IFERROR(VLOOKUP(B16,'[2]COMPRAS UC'!$B$11:$O$66,13,0),0)</f>
        <v>0</v>
      </c>
      <c r="AA16" s="23">
        <f>IFERROR(VLOOKUP(B16,'[2]COMPRAS YUC'!$B$10:$P$63,13,0),0)</f>
        <v>0</v>
      </c>
      <c r="AB16" s="87">
        <f>IFERROR(VLOOKUP(B16,'[2]COMPRAS UC'!$B$11:$O$66,14,0),0)</f>
        <v>0</v>
      </c>
      <c r="AC16" s="23">
        <f>IFERROR(VLOOKUP(B16,'[2]COMPRAS YUC'!$B$10:$P$63,14,0),0)</f>
        <v>0</v>
      </c>
      <c r="AD16" s="211">
        <f>SUMIFS($F16:$AC16,$F$6:$AC$6,AD$6,$F$1:$AC$1,$AD$4)</f>
        <v>0</v>
      </c>
      <c r="AE16" s="111">
        <f t="shared" si="0"/>
        <v>5</v>
      </c>
      <c r="AF16" s="204">
        <f>SUMIFS($F16:$AC16,$F$6:$AC$6,AF$6,$F$1:$AC$1,$AD$4)</f>
        <v>0</v>
      </c>
      <c r="AG16" s="111">
        <f t="shared" si="1"/>
        <v>16</v>
      </c>
      <c r="AH16" s="229">
        <f>IFERROR(AE16+AG16,0)</f>
        <v>21</v>
      </c>
      <c r="AI16" s="211">
        <f>SUMIFS($F16:$AC16,$F$6:$AC$6,AI$6,$F$2:$AC$2,$AD$4)</f>
        <v>0</v>
      </c>
      <c r="AJ16" s="111">
        <f t="shared" si="2"/>
        <v>5</v>
      </c>
      <c r="AK16" s="204">
        <f>SUMIFS($F16:$AC16,$F$6:$AC$6,AK$6,$F$2:$AC$2,$AD$4)</f>
        <v>0</v>
      </c>
      <c r="AL16" s="111">
        <f t="shared" si="3"/>
        <v>16</v>
      </c>
      <c r="AM16" s="229">
        <f>AJ16+AL16</f>
        <v>21</v>
      </c>
      <c r="AN16" s="211"/>
      <c r="AO16" s="111">
        <f>IF($AN$5="Q1",F16+H16+J16,
IF($AN$5="Q2",L16+N16++P16,
IF($AN$5="Q3",R16+T16+V16,
IF($AN$5="Q4",X16+Z16+AB16,0))))</f>
        <v>0</v>
      </c>
      <c r="AP16" s="204"/>
      <c r="AQ16" s="113">
        <f>IF($AN$5="Q1",G16+I16+K16,
IF($AN$5="Q2",M16+O16++Q16,
IF($AN$5="Q3",S16+U16+W16,
IF($AN$5="Q4",Y16+AA16+AC16,0))))</f>
        <v>0</v>
      </c>
      <c r="AR16" s="229">
        <f>AO16+AQ16</f>
        <v>0</v>
      </c>
      <c r="AS16" s="211"/>
      <c r="AT16" s="111">
        <f t="shared" si="4"/>
        <v>5</v>
      </c>
      <c r="AU16" s="204"/>
      <c r="AV16" s="111">
        <f t="shared" si="5"/>
        <v>16</v>
      </c>
      <c r="AW16" s="229">
        <f>AT16+AV16</f>
        <v>21</v>
      </c>
      <c r="AX16" s="4">
        <v>1</v>
      </c>
      <c r="BE16" s="4">
        <v>124</v>
      </c>
      <c r="BM16" s="15">
        <f>SUM(L16:Q16)</f>
        <v>15</v>
      </c>
    </row>
    <row r="17" spans="1:65" s="4" customFormat="1" ht="15" customHeight="1" thickBot="1" x14ac:dyDescent="0.35">
      <c r="A17" s="4">
        <f>_xlfn.XLOOKUP(B17,'UC BMW 2026'!$B$5:$B$65,'UC BMW 2026'!$A$5:$A$65)</f>
        <v>0</v>
      </c>
      <c r="B17" s="7" t="s">
        <v>265</v>
      </c>
      <c r="C17" s="28"/>
      <c r="D17" s="29"/>
      <c r="E17" s="7"/>
      <c r="F17" s="200">
        <f t="shared" ref="F17:AD17" si="8">SUM(F12:F16)</f>
        <v>22</v>
      </c>
      <c r="G17" s="32">
        <f t="shared" si="8"/>
        <v>58</v>
      </c>
      <c r="H17" s="200">
        <f t="shared" si="8"/>
        <v>40</v>
      </c>
      <c r="I17" s="32">
        <f t="shared" si="8"/>
        <v>54</v>
      </c>
      <c r="J17" s="200">
        <f t="shared" si="8"/>
        <v>45</v>
      </c>
      <c r="K17" s="32">
        <f>SUM(K12:K16)</f>
        <v>55</v>
      </c>
      <c r="L17" s="200">
        <f t="shared" si="8"/>
        <v>53</v>
      </c>
      <c r="M17" s="32">
        <f t="shared" si="8"/>
        <v>66</v>
      </c>
      <c r="N17" s="200">
        <f t="shared" si="8"/>
        <v>40</v>
      </c>
      <c r="O17" s="32">
        <f t="shared" si="8"/>
        <v>79</v>
      </c>
      <c r="P17" s="200">
        <f t="shared" si="8"/>
        <v>63</v>
      </c>
      <c r="Q17" s="32">
        <f t="shared" si="8"/>
        <v>53</v>
      </c>
      <c r="R17" s="200">
        <f t="shared" si="8"/>
        <v>0</v>
      </c>
      <c r="S17" s="32">
        <f t="shared" si="8"/>
        <v>0</v>
      </c>
      <c r="T17" s="200">
        <f t="shared" si="8"/>
        <v>0</v>
      </c>
      <c r="U17" s="32">
        <f t="shared" si="8"/>
        <v>0</v>
      </c>
      <c r="V17" s="200">
        <f t="shared" si="8"/>
        <v>0</v>
      </c>
      <c r="W17" s="32">
        <f t="shared" si="8"/>
        <v>0</v>
      </c>
      <c r="X17" s="200">
        <f t="shared" si="8"/>
        <v>0</v>
      </c>
      <c r="Y17" s="32">
        <f t="shared" si="8"/>
        <v>0</v>
      </c>
      <c r="Z17" s="200">
        <f t="shared" si="8"/>
        <v>0</v>
      </c>
      <c r="AA17" s="32">
        <f t="shared" si="8"/>
        <v>0</v>
      </c>
      <c r="AB17" s="200">
        <f t="shared" si="8"/>
        <v>0</v>
      </c>
      <c r="AC17" s="32">
        <f t="shared" si="8"/>
        <v>0</v>
      </c>
      <c r="AD17" s="213">
        <f t="shared" si="8"/>
        <v>0</v>
      </c>
      <c r="AE17" s="114">
        <f t="shared" si="0"/>
        <v>263</v>
      </c>
      <c r="AF17" s="206">
        <f>SUM(AF12:AF16)</f>
        <v>0</v>
      </c>
      <c r="AG17" s="114">
        <f t="shared" si="1"/>
        <v>365</v>
      </c>
      <c r="AH17" s="245">
        <f>SUM(AH12:AH16)</f>
        <v>628</v>
      </c>
      <c r="AI17" s="213">
        <f>SUM(AI12:AI16)</f>
        <v>0</v>
      </c>
      <c r="AJ17" s="114">
        <f t="shared" si="2"/>
        <v>263</v>
      </c>
      <c r="AK17" s="206">
        <f>SUM(AK12:AK16)</f>
        <v>0</v>
      </c>
      <c r="AL17" s="114">
        <f t="shared" si="3"/>
        <v>365</v>
      </c>
      <c r="AM17" s="245">
        <f t="shared" ref="AM17:AS17" si="9">SUM(AM12:AM16)</f>
        <v>628</v>
      </c>
      <c r="AN17" s="213">
        <f t="shared" si="9"/>
        <v>0</v>
      </c>
      <c r="AO17" s="114">
        <f t="shared" si="9"/>
        <v>0</v>
      </c>
      <c r="AP17" s="206">
        <f t="shared" si="9"/>
        <v>0</v>
      </c>
      <c r="AQ17" s="115">
        <f t="shared" si="9"/>
        <v>0</v>
      </c>
      <c r="AR17" s="245">
        <f t="shared" si="9"/>
        <v>0</v>
      </c>
      <c r="AS17" s="213">
        <f t="shared" si="9"/>
        <v>0</v>
      </c>
      <c r="AT17" s="114">
        <f t="shared" si="4"/>
        <v>263</v>
      </c>
      <c r="AU17" s="206"/>
      <c r="AV17" s="114">
        <f t="shared" si="5"/>
        <v>365</v>
      </c>
      <c r="AW17" s="245">
        <f>SUM(AW12:AW16)</f>
        <v>628</v>
      </c>
      <c r="AX17" s="4">
        <v>0</v>
      </c>
      <c r="BE17" s="4">
        <v>117</v>
      </c>
      <c r="BM17" s="15"/>
    </row>
    <row r="18" spans="1:65" s="4" customFormat="1" ht="15" customHeight="1" x14ac:dyDescent="0.3">
      <c r="A18" s="4">
        <f>_xlfn.XLOOKUP(B18,'UC BMW 2026'!$B$5:$B$65,'UC BMW 2026'!$A$5:$A$65)</f>
        <v>3</v>
      </c>
      <c r="B18" s="8">
        <v>100307</v>
      </c>
      <c r="C18" s="369" t="s">
        <v>39</v>
      </c>
      <c r="D18" s="8">
        <v>5570</v>
      </c>
      <c r="E18" s="309" t="s">
        <v>83</v>
      </c>
      <c r="F18" s="199">
        <f>IFERROR(VLOOKUP(B18,'[2]COMPRAS UC'!$B$11:$O$66,3,0),0)</f>
        <v>0</v>
      </c>
      <c r="G18" s="23">
        <f>IFERROR(VLOOKUP(B18,'[2]COMPRAS YUC'!$B$10:$P$63,3,0),0)</f>
        <v>3</v>
      </c>
      <c r="H18" s="87">
        <f>IFERROR(VLOOKUP(B18,'[2]COMPRAS UC'!$B$11:$O$66,4,0),0)</f>
        <v>0</v>
      </c>
      <c r="I18" s="23">
        <f>IFERROR(VLOOKUP(B18,'[2]COMPRAS YUC'!$B$10:$P$63,4,0),0)</f>
        <v>4</v>
      </c>
      <c r="J18" s="87">
        <f>IFERROR(VLOOKUP(B18,'[2]COMPRAS UC'!$B$11:$O$66,5,0),0)</f>
        <v>0</v>
      </c>
      <c r="K18" s="23">
        <f>IFERROR(VLOOKUP(B18,'[2]COMPRAS YUC'!$B$10:$P$63,5,0),0)</f>
        <v>5</v>
      </c>
      <c r="L18" s="87">
        <f>IFERROR(VLOOKUP(B18,'[2]COMPRAS UC'!$B$11:$O$66,6,0),0)</f>
        <v>0</v>
      </c>
      <c r="M18" s="23">
        <f>IFERROR(VLOOKUP(B18,'[2]COMPRAS YUC'!$B$10:$P$63,6,0),0)</f>
        <v>1</v>
      </c>
      <c r="N18" s="87">
        <f>IFERROR(VLOOKUP(B18,'[2]COMPRAS UC'!$B$11:$O$66,7,0),0)</f>
        <v>0</v>
      </c>
      <c r="O18" s="23">
        <f>IFERROR(VLOOKUP(B18,'[2]COMPRAS YUC'!$B$10:$P$63,7,0),0)</f>
        <v>2</v>
      </c>
      <c r="P18" s="87">
        <f>IFERROR(VLOOKUP(B18,'[2]COMPRAS UC'!$B$11:$O$66,8,0),0)</f>
        <v>0</v>
      </c>
      <c r="Q18" s="23">
        <f>IFERROR(VLOOKUP(B18,'[2]COMPRAS YUC'!$B$10:$P$63,8,0),0)</f>
        <v>0</v>
      </c>
      <c r="R18" s="87">
        <f>IFERROR(VLOOKUP(B18,'[2]COMPRAS UC'!$B$11:$O$66,9,0),0)</f>
        <v>0</v>
      </c>
      <c r="S18" s="23">
        <f>IFERROR(VLOOKUP(B18,'[2]COMPRAS YUC'!$B$10:$P$63,9,0),0)</f>
        <v>0</v>
      </c>
      <c r="T18" s="87">
        <f>IFERROR(VLOOKUP(B18,'[2]COMPRAS UC'!$B$11:$O$66,10,0),0)</f>
        <v>0</v>
      </c>
      <c r="U18" s="23">
        <f>IFERROR(VLOOKUP(B18,'[2]COMPRAS YUC'!$B$10:$P$63,10,0),0)</f>
        <v>0</v>
      </c>
      <c r="V18" s="87">
        <f>IFERROR(VLOOKUP(B18,'[2]COMPRAS UC'!$B$11:$O$66,11,0),0)</f>
        <v>0</v>
      </c>
      <c r="W18" s="23">
        <f>IFERROR(VLOOKUP(B18,'[2]COMPRAS YUC'!$B$10:$P$63,11,0),0)</f>
        <v>0</v>
      </c>
      <c r="X18" s="87">
        <f>IFERROR(VLOOKUP(B18,'[2]COMPRAS UC'!$B$11:$O$66,12,0),0)</f>
        <v>0</v>
      </c>
      <c r="Y18" s="23">
        <f>IFERROR(VLOOKUP(B18,'[2]COMPRAS YUC'!$B$10:$P$63,12,0),0)</f>
        <v>0</v>
      </c>
      <c r="Z18" s="87">
        <f>IFERROR(VLOOKUP(B18,'[2]COMPRAS UC'!$B$11:$O$66,13,0),0)</f>
        <v>0</v>
      </c>
      <c r="AA18" s="23">
        <f>IFERROR(VLOOKUP(B18,'[2]COMPRAS YUC'!$B$10:$P$63,13,0),0)</f>
        <v>0</v>
      </c>
      <c r="AB18" s="87">
        <f>IFERROR(VLOOKUP(B18,'[2]COMPRAS UC'!$B$11:$O$66,14,0),0)</f>
        <v>0</v>
      </c>
      <c r="AC18" s="23">
        <f>IFERROR(VLOOKUP(B18,'[2]COMPRAS YUC'!$B$10:$P$63,14,0),0)</f>
        <v>0</v>
      </c>
      <c r="AD18" s="210">
        <f>SUMIFS($F18:$AC18,$F$6:$AC$6,AD$6,$F$1:$AC$1,$AD$4)</f>
        <v>0</v>
      </c>
      <c r="AE18" s="108">
        <f t="shared" si="0"/>
        <v>0</v>
      </c>
      <c r="AF18" s="203">
        <f>SUMIFS($F18:$AC18,$F$6:$AC$6,AF$6,$F$1:$AC$1,$AD$4)</f>
        <v>0</v>
      </c>
      <c r="AG18" s="108">
        <f t="shared" si="1"/>
        <v>15</v>
      </c>
      <c r="AH18" s="228">
        <f>IFERROR(AE18+AG18,0)</f>
        <v>15</v>
      </c>
      <c r="AI18" s="210">
        <f>SUMIFS($F18:$AC18,$F$6:$AC$6,AI$6,$F$2:$AC$2,$AD$4)</f>
        <v>0</v>
      </c>
      <c r="AJ18" s="108">
        <f t="shared" si="2"/>
        <v>0</v>
      </c>
      <c r="AK18" s="203">
        <f>SUMIFS($F18:$AC18,$F$6:$AC$6,AK$6,$F$2:$AC$2,$AD$4)</f>
        <v>0</v>
      </c>
      <c r="AL18" s="108">
        <f t="shared" si="3"/>
        <v>15</v>
      </c>
      <c r="AM18" s="228">
        <f>AJ18+AL18</f>
        <v>15</v>
      </c>
      <c r="AN18" s="210"/>
      <c r="AO18" s="108">
        <f>IF($AN$5="Q1",F18+H18+J18,
IF($AN$5="Q2",L18+N18++P18,
IF($AN$5="Q3",R18+T18+V18,
IF($AN$5="Q4",X18+Z12+AB18,0))))</f>
        <v>0</v>
      </c>
      <c r="AP18" s="203"/>
      <c r="AQ18" s="110">
        <f>IF($AN$5="Q1",G18+I18+K18,
IF($AN$5="Q2",M18+O18++Q18,
IF($AN$5="Q3",S18+U18+W18,
IF($AN$5="Q4",Y18+AA18+AC18,0))))</f>
        <v>0</v>
      </c>
      <c r="AR18" s="228">
        <f>AO18+AQ18</f>
        <v>0</v>
      </c>
      <c r="AS18" s="210"/>
      <c r="AT18" s="108">
        <f t="shared" si="4"/>
        <v>0</v>
      </c>
      <c r="AU18" s="203"/>
      <c r="AV18" s="108">
        <f t="shared" si="5"/>
        <v>15</v>
      </c>
      <c r="AW18" s="228">
        <f>AT18+AV18</f>
        <v>15</v>
      </c>
      <c r="AX18" s="4">
        <v>1</v>
      </c>
      <c r="BE18" s="4">
        <v>114</v>
      </c>
      <c r="BM18" s="15">
        <f>SUM(L18:Q18)</f>
        <v>3</v>
      </c>
    </row>
    <row r="19" spans="1:65" s="4" customFormat="1" ht="15" customHeight="1" x14ac:dyDescent="0.3">
      <c r="A19" s="4">
        <f>_xlfn.XLOOKUP(B19,'UC BMW 2026'!$B$5:$B$65,'UC BMW 2026'!$A$5:$A$65)</f>
        <v>3</v>
      </c>
      <c r="B19" s="8">
        <v>100380</v>
      </c>
      <c r="C19" s="369" t="s">
        <v>11</v>
      </c>
      <c r="D19" s="8">
        <v>20285</v>
      </c>
      <c r="E19" s="309" t="s">
        <v>78</v>
      </c>
      <c r="F19" s="199">
        <f>IFERROR(VLOOKUP(B19,'[2]COMPRAS UC'!$B$11:$O$66,3,0),0)</f>
        <v>4</v>
      </c>
      <c r="G19" s="23">
        <f>IFERROR(VLOOKUP(B19,'[2]COMPRAS YUC'!$B$10:$P$63,3,0),0)</f>
        <v>4</v>
      </c>
      <c r="H19" s="87">
        <f>IFERROR(VLOOKUP(B19,'[2]COMPRAS UC'!$B$11:$O$66,4,0),0)</f>
        <v>7</v>
      </c>
      <c r="I19" s="23">
        <f>IFERROR(VLOOKUP(B19,'[2]COMPRAS YUC'!$B$10:$P$63,4,0),0)</f>
        <v>6</v>
      </c>
      <c r="J19" s="87">
        <f>IFERROR(VLOOKUP(B19,'[2]COMPRAS UC'!$B$11:$O$66,5,0),0)</f>
        <v>2</v>
      </c>
      <c r="K19" s="23">
        <f>IFERROR(VLOOKUP(B19,'[2]COMPRAS YUC'!$B$10:$P$63,5,0),0)</f>
        <v>5</v>
      </c>
      <c r="L19" s="87">
        <f>IFERROR(VLOOKUP(B19,'[2]COMPRAS UC'!$B$11:$O$66,6,0),0)</f>
        <v>7</v>
      </c>
      <c r="M19" s="23">
        <f>IFERROR(VLOOKUP(B19,'[2]COMPRAS YUC'!$B$10:$P$63,6,0),0)</f>
        <v>3</v>
      </c>
      <c r="N19" s="87">
        <f>IFERROR(VLOOKUP(B19,'[2]COMPRAS UC'!$B$11:$O$66,7,0),0)</f>
        <v>0</v>
      </c>
      <c r="O19" s="23">
        <f>IFERROR(VLOOKUP(B19,'[2]COMPRAS YUC'!$B$10:$P$63,7,0),0)</f>
        <v>2</v>
      </c>
      <c r="P19" s="87">
        <f>IFERROR(VLOOKUP(B19,'[2]COMPRAS UC'!$B$11:$O$66,8,0),0)</f>
        <v>2</v>
      </c>
      <c r="Q19" s="23">
        <f>IFERROR(VLOOKUP(B19,'[2]COMPRAS YUC'!$B$10:$P$63,8,0),0)</f>
        <v>2</v>
      </c>
      <c r="R19" s="87">
        <f>IFERROR(VLOOKUP(B19,'[2]COMPRAS UC'!$B$11:$O$66,9,0),0)</f>
        <v>0</v>
      </c>
      <c r="S19" s="23">
        <f>IFERROR(VLOOKUP(B19,'[2]COMPRAS YUC'!$B$10:$P$63,9,0),0)</f>
        <v>0</v>
      </c>
      <c r="T19" s="87">
        <f>IFERROR(VLOOKUP(B19,'[2]COMPRAS UC'!$B$11:$O$66,10,0),0)</f>
        <v>0</v>
      </c>
      <c r="U19" s="23">
        <f>IFERROR(VLOOKUP(B19,'[2]COMPRAS YUC'!$B$10:$P$63,10,0),0)</f>
        <v>0</v>
      </c>
      <c r="V19" s="87">
        <f>IFERROR(VLOOKUP(B19,'[2]COMPRAS UC'!$B$11:$O$66,11,0),0)</f>
        <v>0</v>
      </c>
      <c r="W19" s="23">
        <f>IFERROR(VLOOKUP(B19,'[2]COMPRAS YUC'!$B$10:$P$63,11,0),0)</f>
        <v>0</v>
      </c>
      <c r="X19" s="87">
        <f>IFERROR(VLOOKUP(B19,'[2]COMPRAS UC'!$B$11:$O$66,12,0),0)</f>
        <v>0</v>
      </c>
      <c r="Y19" s="23">
        <f>IFERROR(VLOOKUP(B19,'[2]COMPRAS YUC'!$B$10:$P$63,12,0),0)</f>
        <v>0</v>
      </c>
      <c r="Z19" s="87">
        <f>IFERROR(VLOOKUP(B19,'[2]COMPRAS UC'!$B$11:$O$66,13,0),0)</f>
        <v>0</v>
      </c>
      <c r="AA19" s="23">
        <f>IFERROR(VLOOKUP(B19,'[2]COMPRAS YUC'!$B$10:$P$63,13,0),0)</f>
        <v>0</v>
      </c>
      <c r="AB19" s="87">
        <f>IFERROR(VLOOKUP(B19,'[2]COMPRAS UC'!$B$11:$O$66,14,0),0)</f>
        <v>0</v>
      </c>
      <c r="AC19" s="23">
        <f>IFERROR(VLOOKUP(B19,'[2]COMPRAS YUC'!$B$10:$P$63,14,0),0)</f>
        <v>0</v>
      </c>
      <c r="AD19" s="210">
        <f>SUMIFS($F19:$AC19,$F$6:$AC$6,AD$6,$F$1:$AC$1,$AD$4)</f>
        <v>0</v>
      </c>
      <c r="AE19" s="108">
        <f t="shared" si="0"/>
        <v>22</v>
      </c>
      <c r="AF19" s="203">
        <f>SUMIFS($F19:$AC19,$F$6:$AC$6,AF$6,$F$1:$AC$1,$AD$4)</f>
        <v>0</v>
      </c>
      <c r="AG19" s="108">
        <f t="shared" si="1"/>
        <v>22</v>
      </c>
      <c r="AH19" s="228">
        <f>IFERROR(AE19+AG19,0)</f>
        <v>44</v>
      </c>
      <c r="AI19" s="210">
        <f>SUMIFS($F19:$AC19,$F$6:$AC$6,AI$6,$F$2:$AC$2,$AD$4)</f>
        <v>0</v>
      </c>
      <c r="AJ19" s="108">
        <f t="shared" si="2"/>
        <v>22</v>
      </c>
      <c r="AK19" s="203">
        <f>SUMIFS($F19:$AC19,$F$6:$AC$6,AK$6,$F$2:$AC$2,$AD$4)</f>
        <v>0</v>
      </c>
      <c r="AL19" s="108">
        <f t="shared" si="3"/>
        <v>22</v>
      </c>
      <c r="AM19" s="228">
        <f>AJ19+AL19</f>
        <v>44</v>
      </c>
      <c r="AN19" s="210"/>
      <c r="AO19" s="108">
        <f>IF($AN$5="Q1",F19+H19+J19,
IF($AN$5="Q2",L19+N19++P19,
IF($AN$5="Q3",R19+T19+V19,
IF($AN$5="Q4",X19+Z19+AB19,0))))</f>
        <v>0</v>
      </c>
      <c r="AP19" s="203"/>
      <c r="AQ19" s="110">
        <f>IF($AN$5="Q1",G19+I19+K19,
IF($AN$5="Q2",M19+O19++Q19,
IF($AN$5="Q3",S19+U19+W19,
IF($AN$5="Q4",Y19+AA19+AC19,0))))</f>
        <v>0</v>
      </c>
      <c r="AR19" s="228">
        <f>AO19+AQ19</f>
        <v>0</v>
      </c>
      <c r="AS19" s="210"/>
      <c r="AT19" s="108">
        <f t="shared" si="4"/>
        <v>22</v>
      </c>
      <c r="AU19" s="203"/>
      <c r="AV19" s="108">
        <f t="shared" si="5"/>
        <v>22</v>
      </c>
      <c r="AW19" s="228">
        <f>AT19+AV19</f>
        <v>44</v>
      </c>
      <c r="AX19" s="4">
        <v>1</v>
      </c>
      <c r="BE19" s="4">
        <v>107</v>
      </c>
      <c r="BM19" s="15">
        <f>SUM(L19:Q19)</f>
        <v>16</v>
      </c>
    </row>
    <row r="20" spans="1:65" s="4" customFormat="1" ht="15" customHeight="1" x14ac:dyDescent="0.3">
      <c r="A20" s="4">
        <f>_xlfn.XLOOKUP(B20,'UC BMW 2026'!$B$5:$B$65,'UC BMW 2026'!$A$5:$A$65)</f>
        <v>3</v>
      </c>
      <c r="B20" s="8">
        <v>100418</v>
      </c>
      <c r="C20" s="369" t="s">
        <v>13</v>
      </c>
      <c r="D20" s="8">
        <v>5570</v>
      </c>
      <c r="E20" s="309" t="s">
        <v>83</v>
      </c>
      <c r="F20" s="199">
        <f>IFERROR(VLOOKUP(B20,'[2]COMPRAS UC'!$B$11:$O$66,3,0),0)</f>
        <v>0</v>
      </c>
      <c r="G20" s="23">
        <f>IFERROR(VLOOKUP(B20,'[2]COMPRAS YUC'!$B$10:$P$63,3,0),0)</f>
        <v>8</v>
      </c>
      <c r="H20" s="87">
        <f>IFERROR(VLOOKUP(B20,'[2]COMPRAS UC'!$B$11:$O$66,4,0),0)</f>
        <v>1</v>
      </c>
      <c r="I20" s="23">
        <f>IFERROR(VLOOKUP(B20,'[2]COMPRAS YUC'!$B$10:$P$63,4,0),0)</f>
        <v>4</v>
      </c>
      <c r="J20" s="87">
        <f>IFERROR(VLOOKUP(B20,'[2]COMPRAS UC'!$B$11:$O$66,5,0),0)</f>
        <v>0</v>
      </c>
      <c r="K20" s="23">
        <f>IFERROR(VLOOKUP(B20,'[2]COMPRAS YUC'!$B$10:$P$63,5,0),0)</f>
        <v>2</v>
      </c>
      <c r="L20" s="87">
        <f>IFERROR(VLOOKUP(B20,'[2]COMPRAS UC'!$B$11:$O$66,6,0),0)</f>
        <v>0</v>
      </c>
      <c r="M20" s="23">
        <f>IFERROR(VLOOKUP(B20,'[2]COMPRAS YUC'!$B$10:$P$63,6,0),0)</f>
        <v>3</v>
      </c>
      <c r="N20" s="87">
        <f>IFERROR(VLOOKUP(B20,'[2]COMPRAS UC'!$B$11:$O$66,7,0),0)</f>
        <v>0</v>
      </c>
      <c r="O20" s="23">
        <f>IFERROR(VLOOKUP(B20,'[2]COMPRAS YUC'!$B$10:$P$63,7,0),0)</f>
        <v>2</v>
      </c>
      <c r="P20" s="87">
        <f>IFERROR(VLOOKUP(B20,'[2]COMPRAS UC'!$B$11:$O$66,8,0),0)</f>
        <v>0</v>
      </c>
      <c r="Q20" s="23">
        <f>IFERROR(VLOOKUP(B20,'[2]COMPRAS YUC'!$B$10:$P$63,8,0),0)</f>
        <v>1</v>
      </c>
      <c r="R20" s="87">
        <f>IFERROR(VLOOKUP(B20,'[2]COMPRAS UC'!$B$11:$O$66,9,0),0)</f>
        <v>0</v>
      </c>
      <c r="S20" s="23">
        <f>IFERROR(VLOOKUP(B20,'[2]COMPRAS YUC'!$B$10:$P$63,9,0),0)</f>
        <v>0</v>
      </c>
      <c r="T20" s="87">
        <f>IFERROR(VLOOKUP(B20,'[2]COMPRAS UC'!$B$11:$O$66,10,0),0)</f>
        <v>0</v>
      </c>
      <c r="U20" s="23">
        <f>IFERROR(VLOOKUP(B20,'[2]COMPRAS YUC'!$B$10:$P$63,10,0),0)</f>
        <v>0</v>
      </c>
      <c r="V20" s="87">
        <f>IFERROR(VLOOKUP(B20,'[2]COMPRAS UC'!$B$11:$O$66,11,0),0)</f>
        <v>0</v>
      </c>
      <c r="W20" s="23">
        <f>IFERROR(VLOOKUP(B20,'[2]COMPRAS YUC'!$B$10:$P$63,11,0),0)</f>
        <v>0</v>
      </c>
      <c r="X20" s="87">
        <f>IFERROR(VLOOKUP(B20,'[2]COMPRAS UC'!$B$11:$O$66,12,0),0)</f>
        <v>0</v>
      </c>
      <c r="Y20" s="23">
        <f>IFERROR(VLOOKUP(B20,'[2]COMPRAS YUC'!$B$10:$P$63,12,0),0)</f>
        <v>0</v>
      </c>
      <c r="Z20" s="87">
        <f>IFERROR(VLOOKUP(B20,'[2]COMPRAS UC'!$B$11:$O$66,13,0),0)</f>
        <v>0</v>
      </c>
      <c r="AA20" s="23">
        <f>IFERROR(VLOOKUP(B20,'[2]COMPRAS YUC'!$B$10:$P$63,13,0),0)</f>
        <v>0</v>
      </c>
      <c r="AB20" s="87">
        <f>IFERROR(VLOOKUP(B20,'[2]COMPRAS UC'!$B$11:$O$66,14,0),0)</f>
        <v>0</v>
      </c>
      <c r="AC20" s="23">
        <f>IFERROR(VLOOKUP(B20,'[2]COMPRAS YUC'!$B$10:$P$63,14,0),0)</f>
        <v>0</v>
      </c>
      <c r="AD20" s="210">
        <f>SUMIFS($F20:$AC20,$F$6:$AC$6,AD$6,$F$1:$AC$1,$AD$4)</f>
        <v>0</v>
      </c>
      <c r="AE20" s="108">
        <f t="shared" si="0"/>
        <v>1</v>
      </c>
      <c r="AF20" s="203">
        <f>SUMIFS($F20:$AC20,$F$6:$AC$6,AF$6,$F$1:$AC$1,$AD$4)</f>
        <v>0</v>
      </c>
      <c r="AG20" s="108">
        <f t="shared" si="1"/>
        <v>20</v>
      </c>
      <c r="AH20" s="228">
        <f>IFERROR(AE20+AG20,0)</f>
        <v>21</v>
      </c>
      <c r="AI20" s="210">
        <f>SUMIFS($F20:$AC20,$F$6:$AC$6,AI$6,$F$2:$AC$2,$AD$4)</f>
        <v>0</v>
      </c>
      <c r="AJ20" s="108">
        <f t="shared" si="2"/>
        <v>1</v>
      </c>
      <c r="AK20" s="203">
        <f>SUMIFS($F20:$AC20,$F$6:$AC$6,AK$6,$F$2:$AC$2,$AD$4)</f>
        <v>0</v>
      </c>
      <c r="AL20" s="108">
        <f t="shared" si="3"/>
        <v>20</v>
      </c>
      <c r="AM20" s="228">
        <f>AJ20+AL20</f>
        <v>21</v>
      </c>
      <c r="AN20" s="210"/>
      <c r="AO20" s="108">
        <f>IF($AN$5="Q1",F20+H20+J20,
IF($AN$5="Q2",L20+N20++P20,
IF($AN$5="Q3",R20+T20+V20,
IF($AN$5="Q4",X20+Z20+AB20,0))))</f>
        <v>0</v>
      </c>
      <c r="AP20" s="203"/>
      <c r="AQ20" s="110">
        <f>IF($AN$5="Q1",G20+I20+K20,
IF($AN$5="Q2",M20+O20++Q20,
IF($AN$5="Q3",S20+U20+W20,
IF($AN$5="Q4",Y20+AA20+AC20,0))))</f>
        <v>0</v>
      </c>
      <c r="AR20" s="228">
        <f>AO20+AQ20</f>
        <v>0</v>
      </c>
      <c r="AS20" s="210"/>
      <c r="AT20" s="108">
        <f t="shared" si="4"/>
        <v>1</v>
      </c>
      <c r="AU20" s="203"/>
      <c r="AV20" s="108">
        <f t="shared" si="5"/>
        <v>20</v>
      </c>
      <c r="AW20" s="228">
        <f>AT20+AV20</f>
        <v>21</v>
      </c>
      <c r="AX20" s="4">
        <v>1</v>
      </c>
      <c r="BE20" s="4">
        <v>93</v>
      </c>
      <c r="BM20" s="15">
        <f>SUM(L20:Q20)</f>
        <v>6</v>
      </c>
    </row>
    <row r="21" spans="1:65" s="4" customFormat="1" ht="15" customHeight="1" x14ac:dyDescent="0.3">
      <c r="A21" s="4">
        <f>_xlfn.XLOOKUP(B21,'UC BMW 2026'!$B$5:$B$65,'UC BMW 2026'!$A$5:$A$65)</f>
        <v>3</v>
      </c>
      <c r="B21" s="8">
        <v>100730</v>
      </c>
      <c r="C21" s="369" t="s">
        <v>41</v>
      </c>
      <c r="D21" s="8">
        <v>20285</v>
      </c>
      <c r="E21" s="309" t="s">
        <v>78</v>
      </c>
      <c r="F21" s="199">
        <f>IFERROR(VLOOKUP(B21,'[2]COMPRAS UC'!$B$11:$O$66,3,0),0)</f>
        <v>2</v>
      </c>
      <c r="G21" s="23">
        <f>IFERROR(VLOOKUP(B21,'[2]COMPRAS YUC'!$B$10:$P$63,3,0),0)</f>
        <v>5</v>
      </c>
      <c r="H21" s="87">
        <f>IFERROR(VLOOKUP(B21,'[2]COMPRAS UC'!$B$11:$O$66,4,0),0)</f>
        <v>1</v>
      </c>
      <c r="I21" s="23">
        <f>IFERROR(VLOOKUP(B21,'[2]COMPRAS YUC'!$B$10:$P$63,4,0),0)</f>
        <v>1</v>
      </c>
      <c r="J21" s="87">
        <f>IFERROR(VLOOKUP(B21,'[2]COMPRAS UC'!$B$11:$O$66,5,0),0)</f>
        <v>2</v>
      </c>
      <c r="K21" s="23">
        <f>IFERROR(VLOOKUP(B21,'[2]COMPRAS YUC'!$B$10:$P$63,5,0),0)</f>
        <v>9</v>
      </c>
      <c r="L21" s="87">
        <f>IFERROR(VLOOKUP(B21,'[2]COMPRAS UC'!$B$11:$O$66,6,0),0)</f>
        <v>5</v>
      </c>
      <c r="M21" s="23">
        <f>IFERROR(VLOOKUP(B21,'[2]COMPRAS YUC'!$B$10:$P$63,6,0),0)</f>
        <v>1</v>
      </c>
      <c r="N21" s="87">
        <f>IFERROR(VLOOKUP(B21,'[2]COMPRAS UC'!$B$11:$O$66,7,0),0)</f>
        <v>1</v>
      </c>
      <c r="O21" s="23">
        <f>IFERROR(VLOOKUP(B21,'[2]COMPRAS YUC'!$B$10:$P$63,7,0),0)</f>
        <v>2</v>
      </c>
      <c r="P21" s="87">
        <f>IFERROR(VLOOKUP(B21,'[2]COMPRAS UC'!$B$11:$O$66,8,0),0)</f>
        <v>1</v>
      </c>
      <c r="Q21" s="23">
        <f>IFERROR(VLOOKUP(B21,'[2]COMPRAS YUC'!$B$10:$P$63,8,0),0)</f>
        <v>9</v>
      </c>
      <c r="R21" s="87">
        <f>IFERROR(VLOOKUP(B21,'[2]COMPRAS UC'!$B$11:$O$66,9,0),0)</f>
        <v>0</v>
      </c>
      <c r="S21" s="23">
        <f>IFERROR(VLOOKUP(B21,'[2]COMPRAS YUC'!$B$10:$P$63,9,0),0)</f>
        <v>0</v>
      </c>
      <c r="T21" s="87">
        <f>IFERROR(VLOOKUP(B21,'[2]COMPRAS UC'!$B$11:$O$66,10,0),0)</f>
        <v>0</v>
      </c>
      <c r="U21" s="23">
        <f>IFERROR(VLOOKUP(B21,'[2]COMPRAS YUC'!$B$10:$P$63,10,0),0)</f>
        <v>0</v>
      </c>
      <c r="V21" s="87">
        <f>IFERROR(VLOOKUP(B21,'[2]COMPRAS UC'!$B$11:$O$66,11,0),0)</f>
        <v>0</v>
      </c>
      <c r="W21" s="23">
        <f>IFERROR(VLOOKUP(B21,'[2]COMPRAS YUC'!$B$10:$P$63,11,0),0)</f>
        <v>0</v>
      </c>
      <c r="X21" s="87">
        <f>IFERROR(VLOOKUP(B21,'[2]COMPRAS UC'!$B$11:$O$66,12,0),0)</f>
        <v>0</v>
      </c>
      <c r="Y21" s="23">
        <f>IFERROR(VLOOKUP(B21,'[2]COMPRAS YUC'!$B$10:$P$63,12,0),0)</f>
        <v>0</v>
      </c>
      <c r="Z21" s="87">
        <f>IFERROR(VLOOKUP(B21,'[2]COMPRAS UC'!$B$11:$O$66,13,0),0)</f>
        <v>0</v>
      </c>
      <c r="AA21" s="23">
        <f>IFERROR(VLOOKUP(B21,'[2]COMPRAS YUC'!$B$10:$P$63,13,0),0)</f>
        <v>0</v>
      </c>
      <c r="AB21" s="87">
        <f>IFERROR(VLOOKUP(B21,'[2]COMPRAS UC'!$B$11:$O$66,14,0),0)</f>
        <v>0</v>
      </c>
      <c r="AC21" s="23">
        <f>IFERROR(VLOOKUP(B21,'[2]COMPRAS YUC'!$B$10:$P$63,14,0),0)</f>
        <v>0</v>
      </c>
      <c r="AD21" s="210">
        <f>SUMIFS($F21:$AC21,$F$6:$AC$6,AD$6,$F$1:$AC$1,$AD$4)</f>
        <v>0</v>
      </c>
      <c r="AE21" s="108">
        <f t="shared" si="0"/>
        <v>12</v>
      </c>
      <c r="AF21" s="203">
        <f>SUMIFS($F21:$AC21,$F$6:$AC$6,AF$6,$F$1:$AC$1,$AD$4)</f>
        <v>0</v>
      </c>
      <c r="AG21" s="108">
        <f t="shared" si="1"/>
        <v>27</v>
      </c>
      <c r="AH21" s="228">
        <f>IFERROR(AE21+AG21,0)</f>
        <v>39</v>
      </c>
      <c r="AI21" s="210">
        <f>SUMIFS($F21:$AC21,$F$6:$AC$6,AI$6,$F$2:$AC$2,$AD$4)</f>
        <v>0</v>
      </c>
      <c r="AJ21" s="108">
        <f t="shared" si="2"/>
        <v>12</v>
      </c>
      <c r="AK21" s="203">
        <f>SUMIFS($F21:$AC21,$F$6:$AC$6,AK$6,$F$2:$AC$2,$AD$4)</f>
        <v>0</v>
      </c>
      <c r="AL21" s="108">
        <f t="shared" si="3"/>
        <v>27</v>
      </c>
      <c r="AM21" s="228">
        <f>AJ21+AL21</f>
        <v>39</v>
      </c>
      <c r="AN21" s="210"/>
      <c r="AO21" s="108">
        <f>IF($AN$5="Q1",F21+H21+J21,
IF($AN$5="Q2",L21+N21++P21,
IF($AN$5="Q3",R21+T21+V21,
IF($AN$5="Q4",X21+Z21+AB21,0))))</f>
        <v>0</v>
      </c>
      <c r="AP21" s="203"/>
      <c r="AQ21" s="110">
        <f>IF($AN$5="Q1",G21+I21+K21,
IF($AN$5="Q2",M21+O21++Q21,
IF($AN$5="Q3",S21+U21+W21,
IF($AN$5="Q4",Y21+AA21+AC21,0))))</f>
        <v>0</v>
      </c>
      <c r="AR21" s="228">
        <f>AO21+AQ21</f>
        <v>0</v>
      </c>
      <c r="AS21" s="210"/>
      <c r="AT21" s="108">
        <f t="shared" si="4"/>
        <v>12</v>
      </c>
      <c r="AU21" s="203"/>
      <c r="AV21" s="108">
        <f t="shared" si="5"/>
        <v>27</v>
      </c>
      <c r="AW21" s="228">
        <f>AT21+AV21</f>
        <v>39</v>
      </c>
      <c r="AX21" s="4">
        <v>1</v>
      </c>
      <c r="BE21" s="4">
        <v>92</v>
      </c>
      <c r="BM21" s="15">
        <f>SUM(L21:Q21)</f>
        <v>19</v>
      </c>
    </row>
    <row r="22" spans="1:65" s="4" customFormat="1" ht="15" customHeight="1" thickBot="1" x14ac:dyDescent="0.35">
      <c r="A22" s="4">
        <f>_xlfn.XLOOKUP(B22,'UC BMW 2026'!$B$5:$B$65,'UC BMW 2026'!$A$5:$A$65)</f>
        <v>3</v>
      </c>
      <c r="B22" s="8">
        <v>100764</v>
      </c>
      <c r="C22" s="369" t="s">
        <v>26</v>
      </c>
      <c r="D22" s="8">
        <v>41672</v>
      </c>
      <c r="E22" s="309" t="s">
        <v>277</v>
      </c>
      <c r="F22" s="199">
        <f>IFERROR(VLOOKUP(B22,'[2]COMPRAS UC'!$B$11:$O$66,3,0),0)</f>
        <v>0</v>
      </c>
      <c r="G22" s="23">
        <f>IFERROR(VLOOKUP(B22,'[2]COMPRAS YUC'!$B$10:$P$63,3,0),0)</f>
        <v>18</v>
      </c>
      <c r="H22" s="87">
        <f>IFERROR(VLOOKUP(B22,'[2]COMPRAS UC'!$B$11:$O$66,4,0),0)</f>
        <v>0</v>
      </c>
      <c r="I22" s="23">
        <f>IFERROR(VLOOKUP(B22,'[2]COMPRAS YUC'!$B$10:$P$63,4,0),0)</f>
        <v>9</v>
      </c>
      <c r="J22" s="87">
        <f>IFERROR(VLOOKUP(B22,'[2]COMPRAS UC'!$B$11:$O$66,5,0),0)</f>
        <v>1</v>
      </c>
      <c r="K22" s="23">
        <f>IFERROR(VLOOKUP(B22,'[2]COMPRAS YUC'!$B$10:$P$63,5,0),0)</f>
        <v>6</v>
      </c>
      <c r="L22" s="87">
        <f>IFERROR(VLOOKUP(B22,'[2]COMPRAS UC'!$B$11:$O$66,6,0),0)</f>
        <v>7</v>
      </c>
      <c r="M22" s="23">
        <f>IFERROR(VLOOKUP(B22,'[2]COMPRAS YUC'!$B$10:$P$63,6,0),0)</f>
        <v>9</v>
      </c>
      <c r="N22" s="87">
        <f>IFERROR(VLOOKUP(B22,'[2]COMPRAS UC'!$B$11:$O$66,7,0),0)</f>
        <v>1</v>
      </c>
      <c r="O22" s="23">
        <f>IFERROR(VLOOKUP(B22,'[2]COMPRAS YUC'!$B$10:$P$63,7,0),0)</f>
        <v>12</v>
      </c>
      <c r="P22" s="87">
        <f>IFERROR(VLOOKUP(B22,'[2]COMPRAS UC'!$B$11:$O$66,8,0),0)</f>
        <v>0</v>
      </c>
      <c r="Q22" s="23">
        <f>IFERROR(VLOOKUP(B22,'[2]COMPRAS YUC'!$B$10:$P$63,8,0),0)</f>
        <v>4</v>
      </c>
      <c r="R22" s="87">
        <f>IFERROR(VLOOKUP(B22,'[2]COMPRAS UC'!$B$11:$O$66,9,0),0)</f>
        <v>0</v>
      </c>
      <c r="S22" s="23">
        <f>IFERROR(VLOOKUP(B22,'[2]COMPRAS YUC'!$B$10:$P$63,9,0),0)</f>
        <v>0</v>
      </c>
      <c r="T22" s="87">
        <f>IFERROR(VLOOKUP(B22,'[2]COMPRAS UC'!$B$11:$O$66,10,0),0)</f>
        <v>0</v>
      </c>
      <c r="U22" s="23">
        <f>IFERROR(VLOOKUP(B22,'[2]COMPRAS YUC'!$B$10:$P$63,10,0),0)</f>
        <v>0</v>
      </c>
      <c r="V22" s="87">
        <f>IFERROR(VLOOKUP(B22,'[2]COMPRAS UC'!$B$11:$O$66,11,0),0)</f>
        <v>0</v>
      </c>
      <c r="W22" s="23">
        <f>IFERROR(VLOOKUP(B22,'[2]COMPRAS YUC'!$B$10:$P$63,11,0),0)</f>
        <v>0</v>
      </c>
      <c r="X22" s="87">
        <f>IFERROR(VLOOKUP(B22,'[2]COMPRAS UC'!$B$11:$O$66,12,0),0)</f>
        <v>0</v>
      </c>
      <c r="Y22" s="23">
        <f>IFERROR(VLOOKUP(B22,'[2]COMPRAS YUC'!$B$10:$P$63,12,0),0)</f>
        <v>0</v>
      </c>
      <c r="Z22" s="87">
        <f>IFERROR(VLOOKUP(B22,'[2]COMPRAS UC'!$B$11:$O$66,13,0),0)</f>
        <v>0</v>
      </c>
      <c r="AA22" s="23">
        <f>IFERROR(VLOOKUP(B22,'[2]COMPRAS YUC'!$B$10:$P$63,13,0),0)</f>
        <v>0</v>
      </c>
      <c r="AB22" s="87">
        <f>IFERROR(VLOOKUP(B22,'[2]COMPRAS UC'!$B$11:$O$66,14,0),0)</f>
        <v>0</v>
      </c>
      <c r="AC22" s="23">
        <f>IFERROR(VLOOKUP(B22,'[2]COMPRAS YUC'!$B$10:$P$63,14,0),0)</f>
        <v>0</v>
      </c>
      <c r="AD22" s="211">
        <f>SUMIFS($F22:$AC22,$F$6:$AC$6,AD$6,$F$1:$AC$1,$AD$4)</f>
        <v>0</v>
      </c>
      <c r="AE22" s="111">
        <f t="shared" si="0"/>
        <v>9</v>
      </c>
      <c r="AF22" s="204">
        <f>SUMIFS($F22:$AC22,$F$6:$AC$6,AF$6,$F$1:$AC$1,$AD$4)</f>
        <v>0</v>
      </c>
      <c r="AG22" s="111">
        <f t="shared" si="1"/>
        <v>58</v>
      </c>
      <c r="AH22" s="229">
        <f>IFERROR(AE22+AG22,0)</f>
        <v>67</v>
      </c>
      <c r="AI22" s="211">
        <f>SUMIFS($F22:$AC22,$F$6:$AC$6,AI$6,$F$2:$AC$2,$AD$4)</f>
        <v>0</v>
      </c>
      <c r="AJ22" s="111">
        <f t="shared" si="2"/>
        <v>9</v>
      </c>
      <c r="AK22" s="204">
        <f>SUMIFS($F22:$AC22,$F$6:$AC$6,AK$6,$F$2:$AC$2,$AD$4)</f>
        <v>0</v>
      </c>
      <c r="AL22" s="111">
        <f t="shared" si="3"/>
        <v>58</v>
      </c>
      <c r="AM22" s="229">
        <f>AJ22+AL22</f>
        <v>67</v>
      </c>
      <c r="AN22" s="211"/>
      <c r="AO22" s="111">
        <f>IF($AN$5="Q1",F22+H22+J22,
IF($AN$5="Q2",L22+N22++P22,
IF($AN$5="Q3",R22+T22+V22,
IF($AN$5="Q4",X22+Z22+AB22,0))))</f>
        <v>0</v>
      </c>
      <c r="AP22" s="204"/>
      <c r="AQ22" s="113">
        <f>IF($AN$5="Q1",G22+I22+K22,
IF($AN$5="Q2",M22+O22++Q22,
IF($AN$5="Q3",S22+U22+W22,
IF($AN$5="Q4",Y22+AA22+AC22,0))))</f>
        <v>0</v>
      </c>
      <c r="AR22" s="229">
        <f>AO22+AQ22</f>
        <v>0</v>
      </c>
      <c r="AS22" s="211"/>
      <c r="AT22" s="111">
        <f t="shared" si="4"/>
        <v>9</v>
      </c>
      <c r="AU22" s="204"/>
      <c r="AV22" s="111">
        <f t="shared" si="5"/>
        <v>58</v>
      </c>
      <c r="AW22" s="229">
        <f>AT22+AV22</f>
        <v>67</v>
      </c>
      <c r="AX22" s="4">
        <v>1</v>
      </c>
      <c r="BE22" s="4">
        <v>92</v>
      </c>
      <c r="BM22" s="15">
        <f>SUM(L22:Q22)</f>
        <v>33</v>
      </c>
    </row>
    <row r="23" spans="1:65" s="4" customFormat="1" ht="15" customHeight="1" thickBot="1" x14ac:dyDescent="0.35">
      <c r="A23" s="4">
        <f>_xlfn.XLOOKUP(B23,'UC BMW 2026'!$B$5:$B$65,'UC BMW 2026'!$A$5:$A$65)</f>
        <v>0</v>
      </c>
      <c r="B23" s="7" t="s">
        <v>273</v>
      </c>
      <c r="C23" s="28"/>
      <c r="D23" s="29"/>
      <c r="E23" s="7"/>
      <c r="F23" s="200">
        <f t="shared" ref="F23:AC23" si="10">SUM(F18:F22)</f>
        <v>6</v>
      </c>
      <c r="G23" s="32">
        <f t="shared" si="10"/>
        <v>38</v>
      </c>
      <c r="H23" s="200">
        <f t="shared" si="10"/>
        <v>9</v>
      </c>
      <c r="I23" s="32">
        <f t="shared" si="10"/>
        <v>24</v>
      </c>
      <c r="J23" s="200">
        <f t="shared" si="10"/>
        <v>5</v>
      </c>
      <c r="K23" s="32">
        <f>SUM(K18:K22)</f>
        <v>27</v>
      </c>
      <c r="L23" s="200">
        <f t="shared" si="10"/>
        <v>19</v>
      </c>
      <c r="M23" s="32">
        <f t="shared" si="10"/>
        <v>17</v>
      </c>
      <c r="N23" s="200">
        <f t="shared" si="10"/>
        <v>2</v>
      </c>
      <c r="O23" s="32">
        <f t="shared" si="10"/>
        <v>20</v>
      </c>
      <c r="P23" s="200">
        <f t="shared" si="10"/>
        <v>3</v>
      </c>
      <c r="Q23" s="32">
        <f t="shared" si="10"/>
        <v>16</v>
      </c>
      <c r="R23" s="200">
        <f t="shared" si="10"/>
        <v>0</v>
      </c>
      <c r="S23" s="32">
        <f t="shared" si="10"/>
        <v>0</v>
      </c>
      <c r="T23" s="200">
        <f t="shared" si="10"/>
        <v>0</v>
      </c>
      <c r="U23" s="32">
        <f t="shared" si="10"/>
        <v>0</v>
      </c>
      <c r="V23" s="200">
        <f t="shared" si="10"/>
        <v>0</v>
      </c>
      <c r="W23" s="32">
        <f t="shared" si="10"/>
        <v>0</v>
      </c>
      <c r="X23" s="200">
        <f t="shared" si="10"/>
        <v>0</v>
      </c>
      <c r="Y23" s="32">
        <f t="shared" si="10"/>
        <v>0</v>
      </c>
      <c r="Z23" s="200">
        <f t="shared" si="10"/>
        <v>0</v>
      </c>
      <c r="AA23" s="32">
        <f t="shared" si="10"/>
        <v>0</v>
      </c>
      <c r="AB23" s="200">
        <f t="shared" si="10"/>
        <v>0</v>
      </c>
      <c r="AC23" s="32">
        <f t="shared" si="10"/>
        <v>0</v>
      </c>
      <c r="AD23" s="213">
        <f>SUM(AD18:AD21)</f>
        <v>0</v>
      </c>
      <c r="AE23" s="114">
        <f t="shared" si="0"/>
        <v>44</v>
      </c>
      <c r="AF23" s="206">
        <f>SUM(AF18:AF21)</f>
        <v>0</v>
      </c>
      <c r="AG23" s="114">
        <f t="shared" si="1"/>
        <v>142</v>
      </c>
      <c r="AH23" s="245">
        <f>SUM(AH18:AH22)</f>
        <v>186</v>
      </c>
      <c r="AI23" s="213">
        <f>SUM(AI18:AI21)</f>
        <v>0</v>
      </c>
      <c r="AJ23" s="114">
        <f t="shared" si="2"/>
        <v>44</v>
      </c>
      <c r="AK23" s="206">
        <f>SUM(AK18:AK21)</f>
        <v>0</v>
      </c>
      <c r="AL23" s="114">
        <f t="shared" si="3"/>
        <v>142</v>
      </c>
      <c r="AM23" s="245">
        <f>SUM(AM18:AM22)</f>
        <v>186</v>
      </c>
      <c r="AN23" s="213">
        <f t="shared" ref="AN23:AS23" si="11">SUM(AN18:AN21)</f>
        <v>0</v>
      </c>
      <c r="AO23" s="114">
        <f t="shared" si="11"/>
        <v>0</v>
      </c>
      <c r="AP23" s="206">
        <f t="shared" si="11"/>
        <v>0</v>
      </c>
      <c r="AQ23" s="115">
        <f t="shared" si="11"/>
        <v>0</v>
      </c>
      <c r="AR23" s="245">
        <f>SUM(AR18:AR22)</f>
        <v>0</v>
      </c>
      <c r="AS23" s="213">
        <f t="shared" si="11"/>
        <v>0</v>
      </c>
      <c r="AT23" s="114">
        <f t="shared" si="4"/>
        <v>44</v>
      </c>
      <c r="AU23" s="206"/>
      <c r="AV23" s="114">
        <f t="shared" si="5"/>
        <v>142</v>
      </c>
      <c r="AW23" s="245">
        <f>SUM(AW18:AW22)</f>
        <v>186</v>
      </c>
      <c r="AX23" s="4">
        <v>0</v>
      </c>
      <c r="BE23" s="4">
        <v>81</v>
      </c>
      <c r="BM23" s="15"/>
    </row>
    <row r="24" spans="1:65" s="4" customFormat="1" ht="15" customHeight="1" x14ac:dyDescent="0.3">
      <c r="A24" s="4">
        <f>_xlfn.XLOOKUP(B24,'UC BMW 2026'!$B$5:$B$65,'UC BMW 2026'!$A$5:$A$65)</f>
        <v>4</v>
      </c>
      <c r="B24" s="8">
        <v>100120</v>
      </c>
      <c r="C24" s="369" t="s">
        <v>44</v>
      </c>
      <c r="D24" s="8">
        <v>1211</v>
      </c>
      <c r="E24" s="309" t="s">
        <v>80</v>
      </c>
      <c r="F24" s="199">
        <f>IFERROR(VLOOKUP(B24,'[2]COMPRAS UC'!$B$11:$O$66,3,0),0)</f>
        <v>0</v>
      </c>
      <c r="G24" s="23">
        <f>IFERROR(VLOOKUP(B24,'[2]COMPRAS YUC'!$B$10:$P$63,3,0),0)</f>
        <v>0</v>
      </c>
      <c r="H24" s="87">
        <f>IFERROR(VLOOKUP(B24,'[2]COMPRAS UC'!$B$11:$O$66,4,0),0)</f>
        <v>0</v>
      </c>
      <c r="I24" s="23">
        <f>IFERROR(VLOOKUP(B24,'[2]COMPRAS YUC'!$B$10:$P$63,4,0),0)</f>
        <v>0</v>
      </c>
      <c r="J24" s="87">
        <f>IFERROR(VLOOKUP(B24,'[2]COMPRAS UC'!$B$11:$O$66,5,0),0)</f>
        <v>0</v>
      </c>
      <c r="K24" s="23">
        <f>IFERROR(VLOOKUP(B24,'[2]COMPRAS YUC'!$B$10:$P$63,5,0),0)</f>
        <v>0</v>
      </c>
      <c r="L24" s="87">
        <f>IFERROR(VLOOKUP(B24,'[2]COMPRAS UC'!$B$11:$O$66,6,0),0)</f>
        <v>0</v>
      </c>
      <c r="M24" s="23">
        <f>IFERROR(VLOOKUP(B24,'[2]COMPRAS YUC'!$B$10:$P$63,6,0),0)</f>
        <v>0</v>
      </c>
      <c r="N24" s="87">
        <f>IFERROR(VLOOKUP(B24,'[2]COMPRAS UC'!$B$11:$O$66,7,0),0)</f>
        <v>0</v>
      </c>
      <c r="O24" s="23">
        <f>IFERROR(VLOOKUP(B24,'[2]COMPRAS YUC'!$B$10:$P$63,7,0),0)</f>
        <v>0</v>
      </c>
      <c r="P24" s="87">
        <f>IFERROR(VLOOKUP(B24,'[2]COMPRAS UC'!$B$11:$O$66,8,0),0)</f>
        <v>0</v>
      </c>
      <c r="Q24" s="23">
        <f>IFERROR(VLOOKUP(B24,'[2]COMPRAS YUC'!$B$10:$P$63,8,0),0)</f>
        <v>0</v>
      </c>
      <c r="R24" s="87">
        <f>IFERROR(VLOOKUP(B24,'[2]COMPRAS UC'!$B$11:$O$66,9,0),0)</f>
        <v>0</v>
      </c>
      <c r="S24" s="23">
        <f>IFERROR(VLOOKUP(B24,'[2]COMPRAS YUC'!$B$10:$P$63,9,0),0)</f>
        <v>0</v>
      </c>
      <c r="T24" s="87">
        <f>IFERROR(VLOOKUP(B24,'[2]COMPRAS UC'!$B$11:$O$66,10,0),0)</f>
        <v>0</v>
      </c>
      <c r="U24" s="23">
        <f>IFERROR(VLOOKUP(B24,'[2]COMPRAS YUC'!$B$10:$P$63,10,0),0)</f>
        <v>0</v>
      </c>
      <c r="V24" s="87">
        <f>IFERROR(VLOOKUP(B24,'[2]COMPRAS UC'!$B$11:$O$66,11,0),0)</f>
        <v>0</v>
      </c>
      <c r="W24" s="23">
        <f>IFERROR(VLOOKUP(B24,'[2]COMPRAS YUC'!$B$10:$P$63,11,0),0)</f>
        <v>0</v>
      </c>
      <c r="X24" s="87">
        <f>IFERROR(VLOOKUP(B24,'[2]COMPRAS UC'!$B$11:$O$66,12,0),0)</f>
        <v>0</v>
      </c>
      <c r="Y24" s="23">
        <f>IFERROR(VLOOKUP(B24,'[2]COMPRAS YUC'!$B$10:$P$63,12,0),0)</f>
        <v>0</v>
      </c>
      <c r="Z24" s="87">
        <f>IFERROR(VLOOKUP(B24,'[2]COMPRAS UC'!$B$11:$O$66,13,0),0)</f>
        <v>0</v>
      </c>
      <c r="AA24" s="23">
        <f>IFERROR(VLOOKUP(B24,'[2]COMPRAS YUC'!$B$10:$P$63,13,0),0)</f>
        <v>0</v>
      </c>
      <c r="AB24" s="87">
        <f>IFERROR(VLOOKUP(B24,'[2]COMPRAS UC'!$B$11:$O$66,14,0),0)</f>
        <v>0</v>
      </c>
      <c r="AC24" s="23">
        <f>IFERROR(VLOOKUP(B24,'[2]COMPRAS YUC'!$B$10:$P$63,14,0),0)</f>
        <v>0</v>
      </c>
      <c r="AD24" s="211">
        <f t="shared" ref="AD24:AD30" si="12">SUMIFS($F24:$AC24,$F$6:$AC$6,AD$6,$F$1:$AC$1,$AD$4)</f>
        <v>0</v>
      </c>
      <c r="AE24" s="111">
        <f t="shared" ref="AE24:AE30" si="13">IFERROR(IF($AD$4="ENERO",F24,IF($AD$4="FEBRERO",F24+H24,IF($AD$4="MARZO",F24+H24+J24,IF($AD$4="ABRIL",F24+H24+J24+L24,IF($AD$4="MAYO",F24+H24+J24+L24+N24,IF($AD$4="JUNIO",F24+H24+J24+L24+N24+P24,IF($AD$4="JULIO",F24+H24+J24+L24+N24+P24+R24,IF($AD$4="AGOSTO",F24+H24+J24+L24+N24+P24+R24+T24,IF($AD$4="SEPTIEMBRE",F24+H24+J24+L24+N24+P24+R24+T24+V24,IF($AD$4="OCTUBRE",F24+H24+J24+L24+N24+P24+R24+T24+V24+X24,IF($AD$4="NOVIEMBRE",F24+H24+J24+L24+N24+P24+R24+T24+V24+X24+Z24,IF($AD$4="DICIEMBRE",F24+H24+J24+L24+N24+P24+R24+T24+V24+X24+Z24+AB24,"")))))))))))),0)</f>
        <v>0</v>
      </c>
      <c r="AF24" s="204">
        <f t="shared" ref="AF24:AF30" si="14">SUMIFS($F24:$AC24,$F$6:$AC$6,AF$6,$F$1:$AC$1,$AD$4)</f>
        <v>0</v>
      </c>
      <c r="AG24" s="111">
        <f t="shared" si="1"/>
        <v>0</v>
      </c>
      <c r="AH24" s="229">
        <f t="shared" ref="AH24:AH30" si="15">IFERROR(AE24+AG24,0)</f>
        <v>0</v>
      </c>
      <c r="AI24" s="211">
        <f t="shared" ref="AI24:AI30" si="16">SUMIFS($F24:$AC24,$F$6:$AC$6,AI$6,$F$2:$AC$2,$AD$4)</f>
        <v>0</v>
      </c>
      <c r="AJ24" s="111">
        <f t="shared" ref="AJ24:AJ30" si="17">IFERROR(SUM(F24,H24,J24,L24,N24,P24,R24,T24,V24,X24,Z24,AB24),0)</f>
        <v>0</v>
      </c>
      <c r="AK24" s="204">
        <f t="shared" ref="AK24:AK30" si="18">SUMIFS($F24:$AC24,$F$6:$AC$6,AK$6,$F$2:$AC$2,$AD$4)</f>
        <v>0</v>
      </c>
      <c r="AL24" s="111">
        <f t="shared" ref="AL24:AL30" si="19">IFERROR(SUM(G24,I24,K24,M24,O24,Q24,S24,U24,W24,Y24,AA24,AC24),0)</f>
        <v>0</v>
      </c>
      <c r="AM24" s="246">
        <f t="shared" ref="AM24:AM30" si="20">AJ24+AL24</f>
        <v>0</v>
      </c>
      <c r="AN24" s="211"/>
      <c r="AO24" s="111">
        <f t="shared" ref="AO24:AO30" si="21">IF($AN$5="Q1",F24+H24+J24,
IF($AN$5="Q2",L24+N24++P24,
IF($AN$5="Q3",R24+T24+V24,
IF($AN$5="Q4",X24+Z24+AB24,0))))</f>
        <v>0</v>
      </c>
      <c r="AP24" s="204"/>
      <c r="AQ24" s="113">
        <f t="shared" ref="AQ24:AQ30" si="22">IF($AN$5="Q1",G24+I24+K24,
IF($AN$5="Q2",M24+O24++Q24,
IF($AN$5="Q3",S24+U24+W24,
IF($AN$5="Q4",Y24+AA24+AC24,0))))</f>
        <v>0</v>
      </c>
      <c r="AR24" s="246">
        <f t="shared" ref="AR24:AR30" si="23">AO24+AQ24</f>
        <v>0</v>
      </c>
      <c r="AS24" s="211"/>
      <c r="AT24" s="111">
        <f t="shared" ref="AT24:AT30" si="24">IFERROR(IF($AS$5="S 1",F24+H24+J24+L24+N24++P24,
IF($AS$5="S 2",R24+T24+V24+X24+Z24+AB24,0)),0)</f>
        <v>0</v>
      </c>
      <c r="AU24" s="204"/>
      <c r="AV24" s="111">
        <f t="shared" ref="AV24:AV30" si="25">IFERROR(IF($AS$5="S 1",G24+I24+K24+M24+O24++Q24,
IF($AS$5="S 2",S24+U24+W24+Y24+AA24+AC24,0)),0)</f>
        <v>0</v>
      </c>
      <c r="AW24" s="246">
        <f t="shared" ref="AW24:AW30" si="26">AT24+AV24</f>
        <v>0</v>
      </c>
      <c r="AX24" s="4">
        <v>1</v>
      </c>
      <c r="BE24" s="4">
        <v>76</v>
      </c>
      <c r="BM24" s="15">
        <f t="shared" ref="BM24:BM30" si="27">SUM(L24:Q24)</f>
        <v>0</v>
      </c>
    </row>
    <row r="25" spans="1:65" s="4" customFormat="1" ht="15" customHeight="1" x14ac:dyDescent="0.3">
      <c r="A25" s="4">
        <f>_xlfn.XLOOKUP(B25,'UC BMW 2026'!$B$5:$B$65,'UC BMW 2026'!$A$5:$A$65)</f>
        <v>4</v>
      </c>
      <c r="B25" s="8">
        <v>100146</v>
      </c>
      <c r="C25" s="369" t="s">
        <v>18</v>
      </c>
      <c r="D25" s="8">
        <v>9785</v>
      </c>
      <c r="E25" s="309" t="s">
        <v>81</v>
      </c>
      <c r="F25" s="199">
        <f>IFERROR(VLOOKUP(B25,'[2]COMPRAS UC'!$B$11:$O$66,3,0),0)</f>
        <v>0</v>
      </c>
      <c r="G25" s="23">
        <f>IFERROR(VLOOKUP(B25,'[2]COMPRAS YUC'!$B$10:$P$63,3,0),0)</f>
        <v>0</v>
      </c>
      <c r="H25" s="87">
        <f>IFERROR(VLOOKUP(B25,'[2]COMPRAS UC'!$B$11:$O$66,4,0),0)</f>
        <v>0</v>
      </c>
      <c r="I25" s="23">
        <f>IFERROR(VLOOKUP(B25,'[2]COMPRAS YUC'!$B$10:$P$63,4,0),0)</f>
        <v>0</v>
      </c>
      <c r="J25" s="87">
        <f>IFERROR(VLOOKUP(B25,'[2]COMPRAS UC'!$B$11:$O$66,5,0),0)</f>
        <v>0</v>
      </c>
      <c r="K25" s="23">
        <f>IFERROR(VLOOKUP(B25,'[2]COMPRAS YUC'!$B$10:$P$63,5,0),0)</f>
        <v>0</v>
      </c>
      <c r="L25" s="87">
        <f>IFERROR(VLOOKUP(B25,'[2]COMPRAS UC'!$B$11:$O$66,6,0),0)</f>
        <v>0</v>
      </c>
      <c r="M25" s="23">
        <f>IFERROR(VLOOKUP(B25,'[2]COMPRAS YUC'!$B$10:$P$63,6,0),0)</f>
        <v>0</v>
      </c>
      <c r="N25" s="87">
        <f>IFERROR(VLOOKUP(B25,'[2]COMPRAS UC'!$B$11:$O$66,7,0),0)</f>
        <v>0</v>
      </c>
      <c r="O25" s="23">
        <f>IFERROR(VLOOKUP(B25,'[2]COMPRAS YUC'!$B$10:$P$63,7,0),0)</f>
        <v>0</v>
      </c>
      <c r="P25" s="87">
        <f>IFERROR(VLOOKUP(B25,'[2]COMPRAS UC'!$B$11:$O$66,8,0),0)</f>
        <v>2</v>
      </c>
      <c r="Q25" s="23">
        <f>IFERROR(VLOOKUP(B25,'[2]COMPRAS YUC'!$B$10:$P$63,8,0),0)</f>
        <v>0</v>
      </c>
      <c r="R25" s="87">
        <f>IFERROR(VLOOKUP(B25,'[2]COMPRAS UC'!$B$11:$O$66,9,0),0)</f>
        <v>0</v>
      </c>
      <c r="S25" s="23">
        <f>IFERROR(VLOOKUP(B25,'[2]COMPRAS YUC'!$B$10:$P$63,9,0),0)</f>
        <v>0</v>
      </c>
      <c r="T25" s="87">
        <f>IFERROR(VLOOKUP(B25,'[2]COMPRAS UC'!$B$11:$O$66,10,0),0)</f>
        <v>0</v>
      </c>
      <c r="U25" s="23">
        <f>IFERROR(VLOOKUP(B25,'[2]COMPRAS YUC'!$B$10:$P$63,10,0),0)</f>
        <v>0</v>
      </c>
      <c r="V25" s="87">
        <f>IFERROR(VLOOKUP(B25,'[2]COMPRAS UC'!$B$11:$O$66,11,0),0)</f>
        <v>0</v>
      </c>
      <c r="W25" s="23">
        <f>IFERROR(VLOOKUP(B25,'[2]COMPRAS YUC'!$B$10:$P$63,11,0),0)</f>
        <v>0</v>
      </c>
      <c r="X25" s="87">
        <f>IFERROR(VLOOKUP(B25,'[2]COMPRAS UC'!$B$11:$O$66,12,0),0)</f>
        <v>0</v>
      </c>
      <c r="Y25" s="23">
        <f>IFERROR(VLOOKUP(B25,'[2]COMPRAS YUC'!$B$10:$P$63,12,0),0)</f>
        <v>0</v>
      </c>
      <c r="Z25" s="87">
        <f>IFERROR(VLOOKUP(B25,'[2]COMPRAS UC'!$B$11:$O$66,13,0),0)</f>
        <v>0</v>
      </c>
      <c r="AA25" s="23">
        <f>IFERROR(VLOOKUP(B25,'[2]COMPRAS YUC'!$B$10:$P$63,13,0),0)</f>
        <v>0</v>
      </c>
      <c r="AB25" s="87">
        <f>IFERROR(VLOOKUP(B25,'[2]COMPRAS UC'!$B$11:$O$66,14,0),0)</f>
        <v>0</v>
      </c>
      <c r="AC25" s="23">
        <f>IFERROR(VLOOKUP(B25,'[2]COMPRAS YUC'!$B$10:$P$63,14,0),0)</f>
        <v>0</v>
      </c>
      <c r="AD25" s="211">
        <f t="shared" si="12"/>
        <v>0</v>
      </c>
      <c r="AE25" s="111">
        <f t="shared" si="13"/>
        <v>2</v>
      </c>
      <c r="AF25" s="204">
        <f t="shared" si="14"/>
        <v>0</v>
      </c>
      <c r="AG25" s="111">
        <f t="shared" si="1"/>
        <v>0</v>
      </c>
      <c r="AH25" s="229">
        <f t="shared" si="15"/>
        <v>2</v>
      </c>
      <c r="AI25" s="211">
        <f t="shared" si="16"/>
        <v>0</v>
      </c>
      <c r="AJ25" s="111">
        <f t="shared" si="17"/>
        <v>2</v>
      </c>
      <c r="AK25" s="204">
        <f t="shared" si="18"/>
        <v>0</v>
      </c>
      <c r="AL25" s="111">
        <f t="shared" si="19"/>
        <v>0</v>
      </c>
      <c r="AM25" s="229">
        <f t="shared" si="20"/>
        <v>2</v>
      </c>
      <c r="AN25" s="211"/>
      <c r="AO25" s="111">
        <f t="shared" si="21"/>
        <v>0</v>
      </c>
      <c r="AP25" s="204"/>
      <c r="AQ25" s="113">
        <f t="shared" si="22"/>
        <v>0</v>
      </c>
      <c r="AR25" s="229">
        <f t="shared" si="23"/>
        <v>0</v>
      </c>
      <c r="AS25" s="211"/>
      <c r="AT25" s="111">
        <f t="shared" si="24"/>
        <v>2</v>
      </c>
      <c r="AU25" s="204"/>
      <c r="AV25" s="111">
        <f t="shared" si="25"/>
        <v>0</v>
      </c>
      <c r="AW25" s="229">
        <f t="shared" si="26"/>
        <v>2</v>
      </c>
      <c r="AX25" s="4">
        <v>1</v>
      </c>
      <c r="BE25" s="4">
        <v>67</v>
      </c>
      <c r="BM25" s="15">
        <f t="shared" si="27"/>
        <v>2</v>
      </c>
    </row>
    <row r="26" spans="1:65" s="4" customFormat="1" ht="15" customHeight="1" x14ac:dyDescent="0.3">
      <c r="A26" s="4">
        <f>_xlfn.XLOOKUP(B26,'UC BMW 2026'!$B$5:$B$65,'UC BMW 2026'!$A$5:$A$65)</f>
        <v>4</v>
      </c>
      <c r="B26" s="8">
        <v>100155</v>
      </c>
      <c r="C26" s="369" t="s">
        <v>167</v>
      </c>
      <c r="D26" s="8">
        <v>1212</v>
      </c>
      <c r="E26" s="309" t="s">
        <v>82</v>
      </c>
      <c r="F26" s="199">
        <f>IFERROR(VLOOKUP(B26,'[2]COMPRAS UC'!$B$11:$O$66,3,0),0)</f>
        <v>0</v>
      </c>
      <c r="G26" s="23">
        <f>IFERROR(VLOOKUP(B26,'[2]COMPRAS YUC'!$B$10:$P$63,3,0),0)</f>
        <v>0</v>
      </c>
      <c r="H26" s="87">
        <f>IFERROR(VLOOKUP(B26,'[2]COMPRAS UC'!$B$11:$O$66,4,0),0)</f>
        <v>0</v>
      </c>
      <c r="I26" s="23">
        <f>IFERROR(VLOOKUP(B26,'[2]COMPRAS YUC'!$B$10:$P$63,4,0),0)</f>
        <v>0</v>
      </c>
      <c r="J26" s="87">
        <f>IFERROR(VLOOKUP(B26,'[2]COMPRAS UC'!$B$11:$O$66,5,0),0)</f>
        <v>0</v>
      </c>
      <c r="K26" s="23">
        <f>IFERROR(VLOOKUP(B26,'[2]COMPRAS YUC'!$B$10:$P$63,5,0),0)</f>
        <v>0</v>
      </c>
      <c r="L26" s="87">
        <f>IFERROR(VLOOKUP(B26,'[2]COMPRAS UC'!$B$11:$O$66,6,0),0)</f>
        <v>0</v>
      </c>
      <c r="M26" s="23">
        <f>IFERROR(VLOOKUP(B26,'[2]COMPRAS YUC'!$B$10:$P$63,6,0),0)</f>
        <v>0</v>
      </c>
      <c r="N26" s="87">
        <f>IFERROR(VLOOKUP(B26,'[2]COMPRAS UC'!$B$11:$O$66,7,0),0)</f>
        <v>0</v>
      </c>
      <c r="O26" s="23">
        <f>IFERROR(VLOOKUP(B26,'[2]COMPRAS YUC'!$B$10:$P$63,7,0),0)</f>
        <v>1</v>
      </c>
      <c r="P26" s="87">
        <f>IFERROR(VLOOKUP(B26,'[2]COMPRAS UC'!$B$11:$O$66,8,0),0)</f>
        <v>0</v>
      </c>
      <c r="Q26" s="23">
        <f>IFERROR(VLOOKUP(B26,'[2]COMPRAS YUC'!$B$10:$P$63,8,0),0)</f>
        <v>0</v>
      </c>
      <c r="R26" s="87">
        <f>IFERROR(VLOOKUP(B26,'[2]COMPRAS UC'!$B$11:$O$66,9,0),0)</f>
        <v>0</v>
      </c>
      <c r="S26" s="23">
        <f>IFERROR(VLOOKUP(B26,'[2]COMPRAS YUC'!$B$10:$P$63,9,0),0)</f>
        <v>0</v>
      </c>
      <c r="T26" s="87">
        <f>IFERROR(VLOOKUP(B26,'[2]COMPRAS UC'!$B$11:$O$66,10,0),0)</f>
        <v>0</v>
      </c>
      <c r="U26" s="23">
        <f>IFERROR(VLOOKUP(B26,'[2]COMPRAS YUC'!$B$10:$P$63,10,0),0)</f>
        <v>0</v>
      </c>
      <c r="V26" s="87">
        <f>IFERROR(VLOOKUP(B26,'[2]COMPRAS UC'!$B$11:$O$66,11,0),0)</f>
        <v>0</v>
      </c>
      <c r="W26" s="23">
        <f>IFERROR(VLOOKUP(B26,'[2]COMPRAS YUC'!$B$10:$P$63,11,0),0)</f>
        <v>0</v>
      </c>
      <c r="X26" s="87">
        <f>IFERROR(VLOOKUP(B26,'[2]COMPRAS UC'!$B$11:$O$66,12,0),0)</f>
        <v>0</v>
      </c>
      <c r="Y26" s="23">
        <f>IFERROR(VLOOKUP(B26,'[2]COMPRAS YUC'!$B$10:$P$63,12,0),0)</f>
        <v>0</v>
      </c>
      <c r="Z26" s="87">
        <f>IFERROR(VLOOKUP(B26,'[2]COMPRAS UC'!$B$11:$O$66,13,0),0)</f>
        <v>0</v>
      </c>
      <c r="AA26" s="23">
        <f>IFERROR(VLOOKUP(B26,'[2]COMPRAS YUC'!$B$10:$P$63,13,0),0)</f>
        <v>0</v>
      </c>
      <c r="AB26" s="87">
        <f>IFERROR(VLOOKUP(B26,'[2]COMPRAS UC'!$B$11:$O$66,14,0),0)</f>
        <v>0</v>
      </c>
      <c r="AC26" s="23">
        <f>IFERROR(VLOOKUP(B26,'[2]COMPRAS YUC'!$B$10:$P$63,14,0),0)</f>
        <v>0</v>
      </c>
      <c r="AD26" s="211">
        <f t="shared" si="12"/>
        <v>0</v>
      </c>
      <c r="AE26" s="111">
        <f t="shared" si="13"/>
        <v>0</v>
      </c>
      <c r="AF26" s="204">
        <f t="shared" si="14"/>
        <v>0</v>
      </c>
      <c r="AG26" s="111">
        <f t="shared" si="1"/>
        <v>1</v>
      </c>
      <c r="AH26" s="229">
        <f t="shared" si="15"/>
        <v>1</v>
      </c>
      <c r="AI26" s="211">
        <f t="shared" si="16"/>
        <v>0</v>
      </c>
      <c r="AJ26" s="111">
        <f t="shared" si="17"/>
        <v>0</v>
      </c>
      <c r="AK26" s="204">
        <f t="shared" si="18"/>
        <v>0</v>
      </c>
      <c r="AL26" s="111">
        <f t="shared" si="19"/>
        <v>1</v>
      </c>
      <c r="AM26" s="229">
        <f t="shared" si="20"/>
        <v>1</v>
      </c>
      <c r="AN26" s="211"/>
      <c r="AO26" s="111">
        <f t="shared" si="21"/>
        <v>0</v>
      </c>
      <c r="AP26" s="204"/>
      <c r="AQ26" s="113">
        <f t="shared" si="22"/>
        <v>0</v>
      </c>
      <c r="AR26" s="229">
        <f t="shared" si="23"/>
        <v>0</v>
      </c>
      <c r="AS26" s="211"/>
      <c r="AT26" s="111">
        <f t="shared" si="24"/>
        <v>0</v>
      </c>
      <c r="AU26" s="204"/>
      <c r="AV26" s="111">
        <f t="shared" si="25"/>
        <v>1</v>
      </c>
      <c r="AW26" s="229">
        <f t="shared" si="26"/>
        <v>1</v>
      </c>
      <c r="AX26" s="4">
        <v>1</v>
      </c>
      <c r="BE26" s="4">
        <v>66</v>
      </c>
      <c r="BM26" s="15">
        <f t="shared" si="27"/>
        <v>1</v>
      </c>
    </row>
    <row r="27" spans="1:65" s="4" customFormat="1" ht="15" customHeight="1" x14ac:dyDescent="0.3">
      <c r="A27" s="4">
        <f>_xlfn.XLOOKUP(B27,'UC BMW 2026'!$B$5:$B$65,'UC BMW 2026'!$A$5:$A$65)</f>
        <v>4</v>
      </c>
      <c r="B27" s="8">
        <v>100304</v>
      </c>
      <c r="C27" s="369" t="s">
        <v>45</v>
      </c>
      <c r="D27" s="8">
        <v>9785</v>
      </c>
      <c r="E27" s="309" t="s">
        <v>81</v>
      </c>
      <c r="F27" s="199">
        <f>IFERROR(VLOOKUP(B27,'[2]COMPRAS UC'!$B$11:$O$66,3,0),0)</f>
        <v>0</v>
      </c>
      <c r="G27" s="23">
        <f>IFERROR(VLOOKUP(B27,'[2]COMPRAS YUC'!$B$10:$P$63,3,0),0)</f>
        <v>3</v>
      </c>
      <c r="H27" s="87">
        <f>IFERROR(VLOOKUP(B27,'[2]COMPRAS UC'!$B$11:$O$66,4,0),0)</f>
        <v>0</v>
      </c>
      <c r="I27" s="23">
        <f>IFERROR(VLOOKUP(B27,'[2]COMPRAS YUC'!$B$10:$P$63,4,0),0)</f>
        <v>5</v>
      </c>
      <c r="J27" s="87">
        <f>IFERROR(VLOOKUP(B27,'[2]COMPRAS UC'!$B$11:$O$66,5,0),0)</f>
        <v>2</v>
      </c>
      <c r="K27" s="23">
        <f>IFERROR(VLOOKUP(B27,'[2]COMPRAS YUC'!$B$10:$P$63,5,0),0)</f>
        <v>4</v>
      </c>
      <c r="L27" s="87">
        <f>IFERROR(VLOOKUP(B27,'[2]COMPRAS UC'!$B$11:$O$66,6,0),0)</f>
        <v>0</v>
      </c>
      <c r="M27" s="23">
        <f>IFERROR(VLOOKUP(B27,'[2]COMPRAS YUC'!$B$10:$P$63,6,0),0)</f>
        <v>4</v>
      </c>
      <c r="N27" s="87">
        <f>IFERROR(VLOOKUP(B27,'[2]COMPRAS UC'!$B$11:$O$66,7,0),0)</f>
        <v>0</v>
      </c>
      <c r="O27" s="23">
        <f>IFERROR(VLOOKUP(B27,'[2]COMPRAS YUC'!$B$10:$P$63,7,0),0)</f>
        <v>5</v>
      </c>
      <c r="P27" s="87">
        <f>IFERROR(VLOOKUP(B27,'[2]COMPRAS UC'!$B$11:$O$66,8,0),0)</f>
        <v>0</v>
      </c>
      <c r="Q27" s="23">
        <f>IFERROR(VLOOKUP(B27,'[2]COMPRAS YUC'!$B$10:$P$63,8,0),0)</f>
        <v>3</v>
      </c>
      <c r="R27" s="87">
        <f>IFERROR(VLOOKUP(B27,'[2]COMPRAS UC'!$B$11:$O$66,9,0),0)</f>
        <v>0</v>
      </c>
      <c r="S27" s="23">
        <f>IFERROR(VLOOKUP(B27,'[2]COMPRAS YUC'!$B$10:$P$63,9,0),0)</f>
        <v>0</v>
      </c>
      <c r="T27" s="87">
        <f>IFERROR(VLOOKUP(B27,'[2]COMPRAS UC'!$B$11:$O$66,10,0),0)</f>
        <v>0</v>
      </c>
      <c r="U27" s="23">
        <f>IFERROR(VLOOKUP(B27,'[2]COMPRAS YUC'!$B$10:$P$63,10,0),0)</f>
        <v>0</v>
      </c>
      <c r="V27" s="87">
        <f>IFERROR(VLOOKUP(B27,'[2]COMPRAS UC'!$B$11:$O$66,11,0),0)</f>
        <v>0</v>
      </c>
      <c r="W27" s="23">
        <f>IFERROR(VLOOKUP(B27,'[2]COMPRAS YUC'!$B$10:$P$63,11,0),0)</f>
        <v>0</v>
      </c>
      <c r="X27" s="87">
        <f>IFERROR(VLOOKUP(B27,'[2]COMPRAS UC'!$B$11:$O$66,12,0),0)</f>
        <v>0</v>
      </c>
      <c r="Y27" s="23">
        <f>IFERROR(VLOOKUP(B27,'[2]COMPRAS YUC'!$B$10:$P$63,12,0),0)</f>
        <v>0</v>
      </c>
      <c r="Z27" s="87">
        <f>IFERROR(VLOOKUP(B27,'[2]COMPRAS UC'!$B$11:$O$66,13,0),0)</f>
        <v>0</v>
      </c>
      <c r="AA27" s="23">
        <f>IFERROR(VLOOKUP(B27,'[2]COMPRAS YUC'!$B$10:$P$63,13,0),0)</f>
        <v>0</v>
      </c>
      <c r="AB27" s="87">
        <f>IFERROR(VLOOKUP(B27,'[2]COMPRAS UC'!$B$11:$O$66,14,0),0)</f>
        <v>0</v>
      </c>
      <c r="AC27" s="23">
        <f>IFERROR(VLOOKUP(B27,'[2]COMPRAS YUC'!$B$10:$P$63,14,0),0)</f>
        <v>0</v>
      </c>
      <c r="AD27" s="211">
        <f t="shared" si="12"/>
        <v>0</v>
      </c>
      <c r="AE27" s="111">
        <f t="shared" si="13"/>
        <v>2</v>
      </c>
      <c r="AF27" s="204">
        <f t="shared" si="14"/>
        <v>0</v>
      </c>
      <c r="AG27" s="111">
        <f t="shared" si="1"/>
        <v>24</v>
      </c>
      <c r="AH27" s="229">
        <f t="shared" si="15"/>
        <v>26</v>
      </c>
      <c r="AI27" s="211">
        <f t="shared" si="16"/>
        <v>0</v>
      </c>
      <c r="AJ27" s="111">
        <f t="shared" si="17"/>
        <v>2</v>
      </c>
      <c r="AK27" s="204">
        <f t="shared" si="18"/>
        <v>0</v>
      </c>
      <c r="AL27" s="111">
        <f t="shared" si="19"/>
        <v>24</v>
      </c>
      <c r="AM27" s="229">
        <f t="shared" si="20"/>
        <v>26</v>
      </c>
      <c r="AN27" s="211"/>
      <c r="AO27" s="111">
        <f t="shared" si="21"/>
        <v>0</v>
      </c>
      <c r="AP27" s="204"/>
      <c r="AQ27" s="113">
        <f t="shared" si="22"/>
        <v>0</v>
      </c>
      <c r="AR27" s="229">
        <f t="shared" si="23"/>
        <v>0</v>
      </c>
      <c r="AS27" s="211"/>
      <c r="AT27" s="111">
        <f t="shared" si="24"/>
        <v>2</v>
      </c>
      <c r="AU27" s="204"/>
      <c r="AV27" s="111">
        <f t="shared" si="25"/>
        <v>24</v>
      </c>
      <c r="AW27" s="229">
        <f t="shared" si="26"/>
        <v>26</v>
      </c>
      <c r="AX27" s="4">
        <v>1</v>
      </c>
      <c r="BE27" s="4">
        <v>62</v>
      </c>
      <c r="BM27" s="15">
        <f t="shared" si="27"/>
        <v>12</v>
      </c>
    </row>
    <row r="28" spans="1:65" s="4" customFormat="1" ht="15" customHeight="1" x14ac:dyDescent="0.3">
      <c r="A28" s="4">
        <f>_xlfn.XLOOKUP(B28,'UC BMW 2026'!$B$5:$B$65,'UC BMW 2026'!$A$5:$A$65)</f>
        <v>4</v>
      </c>
      <c r="B28" s="8">
        <v>100346</v>
      </c>
      <c r="C28" s="369" t="s">
        <v>46</v>
      </c>
      <c r="D28" s="8">
        <v>9785</v>
      </c>
      <c r="E28" s="309" t="s">
        <v>81</v>
      </c>
      <c r="F28" s="199">
        <f>IFERROR(VLOOKUP(B28,'[2]COMPRAS UC'!$B$11:$O$66,3,0),0)</f>
        <v>0</v>
      </c>
      <c r="G28" s="23">
        <f>IFERROR(VLOOKUP(B28,'[2]COMPRAS YUC'!$B$10:$P$63,3,0),0)</f>
        <v>0</v>
      </c>
      <c r="H28" s="87">
        <f>IFERROR(VLOOKUP(B28,'[2]COMPRAS UC'!$B$11:$O$66,4,0),0)</f>
        <v>0</v>
      </c>
      <c r="I28" s="23">
        <f>IFERROR(VLOOKUP(B28,'[2]COMPRAS YUC'!$B$10:$P$63,4,0),0)</f>
        <v>0</v>
      </c>
      <c r="J28" s="87">
        <f>IFERROR(VLOOKUP(B28,'[2]COMPRAS UC'!$B$11:$O$66,5,0),0)</f>
        <v>0</v>
      </c>
      <c r="K28" s="23">
        <f>IFERROR(VLOOKUP(B28,'[2]COMPRAS YUC'!$B$10:$P$63,5,0),0)</f>
        <v>0</v>
      </c>
      <c r="L28" s="87">
        <f>IFERROR(VLOOKUP(B28,'[2]COMPRAS UC'!$B$11:$O$66,6,0),0)</f>
        <v>0</v>
      </c>
      <c r="M28" s="23">
        <f>IFERROR(VLOOKUP(B28,'[2]COMPRAS YUC'!$B$10:$P$63,6,0),0)</f>
        <v>0</v>
      </c>
      <c r="N28" s="87">
        <f>IFERROR(VLOOKUP(B28,'[2]COMPRAS UC'!$B$11:$O$66,7,0),0)</f>
        <v>0</v>
      </c>
      <c r="O28" s="23">
        <f>IFERROR(VLOOKUP(B28,'[2]COMPRAS YUC'!$B$10:$P$63,7,0),0)</f>
        <v>0</v>
      </c>
      <c r="P28" s="87">
        <f>IFERROR(VLOOKUP(B28,'[2]COMPRAS UC'!$B$11:$O$66,8,0),0)</f>
        <v>0</v>
      </c>
      <c r="Q28" s="23">
        <f>IFERROR(VLOOKUP(B28,'[2]COMPRAS YUC'!$B$10:$P$63,8,0),0)</f>
        <v>0</v>
      </c>
      <c r="R28" s="87">
        <f>IFERROR(VLOOKUP(B28,'[2]COMPRAS UC'!$B$11:$O$66,9,0),0)</f>
        <v>0</v>
      </c>
      <c r="S28" s="23">
        <f>IFERROR(VLOOKUP(B28,'[2]COMPRAS YUC'!$B$10:$P$63,9,0),0)</f>
        <v>0</v>
      </c>
      <c r="T28" s="87">
        <f>IFERROR(VLOOKUP(B28,'[2]COMPRAS UC'!$B$11:$O$66,10,0),0)</f>
        <v>0</v>
      </c>
      <c r="U28" s="23">
        <f>IFERROR(VLOOKUP(B28,'[2]COMPRAS YUC'!$B$10:$P$63,10,0),0)</f>
        <v>0</v>
      </c>
      <c r="V28" s="87">
        <f>IFERROR(VLOOKUP(B28,'[2]COMPRAS UC'!$B$11:$O$66,11,0),0)</f>
        <v>0</v>
      </c>
      <c r="W28" s="23">
        <f>IFERROR(VLOOKUP(B28,'[2]COMPRAS YUC'!$B$10:$P$63,11,0),0)</f>
        <v>0</v>
      </c>
      <c r="X28" s="87">
        <f>IFERROR(VLOOKUP(B28,'[2]COMPRAS UC'!$B$11:$O$66,12,0),0)</f>
        <v>0</v>
      </c>
      <c r="Y28" s="23">
        <f>IFERROR(VLOOKUP(B28,'[2]COMPRAS YUC'!$B$10:$P$63,12,0),0)</f>
        <v>0</v>
      </c>
      <c r="Z28" s="87">
        <f>IFERROR(VLOOKUP(B28,'[2]COMPRAS UC'!$B$11:$O$66,13,0),0)</f>
        <v>0</v>
      </c>
      <c r="AA28" s="23">
        <f>IFERROR(VLOOKUP(B28,'[2]COMPRAS YUC'!$B$10:$P$63,13,0),0)</f>
        <v>0</v>
      </c>
      <c r="AB28" s="87">
        <f>IFERROR(VLOOKUP(B28,'[2]COMPRAS UC'!$B$11:$O$66,14,0),0)</f>
        <v>0</v>
      </c>
      <c r="AC28" s="23">
        <f>IFERROR(VLOOKUP(B28,'[2]COMPRAS YUC'!$B$10:$P$63,14,0),0)</f>
        <v>0</v>
      </c>
      <c r="AD28" s="211">
        <f t="shared" si="12"/>
        <v>0</v>
      </c>
      <c r="AE28" s="111">
        <f t="shared" si="13"/>
        <v>0</v>
      </c>
      <c r="AF28" s="204">
        <f t="shared" si="14"/>
        <v>0</v>
      </c>
      <c r="AG28" s="111">
        <f t="shared" si="1"/>
        <v>0</v>
      </c>
      <c r="AH28" s="229">
        <f t="shared" si="15"/>
        <v>0</v>
      </c>
      <c r="AI28" s="211">
        <f t="shared" si="16"/>
        <v>0</v>
      </c>
      <c r="AJ28" s="111">
        <f t="shared" si="17"/>
        <v>0</v>
      </c>
      <c r="AK28" s="204">
        <f t="shared" si="18"/>
        <v>0</v>
      </c>
      <c r="AL28" s="111">
        <f t="shared" si="19"/>
        <v>0</v>
      </c>
      <c r="AM28" s="229">
        <f t="shared" si="20"/>
        <v>0</v>
      </c>
      <c r="AN28" s="211"/>
      <c r="AO28" s="111">
        <f t="shared" si="21"/>
        <v>0</v>
      </c>
      <c r="AP28" s="204"/>
      <c r="AQ28" s="113">
        <f t="shared" si="22"/>
        <v>0</v>
      </c>
      <c r="AR28" s="229">
        <f t="shared" si="23"/>
        <v>0</v>
      </c>
      <c r="AS28" s="211"/>
      <c r="AT28" s="111">
        <f t="shared" si="24"/>
        <v>0</v>
      </c>
      <c r="AU28" s="204"/>
      <c r="AV28" s="111">
        <f t="shared" si="25"/>
        <v>0</v>
      </c>
      <c r="AW28" s="229">
        <f t="shared" si="26"/>
        <v>0</v>
      </c>
      <c r="AX28" s="4">
        <v>1</v>
      </c>
      <c r="BE28" s="4">
        <v>59</v>
      </c>
      <c r="BM28" s="15">
        <f t="shared" si="27"/>
        <v>0</v>
      </c>
    </row>
    <row r="29" spans="1:65" s="4" customFormat="1" ht="15" customHeight="1" x14ac:dyDescent="0.3">
      <c r="A29" s="4">
        <f>_xlfn.XLOOKUP(B29,'UC BMW 2026'!$B$5:$B$65,'UC BMW 2026'!$A$5:$A$65)</f>
        <v>4</v>
      </c>
      <c r="B29" s="8">
        <v>100454</v>
      </c>
      <c r="C29" s="369" t="s">
        <v>47</v>
      </c>
      <c r="D29" s="8">
        <v>28067</v>
      </c>
      <c r="E29" s="309" t="s">
        <v>84</v>
      </c>
      <c r="F29" s="199">
        <f>IFERROR(VLOOKUP(B29,'[2]COMPRAS UC'!$B$11:$O$66,3,0),0)</f>
        <v>0</v>
      </c>
      <c r="G29" s="23">
        <f>IFERROR(VLOOKUP(B29,'[2]COMPRAS YUC'!$B$10:$P$63,3,0),0)</f>
        <v>0</v>
      </c>
      <c r="H29" s="87">
        <f>IFERROR(VLOOKUP(B29,'[2]COMPRAS UC'!$B$11:$O$66,4,0),0)</f>
        <v>0</v>
      </c>
      <c r="I29" s="23">
        <f>IFERROR(VLOOKUP(B29,'[2]COMPRAS YUC'!$B$10:$P$63,4,0),0)</f>
        <v>0</v>
      </c>
      <c r="J29" s="87">
        <f>IFERROR(VLOOKUP(B29,'[2]COMPRAS UC'!$B$11:$O$66,5,0),0)</f>
        <v>0</v>
      </c>
      <c r="K29" s="23">
        <f>IFERROR(VLOOKUP(B29,'[2]COMPRAS YUC'!$B$10:$P$63,5,0),0)</f>
        <v>0</v>
      </c>
      <c r="L29" s="87">
        <f>IFERROR(VLOOKUP(B29,'[2]COMPRAS UC'!$B$11:$O$66,6,0),0)</f>
        <v>0</v>
      </c>
      <c r="M29" s="23">
        <f>IFERROR(VLOOKUP(B29,'[2]COMPRAS YUC'!$B$10:$P$63,6,0),0)</f>
        <v>0</v>
      </c>
      <c r="N29" s="87">
        <f>IFERROR(VLOOKUP(B29,'[2]COMPRAS UC'!$B$11:$O$66,7,0),0)</f>
        <v>0</v>
      </c>
      <c r="O29" s="23">
        <f>IFERROR(VLOOKUP(B29,'[2]COMPRAS YUC'!$B$10:$P$63,7,0),0)</f>
        <v>0</v>
      </c>
      <c r="P29" s="87">
        <f>IFERROR(VLOOKUP(B29,'[2]COMPRAS UC'!$B$11:$O$66,8,0),0)</f>
        <v>0</v>
      </c>
      <c r="Q29" s="23">
        <f>IFERROR(VLOOKUP(B29,'[2]COMPRAS YUC'!$B$10:$P$63,8,0),0)</f>
        <v>0</v>
      </c>
      <c r="R29" s="87">
        <f>IFERROR(VLOOKUP(B29,'[2]COMPRAS UC'!$B$11:$O$66,9,0),0)</f>
        <v>0</v>
      </c>
      <c r="S29" s="23">
        <f>IFERROR(VLOOKUP(B29,'[2]COMPRAS YUC'!$B$10:$P$63,9,0),0)</f>
        <v>0</v>
      </c>
      <c r="T29" s="87">
        <f>IFERROR(VLOOKUP(B29,'[2]COMPRAS UC'!$B$11:$O$66,10,0),0)</f>
        <v>0</v>
      </c>
      <c r="U29" s="23">
        <f>IFERROR(VLOOKUP(B29,'[2]COMPRAS YUC'!$B$10:$P$63,10,0),0)</f>
        <v>0</v>
      </c>
      <c r="V29" s="87">
        <f>IFERROR(VLOOKUP(B29,'[2]COMPRAS UC'!$B$11:$O$66,11,0),0)</f>
        <v>0</v>
      </c>
      <c r="W29" s="23">
        <f>IFERROR(VLOOKUP(B29,'[2]COMPRAS YUC'!$B$10:$P$63,11,0),0)</f>
        <v>0</v>
      </c>
      <c r="X29" s="87">
        <f>IFERROR(VLOOKUP(B29,'[2]COMPRAS UC'!$B$11:$O$66,12,0),0)</f>
        <v>0</v>
      </c>
      <c r="Y29" s="23">
        <f>IFERROR(VLOOKUP(B29,'[2]COMPRAS YUC'!$B$10:$P$63,12,0),0)</f>
        <v>0</v>
      </c>
      <c r="Z29" s="87">
        <f>IFERROR(VLOOKUP(B29,'[2]COMPRAS UC'!$B$11:$O$66,13,0),0)</f>
        <v>0</v>
      </c>
      <c r="AA29" s="23">
        <f>IFERROR(VLOOKUP(B29,'[2]COMPRAS YUC'!$B$10:$P$63,13,0),0)</f>
        <v>0</v>
      </c>
      <c r="AB29" s="87">
        <f>IFERROR(VLOOKUP(B29,'[2]COMPRAS UC'!$B$11:$O$66,14,0),0)</f>
        <v>0</v>
      </c>
      <c r="AC29" s="23">
        <f>IFERROR(VLOOKUP(B29,'[2]COMPRAS YUC'!$B$10:$P$63,14,0),0)</f>
        <v>0</v>
      </c>
      <c r="AD29" s="211">
        <f t="shared" si="12"/>
        <v>0</v>
      </c>
      <c r="AE29" s="111">
        <f t="shared" si="13"/>
        <v>0</v>
      </c>
      <c r="AF29" s="204">
        <f t="shared" si="14"/>
        <v>0</v>
      </c>
      <c r="AG29" s="111">
        <f t="shared" si="1"/>
        <v>0</v>
      </c>
      <c r="AH29" s="229">
        <f t="shared" si="15"/>
        <v>0</v>
      </c>
      <c r="AI29" s="211">
        <f t="shared" si="16"/>
        <v>0</v>
      </c>
      <c r="AJ29" s="111">
        <f t="shared" si="17"/>
        <v>0</v>
      </c>
      <c r="AK29" s="204">
        <f t="shared" si="18"/>
        <v>0</v>
      </c>
      <c r="AL29" s="111">
        <f t="shared" si="19"/>
        <v>0</v>
      </c>
      <c r="AM29" s="229">
        <f t="shared" si="20"/>
        <v>0</v>
      </c>
      <c r="AN29" s="211"/>
      <c r="AO29" s="111">
        <f t="shared" si="21"/>
        <v>0</v>
      </c>
      <c r="AP29" s="204"/>
      <c r="AQ29" s="113">
        <f t="shared" si="22"/>
        <v>0</v>
      </c>
      <c r="AR29" s="229">
        <f t="shared" si="23"/>
        <v>0</v>
      </c>
      <c r="AS29" s="211"/>
      <c r="AT29" s="111">
        <f t="shared" si="24"/>
        <v>0</v>
      </c>
      <c r="AU29" s="204"/>
      <c r="AV29" s="111">
        <f t="shared" si="25"/>
        <v>0</v>
      </c>
      <c r="AW29" s="229">
        <f t="shared" si="26"/>
        <v>0</v>
      </c>
      <c r="AX29" s="4">
        <v>1</v>
      </c>
      <c r="BE29" s="4">
        <v>58</v>
      </c>
      <c r="BM29" s="15">
        <f t="shared" si="27"/>
        <v>0</v>
      </c>
    </row>
    <row r="30" spans="1:65" s="4" customFormat="1" ht="15" customHeight="1" thickBot="1" x14ac:dyDescent="0.35">
      <c r="A30" s="4">
        <f>_xlfn.XLOOKUP(B30,'UC BMW 2026'!$B$5:$B$65,'UC BMW 2026'!$A$5:$A$65)</f>
        <v>4</v>
      </c>
      <c r="B30" s="8">
        <v>100571</v>
      </c>
      <c r="C30" s="369" t="s">
        <v>48</v>
      </c>
      <c r="D30" s="8">
        <v>1212</v>
      </c>
      <c r="E30" s="309" t="s">
        <v>82</v>
      </c>
      <c r="F30" s="199">
        <f>IFERROR(VLOOKUP(B30,'[2]COMPRAS UC'!$B$11:$O$66,3,0),0)</f>
        <v>0</v>
      </c>
      <c r="G30" s="23">
        <f>IFERROR(VLOOKUP(B30,'[2]COMPRAS YUC'!$B$10:$P$63,3,0),0)</f>
        <v>0</v>
      </c>
      <c r="H30" s="87">
        <f>IFERROR(VLOOKUP(B30,'[2]COMPRAS UC'!$B$11:$O$66,4,0),0)</f>
        <v>0</v>
      </c>
      <c r="I30" s="23">
        <f>IFERROR(VLOOKUP(B30,'[2]COMPRAS YUC'!$B$10:$P$63,4,0),0)</f>
        <v>0</v>
      </c>
      <c r="J30" s="87">
        <f>IFERROR(VLOOKUP(B30,'[2]COMPRAS UC'!$B$11:$O$66,5,0),0)</f>
        <v>0</v>
      </c>
      <c r="K30" s="23">
        <f>IFERROR(VLOOKUP(B30,'[2]COMPRAS YUC'!$B$10:$P$63,5,0),0)</f>
        <v>0</v>
      </c>
      <c r="L30" s="87">
        <f>IFERROR(VLOOKUP(B30,'[2]COMPRAS UC'!$B$11:$O$66,6,0),0)</f>
        <v>0</v>
      </c>
      <c r="M30" s="23">
        <f>IFERROR(VLOOKUP(B30,'[2]COMPRAS YUC'!$B$10:$P$63,6,0),0)</f>
        <v>1</v>
      </c>
      <c r="N30" s="87">
        <f>IFERROR(VLOOKUP(B30,'[2]COMPRAS UC'!$B$11:$O$66,7,0),0)</f>
        <v>0</v>
      </c>
      <c r="O30" s="23">
        <f>IFERROR(VLOOKUP(B30,'[2]COMPRAS YUC'!$B$10:$P$63,7,0),0)</f>
        <v>0</v>
      </c>
      <c r="P30" s="87">
        <f>IFERROR(VLOOKUP(B30,'[2]COMPRAS UC'!$B$11:$O$66,8,0),0)</f>
        <v>0</v>
      </c>
      <c r="Q30" s="23">
        <f>IFERROR(VLOOKUP(B30,'[2]COMPRAS YUC'!$B$10:$P$63,8,0),0)</f>
        <v>0</v>
      </c>
      <c r="R30" s="87">
        <f>IFERROR(VLOOKUP(B30,'[2]COMPRAS UC'!$B$11:$O$66,9,0),0)</f>
        <v>0</v>
      </c>
      <c r="S30" s="23">
        <f>IFERROR(VLOOKUP(B30,'[2]COMPRAS YUC'!$B$10:$P$63,9,0),0)</f>
        <v>0</v>
      </c>
      <c r="T30" s="87">
        <f>IFERROR(VLOOKUP(B30,'[2]COMPRAS UC'!$B$11:$O$66,10,0),0)</f>
        <v>0</v>
      </c>
      <c r="U30" s="23">
        <f>IFERROR(VLOOKUP(B30,'[2]COMPRAS YUC'!$B$10:$P$63,10,0),0)</f>
        <v>0</v>
      </c>
      <c r="V30" s="87">
        <f>IFERROR(VLOOKUP(B30,'[2]COMPRAS UC'!$B$11:$O$66,11,0),0)</f>
        <v>0</v>
      </c>
      <c r="W30" s="23">
        <f>IFERROR(VLOOKUP(B30,'[2]COMPRAS YUC'!$B$10:$P$63,11,0),0)</f>
        <v>0</v>
      </c>
      <c r="X30" s="87">
        <f>IFERROR(VLOOKUP(B30,'[2]COMPRAS UC'!$B$11:$O$66,12,0),0)</f>
        <v>0</v>
      </c>
      <c r="Y30" s="23">
        <f>IFERROR(VLOOKUP(B30,'[2]COMPRAS YUC'!$B$10:$P$63,12,0),0)</f>
        <v>0</v>
      </c>
      <c r="Z30" s="87">
        <f>IFERROR(VLOOKUP(B30,'[2]COMPRAS UC'!$B$11:$O$66,13,0),0)</f>
        <v>0</v>
      </c>
      <c r="AA30" s="23">
        <f>IFERROR(VLOOKUP(B30,'[2]COMPRAS YUC'!$B$10:$P$63,13,0),0)</f>
        <v>0</v>
      </c>
      <c r="AB30" s="87">
        <f>IFERROR(VLOOKUP(B30,'[2]COMPRAS UC'!$B$11:$O$66,14,0),0)</f>
        <v>0</v>
      </c>
      <c r="AC30" s="23">
        <f>IFERROR(VLOOKUP(B30,'[2]COMPRAS YUC'!$B$10:$P$63,14,0),0)</f>
        <v>0</v>
      </c>
      <c r="AD30" s="211">
        <f t="shared" si="12"/>
        <v>0</v>
      </c>
      <c r="AE30" s="111">
        <f t="shared" si="13"/>
        <v>0</v>
      </c>
      <c r="AF30" s="204">
        <f t="shared" si="14"/>
        <v>0</v>
      </c>
      <c r="AG30" s="111">
        <f t="shared" si="1"/>
        <v>1</v>
      </c>
      <c r="AH30" s="229">
        <f t="shared" si="15"/>
        <v>1</v>
      </c>
      <c r="AI30" s="211">
        <f t="shared" si="16"/>
        <v>0</v>
      </c>
      <c r="AJ30" s="111">
        <f t="shared" si="17"/>
        <v>0</v>
      </c>
      <c r="AK30" s="204">
        <f t="shared" si="18"/>
        <v>0</v>
      </c>
      <c r="AL30" s="111">
        <f t="shared" si="19"/>
        <v>1</v>
      </c>
      <c r="AM30" s="229">
        <f t="shared" si="20"/>
        <v>1</v>
      </c>
      <c r="AN30" s="211"/>
      <c r="AO30" s="111">
        <f t="shared" si="21"/>
        <v>0</v>
      </c>
      <c r="AP30" s="204"/>
      <c r="AQ30" s="113">
        <f t="shared" si="22"/>
        <v>0</v>
      </c>
      <c r="AR30" s="229">
        <f t="shared" si="23"/>
        <v>0</v>
      </c>
      <c r="AS30" s="211"/>
      <c r="AT30" s="111">
        <f t="shared" si="24"/>
        <v>0</v>
      </c>
      <c r="AU30" s="204"/>
      <c r="AV30" s="111">
        <f t="shared" si="25"/>
        <v>1</v>
      </c>
      <c r="AW30" s="229">
        <f t="shared" si="26"/>
        <v>1</v>
      </c>
      <c r="AX30" s="4">
        <v>1</v>
      </c>
      <c r="BE30" s="4">
        <v>54</v>
      </c>
      <c r="BM30" s="15">
        <f t="shared" si="27"/>
        <v>1</v>
      </c>
    </row>
    <row r="31" spans="1:65" s="4" customFormat="1" ht="15" customHeight="1" thickBot="1" x14ac:dyDescent="0.35">
      <c r="A31" s="4">
        <f>_xlfn.XLOOKUP(B31,'UC BMW 2026'!$B$5:$B$65,'UC BMW 2026'!$A$5:$A$65)</f>
        <v>0</v>
      </c>
      <c r="B31" s="7" t="s">
        <v>266</v>
      </c>
      <c r="C31" s="28"/>
      <c r="D31" s="29"/>
      <c r="E31" s="7"/>
      <c r="F31" s="200">
        <f t="shared" ref="F31:AC31" si="28">SUM(F24:F30)</f>
        <v>0</v>
      </c>
      <c r="G31" s="32">
        <f t="shared" si="28"/>
        <v>3</v>
      </c>
      <c r="H31" s="200">
        <f t="shared" si="28"/>
        <v>0</v>
      </c>
      <c r="I31" s="32">
        <f t="shared" si="28"/>
        <v>5</v>
      </c>
      <c r="J31" s="200">
        <f t="shared" si="28"/>
        <v>2</v>
      </c>
      <c r="K31" s="32">
        <f>SUM(K24:K30)</f>
        <v>4</v>
      </c>
      <c r="L31" s="200">
        <f t="shared" si="28"/>
        <v>0</v>
      </c>
      <c r="M31" s="32">
        <f t="shared" si="28"/>
        <v>5</v>
      </c>
      <c r="N31" s="200">
        <f t="shared" si="28"/>
        <v>0</v>
      </c>
      <c r="O31" s="32">
        <f t="shared" si="28"/>
        <v>6</v>
      </c>
      <c r="P31" s="200">
        <f t="shared" si="28"/>
        <v>2</v>
      </c>
      <c r="Q31" s="32">
        <f t="shared" si="28"/>
        <v>3</v>
      </c>
      <c r="R31" s="200">
        <f t="shared" si="28"/>
        <v>0</v>
      </c>
      <c r="S31" s="32">
        <f t="shared" si="28"/>
        <v>0</v>
      </c>
      <c r="T31" s="200">
        <f t="shared" si="28"/>
        <v>0</v>
      </c>
      <c r="U31" s="32">
        <f t="shared" si="28"/>
        <v>0</v>
      </c>
      <c r="V31" s="200">
        <f t="shared" si="28"/>
        <v>0</v>
      </c>
      <c r="W31" s="32">
        <f t="shared" si="28"/>
        <v>0</v>
      </c>
      <c r="X31" s="200">
        <f t="shared" si="28"/>
        <v>0</v>
      </c>
      <c r="Y31" s="32">
        <f t="shared" si="28"/>
        <v>0</v>
      </c>
      <c r="Z31" s="200">
        <f t="shared" si="28"/>
        <v>0</v>
      </c>
      <c r="AA31" s="32">
        <f t="shared" si="28"/>
        <v>0</v>
      </c>
      <c r="AB31" s="200">
        <f t="shared" si="28"/>
        <v>0</v>
      </c>
      <c r="AC31" s="32">
        <f t="shared" si="28"/>
        <v>0</v>
      </c>
      <c r="AD31" s="213">
        <f>SUM(AD27:AD30)</f>
        <v>0</v>
      </c>
      <c r="AE31" s="114">
        <f t="shared" ref="AE31:AE37" si="29">IFERROR(IF($AD$4="ENERO",F31,IF($AD$4="FEBRERO",F31+H31,IF($AD$4="MARZO",F31+H31+J31,IF($AD$4="ABRIL",F31+H31+J31+L31,IF($AD$4="MAYO",F31+H31+J31+L31+N31,IF($AD$4="JUNIO",F31+H31+J31+L31+N31+P31,IF($AD$4="JULIO",F31+H31+J31+L31+N31+P31+R31,IF($AD$4="AGOSTO",F31+H31+J31+L31+N31+P31+R31+T31,IF($AD$4="SEPTIEMBRE",F31+H31+J31+L31+N31+P31+R31+T31+V31,IF($AD$4="OCTUBRE",F31+H31+J31+L31+N31+P31+R31+T31+V31+X31,IF($AD$4="NOVIEMBRE",F31+H31+J31+L31+N31+P31+R31+T31+V31+X31+Z31,IF($AD$4="DICIEMBRE",F31+H31+J31+L31+N31+P31+R31+T31+V31+X31+Z31+AB31,"")))))))))))),0)</f>
        <v>4</v>
      </c>
      <c r="AF31" s="206">
        <f>SUM(AF27:AF30)</f>
        <v>0</v>
      </c>
      <c r="AG31" s="114">
        <f t="shared" si="1"/>
        <v>26</v>
      </c>
      <c r="AH31" s="245">
        <f>SUM(AH24:AH30)</f>
        <v>30</v>
      </c>
      <c r="AI31" s="213">
        <f>SUM(AI27:AI30)</f>
        <v>0</v>
      </c>
      <c r="AJ31" s="114">
        <f t="shared" ref="AJ31:AJ37" si="30">IFERROR(SUM(F31,H31,J31,L31,N31,P31,R31,T31,V31,X31,Z31,AB31),0)</f>
        <v>4</v>
      </c>
      <c r="AK31" s="206">
        <f>SUM(AK27:AK30)</f>
        <v>0</v>
      </c>
      <c r="AL31" s="114">
        <f t="shared" ref="AL31:AL37" si="31">IFERROR(SUM(G31,I31,K31,M31,O31,Q31,S31,U31,W31,Y31,AA31,AC31),0)</f>
        <v>26</v>
      </c>
      <c r="AM31" s="245">
        <f>SUM(AM24:AM30)</f>
        <v>30</v>
      </c>
      <c r="AN31" s="213">
        <f t="shared" ref="AN31:AS31" si="32">SUM(AN27:AN30)</f>
        <v>0</v>
      </c>
      <c r="AO31" s="114">
        <f t="shared" si="32"/>
        <v>0</v>
      </c>
      <c r="AP31" s="206">
        <f t="shared" si="32"/>
        <v>0</v>
      </c>
      <c r="AQ31" s="115">
        <f t="shared" si="32"/>
        <v>0</v>
      </c>
      <c r="AR31" s="245">
        <f>SUM(AR24:AR30)</f>
        <v>0</v>
      </c>
      <c r="AS31" s="213">
        <f t="shared" si="32"/>
        <v>0</v>
      </c>
      <c r="AT31" s="114">
        <f t="shared" ref="AT31:AT37" si="33">IFERROR(IF($AS$5="S 1",F31+H31+J31+L31+N31++P31,
IF($AS$5="S 2",R31+T31+V31+X31+Z31+AB31,0)),0)</f>
        <v>4</v>
      </c>
      <c r="AU31" s="206"/>
      <c r="AV31" s="114">
        <f t="shared" ref="AV31:AV37" si="34">IFERROR(IF($AS$5="S 1",G31+I31+K31+M31+O31++Q31,
IF($AS$5="S 2",S31+U31+W31+Y31+AA31+AC31,0)),0)</f>
        <v>26</v>
      </c>
      <c r="AW31" s="245">
        <f>SUM(AW24:AW30)</f>
        <v>30</v>
      </c>
      <c r="AX31" s="4">
        <v>0</v>
      </c>
      <c r="BE31" s="4">
        <v>51</v>
      </c>
      <c r="BM31" s="15"/>
    </row>
    <row r="32" spans="1:65" s="4" customFormat="1" ht="15" customHeight="1" x14ac:dyDescent="0.3">
      <c r="A32" s="4">
        <f>_xlfn.XLOOKUP(B32,'UC BMW 2026'!$B$5:$B$65,'UC BMW 2026'!$A$5:$A$65)</f>
        <v>5</v>
      </c>
      <c r="B32" s="8">
        <v>100015</v>
      </c>
      <c r="C32" s="369" t="s">
        <v>51</v>
      </c>
      <c r="D32" s="8">
        <v>22761</v>
      </c>
      <c r="E32" s="379" t="s">
        <v>79</v>
      </c>
      <c r="F32" s="199">
        <f>IFERROR(VLOOKUP(B32,'[2]COMPRAS UC'!$B$11:$O$66,3,0),0)</f>
        <v>0</v>
      </c>
      <c r="G32" s="23">
        <f>IFERROR(VLOOKUP(B32,'[2]COMPRAS YUC'!$B$10:$P$63,3,0),0)</f>
        <v>3</v>
      </c>
      <c r="H32" s="87">
        <f>IFERROR(VLOOKUP(B32,'[2]COMPRAS UC'!$B$11:$O$66,4,0),0)</f>
        <v>1</v>
      </c>
      <c r="I32" s="23">
        <f>IFERROR(VLOOKUP(B32,'[2]COMPRAS YUC'!$B$10:$P$63,4,0),0)</f>
        <v>2</v>
      </c>
      <c r="J32" s="87">
        <f>IFERROR(VLOOKUP(B32,'[2]COMPRAS UC'!$B$11:$O$66,5,0),0)</f>
        <v>0</v>
      </c>
      <c r="K32" s="23">
        <f>IFERROR(VLOOKUP(B32,'[2]COMPRAS YUC'!$B$10:$P$63,5,0),0)</f>
        <v>3</v>
      </c>
      <c r="L32" s="87">
        <f>IFERROR(VLOOKUP(B32,'[2]COMPRAS UC'!$B$11:$O$66,6,0),0)</f>
        <v>0</v>
      </c>
      <c r="M32" s="23">
        <f>IFERROR(VLOOKUP(B32,'[2]COMPRAS YUC'!$B$10:$P$63,6,0),0)</f>
        <v>0</v>
      </c>
      <c r="N32" s="87">
        <f>IFERROR(VLOOKUP(B32,'[2]COMPRAS UC'!$B$11:$O$66,7,0),0)</f>
        <v>0</v>
      </c>
      <c r="O32" s="23">
        <f>IFERROR(VLOOKUP(B32,'[2]COMPRAS YUC'!$B$10:$P$63,7,0),0)</f>
        <v>1</v>
      </c>
      <c r="P32" s="87">
        <f>IFERROR(VLOOKUP(B32,'[2]COMPRAS UC'!$B$11:$O$66,8,0),0)</f>
        <v>2</v>
      </c>
      <c r="Q32" s="23">
        <f>IFERROR(VLOOKUP(B32,'[2]COMPRAS YUC'!$B$10:$P$63,8,0),0)</f>
        <v>0</v>
      </c>
      <c r="R32" s="87">
        <f>IFERROR(VLOOKUP(B32,'[2]COMPRAS UC'!$B$11:$O$66,9,0),0)</f>
        <v>0</v>
      </c>
      <c r="S32" s="23">
        <f>IFERROR(VLOOKUP(B32,'[2]COMPRAS YUC'!$B$10:$P$63,9,0),0)</f>
        <v>0</v>
      </c>
      <c r="T32" s="87">
        <f>IFERROR(VLOOKUP(B32,'[2]COMPRAS UC'!$B$11:$O$66,10,0),0)</f>
        <v>0</v>
      </c>
      <c r="U32" s="23">
        <f>IFERROR(VLOOKUP(B32,'[2]COMPRAS YUC'!$B$10:$P$63,10,0),0)</f>
        <v>0</v>
      </c>
      <c r="V32" s="87">
        <f>IFERROR(VLOOKUP(B32,'[2]COMPRAS UC'!$B$11:$O$66,11,0),0)</f>
        <v>0</v>
      </c>
      <c r="W32" s="23">
        <f>IFERROR(VLOOKUP(B32,'[2]COMPRAS YUC'!$B$10:$P$63,11,0),0)</f>
        <v>0</v>
      </c>
      <c r="X32" s="87">
        <f>IFERROR(VLOOKUP(B32,'[2]COMPRAS UC'!$B$11:$O$66,12,0),0)</f>
        <v>0</v>
      </c>
      <c r="Y32" s="23">
        <f>IFERROR(VLOOKUP(B32,'[2]COMPRAS YUC'!$B$10:$P$63,12,0),0)</f>
        <v>0</v>
      </c>
      <c r="Z32" s="87">
        <f>IFERROR(VLOOKUP(B32,'[2]COMPRAS UC'!$B$11:$O$66,13,0),0)</f>
        <v>0</v>
      </c>
      <c r="AA32" s="23">
        <f>IFERROR(VLOOKUP(B32,'[2]COMPRAS YUC'!$B$10:$P$63,13,0),0)</f>
        <v>0</v>
      </c>
      <c r="AB32" s="87">
        <f>IFERROR(VLOOKUP(B32,'[2]COMPRAS UC'!$B$11:$O$66,14,0),0)</f>
        <v>0</v>
      </c>
      <c r="AC32" s="23">
        <f>IFERROR(VLOOKUP(B32,'[2]COMPRAS YUC'!$B$10:$P$63,14,0),0)</f>
        <v>0</v>
      </c>
      <c r="AD32" s="211">
        <f>SUMIFS($F32:$AC32,$F$6:$AC$6,AD$6,$F$1:$AC$1,$AD$4)</f>
        <v>0</v>
      </c>
      <c r="AE32" s="111">
        <f t="shared" si="29"/>
        <v>3</v>
      </c>
      <c r="AF32" s="204">
        <f>SUMIFS($F32:$AC32,$F$6:$AC$6,AF$6,$F$1:$AC$1,$AD$4)</f>
        <v>0</v>
      </c>
      <c r="AG32" s="111">
        <f t="shared" si="1"/>
        <v>9</v>
      </c>
      <c r="AH32" s="229">
        <f>IFERROR(AE32+AG32,0)</f>
        <v>12</v>
      </c>
      <c r="AI32" s="211">
        <f>SUMIFS($F32:$AC32,$F$6:$AC$6,AI$6,$F$2:$AC$2,$AD$4)</f>
        <v>0</v>
      </c>
      <c r="AJ32" s="111">
        <f t="shared" si="30"/>
        <v>3</v>
      </c>
      <c r="AK32" s="204">
        <f>SUMIFS($F32:$AC32,$F$6:$AC$6,AK$6,$F$2:$AC$2,$AD$4)</f>
        <v>0</v>
      </c>
      <c r="AL32" s="111">
        <f t="shared" si="31"/>
        <v>9</v>
      </c>
      <c r="AM32" s="229">
        <f>AJ32+AL32</f>
        <v>12</v>
      </c>
      <c r="AN32" s="211"/>
      <c r="AO32" s="111">
        <f>IF($AN$5="Q1",F32+H32+J32,
IF($AN$5="Q2",L32+N32++P32,
IF($AN$5="Q3",R32+T32+V32,
IF($AN$5="Q4",X32+Z32+AB32,0))))</f>
        <v>0</v>
      </c>
      <c r="AP32" s="204"/>
      <c r="AQ32" s="113">
        <f>IF($AN$5="Q1",G32+I32+K32,
IF($AN$5="Q2",M32+O32++Q32,
IF($AN$5="Q3",S32+U32+W32,
IF($AN$5="Q4",Y32+AA32+AC32,0))))</f>
        <v>0</v>
      </c>
      <c r="AR32" s="229">
        <f>AO32+AQ32</f>
        <v>0</v>
      </c>
      <c r="AS32" s="211"/>
      <c r="AT32" s="111">
        <f t="shared" si="33"/>
        <v>3</v>
      </c>
      <c r="AU32" s="204"/>
      <c r="AV32" s="111">
        <f t="shared" si="34"/>
        <v>9</v>
      </c>
      <c r="AW32" s="229">
        <f>AT32+AV32</f>
        <v>12</v>
      </c>
      <c r="AX32" s="4">
        <v>1</v>
      </c>
      <c r="BE32" s="4">
        <v>46</v>
      </c>
      <c r="BM32" s="15">
        <f>SUM(L32:Q32)</f>
        <v>3</v>
      </c>
    </row>
    <row r="33" spans="1:65" s="4" customFormat="1" ht="15" customHeight="1" x14ac:dyDescent="0.3">
      <c r="A33" s="4">
        <f>_xlfn.XLOOKUP(B33,'UC BMW 2026'!$B$5:$B$65,'UC BMW 2026'!$A$5:$A$65)</f>
        <v>5</v>
      </c>
      <c r="B33" s="8">
        <v>100190</v>
      </c>
      <c r="C33" s="369" t="s">
        <v>52</v>
      </c>
      <c r="D33" s="8">
        <v>22761</v>
      </c>
      <c r="E33" s="379" t="s">
        <v>79</v>
      </c>
      <c r="F33" s="199">
        <f>IFERROR(VLOOKUP(B33,'[2]COMPRAS UC'!$B$11:$O$66,3,0),0)</f>
        <v>2</v>
      </c>
      <c r="G33" s="23">
        <f>IFERROR(VLOOKUP(B33,'[2]COMPRAS YUC'!$B$10:$P$63,3,0),0)</f>
        <v>3</v>
      </c>
      <c r="H33" s="87">
        <f>IFERROR(VLOOKUP(B33,'[2]COMPRAS UC'!$B$11:$O$66,4,0),0)</f>
        <v>7</v>
      </c>
      <c r="I33" s="23">
        <f>IFERROR(VLOOKUP(B33,'[2]COMPRAS YUC'!$B$10:$P$63,4,0),0)</f>
        <v>5</v>
      </c>
      <c r="J33" s="87">
        <f>IFERROR(VLOOKUP(B33,'[2]COMPRAS UC'!$B$11:$O$66,5,0),0)</f>
        <v>3</v>
      </c>
      <c r="K33" s="23">
        <f>IFERROR(VLOOKUP(B33,'[2]COMPRAS YUC'!$B$10:$P$63,5,0),0)</f>
        <v>2</v>
      </c>
      <c r="L33" s="87">
        <f>IFERROR(VLOOKUP(B33,'[2]COMPRAS UC'!$B$11:$O$66,6,0),0)</f>
        <v>1</v>
      </c>
      <c r="M33" s="23">
        <f>IFERROR(VLOOKUP(B33,'[2]COMPRAS YUC'!$B$10:$P$63,6,0),0)</f>
        <v>12</v>
      </c>
      <c r="N33" s="87">
        <f>IFERROR(VLOOKUP(B33,'[2]COMPRAS UC'!$B$11:$O$66,7,0),0)</f>
        <v>0</v>
      </c>
      <c r="O33" s="23">
        <f>IFERROR(VLOOKUP(B33,'[2]COMPRAS YUC'!$B$10:$P$63,7,0),0)</f>
        <v>0</v>
      </c>
      <c r="P33" s="87">
        <f>IFERROR(VLOOKUP(B33,'[2]COMPRAS UC'!$B$11:$O$66,8,0),0)</f>
        <v>1</v>
      </c>
      <c r="Q33" s="23">
        <f>IFERROR(VLOOKUP(B33,'[2]COMPRAS YUC'!$B$10:$P$63,8,0),0)</f>
        <v>3</v>
      </c>
      <c r="R33" s="87">
        <f>IFERROR(VLOOKUP(B33,'[2]COMPRAS UC'!$B$11:$O$66,9,0),0)</f>
        <v>0</v>
      </c>
      <c r="S33" s="23">
        <f>IFERROR(VLOOKUP(B33,'[2]COMPRAS YUC'!$B$10:$P$63,9,0),0)</f>
        <v>0</v>
      </c>
      <c r="T33" s="87">
        <f>IFERROR(VLOOKUP(B33,'[2]COMPRAS UC'!$B$11:$O$66,10,0),0)</f>
        <v>0</v>
      </c>
      <c r="U33" s="23">
        <f>IFERROR(VLOOKUP(B33,'[2]COMPRAS YUC'!$B$10:$P$63,10,0),0)</f>
        <v>0</v>
      </c>
      <c r="V33" s="87">
        <f>IFERROR(VLOOKUP(B33,'[2]COMPRAS UC'!$B$11:$O$66,11,0),0)</f>
        <v>0</v>
      </c>
      <c r="W33" s="23">
        <f>IFERROR(VLOOKUP(B33,'[2]COMPRAS YUC'!$B$10:$P$63,11,0),0)</f>
        <v>0</v>
      </c>
      <c r="X33" s="87">
        <f>IFERROR(VLOOKUP(B33,'[2]COMPRAS UC'!$B$11:$O$66,12,0),0)</f>
        <v>0</v>
      </c>
      <c r="Y33" s="23">
        <f>IFERROR(VLOOKUP(B33,'[2]COMPRAS YUC'!$B$10:$P$63,12,0),0)</f>
        <v>0</v>
      </c>
      <c r="Z33" s="87">
        <f>IFERROR(VLOOKUP(B33,'[2]COMPRAS UC'!$B$11:$O$66,13,0),0)</f>
        <v>0</v>
      </c>
      <c r="AA33" s="23">
        <f>IFERROR(VLOOKUP(B33,'[2]COMPRAS YUC'!$B$10:$P$63,13,0),0)</f>
        <v>0</v>
      </c>
      <c r="AB33" s="87">
        <f>IFERROR(VLOOKUP(B33,'[2]COMPRAS UC'!$B$11:$O$66,14,0),0)</f>
        <v>0</v>
      </c>
      <c r="AC33" s="23">
        <f>IFERROR(VLOOKUP(B33,'[2]COMPRAS YUC'!$B$10:$P$63,14,0),0)</f>
        <v>0</v>
      </c>
      <c r="AD33" s="211">
        <f>SUMIFS($F33:$AC33,$F$6:$AC$6,AD$6,$F$1:$AC$1,$AD$4)</f>
        <v>0</v>
      </c>
      <c r="AE33" s="111">
        <f t="shared" si="29"/>
        <v>14</v>
      </c>
      <c r="AF33" s="204">
        <f>SUMIFS($F33:$AC33,$F$6:$AC$6,AF$6,$F$1:$AC$1,$AD$4)</f>
        <v>0</v>
      </c>
      <c r="AG33" s="111">
        <f t="shared" si="1"/>
        <v>25</v>
      </c>
      <c r="AH33" s="229">
        <f>IFERROR(AE33+AG33,0)</f>
        <v>39</v>
      </c>
      <c r="AI33" s="211">
        <f>SUMIFS($F33:$AC33,$F$6:$AC$6,AI$6,$F$2:$AC$2,$AD$4)</f>
        <v>0</v>
      </c>
      <c r="AJ33" s="111">
        <f t="shared" si="30"/>
        <v>14</v>
      </c>
      <c r="AK33" s="204">
        <f>SUMIFS($F33:$AC33,$F$6:$AC$6,AK$6,$F$2:$AC$2,$AD$4)</f>
        <v>0</v>
      </c>
      <c r="AL33" s="111">
        <f t="shared" si="31"/>
        <v>25</v>
      </c>
      <c r="AM33" s="229">
        <f>AJ33+AL33</f>
        <v>39</v>
      </c>
      <c r="AN33" s="211"/>
      <c r="AO33" s="111">
        <f>IF($AN$5="Q1",F33+H33+J33,
IF($AN$5="Q2",L33+N33++P33,
IF($AN$5="Q3",R33+T33+V33,
IF($AN$5="Q4",X33+Z33+AB33,0))))</f>
        <v>0</v>
      </c>
      <c r="AP33" s="204"/>
      <c r="AQ33" s="113">
        <f>IF($AN$5="Q1",G33+I33+K33,
IF($AN$5="Q2",M33+O33++Q33,
IF($AN$5="Q3",S33+U33+W33,
IF($AN$5="Q4",Y33+AA33+AC33,0))))</f>
        <v>0</v>
      </c>
      <c r="AR33" s="229">
        <f>AO33+AQ33</f>
        <v>0</v>
      </c>
      <c r="AS33" s="211"/>
      <c r="AT33" s="111">
        <f t="shared" si="33"/>
        <v>14</v>
      </c>
      <c r="AU33" s="204"/>
      <c r="AV33" s="111">
        <f t="shared" si="34"/>
        <v>25</v>
      </c>
      <c r="AW33" s="229">
        <f>AT33+AV33</f>
        <v>39</v>
      </c>
      <c r="AX33" s="4">
        <v>1</v>
      </c>
      <c r="BE33" s="4">
        <v>45</v>
      </c>
      <c r="BM33" s="15">
        <f>SUM(L33:Q33)</f>
        <v>17</v>
      </c>
    </row>
    <row r="34" spans="1:65" s="4" customFormat="1" ht="15" customHeight="1" x14ac:dyDescent="0.3">
      <c r="A34" s="4">
        <f>_xlfn.XLOOKUP(B34,'UC BMW 2026'!$B$5:$B$65,'UC BMW 2026'!$A$5:$A$65)</f>
        <v>5</v>
      </c>
      <c r="B34" s="8">
        <v>100379</v>
      </c>
      <c r="C34" s="369" t="s">
        <v>9</v>
      </c>
      <c r="D34" s="8">
        <v>22761</v>
      </c>
      <c r="E34" s="379" t="s">
        <v>79</v>
      </c>
      <c r="F34" s="199">
        <f>IFERROR(VLOOKUP(B34,'[2]COMPRAS UC'!$B$11:$O$66,3,0),0)</f>
        <v>0</v>
      </c>
      <c r="G34" s="23">
        <f>IFERROR(VLOOKUP(B34,'[2]COMPRAS YUC'!$B$10:$P$63,3,0),0)</f>
        <v>0</v>
      </c>
      <c r="H34" s="87">
        <f>IFERROR(VLOOKUP(B34,'[2]COMPRAS UC'!$B$11:$O$66,4,0),0)</f>
        <v>3</v>
      </c>
      <c r="I34" s="23">
        <f>IFERROR(VLOOKUP(B34,'[2]COMPRAS YUC'!$B$10:$P$63,4,0),0)</f>
        <v>8</v>
      </c>
      <c r="J34" s="87">
        <f>IFERROR(VLOOKUP(B34,'[2]COMPRAS UC'!$B$11:$O$66,5,0),0)</f>
        <v>2</v>
      </c>
      <c r="K34" s="23">
        <f>IFERROR(VLOOKUP(B34,'[2]COMPRAS YUC'!$B$10:$P$63,5,0),0)</f>
        <v>2</v>
      </c>
      <c r="L34" s="87">
        <f>IFERROR(VLOOKUP(B34,'[2]COMPRAS UC'!$B$11:$O$66,6,0),0)</f>
        <v>2</v>
      </c>
      <c r="M34" s="23">
        <f>IFERROR(VLOOKUP(B34,'[2]COMPRAS YUC'!$B$10:$P$63,6,0),0)</f>
        <v>12</v>
      </c>
      <c r="N34" s="87">
        <f>IFERROR(VLOOKUP(B34,'[2]COMPRAS UC'!$B$11:$O$66,7,0),0)</f>
        <v>0</v>
      </c>
      <c r="O34" s="23">
        <f>IFERROR(VLOOKUP(B34,'[2]COMPRAS YUC'!$B$10:$P$63,7,0),0)</f>
        <v>2</v>
      </c>
      <c r="P34" s="87">
        <f>IFERROR(VLOOKUP(B34,'[2]COMPRAS UC'!$B$11:$O$66,8,0),0)</f>
        <v>2</v>
      </c>
      <c r="Q34" s="23">
        <f>IFERROR(VLOOKUP(B34,'[2]COMPRAS YUC'!$B$10:$P$63,8,0),0)</f>
        <v>5</v>
      </c>
      <c r="R34" s="87">
        <f>IFERROR(VLOOKUP(B34,'[2]COMPRAS UC'!$B$11:$O$66,9,0),0)</f>
        <v>0</v>
      </c>
      <c r="S34" s="23">
        <f>IFERROR(VLOOKUP(B34,'[2]COMPRAS YUC'!$B$10:$P$63,9,0),0)</f>
        <v>0</v>
      </c>
      <c r="T34" s="87">
        <f>IFERROR(VLOOKUP(B34,'[2]COMPRAS UC'!$B$11:$O$66,10,0),0)</f>
        <v>0</v>
      </c>
      <c r="U34" s="23">
        <f>IFERROR(VLOOKUP(B34,'[2]COMPRAS YUC'!$B$10:$P$63,10,0),0)</f>
        <v>0</v>
      </c>
      <c r="V34" s="87">
        <f>IFERROR(VLOOKUP(B34,'[2]COMPRAS UC'!$B$11:$O$66,11,0),0)</f>
        <v>0</v>
      </c>
      <c r="W34" s="23">
        <f>IFERROR(VLOOKUP(B34,'[2]COMPRAS YUC'!$B$10:$P$63,11,0),0)</f>
        <v>0</v>
      </c>
      <c r="X34" s="87">
        <f>IFERROR(VLOOKUP(B34,'[2]COMPRAS UC'!$B$11:$O$66,12,0),0)</f>
        <v>0</v>
      </c>
      <c r="Y34" s="23">
        <f>IFERROR(VLOOKUP(B34,'[2]COMPRAS YUC'!$B$10:$P$63,12,0),0)</f>
        <v>0</v>
      </c>
      <c r="Z34" s="87">
        <f>IFERROR(VLOOKUP(B34,'[2]COMPRAS UC'!$B$11:$O$66,13,0),0)</f>
        <v>0</v>
      </c>
      <c r="AA34" s="23">
        <f>IFERROR(VLOOKUP(B34,'[2]COMPRAS YUC'!$B$10:$P$63,13,0),0)</f>
        <v>0</v>
      </c>
      <c r="AB34" s="87">
        <f>IFERROR(VLOOKUP(B34,'[2]COMPRAS UC'!$B$11:$O$66,14,0),0)</f>
        <v>0</v>
      </c>
      <c r="AC34" s="23">
        <f>IFERROR(VLOOKUP(B34,'[2]COMPRAS YUC'!$B$10:$P$63,14,0),0)</f>
        <v>0</v>
      </c>
      <c r="AD34" s="211">
        <f>SUMIFS($F34:$AC34,$F$6:$AC$6,AD$6,$F$1:$AC$1,$AD$4)</f>
        <v>0</v>
      </c>
      <c r="AE34" s="111">
        <f t="shared" si="29"/>
        <v>9</v>
      </c>
      <c r="AF34" s="204">
        <f>SUMIFS($F34:$AC34,$F$6:$AC$6,AF$6,$F$1:$AC$1,$AD$4)</f>
        <v>0</v>
      </c>
      <c r="AG34" s="111">
        <f t="shared" si="1"/>
        <v>29</v>
      </c>
      <c r="AH34" s="229">
        <f>IFERROR(AE34+AG34,0)</f>
        <v>38</v>
      </c>
      <c r="AI34" s="211">
        <f>SUMIFS($F34:$AC34,$F$6:$AC$6,AI$6,$F$2:$AC$2,$AD$4)</f>
        <v>0</v>
      </c>
      <c r="AJ34" s="111">
        <f t="shared" si="30"/>
        <v>9</v>
      </c>
      <c r="AK34" s="204">
        <f>SUMIFS($F34:$AC34,$F$6:$AC$6,AK$6,$F$2:$AC$2,$AD$4)</f>
        <v>0</v>
      </c>
      <c r="AL34" s="111">
        <f t="shared" si="31"/>
        <v>29</v>
      </c>
      <c r="AM34" s="246">
        <f>AJ34+AL34</f>
        <v>38</v>
      </c>
      <c r="AN34" s="211"/>
      <c r="AO34" s="111">
        <f>IF($AN$5="Q1",F34+H34+J34,
IF($AN$5="Q2",L34+N34++P34,
IF($AN$5="Q3",R34+T34+V34,
IF($AN$5="Q4",X34+Z34+AB34,0))))</f>
        <v>0</v>
      </c>
      <c r="AP34" s="204"/>
      <c r="AQ34" s="113">
        <f>IF($AN$5="Q1",G34+I34+K34,
IF($AN$5="Q2",M34+O34++Q34,
IF($AN$5="Q3",S34+U34+W34,
IF($AN$5="Q4",Y34+AA34+AC34,0))))</f>
        <v>0</v>
      </c>
      <c r="AR34" s="246">
        <f>AO34+AQ34</f>
        <v>0</v>
      </c>
      <c r="AS34" s="211"/>
      <c r="AT34" s="111">
        <f t="shared" si="33"/>
        <v>9</v>
      </c>
      <c r="AU34" s="204"/>
      <c r="AV34" s="111">
        <f t="shared" si="34"/>
        <v>29</v>
      </c>
      <c r="AW34" s="246">
        <f>AT34+AV34</f>
        <v>38</v>
      </c>
      <c r="AX34" s="4">
        <v>1</v>
      </c>
      <c r="BE34" s="4">
        <v>44</v>
      </c>
      <c r="BM34" s="15">
        <f>SUM(L34:Q34)</f>
        <v>23</v>
      </c>
    </row>
    <row r="35" spans="1:65" s="4" customFormat="1" ht="15" customHeight="1" x14ac:dyDescent="0.3">
      <c r="A35" s="4">
        <f>_xlfn.XLOOKUP(B35,'UC BMW 2026'!$B$5:$B$65,'UC BMW 2026'!$A$5:$A$65)</f>
        <v>5</v>
      </c>
      <c r="B35" s="8">
        <v>100410</v>
      </c>
      <c r="C35" s="369" t="s">
        <v>22</v>
      </c>
      <c r="D35" s="8">
        <v>22761</v>
      </c>
      <c r="E35" s="379" t="s">
        <v>79</v>
      </c>
      <c r="F35" s="199">
        <f>IFERROR(VLOOKUP(B35,'[2]COMPRAS UC'!$B$11:$O$66,3,0),0)</f>
        <v>1</v>
      </c>
      <c r="G35" s="23">
        <f>IFERROR(VLOOKUP(B35,'[2]COMPRAS YUC'!$B$10:$P$63,3,0),0)</f>
        <v>7</v>
      </c>
      <c r="H35" s="87">
        <f>IFERROR(VLOOKUP(B35,'[2]COMPRAS UC'!$B$11:$O$66,4,0),0)</f>
        <v>0</v>
      </c>
      <c r="I35" s="23">
        <f>IFERROR(VLOOKUP(B35,'[2]COMPRAS YUC'!$B$10:$P$63,4,0),0)</f>
        <v>9</v>
      </c>
      <c r="J35" s="87">
        <f>IFERROR(VLOOKUP(B35,'[2]COMPRAS UC'!$B$11:$O$66,5,0),0)</f>
        <v>1</v>
      </c>
      <c r="K35" s="23">
        <f>IFERROR(VLOOKUP(B35,'[2]COMPRAS YUC'!$B$10:$P$63,5,0),0)</f>
        <v>3</v>
      </c>
      <c r="L35" s="87">
        <f>IFERROR(VLOOKUP(B35,'[2]COMPRAS UC'!$B$11:$O$66,6,0),0)</f>
        <v>1</v>
      </c>
      <c r="M35" s="23">
        <f>IFERROR(VLOOKUP(B35,'[2]COMPRAS YUC'!$B$10:$P$63,6,0),0)</f>
        <v>3</v>
      </c>
      <c r="N35" s="87">
        <f>IFERROR(VLOOKUP(B35,'[2]COMPRAS UC'!$B$11:$O$66,7,0),0)</f>
        <v>1</v>
      </c>
      <c r="O35" s="23">
        <f>IFERROR(VLOOKUP(B35,'[2]COMPRAS YUC'!$B$10:$P$63,7,0),0)</f>
        <v>6</v>
      </c>
      <c r="P35" s="87">
        <f>IFERROR(VLOOKUP(B35,'[2]COMPRAS UC'!$B$11:$O$66,8,0),0)</f>
        <v>2</v>
      </c>
      <c r="Q35" s="23">
        <f>IFERROR(VLOOKUP(B35,'[2]COMPRAS YUC'!$B$10:$P$63,8,0),0)</f>
        <v>11</v>
      </c>
      <c r="R35" s="87">
        <f>IFERROR(VLOOKUP(B35,'[2]COMPRAS UC'!$B$11:$O$66,9,0),0)</f>
        <v>0</v>
      </c>
      <c r="S35" s="23">
        <f>IFERROR(VLOOKUP(B35,'[2]COMPRAS YUC'!$B$10:$P$63,9,0),0)</f>
        <v>0</v>
      </c>
      <c r="T35" s="87">
        <f>IFERROR(VLOOKUP(B35,'[2]COMPRAS UC'!$B$11:$O$66,10,0),0)</f>
        <v>0</v>
      </c>
      <c r="U35" s="23">
        <f>IFERROR(VLOOKUP(B35,'[2]COMPRAS YUC'!$B$10:$P$63,10,0),0)</f>
        <v>0</v>
      </c>
      <c r="V35" s="87">
        <f>IFERROR(VLOOKUP(B35,'[2]COMPRAS UC'!$B$11:$O$66,11,0),0)</f>
        <v>0</v>
      </c>
      <c r="W35" s="23">
        <f>IFERROR(VLOOKUP(B35,'[2]COMPRAS YUC'!$B$10:$P$63,11,0),0)</f>
        <v>0</v>
      </c>
      <c r="X35" s="87">
        <f>IFERROR(VLOOKUP(B35,'[2]COMPRAS UC'!$B$11:$O$66,12,0),0)</f>
        <v>0</v>
      </c>
      <c r="Y35" s="23">
        <f>IFERROR(VLOOKUP(B35,'[2]COMPRAS YUC'!$B$10:$P$63,12,0),0)</f>
        <v>0</v>
      </c>
      <c r="Z35" s="87">
        <f>IFERROR(VLOOKUP(B35,'[2]COMPRAS UC'!$B$11:$O$66,13,0),0)</f>
        <v>0</v>
      </c>
      <c r="AA35" s="23">
        <f>IFERROR(VLOOKUP(B35,'[2]COMPRAS YUC'!$B$10:$P$63,13,0),0)</f>
        <v>0</v>
      </c>
      <c r="AB35" s="87">
        <f>IFERROR(VLOOKUP(B35,'[2]COMPRAS UC'!$B$11:$O$66,14,0),0)</f>
        <v>0</v>
      </c>
      <c r="AC35" s="23">
        <f>IFERROR(VLOOKUP(B35,'[2]COMPRAS YUC'!$B$10:$P$63,14,0),0)</f>
        <v>0</v>
      </c>
      <c r="AD35" s="211">
        <f>SUMIFS($F35:$AC35,$F$6:$AC$6,AD$6,$F$1:$AC$1,$AD$4)</f>
        <v>0</v>
      </c>
      <c r="AE35" s="111">
        <f t="shared" si="29"/>
        <v>6</v>
      </c>
      <c r="AF35" s="204">
        <f>SUMIFS($F35:$AC35,$F$6:$AC$6,AF$6,$F$1:$AC$1,$AD$4)</f>
        <v>0</v>
      </c>
      <c r="AG35" s="111">
        <f t="shared" si="1"/>
        <v>39</v>
      </c>
      <c r="AH35" s="229">
        <f>IFERROR(AE35+AG35,0)</f>
        <v>45</v>
      </c>
      <c r="AI35" s="211">
        <f>SUMIFS($F35:$AC35,$F$6:$AC$6,AI$6,$F$2:$AC$2,$AD$4)</f>
        <v>0</v>
      </c>
      <c r="AJ35" s="111">
        <f t="shared" si="30"/>
        <v>6</v>
      </c>
      <c r="AK35" s="204">
        <f>SUMIFS($F35:$AC35,$F$6:$AC$6,AK$6,$F$2:$AC$2,$AD$4)</f>
        <v>0</v>
      </c>
      <c r="AL35" s="111">
        <f t="shared" si="31"/>
        <v>39</v>
      </c>
      <c r="AM35" s="229">
        <f>AJ35+AL35</f>
        <v>45</v>
      </c>
      <c r="AN35" s="211"/>
      <c r="AO35" s="111">
        <f>IF($AN$5="Q1",F35+H35+J35,
IF($AN$5="Q2",L35+N35++P35,
IF($AN$5="Q3",R35+T35+V35,
IF($AN$5="Q4",X35+Z35+AB35,0))))</f>
        <v>0</v>
      </c>
      <c r="AP35" s="204"/>
      <c r="AQ35" s="113">
        <f>IF($AN$5="Q1",G35+I35+K35,
IF($AN$5="Q2",M35+O35++Q35,
IF($AN$5="Q3",S35+U35+W35,
IF($AN$5="Q4",Y35+AA35+AC35,0))))</f>
        <v>0</v>
      </c>
      <c r="AR35" s="229">
        <f>AO35+AQ35</f>
        <v>0</v>
      </c>
      <c r="AS35" s="211"/>
      <c r="AT35" s="111">
        <f t="shared" si="33"/>
        <v>6</v>
      </c>
      <c r="AU35" s="204"/>
      <c r="AV35" s="111">
        <f t="shared" si="34"/>
        <v>39</v>
      </c>
      <c r="AW35" s="229">
        <f>AT35+AV35</f>
        <v>45</v>
      </c>
      <c r="AX35" s="4">
        <v>1</v>
      </c>
      <c r="BE35" s="4">
        <v>39</v>
      </c>
      <c r="BM35" s="15">
        <f>SUM(L35:Q35)</f>
        <v>24</v>
      </c>
    </row>
    <row r="36" spans="1:65" s="4" customFormat="1" ht="15" customHeight="1" thickBot="1" x14ac:dyDescent="0.35">
      <c r="A36" s="4">
        <f>_xlfn.XLOOKUP(B36,'UC BMW 2026'!$B$5:$B$65,'UC BMW 2026'!$A$5:$A$65)</f>
        <v>5</v>
      </c>
      <c r="B36" s="8">
        <v>100739</v>
      </c>
      <c r="C36" s="369" t="s">
        <v>49</v>
      </c>
      <c r="D36" s="8">
        <v>22761</v>
      </c>
      <c r="E36" s="379" t="s">
        <v>79</v>
      </c>
      <c r="F36" s="199">
        <f>IFERROR(VLOOKUP(B36,'[2]COMPRAS UC'!$B$11:$O$66,3,0),0)</f>
        <v>1</v>
      </c>
      <c r="G36" s="23">
        <f>IFERROR(VLOOKUP(B36,'[2]COMPRAS YUC'!$B$10:$P$63,3,0),0)</f>
        <v>2</v>
      </c>
      <c r="H36" s="87">
        <f>IFERROR(VLOOKUP(B36,'[2]COMPRAS UC'!$B$11:$O$66,4,0),0)</f>
        <v>0</v>
      </c>
      <c r="I36" s="23">
        <f>IFERROR(VLOOKUP(B36,'[2]COMPRAS YUC'!$B$10:$P$63,4,0),0)</f>
        <v>1</v>
      </c>
      <c r="J36" s="87">
        <f>IFERROR(VLOOKUP(B36,'[2]COMPRAS UC'!$B$11:$O$66,5,0),0)</f>
        <v>0</v>
      </c>
      <c r="K36" s="23">
        <f>IFERROR(VLOOKUP(B36,'[2]COMPRAS YUC'!$B$10:$P$63,5,0),0)</f>
        <v>0</v>
      </c>
      <c r="L36" s="87">
        <f>IFERROR(VLOOKUP(B36,'[2]COMPRAS UC'!$B$11:$O$66,6,0),0)</f>
        <v>0</v>
      </c>
      <c r="M36" s="23">
        <f>IFERROR(VLOOKUP(B36,'[2]COMPRAS YUC'!$B$10:$P$63,6,0),0)</f>
        <v>1</v>
      </c>
      <c r="N36" s="87">
        <f>IFERROR(VLOOKUP(B36,'[2]COMPRAS UC'!$B$11:$O$66,7,0),0)</f>
        <v>0</v>
      </c>
      <c r="O36" s="23">
        <f>IFERROR(VLOOKUP(B36,'[2]COMPRAS YUC'!$B$10:$P$63,7,0),0)</f>
        <v>3</v>
      </c>
      <c r="P36" s="87">
        <f>IFERROR(VLOOKUP(B36,'[2]COMPRAS UC'!$B$11:$O$66,8,0),0)</f>
        <v>1</v>
      </c>
      <c r="Q36" s="23">
        <f>IFERROR(VLOOKUP(B36,'[2]COMPRAS YUC'!$B$10:$P$63,8,0),0)</f>
        <v>2</v>
      </c>
      <c r="R36" s="87">
        <f>IFERROR(VLOOKUP(B36,'[2]COMPRAS UC'!$B$11:$O$66,9,0),0)</f>
        <v>0</v>
      </c>
      <c r="S36" s="23">
        <f>IFERROR(VLOOKUP(B36,'[2]COMPRAS YUC'!$B$10:$P$63,9,0),0)</f>
        <v>0</v>
      </c>
      <c r="T36" s="87">
        <f>IFERROR(VLOOKUP(B36,'[2]COMPRAS UC'!$B$11:$O$66,10,0),0)</f>
        <v>0</v>
      </c>
      <c r="U36" s="23">
        <f>IFERROR(VLOOKUP(B36,'[2]COMPRAS YUC'!$B$10:$P$63,10,0),0)</f>
        <v>0</v>
      </c>
      <c r="V36" s="87">
        <f>IFERROR(VLOOKUP(B36,'[2]COMPRAS UC'!$B$11:$O$66,11,0),0)</f>
        <v>0</v>
      </c>
      <c r="W36" s="23">
        <f>IFERROR(VLOOKUP(B36,'[2]COMPRAS YUC'!$B$10:$P$63,11,0),0)</f>
        <v>0</v>
      </c>
      <c r="X36" s="87">
        <f>IFERROR(VLOOKUP(B36,'[2]COMPRAS UC'!$B$11:$O$66,12,0),0)</f>
        <v>0</v>
      </c>
      <c r="Y36" s="23">
        <f>IFERROR(VLOOKUP(B36,'[2]COMPRAS YUC'!$B$10:$P$63,12,0),0)</f>
        <v>0</v>
      </c>
      <c r="Z36" s="87">
        <f>IFERROR(VLOOKUP(B36,'[2]COMPRAS UC'!$B$11:$O$66,13,0),0)</f>
        <v>0</v>
      </c>
      <c r="AA36" s="23">
        <f>IFERROR(VLOOKUP(B36,'[2]COMPRAS YUC'!$B$10:$P$63,13,0),0)</f>
        <v>0</v>
      </c>
      <c r="AB36" s="87">
        <f>IFERROR(VLOOKUP(B36,'[2]COMPRAS UC'!$B$11:$O$66,14,0),0)</f>
        <v>0</v>
      </c>
      <c r="AC36" s="23">
        <f>IFERROR(VLOOKUP(B36,'[2]COMPRAS YUC'!$B$10:$P$63,14,0),0)</f>
        <v>0</v>
      </c>
      <c r="AD36" s="211">
        <f>SUMIFS($F36:$AC36,$F$6:$AC$6,AD$6,$F$1:$AC$1,$AD$4)</f>
        <v>0</v>
      </c>
      <c r="AE36" s="111">
        <f t="shared" si="29"/>
        <v>2</v>
      </c>
      <c r="AF36" s="204">
        <f>SUMIFS($F36:$AC36,$F$6:$AC$6,AF$6,$F$1:$AC$1,$AD$4)</f>
        <v>0</v>
      </c>
      <c r="AG36" s="111">
        <f t="shared" si="1"/>
        <v>9</v>
      </c>
      <c r="AH36" s="229">
        <f>IFERROR(AE36+AG36,0)</f>
        <v>11</v>
      </c>
      <c r="AI36" s="211">
        <f>SUMIFS($F36:$AC36,$F$6:$AC$6,AI$6,$F$2:$AC$2,$AD$4)</f>
        <v>0</v>
      </c>
      <c r="AJ36" s="111">
        <f t="shared" si="30"/>
        <v>2</v>
      </c>
      <c r="AK36" s="204">
        <f>SUMIFS($F36:$AC36,$F$6:$AC$6,AK$6,$F$2:$AC$2,$AD$4)</f>
        <v>0</v>
      </c>
      <c r="AL36" s="111">
        <f t="shared" si="31"/>
        <v>9</v>
      </c>
      <c r="AM36" s="229">
        <f>AJ36+AL36</f>
        <v>11</v>
      </c>
      <c r="AN36" s="211"/>
      <c r="AO36" s="111">
        <f>IF($AN$5="Q1",F36+H36+J36,
IF($AN$5="Q2",L36+N36++P36,
IF($AN$5="Q3",R36+T36+V36,
IF($AN$5="Q4",X36+Z36+AB36,0))))</f>
        <v>0</v>
      </c>
      <c r="AP36" s="204"/>
      <c r="AQ36" s="113">
        <f>IF($AN$5="Q1",G36+I36+K36,
IF($AN$5="Q2",M36+O36++Q36,
IF($AN$5="Q3",S36+U36+W36,
IF($AN$5="Q4",Y36+AA36+AC36,0))))</f>
        <v>0</v>
      </c>
      <c r="AR36" s="229">
        <f>AO36+AQ36</f>
        <v>0</v>
      </c>
      <c r="AS36" s="211"/>
      <c r="AT36" s="111">
        <f t="shared" si="33"/>
        <v>2</v>
      </c>
      <c r="AU36" s="204"/>
      <c r="AV36" s="111">
        <f t="shared" si="34"/>
        <v>9</v>
      </c>
      <c r="AW36" s="229">
        <f>AT36+AV36</f>
        <v>11</v>
      </c>
      <c r="AX36" s="4">
        <v>1</v>
      </c>
      <c r="BE36" s="4">
        <v>39</v>
      </c>
      <c r="BM36" s="15">
        <f>SUM(L36:Q36)</f>
        <v>7</v>
      </c>
    </row>
    <row r="37" spans="1:65" s="4" customFormat="1" ht="15" customHeight="1" thickBot="1" x14ac:dyDescent="0.35">
      <c r="A37" s="4">
        <f>_xlfn.XLOOKUP(B37,'UC BMW 2026'!$B$5:$B$65,'UC BMW 2026'!$A$5:$A$65)</f>
        <v>0</v>
      </c>
      <c r="B37" s="7" t="s">
        <v>267</v>
      </c>
      <c r="C37" s="28"/>
      <c r="D37" s="29"/>
      <c r="E37" s="7"/>
      <c r="F37" s="200">
        <f t="shared" ref="F37:AC37" si="35">SUM(F32:F36)</f>
        <v>4</v>
      </c>
      <c r="G37" s="32">
        <f t="shared" si="35"/>
        <v>15</v>
      </c>
      <c r="H37" s="200">
        <f t="shared" si="35"/>
        <v>11</v>
      </c>
      <c r="I37" s="32">
        <f t="shared" si="35"/>
        <v>25</v>
      </c>
      <c r="J37" s="200">
        <f t="shared" si="35"/>
        <v>6</v>
      </c>
      <c r="K37" s="32">
        <f>SUM(K32:K36)</f>
        <v>10</v>
      </c>
      <c r="L37" s="200">
        <f t="shared" si="35"/>
        <v>4</v>
      </c>
      <c r="M37" s="32">
        <f t="shared" si="35"/>
        <v>28</v>
      </c>
      <c r="N37" s="200">
        <f t="shared" si="35"/>
        <v>1</v>
      </c>
      <c r="O37" s="32">
        <f t="shared" si="35"/>
        <v>12</v>
      </c>
      <c r="P37" s="200">
        <f t="shared" si="35"/>
        <v>8</v>
      </c>
      <c r="Q37" s="32">
        <f t="shared" si="35"/>
        <v>21</v>
      </c>
      <c r="R37" s="200">
        <f t="shared" si="35"/>
        <v>0</v>
      </c>
      <c r="S37" s="32">
        <f t="shared" si="35"/>
        <v>0</v>
      </c>
      <c r="T37" s="200">
        <f t="shared" si="35"/>
        <v>0</v>
      </c>
      <c r="U37" s="32">
        <f t="shared" si="35"/>
        <v>0</v>
      </c>
      <c r="V37" s="200">
        <f t="shared" si="35"/>
        <v>0</v>
      </c>
      <c r="W37" s="32">
        <f t="shared" si="35"/>
        <v>0</v>
      </c>
      <c r="X37" s="200">
        <f t="shared" si="35"/>
        <v>0</v>
      </c>
      <c r="Y37" s="32">
        <f t="shared" si="35"/>
        <v>0</v>
      </c>
      <c r="Z37" s="200">
        <f t="shared" si="35"/>
        <v>0</v>
      </c>
      <c r="AA37" s="32">
        <f t="shared" si="35"/>
        <v>0</v>
      </c>
      <c r="AB37" s="200">
        <f t="shared" si="35"/>
        <v>0</v>
      </c>
      <c r="AC37" s="32">
        <f t="shared" si="35"/>
        <v>0</v>
      </c>
      <c r="AD37" s="213">
        <f>SUM(AD33:AD36)</f>
        <v>0</v>
      </c>
      <c r="AE37" s="114">
        <f t="shared" si="29"/>
        <v>34</v>
      </c>
      <c r="AF37" s="206">
        <f>SUM(AF33:AF36)</f>
        <v>0</v>
      </c>
      <c r="AG37" s="114">
        <f t="shared" si="1"/>
        <v>111</v>
      </c>
      <c r="AH37" s="245">
        <f>SUM(AH32:AH36)</f>
        <v>145</v>
      </c>
      <c r="AI37" s="213">
        <f>SUM(AI33:AI36)</f>
        <v>0</v>
      </c>
      <c r="AJ37" s="114">
        <f t="shared" si="30"/>
        <v>34</v>
      </c>
      <c r="AK37" s="206">
        <f>SUM(AK33:AK36)</f>
        <v>0</v>
      </c>
      <c r="AL37" s="114">
        <f t="shared" si="31"/>
        <v>111</v>
      </c>
      <c r="AM37" s="245">
        <f>SUM(AM32:AM36)</f>
        <v>145</v>
      </c>
      <c r="AN37" s="213">
        <f t="shared" ref="AN37:AS37" si="36">SUM(AN33:AN36)</f>
        <v>0</v>
      </c>
      <c r="AO37" s="114">
        <f t="shared" si="36"/>
        <v>0</v>
      </c>
      <c r="AP37" s="206">
        <f t="shared" si="36"/>
        <v>0</v>
      </c>
      <c r="AQ37" s="115">
        <f t="shared" si="36"/>
        <v>0</v>
      </c>
      <c r="AR37" s="245">
        <f>SUM(AR32:AR36)</f>
        <v>0</v>
      </c>
      <c r="AS37" s="213">
        <f t="shared" si="36"/>
        <v>0</v>
      </c>
      <c r="AT37" s="114">
        <f t="shared" si="33"/>
        <v>34</v>
      </c>
      <c r="AU37" s="206"/>
      <c r="AV37" s="114">
        <f t="shared" si="34"/>
        <v>111</v>
      </c>
      <c r="AW37" s="245">
        <f>SUM(AW32:AW36)</f>
        <v>145</v>
      </c>
      <c r="AX37" s="4">
        <v>0</v>
      </c>
      <c r="BE37" s="4">
        <v>38</v>
      </c>
      <c r="BM37" s="15"/>
    </row>
    <row r="38" spans="1:65" s="4" customFormat="1" ht="15" customHeight="1" x14ac:dyDescent="0.3">
      <c r="A38" s="4">
        <f>_xlfn.XLOOKUP(B38,'UC BMW 2026'!$B$5:$B$65,'UC BMW 2026'!$A$5:$A$65)</f>
        <v>6</v>
      </c>
      <c r="B38" s="8">
        <v>100348</v>
      </c>
      <c r="C38" s="369" t="s">
        <v>56</v>
      </c>
      <c r="D38" s="8">
        <v>8596</v>
      </c>
      <c r="E38" s="309" t="s">
        <v>105</v>
      </c>
      <c r="F38" s="199">
        <f>IFERROR(VLOOKUP(B38,'[2]COMPRAS UC'!$B$11:$O$66,3,0),0)</f>
        <v>2</v>
      </c>
      <c r="G38" s="23">
        <f>IFERROR(VLOOKUP(B38,'[2]COMPRAS YUC'!$B$10:$P$63,3,0),0)</f>
        <v>25</v>
      </c>
      <c r="H38" s="87">
        <f>IFERROR(VLOOKUP(B38,'[2]COMPRAS UC'!$B$11:$O$66,4,0),0)</f>
        <v>15</v>
      </c>
      <c r="I38" s="23">
        <f>IFERROR(VLOOKUP(B38,'[2]COMPRAS YUC'!$B$10:$P$63,4,0),0)</f>
        <v>12</v>
      </c>
      <c r="J38" s="87">
        <f>IFERROR(VLOOKUP(B38,'[2]COMPRAS UC'!$B$11:$O$66,5,0),0)</f>
        <v>4</v>
      </c>
      <c r="K38" s="23">
        <f>IFERROR(VLOOKUP(B38,'[2]COMPRAS YUC'!$B$10:$P$63,5,0),0)</f>
        <v>17</v>
      </c>
      <c r="L38" s="87">
        <f>IFERROR(VLOOKUP(B38,'[2]COMPRAS UC'!$B$11:$O$66,6,0),0)</f>
        <v>5</v>
      </c>
      <c r="M38" s="23">
        <f>IFERROR(VLOOKUP(B38,'[2]COMPRAS YUC'!$B$10:$P$63,6,0),0)</f>
        <v>8</v>
      </c>
      <c r="N38" s="87">
        <f>IFERROR(VLOOKUP(B38,'[2]COMPRAS UC'!$B$11:$O$66,7,0),0)</f>
        <v>3</v>
      </c>
      <c r="O38" s="23">
        <f>IFERROR(VLOOKUP(B38,'[2]COMPRAS YUC'!$B$10:$P$63,7,0),0)</f>
        <v>7</v>
      </c>
      <c r="P38" s="87">
        <f>IFERROR(VLOOKUP(B38,'[2]COMPRAS UC'!$B$11:$O$66,8,0),0)</f>
        <v>9</v>
      </c>
      <c r="Q38" s="23">
        <f>IFERROR(VLOOKUP(B38,'[2]COMPRAS YUC'!$B$10:$P$63,8,0),0)</f>
        <v>7</v>
      </c>
      <c r="R38" s="87">
        <f>IFERROR(VLOOKUP(B38,'[2]COMPRAS UC'!$B$11:$O$66,9,0),0)</f>
        <v>0</v>
      </c>
      <c r="S38" s="23">
        <f>IFERROR(VLOOKUP(B38,'[2]COMPRAS YUC'!$B$10:$P$63,9,0),0)</f>
        <v>0</v>
      </c>
      <c r="T38" s="87">
        <f>IFERROR(VLOOKUP(B38,'[2]COMPRAS UC'!$B$11:$O$66,10,0),0)</f>
        <v>0</v>
      </c>
      <c r="U38" s="23">
        <f>IFERROR(VLOOKUP(B38,'[2]COMPRAS YUC'!$B$10:$P$63,10,0),0)</f>
        <v>0</v>
      </c>
      <c r="V38" s="87">
        <f>IFERROR(VLOOKUP(B38,'[2]COMPRAS UC'!$B$11:$O$66,11,0),0)</f>
        <v>0</v>
      </c>
      <c r="W38" s="23">
        <f>IFERROR(VLOOKUP(B38,'[2]COMPRAS YUC'!$B$10:$P$63,11,0),0)</f>
        <v>0</v>
      </c>
      <c r="X38" s="87">
        <f>IFERROR(VLOOKUP(B38,'[2]COMPRAS UC'!$B$11:$O$66,12,0),0)</f>
        <v>0</v>
      </c>
      <c r="Y38" s="23">
        <f>IFERROR(VLOOKUP(B38,'[2]COMPRAS YUC'!$B$10:$P$63,12,0),0)</f>
        <v>0</v>
      </c>
      <c r="Z38" s="87">
        <f>IFERROR(VLOOKUP(B38,'[2]COMPRAS UC'!$B$11:$O$66,13,0),0)</f>
        <v>0</v>
      </c>
      <c r="AA38" s="23">
        <f>IFERROR(VLOOKUP(B38,'[2]COMPRAS YUC'!$B$10:$P$63,13,0),0)</f>
        <v>0</v>
      </c>
      <c r="AB38" s="87">
        <f>IFERROR(VLOOKUP(B38,'[2]COMPRAS UC'!$B$11:$O$66,14,0),0)</f>
        <v>0</v>
      </c>
      <c r="AC38" s="23">
        <f>IFERROR(VLOOKUP(B38,'[2]COMPRAS YUC'!$B$10:$P$63,14,0),0)</f>
        <v>0</v>
      </c>
      <c r="AD38" s="211">
        <f t="shared" ref="AD38:AD43" si="37">SUMIFS($F38:$AC38,$F$6:$AC$6,AD$6,$F$1:$AC$1,$AD$4)</f>
        <v>0</v>
      </c>
      <c r="AE38" s="111">
        <f t="shared" ref="AE38:AE43" si="38">IFERROR(IF($AD$4="ENERO",F38,IF($AD$4="FEBRERO",F38+H38,IF($AD$4="MARZO",F38+H38+J38,IF($AD$4="ABRIL",F38+H38+J38+L38,IF($AD$4="MAYO",F38+H38+J38+L38+N38,IF($AD$4="JUNIO",F38+H38+J38+L38+N38+P38,IF($AD$4="JULIO",F38+H38+J38+L38+N38+P38+R38,IF($AD$4="AGOSTO",F38+H38+J38+L38+N38+P38+R38+T38,IF($AD$4="SEPTIEMBRE",F38+H38+J38+L38+N38+P38+R38+T38+V38,IF($AD$4="OCTUBRE",F38+H38+J38+L38+N38+P38+R38+T38+V38+X38,IF($AD$4="NOVIEMBRE",F38+H38+J38+L38+N38+P38+R38+T38+V38+X38+Z38,IF($AD$4="DICIEMBRE",F38+H38+J38+L38+N38+P38+R38+T38+V38+X38+Z38+AB38,"")))))))))))),0)</f>
        <v>38</v>
      </c>
      <c r="AF38" s="204">
        <f t="shared" ref="AF38:AF43" si="39">SUMIFS($F38:$AC38,$F$6:$AC$6,AF$6,$F$1:$AC$1,$AD$4)</f>
        <v>0</v>
      </c>
      <c r="AG38" s="111">
        <f t="shared" si="1"/>
        <v>76</v>
      </c>
      <c r="AH38" s="229">
        <f t="shared" ref="AH38:AH43" si="40">IFERROR(AE38+AG38,0)</f>
        <v>114</v>
      </c>
      <c r="AI38" s="211">
        <f t="shared" ref="AI38:AI43" si="41">SUMIFS($F38:$AC38,$F$6:$AC$6,AI$6,$F$2:$AC$2,$AD$4)</f>
        <v>0</v>
      </c>
      <c r="AJ38" s="111">
        <f t="shared" ref="AJ38:AJ43" si="42">IFERROR(SUM(F38,H38,J38,L38,N38,P38,R38,T38,V38,X38,Z38,AB38),0)</f>
        <v>38</v>
      </c>
      <c r="AK38" s="204">
        <f t="shared" ref="AK38:AK43" si="43">SUMIFS($F38:$AC38,$F$6:$AC$6,AK$6,$F$2:$AC$2,$AD$4)</f>
        <v>0</v>
      </c>
      <c r="AL38" s="111">
        <f t="shared" ref="AL38:AL43" si="44">IFERROR(SUM(G38,I38,K38,M38,O38,Q38,S38,U38,W38,Y38,AA38,AC38),0)</f>
        <v>76</v>
      </c>
      <c r="AM38" s="229">
        <f t="shared" ref="AM38:AM43" si="45">AJ38+AL38</f>
        <v>114</v>
      </c>
      <c r="AN38" s="211"/>
      <c r="AO38" s="111">
        <f t="shared" ref="AO38:AO43" si="46">IF($AN$5="Q1",F38+H38+J38,
IF($AN$5="Q2",L38+N38++P38,
IF($AN$5="Q3",R38+T38+V38,
IF($AN$5="Q4",X38+Z38+AB38,0))))</f>
        <v>0</v>
      </c>
      <c r="AP38" s="204"/>
      <c r="AQ38" s="113">
        <f t="shared" ref="AQ38:AQ43" si="47">IF($AN$5="Q1",G38+I38+K38,
IF($AN$5="Q2",M38+O38++Q38,
IF($AN$5="Q3",S38+U38+W38,
IF($AN$5="Q4",Y38+AA38+AC38,0))))</f>
        <v>0</v>
      </c>
      <c r="AR38" s="229">
        <f t="shared" ref="AR38:AR43" si="48">AO38+AQ38</f>
        <v>0</v>
      </c>
      <c r="AS38" s="211"/>
      <c r="AT38" s="111">
        <f t="shared" ref="AT38:AT43" si="49">IFERROR(IF($AS$5="S 1",F38+H38+J38+L38+N38++P38,
IF($AS$5="S 2",R38+T38+V38+X38+Z38+AB38,0)),0)</f>
        <v>38</v>
      </c>
      <c r="AU38" s="204"/>
      <c r="AV38" s="111">
        <f t="shared" ref="AV38:AV43" si="50">IFERROR(IF($AS$5="S 1",G38+I38+K38+M38+O38++Q38,
IF($AS$5="S 2",S38+U38+W38+Y38+AA38+AC38,0)),0)</f>
        <v>76</v>
      </c>
      <c r="AW38" s="229">
        <f t="shared" ref="AW38:AW43" si="51">AT38+AV38</f>
        <v>114</v>
      </c>
      <c r="AX38" s="4">
        <v>1</v>
      </c>
      <c r="BE38" s="4">
        <v>36</v>
      </c>
      <c r="BM38" s="15">
        <f t="shared" ref="BM38:BM43" si="52">SUM(L38:Q38)</f>
        <v>39</v>
      </c>
    </row>
    <row r="39" spans="1:65" s="4" customFormat="1" ht="15" customHeight="1" x14ac:dyDescent="0.3">
      <c r="A39" s="4">
        <f>_xlfn.XLOOKUP(B39,'UC BMW 2026'!$B$5:$B$65,'UC BMW 2026'!$A$5:$A$65)</f>
        <v>6</v>
      </c>
      <c r="B39" s="8">
        <v>100585</v>
      </c>
      <c r="C39" s="369" t="s">
        <v>58</v>
      </c>
      <c r="D39" s="8">
        <v>34177</v>
      </c>
      <c r="E39" s="309" t="s">
        <v>87</v>
      </c>
      <c r="F39" s="199">
        <f>IFERROR(VLOOKUP(B39,'[2]COMPRAS UC'!$B$11:$O$66,3,0),0)</f>
        <v>0</v>
      </c>
      <c r="G39" s="23">
        <f>IFERROR(VLOOKUP(B39,'[2]COMPRAS YUC'!$B$10:$P$63,3,0),0)</f>
        <v>1</v>
      </c>
      <c r="H39" s="87">
        <f>IFERROR(VLOOKUP(B39,'[2]COMPRAS UC'!$B$11:$O$66,4,0),0)</f>
        <v>0</v>
      </c>
      <c r="I39" s="23">
        <f>IFERROR(VLOOKUP(B39,'[2]COMPRAS YUC'!$B$10:$P$63,4,0),0)</f>
        <v>2</v>
      </c>
      <c r="J39" s="87">
        <f>IFERROR(VLOOKUP(B39,'[2]COMPRAS UC'!$B$11:$O$66,5,0),0)</f>
        <v>1</v>
      </c>
      <c r="K39" s="23">
        <f>IFERROR(VLOOKUP(B39,'[2]COMPRAS YUC'!$B$10:$P$63,5,0),0)</f>
        <v>2</v>
      </c>
      <c r="L39" s="87">
        <f>IFERROR(VLOOKUP(B39,'[2]COMPRAS UC'!$B$11:$O$66,6,0),0)</f>
        <v>0</v>
      </c>
      <c r="M39" s="23">
        <f>IFERROR(VLOOKUP(B39,'[2]COMPRAS YUC'!$B$10:$P$63,6,0),0)</f>
        <v>0</v>
      </c>
      <c r="N39" s="87">
        <f>IFERROR(VLOOKUP(B39,'[2]COMPRAS UC'!$B$11:$O$66,7,0),0)</f>
        <v>2</v>
      </c>
      <c r="O39" s="23">
        <f>IFERROR(VLOOKUP(B39,'[2]COMPRAS YUC'!$B$10:$P$63,7,0),0)</f>
        <v>1</v>
      </c>
      <c r="P39" s="87">
        <f>IFERROR(VLOOKUP(B39,'[2]COMPRAS UC'!$B$11:$O$66,8,0),0)</f>
        <v>3</v>
      </c>
      <c r="Q39" s="23">
        <f>IFERROR(VLOOKUP(B39,'[2]COMPRAS YUC'!$B$10:$P$63,8,0),0)</f>
        <v>0</v>
      </c>
      <c r="R39" s="87">
        <f>IFERROR(VLOOKUP(B39,'[2]COMPRAS UC'!$B$11:$O$66,9,0),0)</f>
        <v>0</v>
      </c>
      <c r="S39" s="23">
        <f>IFERROR(VLOOKUP(B39,'[2]COMPRAS YUC'!$B$10:$P$63,9,0),0)</f>
        <v>0</v>
      </c>
      <c r="T39" s="87">
        <f>IFERROR(VLOOKUP(B39,'[2]COMPRAS UC'!$B$11:$O$66,10,0),0)</f>
        <v>0</v>
      </c>
      <c r="U39" s="23">
        <f>IFERROR(VLOOKUP(B39,'[2]COMPRAS YUC'!$B$10:$P$63,10,0),0)</f>
        <v>0</v>
      </c>
      <c r="V39" s="87">
        <f>IFERROR(VLOOKUP(B39,'[2]COMPRAS UC'!$B$11:$O$66,11,0),0)</f>
        <v>0</v>
      </c>
      <c r="W39" s="23">
        <f>IFERROR(VLOOKUP(B39,'[2]COMPRAS YUC'!$B$10:$P$63,11,0),0)</f>
        <v>0</v>
      </c>
      <c r="X39" s="87">
        <f>IFERROR(VLOOKUP(B39,'[2]COMPRAS UC'!$B$11:$O$66,12,0),0)</f>
        <v>0</v>
      </c>
      <c r="Y39" s="23">
        <f>IFERROR(VLOOKUP(B39,'[2]COMPRAS YUC'!$B$10:$P$63,12,0),0)</f>
        <v>0</v>
      </c>
      <c r="Z39" s="87">
        <f>IFERROR(VLOOKUP(B39,'[2]COMPRAS UC'!$B$11:$O$66,13,0),0)</f>
        <v>0</v>
      </c>
      <c r="AA39" s="23">
        <f>IFERROR(VLOOKUP(B39,'[2]COMPRAS YUC'!$B$10:$P$63,13,0),0)</f>
        <v>0</v>
      </c>
      <c r="AB39" s="87">
        <f>IFERROR(VLOOKUP(B39,'[2]COMPRAS UC'!$B$11:$O$66,14,0),0)</f>
        <v>0</v>
      </c>
      <c r="AC39" s="23">
        <f>IFERROR(VLOOKUP(B39,'[2]COMPRAS YUC'!$B$10:$P$63,14,0),0)</f>
        <v>0</v>
      </c>
      <c r="AD39" s="211">
        <f t="shared" si="37"/>
        <v>0</v>
      </c>
      <c r="AE39" s="111">
        <f t="shared" si="38"/>
        <v>6</v>
      </c>
      <c r="AF39" s="204">
        <f t="shared" si="39"/>
        <v>0</v>
      </c>
      <c r="AG39" s="111">
        <f t="shared" si="1"/>
        <v>6</v>
      </c>
      <c r="AH39" s="229">
        <f t="shared" si="40"/>
        <v>12</v>
      </c>
      <c r="AI39" s="211">
        <f t="shared" si="41"/>
        <v>0</v>
      </c>
      <c r="AJ39" s="111">
        <f t="shared" si="42"/>
        <v>6</v>
      </c>
      <c r="AK39" s="204">
        <f t="shared" si="43"/>
        <v>0</v>
      </c>
      <c r="AL39" s="111">
        <f t="shared" si="44"/>
        <v>6</v>
      </c>
      <c r="AM39" s="229">
        <f t="shared" si="45"/>
        <v>12</v>
      </c>
      <c r="AN39" s="211"/>
      <c r="AO39" s="111">
        <f t="shared" si="46"/>
        <v>0</v>
      </c>
      <c r="AP39" s="204"/>
      <c r="AQ39" s="113">
        <f t="shared" si="47"/>
        <v>0</v>
      </c>
      <c r="AR39" s="229">
        <f t="shared" si="48"/>
        <v>0</v>
      </c>
      <c r="AS39" s="211"/>
      <c r="AT39" s="111">
        <f t="shared" si="49"/>
        <v>6</v>
      </c>
      <c r="AU39" s="204"/>
      <c r="AV39" s="111">
        <f t="shared" si="50"/>
        <v>6</v>
      </c>
      <c r="AW39" s="229">
        <f t="shared" si="51"/>
        <v>12</v>
      </c>
      <c r="AX39" s="4">
        <v>1</v>
      </c>
      <c r="BE39" s="4">
        <v>28</v>
      </c>
      <c r="BM39" s="15">
        <f t="shared" si="52"/>
        <v>6</v>
      </c>
    </row>
    <row r="40" spans="1:65" s="4" customFormat="1" ht="15" customHeight="1" x14ac:dyDescent="0.3">
      <c r="A40" s="4">
        <f>_xlfn.XLOOKUP(B40,'UC BMW 2026'!$B$5:$B$65,'UC BMW 2026'!$A$5:$A$65)</f>
        <v>6</v>
      </c>
      <c r="B40" s="8">
        <v>100597</v>
      </c>
      <c r="C40" s="369" t="s">
        <v>53</v>
      </c>
      <c r="D40" s="8">
        <v>8596</v>
      </c>
      <c r="E40" s="309" t="s">
        <v>105</v>
      </c>
      <c r="F40" s="199">
        <f>IFERROR(VLOOKUP(B40,'[2]COMPRAS UC'!$B$11:$O$66,3,0),0)</f>
        <v>1</v>
      </c>
      <c r="G40" s="23">
        <f>IFERROR(VLOOKUP(B40,'[2]COMPRAS YUC'!$B$10:$P$63,3,0),0)</f>
        <v>0</v>
      </c>
      <c r="H40" s="87">
        <f>IFERROR(VLOOKUP(B40,'[2]COMPRAS UC'!$B$11:$O$66,4,0),0)</f>
        <v>1</v>
      </c>
      <c r="I40" s="23">
        <f>IFERROR(VLOOKUP(B40,'[2]COMPRAS YUC'!$B$10:$P$63,4,0),0)</f>
        <v>3</v>
      </c>
      <c r="J40" s="87">
        <f>IFERROR(VLOOKUP(B40,'[2]COMPRAS UC'!$B$11:$O$66,5,0),0)</f>
        <v>0</v>
      </c>
      <c r="K40" s="23">
        <f>IFERROR(VLOOKUP(B40,'[2]COMPRAS YUC'!$B$10:$P$63,5,0),0)</f>
        <v>1</v>
      </c>
      <c r="L40" s="87">
        <f>IFERROR(VLOOKUP(B40,'[2]COMPRAS UC'!$B$11:$O$66,6,0),0)</f>
        <v>0</v>
      </c>
      <c r="M40" s="23">
        <f>IFERROR(VLOOKUP(B40,'[2]COMPRAS YUC'!$B$10:$P$63,6,0),0)</f>
        <v>3</v>
      </c>
      <c r="N40" s="87">
        <f>IFERROR(VLOOKUP(B40,'[2]COMPRAS UC'!$B$11:$O$66,7,0),0)</f>
        <v>0</v>
      </c>
      <c r="O40" s="23">
        <f>IFERROR(VLOOKUP(B40,'[2]COMPRAS YUC'!$B$10:$P$63,7,0),0)</f>
        <v>1</v>
      </c>
      <c r="P40" s="87">
        <f>IFERROR(VLOOKUP(B40,'[2]COMPRAS UC'!$B$11:$O$66,8,0),0)</f>
        <v>0</v>
      </c>
      <c r="Q40" s="23">
        <f>IFERROR(VLOOKUP(B40,'[2]COMPRAS YUC'!$B$10:$P$63,8,0),0)</f>
        <v>0</v>
      </c>
      <c r="R40" s="87">
        <f>IFERROR(VLOOKUP(B40,'[2]COMPRAS UC'!$B$11:$O$66,9,0),0)</f>
        <v>0</v>
      </c>
      <c r="S40" s="23">
        <f>IFERROR(VLOOKUP(B40,'[2]COMPRAS YUC'!$B$10:$P$63,9,0),0)</f>
        <v>0</v>
      </c>
      <c r="T40" s="87">
        <f>IFERROR(VLOOKUP(B40,'[2]COMPRAS UC'!$B$11:$O$66,10,0),0)</f>
        <v>0</v>
      </c>
      <c r="U40" s="23">
        <f>IFERROR(VLOOKUP(B40,'[2]COMPRAS YUC'!$B$10:$P$63,10,0),0)</f>
        <v>0</v>
      </c>
      <c r="V40" s="87">
        <f>IFERROR(VLOOKUP(B40,'[2]COMPRAS UC'!$B$11:$O$66,11,0),0)</f>
        <v>0</v>
      </c>
      <c r="W40" s="23">
        <f>IFERROR(VLOOKUP(B40,'[2]COMPRAS YUC'!$B$10:$P$63,11,0),0)</f>
        <v>0</v>
      </c>
      <c r="X40" s="87">
        <f>IFERROR(VLOOKUP(B40,'[2]COMPRAS UC'!$B$11:$O$66,12,0),0)</f>
        <v>0</v>
      </c>
      <c r="Y40" s="23">
        <f>IFERROR(VLOOKUP(B40,'[2]COMPRAS YUC'!$B$10:$P$63,12,0),0)</f>
        <v>0</v>
      </c>
      <c r="Z40" s="87">
        <f>IFERROR(VLOOKUP(B40,'[2]COMPRAS UC'!$B$11:$O$66,13,0),0)</f>
        <v>0</v>
      </c>
      <c r="AA40" s="23">
        <f>IFERROR(VLOOKUP(B40,'[2]COMPRAS YUC'!$B$10:$P$63,13,0),0)</f>
        <v>0</v>
      </c>
      <c r="AB40" s="87">
        <f>IFERROR(VLOOKUP(B40,'[2]COMPRAS UC'!$B$11:$O$66,14,0),0)</f>
        <v>0</v>
      </c>
      <c r="AC40" s="23">
        <f>IFERROR(VLOOKUP(B40,'[2]COMPRAS YUC'!$B$10:$P$63,14,0),0)</f>
        <v>0</v>
      </c>
      <c r="AD40" s="211">
        <f t="shared" si="37"/>
        <v>0</v>
      </c>
      <c r="AE40" s="111">
        <f t="shared" si="38"/>
        <v>2</v>
      </c>
      <c r="AF40" s="204">
        <f t="shared" si="39"/>
        <v>0</v>
      </c>
      <c r="AG40" s="111">
        <f t="shared" si="1"/>
        <v>8</v>
      </c>
      <c r="AH40" s="229">
        <f t="shared" si="40"/>
        <v>10</v>
      </c>
      <c r="AI40" s="211">
        <f t="shared" si="41"/>
        <v>0</v>
      </c>
      <c r="AJ40" s="111">
        <f t="shared" si="42"/>
        <v>2</v>
      </c>
      <c r="AK40" s="204">
        <f t="shared" si="43"/>
        <v>0</v>
      </c>
      <c r="AL40" s="111">
        <f t="shared" si="44"/>
        <v>8</v>
      </c>
      <c r="AM40" s="229">
        <f t="shared" si="45"/>
        <v>10</v>
      </c>
      <c r="AN40" s="211"/>
      <c r="AO40" s="111">
        <f t="shared" si="46"/>
        <v>0</v>
      </c>
      <c r="AP40" s="204"/>
      <c r="AQ40" s="113">
        <f t="shared" si="47"/>
        <v>0</v>
      </c>
      <c r="AR40" s="229">
        <f t="shared" si="48"/>
        <v>0</v>
      </c>
      <c r="AS40" s="211"/>
      <c r="AT40" s="111">
        <f t="shared" si="49"/>
        <v>2</v>
      </c>
      <c r="AU40" s="204"/>
      <c r="AV40" s="111">
        <f t="shared" si="50"/>
        <v>8</v>
      </c>
      <c r="AW40" s="229">
        <f t="shared" si="51"/>
        <v>10</v>
      </c>
      <c r="AX40" s="4">
        <v>1</v>
      </c>
      <c r="BE40" s="4">
        <v>28</v>
      </c>
      <c r="BM40" s="15">
        <f t="shared" si="52"/>
        <v>4</v>
      </c>
    </row>
    <row r="41" spans="1:65" s="4" customFormat="1" ht="15" customHeight="1" x14ac:dyDescent="0.3">
      <c r="A41" s="4">
        <f>_xlfn.XLOOKUP(B41,'UC BMW 2026'!$B$5:$B$65,'UC BMW 2026'!$A$5:$A$65)</f>
        <v>6</v>
      </c>
      <c r="B41" s="8">
        <v>100727</v>
      </c>
      <c r="C41" s="369" t="s">
        <v>21</v>
      </c>
      <c r="D41" s="8">
        <v>39200</v>
      </c>
      <c r="E41" s="309" t="s">
        <v>93</v>
      </c>
      <c r="F41" s="199">
        <f>IFERROR(VLOOKUP(B41,'[2]COMPRAS UC'!$B$11:$O$66,3,0),0)</f>
        <v>0</v>
      </c>
      <c r="G41" s="23">
        <f>IFERROR(VLOOKUP(B41,'[2]COMPRAS YUC'!$B$10:$P$63,3,0),0)</f>
        <v>0</v>
      </c>
      <c r="H41" s="87">
        <f>IFERROR(VLOOKUP(B41,'[2]COMPRAS UC'!$B$11:$O$66,4,0),0)</f>
        <v>1</v>
      </c>
      <c r="I41" s="23">
        <f>IFERROR(VLOOKUP(B41,'[2]COMPRAS YUC'!$B$10:$P$63,4,0),0)</f>
        <v>3</v>
      </c>
      <c r="J41" s="87">
        <f>IFERROR(VLOOKUP(B41,'[2]COMPRAS UC'!$B$11:$O$66,5,0),0)</f>
        <v>0</v>
      </c>
      <c r="K41" s="23">
        <f>IFERROR(VLOOKUP(B41,'[2]COMPRAS YUC'!$B$10:$P$63,5,0),0)</f>
        <v>0</v>
      </c>
      <c r="L41" s="87">
        <f>IFERROR(VLOOKUP(B41,'[2]COMPRAS UC'!$B$11:$O$66,6,0),0)</f>
        <v>0</v>
      </c>
      <c r="M41" s="23">
        <f>IFERROR(VLOOKUP(B41,'[2]COMPRAS YUC'!$B$10:$P$63,6,0),0)</f>
        <v>0</v>
      </c>
      <c r="N41" s="87">
        <f>IFERROR(VLOOKUP(B41,'[2]COMPRAS UC'!$B$11:$O$66,7,0),0)</f>
        <v>0</v>
      </c>
      <c r="O41" s="23">
        <f>IFERROR(VLOOKUP(B41,'[2]COMPRAS YUC'!$B$10:$P$63,7,0),0)</f>
        <v>2</v>
      </c>
      <c r="P41" s="87">
        <f>IFERROR(VLOOKUP(B41,'[2]COMPRAS UC'!$B$11:$O$66,8,0),0)</f>
        <v>6</v>
      </c>
      <c r="Q41" s="23">
        <f>IFERROR(VLOOKUP(B41,'[2]COMPRAS YUC'!$B$10:$P$63,8,0),0)</f>
        <v>10</v>
      </c>
      <c r="R41" s="87">
        <f>IFERROR(VLOOKUP(B41,'[2]COMPRAS UC'!$B$11:$O$66,9,0),0)</f>
        <v>0</v>
      </c>
      <c r="S41" s="23">
        <f>IFERROR(VLOOKUP(B41,'[2]COMPRAS YUC'!$B$10:$P$63,9,0),0)</f>
        <v>0</v>
      </c>
      <c r="T41" s="87">
        <f>IFERROR(VLOOKUP(B41,'[2]COMPRAS UC'!$B$11:$O$66,10,0),0)</f>
        <v>0</v>
      </c>
      <c r="U41" s="23">
        <f>IFERROR(VLOOKUP(B41,'[2]COMPRAS YUC'!$B$10:$P$63,10,0),0)</f>
        <v>0</v>
      </c>
      <c r="V41" s="87">
        <f>IFERROR(VLOOKUP(B41,'[2]COMPRAS UC'!$B$11:$O$66,11,0),0)</f>
        <v>0</v>
      </c>
      <c r="W41" s="23">
        <f>IFERROR(VLOOKUP(B41,'[2]COMPRAS YUC'!$B$10:$P$63,11,0),0)</f>
        <v>0</v>
      </c>
      <c r="X41" s="87">
        <f>IFERROR(VLOOKUP(B41,'[2]COMPRAS UC'!$B$11:$O$66,12,0),0)</f>
        <v>0</v>
      </c>
      <c r="Y41" s="23">
        <f>IFERROR(VLOOKUP(B41,'[2]COMPRAS YUC'!$B$10:$P$63,12,0),0)</f>
        <v>0</v>
      </c>
      <c r="Z41" s="87">
        <f>IFERROR(VLOOKUP(B41,'[2]COMPRAS UC'!$B$11:$O$66,13,0),0)</f>
        <v>0</v>
      </c>
      <c r="AA41" s="23">
        <f>IFERROR(VLOOKUP(B41,'[2]COMPRAS YUC'!$B$10:$P$63,13,0),0)</f>
        <v>0</v>
      </c>
      <c r="AB41" s="87">
        <f>IFERROR(VLOOKUP(B41,'[2]COMPRAS UC'!$B$11:$O$66,14,0),0)</f>
        <v>0</v>
      </c>
      <c r="AC41" s="23">
        <f>IFERROR(VLOOKUP(B41,'[2]COMPRAS YUC'!$B$10:$P$63,14,0),0)</f>
        <v>0</v>
      </c>
      <c r="AD41" s="211">
        <f t="shared" si="37"/>
        <v>0</v>
      </c>
      <c r="AE41" s="111">
        <f t="shared" si="38"/>
        <v>7</v>
      </c>
      <c r="AF41" s="204">
        <f t="shared" si="39"/>
        <v>0</v>
      </c>
      <c r="AG41" s="111">
        <f t="shared" si="1"/>
        <v>15</v>
      </c>
      <c r="AH41" s="229">
        <f t="shared" si="40"/>
        <v>22</v>
      </c>
      <c r="AI41" s="211">
        <f t="shared" si="41"/>
        <v>0</v>
      </c>
      <c r="AJ41" s="111">
        <f t="shared" si="42"/>
        <v>7</v>
      </c>
      <c r="AK41" s="204">
        <f t="shared" si="43"/>
        <v>0</v>
      </c>
      <c r="AL41" s="111">
        <f t="shared" si="44"/>
        <v>15</v>
      </c>
      <c r="AM41" s="229">
        <f t="shared" si="45"/>
        <v>22</v>
      </c>
      <c r="AN41" s="211"/>
      <c r="AO41" s="111">
        <f t="shared" si="46"/>
        <v>0</v>
      </c>
      <c r="AP41" s="204"/>
      <c r="AQ41" s="113">
        <f t="shared" si="47"/>
        <v>0</v>
      </c>
      <c r="AR41" s="229">
        <f t="shared" si="48"/>
        <v>0</v>
      </c>
      <c r="AS41" s="211"/>
      <c r="AT41" s="111">
        <f t="shared" si="49"/>
        <v>7</v>
      </c>
      <c r="AU41" s="204"/>
      <c r="AV41" s="111">
        <f t="shared" si="50"/>
        <v>15</v>
      </c>
      <c r="AW41" s="229">
        <f t="shared" si="51"/>
        <v>22</v>
      </c>
      <c r="AX41" s="4">
        <v>1</v>
      </c>
      <c r="BE41" s="4">
        <v>26</v>
      </c>
      <c r="BM41" s="15">
        <f t="shared" si="52"/>
        <v>18</v>
      </c>
    </row>
    <row r="42" spans="1:65" s="4" customFormat="1" ht="15" customHeight="1" x14ac:dyDescent="0.3">
      <c r="A42" s="4">
        <f>_xlfn.XLOOKUP(B42,'UC BMW 2026'!$B$5:$B$65,'UC BMW 2026'!$A$5:$A$65)</f>
        <v>6</v>
      </c>
      <c r="B42" s="8">
        <v>100728</v>
      </c>
      <c r="C42" s="369" t="s">
        <v>24</v>
      </c>
      <c r="D42" s="8">
        <v>39349</v>
      </c>
      <c r="E42" s="309" t="s">
        <v>94</v>
      </c>
      <c r="F42" s="199">
        <f>IFERROR(VLOOKUP(B42,'[2]COMPRAS UC'!$B$11:$O$66,3,0),0)</f>
        <v>0</v>
      </c>
      <c r="G42" s="23">
        <f>IFERROR(VLOOKUP(B42,'[2]COMPRAS YUC'!$B$10:$P$63,3,0),0)</f>
        <v>10</v>
      </c>
      <c r="H42" s="87">
        <f>IFERROR(VLOOKUP(B42,'[2]COMPRAS UC'!$B$11:$O$66,4,0),0)</f>
        <v>1</v>
      </c>
      <c r="I42" s="23">
        <f>IFERROR(VLOOKUP(B42,'[2]COMPRAS YUC'!$B$10:$P$63,4,0),0)</f>
        <v>20</v>
      </c>
      <c r="J42" s="87">
        <f>IFERROR(VLOOKUP(B42,'[2]COMPRAS UC'!$B$11:$O$66,5,0),0)</f>
        <v>0</v>
      </c>
      <c r="K42" s="23">
        <f>IFERROR(VLOOKUP(B42,'[2]COMPRAS YUC'!$B$10:$P$63,5,0),0)</f>
        <v>11</v>
      </c>
      <c r="L42" s="87">
        <f>IFERROR(VLOOKUP(B42,'[2]COMPRAS UC'!$B$11:$O$66,6,0),0)</f>
        <v>0</v>
      </c>
      <c r="M42" s="23">
        <f>IFERROR(VLOOKUP(B42,'[2]COMPRAS YUC'!$B$10:$P$63,6,0),0)</f>
        <v>16</v>
      </c>
      <c r="N42" s="87">
        <f>IFERROR(VLOOKUP(B42,'[2]COMPRAS UC'!$B$11:$O$66,7,0),0)</f>
        <v>0</v>
      </c>
      <c r="O42" s="23">
        <f>IFERROR(VLOOKUP(B42,'[2]COMPRAS YUC'!$B$10:$P$63,7,0),0)</f>
        <v>13</v>
      </c>
      <c r="P42" s="87">
        <f>IFERROR(VLOOKUP(B42,'[2]COMPRAS UC'!$B$11:$O$66,8,0),0)</f>
        <v>1</v>
      </c>
      <c r="Q42" s="23">
        <f>IFERROR(VLOOKUP(B42,'[2]COMPRAS YUC'!$B$10:$P$63,8,0),0)</f>
        <v>20</v>
      </c>
      <c r="R42" s="87">
        <f>IFERROR(VLOOKUP(B42,'[2]COMPRAS UC'!$B$11:$O$66,9,0),0)</f>
        <v>0</v>
      </c>
      <c r="S42" s="23">
        <f>IFERROR(VLOOKUP(B42,'[2]COMPRAS YUC'!$B$10:$P$63,9,0),0)</f>
        <v>0</v>
      </c>
      <c r="T42" s="87">
        <f>IFERROR(VLOOKUP(B42,'[2]COMPRAS UC'!$B$11:$O$66,10,0),0)</f>
        <v>0</v>
      </c>
      <c r="U42" s="23">
        <f>IFERROR(VLOOKUP(B42,'[2]COMPRAS YUC'!$B$10:$P$63,10,0),0)</f>
        <v>0</v>
      </c>
      <c r="V42" s="87">
        <f>IFERROR(VLOOKUP(B42,'[2]COMPRAS UC'!$B$11:$O$66,11,0),0)</f>
        <v>0</v>
      </c>
      <c r="W42" s="23">
        <f>IFERROR(VLOOKUP(B42,'[2]COMPRAS YUC'!$B$10:$P$63,11,0),0)</f>
        <v>0</v>
      </c>
      <c r="X42" s="87">
        <f>IFERROR(VLOOKUP(B42,'[2]COMPRAS UC'!$B$11:$O$66,12,0),0)</f>
        <v>0</v>
      </c>
      <c r="Y42" s="23">
        <f>IFERROR(VLOOKUP(B42,'[2]COMPRAS YUC'!$B$10:$P$63,12,0),0)</f>
        <v>0</v>
      </c>
      <c r="Z42" s="87">
        <f>IFERROR(VLOOKUP(B42,'[2]COMPRAS UC'!$B$11:$O$66,13,0),0)</f>
        <v>0</v>
      </c>
      <c r="AA42" s="23">
        <f>IFERROR(VLOOKUP(B42,'[2]COMPRAS YUC'!$B$10:$P$63,13,0),0)</f>
        <v>0</v>
      </c>
      <c r="AB42" s="87">
        <f>IFERROR(VLOOKUP(B42,'[2]COMPRAS UC'!$B$11:$O$66,14,0),0)</f>
        <v>0</v>
      </c>
      <c r="AC42" s="23">
        <f>IFERROR(VLOOKUP(B42,'[2]COMPRAS YUC'!$B$10:$P$63,14,0),0)</f>
        <v>0</v>
      </c>
      <c r="AD42" s="211">
        <f t="shared" si="37"/>
        <v>0</v>
      </c>
      <c r="AE42" s="111">
        <f t="shared" si="38"/>
        <v>2</v>
      </c>
      <c r="AF42" s="204">
        <f t="shared" si="39"/>
        <v>0</v>
      </c>
      <c r="AG42" s="111">
        <f t="shared" si="1"/>
        <v>90</v>
      </c>
      <c r="AH42" s="229">
        <f t="shared" si="40"/>
        <v>92</v>
      </c>
      <c r="AI42" s="211">
        <f t="shared" si="41"/>
        <v>0</v>
      </c>
      <c r="AJ42" s="111">
        <f t="shared" si="42"/>
        <v>2</v>
      </c>
      <c r="AK42" s="204">
        <f t="shared" si="43"/>
        <v>0</v>
      </c>
      <c r="AL42" s="111">
        <f t="shared" si="44"/>
        <v>90</v>
      </c>
      <c r="AM42" s="229">
        <f t="shared" si="45"/>
        <v>92</v>
      </c>
      <c r="AN42" s="211"/>
      <c r="AO42" s="111">
        <f t="shared" si="46"/>
        <v>0</v>
      </c>
      <c r="AP42" s="204"/>
      <c r="AQ42" s="113">
        <f t="shared" si="47"/>
        <v>0</v>
      </c>
      <c r="AR42" s="229">
        <f t="shared" si="48"/>
        <v>0</v>
      </c>
      <c r="AS42" s="211"/>
      <c r="AT42" s="111">
        <f t="shared" si="49"/>
        <v>2</v>
      </c>
      <c r="AU42" s="204"/>
      <c r="AV42" s="111">
        <f t="shared" si="50"/>
        <v>90</v>
      </c>
      <c r="AW42" s="229">
        <f t="shared" si="51"/>
        <v>92</v>
      </c>
      <c r="AX42" s="4">
        <v>1</v>
      </c>
      <c r="BE42" s="4">
        <v>25</v>
      </c>
      <c r="BM42" s="15">
        <f t="shared" si="52"/>
        <v>50</v>
      </c>
    </row>
    <row r="43" spans="1:65" s="4" customFormat="1" ht="15" customHeight="1" thickBot="1" x14ac:dyDescent="0.35">
      <c r="A43" s="4">
        <f>_xlfn.XLOOKUP(B43,'UC BMW 2026'!$B$5:$B$65,'UC BMW 2026'!$A$5:$A$65)</f>
        <v>6</v>
      </c>
      <c r="B43" s="8">
        <v>100817</v>
      </c>
      <c r="C43" s="369" t="s">
        <v>69</v>
      </c>
      <c r="D43" s="8">
        <v>39349</v>
      </c>
      <c r="E43" s="309" t="s">
        <v>94</v>
      </c>
      <c r="F43" s="199">
        <f>IFERROR(VLOOKUP(B43,'[2]COMPRAS UC'!$B$11:$O$66,3,0),0)</f>
        <v>0</v>
      </c>
      <c r="G43" s="23">
        <f>IFERROR(VLOOKUP(B43,'[2]COMPRAS YUC'!$B$10:$P$63,3,0),0)</f>
        <v>9</v>
      </c>
      <c r="H43" s="87">
        <f>IFERROR(VLOOKUP(B43,'[2]COMPRAS UC'!$B$11:$O$66,4,0),0)</f>
        <v>1</v>
      </c>
      <c r="I43" s="23">
        <f>IFERROR(VLOOKUP(B43,'[2]COMPRAS YUC'!$B$10:$P$63,4,0),0)</f>
        <v>4</v>
      </c>
      <c r="J43" s="87">
        <f>IFERROR(VLOOKUP(B43,'[2]COMPRAS UC'!$B$11:$O$66,5,0),0)</f>
        <v>2</v>
      </c>
      <c r="K43" s="23">
        <f>IFERROR(VLOOKUP(B43,'[2]COMPRAS YUC'!$B$10:$P$63,5,0),0)</f>
        <v>12</v>
      </c>
      <c r="L43" s="87">
        <f>IFERROR(VLOOKUP(B43,'[2]COMPRAS UC'!$B$11:$O$66,6,0),0)</f>
        <v>2</v>
      </c>
      <c r="M43" s="23">
        <f>IFERROR(VLOOKUP(B43,'[2]COMPRAS YUC'!$B$10:$P$63,6,0),0)</f>
        <v>21</v>
      </c>
      <c r="N43" s="87">
        <f>IFERROR(VLOOKUP(B43,'[2]COMPRAS UC'!$B$11:$O$66,7,0),0)</f>
        <v>1</v>
      </c>
      <c r="O43" s="23">
        <f>IFERROR(VLOOKUP(B43,'[2]COMPRAS YUC'!$B$10:$P$63,7,0),0)</f>
        <v>19</v>
      </c>
      <c r="P43" s="87">
        <f>IFERROR(VLOOKUP(B43,'[2]COMPRAS UC'!$B$11:$O$66,8,0),0)</f>
        <v>5</v>
      </c>
      <c r="Q43" s="23">
        <f>IFERROR(VLOOKUP(B43,'[2]COMPRAS YUC'!$B$10:$P$63,8,0),0)</f>
        <v>16</v>
      </c>
      <c r="R43" s="87">
        <f>IFERROR(VLOOKUP(B43,'[2]COMPRAS UC'!$B$11:$O$66,9,0),0)</f>
        <v>0</v>
      </c>
      <c r="S43" s="23">
        <f>IFERROR(VLOOKUP(B43,'[2]COMPRAS YUC'!$B$10:$P$63,9,0),0)</f>
        <v>0</v>
      </c>
      <c r="T43" s="87">
        <f>IFERROR(VLOOKUP(B43,'[2]COMPRAS UC'!$B$11:$O$66,10,0),0)</f>
        <v>0</v>
      </c>
      <c r="U43" s="23">
        <f>IFERROR(VLOOKUP(B43,'[2]COMPRAS YUC'!$B$10:$P$63,10,0),0)</f>
        <v>0</v>
      </c>
      <c r="V43" s="87">
        <f>IFERROR(VLOOKUP(B43,'[2]COMPRAS UC'!$B$11:$O$66,11,0),0)</f>
        <v>0</v>
      </c>
      <c r="W43" s="23">
        <f>IFERROR(VLOOKUP(B43,'[2]COMPRAS YUC'!$B$10:$P$63,11,0),0)</f>
        <v>0</v>
      </c>
      <c r="X43" s="87">
        <f>IFERROR(VLOOKUP(B43,'[2]COMPRAS UC'!$B$11:$O$66,12,0),0)</f>
        <v>0</v>
      </c>
      <c r="Y43" s="23">
        <f>IFERROR(VLOOKUP(B43,'[2]COMPRAS YUC'!$B$10:$P$63,12,0),0)</f>
        <v>0</v>
      </c>
      <c r="Z43" s="87">
        <f>IFERROR(VLOOKUP(B43,'[2]COMPRAS UC'!$B$11:$O$66,13,0),0)</f>
        <v>0</v>
      </c>
      <c r="AA43" s="23">
        <f>IFERROR(VLOOKUP(B43,'[2]COMPRAS YUC'!$B$10:$P$63,13,0),0)</f>
        <v>0</v>
      </c>
      <c r="AB43" s="87">
        <f>IFERROR(VLOOKUP(B43,'[2]COMPRAS UC'!$B$11:$O$66,14,0),0)</f>
        <v>0</v>
      </c>
      <c r="AC43" s="23">
        <f>IFERROR(VLOOKUP(B43,'[2]COMPRAS YUC'!$B$10:$P$63,14,0),0)</f>
        <v>0</v>
      </c>
      <c r="AD43" s="211">
        <f t="shared" si="37"/>
        <v>0</v>
      </c>
      <c r="AE43" s="111">
        <f t="shared" si="38"/>
        <v>11</v>
      </c>
      <c r="AF43" s="204">
        <f t="shared" si="39"/>
        <v>0</v>
      </c>
      <c r="AG43" s="111">
        <f t="shared" si="1"/>
        <v>81</v>
      </c>
      <c r="AH43" s="229">
        <f t="shared" si="40"/>
        <v>92</v>
      </c>
      <c r="AI43" s="211">
        <f t="shared" si="41"/>
        <v>0</v>
      </c>
      <c r="AJ43" s="111">
        <f t="shared" si="42"/>
        <v>11</v>
      </c>
      <c r="AK43" s="204">
        <f t="shared" si="43"/>
        <v>0</v>
      </c>
      <c r="AL43" s="111">
        <f t="shared" si="44"/>
        <v>81</v>
      </c>
      <c r="AM43" s="229">
        <f t="shared" si="45"/>
        <v>92</v>
      </c>
      <c r="AN43" s="211"/>
      <c r="AO43" s="111">
        <f t="shared" si="46"/>
        <v>0</v>
      </c>
      <c r="AP43" s="204"/>
      <c r="AQ43" s="113">
        <f t="shared" si="47"/>
        <v>0</v>
      </c>
      <c r="AR43" s="229">
        <f t="shared" si="48"/>
        <v>0</v>
      </c>
      <c r="AS43" s="211"/>
      <c r="AT43" s="111">
        <f t="shared" si="49"/>
        <v>11</v>
      </c>
      <c r="AU43" s="204"/>
      <c r="AV43" s="111">
        <f t="shared" si="50"/>
        <v>81</v>
      </c>
      <c r="AW43" s="229">
        <f t="shared" si="51"/>
        <v>92</v>
      </c>
      <c r="AX43" s="4">
        <v>1</v>
      </c>
      <c r="BE43" s="4">
        <v>24</v>
      </c>
      <c r="BM43" s="15">
        <f t="shared" si="52"/>
        <v>64</v>
      </c>
    </row>
    <row r="44" spans="1:65" s="4" customFormat="1" ht="15" customHeight="1" thickBot="1" x14ac:dyDescent="0.35">
      <c r="A44" s="4">
        <f>_xlfn.XLOOKUP(B44,'UC BMW 2026'!$B$5:$B$65,'UC BMW 2026'!$A$5:$A$65)</f>
        <v>0</v>
      </c>
      <c r="B44" s="7" t="s">
        <v>268</v>
      </c>
      <c r="C44" s="28"/>
      <c r="D44" s="29"/>
      <c r="E44" s="7"/>
      <c r="F44" s="200">
        <f t="shared" ref="F44:AC44" si="53">SUM(F38:F43)</f>
        <v>3</v>
      </c>
      <c r="G44" s="32">
        <f t="shared" si="53"/>
        <v>45</v>
      </c>
      <c r="H44" s="200">
        <f t="shared" si="53"/>
        <v>19</v>
      </c>
      <c r="I44" s="32">
        <f t="shared" si="53"/>
        <v>44</v>
      </c>
      <c r="J44" s="200">
        <f t="shared" si="53"/>
        <v>7</v>
      </c>
      <c r="K44" s="32">
        <f>SUM(K38:K43)</f>
        <v>43</v>
      </c>
      <c r="L44" s="200">
        <f t="shared" si="53"/>
        <v>7</v>
      </c>
      <c r="M44" s="32">
        <f t="shared" si="53"/>
        <v>48</v>
      </c>
      <c r="N44" s="200">
        <f t="shared" si="53"/>
        <v>6</v>
      </c>
      <c r="O44" s="32">
        <f t="shared" si="53"/>
        <v>43</v>
      </c>
      <c r="P44" s="200">
        <f t="shared" si="53"/>
        <v>24</v>
      </c>
      <c r="Q44" s="32">
        <f t="shared" si="53"/>
        <v>53</v>
      </c>
      <c r="R44" s="200">
        <f t="shared" si="53"/>
        <v>0</v>
      </c>
      <c r="S44" s="32">
        <f t="shared" si="53"/>
        <v>0</v>
      </c>
      <c r="T44" s="200">
        <f t="shared" si="53"/>
        <v>0</v>
      </c>
      <c r="U44" s="32">
        <f t="shared" si="53"/>
        <v>0</v>
      </c>
      <c r="V44" s="200">
        <f t="shared" si="53"/>
        <v>0</v>
      </c>
      <c r="W44" s="32">
        <f t="shared" si="53"/>
        <v>0</v>
      </c>
      <c r="X44" s="200">
        <f t="shared" si="53"/>
        <v>0</v>
      </c>
      <c r="Y44" s="32">
        <f t="shared" si="53"/>
        <v>0</v>
      </c>
      <c r="Z44" s="200">
        <f t="shared" si="53"/>
        <v>0</v>
      </c>
      <c r="AA44" s="32">
        <f t="shared" si="53"/>
        <v>0</v>
      </c>
      <c r="AB44" s="200">
        <f t="shared" si="53"/>
        <v>0</v>
      </c>
      <c r="AC44" s="32">
        <f t="shared" si="53"/>
        <v>0</v>
      </c>
      <c r="AD44" s="213">
        <f>SUM(AD40:AD43)</f>
        <v>0</v>
      </c>
      <c r="AE44" s="114">
        <f>IFERROR(IF($AD$4="ENERO",F44,IF($AD$4="FEBRERO",F44+H44,IF($AD$4="MARZO",F44+H44+J44,IF($AD$4="ABRIL",F44+H44+J44+L44,IF($AD$4="MAYO",F44+H44+J44+L44+N44,IF($AD$4="JUNIO",F44+H44+J44+L44+N44+P44,IF($AD$4="JULIO",F44+H44+J44+L44+N44+P44+R44,IF($AD$4="AGOSTO",F44+H44+J44+L44+N44+P44+R44+T44,IF($AD$4="SEPTIEMBRE",F44+H44+J44+L44+N44+P44+R44+T44+V44,IF($AD$4="OCTUBRE",F44+H44+J44+L44+N44+P44+R44+T44+V44+X44,IF($AD$4="NOVIEMBRE",F44+H44+J44+L44+N44+P44+R44+T44+V44+X44+Z44,IF($AD$4="DICIEMBRE",F44+H44+J44+L44+N44+P44+R44+T44+V44+X44+Z44+AB44,"")))))))))))),0)</f>
        <v>66</v>
      </c>
      <c r="AF44" s="206">
        <f>SUM(AF40:AF43)</f>
        <v>0</v>
      </c>
      <c r="AG44" s="114">
        <f t="shared" si="1"/>
        <v>276</v>
      </c>
      <c r="AH44" s="245">
        <f>SUM(AH38:AH43)</f>
        <v>342</v>
      </c>
      <c r="AI44" s="213">
        <f>SUM(AI40:AI43)</f>
        <v>0</v>
      </c>
      <c r="AJ44" s="114">
        <f>IFERROR(SUM(F44,H44,J44,L44,N44,P44,R44,T44,V44,X44,Z44,AB44),0)</f>
        <v>66</v>
      </c>
      <c r="AK44" s="206">
        <f>SUM(AK40:AK43)</f>
        <v>0</v>
      </c>
      <c r="AL44" s="114">
        <f>IFERROR(SUM(G44,I44,K44,M44,O44,Q44,S44,U44,W44,Y44,AA44,AC44),0)</f>
        <v>276</v>
      </c>
      <c r="AM44" s="245">
        <f>SUM(AM38:AM43)</f>
        <v>342</v>
      </c>
      <c r="AN44" s="213">
        <f t="shared" ref="AN44:AS44" si="54">SUM(AN40:AN43)</f>
        <v>0</v>
      </c>
      <c r="AO44" s="114">
        <f t="shared" si="54"/>
        <v>0</v>
      </c>
      <c r="AP44" s="206">
        <f t="shared" si="54"/>
        <v>0</v>
      </c>
      <c r="AQ44" s="115">
        <f t="shared" si="54"/>
        <v>0</v>
      </c>
      <c r="AR44" s="245">
        <f>SUM(AR38:AR43)</f>
        <v>0</v>
      </c>
      <c r="AS44" s="213">
        <f t="shared" si="54"/>
        <v>0</v>
      </c>
      <c r="AT44" s="114">
        <f>IFERROR(IF($AS$5="S 1",F44+H44+J44+L44+N44++P44,
IF($AS$5="S 2",R44+T44+V44+X44+Z44+AB44,0)),0)</f>
        <v>66</v>
      </c>
      <c r="AU44" s="206"/>
      <c r="AV44" s="114">
        <f>IFERROR(IF($AS$5="S 1",G44+I44+K44+M44+O44++Q44,
IF($AS$5="S 2",S44+U44+W44+Y44+AA44+AC44,0)),0)</f>
        <v>276</v>
      </c>
      <c r="AW44" s="245">
        <f>SUM(AW38:AW43)</f>
        <v>342</v>
      </c>
      <c r="AX44" s="4">
        <v>0</v>
      </c>
      <c r="BE44" s="4">
        <v>22</v>
      </c>
      <c r="BM44" s="15"/>
    </row>
    <row r="45" spans="1:65" s="4" customFormat="1" ht="15" customHeight="1" x14ac:dyDescent="0.3">
      <c r="A45" s="4">
        <f>_xlfn.XLOOKUP(B45,'UC BMW 2026'!$B$5:$B$65,'UC BMW 2026'!$A$5:$A$65)</f>
        <v>7</v>
      </c>
      <c r="B45" s="8">
        <v>100909</v>
      </c>
      <c r="C45" s="369" t="s">
        <v>252</v>
      </c>
      <c r="D45" s="8">
        <v>54468</v>
      </c>
      <c r="E45" s="309" t="s">
        <v>254</v>
      </c>
      <c r="F45" s="199">
        <f>IFERROR(VLOOKUP(B45,'[2]COMPRAS UC'!$B$11:$O$66,3,0),0)</f>
        <v>0</v>
      </c>
      <c r="G45" s="23">
        <f>IFERROR(VLOOKUP(B45,'[2]COMPRAS YUC'!$B$10:$P$63,3,0),0)</f>
        <v>5</v>
      </c>
      <c r="H45" s="87">
        <f>IFERROR(VLOOKUP(B45,'[2]COMPRAS UC'!$B$11:$O$66,4,0),0)</f>
        <v>1</v>
      </c>
      <c r="I45" s="23">
        <f>IFERROR(VLOOKUP(B45,'[2]COMPRAS YUC'!$B$10:$P$63,4,0),0)</f>
        <v>13</v>
      </c>
      <c r="J45" s="87">
        <f>IFERROR(VLOOKUP(B45,'[2]COMPRAS UC'!$B$11:$O$66,5,0),0)</f>
        <v>1</v>
      </c>
      <c r="K45" s="23">
        <f>IFERROR(VLOOKUP(B45,'[2]COMPRAS YUC'!$B$10:$P$63,5,0),0)</f>
        <v>9</v>
      </c>
      <c r="L45" s="87">
        <f>IFERROR(VLOOKUP(B45,'[2]COMPRAS UC'!$B$11:$O$66,6,0),0)</f>
        <v>2</v>
      </c>
      <c r="M45" s="23">
        <f>IFERROR(VLOOKUP(B45,'[2]COMPRAS YUC'!$B$10:$P$63,6,0),0)</f>
        <v>4</v>
      </c>
      <c r="N45" s="87">
        <f>IFERROR(VLOOKUP(B45,'[2]COMPRAS UC'!$B$11:$O$66,7,0),0)</f>
        <v>1</v>
      </c>
      <c r="O45" s="23">
        <f>IFERROR(VLOOKUP(B45,'[2]COMPRAS YUC'!$B$10:$P$63,7,0),0)</f>
        <v>13</v>
      </c>
      <c r="P45" s="87">
        <f>IFERROR(VLOOKUP(B45,'[2]COMPRAS UC'!$B$11:$O$66,8,0),0)</f>
        <v>0</v>
      </c>
      <c r="Q45" s="23">
        <f>IFERROR(VLOOKUP(B45,'[2]COMPRAS YUC'!$B$10:$P$63,8,0),0)</f>
        <v>2</v>
      </c>
      <c r="R45" s="87">
        <f>IFERROR(VLOOKUP(B45,'[2]COMPRAS UC'!$B$11:$O$66,9,0),0)</f>
        <v>0</v>
      </c>
      <c r="S45" s="23">
        <f>IFERROR(VLOOKUP(B45,'[2]COMPRAS YUC'!$B$10:$P$63,9,0),0)</f>
        <v>0</v>
      </c>
      <c r="T45" s="87">
        <f>IFERROR(VLOOKUP(B45,'[2]COMPRAS UC'!$B$11:$O$66,10,0),0)</f>
        <v>0</v>
      </c>
      <c r="U45" s="23">
        <f>IFERROR(VLOOKUP(B45,'[2]COMPRAS YUC'!$B$10:$P$63,10,0),0)</f>
        <v>0</v>
      </c>
      <c r="V45" s="87">
        <f>IFERROR(VLOOKUP(B45,'[2]COMPRAS UC'!$B$11:$O$66,11,0),0)</f>
        <v>0</v>
      </c>
      <c r="W45" s="23">
        <f>IFERROR(VLOOKUP(B45,'[2]COMPRAS YUC'!$B$10:$P$63,11,0),0)</f>
        <v>0</v>
      </c>
      <c r="X45" s="87">
        <f>IFERROR(VLOOKUP(B45,'[2]COMPRAS UC'!$B$11:$O$66,12,0),0)</f>
        <v>0</v>
      </c>
      <c r="Y45" s="23">
        <f>IFERROR(VLOOKUP(B45,'[2]COMPRAS YUC'!$B$10:$P$63,12,0),0)</f>
        <v>0</v>
      </c>
      <c r="Z45" s="87">
        <f>IFERROR(VLOOKUP(B45,'[2]COMPRAS UC'!$B$11:$O$66,13,0),0)</f>
        <v>0</v>
      </c>
      <c r="AA45" s="23">
        <f>IFERROR(VLOOKUP(B45,'[2]COMPRAS YUC'!$B$10:$P$63,13,0),0)</f>
        <v>0</v>
      </c>
      <c r="AB45" s="87">
        <f>IFERROR(VLOOKUP(B45,'[2]COMPRAS UC'!$B$11:$O$66,14,0),0)</f>
        <v>0</v>
      </c>
      <c r="AC45" s="23">
        <f>IFERROR(VLOOKUP(B45,'[2]COMPRAS YUC'!$B$10:$P$63,14,0),0)</f>
        <v>0</v>
      </c>
      <c r="AD45" s="211">
        <f>SUMIFS($F45:$AC45,$F$6:$AC$6,AD$6,$F$1:$AC$1,$AD$4)</f>
        <v>0</v>
      </c>
      <c r="AE45" s="111">
        <f>IFERROR(IF($AD$4="ENERO",F45,IF($AD$4="FEBRERO",F45+H45,IF($AD$4="MARZO",F45+H45+J45,IF($AD$4="ABRIL",F45+H45+J45+L45,IF($AD$4="MAYO",F45+H45+J45+L45+N45,IF($AD$4="JUNIO",F45+H45+J45+L45+N45+P45,IF($AD$4="JULIO",F45+H45+J45+L45+N45+P45+R45,IF($AD$4="AGOSTO",F45+H45+J45+L45+N45+P45+R45+T45,IF($AD$4="SEPTIEMBRE",F45+H45+J45+L45+N45+P45+R45+T45+V45,IF($AD$4="OCTUBRE",F45+H45+J45+L45+N45+P45+R45+T45+V45+X45,IF($AD$4="NOVIEMBRE",F45+H45+J45+L45+N45+P45+R45+T45+V45+X45+Z45,IF($AD$4="DICIEMBRE",F45+H45+J45+L45+N45+P45+R45+T45+V45+X45+Z45+AB45,"")))))))))))),0)</f>
        <v>5</v>
      </c>
      <c r="AF45" s="204">
        <f>SUMIFS($F45:$AC45,$F$6:$AC$6,AF$6,$F$1:$AC$1,$AD$4)</f>
        <v>0</v>
      </c>
      <c r="AG45" s="111">
        <f t="shared" si="1"/>
        <v>46</v>
      </c>
      <c r="AH45" s="229">
        <f>IFERROR(AE45+AG45,0)</f>
        <v>51</v>
      </c>
      <c r="AI45" s="211">
        <f>SUMIFS($F45:$AC45,$F$6:$AC$6,AI$6,$F$2:$AC$2,$AD$4)</f>
        <v>0</v>
      </c>
      <c r="AJ45" s="111">
        <f>IFERROR(SUM(F45,H45,J45,L45,N45,P45,R45,T45,V45,X45,Z45,AB45),0)</f>
        <v>5</v>
      </c>
      <c r="AK45" s="204">
        <f>SUMIFS($F45:$AC45,$F$6:$AC$6,AK$6,$F$2:$AC$2,$AD$4)</f>
        <v>0</v>
      </c>
      <c r="AL45" s="111">
        <f>IFERROR(SUM(G45,I45,K45,M45,O45,Q45,S45,U45,W45,Y45,AA45,AC45),0)</f>
        <v>46</v>
      </c>
      <c r="AM45" s="229">
        <f>AJ45+AL45</f>
        <v>51</v>
      </c>
      <c r="AN45" s="211"/>
      <c r="AO45" s="111">
        <f>IF($AN$5="Q1",F45+H45+J45,
IF($AN$5="Q2",L45+N45++P45,
IF($AN$5="Q3",R45+T45+V45,
IF($AN$5="Q4",X45+Z45+AB45,0))))</f>
        <v>0</v>
      </c>
      <c r="AP45" s="204"/>
      <c r="AQ45" s="113">
        <f>IF($AN$5="Q1",G45+I45+K45,
IF($AN$5="Q2",M45+O45++Q45,
IF($AN$5="Q3",S45+U45+W45,
IF($AN$5="Q4",Y45+AA45+AC45,0))))</f>
        <v>0</v>
      </c>
      <c r="AR45" s="229">
        <f>AO45+AQ45</f>
        <v>0</v>
      </c>
      <c r="AS45" s="211"/>
      <c r="AT45" s="111">
        <f>IFERROR(IF($AS$5="S 1",F45+H45+J45+L45+N45++P45,
IF($AS$5="S 2",R45+T45+V45+X45+Z45+AB45,0)),0)</f>
        <v>5</v>
      </c>
      <c r="AU45" s="204"/>
      <c r="AV45" s="111">
        <f>IFERROR(IF($AS$5="S 1",G45+I45+K45+M45+O45++Q45,
IF($AS$5="S 2",S45+U45+W45+Y45+AA45+AC45,0)),0)</f>
        <v>46</v>
      </c>
      <c r="AW45" s="229">
        <f>AT45+AV45</f>
        <v>51</v>
      </c>
      <c r="AX45" s="4">
        <v>1</v>
      </c>
      <c r="BE45" s="4">
        <v>21</v>
      </c>
      <c r="BM45" s="15">
        <f>SUM(L45:Q45)</f>
        <v>22</v>
      </c>
    </row>
    <row r="46" spans="1:65" s="4" customFormat="1" ht="15" customHeight="1" x14ac:dyDescent="0.3">
      <c r="A46" s="4">
        <f>_xlfn.XLOOKUP(B46,'UC BMW 2026'!$B$5:$B$65,'UC BMW 2026'!$A$5:$A$65)</f>
        <v>7</v>
      </c>
      <c r="B46" s="8">
        <v>100572</v>
      </c>
      <c r="C46" s="369" t="s">
        <v>55</v>
      </c>
      <c r="D46" s="8">
        <v>8337</v>
      </c>
      <c r="E46" s="309" t="s">
        <v>274</v>
      </c>
      <c r="F46" s="199">
        <f>IFERROR(VLOOKUP(B46,'[2]COMPRAS UC'!$B$11:$O$66,3,0),0)</f>
        <v>0</v>
      </c>
      <c r="G46" s="23">
        <f>IFERROR(VLOOKUP(B46,'[2]COMPRAS YUC'!$B$10:$P$63,3,0),0)</f>
        <v>3</v>
      </c>
      <c r="H46" s="87">
        <f>IFERROR(VLOOKUP(B46,'[2]COMPRAS UC'!$B$11:$O$66,4,0),0)</f>
        <v>0</v>
      </c>
      <c r="I46" s="23">
        <f>IFERROR(VLOOKUP(B46,'[2]COMPRAS YUC'!$B$10:$P$63,4,0),0)</f>
        <v>20</v>
      </c>
      <c r="J46" s="87">
        <f>IFERROR(VLOOKUP(B46,'[2]COMPRAS UC'!$B$11:$O$66,5,0),0)</f>
        <v>1</v>
      </c>
      <c r="K46" s="23">
        <f>IFERROR(VLOOKUP(B46,'[2]COMPRAS YUC'!$B$10:$P$63,5,0),0)</f>
        <v>22</v>
      </c>
      <c r="L46" s="87">
        <f>IFERROR(VLOOKUP(B46,'[2]COMPRAS UC'!$B$11:$O$66,6,0),0)</f>
        <v>0</v>
      </c>
      <c r="M46" s="23">
        <f>IFERROR(VLOOKUP(B46,'[2]COMPRAS YUC'!$B$10:$P$63,6,0),0)</f>
        <v>24</v>
      </c>
      <c r="N46" s="87">
        <f>IFERROR(VLOOKUP(B46,'[2]COMPRAS UC'!$B$11:$O$66,7,0),0)</f>
        <v>0</v>
      </c>
      <c r="O46" s="23">
        <f>IFERROR(VLOOKUP(B46,'[2]COMPRAS YUC'!$B$10:$P$63,7,0),0)</f>
        <v>21</v>
      </c>
      <c r="P46" s="87">
        <f>IFERROR(VLOOKUP(B46,'[2]COMPRAS UC'!$B$11:$O$66,8,0),0)</f>
        <v>0</v>
      </c>
      <c r="Q46" s="23">
        <f>IFERROR(VLOOKUP(B46,'[2]COMPRAS YUC'!$B$10:$P$63,8,0),0)</f>
        <v>33</v>
      </c>
      <c r="R46" s="87">
        <f>IFERROR(VLOOKUP(B46,'[2]COMPRAS UC'!$B$11:$O$66,9,0),0)</f>
        <v>0</v>
      </c>
      <c r="S46" s="23">
        <f>IFERROR(VLOOKUP(B46,'[2]COMPRAS YUC'!$B$10:$P$63,9,0),0)</f>
        <v>0</v>
      </c>
      <c r="T46" s="87">
        <f>IFERROR(VLOOKUP(B46,'[2]COMPRAS UC'!$B$11:$O$66,10,0),0)</f>
        <v>0</v>
      </c>
      <c r="U46" s="23">
        <f>IFERROR(VLOOKUP(B46,'[2]COMPRAS YUC'!$B$10:$P$63,10,0),0)</f>
        <v>0</v>
      </c>
      <c r="V46" s="87">
        <f>IFERROR(VLOOKUP(B46,'[2]COMPRAS UC'!$B$11:$O$66,11,0),0)</f>
        <v>0</v>
      </c>
      <c r="W46" s="23">
        <f>IFERROR(VLOOKUP(B46,'[2]COMPRAS YUC'!$B$10:$P$63,11,0),0)</f>
        <v>0</v>
      </c>
      <c r="X46" s="87">
        <f>IFERROR(VLOOKUP(B46,'[2]COMPRAS UC'!$B$11:$O$66,12,0),0)</f>
        <v>0</v>
      </c>
      <c r="Y46" s="23">
        <f>IFERROR(VLOOKUP(B46,'[2]COMPRAS YUC'!$B$10:$P$63,12,0),0)</f>
        <v>0</v>
      </c>
      <c r="Z46" s="87">
        <f>IFERROR(VLOOKUP(B46,'[2]COMPRAS UC'!$B$11:$O$66,13,0),0)</f>
        <v>0</v>
      </c>
      <c r="AA46" s="23">
        <f>IFERROR(VLOOKUP(B46,'[2]COMPRAS YUC'!$B$10:$P$63,13,0),0)</f>
        <v>0</v>
      </c>
      <c r="AB46" s="87">
        <f>IFERROR(VLOOKUP(B46,'[2]COMPRAS UC'!$B$11:$O$66,14,0),0)</f>
        <v>0</v>
      </c>
      <c r="AC46" s="23">
        <f>IFERROR(VLOOKUP(B46,'[2]COMPRAS YUC'!$B$10:$P$63,14,0),0)</f>
        <v>0</v>
      </c>
      <c r="AD46" s="211">
        <f>SUMIFS($F46:$AC46,$F$6:$AC$6,AD$6,$F$1:$AC$1,$AD$4)</f>
        <v>0</v>
      </c>
      <c r="AE46" s="111">
        <f>IFERROR(IF($AD$4="ENERO",F46,IF($AD$4="FEBRERO",F46+H46,IF($AD$4="MARZO",F46+H46+J46,IF($AD$4="ABRIL",F46+H46+J46+L46,IF($AD$4="MAYO",F46+H46+J46+L46+N46,IF($AD$4="JUNIO",F46+H46+J46+L46+N46+P46,IF($AD$4="JULIO",F46+H46+J46+L46+N46+P46+R46,IF($AD$4="AGOSTO",F46+H46+J46+L46+N46+P46+R46+T46,IF($AD$4="SEPTIEMBRE",F46+H46+J46+L46+N46+P46+R46+T46+V46,IF($AD$4="OCTUBRE",F46+H46+J46+L46+N46+P46+R46+T46+V46+X46,IF($AD$4="NOVIEMBRE",F46+H46+J46+L46+N46+P46+R46+T46+V46+X46+Z46,IF($AD$4="DICIEMBRE",F46+H46+J46+L46+N46+P46+R46+T46+V46+X46+Z46+AB46,"")))))))))))),0)</f>
        <v>1</v>
      </c>
      <c r="AF46" s="204">
        <f>SUMIFS($F46:$AC46,$F$6:$AC$6,AF$6,$F$1:$AC$1,$AD$4)</f>
        <v>0</v>
      </c>
      <c r="AG46" s="111">
        <f t="shared" si="1"/>
        <v>123</v>
      </c>
      <c r="AH46" s="229">
        <f>IFERROR(AE46+AG46,0)</f>
        <v>124</v>
      </c>
      <c r="AI46" s="211">
        <f>SUMIFS($F46:$AC46,$F$6:$AC$6,AI$6,$F$2:$AC$2,$AD$4)</f>
        <v>0</v>
      </c>
      <c r="AJ46" s="111">
        <f>IFERROR(SUM(F46,H46,J46,L46,N46,P46,R46,T46,V46,X46,Z46,AB46),0)</f>
        <v>1</v>
      </c>
      <c r="AK46" s="204">
        <f>SUMIFS($F46:$AC46,$F$6:$AC$6,AK$6,$F$2:$AC$2,$AD$4)</f>
        <v>0</v>
      </c>
      <c r="AL46" s="111">
        <f>IFERROR(SUM(G46,I46,K46,M46,O46,Q46,S46,U46,W46,Y46,AA46,AC46),0)</f>
        <v>123</v>
      </c>
      <c r="AM46" s="229">
        <f>AJ46+AL46</f>
        <v>124</v>
      </c>
      <c r="AN46" s="211"/>
      <c r="AO46" s="111">
        <f>IF($AN$5="Q1",F46+H46+J46,
IF($AN$5="Q2",L46+N46++P46,
IF($AN$5="Q3",R46+T46+V46,
IF($AN$5="Q4",X46+Z46+AB46,0))))</f>
        <v>0</v>
      </c>
      <c r="AP46" s="204"/>
      <c r="AQ46" s="113">
        <f>IF($AN$5="Q1",G46+I46+K46,
IF($AN$5="Q2",M46+O46++Q46,
IF($AN$5="Q3",S46+U46+W46,
IF($AN$5="Q4",Y46+AA46+AC46,0))))</f>
        <v>0</v>
      </c>
      <c r="AR46" s="229">
        <f>AO46+AQ46</f>
        <v>0</v>
      </c>
      <c r="AS46" s="211"/>
      <c r="AT46" s="111">
        <f>IFERROR(IF($AS$5="S 1",F46+H46+J46+L46+N46++P46,
IF($AS$5="S 2",R46+T46+V46+X46+Z46+AB46,0)),0)</f>
        <v>1</v>
      </c>
      <c r="AU46" s="204"/>
      <c r="AV46" s="111">
        <f>IFERROR(IF($AS$5="S 1",G46+I46+K46+M46+O46++Q46,
IF($AS$5="S 2",S46+U46+W46+Y46+AA46+AC46,0)),0)</f>
        <v>123</v>
      </c>
      <c r="AW46" s="229">
        <f>AT46+AV46</f>
        <v>124</v>
      </c>
      <c r="AX46" s="4">
        <v>1</v>
      </c>
      <c r="BE46" s="4">
        <v>21</v>
      </c>
      <c r="BM46" s="15">
        <f>SUM(L46:Q46)</f>
        <v>78</v>
      </c>
    </row>
    <row r="47" spans="1:65" s="4" customFormat="1" ht="15" customHeight="1" thickBot="1" x14ac:dyDescent="0.35">
      <c r="A47" s="4">
        <f>_xlfn.XLOOKUP(B47,'UC BMW 2026'!$B$5:$B$65,'UC BMW 2026'!$A$5:$A$65)</f>
        <v>7</v>
      </c>
      <c r="B47" s="8">
        <v>100584</v>
      </c>
      <c r="C47" s="369" t="s">
        <v>8</v>
      </c>
      <c r="D47" s="8">
        <v>33948</v>
      </c>
      <c r="E47" s="309" t="s">
        <v>92</v>
      </c>
      <c r="F47" s="199">
        <f>IFERROR(VLOOKUP(B47,'[2]COMPRAS UC'!$B$11:$O$66,3,0),0)</f>
        <v>0</v>
      </c>
      <c r="G47" s="23">
        <f>IFERROR(VLOOKUP(B47,'[2]COMPRAS YUC'!$B$10:$P$63,3,0),0)</f>
        <v>2</v>
      </c>
      <c r="H47" s="87">
        <f>IFERROR(VLOOKUP(B47,'[2]COMPRAS UC'!$B$11:$O$66,4,0),0)</f>
        <v>0</v>
      </c>
      <c r="I47" s="23">
        <f>IFERROR(VLOOKUP(B47,'[2]COMPRAS YUC'!$B$10:$P$63,4,0),0)</f>
        <v>0</v>
      </c>
      <c r="J47" s="87">
        <f>IFERROR(VLOOKUP(B47,'[2]COMPRAS UC'!$B$11:$O$66,5,0),0)</f>
        <v>0</v>
      </c>
      <c r="K47" s="23">
        <f>IFERROR(VLOOKUP(B47,'[2]COMPRAS YUC'!$B$10:$P$63,5,0),0)</f>
        <v>3</v>
      </c>
      <c r="L47" s="87">
        <f>IFERROR(VLOOKUP(B47,'[2]COMPRAS UC'!$B$11:$O$66,6,0),0)</f>
        <v>0</v>
      </c>
      <c r="M47" s="23">
        <f>IFERROR(VLOOKUP(B47,'[2]COMPRAS YUC'!$B$10:$P$63,6,0),0)</f>
        <v>17</v>
      </c>
      <c r="N47" s="87">
        <f>IFERROR(VLOOKUP(B47,'[2]COMPRAS UC'!$B$11:$O$66,7,0),0)</f>
        <v>0</v>
      </c>
      <c r="O47" s="23">
        <f>IFERROR(VLOOKUP(B47,'[2]COMPRAS YUC'!$B$10:$P$63,7,0),0)</f>
        <v>1</v>
      </c>
      <c r="P47" s="87">
        <f>IFERROR(VLOOKUP(B47,'[2]COMPRAS UC'!$B$11:$O$66,8,0),0)</f>
        <v>1</v>
      </c>
      <c r="Q47" s="23">
        <f>IFERROR(VLOOKUP(B47,'[2]COMPRAS YUC'!$B$10:$P$63,8,0),0)</f>
        <v>1</v>
      </c>
      <c r="R47" s="87">
        <f>IFERROR(VLOOKUP(B47,'[2]COMPRAS UC'!$B$11:$O$66,9,0),0)</f>
        <v>0</v>
      </c>
      <c r="S47" s="23">
        <f>IFERROR(VLOOKUP(B47,'[2]COMPRAS YUC'!$B$10:$P$63,9,0),0)</f>
        <v>0</v>
      </c>
      <c r="T47" s="87">
        <f>IFERROR(VLOOKUP(B47,'[2]COMPRAS UC'!$B$11:$O$66,10,0),0)</f>
        <v>0</v>
      </c>
      <c r="U47" s="23">
        <f>IFERROR(VLOOKUP(B47,'[2]COMPRAS YUC'!$B$10:$P$63,10,0),0)</f>
        <v>0</v>
      </c>
      <c r="V47" s="87">
        <f>IFERROR(VLOOKUP(B47,'[2]COMPRAS UC'!$B$11:$O$66,11,0),0)</f>
        <v>0</v>
      </c>
      <c r="W47" s="23">
        <f>IFERROR(VLOOKUP(B47,'[2]COMPRAS YUC'!$B$10:$P$63,11,0),0)</f>
        <v>0</v>
      </c>
      <c r="X47" s="87">
        <f>IFERROR(VLOOKUP(B47,'[2]COMPRAS UC'!$B$11:$O$66,12,0),0)</f>
        <v>0</v>
      </c>
      <c r="Y47" s="23">
        <f>IFERROR(VLOOKUP(B47,'[2]COMPRAS YUC'!$B$10:$P$63,12,0),0)</f>
        <v>0</v>
      </c>
      <c r="Z47" s="87">
        <f>IFERROR(VLOOKUP(B47,'[2]COMPRAS UC'!$B$11:$O$66,13,0),0)</f>
        <v>0</v>
      </c>
      <c r="AA47" s="23">
        <f>IFERROR(VLOOKUP(B47,'[2]COMPRAS YUC'!$B$10:$P$63,13,0),0)</f>
        <v>0</v>
      </c>
      <c r="AB47" s="87">
        <f>IFERROR(VLOOKUP(B47,'[2]COMPRAS UC'!$B$11:$O$66,14,0),0)</f>
        <v>0</v>
      </c>
      <c r="AC47" s="23">
        <f>IFERROR(VLOOKUP(B47,'[2]COMPRAS YUC'!$B$10:$P$63,14,0),0)</f>
        <v>0</v>
      </c>
      <c r="AD47" s="211">
        <f>SUMIFS($F47:$AC47,$F$6:$AC$6,AD$6,$F$1:$AC$1,$AD$4)</f>
        <v>0</v>
      </c>
      <c r="AE47" s="111">
        <f>IFERROR(IF($AD$4="ENERO",F47,IF($AD$4="FEBRERO",F47+H47,IF($AD$4="MARZO",F47+H47+J47,IF($AD$4="ABRIL",F47+H47+J47+L47,IF($AD$4="MAYO",F47+H47+J47+L47+N47,IF($AD$4="JUNIO",F47+H47+J47+L47+N47+P47,IF($AD$4="JULIO",F47+H47+J47+L47+N47+P47+R47,IF($AD$4="AGOSTO",F47+H47+J47+L47+N47+P47+R47+T47,IF($AD$4="SEPTIEMBRE",F47+H47+J47+L47+N47+P47+R47+T47+V47,IF($AD$4="OCTUBRE",F47+H47+J47+L47+N47+P47+R47+T47+V47+X47,IF($AD$4="NOVIEMBRE",F47+H47+J47+L47+N47+P47+R47+T47+V47+X47+Z47,IF($AD$4="DICIEMBRE",F47+H47+J47+L47+N47+P47+R47+T47+V47+X47+Z47+AB47,"")))))))))))),0)</f>
        <v>1</v>
      </c>
      <c r="AF47" s="204">
        <f>SUMIFS($F47:$AC47,$F$6:$AC$6,AF$6,$F$1:$AC$1,$AD$4)</f>
        <v>0</v>
      </c>
      <c r="AG47" s="111">
        <f t="shared" si="1"/>
        <v>24</v>
      </c>
      <c r="AH47" s="229">
        <f>IFERROR(AE47+AG47,0)</f>
        <v>25</v>
      </c>
      <c r="AI47" s="211">
        <f>SUMIFS($F47:$AC47,$F$6:$AC$6,AI$6,$F$2:$AC$2,$AD$4)</f>
        <v>0</v>
      </c>
      <c r="AJ47" s="111">
        <f>IFERROR(SUM(F47,H47,J47,L47,N47,P47,R47,T47,V47,X47,Z47,AB47),0)</f>
        <v>1</v>
      </c>
      <c r="AK47" s="204">
        <f>SUMIFS($F47:$AC47,$F$6:$AC$6,AK$6,$F$2:$AC$2,$AD$4)</f>
        <v>0</v>
      </c>
      <c r="AL47" s="111">
        <f>IFERROR(SUM(G47,I47,K47,M47,O47,Q47,S47,U47,W47,Y47,AA47,AC47),0)</f>
        <v>24</v>
      </c>
      <c r="AM47" s="229">
        <f>AJ47+AL47</f>
        <v>25</v>
      </c>
      <c r="AN47" s="211"/>
      <c r="AO47" s="111">
        <f>IF($AN$5="Q1",F47+H47+J47,
IF($AN$5="Q2",L47+N47++P47,
IF($AN$5="Q3",R47+T47+V47,
IF($AN$5="Q4",X47+Z47+AB47,0))))</f>
        <v>0</v>
      </c>
      <c r="AP47" s="204"/>
      <c r="AQ47" s="113">
        <f>IF($AN$5="Q1",G47+I47+K47,
IF($AN$5="Q2",M47+O47++Q47,
IF($AN$5="Q3",S47+U47+W47,
IF($AN$5="Q4",Y47+AA47+AC47,0))))</f>
        <v>0</v>
      </c>
      <c r="AR47" s="229">
        <f>AO47+AQ47</f>
        <v>0</v>
      </c>
      <c r="AS47" s="211"/>
      <c r="AT47" s="111">
        <f>IFERROR(IF($AS$5="S 1",F47+H47+J47+L47+N47++P47,
IF($AS$5="S 2",R47+T47+V47+X47+Z47+AB47,0)),0)</f>
        <v>1</v>
      </c>
      <c r="AU47" s="204"/>
      <c r="AV47" s="111">
        <f>IFERROR(IF($AS$5="S 1",G47+I47+K47+M47+O47++Q47,
IF($AS$5="S 2",S47+U47+W47+Y47+AA47+AC47,0)),0)</f>
        <v>24</v>
      </c>
      <c r="AW47" s="229">
        <f>AT47+AV47</f>
        <v>25</v>
      </c>
      <c r="AX47" s="4">
        <v>1</v>
      </c>
      <c r="BE47" s="4">
        <v>15</v>
      </c>
      <c r="BM47" s="15">
        <f>SUM(L47:Q47)</f>
        <v>20</v>
      </c>
    </row>
    <row r="48" spans="1:65" s="4" customFormat="1" ht="15" customHeight="1" thickBot="1" x14ac:dyDescent="0.35">
      <c r="A48" s="4">
        <f>_xlfn.XLOOKUP(B48,'UC BMW 2026'!$B$5:$B$65,'UC BMW 2026'!$A$5:$A$65)</f>
        <v>0</v>
      </c>
      <c r="B48" s="7" t="s">
        <v>269</v>
      </c>
      <c r="C48" s="28"/>
      <c r="D48" s="29"/>
      <c r="E48" s="7"/>
      <c r="F48" s="200">
        <f t="shared" ref="F48:AD48" si="55">SUM(F45:F47)</f>
        <v>0</v>
      </c>
      <c r="G48" s="32">
        <f t="shared" si="55"/>
        <v>10</v>
      </c>
      <c r="H48" s="200">
        <f t="shared" si="55"/>
        <v>1</v>
      </c>
      <c r="I48" s="32">
        <f t="shared" si="55"/>
        <v>33</v>
      </c>
      <c r="J48" s="200">
        <f t="shared" si="55"/>
        <v>2</v>
      </c>
      <c r="K48" s="32">
        <f>SUM(K45:K47)</f>
        <v>34</v>
      </c>
      <c r="L48" s="200">
        <f t="shared" si="55"/>
        <v>2</v>
      </c>
      <c r="M48" s="32">
        <f t="shared" si="55"/>
        <v>45</v>
      </c>
      <c r="N48" s="200">
        <f t="shared" si="55"/>
        <v>1</v>
      </c>
      <c r="O48" s="32">
        <f t="shared" si="55"/>
        <v>35</v>
      </c>
      <c r="P48" s="200">
        <f t="shared" si="55"/>
        <v>1</v>
      </c>
      <c r="Q48" s="32">
        <f t="shared" si="55"/>
        <v>36</v>
      </c>
      <c r="R48" s="200">
        <f t="shared" si="55"/>
        <v>0</v>
      </c>
      <c r="S48" s="32">
        <f t="shared" si="55"/>
        <v>0</v>
      </c>
      <c r="T48" s="200">
        <f t="shared" si="55"/>
        <v>0</v>
      </c>
      <c r="U48" s="32">
        <f t="shared" si="55"/>
        <v>0</v>
      </c>
      <c r="V48" s="200">
        <f t="shared" si="55"/>
        <v>0</v>
      </c>
      <c r="W48" s="32">
        <f t="shared" si="55"/>
        <v>0</v>
      </c>
      <c r="X48" s="200">
        <f t="shared" si="55"/>
        <v>0</v>
      </c>
      <c r="Y48" s="32">
        <f t="shared" si="55"/>
        <v>0</v>
      </c>
      <c r="Z48" s="200">
        <f t="shared" si="55"/>
        <v>0</v>
      </c>
      <c r="AA48" s="32">
        <f t="shared" si="55"/>
        <v>0</v>
      </c>
      <c r="AB48" s="200">
        <f t="shared" si="55"/>
        <v>0</v>
      </c>
      <c r="AC48" s="32">
        <f t="shared" si="55"/>
        <v>0</v>
      </c>
      <c r="AD48" s="213">
        <f t="shared" si="55"/>
        <v>0</v>
      </c>
      <c r="AE48" s="114">
        <f>IFERROR(IF($AD$4="ENERO",F48,IF($AD$4="FEBRERO",F48+H48,IF($AD$4="MARZO",F48+H48+J48,IF($AD$4="ABRIL",F48+H48+J48+L48,IF($AD$4="MAYO",F48+H48+J48+L48+N48,IF($AD$4="JUNIO",F48+H48+J48+L48+N48+P48,IF($AD$4="JULIO",F48+H48+J48+L48+N48+P48+R48,IF($AD$4="AGOSTO",F48+H48+J48+L48+N48+P48+R48+T48,IF($AD$4="SEPTIEMBRE",F48+H48+J48+L48+N48+P48+R48+T48+V48,IF($AD$4="OCTUBRE",F48+H48+J48+L48+N48+P48+R48+T48+V48+X48,IF($AD$4="NOVIEMBRE",F48+H48+J48+L48+N48+P48+R48+T48+V48+X48+Z48,IF($AD$4="DICIEMBRE",F48+H48+J48+L48+N48+P48+R48+T48+V48+X48+Z48+AB48,"")))))))))))),0)</f>
        <v>7</v>
      </c>
      <c r="AF48" s="206">
        <f>SUM(AF32:AF47)</f>
        <v>0</v>
      </c>
      <c r="AG48" s="114">
        <f>IFERROR(IF($AD$4="ENERO",G48,IF($AD$4="FEBRERO",G48+I48,IF($AD$4="MARZO",G48+I48+K48,IF($AD$4="ABRIL",G48+I48+K48+M48,IF($AD$4="MAYO",G48+I48+K48+M48+O48,IF($AD$4="JUNIO",G48+I48+K48+M48+O48+Q48,IF($AD$4="JULIO",G48+I48+K48+M48+O48+Q48+S48,IF($AD$4="AGOSTO",G48+I48+K48+M48+O48+Q48+S48+U48,IF($AD$4="SEPTIEMBRE",G48+I48+K48+M48+O48+Q48+S48+U48+W48,IF($AD$4="OCTUBRE",G48+I48+K48+M48+O48+Q48+S48+U48+W48+Y48,IF($AD$4="NOVIEMBRE",G48+I48+K48+M48+O48+Q48+S48+U48+W48+Y48+AA48,IF($AD$4="DICIEMBRE",G48+I48+K48+M48+O48+Q48+S48+U48+W48+Y48+AA48+AC48,"")))))))))))),0)</f>
        <v>193</v>
      </c>
      <c r="AH48" s="245">
        <f>SUM(AH45:AH47)</f>
        <v>200</v>
      </c>
      <c r="AI48" s="213">
        <f>SUM(AI32:AI47)</f>
        <v>0</v>
      </c>
      <c r="AJ48" s="114">
        <f>IFERROR(SUM(F48,H48,J48,L48,N48,P48,R48,T48,V48,X48,Z48,AB48),0)</f>
        <v>7</v>
      </c>
      <c r="AK48" s="206">
        <f>SUM(AK32:AK47)</f>
        <v>0</v>
      </c>
      <c r="AL48" s="114">
        <f>IFERROR(SUM(G48,I48,K48,M48,O48,Q48,S48,U48,W48,Y48,AA48,AC48),0)</f>
        <v>193</v>
      </c>
      <c r="AM48" s="245">
        <f>SUM(AM45:AM47)</f>
        <v>200</v>
      </c>
      <c r="AN48" s="213"/>
      <c r="AO48" s="114">
        <f>SUM(AO32:AO47)</f>
        <v>0</v>
      </c>
      <c r="AP48" s="206">
        <f>SUM(AP32:AP47)</f>
        <v>0</v>
      </c>
      <c r="AQ48" s="115">
        <f>SUM(AQ32:AQ47)</f>
        <v>0</v>
      </c>
      <c r="AR48" s="245">
        <f>SUM(AR45:AR47)</f>
        <v>0</v>
      </c>
      <c r="AS48" s="213"/>
      <c r="AT48" s="114">
        <f>IFERROR(IF($AS$5="S 1",F48+H48+J48+L48+N48++P48,
IF($AS$5="S 2",R48+T48+V48+X48+Z48+AB48,0)),0)</f>
        <v>7</v>
      </c>
      <c r="AU48" s="206"/>
      <c r="AV48" s="114">
        <f>IFERROR(IF($AS$5="S 1",G48+I48+K48+M48+O48++Q48,
IF($AS$5="S 2",S48+U48+W48+Y48+AA48+AC48,0)),0)</f>
        <v>193</v>
      </c>
      <c r="AW48" s="245">
        <f>SUM(AW45:AW47)</f>
        <v>200</v>
      </c>
      <c r="AX48" s="4">
        <v>0</v>
      </c>
      <c r="BE48" s="4">
        <v>12</v>
      </c>
      <c r="BM48" s="15"/>
    </row>
    <row r="49" spans="1:65" s="4" customFormat="1" ht="15" customHeight="1" x14ac:dyDescent="0.3">
      <c r="A49" s="4">
        <f>_xlfn.XLOOKUP(B49,'UC BMW 2026'!$B$5:$B$65,'UC BMW 2026'!$A$5:$A$65)</f>
        <v>8</v>
      </c>
      <c r="B49" s="9">
        <v>100765</v>
      </c>
      <c r="C49" s="374" t="s">
        <v>60</v>
      </c>
      <c r="D49" s="8">
        <v>41991</v>
      </c>
      <c r="E49" s="309" t="s">
        <v>90</v>
      </c>
      <c r="F49" s="199">
        <f>IFERROR(VLOOKUP(B49,'[2]COMPRAS UC'!$B$11:$O$66,3,0),0)</f>
        <v>8</v>
      </c>
      <c r="G49" s="23">
        <f>IFERROR(VLOOKUP(B49,'[2]COMPRAS YUC'!$B$10:$P$63,3,0),0)</f>
        <v>0</v>
      </c>
      <c r="H49" s="87">
        <f>IFERROR(VLOOKUP(B49,'[2]COMPRAS UC'!$B$11:$O$66,4,0),0)</f>
        <v>1</v>
      </c>
      <c r="I49" s="23">
        <f>IFERROR(VLOOKUP(B49,'[2]COMPRAS YUC'!$B$10:$P$63,4,0),0)</f>
        <v>0</v>
      </c>
      <c r="J49" s="87">
        <f>IFERROR(VLOOKUP(B49,'[2]COMPRAS UC'!$B$11:$O$66,5,0),0)</f>
        <v>1</v>
      </c>
      <c r="K49" s="23">
        <f>IFERROR(VLOOKUP(B49,'[2]COMPRAS YUC'!$B$10:$P$63,5,0),0)</f>
        <v>0</v>
      </c>
      <c r="L49" s="87">
        <f>IFERROR(VLOOKUP(B49,'[2]COMPRAS UC'!$B$11:$O$66,6,0),0)</f>
        <v>0</v>
      </c>
      <c r="M49" s="23">
        <f>IFERROR(VLOOKUP(B49,'[2]COMPRAS YUC'!$B$10:$P$63,6,0),0)</f>
        <v>0</v>
      </c>
      <c r="N49" s="87">
        <f>IFERROR(VLOOKUP(B49,'[2]COMPRAS UC'!$B$11:$O$66,7,0),0)</f>
        <v>0</v>
      </c>
      <c r="O49" s="23">
        <f>IFERROR(VLOOKUP(B49,'[2]COMPRAS YUC'!$B$10:$P$63,7,0),0)</f>
        <v>0</v>
      </c>
      <c r="P49" s="87">
        <f>IFERROR(VLOOKUP(B49,'[2]COMPRAS UC'!$B$11:$O$66,8,0),0)</f>
        <v>0</v>
      </c>
      <c r="Q49" s="23">
        <f>IFERROR(VLOOKUP(B49,'[2]COMPRAS YUC'!$B$10:$P$63,8,0),0)</f>
        <v>0</v>
      </c>
      <c r="R49" s="87">
        <f>IFERROR(VLOOKUP(B49,'[2]COMPRAS UC'!$B$11:$O$66,9,0),0)</f>
        <v>0</v>
      </c>
      <c r="S49" s="23">
        <f>IFERROR(VLOOKUP(B49,'[2]COMPRAS YUC'!$B$10:$P$63,9,0),0)</f>
        <v>0</v>
      </c>
      <c r="T49" s="87">
        <f>IFERROR(VLOOKUP(B49,'[2]COMPRAS UC'!$B$11:$O$66,10,0),0)</f>
        <v>0</v>
      </c>
      <c r="U49" s="23">
        <f>IFERROR(VLOOKUP(B49,'[2]COMPRAS YUC'!$B$10:$P$63,10,0),0)</f>
        <v>0</v>
      </c>
      <c r="V49" s="87">
        <f>IFERROR(VLOOKUP(B49,'[2]COMPRAS UC'!$B$11:$O$66,11,0),0)</f>
        <v>0</v>
      </c>
      <c r="W49" s="23">
        <f>IFERROR(VLOOKUP(B49,'[2]COMPRAS YUC'!$B$10:$P$63,11,0),0)</f>
        <v>0</v>
      </c>
      <c r="X49" s="87">
        <f>IFERROR(VLOOKUP(B49,'[2]COMPRAS UC'!$B$11:$O$66,12,0),0)</f>
        <v>0</v>
      </c>
      <c r="Y49" s="23">
        <f>IFERROR(VLOOKUP(B49,'[2]COMPRAS YUC'!$B$10:$P$63,12,0),0)</f>
        <v>0</v>
      </c>
      <c r="Z49" s="87">
        <f>IFERROR(VLOOKUP(B49,'[2]COMPRAS UC'!$B$11:$O$66,13,0),0)</f>
        <v>0</v>
      </c>
      <c r="AA49" s="23">
        <f>IFERROR(VLOOKUP(B49,'[2]COMPRAS YUC'!$B$10:$P$63,13,0),0)</f>
        <v>0</v>
      </c>
      <c r="AB49" s="87">
        <f>IFERROR(VLOOKUP(B49,'[2]COMPRAS UC'!$B$11:$O$66,14,0),0)</f>
        <v>0</v>
      </c>
      <c r="AC49" s="23">
        <f>IFERROR(VLOOKUP(B49,'[2]COMPRAS YUC'!$B$10:$P$63,14,0),0)</f>
        <v>0</v>
      </c>
      <c r="AD49" s="211">
        <f t="shared" ref="AD49:AD54" si="56">SUMIFS($F49:$AC49,$F$6:$AC$6,AD$6,$F$1:$AC$1,$AD$4)</f>
        <v>0</v>
      </c>
      <c r="AE49" s="111">
        <f t="shared" ref="AE49:AE54" si="57">IFERROR(IF($AD$4="ENERO",F49,IF($AD$4="FEBRERO",F49+H49,IF($AD$4="MARZO",F49+H49+J49,IF($AD$4="ABRIL",F49+H49+J49+L49,IF($AD$4="MAYO",F49+H49+J49+L49+N49,IF($AD$4="JUNIO",F49+H49+J49+L49+N49+P49,IF($AD$4="JULIO",F49+H49+J49+L49+N49+P49+R49,IF($AD$4="AGOSTO",F49+H49+J49+L49+N49+P49+R49+T49,IF($AD$4="SEPTIEMBRE",F49+H49+J49+L49+N49+P49+R49+T49+V49,IF($AD$4="OCTUBRE",F49+H49+J49+L49+N49+P49+R49+T49+V49+X49,IF($AD$4="NOVIEMBRE",F49+H49+J49+L49+N49+P49+R49+T49+V49+X49+Z49,IF($AD$4="DICIEMBRE",F49+H49+J49+L49+N49+P49+R49+T49+V49+X49+Z49+AB49,"")))))))))))),0)</f>
        <v>10</v>
      </c>
      <c r="AF49" s="204">
        <f t="shared" ref="AF49:AF54" si="58">SUMIFS($F49:$AC49,$F$6:$AC$6,AF$6,$F$1:$AC$1,$AD$4)</f>
        <v>0</v>
      </c>
      <c r="AG49" s="111">
        <f t="shared" ref="AG49:AG54" si="59">IFERROR(IF($AD$4="ENERO",G49,IF($AD$4="FEBRERO",G49+I49,IF($AD$4="MARZO",G49+I49+K49,IF($AD$4="ABRIL",G49+I49+K49+M49,IF($AD$4="MAYO",G49+I49+K49+M49+O49,IF($AD$4="JUNIO",G49+I49+K49+M49+O49+Q49,IF($AD$4="JULIO",G49+I49+K49+M49+O49+Q49+S49,IF($AD$4="AGOSTO",G49+I49+K49+M49+O49+Q49+S49+U49,IF($AD$4="SEPTIEMBRE",G49+I49+K49+M49+O49+Q49+S49+U49+W49,IF($AD$4="OCTUBRE",G49+I49+K49+M49+O49+Q49+S49+U49+W49+Y49,IF($AD$4="NOVIEMBRE",G49+I49+K49+M49+O49+Q49+S49+U49+W49+Y49+AA49,IF($AD$4="DICIEMBRE",G49+I49+K49+M49+O49+Q49+S49+U49+W49+Y49+AA49+AC49,"")))))))))))),0)</f>
        <v>0</v>
      </c>
      <c r="AH49" s="229">
        <f t="shared" ref="AH49:AH54" si="60">IFERROR(AE49+AG49,0)</f>
        <v>10</v>
      </c>
      <c r="AI49" s="211">
        <f t="shared" ref="AI49:AI54" si="61">SUMIFS($F49:$AC49,$F$6:$AC$6,AI$6,$F$2:$AC$2,$AD$4)</f>
        <v>0</v>
      </c>
      <c r="AJ49" s="111">
        <f t="shared" ref="AJ49:AJ54" si="62">IFERROR(SUM(F49,H49,J49,L49,N49,P49,R49,T49,V49,X49,Z49,AB49),0)</f>
        <v>10</v>
      </c>
      <c r="AK49" s="204">
        <f t="shared" ref="AK49:AK54" si="63">SUMIFS($F49:$AC49,$F$6:$AC$6,AK$6,$F$2:$AC$2,$AD$4)</f>
        <v>0</v>
      </c>
      <c r="AL49" s="111">
        <f t="shared" ref="AL49:AL54" si="64">IFERROR(SUM(G49,I49,K49,M49,O49,Q49,S49,U49,W49,Y49,AA49,AC49),0)</f>
        <v>0</v>
      </c>
      <c r="AM49" s="229">
        <f t="shared" ref="AM49:AM54" si="65">AJ49+AL49</f>
        <v>10</v>
      </c>
      <c r="AN49" s="211"/>
      <c r="AO49" s="111">
        <f t="shared" ref="AO49:AO54" si="66">IF($AN$5="Q1",F49+H49+J49,
IF($AN$5="Q2",L49+N49++P49,
IF($AN$5="Q3",R49+T49+V49,
IF($AN$5="Q4",X49+Z49+AB49,0))))</f>
        <v>0</v>
      </c>
      <c r="AP49" s="204"/>
      <c r="AQ49" s="113">
        <f t="shared" ref="AQ49:AQ54" si="67">IF($AN$5="Q1",G49+I49+K49,
IF($AN$5="Q2",M49+O49++Q49,
IF($AN$5="Q3",S49+U49+W49,
IF($AN$5="Q4",Y49+AA49+AC49,0))))</f>
        <v>0</v>
      </c>
      <c r="AR49" s="229">
        <f t="shared" ref="AR49:AR54" si="68">AO49+AQ49</f>
        <v>0</v>
      </c>
      <c r="AS49" s="211"/>
      <c r="AT49" s="111">
        <f t="shared" ref="AT49:AT54" si="69">IFERROR(IF($AS$5="S 1",F49+H49+J49+L49+N49++P49,
IF($AS$5="S 2",R49+T49+V49+X49+Z49+AB49,0)),0)</f>
        <v>10</v>
      </c>
      <c r="AU49" s="204"/>
      <c r="AV49" s="111">
        <f t="shared" ref="AV49:AV54" si="70">IFERROR(IF($AS$5="S 1",G49+I49+K49+M49+O49++Q49,
IF($AS$5="S 2",S49+U49+W49+Y49+AA49+AC49,0)),0)</f>
        <v>0</v>
      </c>
      <c r="AW49" s="229">
        <f t="shared" ref="AW49:AW54" si="71">AT49+AV49</f>
        <v>10</v>
      </c>
      <c r="AX49" s="4">
        <v>1</v>
      </c>
      <c r="BE49" s="4">
        <v>12</v>
      </c>
      <c r="BM49" s="15">
        <f t="shared" ref="BM49:BM54" si="72">SUM(L49:Q49)</f>
        <v>0</v>
      </c>
    </row>
    <row r="50" spans="1:65" s="4" customFormat="1" ht="15" customHeight="1" x14ac:dyDescent="0.3">
      <c r="A50" s="4">
        <f>_xlfn.XLOOKUP(B50,'UC BMW 2026'!$B$5:$B$65,'UC BMW 2026'!$A$5:$A$65)</f>
        <v>8</v>
      </c>
      <c r="B50" s="8">
        <v>100002</v>
      </c>
      <c r="C50" s="369" t="s">
        <v>61</v>
      </c>
      <c r="D50" s="8">
        <v>1357</v>
      </c>
      <c r="E50" s="309" t="s">
        <v>96</v>
      </c>
      <c r="F50" s="199">
        <f>IFERROR(VLOOKUP(B50,'[2]COMPRAS UC'!$B$11:$O$66,3,0),0)</f>
        <v>0</v>
      </c>
      <c r="G50" s="23">
        <f>IFERROR(VLOOKUP(B50,'[2]COMPRAS YUC'!$B$10:$P$63,3,0),0)</f>
        <v>1</v>
      </c>
      <c r="H50" s="87">
        <f>IFERROR(VLOOKUP(B50,'[2]COMPRAS UC'!$B$11:$O$66,4,0),0)</f>
        <v>2</v>
      </c>
      <c r="I50" s="23">
        <f>IFERROR(VLOOKUP(B50,'[2]COMPRAS YUC'!$B$10:$P$63,4,0),0)</f>
        <v>3</v>
      </c>
      <c r="J50" s="87">
        <f>IFERROR(VLOOKUP(B50,'[2]COMPRAS UC'!$B$11:$O$66,5,0),0)</f>
        <v>2</v>
      </c>
      <c r="K50" s="23">
        <f>IFERROR(VLOOKUP(B50,'[2]COMPRAS YUC'!$B$10:$P$63,5,0),0)</f>
        <v>6</v>
      </c>
      <c r="L50" s="87">
        <f>IFERROR(VLOOKUP(B50,'[2]COMPRAS UC'!$B$11:$O$66,6,0),0)</f>
        <v>0</v>
      </c>
      <c r="M50" s="23">
        <f>IFERROR(VLOOKUP(B50,'[2]COMPRAS YUC'!$B$10:$P$63,6,0),0)</f>
        <v>9</v>
      </c>
      <c r="N50" s="87">
        <f>IFERROR(VLOOKUP(B50,'[2]COMPRAS UC'!$B$11:$O$66,7,0),0)</f>
        <v>2</v>
      </c>
      <c r="O50" s="23">
        <f>IFERROR(VLOOKUP(B50,'[2]COMPRAS YUC'!$B$10:$P$63,7,0),0)</f>
        <v>4</v>
      </c>
      <c r="P50" s="87">
        <f>IFERROR(VLOOKUP(B50,'[2]COMPRAS UC'!$B$11:$O$66,8,0),0)</f>
        <v>4</v>
      </c>
      <c r="Q50" s="23">
        <f>IFERROR(VLOOKUP(B50,'[2]COMPRAS YUC'!$B$10:$P$63,8,0),0)</f>
        <v>3</v>
      </c>
      <c r="R50" s="87">
        <f>IFERROR(VLOOKUP(B50,'[2]COMPRAS UC'!$B$11:$O$66,9,0),0)</f>
        <v>0</v>
      </c>
      <c r="S50" s="23">
        <f>IFERROR(VLOOKUP(B50,'[2]COMPRAS YUC'!$B$10:$P$63,9,0),0)</f>
        <v>0</v>
      </c>
      <c r="T50" s="87">
        <f>IFERROR(VLOOKUP(B50,'[2]COMPRAS UC'!$B$11:$O$66,10,0),0)</f>
        <v>0</v>
      </c>
      <c r="U50" s="23">
        <f>IFERROR(VLOOKUP(B50,'[2]COMPRAS YUC'!$B$10:$P$63,10,0),0)</f>
        <v>0</v>
      </c>
      <c r="V50" s="87">
        <f>IFERROR(VLOOKUP(B50,'[2]COMPRAS UC'!$B$11:$O$66,11,0),0)</f>
        <v>0</v>
      </c>
      <c r="W50" s="23">
        <f>IFERROR(VLOOKUP(B50,'[2]COMPRAS YUC'!$B$10:$P$63,11,0),0)</f>
        <v>0</v>
      </c>
      <c r="X50" s="87">
        <f>IFERROR(VLOOKUP(B50,'[2]COMPRAS UC'!$B$11:$O$66,12,0),0)</f>
        <v>0</v>
      </c>
      <c r="Y50" s="23">
        <f>IFERROR(VLOOKUP(B50,'[2]COMPRAS YUC'!$B$10:$P$63,12,0),0)</f>
        <v>0</v>
      </c>
      <c r="Z50" s="87">
        <f>IFERROR(VLOOKUP(B50,'[2]COMPRAS UC'!$B$11:$O$66,13,0),0)</f>
        <v>0</v>
      </c>
      <c r="AA50" s="23">
        <f>IFERROR(VLOOKUP(B50,'[2]COMPRAS YUC'!$B$10:$P$63,13,0),0)</f>
        <v>0</v>
      </c>
      <c r="AB50" s="87">
        <f>IFERROR(VLOOKUP(B50,'[2]COMPRAS UC'!$B$11:$O$66,14,0),0)</f>
        <v>0</v>
      </c>
      <c r="AC50" s="23">
        <f>IFERROR(VLOOKUP(B50,'[2]COMPRAS YUC'!$B$10:$P$63,14,0),0)</f>
        <v>0</v>
      </c>
      <c r="AD50" s="211">
        <f t="shared" si="56"/>
        <v>0</v>
      </c>
      <c r="AE50" s="111">
        <f t="shared" si="57"/>
        <v>10</v>
      </c>
      <c r="AF50" s="204">
        <f t="shared" si="58"/>
        <v>0</v>
      </c>
      <c r="AG50" s="111">
        <f t="shared" si="59"/>
        <v>26</v>
      </c>
      <c r="AH50" s="229">
        <f t="shared" si="60"/>
        <v>36</v>
      </c>
      <c r="AI50" s="211">
        <f t="shared" si="61"/>
        <v>0</v>
      </c>
      <c r="AJ50" s="111">
        <f t="shared" si="62"/>
        <v>10</v>
      </c>
      <c r="AK50" s="204">
        <f t="shared" si="63"/>
        <v>0</v>
      </c>
      <c r="AL50" s="111">
        <f t="shared" si="64"/>
        <v>26</v>
      </c>
      <c r="AM50" s="229">
        <f t="shared" si="65"/>
        <v>36</v>
      </c>
      <c r="AN50" s="211"/>
      <c r="AO50" s="111">
        <f t="shared" si="66"/>
        <v>0</v>
      </c>
      <c r="AP50" s="204"/>
      <c r="AQ50" s="113">
        <f t="shared" si="67"/>
        <v>0</v>
      </c>
      <c r="AR50" s="229">
        <f t="shared" si="68"/>
        <v>0</v>
      </c>
      <c r="AS50" s="211"/>
      <c r="AT50" s="111">
        <f t="shared" si="69"/>
        <v>10</v>
      </c>
      <c r="AU50" s="204"/>
      <c r="AV50" s="111">
        <f t="shared" si="70"/>
        <v>26</v>
      </c>
      <c r="AW50" s="229">
        <f t="shared" si="71"/>
        <v>36</v>
      </c>
      <c r="AX50" s="4">
        <v>1</v>
      </c>
      <c r="BE50" s="4">
        <v>12</v>
      </c>
      <c r="BM50" s="15">
        <f t="shared" si="72"/>
        <v>22</v>
      </c>
    </row>
    <row r="51" spans="1:65" s="4" customFormat="1" ht="15" customHeight="1" x14ac:dyDescent="0.3">
      <c r="A51" s="4">
        <f>_xlfn.XLOOKUP(B51,'UC BMW 2026'!$B$5:$B$65,'UC BMW 2026'!$A$5:$A$65)</f>
        <v>8</v>
      </c>
      <c r="B51" s="8">
        <v>100062</v>
      </c>
      <c r="C51" s="369" t="s">
        <v>62</v>
      </c>
      <c r="D51" s="8">
        <v>9911</v>
      </c>
      <c r="E51" s="309" t="s">
        <v>97</v>
      </c>
      <c r="F51" s="199">
        <f>IFERROR(VLOOKUP(B51,'[2]COMPRAS UC'!$B$11:$O$66,3,0),0)</f>
        <v>1</v>
      </c>
      <c r="G51" s="23">
        <f>IFERROR(VLOOKUP(B51,'[2]COMPRAS YUC'!$B$10:$P$63,3,0),0)</f>
        <v>14</v>
      </c>
      <c r="H51" s="87">
        <f>IFERROR(VLOOKUP(B51,'[2]COMPRAS UC'!$B$11:$O$66,4,0),0)</f>
        <v>3</v>
      </c>
      <c r="I51" s="23">
        <f>IFERROR(VLOOKUP(B51,'[2]COMPRAS YUC'!$B$10:$P$63,4,0),0)</f>
        <v>5</v>
      </c>
      <c r="J51" s="87">
        <f>IFERROR(VLOOKUP(B51,'[2]COMPRAS UC'!$B$11:$O$66,5,0),0)</f>
        <v>2</v>
      </c>
      <c r="K51" s="23">
        <f>IFERROR(VLOOKUP(B51,'[2]COMPRAS YUC'!$B$10:$P$63,5,0),0)</f>
        <v>8</v>
      </c>
      <c r="L51" s="87">
        <f>IFERROR(VLOOKUP(B51,'[2]COMPRAS UC'!$B$11:$O$66,6,0),0)</f>
        <v>3</v>
      </c>
      <c r="M51" s="23">
        <f>IFERROR(VLOOKUP(B51,'[2]COMPRAS YUC'!$B$10:$P$63,6,0),0)</f>
        <v>16</v>
      </c>
      <c r="N51" s="87">
        <f>IFERROR(VLOOKUP(B51,'[2]COMPRAS UC'!$B$11:$O$66,7,0),0)</f>
        <v>2</v>
      </c>
      <c r="O51" s="23">
        <f>IFERROR(VLOOKUP(B51,'[2]COMPRAS YUC'!$B$10:$P$63,7,0),0)</f>
        <v>4</v>
      </c>
      <c r="P51" s="87">
        <f>IFERROR(VLOOKUP(B51,'[2]COMPRAS UC'!$B$11:$O$66,8,0),0)</f>
        <v>2</v>
      </c>
      <c r="Q51" s="23">
        <f>IFERROR(VLOOKUP(B51,'[2]COMPRAS YUC'!$B$10:$P$63,8,0),0)</f>
        <v>6</v>
      </c>
      <c r="R51" s="87">
        <f>IFERROR(VLOOKUP(B51,'[2]COMPRAS UC'!$B$11:$O$66,9,0),0)</f>
        <v>0</v>
      </c>
      <c r="S51" s="23">
        <f>IFERROR(VLOOKUP(B51,'[2]COMPRAS YUC'!$B$10:$P$63,9,0),0)</f>
        <v>0</v>
      </c>
      <c r="T51" s="87">
        <f>IFERROR(VLOOKUP(B51,'[2]COMPRAS UC'!$B$11:$O$66,10,0),0)</f>
        <v>0</v>
      </c>
      <c r="U51" s="23">
        <f>IFERROR(VLOOKUP(B51,'[2]COMPRAS YUC'!$B$10:$P$63,10,0),0)</f>
        <v>0</v>
      </c>
      <c r="V51" s="87">
        <f>IFERROR(VLOOKUP(B51,'[2]COMPRAS UC'!$B$11:$O$66,11,0),0)</f>
        <v>0</v>
      </c>
      <c r="W51" s="23">
        <f>IFERROR(VLOOKUP(B51,'[2]COMPRAS YUC'!$B$10:$P$63,11,0),0)</f>
        <v>0</v>
      </c>
      <c r="X51" s="87">
        <f>IFERROR(VLOOKUP(B51,'[2]COMPRAS UC'!$B$11:$O$66,12,0),0)</f>
        <v>0</v>
      </c>
      <c r="Y51" s="23">
        <f>IFERROR(VLOOKUP(B51,'[2]COMPRAS YUC'!$B$10:$P$63,12,0),0)</f>
        <v>0</v>
      </c>
      <c r="Z51" s="87">
        <f>IFERROR(VLOOKUP(B51,'[2]COMPRAS UC'!$B$11:$O$66,13,0),0)</f>
        <v>0</v>
      </c>
      <c r="AA51" s="23">
        <f>IFERROR(VLOOKUP(B51,'[2]COMPRAS YUC'!$B$10:$P$63,13,0),0)</f>
        <v>0</v>
      </c>
      <c r="AB51" s="87">
        <f>IFERROR(VLOOKUP(B51,'[2]COMPRAS UC'!$B$11:$O$66,14,0),0)</f>
        <v>0</v>
      </c>
      <c r="AC51" s="23">
        <f>IFERROR(VLOOKUP(B51,'[2]COMPRAS YUC'!$B$10:$P$63,14,0),0)</f>
        <v>0</v>
      </c>
      <c r="AD51" s="211">
        <f t="shared" si="56"/>
        <v>0</v>
      </c>
      <c r="AE51" s="111">
        <f t="shared" si="57"/>
        <v>13</v>
      </c>
      <c r="AF51" s="204">
        <f t="shared" si="58"/>
        <v>0</v>
      </c>
      <c r="AG51" s="111">
        <f t="shared" si="59"/>
        <v>53</v>
      </c>
      <c r="AH51" s="229">
        <f t="shared" si="60"/>
        <v>66</v>
      </c>
      <c r="AI51" s="211">
        <f t="shared" si="61"/>
        <v>0</v>
      </c>
      <c r="AJ51" s="111">
        <f t="shared" si="62"/>
        <v>13</v>
      </c>
      <c r="AK51" s="204">
        <f t="shared" si="63"/>
        <v>0</v>
      </c>
      <c r="AL51" s="111">
        <f t="shared" si="64"/>
        <v>53</v>
      </c>
      <c r="AM51" s="229">
        <f t="shared" si="65"/>
        <v>66</v>
      </c>
      <c r="AN51" s="211"/>
      <c r="AO51" s="111">
        <f t="shared" si="66"/>
        <v>0</v>
      </c>
      <c r="AP51" s="204"/>
      <c r="AQ51" s="113">
        <f t="shared" si="67"/>
        <v>0</v>
      </c>
      <c r="AR51" s="229">
        <f t="shared" si="68"/>
        <v>0</v>
      </c>
      <c r="AS51" s="211"/>
      <c r="AT51" s="111">
        <f t="shared" si="69"/>
        <v>13</v>
      </c>
      <c r="AU51" s="204"/>
      <c r="AV51" s="111">
        <f t="shared" si="70"/>
        <v>53</v>
      </c>
      <c r="AW51" s="229">
        <f t="shared" si="71"/>
        <v>66</v>
      </c>
      <c r="AX51" s="4">
        <v>1</v>
      </c>
      <c r="BE51" s="4">
        <v>11</v>
      </c>
      <c r="BM51" s="15">
        <f t="shared" si="72"/>
        <v>33</v>
      </c>
    </row>
    <row r="52" spans="1:65" s="4" customFormat="1" ht="15" customHeight="1" x14ac:dyDescent="0.3">
      <c r="A52" s="4">
        <f>_xlfn.XLOOKUP(B52,'UC BMW 2026'!$B$5:$B$65,'UC BMW 2026'!$A$5:$A$65)</f>
        <v>8</v>
      </c>
      <c r="B52" s="8">
        <v>100206</v>
      </c>
      <c r="C52" s="369" t="s">
        <v>63</v>
      </c>
      <c r="D52" s="8">
        <v>9911</v>
      </c>
      <c r="E52" s="309" t="s">
        <v>97</v>
      </c>
      <c r="F52" s="199">
        <f>IFERROR(VLOOKUP(B52,'[2]COMPRAS UC'!$B$11:$O$66,3,0),0)</f>
        <v>3</v>
      </c>
      <c r="G52" s="23">
        <f>IFERROR(VLOOKUP(B52,'[2]COMPRAS YUC'!$B$10:$P$63,3,0),0)</f>
        <v>14</v>
      </c>
      <c r="H52" s="87">
        <f>IFERROR(VLOOKUP(B52,'[2]COMPRAS UC'!$B$11:$O$66,4,0),0)</f>
        <v>3</v>
      </c>
      <c r="I52" s="23">
        <f>IFERROR(VLOOKUP(B52,'[2]COMPRAS YUC'!$B$10:$P$63,4,0),0)</f>
        <v>18</v>
      </c>
      <c r="J52" s="87">
        <f>IFERROR(VLOOKUP(B52,'[2]COMPRAS UC'!$B$11:$O$66,5,0),0)</f>
        <v>5</v>
      </c>
      <c r="K52" s="23">
        <f>IFERROR(VLOOKUP(B52,'[2]COMPRAS YUC'!$B$10:$P$63,5,0),0)</f>
        <v>8</v>
      </c>
      <c r="L52" s="87">
        <f>IFERROR(VLOOKUP(B52,'[2]COMPRAS UC'!$B$11:$O$66,6,0),0)</f>
        <v>6</v>
      </c>
      <c r="M52" s="23">
        <f>IFERROR(VLOOKUP(B52,'[2]COMPRAS YUC'!$B$10:$P$63,6,0),0)</f>
        <v>8</v>
      </c>
      <c r="N52" s="87">
        <f>IFERROR(VLOOKUP(B52,'[2]COMPRAS UC'!$B$11:$O$66,7,0),0)</f>
        <v>2</v>
      </c>
      <c r="O52" s="23">
        <f>IFERROR(VLOOKUP(B52,'[2]COMPRAS YUC'!$B$10:$P$63,7,0),0)</f>
        <v>8</v>
      </c>
      <c r="P52" s="87">
        <f>IFERROR(VLOOKUP(B52,'[2]COMPRAS UC'!$B$11:$O$66,8,0),0)</f>
        <v>0</v>
      </c>
      <c r="Q52" s="23">
        <f>IFERROR(VLOOKUP(B52,'[2]COMPRAS YUC'!$B$10:$P$63,8,0),0)</f>
        <v>1</v>
      </c>
      <c r="R52" s="87">
        <f>IFERROR(VLOOKUP(B52,'[2]COMPRAS UC'!$B$11:$O$66,9,0),0)</f>
        <v>0</v>
      </c>
      <c r="S52" s="23">
        <f>IFERROR(VLOOKUP(B52,'[2]COMPRAS YUC'!$B$10:$P$63,9,0),0)</f>
        <v>0</v>
      </c>
      <c r="T52" s="87">
        <f>IFERROR(VLOOKUP(B52,'[2]COMPRAS UC'!$B$11:$O$66,10,0),0)</f>
        <v>0</v>
      </c>
      <c r="U52" s="23">
        <f>IFERROR(VLOOKUP(B52,'[2]COMPRAS YUC'!$B$10:$P$63,10,0),0)</f>
        <v>0</v>
      </c>
      <c r="V52" s="87">
        <f>IFERROR(VLOOKUP(B52,'[2]COMPRAS UC'!$B$11:$O$66,11,0),0)</f>
        <v>0</v>
      </c>
      <c r="W52" s="23">
        <f>IFERROR(VLOOKUP(B52,'[2]COMPRAS YUC'!$B$10:$P$63,11,0),0)</f>
        <v>0</v>
      </c>
      <c r="X52" s="87">
        <f>IFERROR(VLOOKUP(B52,'[2]COMPRAS UC'!$B$11:$O$66,12,0),0)</f>
        <v>0</v>
      </c>
      <c r="Y52" s="23">
        <f>IFERROR(VLOOKUP(B52,'[2]COMPRAS YUC'!$B$10:$P$63,12,0),0)</f>
        <v>0</v>
      </c>
      <c r="Z52" s="87">
        <f>IFERROR(VLOOKUP(B52,'[2]COMPRAS UC'!$B$11:$O$66,13,0),0)</f>
        <v>0</v>
      </c>
      <c r="AA52" s="23">
        <f>IFERROR(VLOOKUP(B52,'[2]COMPRAS YUC'!$B$10:$P$63,13,0),0)</f>
        <v>0</v>
      </c>
      <c r="AB52" s="87">
        <f>IFERROR(VLOOKUP(B52,'[2]COMPRAS UC'!$B$11:$O$66,14,0),0)</f>
        <v>0</v>
      </c>
      <c r="AC52" s="23">
        <f>IFERROR(VLOOKUP(B52,'[2]COMPRAS YUC'!$B$10:$P$63,14,0),0)</f>
        <v>0</v>
      </c>
      <c r="AD52" s="211">
        <f t="shared" si="56"/>
        <v>0</v>
      </c>
      <c r="AE52" s="111">
        <f t="shared" si="57"/>
        <v>19</v>
      </c>
      <c r="AF52" s="204">
        <f t="shared" si="58"/>
        <v>0</v>
      </c>
      <c r="AG52" s="111">
        <f t="shared" si="59"/>
        <v>57</v>
      </c>
      <c r="AH52" s="229">
        <f t="shared" si="60"/>
        <v>76</v>
      </c>
      <c r="AI52" s="211">
        <f t="shared" si="61"/>
        <v>0</v>
      </c>
      <c r="AJ52" s="111">
        <f t="shared" si="62"/>
        <v>19</v>
      </c>
      <c r="AK52" s="204">
        <f t="shared" si="63"/>
        <v>0</v>
      </c>
      <c r="AL52" s="111">
        <f t="shared" si="64"/>
        <v>57</v>
      </c>
      <c r="AM52" s="229">
        <f t="shared" si="65"/>
        <v>76</v>
      </c>
      <c r="AN52" s="211"/>
      <c r="AO52" s="111">
        <f t="shared" si="66"/>
        <v>0</v>
      </c>
      <c r="AP52" s="204"/>
      <c r="AQ52" s="113">
        <f t="shared" si="67"/>
        <v>0</v>
      </c>
      <c r="AR52" s="229">
        <f t="shared" si="68"/>
        <v>0</v>
      </c>
      <c r="AS52" s="211"/>
      <c r="AT52" s="111">
        <f t="shared" si="69"/>
        <v>19</v>
      </c>
      <c r="AU52" s="204"/>
      <c r="AV52" s="111">
        <f t="shared" si="70"/>
        <v>57</v>
      </c>
      <c r="AW52" s="229">
        <f t="shared" si="71"/>
        <v>76</v>
      </c>
      <c r="AX52" s="4">
        <v>1</v>
      </c>
      <c r="BE52" s="4">
        <v>10</v>
      </c>
      <c r="BM52" s="15">
        <f t="shared" si="72"/>
        <v>25</v>
      </c>
    </row>
    <row r="53" spans="1:65" s="4" customFormat="1" ht="15" customHeight="1" x14ac:dyDescent="0.3">
      <c r="A53" s="4">
        <f>_xlfn.XLOOKUP(B53,'UC BMW 2026'!$B$5:$B$65,'UC BMW 2026'!$A$5:$A$65)</f>
        <v>8</v>
      </c>
      <c r="B53" s="9">
        <v>100394</v>
      </c>
      <c r="C53" s="374" t="s">
        <v>64</v>
      </c>
      <c r="D53" s="8">
        <v>1357</v>
      </c>
      <c r="E53" s="309" t="s">
        <v>96</v>
      </c>
      <c r="F53" s="199">
        <f>IFERROR(VLOOKUP(B53,'[2]COMPRAS UC'!$B$11:$O$66,3,0),0)</f>
        <v>3</v>
      </c>
      <c r="G53" s="23">
        <f>IFERROR(VLOOKUP(B53,'[2]COMPRAS YUC'!$B$10:$P$63,3,0),0)</f>
        <v>2</v>
      </c>
      <c r="H53" s="87">
        <f>IFERROR(VLOOKUP(B53,'[2]COMPRAS UC'!$B$11:$O$66,4,0),0)</f>
        <v>6</v>
      </c>
      <c r="I53" s="23">
        <f>IFERROR(VLOOKUP(B53,'[2]COMPRAS YUC'!$B$10:$P$63,4,0),0)</f>
        <v>5</v>
      </c>
      <c r="J53" s="87">
        <f>IFERROR(VLOOKUP(B53,'[2]COMPRAS UC'!$B$11:$O$66,5,0),0)</f>
        <v>1</v>
      </c>
      <c r="K53" s="23">
        <f>IFERROR(VLOOKUP(B53,'[2]COMPRAS YUC'!$B$10:$P$63,5,0),0)</f>
        <v>0</v>
      </c>
      <c r="L53" s="87">
        <f>IFERROR(VLOOKUP(B53,'[2]COMPRAS UC'!$B$11:$O$66,6,0),0)</f>
        <v>3</v>
      </c>
      <c r="M53" s="23">
        <f>IFERROR(VLOOKUP(B53,'[2]COMPRAS YUC'!$B$10:$P$63,6,0),0)</f>
        <v>3</v>
      </c>
      <c r="N53" s="87">
        <f>IFERROR(VLOOKUP(B53,'[2]COMPRAS UC'!$B$11:$O$66,7,0),0)</f>
        <v>3</v>
      </c>
      <c r="O53" s="23">
        <f>IFERROR(VLOOKUP(B53,'[2]COMPRAS YUC'!$B$10:$P$63,7,0),0)</f>
        <v>1</v>
      </c>
      <c r="P53" s="87">
        <f>IFERROR(VLOOKUP(B53,'[2]COMPRAS UC'!$B$11:$O$66,8,0),0)</f>
        <v>1</v>
      </c>
      <c r="Q53" s="23">
        <f>IFERROR(VLOOKUP(B53,'[2]COMPRAS YUC'!$B$10:$P$63,8,0),0)</f>
        <v>0</v>
      </c>
      <c r="R53" s="87">
        <f>IFERROR(VLOOKUP(B53,'[2]COMPRAS UC'!$B$11:$O$66,9,0),0)</f>
        <v>0</v>
      </c>
      <c r="S53" s="23">
        <f>IFERROR(VLOOKUP(B53,'[2]COMPRAS YUC'!$B$10:$P$63,9,0),0)</f>
        <v>0</v>
      </c>
      <c r="T53" s="87">
        <f>IFERROR(VLOOKUP(B53,'[2]COMPRAS UC'!$B$11:$O$66,10,0),0)</f>
        <v>0</v>
      </c>
      <c r="U53" s="23">
        <f>IFERROR(VLOOKUP(B53,'[2]COMPRAS YUC'!$B$10:$P$63,10,0),0)</f>
        <v>0</v>
      </c>
      <c r="V53" s="87">
        <f>IFERROR(VLOOKUP(B53,'[2]COMPRAS UC'!$B$11:$O$66,11,0),0)</f>
        <v>0</v>
      </c>
      <c r="W53" s="23">
        <f>IFERROR(VLOOKUP(B53,'[2]COMPRAS YUC'!$B$10:$P$63,11,0),0)</f>
        <v>0</v>
      </c>
      <c r="X53" s="87">
        <f>IFERROR(VLOOKUP(B53,'[2]COMPRAS UC'!$B$11:$O$66,12,0),0)</f>
        <v>0</v>
      </c>
      <c r="Y53" s="23">
        <f>IFERROR(VLOOKUP(B53,'[2]COMPRAS YUC'!$B$10:$P$63,12,0),0)</f>
        <v>0</v>
      </c>
      <c r="Z53" s="87">
        <f>IFERROR(VLOOKUP(B53,'[2]COMPRAS UC'!$B$11:$O$66,13,0),0)</f>
        <v>0</v>
      </c>
      <c r="AA53" s="23">
        <f>IFERROR(VLOOKUP(B53,'[2]COMPRAS YUC'!$B$10:$P$63,13,0),0)</f>
        <v>0</v>
      </c>
      <c r="AB53" s="87">
        <f>IFERROR(VLOOKUP(B53,'[2]COMPRAS UC'!$B$11:$O$66,14,0),0)</f>
        <v>0</v>
      </c>
      <c r="AC53" s="23">
        <f>IFERROR(VLOOKUP(B53,'[2]COMPRAS YUC'!$B$10:$P$63,14,0),0)</f>
        <v>0</v>
      </c>
      <c r="AD53" s="211">
        <f t="shared" si="56"/>
        <v>0</v>
      </c>
      <c r="AE53" s="111">
        <f t="shared" si="57"/>
        <v>17</v>
      </c>
      <c r="AF53" s="204">
        <f t="shared" si="58"/>
        <v>0</v>
      </c>
      <c r="AG53" s="111">
        <f t="shared" si="59"/>
        <v>11</v>
      </c>
      <c r="AH53" s="229">
        <f t="shared" si="60"/>
        <v>28</v>
      </c>
      <c r="AI53" s="211">
        <f t="shared" si="61"/>
        <v>0</v>
      </c>
      <c r="AJ53" s="111">
        <f t="shared" si="62"/>
        <v>17</v>
      </c>
      <c r="AK53" s="204">
        <f t="shared" si="63"/>
        <v>0</v>
      </c>
      <c r="AL53" s="111">
        <f t="shared" si="64"/>
        <v>11</v>
      </c>
      <c r="AM53" s="229">
        <f t="shared" si="65"/>
        <v>28</v>
      </c>
      <c r="AN53" s="211"/>
      <c r="AO53" s="111">
        <f t="shared" si="66"/>
        <v>0</v>
      </c>
      <c r="AP53" s="204"/>
      <c r="AQ53" s="113">
        <f t="shared" si="67"/>
        <v>0</v>
      </c>
      <c r="AR53" s="229">
        <f t="shared" si="68"/>
        <v>0</v>
      </c>
      <c r="AS53" s="211"/>
      <c r="AT53" s="111">
        <f t="shared" si="69"/>
        <v>17</v>
      </c>
      <c r="AU53" s="204"/>
      <c r="AV53" s="111">
        <f t="shared" si="70"/>
        <v>11</v>
      </c>
      <c r="AW53" s="229">
        <f t="shared" si="71"/>
        <v>28</v>
      </c>
      <c r="AX53" s="4">
        <v>1</v>
      </c>
      <c r="BE53" s="4">
        <v>10</v>
      </c>
      <c r="BM53" s="15">
        <f t="shared" si="72"/>
        <v>11</v>
      </c>
    </row>
    <row r="54" spans="1:65" s="4" customFormat="1" ht="15" customHeight="1" thickBot="1" x14ac:dyDescent="0.35">
      <c r="A54" s="4">
        <f>_xlfn.XLOOKUP(B54,'UC BMW 2026'!$B$5:$B$65,'UC BMW 2026'!$A$5:$A$65)</f>
        <v>8</v>
      </c>
      <c r="B54" s="9">
        <v>100468</v>
      </c>
      <c r="C54" s="374" t="s">
        <v>65</v>
      </c>
      <c r="D54" s="8">
        <v>9911</v>
      </c>
      <c r="E54" s="309" t="s">
        <v>97</v>
      </c>
      <c r="F54" s="199">
        <f>IFERROR(VLOOKUP(B54,'[2]COMPRAS UC'!$B$11:$O$66,3,0),0)</f>
        <v>3</v>
      </c>
      <c r="G54" s="23">
        <f>IFERROR(VLOOKUP(B54,'[2]COMPRAS YUC'!$B$10:$P$63,3,0),0)</f>
        <v>8</v>
      </c>
      <c r="H54" s="87">
        <f>IFERROR(VLOOKUP(B54,'[2]COMPRAS UC'!$B$11:$O$66,4,0),0)</f>
        <v>8</v>
      </c>
      <c r="I54" s="23">
        <f>IFERROR(VLOOKUP(B54,'[2]COMPRAS YUC'!$B$10:$P$63,4,0),0)</f>
        <v>16</v>
      </c>
      <c r="J54" s="87">
        <f>IFERROR(VLOOKUP(B54,'[2]COMPRAS UC'!$B$11:$O$66,5,0),0)</f>
        <v>4</v>
      </c>
      <c r="K54" s="23">
        <f>IFERROR(VLOOKUP(B54,'[2]COMPRAS YUC'!$B$10:$P$63,5,0),0)</f>
        <v>19</v>
      </c>
      <c r="L54" s="87">
        <f>IFERROR(VLOOKUP(B54,'[2]COMPRAS UC'!$B$11:$O$66,6,0),0)</f>
        <v>4</v>
      </c>
      <c r="M54" s="23">
        <f>IFERROR(VLOOKUP(B54,'[2]COMPRAS YUC'!$B$10:$P$63,6,0),0)</f>
        <v>16</v>
      </c>
      <c r="N54" s="87">
        <f>IFERROR(VLOOKUP(B54,'[2]COMPRAS UC'!$B$11:$O$66,7,0),0)</f>
        <v>5</v>
      </c>
      <c r="O54" s="23">
        <f>IFERROR(VLOOKUP(B54,'[2]COMPRAS YUC'!$B$10:$P$63,7,0),0)</f>
        <v>8</v>
      </c>
      <c r="P54" s="87">
        <f>IFERROR(VLOOKUP(B54,'[2]COMPRAS UC'!$B$11:$O$66,8,0),0)</f>
        <v>6</v>
      </c>
      <c r="Q54" s="23">
        <f>IFERROR(VLOOKUP(B54,'[2]COMPRAS YUC'!$B$10:$P$63,8,0),0)</f>
        <v>10</v>
      </c>
      <c r="R54" s="87">
        <f>IFERROR(VLOOKUP(B54,'[2]COMPRAS UC'!$B$11:$O$66,9,0),0)</f>
        <v>0</v>
      </c>
      <c r="S54" s="23">
        <f>IFERROR(VLOOKUP(B54,'[2]COMPRAS YUC'!$B$10:$P$63,9,0),0)</f>
        <v>0</v>
      </c>
      <c r="T54" s="87">
        <f>IFERROR(VLOOKUP(B54,'[2]COMPRAS UC'!$B$11:$O$66,10,0),0)</f>
        <v>0</v>
      </c>
      <c r="U54" s="23">
        <f>IFERROR(VLOOKUP(B54,'[2]COMPRAS YUC'!$B$10:$P$63,10,0),0)</f>
        <v>0</v>
      </c>
      <c r="V54" s="87">
        <f>IFERROR(VLOOKUP(B54,'[2]COMPRAS UC'!$B$11:$O$66,11,0),0)</f>
        <v>0</v>
      </c>
      <c r="W54" s="23">
        <f>IFERROR(VLOOKUP(B54,'[2]COMPRAS YUC'!$B$10:$P$63,11,0),0)</f>
        <v>0</v>
      </c>
      <c r="X54" s="87">
        <f>IFERROR(VLOOKUP(B54,'[2]COMPRAS UC'!$B$11:$O$66,12,0),0)</f>
        <v>0</v>
      </c>
      <c r="Y54" s="23">
        <f>IFERROR(VLOOKUP(B54,'[2]COMPRAS YUC'!$B$10:$P$63,12,0),0)</f>
        <v>0</v>
      </c>
      <c r="Z54" s="87">
        <f>IFERROR(VLOOKUP(B54,'[2]COMPRAS UC'!$B$11:$O$66,13,0),0)</f>
        <v>0</v>
      </c>
      <c r="AA54" s="23">
        <f>IFERROR(VLOOKUP(B54,'[2]COMPRAS YUC'!$B$10:$P$63,13,0),0)</f>
        <v>0</v>
      </c>
      <c r="AB54" s="87">
        <f>IFERROR(VLOOKUP(B54,'[2]COMPRAS UC'!$B$11:$O$66,14,0),0)</f>
        <v>0</v>
      </c>
      <c r="AC54" s="23">
        <f>IFERROR(VLOOKUP(B54,'[2]COMPRAS YUC'!$B$10:$P$63,14,0),0)</f>
        <v>0</v>
      </c>
      <c r="AD54" s="211">
        <f t="shared" si="56"/>
        <v>0</v>
      </c>
      <c r="AE54" s="111">
        <f t="shared" si="57"/>
        <v>30</v>
      </c>
      <c r="AF54" s="204">
        <f t="shared" si="58"/>
        <v>0</v>
      </c>
      <c r="AG54" s="111">
        <f t="shared" si="59"/>
        <v>77</v>
      </c>
      <c r="AH54" s="229">
        <f t="shared" si="60"/>
        <v>107</v>
      </c>
      <c r="AI54" s="211">
        <f t="shared" si="61"/>
        <v>0</v>
      </c>
      <c r="AJ54" s="111">
        <f t="shared" si="62"/>
        <v>30</v>
      </c>
      <c r="AK54" s="204">
        <f t="shared" si="63"/>
        <v>0</v>
      </c>
      <c r="AL54" s="111">
        <f t="shared" si="64"/>
        <v>77</v>
      </c>
      <c r="AM54" s="229">
        <f t="shared" si="65"/>
        <v>107</v>
      </c>
      <c r="AN54" s="211"/>
      <c r="AO54" s="111">
        <f t="shared" si="66"/>
        <v>0</v>
      </c>
      <c r="AP54" s="204"/>
      <c r="AQ54" s="113">
        <f t="shared" si="67"/>
        <v>0</v>
      </c>
      <c r="AR54" s="229">
        <f t="shared" si="68"/>
        <v>0</v>
      </c>
      <c r="AS54" s="211"/>
      <c r="AT54" s="111">
        <f t="shared" si="69"/>
        <v>30</v>
      </c>
      <c r="AU54" s="204"/>
      <c r="AV54" s="111">
        <f t="shared" si="70"/>
        <v>77</v>
      </c>
      <c r="AW54" s="229">
        <f t="shared" si="71"/>
        <v>107</v>
      </c>
      <c r="AX54" s="4">
        <v>1</v>
      </c>
      <c r="BE54" s="4">
        <v>2</v>
      </c>
      <c r="BM54" s="15">
        <f t="shared" si="72"/>
        <v>49</v>
      </c>
    </row>
    <row r="55" spans="1:65" s="4" customFormat="1" ht="15" customHeight="1" thickBot="1" x14ac:dyDescent="0.35">
      <c r="A55" s="4">
        <f>_xlfn.XLOOKUP(B55,'UC BMW 2026'!$B$5:$B$65,'UC BMW 2026'!$A$5:$A$65)</f>
        <v>0</v>
      </c>
      <c r="B55" s="7" t="s">
        <v>270</v>
      </c>
      <c r="C55" s="28"/>
      <c r="D55" s="29"/>
      <c r="E55" s="7"/>
      <c r="F55" s="200">
        <f t="shared" ref="F55:AC55" si="73">SUM(F49:F54)</f>
        <v>18</v>
      </c>
      <c r="G55" s="32">
        <f t="shared" si="73"/>
        <v>39</v>
      </c>
      <c r="H55" s="200">
        <f t="shared" si="73"/>
        <v>23</v>
      </c>
      <c r="I55" s="32">
        <f t="shared" si="73"/>
        <v>47</v>
      </c>
      <c r="J55" s="200">
        <f t="shared" si="73"/>
        <v>15</v>
      </c>
      <c r="K55" s="32">
        <f>SUM(K49:K54)</f>
        <v>41</v>
      </c>
      <c r="L55" s="200">
        <f t="shared" si="73"/>
        <v>16</v>
      </c>
      <c r="M55" s="32">
        <f t="shared" si="73"/>
        <v>52</v>
      </c>
      <c r="N55" s="200">
        <f t="shared" si="73"/>
        <v>14</v>
      </c>
      <c r="O55" s="32">
        <f t="shared" si="73"/>
        <v>25</v>
      </c>
      <c r="P55" s="200">
        <f t="shared" si="73"/>
        <v>13</v>
      </c>
      <c r="Q55" s="32">
        <f t="shared" si="73"/>
        <v>20</v>
      </c>
      <c r="R55" s="200">
        <f t="shared" si="73"/>
        <v>0</v>
      </c>
      <c r="S55" s="32">
        <f t="shared" si="73"/>
        <v>0</v>
      </c>
      <c r="T55" s="200">
        <f t="shared" si="73"/>
        <v>0</v>
      </c>
      <c r="U55" s="32">
        <f t="shared" si="73"/>
        <v>0</v>
      </c>
      <c r="V55" s="200">
        <f t="shared" si="73"/>
        <v>0</v>
      </c>
      <c r="W55" s="32">
        <f t="shared" si="73"/>
        <v>0</v>
      </c>
      <c r="X55" s="200">
        <f t="shared" si="73"/>
        <v>0</v>
      </c>
      <c r="Y55" s="32">
        <f t="shared" si="73"/>
        <v>0</v>
      </c>
      <c r="Z55" s="200">
        <f t="shared" si="73"/>
        <v>0</v>
      </c>
      <c r="AA55" s="32">
        <f t="shared" si="73"/>
        <v>0</v>
      </c>
      <c r="AB55" s="200">
        <f t="shared" si="73"/>
        <v>0</v>
      </c>
      <c r="AC55" s="32">
        <f t="shared" si="73"/>
        <v>0</v>
      </c>
      <c r="AD55" s="213">
        <f>SUM(AD52:AD54)</f>
        <v>0</v>
      </c>
      <c r="AE55" s="114">
        <f t="shared" ref="AE55:AE60" si="74">IFERROR(IF($AD$4="ENERO",F55,IF($AD$4="FEBRERO",F55+H55,IF($AD$4="MARZO",F55+H55+J55,IF($AD$4="ABRIL",F55+H55+J55+L55,IF($AD$4="MAYO",F55+H55+J55+L55+N55,IF($AD$4="JUNIO",F55+H55+J55+L55+N55+P55,IF($AD$4="JULIO",F55+H55+J55+L55+N55+P55+R55,IF($AD$4="AGOSTO",F55+H55+J55+L55+N55+P55+R55+T55,IF($AD$4="SEPTIEMBRE",F55+H55+J55+L55+N55+P55+R55+T55+V55,IF($AD$4="OCTUBRE",F55+H55+J55+L55+N55+P55+R55+T55+V55+X55,IF($AD$4="NOVIEMBRE",F55+H55+J55+L55+N55+P55+R55+T55+V55+X55+Z55,IF($AD$4="DICIEMBRE",F55+H55+J55+L55+N55+P55+R55+T55+V55+X55+Z55+AB55,"")))))))))))),0)</f>
        <v>99</v>
      </c>
      <c r="AF55" s="206">
        <f>SUM(AF39:AF54)</f>
        <v>0</v>
      </c>
      <c r="AG55" s="114">
        <f t="shared" ref="AG55:AG60" si="75">IFERROR(IF($AD$4="ENERO",G55,IF($AD$4="FEBRERO",G55+I55,IF($AD$4="MARZO",G55+I55+K55,IF($AD$4="ABRIL",G55+I55+K55+M55,IF($AD$4="MAYO",G55+I55+K55+M55+O55,IF($AD$4="JUNIO",G55+I55+K55+M55+O55+Q55,IF($AD$4="JULIO",G55+I55+K55+M55+O55+Q55+S55,IF($AD$4="AGOSTO",G55+I55+K55+M55+O55+Q55+S55+U55,IF($AD$4="SEPTIEMBRE",G55+I55+K55+M55+O55+Q55+S55+U55+W55,IF($AD$4="OCTUBRE",G55+I55+K55+M55+O55+Q55+S55+U55+W55+Y55,IF($AD$4="NOVIEMBRE",G55+I55+K55+M55+O55+Q55+S55+U55+W55+Y55+AA55,IF($AD$4="DICIEMBRE",G55+I55+K55+M55+O55+Q55+S55+U55+W55+Y55+AA55+AC55,"")))))))))))),0)</f>
        <v>224</v>
      </c>
      <c r="AH55" s="245">
        <f>SUM(AH49:AH54)</f>
        <v>323</v>
      </c>
      <c r="AI55" s="213">
        <f>SUM(AI39:AI54)</f>
        <v>0</v>
      </c>
      <c r="AJ55" s="114">
        <f t="shared" ref="AJ55:AJ60" si="76">IFERROR(SUM(F55,H55,J55,L55,N55,P55,R55,T55,V55,X55,Z55,AB55),0)</f>
        <v>99</v>
      </c>
      <c r="AK55" s="206">
        <f>SUM(AK39:AK54)</f>
        <v>0</v>
      </c>
      <c r="AL55" s="114">
        <f t="shared" ref="AL55:AL60" si="77">IFERROR(SUM(G55,I55,K55,M55,O55,Q55,S55,U55,W55,Y55,AA55,AC55),0)</f>
        <v>224</v>
      </c>
      <c r="AM55" s="245">
        <f>SUM(AM49:AM54)</f>
        <v>323</v>
      </c>
      <c r="AN55" s="213"/>
      <c r="AO55" s="114">
        <f>SUM(AO39:AO54)</f>
        <v>0</v>
      </c>
      <c r="AP55" s="206">
        <f>SUM(AP39:AP54)</f>
        <v>0</v>
      </c>
      <c r="AQ55" s="115">
        <f>SUM(AQ39:AQ54)</f>
        <v>0</v>
      </c>
      <c r="AR55" s="245">
        <f>SUM(AR49:AR54)</f>
        <v>0</v>
      </c>
      <c r="AS55" s="213"/>
      <c r="AT55" s="114">
        <f t="shared" ref="AT55:AT60" si="78">IFERROR(IF($AS$5="S 1",F55+H55+J55+L55+N55++P55,
IF($AS$5="S 2",R55+T55+V55+X55+Z55+AB55,0)),0)</f>
        <v>99</v>
      </c>
      <c r="AU55" s="206"/>
      <c r="AV55" s="114">
        <f t="shared" ref="AV55:AV60" si="79">IFERROR(IF($AS$5="S 1",G55+I55+K55+M55+O55++Q55,
IF($AS$5="S 2",S55+U55+W55+Y55+AA55+AC55,0)),0)</f>
        <v>224</v>
      </c>
      <c r="AW55" s="245">
        <f>SUM(AW49:AW54)</f>
        <v>323</v>
      </c>
      <c r="AX55" s="4">
        <v>0</v>
      </c>
      <c r="BE55" s="4">
        <v>1</v>
      </c>
      <c r="BM55" s="15"/>
    </row>
    <row r="56" spans="1:65" s="4" customFormat="1" ht="15" customHeight="1" x14ac:dyDescent="0.3">
      <c r="A56" s="4">
        <f>_xlfn.XLOOKUP(B56,'UC BMW 2026'!$B$5:$B$65,'UC BMW 2026'!$A$5:$A$65)</f>
        <v>9</v>
      </c>
      <c r="B56" s="8">
        <v>100734</v>
      </c>
      <c r="C56" s="369" t="s">
        <v>59</v>
      </c>
      <c r="D56" s="8">
        <v>39812</v>
      </c>
      <c r="E56" s="309" t="s">
        <v>95</v>
      </c>
      <c r="F56" s="199">
        <f>IFERROR(VLOOKUP(B56,'[2]COMPRAS UC'!$B$11:$O$66,3,0),0)</f>
        <v>7</v>
      </c>
      <c r="G56" s="23">
        <f>IFERROR(VLOOKUP(B56,'[2]COMPRAS YUC'!$B$10:$P$63,3,0),0)</f>
        <v>2</v>
      </c>
      <c r="H56" s="87">
        <f>IFERROR(VLOOKUP(B56,'[2]COMPRAS UC'!$B$11:$O$66,4,0),0)</f>
        <v>8</v>
      </c>
      <c r="I56" s="23">
        <f>IFERROR(VLOOKUP(B56,'[2]COMPRAS YUC'!$B$10:$P$63,4,0),0)</f>
        <v>7</v>
      </c>
      <c r="J56" s="87">
        <f>IFERROR(VLOOKUP(B56,'[2]COMPRAS UC'!$B$11:$O$66,5,0),0)</f>
        <v>5</v>
      </c>
      <c r="K56" s="23">
        <f>IFERROR(VLOOKUP(B56,'[2]COMPRAS YUC'!$B$10:$P$63,5,0),0)</f>
        <v>3</v>
      </c>
      <c r="L56" s="87">
        <f>IFERROR(VLOOKUP(B56,'[2]COMPRAS UC'!$B$11:$O$66,6,0),0)</f>
        <v>7</v>
      </c>
      <c r="M56" s="23">
        <f>IFERROR(VLOOKUP(B56,'[2]COMPRAS YUC'!$B$10:$P$63,6,0),0)</f>
        <v>5</v>
      </c>
      <c r="N56" s="87">
        <f>IFERROR(VLOOKUP(B56,'[2]COMPRAS UC'!$B$11:$O$66,7,0),0)</f>
        <v>6</v>
      </c>
      <c r="O56" s="23">
        <f>IFERROR(VLOOKUP(B56,'[2]COMPRAS YUC'!$B$10:$P$63,7,0),0)</f>
        <v>7</v>
      </c>
      <c r="P56" s="87">
        <f>IFERROR(VLOOKUP(B56,'[2]COMPRAS UC'!$B$11:$O$66,8,0),0)</f>
        <v>19</v>
      </c>
      <c r="Q56" s="23">
        <f>IFERROR(VLOOKUP(B56,'[2]COMPRAS YUC'!$B$10:$P$63,8,0),0)</f>
        <v>5</v>
      </c>
      <c r="R56" s="87">
        <f>IFERROR(VLOOKUP(B56,'[2]COMPRAS UC'!$B$11:$O$66,9,0),0)</f>
        <v>0</v>
      </c>
      <c r="S56" s="23">
        <f>IFERROR(VLOOKUP(B56,'[2]COMPRAS YUC'!$B$10:$P$63,9,0),0)</f>
        <v>0</v>
      </c>
      <c r="T56" s="87">
        <f>IFERROR(VLOOKUP(B56,'[2]COMPRAS UC'!$B$11:$O$66,10,0),0)</f>
        <v>0</v>
      </c>
      <c r="U56" s="23">
        <f>IFERROR(VLOOKUP(B56,'[2]COMPRAS YUC'!$B$10:$P$63,10,0),0)</f>
        <v>0</v>
      </c>
      <c r="V56" s="87">
        <f>IFERROR(VLOOKUP(B56,'[2]COMPRAS UC'!$B$11:$O$66,11,0),0)</f>
        <v>0</v>
      </c>
      <c r="W56" s="23">
        <f>IFERROR(VLOOKUP(B56,'[2]COMPRAS YUC'!$B$10:$P$63,11,0),0)</f>
        <v>0</v>
      </c>
      <c r="X56" s="87">
        <f>IFERROR(VLOOKUP(B56,'[2]COMPRAS UC'!$B$11:$O$66,12,0),0)</f>
        <v>0</v>
      </c>
      <c r="Y56" s="23">
        <f>IFERROR(VLOOKUP(B56,'[2]COMPRAS YUC'!$B$10:$P$63,12,0),0)</f>
        <v>0</v>
      </c>
      <c r="Z56" s="87">
        <f>IFERROR(VLOOKUP(B56,'[2]COMPRAS UC'!$B$11:$O$66,13,0),0)</f>
        <v>0</v>
      </c>
      <c r="AA56" s="23">
        <f>IFERROR(VLOOKUP(B56,'[2]COMPRAS YUC'!$B$10:$P$63,13,0),0)</f>
        <v>0</v>
      </c>
      <c r="AB56" s="87">
        <f>IFERROR(VLOOKUP(B56,'[2]COMPRAS UC'!$B$11:$O$66,14,0),0)</f>
        <v>0</v>
      </c>
      <c r="AC56" s="23">
        <f>IFERROR(VLOOKUP(B56,'[2]COMPRAS YUC'!$B$10:$P$63,14,0),0)</f>
        <v>0</v>
      </c>
      <c r="AD56" s="211">
        <f>SUMIFS($F56:$AC56,$F$6:$AC$6,AD$6,$F$1:$AC$1,$AD$4)</f>
        <v>0</v>
      </c>
      <c r="AE56" s="111">
        <f t="shared" si="74"/>
        <v>52</v>
      </c>
      <c r="AF56" s="204">
        <f>SUMIFS($F56:$AC56,$F$6:$AC$6,AF$6,$F$1:$AC$1,$AD$4)</f>
        <v>0</v>
      </c>
      <c r="AG56" s="111">
        <f t="shared" si="75"/>
        <v>29</v>
      </c>
      <c r="AH56" s="229">
        <f>IFERROR(AE56+AG56,0)</f>
        <v>81</v>
      </c>
      <c r="AI56" s="211">
        <f>SUMIFS($F56:$AC56,$F$6:$AC$6,AI$6,$F$2:$AC$2,$AD$4)</f>
        <v>0</v>
      </c>
      <c r="AJ56" s="111">
        <f t="shared" si="76"/>
        <v>52</v>
      </c>
      <c r="AK56" s="204">
        <f>SUMIFS($F56:$AC56,$F$6:$AC$6,AK$6,$F$2:$AC$2,$AD$4)</f>
        <v>0</v>
      </c>
      <c r="AL56" s="111">
        <f t="shared" si="77"/>
        <v>29</v>
      </c>
      <c r="AM56" s="229">
        <f>AJ56+AL56</f>
        <v>81</v>
      </c>
      <c r="AN56" s="211"/>
      <c r="AO56" s="111">
        <f>IF($AN$5="Q1",F56+H56+J56,
IF($AN$5="Q2",L56+N56++P56,
IF($AN$5="Q3",R56+T56+V56,
IF($AN$5="Q4",X56+Z56+AB56,0))))</f>
        <v>0</v>
      </c>
      <c r="AP56" s="204"/>
      <c r="AQ56" s="113">
        <f>IF($AN$5="Q1",G56+I56+K56,
IF($AN$5="Q2",M56+O56++Q56,
IF($AN$5="Q3",S56+U56+W56,
IF($AN$5="Q4",Y56+AA56+AC56,0))))</f>
        <v>0</v>
      </c>
      <c r="AR56" s="229">
        <f>AO56+AQ56</f>
        <v>0</v>
      </c>
      <c r="AS56" s="211"/>
      <c r="AT56" s="111">
        <f t="shared" si="78"/>
        <v>52</v>
      </c>
      <c r="AU56" s="204"/>
      <c r="AV56" s="111">
        <f t="shared" si="79"/>
        <v>29</v>
      </c>
      <c r="AW56" s="229">
        <f>AT56+AV56</f>
        <v>81</v>
      </c>
      <c r="AX56" s="4">
        <v>1</v>
      </c>
      <c r="BE56" s="4">
        <v>1</v>
      </c>
      <c r="BM56" s="15">
        <f>SUM(L56:Q56)</f>
        <v>49</v>
      </c>
    </row>
    <row r="57" spans="1:65" s="4" customFormat="1" ht="15" customHeight="1" x14ac:dyDescent="0.3">
      <c r="A57" s="4">
        <f>_xlfn.XLOOKUP(B57,'UC BMW 2026'!$B$5:$B$65,'UC BMW 2026'!$A$5:$A$65)</f>
        <v>9</v>
      </c>
      <c r="B57" s="8">
        <v>100311</v>
      </c>
      <c r="C57" s="369" t="s">
        <v>12</v>
      </c>
      <c r="D57" s="8">
        <v>20839</v>
      </c>
      <c r="E57" s="309" t="s">
        <v>201</v>
      </c>
      <c r="F57" s="199">
        <f>IFERROR(VLOOKUP(B57,'[2]COMPRAS UC'!$B$11:$O$66,3,0),0)</f>
        <v>0</v>
      </c>
      <c r="G57" s="23">
        <f>IFERROR(VLOOKUP(B57,'[2]COMPRAS YUC'!$B$10:$P$63,3,0),0)</f>
        <v>1</v>
      </c>
      <c r="H57" s="87">
        <f>IFERROR(VLOOKUP(B57,'[2]COMPRAS UC'!$B$11:$O$66,4,0),0)</f>
        <v>1</v>
      </c>
      <c r="I57" s="23">
        <f>IFERROR(VLOOKUP(B57,'[2]COMPRAS YUC'!$B$10:$P$63,4,0),0)</f>
        <v>5</v>
      </c>
      <c r="J57" s="87">
        <f>IFERROR(VLOOKUP(B57,'[2]COMPRAS UC'!$B$11:$O$66,5,0),0)</f>
        <v>0</v>
      </c>
      <c r="K57" s="23">
        <f>IFERROR(VLOOKUP(B57,'[2]COMPRAS YUC'!$B$10:$P$63,5,0),0)</f>
        <v>2</v>
      </c>
      <c r="L57" s="87">
        <f>IFERROR(VLOOKUP(B57,'[2]COMPRAS UC'!$B$11:$O$66,6,0),0)</f>
        <v>0</v>
      </c>
      <c r="M57" s="23">
        <f>IFERROR(VLOOKUP(B57,'[2]COMPRAS YUC'!$B$10:$P$63,6,0),0)</f>
        <v>6</v>
      </c>
      <c r="N57" s="87">
        <f>IFERROR(VLOOKUP(B57,'[2]COMPRAS UC'!$B$11:$O$66,7,0),0)</f>
        <v>2</v>
      </c>
      <c r="O57" s="23">
        <f>IFERROR(VLOOKUP(B57,'[2]COMPRAS YUC'!$B$10:$P$63,7,0),0)</f>
        <v>11</v>
      </c>
      <c r="P57" s="87">
        <f>IFERROR(VLOOKUP(B57,'[2]COMPRAS UC'!$B$11:$O$66,8,0),0)</f>
        <v>0</v>
      </c>
      <c r="Q57" s="23">
        <f>IFERROR(VLOOKUP(B57,'[2]COMPRAS YUC'!$B$10:$P$63,8,0),0)</f>
        <v>0</v>
      </c>
      <c r="R57" s="87">
        <f>IFERROR(VLOOKUP(B57,'[2]COMPRAS UC'!$B$11:$O$66,9,0),0)</f>
        <v>0</v>
      </c>
      <c r="S57" s="23">
        <f>IFERROR(VLOOKUP(B57,'[2]COMPRAS YUC'!$B$10:$P$63,9,0),0)</f>
        <v>0</v>
      </c>
      <c r="T57" s="87">
        <f>IFERROR(VLOOKUP(B57,'[2]COMPRAS UC'!$B$11:$O$66,10,0),0)</f>
        <v>0</v>
      </c>
      <c r="U57" s="23">
        <f>IFERROR(VLOOKUP(B57,'[2]COMPRAS YUC'!$B$10:$P$63,10,0),0)</f>
        <v>0</v>
      </c>
      <c r="V57" s="87">
        <f>IFERROR(VLOOKUP(B57,'[2]COMPRAS UC'!$B$11:$O$66,11,0),0)</f>
        <v>0</v>
      </c>
      <c r="W57" s="23">
        <f>IFERROR(VLOOKUP(B57,'[2]COMPRAS YUC'!$B$10:$P$63,11,0),0)</f>
        <v>0</v>
      </c>
      <c r="X57" s="87">
        <f>IFERROR(VLOOKUP(B57,'[2]COMPRAS UC'!$B$11:$O$66,12,0),0)</f>
        <v>0</v>
      </c>
      <c r="Y57" s="23">
        <f>IFERROR(VLOOKUP(B57,'[2]COMPRAS YUC'!$B$10:$P$63,12,0),0)</f>
        <v>0</v>
      </c>
      <c r="Z57" s="87">
        <f>IFERROR(VLOOKUP(B57,'[2]COMPRAS UC'!$B$11:$O$66,13,0),0)</f>
        <v>0</v>
      </c>
      <c r="AA57" s="23">
        <f>IFERROR(VLOOKUP(B57,'[2]COMPRAS YUC'!$B$10:$P$63,13,0),0)</f>
        <v>0</v>
      </c>
      <c r="AB57" s="87">
        <f>IFERROR(VLOOKUP(B57,'[2]COMPRAS UC'!$B$11:$O$66,14,0),0)</f>
        <v>0</v>
      </c>
      <c r="AC57" s="23">
        <f>IFERROR(VLOOKUP(B57,'[2]COMPRAS YUC'!$B$10:$P$63,14,0),0)</f>
        <v>0</v>
      </c>
      <c r="AD57" s="211">
        <f>SUMIFS($F57:$AC57,$F$6:$AC$6,AD$6,$F$1:$AC$1,$AD$4)</f>
        <v>0</v>
      </c>
      <c r="AE57" s="111">
        <f t="shared" si="74"/>
        <v>3</v>
      </c>
      <c r="AF57" s="204">
        <f>SUMIFS($F57:$AC57,$F$6:$AC$6,AF$6,$F$1:$AC$1,$AD$4)</f>
        <v>0</v>
      </c>
      <c r="AG57" s="111">
        <f t="shared" si="75"/>
        <v>25</v>
      </c>
      <c r="AH57" s="229">
        <f>IFERROR(AE57+AG57,0)</f>
        <v>28</v>
      </c>
      <c r="AI57" s="211">
        <f>SUMIFS($F57:$AC57,$F$6:$AC$6,AI$6,$F$2:$AC$2,$AD$4)</f>
        <v>0</v>
      </c>
      <c r="AJ57" s="111">
        <f t="shared" si="76"/>
        <v>3</v>
      </c>
      <c r="AK57" s="204">
        <f>SUMIFS($F57:$AC57,$F$6:$AC$6,AK$6,$F$2:$AC$2,$AD$4)</f>
        <v>0</v>
      </c>
      <c r="AL57" s="111">
        <f t="shared" si="77"/>
        <v>25</v>
      </c>
      <c r="AM57" s="229">
        <f>AJ57+AL57</f>
        <v>28</v>
      </c>
      <c r="AN57" s="211"/>
      <c r="AO57" s="111">
        <f>IF($AN$5="Q1",F57+H57+J57,
IF($AN$5="Q2",L57+N57++P57,
IF($AN$5="Q3",R57+T57+V57,
IF($AN$5="Q4",X57+Z57+AB57,0))))</f>
        <v>0</v>
      </c>
      <c r="AP57" s="204"/>
      <c r="AQ57" s="113">
        <f>IF($AN$5="Q1",G57+I57+K57,
IF($AN$5="Q2",M57+O57++Q57,
IF($AN$5="Q3",S57+U57+W57,
IF($AN$5="Q4",Y57+AA57+AC57,0))))</f>
        <v>0</v>
      </c>
      <c r="AR57" s="229">
        <f>AO57+AQ57</f>
        <v>0</v>
      </c>
      <c r="AS57" s="211"/>
      <c r="AT57" s="111">
        <f t="shared" si="78"/>
        <v>3</v>
      </c>
      <c r="AU57" s="204"/>
      <c r="AV57" s="111">
        <f t="shared" si="79"/>
        <v>25</v>
      </c>
      <c r="AW57" s="229">
        <f>AT57+AV57</f>
        <v>28</v>
      </c>
      <c r="AX57" s="4">
        <v>1</v>
      </c>
      <c r="BE57" s="4">
        <v>0</v>
      </c>
      <c r="BM57" s="15">
        <f>SUM(L57:Q57)</f>
        <v>19</v>
      </c>
    </row>
    <row r="58" spans="1:65" s="14" customFormat="1" ht="15" customHeight="1" x14ac:dyDescent="0.3">
      <c r="A58" s="4">
        <f>_xlfn.XLOOKUP(B58,'UC BMW 2026'!$B$5:$B$65,'UC BMW 2026'!$A$5:$A$65)</f>
        <v>9</v>
      </c>
      <c r="B58" s="13">
        <v>100393</v>
      </c>
      <c r="C58" s="374" t="s">
        <v>75</v>
      </c>
      <c r="D58" s="8">
        <v>20839</v>
      </c>
      <c r="E58" s="309" t="s">
        <v>201</v>
      </c>
      <c r="F58" s="199">
        <f>IFERROR(VLOOKUP(B58,'[2]COMPRAS UC'!$B$11:$O$66,3,0),0)</f>
        <v>0</v>
      </c>
      <c r="G58" s="23">
        <f>IFERROR(VLOOKUP(B58,'[2]COMPRAS YUC'!$B$10:$P$63,3,0),0)</f>
        <v>2</v>
      </c>
      <c r="H58" s="87">
        <f>IFERROR(VLOOKUP(B58,'[2]COMPRAS UC'!$B$11:$O$66,4,0),0)</f>
        <v>0</v>
      </c>
      <c r="I58" s="23">
        <f>IFERROR(VLOOKUP(B58,'[2]COMPRAS YUC'!$B$10:$P$63,4,0),0)</f>
        <v>0</v>
      </c>
      <c r="J58" s="87">
        <f>IFERROR(VLOOKUP(B58,'[2]COMPRAS UC'!$B$11:$O$66,5,0),0)</f>
        <v>0</v>
      </c>
      <c r="K58" s="23">
        <f>IFERROR(VLOOKUP(B58,'[2]COMPRAS YUC'!$B$10:$P$63,5,0),0)</f>
        <v>0</v>
      </c>
      <c r="L58" s="87">
        <f>IFERROR(VLOOKUP(B58,'[2]COMPRAS UC'!$B$11:$O$66,6,0),0)</f>
        <v>0</v>
      </c>
      <c r="M58" s="23">
        <f>IFERROR(VLOOKUP(B58,'[2]COMPRAS YUC'!$B$10:$P$63,6,0),0)</f>
        <v>2</v>
      </c>
      <c r="N58" s="87">
        <f>IFERROR(VLOOKUP(B58,'[2]COMPRAS UC'!$B$11:$O$66,7,0),0)</f>
        <v>0</v>
      </c>
      <c r="O58" s="23">
        <f>IFERROR(VLOOKUP(B58,'[2]COMPRAS YUC'!$B$10:$P$63,7,0),0)</f>
        <v>8</v>
      </c>
      <c r="P58" s="87">
        <f>IFERROR(VLOOKUP(B58,'[2]COMPRAS UC'!$B$11:$O$66,8,0),0)</f>
        <v>0</v>
      </c>
      <c r="Q58" s="23">
        <f>IFERROR(VLOOKUP(B58,'[2]COMPRAS YUC'!$B$10:$P$63,8,0),0)</f>
        <v>0</v>
      </c>
      <c r="R58" s="87">
        <f>IFERROR(VLOOKUP(B58,'[2]COMPRAS UC'!$B$11:$O$66,9,0),0)</f>
        <v>0</v>
      </c>
      <c r="S58" s="23">
        <f>IFERROR(VLOOKUP(B58,'[2]COMPRAS YUC'!$B$10:$P$63,9,0),0)</f>
        <v>0</v>
      </c>
      <c r="T58" s="87">
        <f>IFERROR(VLOOKUP(B58,'[2]COMPRAS UC'!$B$11:$O$66,10,0),0)</f>
        <v>0</v>
      </c>
      <c r="U58" s="23">
        <f>IFERROR(VLOOKUP(B58,'[2]COMPRAS YUC'!$B$10:$P$63,10,0),0)</f>
        <v>0</v>
      </c>
      <c r="V58" s="87">
        <f>IFERROR(VLOOKUP(B58,'[2]COMPRAS UC'!$B$11:$O$66,11,0),0)</f>
        <v>0</v>
      </c>
      <c r="W58" s="23">
        <f>IFERROR(VLOOKUP(B58,'[2]COMPRAS YUC'!$B$10:$P$63,11,0),0)</f>
        <v>0</v>
      </c>
      <c r="X58" s="87">
        <f>IFERROR(VLOOKUP(B58,'[2]COMPRAS UC'!$B$11:$O$66,12,0),0)</f>
        <v>0</v>
      </c>
      <c r="Y58" s="23">
        <f>IFERROR(VLOOKUP(B58,'[2]COMPRAS YUC'!$B$10:$P$63,12,0),0)</f>
        <v>0</v>
      </c>
      <c r="Z58" s="87">
        <f>IFERROR(VLOOKUP(B58,'[2]COMPRAS UC'!$B$11:$O$66,13,0),0)</f>
        <v>0</v>
      </c>
      <c r="AA58" s="23">
        <f>IFERROR(VLOOKUP(B58,'[2]COMPRAS YUC'!$B$10:$P$63,13,0),0)</f>
        <v>0</v>
      </c>
      <c r="AB58" s="87">
        <f>IFERROR(VLOOKUP(B58,'[2]COMPRAS UC'!$B$11:$O$66,14,0),0)</f>
        <v>0</v>
      </c>
      <c r="AC58" s="23">
        <f>IFERROR(VLOOKUP(B58,'[2]COMPRAS YUC'!$B$10:$P$63,14,0),0)</f>
        <v>0</v>
      </c>
      <c r="AD58" s="211">
        <f>SUMIFS($F58:$AC58,$F$6:$AC$6,AD$6,$F$1:$AC$1,$AD$4)</f>
        <v>0</v>
      </c>
      <c r="AE58" s="111">
        <f t="shared" si="74"/>
        <v>0</v>
      </c>
      <c r="AF58" s="204">
        <f>SUMIFS($F58:$AC58,$F$6:$AC$6,AF$6,$F$1:$AC$1,$AD$4)</f>
        <v>0</v>
      </c>
      <c r="AG58" s="111">
        <f t="shared" si="75"/>
        <v>12</v>
      </c>
      <c r="AH58" s="229">
        <f>IFERROR(AE58+AG58,0)</f>
        <v>12</v>
      </c>
      <c r="AI58" s="211">
        <f>SUMIFS($F58:$AC58,$F$6:$AC$6,AI$6,$F$2:$AC$2,$AD$4)</f>
        <v>0</v>
      </c>
      <c r="AJ58" s="111">
        <f t="shared" si="76"/>
        <v>0</v>
      </c>
      <c r="AK58" s="204">
        <f>SUMIFS($F58:$AC58,$F$6:$AC$6,AK$6,$F$2:$AC$2,$AD$4)</f>
        <v>0</v>
      </c>
      <c r="AL58" s="111">
        <f t="shared" si="77"/>
        <v>12</v>
      </c>
      <c r="AM58" s="229">
        <f>AJ58+AL58</f>
        <v>12</v>
      </c>
      <c r="AN58" s="211"/>
      <c r="AO58" s="111">
        <f>IF($AN$5="Q1",F58+H58+J58,
IF($AN$5="Q2",L58+N58++P58,
IF($AN$5="Q3",R58+T58+V58,
IF($AN$5="Q4",X58+Z58+AB58,0))))</f>
        <v>0</v>
      </c>
      <c r="AP58" s="204"/>
      <c r="AQ58" s="113">
        <f>IF($AN$5="Q1",G58+I58+K58,
IF($AN$5="Q2",M58+O58++Q58,
IF($AN$5="Q3",S58+U58+W58,
IF($AN$5="Q4",Y58+AA58+AC58,0))))</f>
        <v>0</v>
      </c>
      <c r="AR58" s="229">
        <f>AO58+AQ58</f>
        <v>0</v>
      </c>
      <c r="AS58" s="211"/>
      <c r="AT58" s="111">
        <f t="shared" si="78"/>
        <v>0</v>
      </c>
      <c r="AU58" s="204"/>
      <c r="AV58" s="111">
        <f t="shared" si="79"/>
        <v>12</v>
      </c>
      <c r="AW58" s="229">
        <f>AT58+AV58</f>
        <v>12</v>
      </c>
      <c r="AX58" s="4">
        <v>1</v>
      </c>
      <c r="BE58" s="14">
        <v>0</v>
      </c>
      <c r="BM58" s="15">
        <f>SUM(L58:Q58)</f>
        <v>10</v>
      </c>
    </row>
    <row r="59" spans="1:65" s="4" customFormat="1" ht="15" customHeight="1" x14ac:dyDescent="0.3">
      <c r="A59" s="4">
        <f>_xlfn.XLOOKUP(B59,'UC BMW 2026'!$B$5:$B$65,'UC BMW 2026'!$A$5:$A$65)</f>
        <v>9</v>
      </c>
      <c r="B59" s="8">
        <v>100586</v>
      </c>
      <c r="C59" s="369" t="s">
        <v>67</v>
      </c>
      <c r="D59" s="8">
        <v>34945</v>
      </c>
      <c r="E59" s="309" t="s">
        <v>98</v>
      </c>
      <c r="F59" s="199">
        <f>IFERROR(VLOOKUP(B59,'[2]COMPRAS UC'!$B$11:$O$66,3,0),0)</f>
        <v>7</v>
      </c>
      <c r="G59" s="23">
        <f>IFERROR(VLOOKUP(B59,'[2]COMPRAS YUC'!$B$10:$P$63,3,0),0)</f>
        <v>45</v>
      </c>
      <c r="H59" s="87">
        <f>IFERROR(VLOOKUP(B59,'[2]COMPRAS UC'!$B$11:$O$66,4,0),0)</f>
        <v>20</v>
      </c>
      <c r="I59" s="23">
        <f>IFERROR(VLOOKUP(B59,'[2]COMPRAS YUC'!$B$10:$P$63,4,0),0)</f>
        <v>32</v>
      </c>
      <c r="J59" s="87">
        <f>IFERROR(VLOOKUP(B59,'[2]COMPRAS UC'!$B$11:$O$66,5,0),0)</f>
        <v>21</v>
      </c>
      <c r="K59" s="23">
        <f>IFERROR(VLOOKUP(B59,'[2]COMPRAS YUC'!$B$10:$P$63,5,0),0)</f>
        <v>60</v>
      </c>
      <c r="L59" s="87">
        <f>IFERROR(VLOOKUP(B59,'[2]COMPRAS UC'!$B$11:$O$66,6,0),0)</f>
        <v>29</v>
      </c>
      <c r="M59" s="23">
        <f>IFERROR(VLOOKUP(B59,'[2]COMPRAS YUC'!$B$10:$P$63,6,0),0)</f>
        <v>39</v>
      </c>
      <c r="N59" s="87">
        <f>IFERROR(VLOOKUP(B59,'[2]COMPRAS UC'!$B$11:$O$66,7,0),0)</f>
        <v>17</v>
      </c>
      <c r="O59" s="23">
        <f>IFERROR(VLOOKUP(B59,'[2]COMPRAS YUC'!$B$10:$P$63,7,0),0)</f>
        <v>10</v>
      </c>
      <c r="P59" s="87">
        <f>IFERROR(VLOOKUP(B59,'[2]COMPRAS UC'!$B$11:$O$66,8,0),0)</f>
        <v>18</v>
      </c>
      <c r="Q59" s="23">
        <f>IFERROR(VLOOKUP(B59,'[2]COMPRAS YUC'!$B$10:$P$63,8,0),0)</f>
        <v>23</v>
      </c>
      <c r="R59" s="87">
        <f>IFERROR(VLOOKUP(B59,'[2]COMPRAS UC'!$B$11:$O$66,9,0),0)</f>
        <v>0</v>
      </c>
      <c r="S59" s="23">
        <f>IFERROR(VLOOKUP(B59,'[2]COMPRAS YUC'!$B$10:$P$63,9,0),0)</f>
        <v>0</v>
      </c>
      <c r="T59" s="87">
        <f>IFERROR(VLOOKUP(B59,'[2]COMPRAS UC'!$B$11:$O$66,10,0),0)</f>
        <v>0</v>
      </c>
      <c r="U59" s="23">
        <f>IFERROR(VLOOKUP(B59,'[2]COMPRAS YUC'!$B$10:$P$63,10,0),0)</f>
        <v>0</v>
      </c>
      <c r="V59" s="87">
        <f>IFERROR(VLOOKUP(B59,'[2]COMPRAS UC'!$B$11:$O$66,11,0),0)</f>
        <v>0</v>
      </c>
      <c r="W59" s="23">
        <f>IFERROR(VLOOKUP(B59,'[2]COMPRAS YUC'!$B$10:$P$63,11,0),0)</f>
        <v>0</v>
      </c>
      <c r="X59" s="87">
        <f>IFERROR(VLOOKUP(B59,'[2]COMPRAS UC'!$B$11:$O$66,12,0),0)</f>
        <v>0</v>
      </c>
      <c r="Y59" s="23">
        <f>IFERROR(VLOOKUP(B59,'[2]COMPRAS YUC'!$B$10:$P$63,12,0),0)</f>
        <v>0</v>
      </c>
      <c r="Z59" s="87">
        <f>IFERROR(VLOOKUP(B59,'[2]COMPRAS UC'!$B$11:$O$66,13,0),0)</f>
        <v>0</v>
      </c>
      <c r="AA59" s="23">
        <f>IFERROR(VLOOKUP(B59,'[2]COMPRAS YUC'!$B$10:$P$63,13,0),0)</f>
        <v>0</v>
      </c>
      <c r="AB59" s="87">
        <f>IFERROR(VLOOKUP(B59,'[2]COMPRAS UC'!$B$11:$O$66,14,0),0)</f>
        <v>0</v>
      </c>
      <c r="AC59" s="23">
        <f>IFERROR(VLOOKUP(B59,'[2]COMPRAS YUC'!$B$10:$P$63,14,0),0)</f>
        <v>0</v>
      </c>
      <c r="AD59" s="211">
        <f>SUMIFS($F59:$AC59,$F$6:$AC$6,AD$6,$F$1:$AC$1,$AD$4)</f>
        <v>0</v>
      </c>
      <c r="AE59" s="111">
        <f t="shared" si="74"/>
        <v>112</v>
      </c>
      <c r="AF59" s="204">
        <f>SUMIFS($F59:$AC59,$F$6:$AC$6,AF$6,$F$1:$AC$1,$AD$4)</f>
        <v>0</v>
      </c>
      <c r="AG59" s="111">
        <f t="shared" si="75"/>
        <v>209</v>
      </c>
      <c r="AH59" s="229">
        <f>IFERROR(AE59+AG59,0)</f>
        <v>321</v>
      </c>
      <c r="AI59" s="211">
        <f>SUMIFS($F59:$AC59,$F$6:$AC$6,AI$6,$F$2:$AC$2,$AD$4)</f>
        <v>0</v>
      </c>
      <c r="AJ59" s="111">
        <f t="shared" si="76"/>
        <v>112</v>
      </c>
      <c r="AK59" s="204">
        <f>SUMIFS($F59:$AC59,$F$6:$AC$6,AK$6,$F$2:$AC$2,$AD$4)</f>
        <v>0</v>
      </c>
      <c r="AL59" s="111">
        <f t="shared" si="77"/>
        <v>209</v>
      </c>
      <c r="AM59" s="229">
        <f>AJ59+AL59</f>
        <v>321</v>
      </c>
      <c r="AN59" s="211"/>
      <c r="AO59" s="111">
        <f>IF($AN$5="Q1",F59+H59+J59,
IF($AN$5="Q2",L59+N59++P59,
IF($AN$5="Q3",R59+T59+V59,
IF($AN$5="Q4",X59+Z59+AB59,0))))</f>
        <v>0</v>
      </c>
      <c r="AP59" s="204"/>
      <c r="AQ59" s="113">
        <f>IF($AN$5="Q1",G59+I59+K59,
IF($AN$5="Q2",M59+O59++Q59,
IF($AN$5="Q3",S59+U59+W59,
IF($AN$5="Q4",Y59+AA59+AC59,0))))</f>
        <v>0</v>
      </c>
      <c r="AR59" s="229">
        <f>AO59+AQ59</f>
        <v>0</v>
      </c>
      <c r="AS59" s="211"/>
      <c r="AT59" s="111">
        <f t="shared" si="78"/>
        <v>112</v>
      </c>
      <c r="AU59" s="204"/>
      <c r="AV59" s="111">
        <f t="shared" si="79"/>
        <v>209</v>
      </c>
      <c r="AW59" s="229">
        <f>AT59+AV59</f>
        <v>321</v>
      </c>
      <c r="AX59" s="4">
        <v>1</v>
      </c>
      <c r="BE59" s="4">
        <v>0</v>
      </c>
      <c r="BM59" s="15">
        <f>SUM(L59:Q59)</f>
        <v>136</v>
      </c>
    </row>
    <row r="60" spans="1:65" s="4" customFormat="1" ht="15" customHeight="1" thickBot="1" x14ac:dyDescent="0.35">
      <c r="A60" s="4">
        <f>_xlfn.XLOOKUP(B60,'UC BMW 2026'!$B$5:$B$65,'UC BMW 2026'!$A$5:$A$65)</f>
        <v>9</v>
      </c>
      <c r="B60" s="36">
        <v>100813</v>
      </c>
      <c r="C60" s="375" t="s">
        <v>68</v>
      </c>
      <c r="D60" s="8">
        <v>34945</v>
      </c>
      <c r="E60" s="309" t="s">
        <v>98</v>
      </c>
      <c r="F60" s="199">
        <f>IFERROR(VLOOKUP(B60,'[2]COMPRAS UC'!$B$11:$O$66,3,0),0)</f>
        <v>0</v>
      </c>
      <c r="G60" s="23">
        <f>IFERROR(VLOOKUP(B60,'[2]COMPRAS YUC'!$B$10:$P$63,3,0),0)</f>
        <v>20</v>
      </c>
      <c r="H60" s="87">
        <f>IFERROR(VLOOKUP(B60,'[2]COMPRAS UC'!$B$11:$O$66,4,0),0)</f>
        <v>0</v>
      </c>
      <c r="I60" s="23">
        <f>IFERROR(VLOOKUP(B60,'[2]COMPRAS YUC'!$B$10:$P$63,4,0),0)</f>
        <v>4</v>
      </c>
      <c r="J60" s="87">
        <f>IFERROR(VLOOKUP(B60,'[2]COMPRAS UC'!$B$11:$O$66,5,0),0)</f>
        <v>1</v>
      </c>
      <c r="K60" s="23">
        <f>IFERROR(VLOOKUP(B60,'[2]COMPRAS YUC'!$B$10:$P$63,5,0),0)</f>
        <v>15</v>
      </c>
      <c r="L60" s="87">
        <f>IFERROR(VLOOKUP(B60,'[2]COMPRAS UC'!$B$11:$O$66,6,0),0)</f>
        <v>0</v>
      </c>
      <c r="M60" s="23">
        <f>IFERROR(VLOOKUP(B60,'[2]COMPRAS YUC'!$B$10:$P$63,6,0),0)</f>
        <v>3</v>
      </c>
      <c r="N60" s="87">
        <f>IFERROR(VLOOKUP(B60,'[2]COMPRAS UC'!$B$11:$O$66,7,0),0)</f>
        <v>0</v>
      </c>
      <c r="O60" s="23">
        <f>IFERROR(VLOOKUP(B60,'[2]COMPRAS YUC'!$B$10:$P$63,7,0),0)</f>
        <v>12</v>
      </c>
      <c r="P60" s="87">
        <f>IFERROR(VLOOKUP(B60,'[2]COMPRAS UC'!$B$11:$O$66,8,0),0)</f>
        <v>0</v>
      </c>
      <c r="Q60" s="23">
        <f>IFERROR(VLOOKUP(B60,'[2]COMPRAS YUC'!$B$10:$P$63,8,0),0)</f>
        <v>3</v>
      </c>
      <c r="R60" s="87">
        <f>IFERROR(VLOOKUP(B60,'[2]COMPRAS UC'!$B$11:$O$66,9,0),0)</f>
        <v>0</v>
      </c>
      <c r="S60" s="23">
        <f>IFERROR(VLOOKUP(B60,'[2]COMPRAS YUC'!$B$10:$P$63,9,0),0)</f>
        <v>0</v>
      </c>
      <c r="T60" s="87">
        <f>IFERROR(VLOOKUP(B60,'[2]COMPRAS UC'!$B$11:$O$66,10,0),0)</f>
        <v>0</v>
      </c>
      <c r="U60" s="23">
        <f>IFERROR(VLOOKUP(B60,'[2]COMPRAS YUC'!$B$10:$P$63,10,0),0)</f>
        <v>0</v>
      </c>
      <c r="V60" s="87">
        <f>IFERROR(VLOOKUP(B60,'[2]COMPRAS UC'!$B$11:$O$66,11,0),0)</f>
        <v>0</v>
      </c>
      <c r="W60" s="23">
        <f>IFERROR(VLOOKUP(B60,'[2]COMPRAS YUC'!$B$10:$P$63,11,0),0)</f>
        <v>0</v>
      </c>
      <c r="X60" s="87">
        <f>IFERROR(VLOOKUP(B60,'[2]COMPRAS UC'!$B$11:$O$66,12,0),0)</f>
        <v>0</v>
      </c>
      <c r="Y60" s="23">
        <f>IFERROR(VLOOKUP(B60,'[2]COMPRAS YUC'!$B$10:$P$63,12,0),0)</f>
        <v>0</v>
      </c>
      <c r="Z60" s="87">
        <f>IFERROR(VLOOKUP(B60,'[2]COMPRAS UC'!$B$11:$O$66,13,0),0)</f>
        <v>0</v>
      </c>
      <c r="AA60" s="23">
        <f>IFERROR(VLOOKUP(B60,'[2]COMPRAS YUC'!$B$10:$P$63,13,0),0)</f>
        <v>0</v>
      </c>
      <c r="AB60" s="87">
        <f>IFERROR(VLOOKUP(B60,'[2]COMPRAS UC'!$B$11:$O$66,14,0),0)</f>
        <v>0</v>
      </c>
      <c r="AC60" s="23">
        <f>IFERROR(VLOOKUP(B60,'[2]COMPRAS YUC'!$B$10:$P$63,14,0),0)</f>
        <v>0</v>
      </c>
      <c r="AD60" s="211">
        <f>SUMIFS($F60:$AC60,$F$6:$AC$6,AD$6,$F$1:$AC$1,$AD$4)</f>
        <v>0</v>
      </c>
      <c r="AE60" s="111">
        <f t="shared" si="74"/>
        <v>1</v>
      </c>
      <c r="AF60" s="204">
        <f>SUMIFS($F60:$AC60,$F$6:$AC$6,AF$6,$F$1:$AC$1,$AD$4)</f>
        <v>0</v>
      </c>
      <c r="AG60" s="111">
        <f t="shared" si="75"/>
        <v>57</v>
      </c>
      <c r="AH60" s="229">
        <f>IFERROR(AE60+AG60,0)</f>
        <v>58</v>
      </c>
      <c r="AI60" s="211">
        <f>SUMIFS($F60:$AC60,$F$6:$AC$6,AI$6,$F$2:$AC$2,$AD$4)</f>
        <v>0</v>
      </c>
      <c r="AJ60" s="111">
        <f t="shared" si="76"/>
        <v>1</v>
      </c>
      <c r="AK60" s="204">
        <f>SUMIFS($F60:$AC60,$F$6:$AC$6,AK$6,$F$2:$AC$2,$AD$4)</f>
        <v>0</v>
      </c>
      <c r="AL60" s="111">
        <f t="shared" si="77"/>
        <v>57</v>
      </c>
      <c r="AM60" s="229">
        <f>AJ60+AL60</f>
        <v>58</v>
      </c>
      <c r="AN60" s="211"/>
      <c r="AO60" s="111">
        <f>IF($AN$5="Q1",F60+H60+J60,
IF($AN$5="Q2",L60+N60++P60,
IF($AN$5="Q3",R60+T60+V60,
IF($AN$5="Q4",X60+Z60+AB60,0))))</f>
        <v>0</v>
      </c>
      <c r="AP60" s="204"/>
      <c r="AQ60" s="113">
        <f>IF($AN$5="Q1",G60+I60+K60,
IF($AN$5="Q2",M60+O60++Q60,
IF($AN$5="Q3",S60+U60+W60,
IF($AN$5="Q4",Y60+AA60+AC60,0))))</f>
        <v>0</v>
      </c>
      <c r="AR60" s="229">
        <f>AO60+AQ60</f>
        <v>0</v>
      </c>
      <c r="AS60" s="211"/>
      <c r="AT60" s="111">
        <f t="shared" si="78"/>
        <v>1</v>
      </c>
      <c r="AU60" s="204"/>
      <c r="AV60" s="111">
        <f t="shared" si="79"/>
        <v>57</v>
      </c>
      <c r="AW60" s="229">
        <f>AT60+AV60</f>
        <v>58</v>
      </c>
      <c r="AX60" s="4">
        <v>1</v>
      </c>
      <c r="BM60" s="15">
        <f>SUM(L60:Q60)</f>
        <v>18</v>
      </c>
    </row>
    <row r="61" spans="1:65" s="4" customFormat="1" ht="15" customHeight="1" thickBot="1" x14ac:dyDescent="0.35">
      <c r="A61" s="4">
        <f>_xlfn.XLOOKUP(B61,'UC BMW 2026'!$B$5:$B$65,'UC BMW 2026'!$A$5:$A$65)</f>
        <v>0</v>
      </c>
      <c r="B61" s="7" t="s">
        <v>271</v>
      </c>
      <c r="C61" s="28"/>
      <c r="D61" s="29"/>
      <c r="E61" s="7"/>
      <c r="F61" s="200">
        <f t="shared" ref="F61:AC61" si="80">SUM(F56:F60)</f>
        <v>14</v>
      </c>
      <c r="G61" s="32">
        <f t="shared" si="80"/>
        <v>70</v>
      </c>
      <c r="H61" s="200">
        <f t="shared" si="80"/>
        <v>29</v>
      </c>
      <c r="I61" s="32">
        <f t="shared" si="80"/>
        <v>48</v>
      </c>
      <c r="J61" s="200">
        <f t="shared" si="80"/>
        <v>27</v>
      </c>
      <c r="K61" s="32">
        <f>SUM(K56:K60)</f>
        <v>80</v>
      </c>
      <c r="L61" s="200">
        <f t="shared" si="80"/>
        <v>36</v>
      </c>
      <c r="M61" s="32">
        <f t="shared" si="80"/>
        <v>55</v>
      </c>
      <c r="N61" s="200">
        <f t="shared" si="80"/>
        <v>25</v>
      </c>
      <c r="O61" s="32">
        <f t="shared" si="80"/>
        <v>48</v>
      </c>
      <c r="P61" s="200">
        <f t="shared" si="80"/>
        <v>37</v>
      </c>
      <c r="Q61" s="32">
        <f t="shared" si="80"/>
        <v>31</v>
      </c>
      <c r="R61" s="200">
        <f t="shared" si="80"/>
        <v>0</v>
      </c>
      <c r="S61" s="32">
        <f t="shared" si="80"/>
        <v>0</v>
      </c>
      <c r="T61" s="200">
        <f t="shared" si="80"/>
        <v>0</v>
      </c>
      <c r="U61" s="32">
        <f t="shared" si="80"/>
        <v>0</v>
      </c>
      <c r="V61" s="200">
        <f t="shared" si="80"/>
        <v>0</v>
      </c>
      <c r="W61" s="32">
        <f t="shared" si="80"/>
        <v>0</v>
      </c>
      <c r="X61" s="200">
        <f t="shared" si="80"/>
        <v>0</v>
      </c>
      <c r="Y61" s="32">
        <f t="shared" si="80"/>
        <v>0</v>
      </c>
      <c r="Z61" s="200">
        <f t="shared" si="80"/>
        <v>0</v>
      </c>
      <c r="AA61" s="32">
        <f t="shared" si="80"/>
        <v>0</v>
      </c>
      <c r="AB61" s="200">
        <f t="shared" si="80"/>
        <v>0</v>
      </c>
      <c r="AC61" s="32">
        <f t="shared" si="80"/>
        <v>0</v>
      </c>
      <c r="AD61" s="213">
        <f>SUM(AD38:AD58)</f>
        <v>0</v>
      </c>
      <c r="AE61" s="114">
        <f t="shared" ref="AE61:AE69" si="81">IFERROR(IF($AD$4="ENERO",F61,IF($AD$4="FEBRERO",F61+H61,IF($AD$4="MARZO",F61+H61+J61,IF($AD$4="ABRIL",F61+H61+J61+L61,IF($AD$4="MAYO",F61+H61+J61+L61+N61,IF($AD$4="JUNIO",F61+H61+J61+L61+N61+P61,IF($AD$4="JULIO",F61+H61+J61+L61+N61+P61+R61,IF($AD$4="AGOSTO",F61+H61+J61+L61+N61+P61+R61+T61,IF($AD$4="SEPTIEMBRE",F61+H61+J61+L61+N61+P61+R61+T61+V61,IF($AD$4="OCTUBRE",F61+H61+J61+L61+N61+P61+R61+T61+V61+X61,IF($AD$4="NOVIEMBRE",F61+H61+J61+L61+N61+P61+R61+T61+V61+X61+Z61,IF($AD$4="DICIEMBRE",F61+H61+J61+L61+N61+P61+R61+T61+V61+X61+Z61+AB61,"")))))))))))),0)</f>
        <v>168</v>
      </c>
      <c r="AF61" s="206">
        <f>SUM(AF38:AF58)</f>
        <v>0</v>
      </c>
      <c r="AG61" s="114">
        <f t="shared" ref="AG61:AG67" si="82">IFERROR(IF($AD$4="ENERO",G61,IF($AD$4="FEBRERO",G61+I61,IF($AD$4="MARZO",G61+I61+K61,IF($AD$4="ABRIL",G61+I61+K61+M61,IF($AD$4="MAYO",G61+I61+K61+M61+O61,IF($AD$4="JUNIO",G61+I61+K61+M61+O61+Q61,IF($AD$4="JULIO",G61+I61+K61+M61+O61+Q61+S61,IF($AD$4="AGOSTO",G61+I61+K61+M61+O61+Q61+S61+U61,IF($AD$4="SEPTIEMBRE",G61+I61+K61+M61+O61+Q61+S61+U61+W61,IF($AD$4="OCTUBRE",G61+I61+K61+M61+O61+Q61+S61+U61+W61+Y61,IF($AD$4="NOVIEMBRE",G61+I61+K61+M61+O61+Q61+S61+U61+W61+Y61+AA61,IF($AD$4="DICIEMBRE",G61+I61+K61+M61+O61+Q61+S61+U61+W61+Y61+AA61+AC61,"")))))))))))),0)</f>
        <v>332</v>
      </c>
      <c r="AH61" s="245">
        <f>SUM(AH56:AH60)</f>
        <v>500</v>
      </c>
      <c r="AI61" s="213">
        <f>SUM(AI38:AI58)</f>
        <v>0</v>
      </c>
      <c r="AJ61" s="114">
        <f t="shared" ref="AJ61:AJ69" si="83">IFERROR(SUM(F61,H61,J61,L61,N61,P61,R61,T61,V61,X61,Z61,AB61),0)</f>
        <v>168</v>
      </c>
      <c r="AK61" s="206">
        <f>SUM(AK38:AK58)</f>
        <v>0</v>
      </c>
      <c r="AL61" s="114">
        <f t="shared" ref="AL61:AL67" si="84">IFERROR(SUM(G61,I61,K61,M61,O61,Q61,S61,U61,W61,Y61,AA61,AC61),0)</f>
        <v>332</v>
      </c>
      <c r="AM61" s="245">
        <f>SUM(AM56:AM60)</f>
        <v>500</v>
      </c>
      <c r="AN61" s="213"/>
      <c r="AO61" s="114">
        <f>SUM(AO38:AO58)</f>
        <v>0</v>
      </c>
      <c r="AP61" s="206">
        <f>SUM(AP38:AP58)</f>
        <v>0</v>
      </c>
      <c r="AQ61" s="115">
        <f>SUM(AQ38:AQ58)</f>
        <v>0</v>
      </c>
      <c r="AR61" s="245">
        <f>SUM(AR56:AR60)</f>
        <v>0</v>
      </c>
      <c r="AS61" s="213"/>
      <c r="AT61" s="114">
        <f t="shared" ref="AT61:AT69" si="85">IFERROR(IF($AS$5="S 1",F61+H61+J61+L61+N61++P61,
IF($AS$5="S 2",R61+T61+V61+X61+Z61+AB61,0)),0)</f>
        <v>168</v>
      </c>
      <c r="AU61" s="206"/>
      <c r="AV61" s="114">
        <f t="shared" ref="AV61:AV67" si="86">IFERROR(IF($AS$5="S 1",G61+I61+K61+M61+O61++Q61,
IF($AS$5="S 2",S61+U61+W61+Y61+AA61+AC61,0)),0)</f>
        <v>332</v>
      </c>
      <c r="AW61" s="245">
        <f>SUM(AW56:AW60)</f>
        <v>500</v>
      </c>
      <c r="AX61" s="4">
        <v>0</v>
      </c>
      <c r="BM61" s="15"/>
    </row>
    <row r="62" spans="1:65" s="4" customFormat="1" ht="15" customHeight="1" x14ac:dyDescent="0.3">
      <c r="A62" s="4">
        <f>_xlfn.XLOOKUP(B62,'UC BMW 2026'!$B$5:$B$65,'UC BMW 2026'!$A$5:$A$65)</f>
        <v>10</v>
      </c>
      <c r="B62" s="8">
        <v>100344</v>
      </c>
      <c r="C62" s="369" t="s">
        <v>25</v>
      </c>
      <c r="D62" s="8">
        <v>9144</v>
      </c>
      <c r="E62" s="379" t="s">
        <v>202</v>
      </c>
      <c r="F62" s="199">
        <f>IFERROR(VLOOKUP(B62,'[2]COMPRAS UC'!$B$11:$O$66,3,0),0)</f>
        <v>0</v>
      </c>
      <c r="G62" s="23">
        <f>IFERROR(VLOOKUP(B62,'[2]COMPRAS YUC'!$B$10:$P$63,3,0),0)</f>
        <v>8</v>
      </c>
      <c r="H62" s="87">
        <f>IFERROR(VLOOKUP(B62,'[2]COMPRAS UC'!$B$11:$O$66,4,0),0)</f>
        <v>1</v>
      </c>
      <c r="I62" s="23">
        <f>IFERROR(VLOOKUP(B62,'[2]COMPRAS YUC'!$B$10:$P$63,4,0),0)</f>
        <v>22</v>
      </c>
      <c r="J62" s="87">
        <f>IFERROR(VLOOKUP(B62,'[2]COMPRAS UC'!$B$11:$O$66,5,0),0)</f>
        <v>0</v>
      </c>
      <c r="K62" s="23">
        <f>IFERROR(VLOOKUP(B62,'[2]COMPRAS YUC'!$B$10:$P$63,5,0),0)</f>
        <v>0</v>
      </c>
      <c r="L62" s="87">
        <f>IFERROR(VLOOKUP(B62,'[2]COMPRAS UC'!$B$11:$O$66,6,0),0)</f>
        <v>4</v>
      </c>
      <c r="M62" s="23">
        <f>IFERROR(VLOOKUP(B62,'[2]COMPRAS YUC'!$B$10:$P$63,6,0),0)</f>
        <v>16</v>
      </c>
      <c r="N62" s="87">
        <f>IFERROR(VLOOKUP(B62,'[2]COMPRAS UC'!$B$11:$O$66,7,0),0)</f>
        <v>3</v>
      </c>
      <c r="O62" s="23">
        <f>IFERROR(VLOOKUP(B62,'[2]COMPRAS YUC'!$B$10:$P$63,7,0),0)</f>
        <v>19</v>
      </c>
      <c r="P62" s="87">
        <f>IFERROR(VLOOKUP(B62,'[2]COMPRAS UC'!$B$11:$O$66,8,0),0)</f>
        <v>11</v>
      </c>
      <c r="Q62" s="23">
        <f>IFERROR(VLOOKUP(B62,'[2]COMPRAS YUC'!$B$10:$P$63,8,0),0)</f>
        <v>9</v>
      </c>
      <c r="R62" s="87">
        <f>IFERROR(VLOOKUP(B62,'[2]COMPRAS UC'!$B$11:$O$66,9,0),0)</f>
        <v>0</v>
      </c>
      <c r="S62" s="23">
        <f>IFERROR(VLOOKUP(B62,'[2]COMPRAS YUC'!$B$10:$P$63,9,0),0)</f>
        <v>0</v>
      </c>
      <c r="T62" s="87">
        <f>IFERROR(VLOOKUP(B62,'[2]COMPRAS UC'!$B$11:$O$66,10,0),0)</f>
        <v>0</v>
      </c>
      <c r="U62" s="23">
        <f>IFERROR(VLOOKUP(B62,'[2]COMPRAS YUC'!$B$10:$P$63,10,0),0)</f>
        <v>0</v>
      </c>
      <c r="V62" s="87">
        <f>IFERROR(VLOOKUP(B62,'[2]COMPRAS UC'!$B$11:$O$66,11,0),0)</f>
        <v>0</v>
      </c>
      <c r="W62" s="23">
        <f>IFERROR(VLOOKUP(B62,'[2]COMPRAS YUC'!$B$10:$P$63,11,0),0)</f>
        <v>0</v>
      </c>
      <c r="X62" s="87">
        <f>IFERROR(VLOOKUP(B62,'[2]COMPRAS UC'!$B$11:$O$66,12,0),0)</f>
        <v>0</v>
      </c>
      <c r="Y62" s="23">
        <f>IFERROR(VLOOKUP(B62,'[2]COMPRAS YUC'!$B$10:$P$63,12,0),0)</f>
        <v>0</v>
      </c>
      <c r="Z62" s="87">
        <f>IFERROR(VLOOKUP(B62,'[2]COMPRAS UC'!$B$11:$O$66,13,0),0)</f>
        <v>0</v>
      </c>
      <c r="AA62" s="23">
        <f>IFERROR(VLOOKUP(B62,'[2]COMPRAS YUC'!$B$10:$P$63,13,0),0)</f>
        <v>0</v>
      </c>
      <c r="AB62" s="87">
        <f>IFERROR(VLOOKUP(B62,'[2]COMPRAS UC'!$B$11:$O$66,14,0),0)</f>
        <v>0</v>
      </c>
      <c r="AC62" s="23">
        <f>IFERROR(VLOOKUP(B62,'[2]COMPRAS YUC'!$B$10:$P$63,14,0),0)</f>
        <v>0</v>
      </c>
      <c r="AD62" s="211">
        <f t="shared" ref="AD62:AF67" si="87">SUMIFS($F62:$AC62,$F$6:$AC$6,AD$6,$F$1:$AC$1,$AD$4)</f>
        <v>0</v>
      </c>
      <c r="AE62" s="111">
        <f t="shared" si="81"/>
        <v>19</v>
      </c>
      <c r="AF62" s="204">
        <f t="shared" si="87"/>
        <v>0</v>
      </c>
      <c r="AG62" s="111">
        <f t="shared" si="82"/>
        <v>74</v>
      </c>
      <c r="AH62" s="229">
        <f t="shared" ref="AH62:AH67" si="88">IFERROR(AE62+AG62,0)</f>
        <v>93</v>
      </c>
      <c r="AI62" s="211">
        <f t="shared" ref="AI62:AK63" si="89">SUMIFS($F62:$AC62,$F$6:$AC$6,AI$6,$F$2:$AC$2,$AD$4)</f>
        <v>0</v>
      </c>
      <c r="AJ62" s="111">
        <f t="shared" si="83"/>
        <v>19</v>
      </c>
      <c r="AK62" s="204">
        <f t="shared" si="89"/>
        <v>0</v>
      </c>
      <c r="AL62" s="111">
        <f t="shared" si="84"/>
        <v>74</v>
      </c>
      <c r="AM62" s="229">
        <f t="shared" ref="AM62:AM67" si="90">AJ62+AL62</f>
        <v>93</v>
      </c>
      <c r="AN62" s="211"/>
      <c r="AO62" s="111">
        <f>IF($AN$5="Q1",F62+H62+J62,
IF($AN$5="Q2",L62+N62++P62,
IF($AN$5="Q3",R62+T62+V62,
IF($AN$5="Q4",X62+Z62+AB62,0))))</f>
        <v>0</v>
      </c>
      <c r="AP62" s="204"/>
      <c r="AQ62" s="113">
        <f t="shared" ref="AQ62:AQ67" si="91">IF($AN$5="Q1",G62+I62+K62,
IF($AN$5="Q2",M62+O62++Q62,
IF($AN$5="Q3",S62+U62+W62,
IF($AN$5="Q4",Y62+AA62+AC62,0))))</f>
        <v>0</v>
      </c>
      <c r="AR62" s="229">
        <f t="shared" ref="AR62:AR67" si="92">AO62+AQ62</f>
        <v>0</v>
      </c>
      <c r="AS62" s="211"/>
      <c r="AT62" s="111">
        <f t="shared" si="85"/>
        <v>19</v>
      </c>
      <c r="AU62" s="204"/>
      <c r="AV62" s="111">
        <f t="shared" si="86"/>
        <v>74</v>
      </c>
      <c r="AW62" s="229">
        <f t="shared" ref="AW62:AW67" si="93">AT62+AV62</f>
        <v>93</v>
      </c>
      <c r="AX62" s="4">
        <v>1</v>
      </c>
      <c r="BM62" s="15">
        <f t="shared" ref="BM62:BM67" si="94">SUM(L62:Q62)</f>
        <v>62</v>
      </c>
    </row>
    <row r="63" spans="1:65" s="4" customFormat="1" ht="15" customHeight="1" x14ac:dyDescent="0.3">
      <c r="A63" s="4">
        <f>_xlfn.XLOOKUP(B63,'UC BMW 2026'!$B$5:$B$65,'UC BMW 2026'!$A$5:$A$65)</f>
        <v>10</v>
      </c>
      <c r="B63" s="8">
        <v>100422</v>
      </c>
      <c r="C63" s="369" t="s">
        <v>20</v>
      </c>
      <c r="D63" s="8">
        <v>9144</v>
      </c>
      <c r="E63" s="379" t="s">
        <v>202</v>
      </c>
      <c r="F63" s="199">
        <f>IFERROR(VLOOKUP(B63,'[2]COMPRAS UC'!$B$11:$O$66,3,0),0)</f>
        <v>9</v>
      </c>
      <c r="G63" s="23">
        <f>IFERROR(VLOOKUP(B63,'[2]COMPRAS YUC'!$B$10:$P$63,3,0),0)</f>
        <v>4</v>
      </c>
      <c r="H63" s="87">
        <f>IFERROR(VLOOKUP(B63,'[2]COMPRAS UC'!$B$11:$O$66,4,0),0)</f>
        <v>1</v>
      </c>
      <c r="I63" s="23">
        <f>IFERROR(VLOOKUP(B63,'[2]COMPRAS YUC'!$B$10:$P$63,4,0),0)</f>
        <v>6</v>
      </c>
      <c r="J63" s="87">
        <f>IFERROR(VLOOKUP(B63,'[2]COMPRAS UC'!$B$11:$O$66,5,0),0)</f>
        <v>5</v>
      </c>
      <c r="K63" s="23">
        <f>IFERROR(VLOOKUP(B63,'[2]COMPRAS YUC'!$B$10:$P$63,5,0),0)</f>
        <v>0</v>
      </c>
      <c r="L63" s="87">
        <f>IFERROR(VLOOKUP(B63,'[2]COMPRAS UC'!$B$11:$O$66,6,0),0)</f>
        <v>3</v>
      </c>
      <c r="M63" s="23">
        <f>IFERROR(VLOOKUP(B63,'[2]COMPRAS YUC'!$B$10:$P$63,6,0),0)</f>
        <v>5</v>
      </c>
      <c r="N63" s="87">
        <f>IFERROR(VLOOKUP(B63,'[2]COMPRAS UC'!$B$11:$O$66,7,0),0)</f>
        <v>4</v>
      </c>
      <c r="O63" s="23">
        <f>IFERROR(VLOOKUP(B63,'[2]COMPRAS YUC'!$B$10:$P$63,7,0),0)</f>
        <v>11</v>
      </c>
      <c r="P63" s="87">
        <f>IFERROR(VLOOKUP(B63,'[2]COMPRAS UC'!$B$11:$O$66,8,0),0)</f>
        <v>6</v>
      </c>
      <c r="Q63" s="23">
        <f>IFERROR(VLOOKUP(B63,'[2]COMPRAS YUC'!$B$10:$P$63,8,0),0)</f>
        <v>0</v>
      </c>
      <c r="R63" s="87">
        <f>IFERROR(VLOOKUP(B63,'[2]COMPRAS UC'!$B$11:$O$66,9,0),0)</f>
        <v>0</v>
      </c>
      <c r="S63" s="23">
        <f>IFERROR(VLOOKUP(B63,'[2]COMPRAS YUC'!$B$10:$P$63,9,0),0)</f>
        <v>0</v>
      </c>
      <c r="T63" s="87">
        <f>IFERROR(VLOOKUP(B63,'[2]COMPRAS UC'!$B$11:$O$66,10,0),0)</f>
        <v>0</v>
      </c>
      <c r="U63" s="23">
        <f>IFERROR(VLOOKUP(B63,'[2]COMPRAS YUC'!$B$10:$P$63,10,0),0)</f>
        <v>0</v>
      </c>
      <c r="V63" s="87">
        <f>IFERROR(VLOOKUP(B63,'[2]COMPRAS UC'!$B$11:$O$66,11,0),0)</f>
        <v>0</v>
      </c>
      <c r="W63" s="23">
        <f>IFERROR(VLOOKUP(B63,'[2]COMPRAS YUC'!$B$10:$P$63,11,0),0)</f>
        <v>0</v>
      </c>
      <c r="X63" s="87">
        <f>IFERROR(VLOOKUP(B63,'[2]COMPRAS UC'!$B$11:$O$66,12,0),0)</f>
        <v>0</v>
      </c>
      <c r="Y63" s="23">
        <f>IFERROR(VLOOKUP(B63,'[2]COMPRAS YUC'!$B$10:$P$63,12,0),0)</f>
        <v>0</v>
      </c>
      <c r="Z63" s="87">
        <f>IFERROR(VLOOKUP(B63,'[2]COMPRAS UC'!$B$11:$O$66,13,0),0)</f>
        <v>0</v>
      </c>
      <c r="AA63" s="23">
        <f>IFERROR(VLOOKUP(B63,'[2]COMPRAS YUC'!$B$10:$P$63,13,0),0)</f>
        <v>0</v>
      </c>
      <c r="AB63" s="87">
        <f>IFERROR(VLOOKUP(B63,'[2]COMPRAS UC'!$B$11:$O$66,14,0),0)</f>
        <v>0</v>
      </c>
      <c r="AC63" s="23">
        <f>IFERROR(VLOOKUP(B63,'[2]COMPRAS YUC'!$B$10:$P$63,14,0),0)</f>
        <v>0</v>
      </c>
      <c r="AD63" s="211">
        <f t="shared" si="87"/>
        <v>0</v>
      </c>
      <c r="AE63" s="111">
        <f>IFERROR(IF($AD$4="ENERO",F63,IF($AD$4="FEBRERO",F63+H63,IF($AD$4="MARZO",F63+H63+J63,IF($AD$4="ABRIL",F63+H63+J63+L63,IF($AD$4="MAYO",F63+H63+J63+L63+N64,IF($AD$4="JUNIO",F63+H63+J63+L63+N64+P63,IF($AD$4="JULIO",F63+H63+J63+L63+N64+P63+R63,IF($AD$4="AGOSTO",F63+H63+J63+L63+N64+P63+R63+T63,IF($AD$4="SEPTIEMBRE",F63+H63+J63+L63+N64+P63+R63+T63+V63,IF($AD$4="OCTUBRE",F63+H63+J63+L63+N64+P63+R63+T63+V63+X63,IF($AD$4="NOVIEMBRE",F63+H63+J63+L63+N64+P63+R63+T63+V63+X63+Z63,IF($AD$4="DICIEMBRE",F63+H63+J63+L63+N64+P63+R63+T63+V63+X63+Z63+AB63,"")))))))))))),0)</f>
        <v>28</v>
      </c>
      <c r="AF63" s="204">
        <f t="shared" si="87"/>
        <v>0</v>
      </c>
      <c r="AG63" s="111">
        <f t="shared" si="82"/>
        <v>26</v>
      </c>
      <c r="AH63" s="229">
        <f t="shared" si="88"/>
        <v>54</v>
      </c>
      <c r="AI63" s="211">
        <f t="shared" si="89"/>
        <v>0</v>
      </c>
      <c r="AJ63" s="111">
        <f>IFERROR(SUM(F63,H63,J63,L63,N64,P63,R63,T63,V63,X63,Z63,AB63),0)</f>
        <v>28</v>
      </c>
      <c r="AK63" s="204">
        <f t="shared" si="89"/>
        <v>0</v>
      </c>
      <c r="AL63" s="111">
        <f t="shared" si="84"/>
        <v>26</v>
      </c>
      <c r="AM63" s="229">
        <f t="shared" si="90"/>
        <v>54</v>
      </c>
      <c r="AN63" s="211"/>
      <c r="AO63" s="111">
        <f>IF($AN$5="Q1",F63+H63+J63,
IF($AN$5="Q2",L63+N64++P63,
IF($AN$5="Q3",R63+T63+V63,
IF($AN$5="Q4",X63+Z63+AB63,0))))</f>
        <v>0</v>
      </c>
      <c r="AP63" s="204"/>
      <c r="AQ63" s="113">
        <f t="shared" si="91"/>
        <v>0</v>
      </c>
      <c r="AR63" s="229">
        <f t="shared" si="92"/>
        <v>0</v>
      </c>
      <c r="AS63" s="211"/>
      <c r="AT63" s="111">
        <f>IFERROR(IF($AS$5="S 1",F63+H63+J63+L63+N64++P63,
IF($AS$5="S 2",R63+T63+V63+X63+Z63+AB63,0)),0)</f>
        <v>28</v>
      </c>
      <c r="AU63" s="204"/>
      <c r="AV63" s="111">
        <f t="shared" si="86"/>
        <v>26</v>
      </c>
      <c r="AW63" s="229">
        <f t="shared" si="93"/>
        <v>54</v>
      </c>
      <c r="AX63" s="4">
        <v>1</v>
      </c>
      <c r="BM63" s="15">
        <f t="shared" si="94"/>
        <v>29</v>
      </c>
    </row>
    <row r="64" spans="1:65" s="4" customFormat="1" ht="15" customHeight="1" x14ac:dyDescent="0.3">
      <c r="A64" s="4">
        <f>_xlfn.XLOOKUP(B64,'UC BMW 2026'!$B$5:$B$65,'UC BMW 2026'!$A$5:$A$65)</f>
        <v>10</v>
      </c>
      <c r="B64" s="8">
        <v>100549</v>
      </c>
      <c r="C64" s="369" t="s">
        <v>66</v>
      </c>
      <c r="D64" s="8">
        <v>9144</v>
      </c>
      <c r="E64" s="379" t="s">
        <v>202</v>
      </c>
      <c r="F64" s="199">
        <f>IFERROR(VLOOKUP(B64,'[2]COMPRAS UC'!$B$11:$O$66,3,0),0)</f>
        <v>0</v>
      </c>
      <c r="G64" s="23">
        <f>IFERROR(VLOOKUP(B64,'[2]COMPRAS YUC'!$B$10:$P$63,3,0),0)</f>
        <v>0</v>
      </c>
      <c r="H64" s="87">
        <f>IFERROR(VLOOKUP(B64,'[2]COMPRAS UC'!$B$11:$O$66,4,0),0)</f>
        <v>0</v>
      </c>
      <c r="I64" s="23">
        <f>IFERROR(VLOOKUP(B64,'[2]COMPRAS YUC'!$B$10:$P$63,4,0),0)</f>
        <v>7</v>
      </c>
      <c r="J64" s="87">
        <f>IFERROR(VLOOKUP(B64,'[2]COMPRAS UC'!$B$11:$O$66,5,0),0)</f>
        <v>0</v>
      </c>
      <c r="K64" s="23">
        <f>IFERROR(VLOOKUP(B64,'[2]COMPRAS YUC'!$B$10:$P$63,5,0),0)</f>
        <v>0</v>
      </c>
      <c r="L64" s="87">
        <f>IFERROR(VLOOKUP(B64,'[2]COMPRAS UC'!$B$11:$O$66,6,0),0)</f>
        <v>0</v>
      </c>
      <c r="M64" s="23">
        <f>IFERROR(VLOOKUP(B64,'[2]COMPRAS YUC'!$B$10:$P$63,6,0),0)</f>
        <v>6</v>
      </c>
      <c r="N64" s="87">
        <f>IFERROR(VLOOKUP(B64,'[2]COMPRAS UC'!$B$11:$O$66,7,0),0)</f>
        <v>4</v>
      </c>
      <c r="O64" s="23">
        <f>IFERROR(VLOOKUP(B64,'[2]COMPRAS YUC'!$B$10:$P$63,7,0),0)</f>
        <v>8</v>
      </c>
      <c r="P64" s="87">
        <f>IFERROR(VLOOKUP(B64,'[2]COMPRAS UC'!$B$11:$O$66,8,0),0)</f>
        <v>0</v>
      </c>
      <c r="Q64" s="23">
        <f>IFERROR(VLOOKUP(B64,'[2]COMPRAS YUC'!$B$10:$P$63,8,0),0)</f>
        <v>3</v>
      </c>
      <c r="R64" s="87">
        <f>IFERROR(VLOOKUP(B64,'[2]COMPRAS UC'!$B$11:$O$66,9,0),0)</f>
        <v>0</v>
      </c>
      <c r="S64" s="23">
        <f>IFERROR(VLOOKUP(B64,'[2]COMPRAS YUC'!$B$10:$P$63,9,0),0)</f>
        <v>0</v>
      </c>
      <c r="T64" s="87">
        <f>IFERROR(VLOOKUP(B64,'[2]COMPRAS UC'!$B$11:$O$66,10,0),0)</f>
        <v>0</v>
      </c>
      <c r="U64" s="23">
        <f>IFERROR(VLOOKUP(B64,'[2]COMPRAS YUC'!$B$10:$P$63,10,0),0)</f>
        <v>0</v>
      </c>
      <c r="V64" s="87">
        <f>IFERROR(VLOOKUP(B64,'[2]COMPRAS UC'!$B$11:$O$66,11,0),0)</f>
        <v>0</v>
      </c>
      <c r="W64" s="23">
        <f>IFERROR(VLOOKUP(B64,'[2]COMPRAS YUC'!$B$10:$P$63,11,0),0)</f>
        <v>0</v>
      </c>
      <c r="X64" s="87">
        <f>IFERROR(VLOOKUP(B64,'[2]COMPRAS UC'!$B$11:$O$66,12,0),0)</f>
        <v>0</v>
      </c>
      <c r="Y64" s="23">
        <f>IFERROR(VLOOKUP(B64,'[2]COMPRAS YUC'!$B$10:$P$63,12,0),0)</f>
        <v>0</v>
      </c>
      <c r="Z64" s="87">
        <f>IFERROR(VLOOKUP(B64,'[2]COMPRAS UC'!$B$11:$O$66,13,0),0)</f>
        <v>0</v>
      </c>
      <c r="AA64" s="23">
        <f>IFERROR(VLOOKUP(B64,'[2]COMPRAS YUC'!$B$10:$P$63,13,0),0)</f>
        <v>0</v>
      </c>
      <c r="AB64" s="87">
        <f>IFERROR(VLOOKUP(B64,'[2]COMPRAS UC'!$B$11:$O$66,14,0),0)</f>
        <v>0</v>
      </c>
      <c r="AC64" s="23">
        <f>IFERROR(VLOOKUP(B64,'[2]COMPRAS YUC'!$B$10:$P$63,14,0),0)</f>
        <v>0</v>
      </c>
      <c r="AD64" s="211"/>
      <c r="AE64" s="111">
        <f>IFERROR(IF($AD$4="ENERO",F64,IF($AD$4="FEBRERO",F64+H64,IF($AD$4="MARZO",F64+H64+J64,IF($AD$4="ABRIL",F64+H64+J64+L64,IF($AD$4="MAYO",F64+H64+J64+L64+#REF!,IF($AD$4="JUNIO",F64+H64+J64+L64+#REF!+P64,IF($AD$4="JULIO",F64+H64+J64+L64+#REF!+P64+R64,IF($AD$4="AGOSTO",F64+H64+J64+L64+#REF!+P64+R64+T64,IF($AD$4="SEPTIEMBRE",F64+H64+J64+L64+#REF!+P64+R64+T64+V64,IF($AD$4="OCTUBRE",F64+H64+J64+L64+#REF!+P64+R64+T64+V64+X64,IF($AD$4="NOVIEMBRE",F64+H64+J64+L64+#REF!+P64+R64+T64+V64+X64+Z64,IF($AD$4="DICIEMBRE",F64+H64+J64+L64+#REF!+P64+R64+T64+V64+X64+Z64+AB64,"")))))))))))),0)</f>
        <v>0</v>
      </c>
      <c r="AF64" s="204"/>
      <c r="AG64" s="111">
        <f t="shared" si="82"/>
        <v>24</v>
      </c>
      <c r="AH64" s="229">
        <f t="shared" si="88"/>
        <v>24</v>
      </c>
      <c r="AI64" s="211"/>
      <c r="AJ64" s="111">
        <f>IFERROR(SUM(F64,H64,J64,L64,#REF!,P64,R64,T64,V64,X64,Z64,AB64),0)</f>
        <v>0</v>
      </c>
      <c r="AK64" s="204"/>
      <c r="AL64" s="111">
        <f t="shared" si="84"/>
        <v>24</v>
      </c>
      <c r="AM64" s="229">
        <f t="shared" si="90"/>
        <v>24</v>
      </c>
      <c r="AN64" s="211"/>
      <c r="AO64" s="111">
        <f>IF($AN$5="Q1",F64+H64+J64,
IF($AN$5="Q2",L64+N65++P64,
IF($AN$5="Q3",R64+T64+V64,
IF($AN$5="Q4",X64+Z64+AB64,0))))</f>
        <v>0</v>
      </c>
      <c r="AP64" s="204"/>
      <c r="AQ64" s="113">
        <f t="shared" si="91"/>
        <v>0</v>
      </c>
      <c r="AR64" s="229"/>
      <c r="AS64" s="211"/>
      <c r="AT64" s="111">
        <f>IFERROR(IF($AS$5="S 1",F64+H64+J64+L64+#REF!++P64,
IF($AS$5="S 2",R64+T64+V64+X64+Z64+AB64,0)),0)</f>
        <v>0</v>
      </c>
      <c r="AU64" s="204"/>
      <c r="AV64" s="111">
        <f t="shared" si="86"/>
        <v>24</v>
      </c>
      <c r="AW64" s="229">
        <f t="shared" si="93"/>
        <v>24</v>
      </c>
      <c r="AX64" s="4">
        <v>1</v>
      </c>
      <c r="BM64" s="15">
        <f t="shared" si="94"/>
        <v>21</v>
      </c>
    </row>
    <row r="65" spans="1:65" s="4" customFormat="1" ht="15" customHeight="1" x14ac:dyDescent="0.3">
      <c r="A65" s="4">
        <f>_xlfn.XLOOKUP(B65,'UC BMW 2026'!$B$5:$B$65,'UC BMW 2026'!$A$5:$A$65)</f>
        <v>10</v>
      </c>
      <c r="B65" s="8">
        <v>100589</v>
      </c>
      <c r="C65" s="369" t="s">
        <v>17</v>
      </c>
      <c r="D65" s="8">
        <v>9144</v>
      </c>
      <c r="E65" s="379" t="s">
        <v>202</v>
      </c>
      <c r="F65" s="199">
        <f>IFERROR(VLOOKUP(B65,'[2]COMPRAS UC'!$B$11:$O$66,3,0),0)</f>
        <v>0</v>
      </c>
      <c r="G65" s="23">
        <f>IFERROR(VLOOKUP(B65,'[2]COMPRAS YUC'!$B$10:$P$63,3,0),0)</f>
        <v>31</v>
      </c>
      <c r="H65" s="87">
        <f>IFERROR(VLOOKUP(B65,'[2]COMPRAS UC'!$B$11:$O$66,4,0),0)</f>
        <v>0</v>
      </c>
      <c r="I65" s="23">
        <f>IFERROR(VLOOKUP(B65,'[2]COMPRAS YUC'!$B$10:$P$63,4,0),0)</f>
        <v>10</v>
      </c>
      <c r="J65" s="87">
        <f>IFERROR(VLOOKUP(B65,'[2]COMPRAS UC'!$B$11:$O$66,5,0),0)</f>
        <v>1</v>
      </c>
      <c r="K65" s="23">
        <f>IFERROR(VLOOKUP(B65,'[2]COMPRAS YUC'!$B$10:$P$63,5,0),0)</f>
        <v>3</v>
      </c>
      <c r="L65" s="87">
        <f>IFERROR(VLOOKUP(B65,'[2]COMPRAS UC'!$B$11:$O$66,6,0),0)</f>
        <v>0</v>
      </c>
      <c r="M65" s="23">
        <f>IFERROR(VLOOKUP(B65,'[2]COMPRAS YUC'!$B$10:$P$63,6,0),0)</f>
        <v>10</v>
      </c>
      <c r="N65" s="87">
        <f>IFERROR(VLOOKUP(B65,'[2]COMPRAS UC'!$B$11:$O$66,7,0),0)</f>
        <v>0</v>
      </c>
      <c r="O65" s="23">
        <f>IFERROR(VLOOKUP(B65,'[2]COMPRAS YUC'!$B$10:$P$63,7,0),0)</f>
        <v>5</v>
      </c>
      <c r="P65" s="87">
        <f>IFERROR(VLOOKUP(B65,'[2]COMPRAS UC'!$B$11:$O$66,8,0),0)</f>
        <v>0</v>
      </c>
      <c r="Q65" s="23">
        <f>IFERROR(VLOOKUP(B65,'[2]COMPRAS YUC'!$B$10:$P$63,8,0),0)</f>
        <v>2</v>
      </c>
      <c r="R65" s="87">
        <f>IFERROR(VLOOKUP(B65,'[2]COMPRAS UC'!$B$11:$O$66,9,0),0)</f>
        <v>0</v>
      </c>
      <c r="S65" s="23">
        <f>IFERROR(VLOOKUP(B65,'[2]COMPRAS YUC'!$B$10:$P$63,9,0),0)</f>
        <v>0</v>
      </c>
      <c r="T65" s="87">
        <f>IFERROR(VLOOKUP(B65,'[2]COMPRAS UC'!$B$11:$O$66,10,0),0)</f>
        <v>0</v>
      </c>
      <c r="U65" s="23">
        <f>IFERROR(VLOOKUP(B65,'[2]COMPRAS YUC'!$B$10:$P$63,10,0),0)</f>
        <v>0</v>
      </c>
      <c r="V65" s="87">
        <f>IFERROR(VLOOKUP(B65,'[2]COMPRAS UC'!$B$11:$O$66,11,0),0)</f>
        <v>0</v>
      </c>
      <c r="W65" s="23">
        <f>IFERROR(VLOOKUP(B65,'[2]COMPRAS YUC'!$B$10:$P$63,11,0),0)</f>
        <v>0</v>
      </c>
      <c r="X65" s="87">
        <f>IFERROR(VLOOKUP(B65,'[2]COMPRAS UC'!$B$11:$O$66,12,0),0)</f>
        <v>0</v>
      </c>
      <c r="Y65" s="23">
        <f>IFERROR(VLOOKUP(B65,'[2]COMPRAS YUC'!$B$10:$P$63,12,0),0)</f>
        <v>0</v>
      </c>
      <c r="Z65" s="87">
        <f>IFERROR(VLOOKUP(B65,'[2]COMPRAS UC'!$B$11:$O$66,13,0),0)</f>
        <v>0</v>
      </c>
      <c r="AA65" s="23">
        <f>IFERROR(VLOOKUP(B65,'[2]COMPRAS YUC'!$B$10:$P$63,13,0),0)</f>
        <v>0</v>
      </c>
      <c r="AB65" s="87">
        <f>IFERROR(VLOOKUP(B65,'[2]COMPRAS UC'!$B$11:$O$66,14,0),0)</f>
        <v>0</v>
      </c>
      <c r="AC65" s="23">
        <f>IFERROR(VLOOKUP(B65,'[2]COMPRAS YUC'!$B$10:$P$63,14,0),0)</f>
        <v>0</v>
      </c>
      <c r="AD65" s="211">
        <f t="shared" si="87"/>
        <v>0</v>
      </c>
      <c r="AE65" s="111">
        <f t="shared" si="81"/>
        <v>1</v>
      </c>
      <c r="AF65" s="204">
        <f t="shared" si="87"/>
        <v>0</v>
      </c>
      <c r="AG65" s="111">
        <f t="shared" si="82"/>
        <v>61</v>
      </c>
      <c r="AH65" s="229">
        <f t="shared" si="88"/>
        <v>62</v>
      </c>
      <c r="AI65" s="211">
        <f t="shared" ref="AI65:AK67" si="95">SUMIFS($F65:$AC65,$F$6:$AC$6,AI$6,$F$2:$AC$2,$AD$4)</f>
        <v>0</v>
      </c>
      <c r="AJ65" s="111">
        <f t="shared" si="83"/>
        <v>1</v>
      </c>
      <c r="AK65" s="204">
        <f t="shared" si="95"/>
        <v>0</v>
      </c>
      <c r="AL65" s="111">
        <f t="shared" si="84"/>
        <v>61</v>
      </c>
      <c r="AM65" s="229">
        <f t="shared" si="90"/>
        <v>62</v>
      </c>
      <c r="AN65" s="211"/>
      <c r="AO65" s="111">
        <f>IF($AN$5="Q1",F65+H65+J65,
IF($AN$5="Q2",L65+N65++P65,
IF($AN$5="Q3",R65+T65+V65,
IF($AN$5="Q4",X65+Z65+AB65,0))))</f>
        <v>0</v>
      </c>
      <c r="AP65" s="204"/>
      <c r="AQ65" s="113">
        <f t="shared" si="91"/>
        <v>0</v>
      </c>
      <c r="AR65" s="229">
        <f t="shared" si="92"/>
        <v>0</v>
      </c>
      <c r="AS65" s="211"/>
      <c r="AT65" s="111">
        <f t="shared" si="85"/>
        <v>1</v>
      </c>
      <c r="AU65" s="204"/>
      <c r="AV65" s="111">
        <f t="shared" si="86"/>
        <v>61</v>
      </c>
      <c r="AW65" s="229">
        <f t="shared" si="93"/>
        <v>62</v>
      </c>
      <c r="AX65" s="4">
        <v>1</v>
      </c>
      <c r="BM65" s="15">
        <f t="shared" si="94"/>
        <v>17</v>
      </c>
    </row>
    <row r="66" spans="1:65" s="4" customFormat="1" ht="15" customHeight="1" x14ac:dyDescent="0.3">
      <c r="A66" s="4">
        <f>_xlfn.XLOOKUP(B66,'UC BMW 2026'!$B$5:$B$65,'UC BMW 2026'!$A$5:$A$65)</f>
        <v>10</v>
      </c>
      <c r="B66" s="8">
        <v>100819</v>
      </c>
      <c r="C66" s="369" t="s">
        <v>74</v>
      </c>
      <c r="D66" s="8">
        <v>9144</v>
      </c>
      <c r="E66" s="379" t="s">
        <v>202</v>
      </c>
      <c r="F66" s="199">
        <f>IFERROR(VLOOKUP(B66,'[2]COMPRAS UC'!$B$11:$O$66,3,0),0)</f>
        <v>91</v>
      </c>
      <c r="G66" s="23">
        <f>IFERROR(VLOOKUP(B66,'[2]COMPRAS YUC'!$B$10:$P$63,3,0),0)</f>
        <v>74</v>
      </c>
      <c r="H66" s="87">
        <f>IFERROR(VLOOKUP(B66,'[2]COMPRAS UC'!$B$11:$O$66,4,0),0)</f>
        <v>96</v>
      </c>
      <c r="I66" s="23">
        <f>IFERROR(VLOOKUP(B66,'[2]COMPRAS YUC'!$B$10:$P$63,4,0),0)</f>
        <v>84</v>
      </c>
      <c r="J66" s="87">
        <f>IFERROR(VLOOKUP(B66,'[2]COMPRAS UC'!$B$11:$O$66,5,0),0)</f>
        <v>124</v>
      </c>
      <c r="K66" s="23">
        <f>IFERROR(VLOOKUP(B66,'[2]COMPRAS YUC'!$B$10:$P$63,5,0),0)</f>
        <v>83</v>
      </c>
      <c r="L66" s="87">
        <f>IFERROR(VLOOKUP(B66,'[2]COMPRAS UC'!$B$11:$O$66,6,0),0)</f>
        <v>121</v>
      </c>
      <c r="M66" s="23">
        <f>IFERROR(VLOOKUP(B66,'[2]COMPRAS YUC'!$B$10:$P$63,6,0),0)</f>
        <v>93</v>
      </c>
      <c r="N66" s="87">
        <f>IFERROR(VLOOKUP(B66,'[2]COMPRAS UC'!$B$11:$O$66,7,0),0)</f>
        <v>124</v>
      </c>
      <c r="O66" s="23">
        <f>IFERROR(VLOOKUP(B66,'[2]COMPRAS YUC'!$B$10:$P$63,7,0),0)</f>
        <v>79</v>
      </c>
      <c r="P66" s="87">
        <f>IFERROR(VLOOKUP(B66,'[2]COMPRAS UC'!$B$11:$O$66,8,0),0)</f>
        <v>185</v>
      </c>
      <c r="Q66" s="23">
        <f>IFERROR(VLOOKUP(B66,'[2]COMPRAS YUC'!$B$10:$P$63,8,0),0)</f>
        <v>29</v>
      </c>
      <c r="R66" s="87">
        <f>IFERROR(VLOOKUP(B66,'[2]COMPRAS UC'!$B$11:$O$66,9,0),0)</f>
        <v>0</v>
      </c>
      <c r="S66" s="23">
        <f>IFERROR(VLOOKUP(B66,'[2]COMPRAS YUC'!$B$10:$P$63,9,0),0)</f>
        <v>0</v>
      </c>
      <c r="T66" s="87">
        <f>IFERROR(VLOOKUP(B66,'[2]COMPRAS UC'!$B$11:$O$66,10,0),0)</f>
        <v>0</v>
      </c>
      <c r="U66" s="23">
        <f>IFERROR(VLOOKUP(B66,'[2]COMPRAS YUC'!$B$10:$P$63,10,0),0)</f>
        <v>0</v>
      </c>
      <c r="V66" s="87">
        <f>IFERROR(VLOOKUP(B66,'[2]COMPRAS UC'!$B$11:$O$66,11,0),0)</f>
        <v>0</v>
      </c>
      <c r="W66" s="23">
        <f>IFERROR(VLOOKUP(B66,'[2]COMPRAS YUC'!$B$10:$P$63,11,0),0)</f>
        <v>0</v>
      </c>
      <c r="X66" s="87">
        <f>IFERROR(VLOOKUP(B66,'[2]COMPRAS UC'!$B$11:$O$66,12,0),0)</f>
        <v>0</v>
      </c>
      <c r="Y66" s="23">
        <f>IFERROR(VLOOKUP(B66,'[2]COMPRAS YUC'!$B$10:$P$63,12,0),0)</f>
        <v>0</v>
      </c>
      <c r="Z66" s="87">
        <f>IFERROR(VLOOKUP(B66,'[2]COMPRAS UC'!$B$11:$O$66,13,0),0)</f>
        <v>0</v>
      </c>
      <c r="AA66" s="23">
        <f>IFERROR(VLOOKUP(B66,'[2]COMPRAS YUC'!$B$10:$P$63,13,0),0)</f>
        <v>0</v>
      </c>
      <c r="AB66" s="87">
        <f>IFERROR(VLOOKUP(B66,'[2]COMPRAS UC'!$B$11:$O$66,14,0),0)</f>
        <v>0</v>
      </c>
      <c r="AC66" s="23">
        <f>IFERROR(VLOOKUP(B66,'[2]COMPRAS YUC'!$B$10:$P$63,14,0),0)</f>
        <v>0</v>
      </c>
      <c r="AD66" s="211">
        <f t="shared" si="87"/>
        <v>0</v>
      </c>
      <c r="AE66" s="111">
        <f t="shared" si="81"/>
        <v>741</v>
      </c>
      <c r="AF66" s="204">
        <f t="shared" si="87"/>
        <v>0</v>
      </c>
      <c r="AG66" s="111">
        <f t="shared" si="82"/>
        <v>442</v>
      </c>
      <c r="AH66" s="229">
        <f t="shared" si="88"/>
        <v>1183</v>
      </c>
      <c r="AI66" s="211">
        <f t="shared" si="95"/>
        <v>0</v>
      </c>
      <c r="AJ66" s="111">
        <f t="shared" si="83"/>
        <v>741</v>
      </c>
      <c r="AK66" s="204">
        <f t="shared" si="95"/>
        <v>0</v>
      </c>
      <c r="AL66" s="111">
        <f t="shared" si="84"/>
        <v>442</v>
      </c>
      <c r="AM66" s="229">
        <f t="shared" si="90"/>
        <v>1183</v>
      </c>
      <c r="AN66" s="211"/>
      <c r="AO66" s="111">
        <f>IF($AN$5="Q1",F66+H66+J66,
IF($AN$5="Q2",L66+N66++P66,
IF($AN$5="Q3",R66+T66+V66,
IF($AN$5="Q4",X66+Z66+AB66,0))))</f>
        <v>0</v>
      </c>
      <c r="AP66" s="204"/>
      <c r="AQ66" s="113">
        <f t="shared" si="91"/>
        <v>0</v>
      </c>
      <c r="AR66" s="229">
        <f t="shared" si="92"/>
        <v>0</v>
      </c>
      <c r="AS66" s="211"/>
      <c r="AT66" s="111">
        <f t="shared" si="85"/>
        <v>741</v>
      </c>
      <c r="AU66" s="204"/>
      <c r="AV66" s="111">
        <f t="shared" si="86"/>
        <v>442</v>
      </c>
      <c r="AW66" s="229">
        <f t="shared" si="93"/>
        <v>1183</v>
      </c>
      <c r="AX66" s="4">
        <v>1</v>
      </c>
      <c r="BM66" s="15">
        <f t="shared" si="94"/>
        <v>631</v>
      </c>
    </row>
    <row r="67" spans="1:65" s="4" customFormat="1" ht="15" customHeight="1" thickBot="1" x14ac:dyDescent="0.35">
      <c r="A67" s="4">
        <f>_xlfn.XLOOKUP(B67,'UC BMW 2026'!$B$5:$B$65,'UC BMW 2026'!$A$5:$A$65)</f>
        <v>10</v>
      </c>
      <c r="B67" s="8">
        <v>100881</v>
      </c>
      <c r="C67" s="369" t="s">
        <v>163</v>
      </c>
      <c r="D67" s="8">
        <v>52622</v>
      </c>
      <c r="E67" s="379" t="s">
        <v>164</v>
      </c>
      <c r="F67" s="199">
        <f>IFERROR(VLOOKUP(B67,'[2]COMPRAS UC'!$B$11:$O$66,3,0),0)</f>
        <v>3</v>
      </c>
      <c r="G67" s="23">
        <f>IFERROR(VLOOKUP(B67,'[2]COMPRAS YUC'!$B$10:$P$63,3,0),0)</f>
        <v>2</v>
      </c>
      <c r="H67" s="87">
        <f>IFERROR(VLOOKUP(B67,'[2]COMPRAS UC'!$B$11:$O$66,4,0),0)</f>
        <v>3</v>
      </c>
      <c r="I67" s="23">
        <f>IFERROR(VLOOKUP(B67,'[2]COMPRAS YUC'!$B$10:$P$63,4,0),0)</f>
        <v>10</v>
      </c>
      <c r="J67" s="87">
        <f>IFERROR(VLOOKUP(B67,'[2]COMPRAS UC'!$B$11:$O$66,5,0),0)</f>
        <v>3</v>
      </c>
      <c r="K67" s="23">
        <f>IFERROR(VLOOKUP(B67,'[2]COMPRAS YUC'!$B$10:$P$63,5,0),0)</f>
        <v>9</v>
      </c>
      <c r="L67" s="87">
        <f>IFERROR(VLOOKUP(B67,'[2]COMPRAS UC'!$B$11:$O$66,6,0),0)</f>
        <v>14</v>
      </c>
      <c r="M67" s="23">
        <f>IFERROR(VLOOKUP(B67,'[2]COMPRAS YUC'!$B$10:$P$63,6,0),0)</f>
        <v>1</v>
      </c>
      <c r="N67" s="87">
        <f>IFERROR(VLOOKUP(B67,'[2]COMPRAS UC'!$B$11:$O$66,7,0),0)</f>
        <v>1</v>
      </c>
      <c r="O67" s="23">
        <f>IFERROR(VLOOKUP(B67,'[2]COMPRAS YUC'!$B$10:$P$63,7,0),0)</f>
        <v>0</v>
      </c>
      <c r="P67" s="87">
        <f>IFERROR(VLOOKUP(B67,'[2]COMPRAS UC'!$B$11:$O$66,8,0),0)</f>
        <v>2</v>
      </c>
      <c r="Q67" s="23">
        <f>IFERROR(VLOOKUP(B67,'[2]COMPRAS YUC'!$B$10:$P$63,8,0),0)</f>
        <v>11</v>
      </c>
      <c r="R67" s="87">
        <f>IFERROR(VLOOKUP(B67,'[2]COMPRAS UC'!$B$11:$O$66,9,0),0)</f>
        <v>0</v>
      </c>
      <c r="S67" s="23">
        <f>IFERROR(VLOOKUP(B67,'[2]COMPRAS YUC'!$B$10:$P$63,9,0),0)</f>
        <v>0</v>
      </c>
      <c r="T67" s="87">
        <f>IFERROR(VLOOKUP(B67,'[2]COMPRAS UC'!$B$11:$O$66,10,0),0)</f>
        <v>0</v>
      </c>
      <c r="U67" s="23">
        <f>IFERROR(VLOOKUP(B67,'[2]COMPRAS YUC'!$B$10:$P$63,10,0),0)</f>
        <v>0</v>
      </c>
      <c r="V67" s="87">
        <f>IFERROR(VLOOKUP(B67,'[2]COMPRAS UC'!$B$11:$O$66,11,0),0)</f>
        <v>0</v>
      </c>
      <c r="W67" s="23">
        <f>IFERROR(VLOOKUP(B67,'[2]COMPRAS YUC'!$B$10:$P$63,11,0),0)</f>
        <v>0</v>
      </c>
      <c r="X67" s="87">
        <f>IFERROR(VLOOKUP(B67,'[2]COMPRAS UC'!$B$11:$O$66,12,0),0)</f>
        <v>0</v>
      </c>
      <c r="Y67" s="23">
        <f>IFERROR(VLOOKUP(B67,'[2]COMPRAS YUC'!$B$10:$P$63,12,0),0)</f>
        <v>0</v>
      </c>
      <c r="Z67" s="87">
        <f>IFERROR(VLOOKUP(B67,'[2]COMPRAS UC'!$B$11:$O$66,13,0),0)</f>
        <v>0</v>
      </c>
      <c r="AA67" s="23">
        <f>IFERROR(VLOOKUP(B67,'[2]COMPRAS YUC'!$B$10:$P$63,13,0),0)</f>
        <v>0</v>
      </c>
      <c r="AB67" s="87">
        <f>IFERROR(VLOOKUP(B67,'[2]COMPRAS UC'!$B$11:$O$66,14,0),0)</f>
        <v>0</v>
      </c>
      <c r="AC67" s="23">
        <f>IFERROR(VLOOKUP(B67,'[2]COMPRAS YUC'!$B$10:$P$63,14,0),0)</f>
        <v>0</v>
      </c>
      <c r="AD67" s="211">
        <f t="shared" si="87"/>
        <v>0</v>
      </c>
      <c r="AE67" s="111">
        <f t="shared" si="81"/>
        <v>26</v>
      </c>
      <c r="AF67" s="204">
        <f t="shared" si="87"/>
        <v>0</v>
      </c>
      <c r="AG67" s="111">
        <f t="shared" si="82"/>
        <v>33</v>
      </c>
      <c r="AH67" s="229">
        <f t="shared" si="88"/>
        <v>59</v>
      </c>
      <c r="AI67" s="211">
        <f t="shared" si="95"/>
        <v>0</v>
      </c>
      <c r="AJ67" s="111">
        <f t="shared" si="83"/>
        <v>26</v>
      </c>
      <c r="AK67" s="204">
        <f t="shared" si="95"/>
        <v>0</v>
      </c>
      <c r="AL67" s="111">
        <f t="shared" si="84"/>
        <v>33</v>
      </c>
      <c r="AM67" s="229">
        <f t="shared" si="90"/>
        <v>59</v>
      </c>
      <c r="AN67" s="211"/>
      <c r="AO67" s="111">
        <f>IF($AN$5="Q1",F67+H67+J67,
IF($AN$5="Q2",L67+N67++P67,
IF($AN$5="Q3",R67+T67+V67,
IF($AN$5="Q4",X67+Z67+AB67,0))))</f>
        <v>0</v>
      </c>
      <c r="AP67" s="204"/>
      <c r="AQ67" s="113">
        <f t="shared" si="91"/>
        <v>0</v>
      </c>
      <c r="AR67" s="229">
        <f t="shared" si="92"/>
        <v>0</v>
      </c>
      <c r="AS67" s="211"/>
      <c r="AT67" s="111">
        <f t="shared" si="85"/>
        <v>26</v>
      </c>
      <c r="AU67" s="204"/>
      <c r="AV67" s="111">
        <f t="shared" si="86"/>
        <v>33</v>
      </c>
      <c r="AW67" s="229">
        <f t="shared" si="93"/>
        <v>59</v>
      </c>
      <c r="AX67" s="4">
        <v>1</v>
      </c>
      <c r="BM67" s="15">
        <f t="shared" si="94"/>
        <v>29</v>
      </c>
    </row>
    <row r="68" spans="1:65" s="4" customFormat="1" ht="15" customHeight="1" thickBot="1" x14ac:dyDescent="0.35">
      <c r="B68" s="7" t="s">
        <v>272</v>
      </c>
      <c r="C68" s="28"/>
      <c r="D68" s="29"/>
      <c r="E68" s="7"/>
      <c r="F68" s="200">
        <f t="shared" ref="F68:AS68" si="96">SUM(F62:F67)</f>
        <v>103</v>
      </c>
      <c r="G68" s="32">
        <f t="shared" si="96"/>
        <v>119</v>
      </c>
      <c r="H68" s="168">
        <f t="shared" si="96"/>
        <v>101</v>
      </c>
      <c r="I68" s="32">
        <f t="shared" si="96"/>
        <v>139</v>
      </c>
      <c r="J68" s="168">
        <f t="shared" si="96"/>
        <v>133</v>
      </c>
      <c r="K68" s="32">
        <f>SUM(K62:K67)</f>
        <v>95</v>
      </c>
      <c r="L68" s="31">
        <f t="shared" si="96"/>
        <v>142</v>
      </c>
      <c r="M68" s="32">
        <f t="shared" si="96"/>
        <v>131</v>
      </c>
      <c r="N68" s="31">
        <f t="shared" si="96"/>
        <v>136</v>
      </c>
      <c r="O68" s="32">
        <f t="shared" si="96"/>
        <v>122</v>
      </c>
      <c r="P68" s="31">
        <f t="shared" si="96"/>
        <v>204</v>
      </c>
      <c r="Q68" s="32">
        <f t="shared" si="96"/>
        <v>54</v>
      </c>
      <c r="R68" s="31">
        <f t="shared" si="96"/>
        <v>0</v>
      </c>
      <c r="S68" s="32">
        <f t="shared" si="96"/>
        <v>0</v>
      </c>
      <c r="T68" s="31">
        <f t="shared" si="96"/>
        <v>0</v>
      </c>
      <c r="U68" s="170">
        <f t="shared" si="96"/>
        <v>0</v>
      </c>
      <c r="V68" s="31">
        <f t="shared" si="96"/>
        <v>0</v>
      </c>
      <c r="W68" s="32">
        <f t="shared" si="96"/>
        <v>0</v>
      </c>
      <c r="X68" s="31">
        <f t="shared" si="96"/>
        <v>0</v>
      </c>
      <c r="Y68" s="32">
        <f t="shared" si="96"/>
        <v>0</v>
      </c>
      <c r="Z68" s="31">
        <f t="shared" si="96"/>
        <v>0</v>
      </c>
      <c r="AA68" s="32">
        <f t="shared" si="96"/>
        <v>0</v>
      </c>
      <c r="AB68" s="31">
        <f t="shared" si="96"/>
        <v>0</v>
      </c>
      <c r="AC68" s="31">
        <f t="shared" si="96"/>
        <v>0</v>
      </c>
      <c r="AD68" s="213">
        <f t="shared" si="96"/>
        <v>0</v>
      </c>
      <c r="AE68" s="114">
        <f t="shared" si="96"/>
        <v>815</v>
      </c>
      <c r="AF68" s="206">
        <f t="shared" si="96"/>
        <v>0</v>
      </c>
      <c r="AG68" s="115">
        <f t="shared" si="96"/>
        <v>660</v>
      </c>
      <c r="AH68" s="245">
        <f>SUM(AH62:AH67)</f>
        <v>1475</v>
      </c>
      <c r="AI68" s="213">
        <f t="shared" si="96"/>
        <v>0</v>
      </c>
      <c r="AJ68" s="114">
        <f t="shared" si="96"/>
        <v>815</v>
      </c>
      <c r="AK68" s="206">
        <f t="shared" si="96"/>
        <v>0</v>
      </c>
      <c r="AL68" s="115">
        <f t="shared" si="96"/>
        <v>660</v>
      </c>
      <c r="AM68" s="245">
        <f>SUM(AM62:AM67)</f>
        <v>1475</v>
      </c>
      <c r="AN68" s="213">
        <f t="shared" si="96"/>
        <v>0</v>
      </c>
      <c r="AO68" s="114">
        <f t="shared" si="96"/>
        <v>0</v>
      </c>
      <c r="AP68" s="206">
        <f t="shared" si="96"/>
        <v>0</v>
      </c>
      <c r="AQ68" s="115">
        <f t="shared" si="96"/>
        <v>0</v>
      </c>
      <c r="AR68" s="245">
        <f>SUM(AR62:AR67)</f>
        <v>0</v>
      </c>
      <c r="AS68" s="213">
        <f t="shared" si="96"/>
        <v>0</v>
      </c>
      <c r="AT68" s="114">
        <f>IF($AS$5="S 1",F68+H68+J68+L68+N68++P68,
IF($AS$5="S 2",R68+T68+V68+X68+Z68+AB68,0))</f>
        <v>819</v>
      </c>
      <c r="AU68" s="206"/>
      <c r="AV68" s="115">
        <f>IF($AS$5="S 1",G68+I68+K68+M68+O68++Q68,
IF($AS$5="S 2",S68+U68+W68+Y68+AA68+AC68,0))</f>
        <v>660</v>
      </c>
      <c r="AW68" s="245">
        <f>SUM(AW62:AW67)</f>
        <v>1475</v>
      </c>
      <c r="BM68" s="15"/>
    </row>
    <row r="69" spans="1:65" s="4" customFormat="1" ht="15" customHeight="1" thickBot="1" x14ac:dyDescent="0.35">
      <c r="B69" s="8">
        <v>12345</v>
      </c>
      <c r="C69" s="369" t="s">
        <v>278</v>
      </c>
      <c r="D69" s="8"/>
      <c r="E69" s="379"/>
      <c r="F69" s="613">
        <f>IFERROR(VLOOKUP(1,'[2]COMPRAS UC'!$B$76:$C$89,2,0),0)</f>
        <v>4</v>
      </c>
      <c r="G69" s="23">
        <f>IFERROR(VLOOKUP(1,'[2]COMPRAS YUC'!$B$71:$C$86,2,0),0)</f>
        <v>12</v>
      </c>
      <c r="H69" s="613">
        <f>IFERROR(VLOOKUP(2,'[2]COMPRAS UC'!$B$76:$C$89,2,0),0)</f>
        <v>3</v>
      </c>
      <c r="I69" s="23">
        <f>IFERROR(VLOOKUP(2,'[2]COMPRAS YUC'!$B$71:$C$86,2,0),0)</f>
        <v>21</v>
      </c>
      <c r="J69" s="613">
        <f>IFERROR(VLOOKUP(3,'[2]COMPRAS UC'!$B$76:$C$89,2,0),0)</f>
        <v>7</v>
      </c>
      <c r="K69" s="23">
        <f>IFERROR(VLOOKUP(3,'[2]COMPRAS YUC'!$B$71:$C$86,2,0),0)</f>
        <v>20</v>
      </c>
      <c r="L69" s="613">
        <f>IFERROR(VLOOKUP(4,'[2]COMPRAS UC'!$B$76:$C$89,2,0),0)</f>
        <v>6</v>
      </c>
      <c r="M69" s="23">
        <f>IFERROR(VLOOKUP(4,'[2]COMPRAS YUC'!$B$71:$C$86,2,0),0)</f>
        <v>17</v>
      </c>
      <c r="N69" s="613">
        <f>IFERROR(VLOOKUP(5,'[2]COMPRAS UC'!$B$76:$C$89,2,0),0)</f>
        <v>8</v>
      </c>
      <c r="O69" s="23">
        <f>IFERROR(VLOOKUP(5,'[2]COMPRAS YUC'!$B$71:$C$86,2,0),0)</f>
        <v>17</v>
      </c>
      <c r="P69" s="613">
        <f>IFERROR(VLOOKUP(6,'[2]COMPRAS UC'!$B$76:$C$89,2,0),0)</f>
        <v>5</v>
      </c>
      <c r="Q69" s="23">
        <f>IFERROR(VLOOKUP(6,'[2]COMPRAS YUC'!$B$71:$C$86,2,0),0)</f>
        <v>13</v>
      </c>
      <c r="R69" s="613">
        <f>IFERROR(VLOOKUP(7,'[2]COMPRAS UC'!$B$76:$C$89,2,0),0)</f>
        <v>0</v>
      </c>
      <c r="S69" s="23">
        <f>IFERROR(VLOOKUP(7,'[2]COMPRAS YUC'!$B$71:$C$86,2,0),0)</f>
        <v>0</v>
      </c>
      <c r="T69" s="613">
        <f>IFERROR(VLOOKUP(8,'[2]COMPRAS UC'!$B$76:$C$89,2,0),0)</f>
        <v>0</v>
      </c>
      <c r="U69" s="23">
        <f>IFERROR(VLOOKUP(8,'[2]COMPRAS YUC'!$B$71:$C$86,2,0),0)</f>
        <v>0</v>
      </c>
      <c r="V69" s="613">
        <f>IFERROR(VLOOKUP(9,'[2]COMPRAS UC'!$B$76:$C$89,2,0),0)</f>
        <v>0</v>
      </c>
      <c r="W69" s="23">
        <f>IFERROR(VLOOKUP(9,'[2]COMPRAS YUC'!$B$71:$C$86,2,0),0)</f>
        <v>0</v>
      </c>
      <c r="X69" s="613">
        <f>IFERROR(VLOOKUP(10,'[2]COMPRAS UC'!$B$76:$C$89,2,0),0)</f>
        <v>0</v>
      </c>
      <c r="Y69" s="23">
        <f>IFERROR(VLOOKUP(10,'[2]COMPRAS YUC'!$B$71:$C$86,2,0),0)</f>
        <v>0</v>
      </c>
      <c r="Z69" s="613">
        <f>IFERROR(VLOOKUP(11,'[2]COMPRAS UC'!$B$76:$C$89,2,0),0)</f>
        <v>0</v>
      </c>
      <c r="AA69" s="23">
        <f>IFERROR(VLOOKUP(11,'[2]COMPRAS YUC'!$B$71:$C$86,2,0),0)</f>
        <v>0</v>
      </c>
      <c r="AB69" s="613">
        <f>IFERROR(VLOOKUP(12,'[2]COMPRAS UC'!$B$76:$C$89,2,0),0)</f>
        <v>0</v>
      </c>
      <c r="AC69" s="23">
        <f>IFERROR(VLOOKUP(12,'[2]COMPRAS YUC'!$B$71:$C$86,2,0),0)</f>
        <v>0</v>
      </c>
      <c r="AD69" s="211"/>
      <c r="AE69" s="111">
        <f t="shared" si="81"/>
        <v>33</v>
      </c>
      <c r="AF69" s="204"/>
      <c r="AG69" s="111">
        <f>IFERROR(IF($AD$4="ENERO",G69,IF($AD$4="FEBRERO",G69+I69,IF($AD$4="MARZO",G69+I69+K69,IF($AD$4="ABRIL",G69+I69+K69+M69,IF($AD$4="MAYO",G69+I69+K69+M69+O69,IF($AD$4="JUNIO",G69+I69+K69+M69+O69+Q69,IF($AD$4="JULIO",G69+I69+K69+M69+O69+Q69+S69,IF($AD$4="AGOSTO",G69+I69+K69+M69+O69+Q69+S69+U69,IF($AD$4="SEPTIEMBRE",G69+I69+K69+M69+O69+Q69+S69+U69+W69,IF($AD$4="OCTUBRE",G69+I69+K69+M69+O69+Q69+S69+U69+W69+Y69,IF($AD$4="NOVIEMBRE",G69+I69+K69+M69+O69+Q69+S69+U69+W69+Y69+AA69,IF($AD$4="DICIEMBRE",G69+I69+K69+M69+O69+Q69+S69+U69+W69+Y69+AA69+AC69,"")))))))))))),0)</f>
        <v>100</v>
      </c>
      <c r="AH69" s="229">
        <f>IFERROR(AE69+AG69,0)</f>
        <v>133</v>
      </c>
      <c r="AI69" s="211"/>
      <c r="AJ69" s="111">
        <f t="shared" si="83"/>
        <v>33</v>
      </c>
      <c r="AK69" s="204"/>
      <c r="AL69" s="111">
        <f>IFERROR(SUM(G69,I69,K69,M69,O69,Q69,S69,U69,W69,Y69,AA69,AC69),0)</f>
        <v>100</v>
      </c>
      <c r="AM69" s="229">
        <f>AJ69+AL69</f>
        <v>133</v>
      </c>
      <c r="AN69" s="211"/>
      <c r="AO69" s="111">
        <f>IF($AN$5="Q1",F69+H69+J69,
IF($AN$5="Q2",L69+N69++P69,
IF($AN$5="Q3",R69+T69+V69,
IF($AN$5="Q4",X69+Z69+AB69,0))))</f>
        <v>0</v>
      </c>
      <c r="AP69" s="204"/>
      <c r="AQ69" s="113">
        <f>IF($AN$5="Q1",G69+I69+K69,
IF($AN$5="Q2",M69+O69++Q69,
IF($AN$5="Q3",S69+U69+W69,
IF($AN$5="Q4",Y69+AA69+AC69,0))))</f>
        <v>0</v>
      </c>
      <c r="AR69" s="229">
        <f>AO69+AQ69</f>
        <v>0</v>
      </c>
      <c r="AS69" s="211"/>
      <c r="AT69" s="111">
        <f t="shared" si="85"/>
        <v>33</v>
      </c>
      <c r="AU69" s="204"/>
      <c r="AV69" s="111">
        <f>IFERROR(IF($AS$5="S 1",G69+I69+K69+M69+O69++Q69,
IF($AS$5="S 2",S69+U69+W69+Y69+AA69+AC69,0)),0)</f>
        <v>100</v>
      </c>
      <c r="AW69" s="229">
        <f>AT69+AV69</f>
        <v>133</v>
      </c>
      <c r="BM69" s="15"/>
    </row>
    <row r="70" spans="1:65" s="4" customFormat="1" ht="15" customHeight="1" thickBot="1" x14ac:dyDescent="0.4">
      <c r="B70" s="6" t="s">
        <v>27</v>
      </c>
      <c r="C70" s="37"/>
      <c r="D70" s="38"/>
      <c r="E70" s="6"/>
      <c r="F70" s="39">
        <f t="shared" ref="F70:AC70" si="97">F11+F17+F23+F31+F37+F44+F48+F55+F61+F68+F69</f>
        <v>192</v>
      </c>
      <c r="G70" s="39">
        <f t="shared" si="97"/>
        <v>459</v>
      </c>
      <c r="H70" s="39">
        <f t="shared" si="97"/>
        <v>275</v>
      </c>
      <c r="I70" s="39">
        <f t="shared" si="97"/>
        <v>494</v>
      </c>
      <c r="J70" s="39">
        <f t="shared" si="97"/>
        <v>292</v>
      </c>
      <c r="K70" s="39">
        <f t="shared" si="97"/>
        <v>459</v>
      </c>
      <c r="L70" s="39">
        <f t="shared" si="97"/>
        <v>329</v>
      </c>
      <c r="M70" s="39">
        <f t="shared" si="97"/>
        <v>499</v>
      </c>
      <c r="N70" s="39">
        <f t="shared" si="97"/>
        <v>275</v>
      </c>
      <c r="O70" s="39">
        <f t="shared" si="97"/>
        <v>460</v>
      </c>
      <c r="P70" s="39">
        <f t="shared" si="97"/>
        <v>416</v>
      </c>
      <c r="Q70" s="39">
        <f t="shared" si="97"/>
        <v>319</v>
      </c>
      <c r="R70" s="39">
        <f t="shared" si="97"/>
        <v>0</v>
      </c>
      <c r="S70" s="39">
        <f t="shared" si="97"/>
        <v>0</v>
      </c>
      <c r="T70" s="39">
        <f t="shared" si="97"/>
        <v>0</v>
      </c>
      <c r="U70" s="39">
        <f t="shared" si="97"/>
        <v>0</v>
      </c>
      <c r="V70" s="39">
        <f t="shared" si="97"/>
        <v>0</v>
      </c>
      <c r="W70" s="39">
        <f t="shared" si="97"/>
        <v>0</v>
      </c>
      <c r="X70" s="39">
        <f t="shared" si="97"/>
        <v>0</v>
      </c>
      <c r="Y70" s="39">
        <f t="shared" si="97"/>
        <v>0</v>
      </c>
      <c r="Z70" s="39">
        <f t="shared" si="97"/>
        <v>0</v>
      </c>
      <c r="AA70" s="39">
        <f t="shared" si="97"/>
        <v>0</v>
      </c>
      <c r="AB70" s="39">
        <f t="shared" si="97"/>
        <v>0</v>
      </c>
      <c r="AC70" s="39">
        <f t="shared" si="97"/>
        <v>0</v>
      </c>
      <c r="AD70" s="214" t="e">
        <f>AD68+#REF!+#REF!+AD61+#REF!+#REF!</f>
        <v>#REF!</v>
      </c>
      <c r="AE70" s="39">
        <f>AE11+AE17+AE23+AE31+AE37+AE44+AE48+AE55+AE61+AE68+AE69</f>
        <v>1775</v>
      </c>
      <c r="AF70" s="207" t="e">
        <f>AF68+#REF!+#REF!+AF61+#REF!+#REF!</f>
        <v>#REF!</v>
      </c>
      <c r="AG70" s="39">
        <f>AG11+AG17+AG23+AG31+AG37+AG44+AG48+AG55+AG61+AG68+AG69</f>
        <v>2690</v>
      </c>
      <c r="AH70" s="39">
        <f>AH11+AH17+AH23+AH31+AH37+AH44+AH48+AH55+AH61+AH68+AH69</f>
        <v>4465</v>
      </c>
      <c r="AI70" s="214" t="e">
        <f>AI68+#REF!+#REF!+AI61+#REF!+#REF!</f>
        <v>#REF!</v>
      </c>
      <c r="AJ70" s="39">
        <f>AJ11+AJ17+AJ23+AJ31+AJ37+AJ44+AJ48+AJ55+AJ61+AJ68+AJ69</f>
        <v>1775</v>
      </c>
      <c r="AK70" s="207" t="e">
        <f>AK68+#REF!+#REF!+AK61+#REF!+#REF!</f>
        <v>#REF!</v>
      </c>
      <c r="AL70" s="39">
        <f>AL11+AL17+AL23+AL31+AL37+AL44+AL48+AL55+AL61+AL68+AL69</f>
        <v>2690</v>
      </c>
      <c r="AM70" s="39">
        <f>AM11+AM17+AM23+AM31+AM37+AM44+AM48+AM55+AM61+AM68+AM69</f>
        <v>4465</v>
      </c>
      <c r="AN70" s="214" t="e">
        <f>AN68+#REF!+#REF!+AN61+#REF!+#REF!</f>
        <v>#REF!</v>
      </c>
      <c r="AO70" s="39">
        <f>AO11+AO17+AO23+AO31+AO37+AO44+AO48+AO55+AO61+AO68+AO69</f>
        <v>0</v>
      </c>
      <c r="AP70" s="207" t="e">
        <f>AP68+#REF!+#REF!+AP61+#REF!+#REF!</f>
        <v>#REF!</v>
      </c>
      <c r="AQ70" s="39">
        <f>AQ11+AQ17+AQ23+AQ31+AQ37+AQ44+AQ48+AQ55+AQ61+AQ68+AQ69</f>
        <v>0</v>
      </c>
      <c r="AR70" s="39">
        <f>AR11+AR17+AR23+AR31+AR37+AR44+AR48+AR55+AR61+AR68+AR69</f>
        <v>0</v>
      </c>
      <c r="AS70" s="214" t="e">
        <f>AS68+#REF!+#REF!+AS61+#REF!+#REF!</f>
        <v>#REF!</v>
      </c>
      <c r="AT70" s="39">
        <f>AT11+AT17+AT23+AT31+AT37+AT44+AT48+AT55+AT61+AT68+AT69</f>
        <v>1779</v>
      </c>
      <c r="AU70" s="207" t="e">
        <f>AU68+#REF!+#REF!+AU61+#REF!+#REF!</f>
        <v>#REF!</v>
      </c>
      <c r="AV70" s="39">
        <f>AV11+AV17+AV23+AV31+AV37+AV44+AV48+AV55+AV61+AV68+AV69</f>
        <v>2690</v>
      </c>
      <c r="AW70" s="39">
        <f>AW11+AW17+AW23+AW31+AW37+AW44+AW48+AW55+AW61+AW68+AW69</f>
        <v>4465</v>
      </c>
    </row>
    <row r="71" spans="1:65" s="4" customFormat="1" x14ac:dyDescent="0.35">
      <c r="B71" s="5"/>
      <c r="D71" s="139"/>
      <c r="G71" s="15"/>
    </row>
    <row r="72" spans="1:65" x14ac:dyDescent="0.25">
      <c r="F72" s="613">
        <f>IFERROR(VLOOKUP(1,'[2]COMPRAS UC'!$B$76:$C$89,2,0),0)</f>
        <v>4</v>
      </c>
      <c r="G72" s="605"/>
      <c r="H72" s="605"/>
      <c r="I72" s="605"/>
      <c r="J72" s="605"/>
      <c r="K72" s="605"/>
      <c r="L72" s="605"/>
      <c r="M72" s="605"/>
      <c r="N72" s="605"/>
      <c r="O72" s="605"/>
      <c r="P72" s="605"/>
      <c r="Q72" s="605"/>
      <c r="AE72" s="41"/>
      <c r="AF72" s="41"/>
      <c r="AG72" s="41"/>
    </row>
    <row r="73" spans="1:65" x14ac:dyDescent="0.25">
      <c r="L73" s="2" t="s">
        <v>182</v>
      </c>
    </row>
    <row r="75" spans="1:65" ht="13" thickBot="1" x14ac:dyDescent="0.3">
      <c r="K75" s="41"/>
      <c r="AJ75" s="41"/>
    </row>
    <row r="76" spans="1:65" ht="14.5" customHeight="1" x14ac:dyDescent="0.35">
      <c r="F76" s="618" t="s">
        <v>262</v>
      </c>
      <c r="G76" s="619"/>
      <c r="H76" s="620"/>
      <c r="I76" s="174"/>
      <c r="J76" s="174"/>
      <c r="K76" s="174"/>
      <c r="L76" s="174"/>
      <c r="M76" s="174"/>
      <c r="N76" s="356"/>
      <c r="O76" s="356"/>
      <c r="P76" s="356"/>
      <c r="Q76" s="356"/>
      <c r="R76" s="356"/>
      <c r="S76" s="357"/>
    </row>
    <row r="77" spans="1:65" ht="15" thickBot="1" x14ac:dyDescent="0.4">
      <c r="F77" s="621"/>
      <c r="G77" s="622"/>
      <c r="H77" s="623"/>
      <c r="I77"/>
      <c r="J77"/>
      <c r="K77"/>
      <c r="L77"/>
      <c r="M77"/>
      <c r="S77" s="358"/>
      <c r="X77" s="2" t="s">
        <v>242</v>
      </c>
    </row>
    <row r="78" spans="1:65" ht="14.5" x14ac:dyDescent="0.35">
      <c r="F78" s="359"/>
      <c r="G78"/>
      <c r="H78"/>
      <c r="I78"/>
      <c r="J78"/>
      <c r="K78"/>
      <c r="L78"/>
      <c r="M78" t="s">
        <v>261</v>
      </c>
      <c r="S78" s="358"/>
    </row>
    <row r="79" spans="1:65" ht="14.5" x14ac:dyDescent="0.35">
      <c r="F79" s="359" t="s">
        <v>175</v>
      </c>
      <c r="G79" t="str">
        <f>M78</f>
        <v>Actual acumulado 2026 &amp; 2025.xlsx</v>
      </c>
      <c r="H79"/>
      <c r="I79"/>
      <c r="J79"/>
      <c r="K79"/>
      <c r="L79"/>
      <c r="M79" s="360"/>
      <c r="S79" s="358"/>
    </row>
    <row r="80" spans="1:65" ht="14.5" x14ac:dyDescent="0.35">
      <c r="F80" s="359" t="s">
        <v>176</v>
      </c>
      <c r="G80" t="s">
        <v>183</v>
      </c>
      <c r="H80"/>
      <c r="I80"/>
      <c r="J80"/>
      <c r="K80"/>
      <c r="L80"/>
      <c r="M80" s="360" t="str">
        <f>HYPERLINK("O:\USED CAR &amp; REMARKETING\ZY-Cross\2025\ACTUAL\ES\ACTUAL ACUMULADO 25_26\Actual acumulado 2026 &amp; 2025.xlsx", "Fichero YUC/UC")</f>
        <v>Fichero YUC/UC</v>
      </c>
      <c r="S80" s="358"/>
    </row>
    <row r="81" spans="2:19" ht="14.5" x14ac:dyDescent="0.35">
      <c r="F81" s="361" t="s">
        <v>184</v>
      </c>
      <c r="G81" s="354" t="s">
        <v>186</v>
      </c>
      <c r="H81"/>
      <c r="I81"/>
      <c r="J81"/>
      <c r="K81"/>
      <c r="L81"/>
      <c r="M81"/>
      <c r="S81" s="358"/>
    </row>
    <row r="82" spans="2:19" ht="14.5" x14ac:dyDescent="0.35">
      <c r="F82" s="361"/>
      <c r="G82" s="354"/>
      <c r="H82"/>
      <c r="I82"/>
      <c r="J82"/>
      <c r="K82"/>
      <c r="L82" s="376"/>
      <c r="M82"/>
      <c r="O82" s="2" t="s">
        <v>160</v>
      </c>
      <c r="P82" s="2" t="s">
        <v>195</v>
      </c>
      <c r="S82" s="358"/>
    </row>
    <row r="83" spans="2:19" ht="14.5" x14ac:dyDescent="0.35">
      <c r="F83" s="359"/>
      <c r="G83" t="str">
        <f>CONCATENATE("'[", G79, "]", G80, "'", G81)</f>
        <v>'[Actual acumulado 2026 &amp; 2025.xlsx]Tabla YUC_UC'!$O$12:$T$80</v>
      </c>
      <c r="H83"/>
      <c r="I83"/>
      <c r="J83"/>
      <c r="K83"/>
      <c r="L83"/>
      <c r="M83"/>
      <c r="O83" s="2" t="s">
        <v>159</v>
      </c>
      <c r="P83" s="2" t="s">
        <v>196</v>
      </c>
      <c r="S83" s="358"/>
    </row>
    <row r="84" spans="2:19" ht="15" thickBot="1" x14ac:dyDescent="0.4">
      <c r="F84" s="362"/>
      <c r="G84" s="365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4"/>
    </row>
    <row r="88" spans="2:19" x14ac:dyDescent="0.25">
      <c r="B88" s="2"/>
      <c r="H88" s="2" t="str">
        <f>IFERROR(VLOOKUP(#REF!,'[3]Tabla YUC_UC'!$O$12:$R$44,4,0),"")</f>
        <v/>
      </c>
      <c r="I88" s="2" t="str">
        <f>IFERROR(VLOOKUP(#REF!,'[3]Tabla YUC_UC'!$O$12:$R$44,3,0),"")</f>
        <v/>
      </c>
    </row>
    <row r="89" spans="2:19" x14ac:dyDescent="0.25">
      <c r="B89" s="2"/>
    </row>
    <row r="90" spans="2:19" x14ac:dyDescent="0.25">
      <c r="B90" s="2"/>
    </row>
    <row r="91" spans="2:19" x14ac:dyDescent="0.25">
      <c r="B91" s="2"/>
    </row>
    <row r="92" spans="2:19" x14ac:dyDescent="0.25">
      <c r="B92" s="2"/>
    </row>
    <row r="93" spans="2:19" x14ac:dyDescent="0.25">
      <c r="B93" s="2"/>
    </row>
    <row r="94" spans="2:19" x14ac:dyDescent="0.25">
      <c r="B94" s="2"/>
    </row>
  </sheetData>
  <autoFilter ref="A6:BL70" xr:uid="{00000000-0001-0000-0300-000000000000}">
    <filterColumn colId="3" showButton="0"/>
  </autoFilter>
  <mergeCells count="22">
    <mergeCell ref="A3:AO3"/>
    <mergeCell ref="B5:B6"/>
    <mergeCell ref="C5:C6"/>
    <mergeCell ref="D5:E6"/>
    <mergeCell ref="F5:G5"/>
    <mergeCell ref="H5:I5"/>
    <mergeCell ref="J5:K5"/>
    <mergeCell ref="L5:M5"/>
    <mergeCell ref="N5:O5"/>
    <mergeCell ref="P5:Q5"/>
    <mergeCell ref="AD5:AH5"/>
    <mergeCell ref="AI5:AM5"/>
    <mergeCell ref="AN5:AR5"/>
    <mergeCell ref="BA5:BE5"/>
    <mergeCell ref="AS5:AW5"/>
    <mergeCell ref="F76:H77"/>
    <mergeCell ref="R5:S5"/>
    <mergeCell ref="T5:U5"/>
    <mergeCell ref="V5:W5"/>
    <mergeCell ref="X5:Y5"/>
    <mergeCell ref="Z5:AA5"/>
    <mergeCell ref="AB5:AC5"/>
  </mergeCells>
  <conditionalFormatting sqref="F2:G2 F5">
    <cfRule type="expression" dxfId="289" priority="18">
      <formula>IF($AD$4="ENERO","VERDADERO")</formula>
    </cfRule>
  </conditionalFormatting>
  <conditionalFormatting sqref="F2:AC2 F5 H5 J5 L5 N5 P5 R5 T5 V5 X5 Z5 AB5">
    <cfRule type="expression" dxfId="288" priority="7">
      <formula>IF($AD$4="DICIEMBRE","VERDADERO")</formula>
    </cfRule>
  </conditionalFormatting>
  <conditionalFormatting sqref="F2:AC2 F5 H5 J5 L5 N5 P5 R5 T5 V5 X5 Z5">
    <cfRule type="expression" dxfId="287" priority="8">
      <formula>IF($AD$4="NOVIEMBRE","VERDADERO")</formula>
    </cfRule>
  </conditionalFormatting>
  <conditionalFormatting sqref="F2:AC2 F5 H5 J5 L5 N5 P5 R5 T5 V5 X5">
    <cfRule type="expression" dxfId="286" priority="9">
      <formula>IF($AD$4="OCTUBRE","VERDADERO")</formula>
    </cfRule>
    <cfRule type="expression" dxfId="285" priority="10">
      <formula>IF($AD$4="SEPTIEMBRE","VERDADERO")</formula>
    </cfRule>
  </conditionalFormatting>
  <conditionalFormatting sqref="F2:AC2 F5 H5 J5 L5 N5 P5 R5 T5">
    <cfRule type="expression" dxfId="284" priority="11">
      <formula>IF($AD$4="AGOSTO","VERDADERO")</formula>
    </cfRule>
    <cfRule type="expression" dxfId="283" priority="12">
      <formula>IF($AD$4="JULIO","VERDADERO")</formula>
    </cfRule>
    <cfRule type="expression" dxfId="282" priority="13">
      <formula>IF($AD$4="JUNIO","VERDADERO")</formula>
    </cfRule>
  </conditionalFormatting>
  <conditionalFormatting sqref="F2:AC2 F5 H5 J5 L5 N5 R5 T5">
    <cfRule type="expression" dxfId="281" priority="14">
      <formula>IF($AD$4="MAYO","VERDADERO")</formula>
    </cfRule>
  </conditionalFormatting>
  <conditionalFormatting sqref="F2:AC2 F5 H5 J5 L5 R5 T5">
    <cfRule type="expression" dxfId="280" priority="15">
      <formula>IF($AD$4="ABRIL","VERDADERO")</formula>
    </cfRule>
    <cfRule type="expression" dxfId="279" priority="16">
      <formula>IF($AD$4="MARZO","VERDADERO")</formula>
    </cfRule>
  </conditionalFormatting>
  <conditionalFormatting sqref="F2:AC2 F5 H5">
    <cfRule type="expression" dxfId="278" priority="17">
      <formula>IF($AD$4="FEBRERO","VERDADERO")</formula>
    </cfRule>
  </conditionalFormatting>
  <conditionalFormatting sqref="AM7:AM10 AR7:AR10 AW7:AW10 AH7:AH10 AM24:AM30 AR24:AR30 AW24:AW30 AH24:AH30 AM32:AM36 AR32:AR36 AW32:AW36 AH32:AH36 AM38:AM43 AR38:AR43 AW38:AW43 AH38:AH43 AM45:AM47 AR45:AR47 AW45:AW47 AH45:AH47 AM49:AM54 AR49:AR54 AW49:AW54 AH49:AH54 AR56:AR60 AH56:AH60 AM56:AM60 AW56:AW60 AR62:AR67 AH62:AH67 AM62:AM67 AW62:AW67 AM18:AM22 AM12:AM16 AR18:AR22 AR12:AR16 AW18:AW22 AW12:AW16 AH18:AH22 AH12:AH16 AH69 AM69 AR69 AW69">
    <cfRule type="cellIs" dxfId="277" priority="2" operator="equal">
      <formula>"N.D."</formula>
    </cfRule>
    <cfRule type="cellIs" dxfId="276" priority="3" operator="lessThan">
      <formula>0.7</formula>
    </cfRule>
    <cfRule type="cellIs" dxfId="275" priority="4" operator="between">
      <formula>0.7</formula>
      <formula>0.99</formula>
    </cfRule>
    <cfRule type="cellIs" dxfId="274" priority="5" operator="greaterThanOrEqual">
      <formula>1</formula>
    </cfRule>
  </conditionalFormatting>
  <conditionalFormatting sqref="AR3 A3">
    <cfRule type="duplicateValues" dxfId="273" priority="6"/>
  </conditionalFormatting>
  <conditionalFormatting sqref="H76:J84 N76:P84">
    <cfRule type="cellIs" dxfId="272" priority="1" operator="greaterThan">
      <formula>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7E463E-1987-4E7E-AF3F-63DCCAF3290B}">
          <x14:formula1>
            <xm:f>MAESTRO!$H$3:$H$14</xm:f>
          </x14:formula1>
          <xm:sqref>AD4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F049-259B-4DC8-BB07-BD659E5B3A54}">
  <sheetPr codeName="Hoja4">
    <tabColor theme="3" tint="0.59999389629810485"/>
    <pageSetUpPr fitToPage="1"/>
  </sheetPr>
  <dimension ref="A1:EA90"/>
  <sheetViews>
    <sheetView topLeftCell="A3" workbookViewId="0">
      <selection activeCell="P69" sqref="P69"/>
    </sheetView>
  </sheetViews>
  <sheetFormatPr baseColWidth="10" defaultColWidth="11.453125" defaultRowHeight="14.5" x14ac:dyDescent="0.35"/>
  <cols>
    <col min="1" max="1" width="2.90625" style="2" customWidth="1"/>
    <col min="2" max="2" width="10.54296875" style="3" customWidth="1"/>
    <col min="3" max="3" width="21.81640625" style="2" customWidth="1"/>
    <col min="4" max="4" width="2.1796875" style="2" customWidth="1"/>
    <col min="5" max="5" width="22.1796875" style="2" customWidth="1"/>
    <col min="6" max="77" width="6.54296875" style="2" customWidth="1"/>
    <col min="78" max="83" width="10.54296875" style="2" customWidth="1"/>
    <col min="84" max="84" width="11.453125" style="2" customWidth="1"/>
    <col min="85" max="90" width="10.54296875" style="2" customWidth="1"/>
    <col min="91" max="91" width="11.54296875" style="2" customWidth="1"/>
    <col min="92" max="94" width="10.54296875" style="2" hidden="1" customWidth="1"/>
    <col min="95" max="98" width="11.453125" style="2" hidden="1" customWidth="1"/>
    <col min="99" max="105" width="11.453125" style="2" customWidth="1"/>
    <col min="106" max="112" width="11.453125" style="2" hidden="1" customWidth="1"/>
    <col min="113" max="113" width="11.453125" style="2"/>
    <col min="114" max="121" width="17.7265625" style="2" hidden="1" customWidth="1"/>
    <col min="122" max="122" width="17.7265625" customWidth="1"/>
    <col min="123" max="123" width="17.7265625" style="2" bestFit="1" customWidth="1"/>
    <col min="124" max="124" width="11.453125" style="2"/>
    <col min="125" max="125" width="15.7265625" style="2" customWidth="1"/>
    <col min="126" max="16384" width="11.453125" style="2"/>
  </cols>
  <sheetData>
    <row r="1" spans="1:129" ht="14.15" hidden="1" customHeight="1" x14ac:dyDescent="0.35">
      <c r="E1" s="117" t="s">
        <v>109</v>
      </c>
      <c r="F1" s="2" t="s">
        <v>0</v>
      </c>
      <c r="G1" s="2" t="s">
        <v>0</v>
      </c>
      <c r="H1" s="2" t="s">
        <v>0</v>
      </c>
      <c r="I1" s="2" t="s">
        <v>0</v>
      </c>
      <c r="L1" s="2" t="s">
        <v>1</v>
      </c>
      <c r="M1" s="2" t="s">
        <v>1</v>
      </c>
      <c r="N1" s="2" t="s">
        <v>1</v>
      </c>
      <c r="O1" s="2" t="s">
        <v>1</v>
      </c>
      <c r="R1" s="2" t="s">
        <v>2</v>
      </c>
      <c r="S1" s="2" t="s">
        <v>2</v>
      </c>
      <c r="T1" s="2" t="s">
        <v>2</v>
      </c>
      <c r="U1" s="2" t="s">
        <v>2</v>
      </c>
      <c r="X1" s="2" t="s">
        <v>3</v>
      </c>
      <c r="Y1" s="2" t="s">
        <v>3</v>
      </c>
      <c r="Z1" s="2" t="s">
        <v>3</v>
      </c>
      <c r="AA1" s="2" t="s">
        <v>3</v>
      </c>
      <c r="AD1" s="2" t="s">
        <v>4</v>
      </c>
      <c r="AE1" s="2" t="s">
        <v>4</v>
      </c>
      <c r="AF1" s="2" t="s">
        <v>4</v>
      </c>
      <c r="AG1" s="2" t="s">
        <v>4</v>
      </c>
      <c r="AJ1" s="2" t="s">
        <v>5</v>
      </c>
      <c r="AK1" s="2" t="s">
        <v>5</v>
      </c>
      <c r="AL1" s="2" t="s">
        <v>5</v>
      </c>
      <c r="AM1" s="2" t="s">
        <v>5</v>
      </c>
      <c r="AP1" s="2" t="s">
        <v>6</v>
      </c>
      <c r="AQ1" s="2" t="s">
        <v>6</v>
      </c>
      <c r="AR1" s="2" t="s">
        <v>6</v>
      </c>
      <c r="AS1" s="2" t="s">
        <v>6</v>
      </c>
      <c r="AV1" s="2" t="s">
        <v>7</v>
      </c>
      <c r="AW1" s="2" t="s">
        <v>7</v>
      </c>
      <c r="AX1" s="2" t="s">
        <v>7</v>
      </c>
      <c r="AY1" s="2" t="s">
        <v>7</v>
      </c>
      <c r="BB1" s="2" t="s">
        <v>101</v>
      </c>
      <c r="BC1" s="2" t="s">
        <v>101</v>
      </c>
      <c r="BD1" s="2" t="s">
        <v>101</v>
      </c>
      <c r="BE1" s="2" t="s">
        <v>101</v>
      </c>
      <c r="BH1" s="2" t="s">
        <v>102</v>
      </c>
      <c r="BI1" s="2" t="s">
        <v>102</v>
      </c>
      <c r="BJ1" s="2" t="s">
        <v>102</v>
      </c>
      <c r="BK1" s="2" t="s">
        <v>102</v>
      </c>
      <c r="BN1" s="2" t="s">
        <v>103</v>
      </c>
      <c r="BO1" s="2" t="s">
        <v>103</v>
      </c>
      <c r="BP1" s="2" t="s">
        <v>103</v>
      </c>
      <c r="BQ1" s="2" t="s">
        <v>103</v>
      </c>
      <c r="BT1" s="2" t="s">
        <v>104</v>
      </c>
      <c r="BU1" s="2" t="s">
        <v>104</v>
      </c>
      <c r="BV1" s="2" t="s">
        <v>104</v>
      </c>
      <c r="BW1" s="2" t="s">
        <v>104</v>
      </c>
    </row>
    <row r="2" spans="1:129" hidden="1" x14ac:dyDescent="0.35">
      <c r="E2" s="117" t="s">
        <v>108</v>
      </c>
      <c r="F2" s="118" t="str">
        <f>$BZ$4</f>
        <v>JUNIO</v>
      </c>
      <c r="G2" s="118" t="str">
        <f>$BZ$4</f>
        <v>JUNIO</v>
      </c>
      <c r="H2" s="118" t="str">
        <f>$BZ$4</f>
        <v>JUNIO</v>
      </c>
      <c r="I2" s="118" t="str">
        <f>$BZ$4</f>
        <v>JUNIO</v>
      </c>
      <c r="J2" s="118"/>
      <c r="K2" s="118"/>
      <c r="L2" s="118" t="str">
        <f>IF($BZ$4="ENERO",0,$BZ$4)</f>
        <v>JUNIO</v>
      </c>
      <c r="M2" s="118" t="str">
        <f>IF($BZ$4="ENERO",0,$BZ$4)</f>
        <v>JUNIO</v>
      </c>
      <c r="N2" s="118" t="str">
        <f>IF($BZ$4="ENERO",0,$BZ$4)</f>
        <v>JUNIO</v>
      </c>
      <c r="O2" s="118" t="str">
        <f>IF($BZ$4="ENERO",0,$BZ$4)</f>
        <v>JUNIO</v>
      </c>
      <c r="P2" s="118"/>
      <c r="Q2" s="118"/>
      <c r="R2" s="118" t="str">
        <f>IF(OR($BZ$4="ENERO",$BZ$4="FEBRERO"),0,$BZ$4)</f>
        <v>JUNIO</v>
      </c>
      <c r="S2" s="118" t="str">
        <f>IF(OR($BZ$4="ENERO",$BZ$4="FEBRERO"),0,$BZ$4)</f>
        <v>JUNIO</v>
      </c>
      <c r="T2" s="118" t="str">
        <f>IF(OR($BZ$4="ENERO",$BZ$4="FEBRERO"),0,$BZ$4)</f>
        <v>JUNIO</v>
      </c>
      <c r="U2" s="118" t="str">
        <f>IF(OR($BZ$4="ENERO",$BZ$4="FEBRERO"),0,$BZ$4)</f>
        <v>JUNIO</v>
      </c>
      <c r="V2" s="118"/>
      <c r="W2" s="118"/>
      <c r="X2" s="118" t="str">
        <f>IF(OR($BZ$4="ENERO",$BZ$4="FEBRERO",$BZ$4="MARZO"),0,$BZ$4)</f>
        <v>JUNIO</v>
      </c>
      <c r="Y2" s="118" t="str">
        <f>IF(OR($BZ$4="ENERO",$BZ$4="FEBRERO",$BZ$4="MARZO"),0,$BZ$4)</f>
        <v>JUNIO</v>
      </c>
      <c r="Z2" s="118" t="str">
        <f>IF(OR($BZ$4="ENERO",$BZ$4="FEBRERO",$BZ$4="MARZO"),0,$BZ$4)</f>
        <v>JUNIO</v>
      </c>
      <c r="AA2" s="118" t="str">
        <f>IF(OR($BZ$4="ENERO",$BZ$4="FEBRERO",$BZ$4="MARZO"),0,$BZ$4)</f>
        <v>JUNIO</v>
      </c>
      <c r="AB2" s="118"/>
      <c r="AC2" s="118"/>
      <c r="AD2" s="118" t="str">
        <f>IF(OR($BZ$4="ENERO",$BZ$4="FEBRERO",$BZ$4="MARZO",$BZ$4="ABRIL"),0,$BZ$4)</f>
        <v>JUNIO</v>
      </c>
      <c r="AE2" s="118" t="str">
        <f>IF(OR($BZ$4="ENERO",$BZ$4="FEBRERO",$BZ$4="MARZO",$BZ$4="ABRIL"),0,$BZ$4)</f>
        <v>JUNIO</v>
      </c>
      <c r="AF2" s="118" t="str">
        <f>IF(OR($BZ$4="ENERO",$BZ$4="FEBRERO",$BZ$4="MARZO",$BZ$4="ABRIL"),0,$BZ$4)</f>
        <v>JUNIO</v>
      </c>
      <c r="AG2" s="118" t="str">
        <f>IF(OR($BZ$4="ENERO",$BZ$4="FEBRERO",$BZ$4="MARZO",$BZ$4="ABRIL"),0,$BZ$4)</f>
        <v>JUNIO</v>
      </c>
      <c r="AH2" s="118"/>
      <c r="AI2" s="118"/>
      <c r="AJ2" s="118" t="str">
        <f>IF(OR($BZ$4="ENERO",$BZ$4="FEBRERO",$BZ$4="MARZO",$BZ$4="ABRIL",$BZ$4="MAYO"),0,$BZ$4)</f>
        <v>JUNIO</v>
      </c>
      <c r="AK2" s="118" t="str">
        <f>IF(OR($BZ$4="ENERO",$BZ$4="FEBRERO",$BZ$4="MARZO",$BZ$4="ABRIL",$BZ$4="MAYO"),0,$BZ$4)</f>
        <v>JUNIO</v>
      </c>
      <c r="AL2" s="118" t="str">
        <f>IF(OR($BZ$4="ENERO",$BZ$4="FEBRERO",$BZ$4="MARZO",$BZ$4="ABRIL",$BZ$4="MAYO"),0,$BZ$4)</f>
        <v>JUNIO</v>
      </c>
      <c r="AM2" s="118" t="str">
        <f>IF(OR($BZ$4="ENERO",$BZ$4="FEBRERO",$BZ$4="MARZO",$BZ$4="ABRIL",$BZ$4="MAYO"),0,$BZ$4)</f>
        <v>JUNIO</v>
      </c>
      <c r="AN2" s="118"/>
      <c r="AO2" s="118"/>
      <c r="AP2" s="118">
        <f>IF(OR($BZ$4="ENERO",$BZ$4="FEBRERO",$BZ$4="MARZO",$BZ$4="ABRIL",$BZ$4="MAYO",$BZ$4="JUNIO"),0,$BZ$4)</f>
        <v>0</v>
      </c>
      <c r="AQ2" s="118">
        <f>IF(OR($BZ$4="ENERO",$BZ$4="FEBRERO",$BZ$4="MARZO",$BZ$4="ABRIL",$BZ$4="MAYO",$BZ$4="JUNIO"),0,$BZ$4)</f>
        <v>0</v>
      </c>
      <c r="AR2" s="118">
        <f>IF(OR($BZ$4="ENERO",$BZ$4="FEBRERO",$BZ$4="MARZO",$BZ$4="ABRIL",$BZ$4="MAYO",$BZ$4="JUNIO"),0,$BZ$4)</f>
        <v>0</v>
      </c>
      <c r="AS2" s="118">
        <f>IF(OR($BZ$4="ENERO",$BZ$4="FEBRERO",$BZ$4="MARZO",$BZ$4="ABRIL",$BZ$4="MAYO",$BZ$4="JUNIO"),0,$BZ$4)</f>
        <v>0</v>
      </c>
      <c r="AT2" s="118"/>
      <c r="AU2" s="118"/>
      <c r="AV2" s="118">
        <f>IF(OR($BZ$4="ENERO",$BZ$4="FEBRERO",$BZ$4="MARZO",$BZ$4="ABRIL",$BZ$4="MAYO",$BZ$4="JUNIO",$BZ$4="JULIO"),0,$BZ$4)</f>
        <v>0</v>
      </c>
      <c r="AW2" s="118">
        <f>IF(OR($BZ$4="ENERO",$BZ$4="FEBRERO",$BZ$4="MARZO",$BZ$4="ABRIL",$BZ$4="MAYO",$BZ$4="JUNIO",$BZ$4="JULIO"),0,$BZ$4)</f>
        <v>0</v>
      </c>
      <c r="AX2" s="118">
        <f>IF(OR($BZ$4="ENERO",$BZ$4="FEBRERO",$BZ$4="MARZO",$BZ$4="ABRIL",$BZ$4="MAYO",$BZ$4="JUNIO",$BZ$4="JULIO"),0,$BZ$4)</f>
        <v>0</v>
      </c>
      <c r="AY2" s="118">
        <f>IF(OR($BZ$4="ENERO",$BZ$4="FEBRERO",$BZ$4="MARZO",$BZ$4="ABRIL",$BZ$4="MAYO",$BZ$4="JUNIO",$BZ$4="JULIO"),0,$BZ$4)</f>
        <v>0</v>
      </c>
      <c r="AZ2" s="118"/>
      <c r="BA2" s="118"/>
      <c r="BB2" s="118">
        <f>IF(OR($BZ$4="ENERO",$BZ$4="FEBRERO",$BZ$4="MARZO",$BZ$4="ABRIL",$BZ$4="MAYO",$BZ$4="JUNIO",$BZ$4="JULIO",$BZ$4="AGOSTO"),0,$BZ$4)</f>
        <v>0</v>
      </c>
      <c r="BC2" s="118">
        <f>IF(OR($BZ$4="ENERO",$BZ$4="FEBRERO",$BZ$4="MARZO",$BZ$4="ABRIL",$BZ$4="MAYO",$BZ$4="JUNIO",$BZ$4="JULIO",$BZ$4="AGOSTO"),0,$BZ$4)</f>
        <v>0</v>
      </c>
      <c r="BD2" s="118">
        <f>IF(OR($BZ$4="ENERO",$BZ$4="FEBRERO",$BZ$4="MARZO",$BZ$4="ABRIL",$BZ$4="MAYO",$BZ$4="JUNIO",$BZ$4="JULIO",$BZ$4="AGOSTO"),0,$BZ$4)</f>
        <v>0</v>
      </c>
      <c r="BE2" s="118">
        <f>IF(OR($BZ$4="ENERO",$BZ$4="FEBRERO",$BZ$4="MARZO",$BZ$4="ABRIL",$BZ$4="MAYO",$BZ$4="JUNIO",$BZ$4="JULIO",$BZ$4="AGOSTO"),0,$BZ$4)</f>
        <v>0</v>
      </c>
      <c r="BF2" s="118"/>
      <c r="BG2" s="118"/>
      <c r="BH2" s="118">
        <f>IF(OR($BZ$4="ENERO",$BZ$4="FEBRERO",$BZ$4="MARZO",$BZ$4="ABRIL",$BZ$4="MAYO",$BZ$4="JUNIO",$BZ$4="JULIO",$BZ$4="AGOSTO",$BZ$4="SEPTIEMBRE"),0,$BZ$4)</f>
        <v>0</v>
      </c>
      <c r="BI2" s="118">
        <f>IF(OR($BZ$4="ENERO",$BZ$4="FEBRERO",$BZ$4="MARZO",$BZ$4="ABRIL",$BZ$4="MAYO",$BZ$4="JUNIO",$BZ$4="JULIO",$BZ$4="AGOSTO",$BZ$4="SEPTIEMBRE"),0,$BZ$4)</f>
        <v>0</v>
      </c>
      <c r="BJ2" s="118">
        <f>IF(OR($BZ$4="ENERO",$BZ$4="FEBRERO",$BZ$4="MARZO",$BZ$4="ABRIL",$BZ$4="MAYO",$BZ$4="JUNIO",$BZ$4="JULIO",$BZ$4="AGOSTO",$BZ$4="SEPTIEMBRE"),0,$BZ$4)</f>
        <v>0</v>
      </c>
      <c r="BK2" s="118">
        <f>IF(OR($BZ$4="ENERO",$BZ$4="FEBRERO",$BZ$4="MARZO",$BZ$4="ABRIL",$BZ$4="MAYO",$BZ$4="JUNIO",$BZ$4="JULIO",$BZ$4="AGOSTO",$BZ$4="SEPTIEMBRE"),0,$BZ$4)</f>
        <v>0</v>
      </c>
      <c r="BL2" s="118"/>
      <c r="BM2" s="118"/>
      <c r="BN2" s="118">
        <f>IF(OR($BZ$4="ENERO",$BZ$4="FEBRERO",$BZ$4="MARZO",$BZ$4="ABRIL",$BZ$4="MAYO",$BZ$4="JUNIO",$BZ$4="JULIO",$BZ$4="AGOSTO",$BZ$4="SEPTIEMBRE",$BZ$4="OCTUBRE"),0,$BZ$4)</f>
        <v>0</v>
      </c>
      <c r="BO2" s="118">
        <f>IF(OR($BZ$4="ENERO",$BZ$4="FEBRERO",$BZ$4="MARZO",$BZ$4="ABRIL",$BZ$4="MAYO",$BZ$4="JUNIO",$BZ$4="JULIO",$BZ$4="AGOSTO",$BZ$4="SEPTIEMBRE",$BZ$4="OCTUBRE"),0,$BZ$4)</f>
        <v>0</v>
      </c>
      <c r="BP2" s="118">
        <f>IF(OR($BZ$4="ENERO",$BZ$4="FEBRERO",$BZ$4="MARZO",$BZ$4="ABRIL",$BZ$4="MAYO",$BZ$4="JUNIO",$BZ$4="JULIO",$BZ$4="AGOSTO",$BZ$4="SEPTIEMBRE",$BZ$4="OCTUBRE"),0,$BZ$4)</f>
        <v>0</v>
      </c>
      <c r="BQ2" s="118">
        <f>IF(OR($BZ$4="ENERO",$BZ$4="FEBRERO",$BZ$4="MARZO",$BZ$4="ABRIL",$BZ$4="MAYO",$BZ$4="JUNIO",$BZ$4="JULIO",$BZ$4="AGOSTO",$BZ$4="SEPTIEMBRE",$BZ$4="OCTUBRE"),0,$BZ$4)</f>
        <v>0</v>
      </c>
      <c r="BR2" s="118"/>
      <c r="BS2" s="118"/>
      <c r="BT2" s="118">
        <f>IF(OR($BZ$4="ENERO",$BZ$4="FEBRERO",$BZ$4="MARZO",$BZ$4="ABRIL",$BZ$4="MAYO",$BZ$4="JUNIO",$BZ$4="JULIO",$BZ$4="AGOSTO",$BZ$4="SEPTIEMBRE",$BZ$4="OCTUBRE",$BZ$4="NOVIEMBRE"),0,$BZ$4)</f>
        <v>0</v>
      </c>
      <c r="BU2" s="118">
        <f>IF(OR($BZ$4="ENERO",$BZ$4="FEBRERO",$BZ$4="MARZO",$BZ$4="ABRIL",$BZ$4="MAYO",$BZ$4="JUNIO",$BZ$4="JULIO",$BZ$4="AGOSTO",$BZ$4="SEPTIEMBRE",$BZ$4="OCTUBRE",$BZ$4="NOVIEMBRE"),0,$BZ$4)</f>
        <v>0</v>
      </c>
      <c r="BV2" s="118">
        <f>IF(OR($BZ$4="ENERO",$BZ$4="FEBRERO",$BZ$4="MARZO",$BZ$4="ABRIL",$BZ$4="MAYO",$BZ$4="JUNIO",$BZ$4="JULIO",$BZ$4="AGOSTO",$BZ$4="SEPTIEMBRE",$BZ$4="OCTUBRE",$BZ$4="NOVIEMBRE"),0,$BZ$4)</f>
        <v>0</v>
      </c>
      <c r="BW2" s="118">
        <f>IF(OR($BZ$4="ENERO",$BZ$4="FEBRERO",$BZ$4="MARZO",$BZ$4="ABRIL",$BZ$4="MAYO",$BZ$4="JUNIO",$BZ$4="JULIO",$BZ$4="AGOSTO",$BZ$4="SEPTIEMBRE",$BZ$4="OCTUBRE",$BZ$4="NOVIEMBRE"),0,$BZ$4)</f>
        <v>0</v>
      </c>
      <c r="BX2" s="118"/>
      <c r="BY2" s="118"/>
    </row>
    <row r="3" spans="1:129" s="16" customFormat="1" ht="18.5" thickBot="1" x14ac:dyDescent="0.4">
      <c r="A3" s="710" t="s">
        <v>258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710"/>
      <c r="AY3" s="710"/>
      <c r="AZ3" s="710"/>
      <c r="BA3" s="710"/>
      <c r="BB3" s="710"/>
      <c r="BC3" s="710"/>
      <c r="BD3" s="710"/>
      <c r="BE3" s="710"/>
      <c r="BF3" s="710"/>
      <c r="BG3" s="710"/>
      <c r="BH3" s="710"/>
      <c r="BI3" s="710"/>
      <c r="BJ3" s="710"/>
      <c r="BK3" s="710"/>
      <c r="BL3" s="710"/>
      <c r="BM3" s="710"/>
      <c r="BN3" s="710"/>
      <c r="BO3" s="710"/>
      <c r="BP3" s="710"/>
      <c r="BQ3" s="710"/>
      <c r="BR3" s="710"/>
      <c r="BS3" s="710"/>
      <c r="BT3" s="710"/>
      <c r="BU3" s="710"/>
      <c r="BV3" s="710"/>
      <c r="BW3" s="710"/>
      <c r="BX3" s="710"/>
      <c r="BY3" s="710"/>
      <c r="BZ3" s="710"/>
      <c r="CA3" s="710"/>
      <c r="CB3" s="710"/>
      <c r="CC3" s="710"/>
      <c r="CD3" s="710"/>
      <c r="CE3" s="710"/>
      <c r="CF3" s="710"/>
      <c r="CG3" s="710"/>
      <c r="CH3" s="710"/>
      <c r="CI3" s="710"/>
      <c r="CJ3" s="710"/>
      <c r="CK3" s="710"/>
      <c r="CL3" s="710"/>
      <c r="CM3" s="710"/>
      <c r="CN3" s="710"/>
      <c r="CO3" s="710"/>
      <c r="CP3" s="367"/>
      <c r="DR3"/>
    </row>
    <row r="4" spans="1:129" s="119" customFormat="1" ht="15" thickBot="1" x14ac:dyDescent="0.4">
      <c r="B4" s="120"/>
      <c r="F4" s="119">
        <v>5</v>
      </c>
      <c r="G4" s="119">
        <v>3</v>
      </c>
      <c r="H4" s="119">
        <v>4</v>
      </c>
      <c r="L4" s="119">
        <f>F4+2</f>
        <v>7</v>
      </c>
      <c r="M4" s="119">
        <v>8</v>
      </c>
      <c r="N4" s="119">
        <v>9</v>
      </c>
      <c r="R4" s="119">
        <f>L4+2</f>
        <v>9</v>
      </c>
      <c r="S4" s="119">
        <v>13</v>
      </c>
      <c r="T4" s="119">
        <v>14</v>
      </c>
      <c r="X4" s="119">
        <f>R4+2</f>
        <v>11</v>
      </c>
      <c r="Y4" s="119">
        <f>X4+1</f>
        <v>12</v>
      </c>
      <c r="Z4" s="119">
        <f>T4+1</f>
        <v>15</v>
      </c>
      <c r="AD4" s="119">
        <f>X4+2</f>
        <v>13</v>
      </c>
      <c r="AE4" s="119">
        <f>AD4+1</f>
        <v>14</v>
      </c>
      <c r="AF4" s="119">
        <f>Z4+1</f>
        <v>16</v>
      </c>
      <c r="AJ4" s="119">
        <f>AD4+2</f>
        <v>15</v>
      </c>
      <c r="AK4" s="119">
        <f>AJ4+1</f>
        <v>16</v>
      </c>
      <c r="AL4" s="119">
        <f>AF4+1</f>
        <v>17</v>
      </c>
      <c r="AP4" s="119">
        <f>AJ4+2</f>
        <v>17</v>
      </c>
      <c r="AQ4" s="119">
        <f>AP4+1</f>
        <v>18</v>
      </c>
      <c r="AR4" s="119">
        <f>AL4+1</f>
        <v>18</v>
      </c>
      <c r="AV4" s="119">
        <f>AP4+2</f>
        <v>19</v>
      </c>
      <c r="AW4" s="119">
        <f>AV4+1</f>
        <v>20</v>
      </c>
      <c r="AX4" s="119">
        <f>AR4+1</f>
        <v>19</v>
      </c>
      <c r="BB4" s="119">
        <f>AV4+2</f>
        <v>21</v>
      </c>
      <c r="BC4" s="119">
        <f>BB4+1</f>
        <v>22</v>
      </c>
      <c r="BD4" s="119">
        <f>AX4+1</f>
        <v>20</v>
      </c>
      <c r="BH4" s="119">
        <f>BB4+2</f>
        <v>23</v>
      </c>
      <c r="BI4" s="119">
        <f>BH4+1</f>
        <v>24</v>
      </c>
      <c r="BJ4" s="119">
        <f>BD4+1</f>
        <v>21</v>
      </c>
      <c r="BN4" s="119">
        <f>BH4+2</f>
        <v>25</v>
      </c>
      <c r="BO4" s="119">
        <f>BN4+1</f>
        <v>26</v>
      </c>
      <c r="BT4" s="119">
        <f>BN4+2</f>
        <v>27</v>
      </c>
      <c r="BU4" s="119">
        <f>BT4+1</f>
        <v>28</v>
      </c>
      <c r="BV4" s="121"/>
      <c r="BW4" s="121"/>
      <c r="BX4" s="121"/>
      <c r="BY4" s="121"/>
      <c r="BZ4" s="341" t="s">
        <v>5</v>
      </c>
      <c r="DR4"/>
    </row>
    <row r="5" spans="1:129" ht="15" customHeight="1" thickBot="1" x14ac:dyDescent="0.4">
      <c r="B5" s="695" t="s">
        <v>35</v>
      </c>
      <c r="C5" s="697" t="s">
        <v>36</v>
      </c>
      <c r="D5" s="122"/>
      <c r="E5" s="699" t="s">
        <v>76</v>
      </c>
      <c r="F5" s="709" t="s">
        <v>0</v>
      </c>
      <c r="G5" s="707"/>
      <c r="H5" s="707"/>
      <c r="I5" s="707"/>
      <c r="J5" s="707"/>
      <c r="K5" s="708"/>
      <c r="L5" s="709" t="s">
        <v>1</v>
      </c>
      <c r="M5" s="707"/>
      <c r="N5" s="707"/>
      <c r="O5" s="707"/>
      <c r="P5" s="707"/>
      <c r="Q5" s="708"/>
      <c r="R5" s="709" t="s">
        <v>2</v>
      </c>
      <c r="S5" s="707"/>
      <c r="T5" s="707"/>
      <c r="U5" s="707"/>
      <c r="V5" s="707"/>
      <c r="W5" s="708"/>
      <c r="X5" s="709" t="s">
        <v>3</v>
      </c>
      <c r="Y5" s="707"/>
      <c r="Z5" s="707"/>
      <c r="AA5" s="707"/>
      <c r="AB5" s="707"/>
      <c r="AC5" s="707"/>
      <c r="AD5" s="709" t="s">
        <v>4</v>
      </c>
      <c r="AE5" s="707"/>
      <c r="AF5" s="707"/>
      <c r="AG5" s="707"/>
      <c r="AH5" s="707"/>
      <c r="AI5" s="708"/>
      <c r="AJ5" s="711" t="s">
        <v>5</v>
      </c>
      <c r="AK5" s="711"/>
      <c r="AL5" s="711"/>
      <c r="AM5" s="711"/>
      <c r="AN5" s="711"/>
      <c r="AO5" s="711"/>
      <c r="AP5" s="709" t="s">
        <v>6</v>
      </c>
      <c r="AQ5" s="707"/>
      <c r="AR5" s="707"/>
      <c r="AS5" s="707"/>
      <c r="AT5" s="707"/>
      <c r="AU5" s="708"/>
      <c r="AV5" s="707" t="s">
        <v>7</v>
      </c>
      <c r="AW5" s="707"/>
      <c r="AX5" s="707"/>
      <c r="AY5" s="707"/>
      <c r="AZ5" s="707"/>
      <c r="BA5" s="707"/>
      <c r="BB5" s="709" t="s">
        <v>29</v>
      </c>
      <c r="BC5" s="707"/>
      <c r="BD5" s="707"/>
      <c r="BE5" s="707"/>
      <c r="BF5" s="707"/>
      <c r="BG5" s="708"/>
      <c r="BH5" s="707" t="s">
        <v>30</v>
      </c>
      <c r="BI5" s="707"/>
      <c r="BJ5" s="707"/>
      <c r="BK5" s="707"/>
      <c r="BL5" s="707"/>
      <c r="BM5" s="707"/>
      <c r="BN5" s="709" t="s">
        <v>31</v>
      </c>
      <c r="BO5" s="707"/>
      <c r="BP5" s="707"/>
      <c r="BQ5" s="707"/>
      <c r="BR5" s="707"/>
      <c r="BS5" s="708"/>
      <c r="BT5" s="707" t="s">
        <v>32</v>
      </c>
      <c r="BU5" s="707"/>
      <c r="BV5" s="707"/>
      <c r="BW5" s="707"/>
      <c r="BX5" s="707"/>
      <c r="BY5" s="708"/>
      <c r="BZ5" s="704" t="s">
        <v>33</v>
      </c>
      <c r="CA5" s="705"/>
      <c r="CB5" s="705"/>
      <c r="CC5" s="705"/>
      <c r="CD5" s="705"/>
      <c r="CE5" s="705"/>
      <c r="CF5" s="706"/>
      <c r="CG5" s="704" t="s">
        <v>34</v>
      </c>
      <c r="CH5" s="705"/>
      <c r="CI5" s="705"/>
      <c r="CJ5" s="705"/>
      <c r="CK5" s="705"/>
      <c r="CL5" s="705"/>
      <c r="CM5" s="706"/>
      <c r="CN5" s="704" t="s">
        <v>70</v>
      </c>
      <c r="CO5" s="705"/>
      <c r="CP5" s="705"/>
      <c r="CQ5" s="705"/>
      <c r="CR5" s="705"/>
      <c r="CS5" s="705"/>
      <c r="CT5" s="706"/>
      <c r="CU5" s="704" t="s">
        <v>171</v>
      </c>
      <c r="CV5" s="705"/>
      <c r="CW5" s="705"/>
      <c r="CX5" s="705"/>
      <c r="CY5" s="705"/>
      <c r="CZ5" s="705"/>
      <c r="DA5" s="706"/>
      <c r="DB5" s="704" t="s">
        <v>172</v>
      </c>
      <c r="DC5" s="705"/>
      <c r="DD5" s="705"/>
      <c r="DE5" s="705"/>
      <c r="DF5" s="705"/>
      <c r="DG5" s="705"/>
      <c r="DH5" s="706"/>
      <c r="DK5" s="704" t="s">
        <v>33</v>
      </c>
      <c r="DL5" s="705"/>
      <c r="DM5" s="705"/>
      <c r="DN5" s="705"/>
      <c r="DO5" s="705"/>
      <c r="DP5" s="705"/>
      <c r="DQ5" s="706"/>
      <c r="DS5" s="704" t="s">
        <v>246</v>
      </c>
      <c r="DT5" s="705"/>
      <c r="DU5" s="705"/>
      <c r="DV5" s="705"/>
      <c r="DW5" s="705"/>
      <c r="DX5" s="705"/>
      <c r="DY5" s="706"/>
    </row>
    <row r="6" spans="1:129" s="340" customFormat="1" ht="44.5" customHeight="1" thickBot="1" x14ac:dyDescent="0.4">
      <c r="A6" s="2"/>
      <c r="B6" s="696"/>
      <c r="C6" s="698"/>
      <c r="D6" s="122"/>
      <c r="E6" s="701"/>
      <c r="F6" s="334" t="s">
        <v>168</v>
      </c>
      <c r="G6" s="415" t="s">
        <v>37</v>
      </c>
      <c r="H6" s="416" t="s">
        <v>131</v>
      </c>
      <c r="I6" s="416" t="s">
        <v>132</v>
      </c>
      <c r="J6" s="416" t="s">
        <v>173</v>
      </c>
      <c r="K6" s="417" t="s">
        <v>169</v>
      </c>
      <c r="L6" s="334" t="s">
        <v>168</v>
      </c>
      <c r="M6" s="415" t="s">
        <v>37</v>
      </c>
      <c r="N6" s="416" t="s">
        <v>131</v>
      </c>
      <c r="O6" s="416" t="s">
        <v>132</v>
      </c>
      <c r="P6" s="416" t="s">
        <v>173</v>
      </c>
      <c r="Q6" s="417" t="s">
        <v>169</v>
      </c>
      <c r="R6" s="334" t="s">
        <v>168</v>
      </c>
      <c r="S6" s="415" t="s">
        <v>37</v>
      </c>
      <c r="T6" s="416" t="s">
        <v>131</v>
      </c>
      <c r="U6" s="416" t="s">
        <v>132</v>
      </c>
      <c r="V6" s="416" t="s">
        <v>173</v>
      </c>
      <c r="W6" s="417" t="s">
        <v>169</v>
      </c>
      <c r="X6" s="334" t="s">
        <v>168</v>
      </c>
      <c r="Y6" s="415" t="s">
        <v>37</v>
      </c>
      <c r="Z6" s="416" t="s">
        <v>131</v>
      </c>
      <c r="AA6" s="416" t="s">
        <v>132</v>
      </c>
      <c r="AB6" s="416" t="s">
        <v>173</v>
      </c>
      <c r="AC6" s="417" t="s">
        <v>169</v>
      </c>
      <c r="AD6" s="334" t="s">
        <v>168</v>
      </c>
      <c r="AE6" s="415" t="s">
        <v>37</v>
      </c>
      <c r="AF6" s="416" t="s">
        <v>131</v>
      </c>
      <c r="AG6" s="416" t="s">
        <v>132</v>
      </c>
      <c r="AH6" s="416" t="s">
        <v>173</v>
      </c>
      <c r="AI6" s="417" t="s">
        <v>169</v>
      </c>
      <c r="AJ6" s="334" t="s">
        <v>168</v>
      </c>
      <c r="AK6" s="415" t="s">
        <v>37</v>
      </c>
      <c r="AL6" s="416" t="s">
        <v>131</v>
      </c>
      <c r="AM6" s="416" t="s">
        <v>132</v>
      </c>
      <c r="AN6" s="416" t="s">
        <v>173</v>
      </c>
      <c r="AO6" s="417" t="s">
        <v>169</v>
      </c>
      <c r="AP6" s="334" t="s">
        <v>168</v>
      </c>
      <c r="AQ6" s="415" t="s">
        <v>37</v>
      </c>
      <c r="AR6" s="416" t="s">
        <v>131</v>
      </c>
      <c r="AS6" s="416" t="s">
        <v>132</v>
      </c>
      <c r="AT6" s="416" t="s">
        <v>173</v>
      </c>
      <c r="AU6" s="417" t="s">
        <v>169</v>
      </c>
      <c r="AV6" s="334" t="s">
        <v>168</v>
      </c>
      <c r="AW6" s="415" t="s">
        <v>37</v>
      </c>
      <c r="AX6" s="416" t="s">
        <v>131</v>
      </c>
      <c r="AY6" s="416" t="s">
        <v>132</v>
      </c>
      <c r="AZ6" s="416" t="s">
        <v>173</v>
      </c>
      <c r="BA6" s="417" t="s">
        <v>169</v>
      </c>
      <c r="BB6" s="334" t="s">
        <v>168</v>
      </c>
      <c r="BC6" s="415" t="s">
        <v>37</v>
      </c>
      <c r="BD6" s="416" t="s">
        <v>131</v>
      </c>
      <c r="BE6" s="416" t="s">
        <v>132</v>
      </c>
      <c r="BF6" s="416" t="s">
        <v>173</v>
      </c>
      <c r="BG6" s="417" t="s">
        <v>169</v>
      </c>
      <c r="BH6" s="334" t="s">
        <v>168</v>
      </c>
      <c r="BI6" s="415" t="s">
        <v>37</v>
      </c>
      <c r="BJ6" s="416" t="s">
        <v>131</v>
      </c>
      <c r="BK6" s="416" t="s">
        <v>132</v>
      </c>
      <c r="BL6" s="416" t="s">
        <v>173</v>
      </c>
      <c r="BM6" s="417" t="s">
        <v>169</v>
      </c>
      <c r="BN6" s="334" t="s">
        <v>110</v>
      </c>
      <c r="BO6" s="415" t="s">
        <v>37</v>
      </c>
      <c r="BP6" s="416" t="s">
        <v>131</v>
      </c>
      <c r="BQ6" s="416" t="s">
        <v>132</v>
      </c>
      <c r="BR6" s="416" t="s">
        <v>173</v>
      </c>
      <c r="BS6" s="417" t="s">
        <v>169</v>
      </c>
      <c r="BT6" s="334" t="s">
        <v>168</v>
      </c>
      <c r="BU6" s="415" t="s">
        <v>37</v>
      </c>
      <c r="BV6" s="416" t="s">
        <v>131</v>
      </c>
      <c r="BW6" s="416" t="s">
        <v>132</v>
      </c>
      <c r="BX6" s="416" t="s">
        <v>173</v>
      </c>
      <c r="BY6" s="417" t="s">
        <v>169</v>
      </c>
      <c r="BZ6" s="334" t="s">
        <v>168</v>
      </c>
      <c r="CA6" s="338" t="s">
        <v>37</v>
      </c>
      <c r="CB6" s="339" t="s">
        <v>38</v>
      </c>
      <c r="CC6" s="336" t="s">
        <v>131</v>
      </c>
      <c r="CD6" s="336" t="s">
        <v>132</v>
      </c>
      <c r="CE6" s="336" t="s">
        <v>173</v>
      </c>
      <c r="CF6" s="337" t="s">
        <v>169</v>
      </c>
      <c r="CG6" s="334" t="s">
        <v>168</v>
      </c>
      <c r="CH6" s="335" t="s">
        <v>37</v>
      </c>
      <c r="CI6" s="338" t="s">
        <v>38</v>
      </c>
      <c r="CJ6" s="336" t="s">
        <v>131</v>
      </c>
      <c r="CK6" s="336" t="s">
        <v>132</v>
      </c>
      <c r="CL6" s="336" t="s">
        <v>173</v>
      </c>
      <c r="CM6" s="337" t="s">
        <v>169</v>
      </c>
      <c r="CN6" s="334" t="s">
        <v>168</v>
      </c>
      <c r="CO6" s="335" t="s">
        <v>37</v>
      </c>
      <c r="CP6" s="338" t="s">
        <v>38</v>
      </c>
      <c r="CQ6" s="336" t="s">
        <v>131</v>
      </c>
      <c r="CR6" s="336" t="s">
        <v>132</v>
      </c>
      <c r="CS6" s="336" t="s">
        <v>173</v>
      </c>
      <c r="CT6" s="337" t="s">
        <v>169</v>
      </c>
      <c r="CU6" s="334" t="s">
        <v>168</v>
      </c>
      <c r="CV6" s="335" t="s">
        <v>37</v>
      </c>
      <c r="CW6" s="338" t="s">
        <v>38</v>
      </c>
      <c r="CX6" s="336" t="s">
        <v>131</v>
      </c>
      <c r="CY6" s="336" t="s">
        <v>132</v>
      </c>
      <c r="CZ6" s="336" t="s">
        <v>173</v>
      </c>
      <c r="DA6" s="337" t="s">
        <v>169</v>
      </c>
      <c r="DB6" s="334" t="s">
        <v>168</v>
      </c>
      <c r="DC6" s="335" t="s">
        <v>37</v>
      </c>
      <c r="DD6" s="338" t="s">
        <v>38</v>
      </c>
      <c r="DE6" s="336" t="s">
        <v>131</v>
      </c>
      <c r="DF6" s="336" t="s">
        <v>132</v>
      </c>
      <c r="DG6" s="336" t="s">
        <v>173</v>
      </c>
      <c r="DH6" s="337" t="s">
        <v>169</v>
      </c>
      <c r="DK6" s="334" t="s">
        <v>168</v>
      </c>
      <c r="DL6" s="338" t="s">
        <v>37</v>
      </c>
      <c r="DM6" s="339" t="s">
        <v>38</v>
      </c>
      <c r="DN6" s="336" t="s">
        <v>131</v>
      </c>
      <c r="DO6" s="336" t="s">
        <v>132</v>
      </c>
      <c r="DP6" s="336" t="s">
        <v>173</v>
      </c>
      <c r="DQ6" s="337" t="s">
        <v>169</v>
      </c>
      <c r="DR6"/>
      <c r="DS6" s="334" t="s">
        <v>168</v>
      </c>
      <c r="DT6" s="338" t="s">
        <v>37</v>
      </c>
      <c r="DU6" s="339" t="s">
        <v>247</v>
      </c>
      <c r="DV6" s="336" t="s">
        <v>131</v>
      </c>
      <c r="DW6" s="336" t="s">
        <v>132</v>
      </c>
      <c r="DX6" s="336" t="s">
        <v>173</v>
      </c>
      <c r="DY6" s="337" t="s">
        <v>169</v>
      </c>
    </row>
    <row r="7" spans="1:129" s="4" customFormat="1" ht="15" customHeight="1" x14ac:dyDescent="0.35">
      <c r="A7" s="4">
        <f>_xlfn.XLOOKUP(B7,'WHOLESALE BMW 2026'!$B$7:$B$67,'WHOLESALE BMW 2026'!$A$7:$A$67)</f>
        <v>1</v>
      </c>
      <c r="B7" s="8">
        <v>100323</v>
      </c>
      <c r="C7" s="369" t="s">
        <v>165</v>
      </c>
      <c r="D7" s="125"/>
      <c r="E7" s="309" t="s">
        <v>274</v>
      </c>
      <c r="F7" s="21">
        <f ca="1">SUMIF('UC BMW 2026'!B5:B81,'UC BMW 2026'!B5,'UC BMW 2026'!F5:F72)</f>
        <v>38</v>
      </c>
      <c r="G7" s="24">
        <f ca="1">SUMIF('UC BMW 2026'!$B$5:$B$77,'UC BMW 2026'!B5,'UC BMW 2026'!$G$5:$G$72)</f>
        <v>39</v>
      </c>
      <c r="H7" s="24">
        <f>IFERROR(VLOOKUP(B7,[2]BPS!$B$10:$O$64,3,0),0)-IF(B7=100873,IFERROR(VLOOKUP("Enero",[2]BPS!$B$74:$C$89,2,0),0),0)</f>
        <v>36</v>
      </c>
      <c r="I7" s="285">
        <f t="shared" ref="I7:I33" ca="1" si="0">IFERROR(H7/G7,0)</f>
        <v>0.92307692307692313</v>
      </c>
      <c r="J7" s="380">
        <f>IFERROR(VLOOKUP(B7,'[2]RETAIL ORIGEN RMKT'!$B$11:$O$62,3,0),0)</f>
        <v>14</v>
      </c>
      <c r="K7" s="127">
        <f t="shared" ref="K7:K33" ca="1" si="1">IFERROR(J7/F7,0)</f>
        <v>0.36842105263157893</v>
      </c>
      <c r="L7" s="21">
        <f ca="1">SUMIF('UC BMW 2026'!$B$5:$B$77,'UC BMW 2026'!$B5,'UC BMW 2026'!$H$5:$H$72)</f>
        <v>38</v>
      </c>
      <c r="M7" s="24">
        <f ca="1">SUMIF('UC BMW 2026'!$B$5:$B$77,'UC BMW 2026'!$B5,'UC BMW 2026'!$I$5:$I$72)</f>
        <v>42</v>
      </c>
      <c r="N7" s="24">
        <f>IFERROR(VLOOKUP(B7,[2]BPS!$B$10:$O$64,4,0),0)-IF(B7=100873,IFERROR(VLOOKUP("Febrero",[2]BPS!$B$74:$C$89,2,0),0),0)</f>
        <v>42</v>
      </c>
      <c r="O7" s="285">
        <f t="shared" ref="O7:O33" ca="1" si="2">IFERROR(N7/M7,0)</f>
        <v>1</v>
      </c>
      <c r="P7" s="380">
        <f>IFERROR(VLOOKUP(B7,'[2]RETAIL ORIGEN RMKT'!$B$11:$O$62,4,0),0)</f>
        <v>20</v>
      </c>
      <c r="Q7" s="127">
        <f t="shared" ref="Q7:Q33" ca="1" si="3">IFERROR(P7/L7,0)</f>
        <v>0.52631578947368418</v>
      </c>
      <c r="R7" s="21">
        <f ca="1">SUMIF('UC BMW 2026'!$B$5:$B$77,'UC BMW 2026'!$B5,'UC BMW 2026'!$J$5:$J$72)</f>
        <v>39</v>
      </c>
      <c r="S7" s="24">
        <f ca="1">SUMIF('UC BMW 2026'!$B$5:$B$77,'UC BMW 2026'!$B5,'UC BMW 2026'!$K$5:$K$72)</f>
        <v>42</v>
      </c>
      <c r="T7" s="24">
        <f>IFERROR(VLOOKUP(B7,[2]BPS!$B$10:$O$64,5,0),0)-IF(B7=100873,IFERROR(VLOOKUP("Marzo",[2]BPS!$B$74:$C$89,2,0),0),0)</f>
        <v>41</v>
      </c>
      <c r="U7" s="285">
        <f t="shared" ref="U7:U33" ca="1" si="4">IFERROR(T7/S7,0)</f>
        <v>0.97619047619047616</v>
      </c>
      <c r="V7" s="380">
        <f>IFERROR(VLOOKUP(B7,'[2]RETAIL ORIGEN RMKT'!$B$11:$O$62,5,0),0)</f>
        <v>13</v>
      </c>
      <c r="W7" s="127">
        <f t="shared" ref="W7:W33" ca="1" si="5">IFERROR(V7/R7,0)</f>
        <v>0.33333333333333331</v>
      </c>
      <c r="X7" s="21">
        <f ca="1">SUMIF('UC BMW 2026'!$B$5:$B$77,'UC BMW 2026'!$B5,'UC BMW 2026'!$L$5:$L$72)</f>
        <v>38</v>
      </c>
      <c r="Y7" s="24">
        <f ca="1">SUMIF('UC BMW 2026'!$B$5:$B$77,'UC BMW 2026'!$B5,'UC BMW 2026'!$M$5:$M$72)</f>
        <v>34</v>
      </c>
      <c r="Z7" s="24">
        <f>IFERROR(VLOOKUP(B7,[2]BPS!$B$10:$O$64,6,0),0)-IF(B7=100873,IFERROR(VLOOKUP("Abril",[2]BPS!$B$74:$C$89,2,0),0),0)</f>
        <v>31</v>
      </c>
      <c r="AA7" s="285">
        <f t="shared" ref="AA7:AA33" ca="1" si="6">IFERROR(Z7/Y7,0)</f>
        <v>0.91176470588235292</v>
      </c>
      <c r="AB7" s="380">
        <f>IFERROR(VLOOKUP(B7,'[2]RETAIL ORIGEN RMKT'!$B$11:$O$62,6,0),0)</f>
        <v>8</v>
      </c>
      <c r="AC7" s="127">
        <f t="shared" ref="AC7:AC33" ca="1" si="7">IFERROR(AB7/X7,0)</f>
        <v>0.21052631578947367</v>
      </c>
      <c r="AD7" s="21">
        <f ca="1">SUMIF('UC BMW 2026'!$B$5:$B$77,'UC BMW 2026'!$B5,'UC BMW 2026'!$N$5:$N$72)</f>
        <v>38</v>
      </c>
      <c r="AE7" s="24">
        <f ca="1">SUMIF('UC BMW 2026'!$B$5:$B$77,'UC BMW 2026'!$B5,'UC BMW 2026'!$O$5:$O$72)</f>
        <v>34</v>
      </c>
      <c r="AF7" s="24">
        <f>IFERROR(VLOOKUP(B7,[2]BPS!$B$10:$O$64,7,0),0)-IF(B7=100873,IFERROR(VLOOKUP("Mayo",[2]BPS!$B$74:$C$89,2,0),0),0)</f>
        <v>32</v>
      </c>
      <c r="AG7" s="285">
        <f t="shared" ref="AG7:AG33" ca="1" si="8">IFERROR(AF7/AE7,0)</f>
        <v>0.94117647058823528</v>
      </c>
      <c r="AH7" s="380">
        <f>IFERROR(VLOOKUP(B7,'[2]RETAIL ORIGEN RMKT'!$B$11:$O$62,7,0),0)</f>
        <v>20</v>
      </c>
      <c r="AI7" s="127">
        <f t="shared" ref="AI7:AI33" ca="1" si="9">IFERROR(AH7/AD7,0)</f>
        <v>0.52631578947368418</v>
      </c>
      <c r="AJ7" s="21">
        <f ca="1">SUMIF('UC BMW 2026'!$B$5:$B$77,'UC BMW 2026'!$B5,'UC BMW 2026'!$P$5:$P$72)</f>
        <v>39</v>
      </c>
      <c r="AK7" s="24">
        <f ca="1">SUMIF('UC BMW 2026'!$B$5:$B$77,'UC BMW 2026'!$B5,'UC BMW 2026'!$Q$5:$Q$72)</f>
        <v>39</v>
      </c>
      <c r="AL7" s="24">
        <f>IFERROR(VLOOKUP(B7,[2]BPS!$B$10:$O$64,8,0),0)-IF(B7=100873,IFERROR(VLOOKUP("Junio",[2]BPS!$B$74:$C$89,2,0),0),0)</f>
        <v>36</v>
      </c>
      <c r="AM7" s="285">
        <f t="shared" ref="AM7:AM33" ca="1" si="10">IFERROR(AL7/AK7,0)</f>
        <v>0.92307692307692313</v>
      </c>
      <c r="AN7" s="380">
        <f>IFERROR(VLOOKUP(B7,'[2]RETAIL ORIGEN RMKT'!$B$11:$O$62,8,0),0)</f>
        <v>19</v>
      </c>
      <c r="AO7" s="127">
        <f t="shared" ref="AO7:AO33" ca="1" si="11">IFERROR(AN7/AJ7,0)</f>
        <v>0.48717948717948717</v>
      </c>
      <c r="AP7" s="21">
        <f ca="1">SUMIF('UC BMW 2026'!$B$5:$B$77,'UC BMW 2026'!$B5,'UC BMW 2026'!$R$5:$R$72)</f>
        <v>0</v>
      </c>
      <c r="AQ7" s="24">
        <f ca="1">SUMIF('UC BMW 2026'!$B$5:$B$77,'UC BMW 2026'!$B5,'UC BMW 2026'!$S$5:$S$72)</f>
        <v>0</v>
      </c>
      <c r="AR7" s="24">
        <f>IFERROR(VLOOKUP(B7,[2]BPS!$B$10:$O$64,9,0),0)-IF(B7=100873,IFERROR(VLOOKUP("Julio",[2]BPS!$B$74:$C$89,2,0),0),0)</f>
        <v>0</v>
      </c>
      <c r="AS7" s="285">
        <f t="shared" ref="AS7:AS33" ca="1" si="12">IFERROR(AR7/AQ7,0)</f>
        <v>0</v>
      </c>
      <c r="AT7" s="380">
        <f>IFERROR(VLOOKUP(B7,'[2]RETAIL ORIGEN RMKT'!$B$11:$O$62,9,0),0)</f>
        <v>0</v>
      </c>
      <c r="AU7" s="127">
        <f t="shared" ref="AU7:AU33" ca="1" si="13">IFERROR(AT7/AP7,0)</f>
        <v>0</v>
      </c>
      <c r="AV7" s="21">
        <f ca="1">SUMIF('UC BMW 2026'!$B$5:$B$77,'UC BMW 2026'!$B5,'UC BMW 2026'!$T$5:$T$72)</f>
        <v>0</v>
      </c>
      <c r="AW7" s="24">
        <f ca="1">SUMIF('UC BMW 2026'!$B$5:$B$77,'UC BMW 2026'!$B5,'UC BMW 2026'!$U$5:$U$72)</f>
        <v>0</v>
      </c>
      <c r="AX7" s="24">
        <f>IFERROR(VLOOKUP(B7,[2]BPS!$B$10:$O$64,10,0),0)-IF(B7=100873,IFERROR(VLOOKUP("Agosto",[2]BPS!$B$74:$C$89,2,0),0),0)</f>
        <v>0</v>
      </c>
      <c r="AY7" s="285">
        <f t="shared" ref="AY7:AY33" ca="1" si="14">IFERROR(AX7/AW7,0)</f>
        <v>0</v>
      </c>
      <c r="AZ7" s="380">
        <f>IFERROR(VLOOKUP(B7,'[2]RETAIL ORIGEN RMKT'!$B$11:$O$62,10,0),0)</f>
        <v>0</v>
      </c>
      <c r="BA7" s="127">
        <f t="shared" ref="BA7:BA33" ca="1" si="15">IFERROR(AZ7/AV7,0)</f>
        <v>0</v>
      </c>
      <c r="BB7" s="21">
        <f ca="1">SUMIF('UC BMW 2026'!$B$5:$B$77,'UC BMW 2026'!$B5,'UC BMW 2026'!$V$5:$V$72)</f>
        <v>0</v>
      </c>
      <c r="BC7" s="24">
        <f>SUMIF('UC BMW 2026'!$B$5:$B$77,'UC BMW 2026'!$B5,'UC BMW 2026'!$W$5:$W$77)</f>
        <v>0</v>
      </c>
      <c r="BD7" s="24">
        <f>IFERROR(VLOOKUP(B7,[2]BPS!$B$10:$O$64,11,0),0)-IF(B7=100873,IFERROR(VLOOKUP("Septiembre",[2]BPS!$B$74:$C$89,2,0),0),0)</f>
        <v>0</v>
      </c>
      <c r="BE7" s="285">
        <f t="shared" ref="BE7:BE33" si="16">IFERROR(BD7/BC7,0)</f>
        <v>0</v>
      </c>
      <c r="BF7" s="380">
        <f>IFERROR(VLOOKUP(B7,'[2]RETAIL ORIGEN RMKT'!$B$11:$O$62,11,0),0)</f>
        <v>0</v>
      </c>
      <c r="BG7" s="127">
        <f t="shared" ref="BG7:BG33" ca="1" si="17">IFERROR(BF7/BB7,0)</f>
        <v>0</v>
      </c>
      <c r="BH7" s="21">
        <f>SUMIF('UC BMW 2026'!$B$5:$B$77,'UC BMW 2026'!$B5,'UC BMW 2026'!$X$5:$X$77)</f>
        <v>0</v>
      </c>
      <c r="BI7" s="24">
        <f>SUMIF('UC BMW 2026'!$B$5:$B$77,'UC BMW 2026'!$B5,'UC BMW 2026'!$Y$5:$Y$77)</f>
        <v>0</v>
      </c>
      <c r="BJ7" s="24">
        <f>IFERROR(VLOOKUP(B7,[2]BPS!$B$10:$O$64,12,0),0)-IF(B7=100873,IFERROR(VLOOKUP("Octubre",[2]BPS!$B$74:$C$89,2,0),0),0)</f>
        <v>0</v>
      </c>
      <c r="BK7" s="285">
        <f t="shared" ref="BK7:BK33" si="18">IFERROR(BJ7/BI7,0)</f>
        <v>0</v>
      </c>
      <c r="BL7" s="380">
        <f>IFERROR(VLOOKUP(B7,'[2]RETAIL ORIGEN RMKT'!$B$11:$O$62,12,0),0)</f>
        <v>0</v>
      </c>
      <c r="BM7" s="127">
        <f t="shared" ref="BM7:BM33" si="19">IFERROR(BL7/BH7,0)</f>
        <v>0</v>
      </c>
      <c r="BN7" s="21">
        <f>SUMIF('UC BMW 2026'!$B$5:$B$77,'UC BMW 2026'!$B5,'UC BMW 2026'!$Z$5:$Z$77)</f>
        <v>0</v>
      </c>
      <c r="BO7" s="24">
        <f>SUMIF('UC BMW 2026'!$B$5:$B$77,'UC BMW 2026'!$B5,'UC BMW 2026'!$AA$5:$AA$77)</f>
        <v>0</v>
      </c>
      <c r="BP7" s="24">
        <f>IFERROR(VLOOKUP(B7,[2]BPS!$B$10:$O$64,13,0),0)-IF(B7=100873,IFERROR(VLOOKUP("Noviembre",[2]BPS!$B$74:$C$89,2,0),0),0)</f>
        <v>0</v>
      </c>
      <c r="BQ7" s="285">
        <f t="shared" ref="BQ7:BQ33" si="20">IFERROR(BP7/BO7,0)</f>
        <v>0</v>
      </c>
      <c r="BR7" s="380">
        <f>IFERROR(VLOOKUP(B7,'[2]RETAIL ORIGEN RMKT'!$B$11:$O$62,13,0),0)</f>
        <v>0</v>
      </c>
      <c r="BS7" s="127">
        <f t="shared" ref="BS7:BS33" si="21">IFERROR(BR7/BN7,0)</f>
        <v>0</v>
      </c>
      <c r="BT7" s="21">
        <f>SUMIF('UC BMW 2026'!$B$5:$B$77,'UC BMW 2026'!$B5,'UC BMW 2026'!$AB$5:$AB$77)</f>
        <v>0</v>
      </c>
      <c r="BU7" s="24">
        <f>SUMIF('UC BMW 2026'!$B$5:$B$77,'UC BMW 2026'!$B5,'UC BMW 2026'!$AC$5:$AC$77)</f>
        <v>0</v>
      </c>
      <c r="BV7" s="24">
        <f>IFERROR(VLOOKUP(B7,[2]BPS!$B$10:$O$64,13,0),0)-IF(B7=100873,IFERROR(VLOOKUP("Diciembre",[2]BPS!$B$74:$C$89,2,0),0),0)</f>
        <v>0</v>
      </c>
      <c r="BW7" s="285">
        <f t="shared" ref="BW7:BW33" si="22">IFERROR(BV7/BU7,0)</f>
        <v>0</v>
      </c>
      <c r="BX7" s="380">
        <f>IFERROR(VLOOKUP(B7,'[2]RETAIL ORIGEN RMKT'!$B$11:$O$62,14,0),0)</f>
        <v>0</v>
      </c>
      <c r="BY7" s="127">
        <f t="shared" ref="BY7:BY33" si="23">IFERROR(BX7/BT7,0)</f>
        <v>0</v>
      </c>
      <c r="BZ7" s="21">
        <f t="shared" ref="BZ7:CA10" ca="1" si="24">IF($BZ$4="ENERO",F7,IF($BZ$4="FEBRERO",F7+L7,IF($BZ$4="MARZO",F7+L7+R7,IF($BZ$4="ABRIL",F7+L7+R7+X7,IF($BZ$4="MAYO",F7+L7+R7+X7+AD7,IF($BZ$4="JUNIO",F7+L7+R7+X7+AD7+AJ7,IF($BZ$4="JULIO",F7+L7+R7+X7+AD7+AJ7+AP7,IF($BZ$4="AGOSTO",F7+L7+R7+X7+AD7+AJ7+AP7+AV7,IF($BZ$4="SEPTIEMBRE",F7+L7+R7+X7+AD7+AJ7+AP7+AV7+BB7,IF($BZ$4="OCTUBRE",F7+L7+R7+X7+AD7+AJ7+AP7+AV7+BB7+BH7,IF($BZ$4="NOVIEMBRE",F7+L7+R7+X7+AD7+AJ7+AP7+AV7+BB7+BH7+BN7,IF($BZ$4="DICIEMBRE",F7+L7+R7+X7+AD7+AJ7+AP7+AV7+BB7+BH7+BN7+BT7,""))))))))))))</f>
        <v>230</v>
      </c>
      <c r="CA7" s="24">
        <f t="shared" ca="1" si="24"/>
        <v>230</v>
      </c>
      <c r="CB7" s="282">
        <f t="shared" ref="CB7:CB33" ca="1" si="25">IFERROR((CA7/BZ7),0)</f>
        <v>1</v>
      </c>
      <c r="CC7" s="291">
        <f>IFERROR(IF($BZ$4="ENERO",H7,IF($BZ$4="FEBRERO",H7+N7,IF($BZ$4="MARZO",H7+N7+T7,IF($BZ$4="ABRIL",H7+N7+T7+Z7,IF($BZ$4="MAYO",H7+N7+T7+Z7+AF7,IF($BZ$4="JUNIO",H7+N7+T7+Z7+AF7+AL7,IF($BZ$4="JULIO",H7+N7+T7+Z7+AF7+AL7+AR7,IF($BZ$4="AGOSTO",H7+N7+T7+Z7+AF7+AL7+AR7+AX7,IF($BZ$4="SEPTIEMBRE",H7+N7+T7+Z7+AF7+AL7+AR7+AX7+BD7,IF($BZ$4="OCTUBRE",H7+N7+T7+Z7+AF7+AL7+AR7+AX7+BD7+BJ7,IF($BZ$4="NOVIEMBRE",H7+N7+T7+Z7+AF7+AL7+AR7+AX7+BD7+BJ7+BP7,IF($BZ$4="DICIEMBRE",H7+N7+T7+Z7+AF7+AL7+AR7+AX7+BD7+BJ7+BP7+BV7,"")))))))))))),0)</f>
        <v>218</v>
      </c>
      <c r="CD7" s="126">
        <f ca="1">IFERROR(IF(CA7=0,"N.D.",CC7/CA7),0)</f>
        <v>0.94782608695652171</v>
      </c>
      <c r="CE7" s="24">
        <f>IFERROR(IF($BZ$4="ENERO",J7,IF($BZ$4="FEBRERO",J7+P7,IF($BZ$4="MARZO",J7+P7+V7,IF($BZ$4="ABRIL",J7+P7+V7+AB7,IF($BZ$4="MAYO",J7+P7+V7+AB7+AH7,IF($BZ$4="JUNIO",J7+P7+V7+AB7+AH7+AN7,IF($BZ$4="JULIO",J7+P7+V7+AB7+AH7+AN7+AT7,IF($BZ$4="AGOSTO",J7+P7+V7+AB7+AH7+AN7+AT7+AZ7,IF($BZ$4="SEPTIEMBRE",J7+P7+V7+AB7+AH7+AN7+AT7+AZ7+BF7,IF($BZ$4="OCTUBRE",J7+P7+V7+AB7+AH7+AN7+AT7+AZ7+BF7+BL7,IF($BZ$4="NOVIEMBRE",J7+P7+V7+AB7+AH7+AN7+AT7+AZ7+BF7+BL7+BR7,IF($BZ$4="DICIEMBRE",J7+P7+V7+AB7+AH7+AN7+AT7+AZ7+BF7+BL7+BR7+BX7,"")))))))))))),0)</f>
        <v>94</v>
      </c>
      <c r="CF7" s="126">
        <f ca="1">IFERROR(CE7/BZ7,0)</f>
        <v>0.40869565217391307</v>
      </c>
      <c r="CG7" s="21">
        <f ca="1">SUM(F7+L7+R7+X7+AD7+AJ7+AP7+AV7+BB7+BH7+BN7+BT7)</f>
        <v>230</v>
      </c>
      <c r="CH7" s="24">
        <f ca="1">SUMIFS($F7:$BW7,$F$6:$BW$6,CH$6,$F$2:$BW$2,$BZ$4)</f>
        <v>230</v>
      </c>
      <c r="CI7" s="282">
        <f ca="1">IFERROR((CH7/CG7),0)</f>
        <v>1</v>
      </c>
      <c r="CJ7" s="291">
        <f>SUMIFS($F7:$BW7,$F$6:$BW$6,CJ$6,$F$2:$BW$2,$BZ$4)</f>
        <v>218</v>
      </c>
      <c r="CK7" s="126">
        <f t="shared" ref="CK7:CK33" ca="1" si="26">IF(CH7=0,"N.D.",CJ7/CH7)</f>
        <v>0.94782608695652171</v>
      </c>
      <c r="CL7" s="24">
        <f>IFERROR(J7+P7+V7+AB7+AH7+AN7+AT7+AZ7+BF7+BL7+BR7+BX7,0)</f>
        <v>94</v>
      </c>
      <c r="CM7" s="126">
        <f ca="1">IFERROR(CL7/CG7,0)</f>
        <v>0.40869565217391307</v>
      </c>
      <c r="CN7" s="21">
        <f t="shared" ref="CN7:CO10" ca="1" si="27">IF($CN$5="Q1",F7+L7+R7,
IF($CN$5="Q2",X7+AD7++AJ7,
IF($CN$5="Q3",AP7+AV7+BB7,
IF($CN$5="Q4",BH7+BN7+BT7,0))))</f>
        <v>115</v>
      </c>
      <c r="CO7" s="24">
        <f t="shared" ca="1" si="27"/>
        <v>123</v>
      </c>
      <c r="CP7" s="282">
        <f ca="1">IFERROR((CO7/CN7),0)</f>
        <v>1.0695652173913044</v>
      </c>
      <c r="CQ7" s="291">
        <f>IF($CN$5="Q1",H7+N7+T7,
IF($CN$5="Q2",Z7+AF7++AL7,
IF($CN$5="Q3",AR7+AX7+BD7,
IF($CN$5="Q4",BJ7+BP7+BV7,0))))</f>
        <v>119</v>
      </c>
      <c r="CR7" s="126">
        <f ca="1">IF(CO7=0,"N.D.",CQ7/CO7)</f>
        <v>0.96747967479674801</v>
      </c>
      <c r="CS7" s="24">
        <f>IF($CZ$5="Q1",J7+P7+V7,
IF($CZ$5="Q2",AB7+AH7+AN7,
IF($CZ$5="Q3",AT7+AZ7+BF7,
IF($CZ$5="Q4",BL7+BR7+BX7,0))))</f>
        <v>0</v>
      </c>
      <c r="CT7" s="126">
        <f ca="1">IFERROR(CS7/CN7,0)</f>
        <v>0</v>
      </c>
      <c r="CU7" s="21">
        <f t="shared" ref="CU7:CV10" ca="1" si="28">IF($CU$5="S 1",F7+L7+R7+X7+AD7++AJ7,
IF($CU$5="S 2",AP7+AV7+BB7+BH7+BN7+BT7,0))</f>
        <v>230</v>
      </c>
      <c r="CV7" s="24">
        <f t="shared" ca="1" si="28"/>
        <v>230</v>
      </c>
      <c r="CW7" s="282">
        <f ca="1">IFERROR((CV7/CU7),0)</f>
        <v>1</v>
      </c>
      <c r="CX7" s="24">
        <f>IFERROR(IF($CU$5="S 1",H7+N7+T7+Z7+AF7++AL7,
IF($CU$5="S 2",AR7+AX7+BD7+BJ7+BP7+BV7,0)),0)</f>
        <v>218</v>
      </c>
      <c r="CY7" s="126">
        <f ca="1">IF(CV7=0,"N.D.",CX7/CV7)</f>
        <v>0.94782608695652171</v>
      </c>
      <c r="CZ7" s="24">
        <f>IFERROR(IF($CU$5="S 1",J7+P7+V7+AB7+AH7+AN7,
IF($CU$5="S 2",AT7+AZ7+BF7+BL7+BR7+BX7,0)),0)</f>
        <v>94</v>
      </c>
      <c r="DA7" s="127">
        <f ca="1">IFERROR(CZ7/CU7,0)</f>
        <v>0.40869565217391307</v>
      </c>
      <c r="DB7" s="21">
        <f t="shared" ref="DB7:DC10" ca="1" si="29">IF($DB$5="S 1",F7+L7+R7+X7+AD7++AJ7,
IF($DB$5="S 2",AP7+AV7+BB7+BH7+BN7+BT7,0))</f>
        <v>0</v>
      </c>
      <c r="DC7" s="24">
        <f t="shared" ca="1" si="29"/>
        <v>0</v>
      </c>
      <c r="DD7" s="282">
        <f ca="1">IFERROR((DC7/DB7),0)</f>
        <v>0</v>
      </c>
      <c r="DE7" s="24">
        <f>IFERROR(IF($DB$5="S 1",H7+N7+T7+Z7+AF7++AL7,
IF($DB$5="S 2",AR7+AX7+BD7+BJ7+BP7+BV7,0)),0)</f>
        <v>0</v>
      </c>
      <c r="DF7" s="126" t="str">
        <f ca="1">IF(DC7=0,"N.D.",DE7/DC7)</f>
        <v>N.D.</v>
      </c>
      <c r="DG7" s="24">
        <f>IFERROR(IF($DB$5="S 1",J7+P7+V7+AB7+AH7+AN7,
IF($DB$5="S 2",AT7+AZ7+BF7+BL7+BR7+BX7,0)),0)</f>
        <v>0</v>
      </c>
      <c r="DH7" s="127">
        <f ca="1">IFERROR(DG7/DB7,0)</f>
        <v>0</v>
      </c>
      <c r="DI7" s="510">
        <v>1</v>
      </c>
      <c r="DJ7" s="369" t="s">
        <v>165</v>
      </c>
      <c r="DK7" s="21">
        <f t="shared" ref="DK7:DL10" ca="1" si="30">IF($BZ$4="ENERO",F7,IF($BZ$4="FEBRERO",F7+L7,IF($BZ$4="MARZO",F7+L7+R7,IF($BZ$4="ABRIL",F7+L7+R7+X7,IF($BZ$4="MAYO",F7+L7+R7+X7+AD7,IF($BZ$4="JUNIO",F7+L7+R7+X7+AD7+AJ7,IF($BZ$4="JULIO",F7+L7+R7+X7+AD7+AJ7+AP7,IF($BZ$4="AGOSTO",F7+L7+R7+X7+AD7+AJ7+AP7+AV7,IF($BZ$4="SEPTIEMBRE",F7+L7+R7+X7+AD7+AJ7+AP7+AV7+BB7,IF($BZ$4="OCTUBRE",F7+L7+R7+X7+AD7+AJ7+AP7+AV7+BB7+BH7,IF($BZ$4="NOVIEMBRE",F7+L7+R7+X7+AD7+AJ7+AP7+AV7+BB7+BH7+BN7,IF($BZ$4="DICIEMBRE",F7+L7+R7+X7+AD7+AJ7+AP7+AV7+BB7+BH7+BN7+BT7,""))))))))))))</f>
        <v>230</v>
      </c>
      <c r="DL7" s="24">
        <f t="shared" ca="1" si="30"/>
        <v>230</v>
      </c>
      <c r="DM7" s="282">
        <f ca="1">IFERROR((CA7/BZ7),0)</f>
        <v>1</v>
      </c>
      <c r="DN7" s="291">
        <f>IFERROR(IF($BZ$4="ENERO",H7,IF($BZ$4="FEBRERO",H7+N7,IF($BZ$4="MARZO",H7+N7+T7,IF($BZ$4="ABRIL",H7+N7+T7+Z7,IF($BZ$4="MAYO",H7+N7+T7+Z7+AF7,IF($BZ$4="JUNIO",H7+N7+T7+Z7+AF7+AL7,IF($BZ$4="JULIO",H7+N7+T7+Z7+AF7+AL7+AR7,IF($BZ$4="AGOSTO",H7+N7+T7+Z7+AF7+AL7+AR7+AX7,IF($BZ$4="SEPTIEMBRE",H7+N7+T7+Z7+AF7+AL7+AR7+AX7+BD7,IF($BZ$4="OCTUBRE",H7+N7+T7+Z7+AF7+AL7+AR7+AX7+BD7+BJ7,IF($BZ$4="NOVIEMBRE",H7+N7+T7+Z7+AF7+AL7+AR7+AX7+BD7+BJ7+BP7,IF($BZ$4="DICIEMBRE",H7+N7+T7+Z7+AF7+AL7+AR7+AX7+BD7+BJ7+BP7+BV7,"")))))))))))),0)</f>
        <v>218</v>
      </c>
      <c r="DO7" s="126">
        <f ca="1">IFERROR(IF(CA7=0,"N.D.",CC7/CA7),0)</f>
        <v>0.94782608695652171</v>
      </c>
      <c r="DP7" s="24">
        <f>IFERROR(J7+P7+V7+AB7+AH7+AN7+AT7+AZ7+BF7+BL7+BR7+BX7,0)</f>
        <v>94</v>
      </c>
      <c r="DQ7" s="127">
        <f ca="1">IFERROR(CE7/BZ7,0)</f>
        <v>0.40869565217391307</v>
      </c>
      <c r="DR7"/>
      <c r="DU7" s="511"/>
      <c r="DW7" s="508"/>
      <c r="DY7" s="508"/>
    </row>
    <row r="8" spans="1:129" s="4" customFormat="1" ht="15" customHeight="1" x14ac:dyDescent="0.35">
      <c r="A8" s="4">
        <f>_xlfn.XLOOKUP(B8,'WHOLESALE BMW 2026'!$B$7:$B$67,'WHOLESALE BMW 2026'!$A$7:$A$67)</f>
        <v>1</v>
      </c>
      <c r="B8" s="8">
        <v>100873</v>
      </c>
      <c r="C8" s="369" t="s">
        <v>166</v>
      </c>
      <c r="D8" s="125"/>
      <c r="E8" s="309" t="s">
        <v>156</v>
      </c>
      <c r="F8" s="21">
        <f ca="1">SUMIF('UC BMW 2026'!B6:B82,'UC BMW 2026'!B6,'UC BMW 2026'!F6:F73)</f>
        <v>41</v>
      </c>
      <c r="G8" s="24">
        <f ca="1">SUMIF('UC BMW 2026'!$B$5:$B$77,'UC BMW 2026'!B6,'UC BMW 2026'!$G$5:$G$72)</f>
        <v>36</v>
      </c>
      <c r="H8" s="24">
        <f>IFERROR(VLOOKUP(B8,[2]BPS!$B$10:$O$64,3,0),0)-IF(B8=100873,IFERROR(VLOOKUP("Enero",[2]BPS!$B$74:$C$89,2,0),0),0)</f>
        <v>33</v>
      </c>
      <c r="I8" s="282">
        <f t="shared" ca="1" si="0"/>
        <v>0.91666666666666663</v>
      </c>
      <c r="J8" s="380">
        <f>IFERROR(VLOOKUP(B8,'[2]RETAIL ORIGEN RMKT'!$B$11:$O$62,3,0),0)</f>
        <v>3</v>
      </c>
      <c r="K8" s="127">
        <f t="shared" ca="1" si="1"/>
        <v>7.3170731707317069E-2</v>
      </c>
      <c r="L8" s="21">
        <f ca="1">SUMIF('UC BMW 2026'!$B$5:$B$77,'UC BMW 2026'!$B6,'UC BMW 2026'!$H$5:$H$72)</f>
        <v>42</v>
      </c>
      <c r="M8" s="24">
        <f ca="1">SUMIF('UC BMW 2026'!$B$5:$B$77,'UC BMW 2026'!$B6,'UC BMW 2026'!$I$5:$I$72)</f>
        <v>49</v>
      </c>
      <c r="N8" s="24">
        <f>IFERROR(VLOOKUP(B8,[2]BPS!$B$10:$O$64,4,0),0)-IF(B8=100873,IFERROR(VLOOKUP("Febrero",[2]BPS!$B$74:$C$89,2,0),0),0)</f>
        <v>44</v>
      </c>
      <c r="O8" s="282">
        <f t="shared" ca="1" si="2"/>
        <v>0.89795918367346939</v>
      </c>
      <c r="P8" s="380">
        <f>IFERROR(VLOOKUP(B8,'[2]RETAIL ORIGEN RMKT'!$B$11:$O$62,4,0),0)</f>
        <v>3</v>
      </c>
      <c r="Q8" s="127">
        <f t="shared" ca="1" si="3"/>
        <v>7.1428571428571425E-2</v>
      </c>
      <c r="R8" s="21">
        <f ca="1">SUMIF('UC BMW 2026'!$B$5:$B$77,'UC BMW 2026'!$B6,'UC BMW 2026'!$J$5:$J$72)</f>
        <v>42</v>
      </c>
      <c r="S8" s="24">
        <f ca="1">SUMIF('UC BMW 2026'!$B$5:$B$77,'UC BMW 2026'!$B6,'UC BMW 2026'!$K$5:$K$72)</f>
        <v>66</v>
      </c>
      <c r="T8" s="24">
        <f>IFERROR(VLOOKUP(B8,[2]BPS!$B$10:$O$64,5,0),0)-IF(B8=100873,IFERROR(VLOOKUP("Marzo",[2]BPS!$B$74:$C$89,2,0),0),0)</f>
        <v>59</v>
      </c>
      <c r="U8" s="282">
        <f t="shared" ca="1" si="4"/>
        <v>0.89393939393939392</v>
      </c>
      <c r="V8" s="380">
        <f>IFERROR(VLOOKUP(B8,'[2]RETAIL ORIGEN RMKT'!$B$11:$O$62,5,0),0)</f>
        <v>8</v>
      </c>
      <c r="W8" s="127">
        <f t="shared" ca="1" si="5"/>
        <v>0.19047619047619047</v>
      </c>
      <c r="X8" s="21">
        <f ca="1">SUMIF('UC BMW 2026'!$B$5:$B$77,'UC BMW 2026'!$B6,'UC BMW 2026'!$L$5:$L$72)</f>
        <v>41</v>
      </c>
      <c r="Y8" s="24">
        <f ca="1">SUMIF('UC BMW 2026'!$B$5:$B$77,'UC BMW 2026'!$B6,'UC BMW 2026'!$M$5:$M$72)</f>
        <v>51</v>
      </c>
      <c r="Z8" s="24">
        <f>IFERROR(VLOOKUP(B8,[2]BPS!$B$10:$O$64,6,0),0)-IF(B8=100873,IFERROR(VLOOKUP("Abril",[2]BPS!$B$74:$C$89,2,0),0),0)</f>
        <v>48</v>
      </c>
      <c r="AA8" s="282">
        <f t="shared" ca="1" si="6"/>
        <v>0.94117647058823528</v>
      </c>
      <c r="AB8" s="380">
        <f>IFERROR(VLOOKUP(B8,'[2]RETAIL ORIGEN RMKT'!$B$11:$O$62,6,0),0)</f>
        <v>16</v>
      </c>
      <c r="AC8" s="127">
        <f t="shared" ca="1" si="7"/>
        <v>0.3902439024390244</v>
      </c>
      <c r="AD8" s="21">
        <f ca="1">SUMIF('UC BMW 2026'!$B$5:$B$77,'UC BMW 2026'!$B6,'UC BMW 2026'!$N$5:$N$72)</f>
        <v>42</v>
      </c>
      <c r="AE8" s="24">
        <f ca="1">SUMIF('UC BMW 2026'!$B$5:$B$77,'UC BMW 2026'!$B6,'UC BMW 2026'!$O$5:$O$72)</f>
        <v>53</v>
      </c>
      <c r="AF8" s="24">
        <f>IFERROR(VLOOKUP(B8,[2]BPS!$B$10:$O$64,7,0),0)-IF(B8=100873,IFERROR(VLOOKUP("Mayo",[2]BPS!$B$74:$C$89,2,0),0),0)</f>
        <v>49</v>
      </c>
      <c r="AG8" s="282">
        <f t="shared" ca="1" si="8"/>
        <v>0.92452830188679247</v>
      </c>
      <c r="AH8" s="380">
        <f>IFERROR(VLOOKUP(B8,'[2]RETAIL ORIGEN RMKT'!$B$11:$O$62,7,0),0)</f>
        <v>20</v>
      </c>
      <c r="AI8" s="127">
        <f t="shared" ca="1" si="9"/>
        <v>0.47619047619047616</v>
      </c>
      <c r="AJ8" s="21">
        <f ca="1">SUMIF('UC BMW 2026'!$B$5:$B$77,'UC BMW 2026'!$B6,'UC BMW 2026'!$P$5:$P$72)</f>
        <v>42</v>
      </c>
      <c r="AK8" s="24">
        <f ca="1">SUMIF('UC BMW 2026'!$B$5:$B$77,'UC BMW 2026'!$B6,'UC BMW 2026'!$Q$5:$Q$72)</f>
        <v>57</v>
      </c>
      <c r="AL8" s="24">
        <f>IFERROR(VLOOKUP(B8,[2]BPS!$B$10:$O$64,8,0),0)-IF(B8=100873,IFERROR(VLOOKUP("Junio",[2]BPS!$B$74:$C$89,2,0),0),0)</f>
        <v>55</v>
      </c>
      <c r="AM8" s="282">
        <f t="shared" ca="1" si="10"/>
        <v>0.96491228070175439</v>
      </c>
      <c r="AN8" s="380">
        <f>IFERROR(VLOOKUP(B8,'[2]RETAIL ORIGEN RMKT'!$B$11:$O$62,8,0),0)</f>
        <v>17</v>
      </c>
      <c r="AO8" s="127">
        <f t="shared" ca="1" si="11"/>
        <v>0.40476190476190477</v>
      </c>
      <c r="AP8" s="21">
        <f ca="1">SUMIF('UC BMW 2026'!$B$5:$B$77,'UC BMW 2026'!$B6,'UC BMW 2026'!$R$5:$R$72)</f>
        <v>0</v>
      </c>
      <c r="AQ8" s="24">
        <f ca="1">SUMIF('UC BMW 2026'!$B$5:$B$77,'UC BMW 2026'!$B6,'UC BMW 2026'!$S$5:$S$72)</f>
        <v>0</v>
      </c>
      <c r="AR8" s="24">
        <f>IFERROR(VLOOKUP(B8,[2]BPS!$B$10:$O$64,9,0),0)-IF(B8=100873,IFERROR(VLOOKUP("Julio",[2]BPS!$B$74:$C$89,2,0),0),0)</f>
        <v>0</v>
      </c>
      <c r="AS8" s="282">
        <f t="shared" ca="1" si="12"/>
        <v>0</v>
      </c>
      <c r="AT8" s="380">
        <f>IFERROR(VLOOKUP(B8,'[2]RETAIL ORIGEN RMKT'!$B$11:$O$62,9,0),0)</f>
        <v>0</v>
      </c>
      <c r="AU8" s="127">
        <f t="shared" ca="1" si="13"/>
        <v>0</v>
      </c>
      <c r="AV8" s="21">
        <f ca="1">SUMIF('UC BMW 2026'!$B$5:$B$77,'UC BMW 2026'!$B6,'UC BMW 2026'!$T$5:$T$72)</f>
        <v>0</v>
      </c>
      <c r="AW8" s="24">
        <f ca="1">SUMIF('UC BMW 2026'!$B$5:$B$77,'UC BMW 2026'!$B6,'UC BMW 2026'!$U$5:$U$72)</f>
        <v>0</v>
      </c>
      <c r="AX8" s="24">
        <f>IFERROR(VLOOKUP(B8,[2]BPS!$B$10:$O$64,10,0),0)-IF(B8=100873,IFERROR(VLOOKUP("Agosto",[2]BPS!$B$74:$C$89,2,0),0),0)</f>
        <v>0</v>
      </c>
      <c r="AY8" s="282">
        <f t="shared" ca="1" si="14"/>
        <v>0</v>
      </c>
      <c r="AZ8" s="380">
        <f>IFERROR(VLOOKUP(B8,'[2]RETAIL ORIGEN RMKT'!$B$11:$O$62,10,0),0)</f>
        <v>0</v>
      </c>
      <c r="BA8" s="127">
        <f t="shared" ca="1" si="15"/>
        <v>0</v>
      </c>
      <c r="BB8" s="21">
        <f ca="1">SUMIF('UC BMW 2026'!$B$5:$B$77,'UC BMW 2026'!$B6,'UC BMW 2026'!$V$5:$V$72)</f>
        <v>0</v>
      </c>
      <c r="BC8" s="24">
        <f>SUMIF('UC BMW 2026'!$B$5:$B$77,'UC BMW 2026'!$B6,'UC BMW 2026'!$W$5:$W$77)</f>
        <v>0</v>
      </c>
      <c r="BD8" s="24">
        <f>IFERROR(VLOOKUP(B8,[2]BPS!$B$10:$O$64,11,0),0)-IF(B8=100873,IFERROR(VLOOKUP("Septiembre",[2]BPS!$B$74:$C$89,2,0),0),0)</f>
        <v>0</v>
      </c>
      <c r="BE8" s="282">
        <f t="shared" si="16"/>
        <v>0</v>
      </c>
      <c r="BF8" s="380">
        <f>IFERROR(VLOOKUP(B8,'[2]RETAIL ORIGEN RMKT'!$B$11:$O$62,11,0),0)</f>
        <v>0</v>
      </c>
      <c r="BG8" s="127">
        <f t="shared" ca="1" si="17"/>
        <v>0</v>
      </c>
      <c r="BH8" s="21">
        <f>SUMIF('UC BMW 2026'!$B$5:$B$77,'UC BMW 2026'!$B6,'UC BMW 2026'!$X$5:$X$77)</f>
        <v>0</v>
      </c>
      <c r="BI8" s="24">
        <f>SUMIF('UC BMW 2026'!$B$5:$B$77,'UC BMW 2026'!$B6,'UC BMW 2026'!$Y$5:$Y$77)</f>
        <v>0</v>
      </c>
      <c r="BJ8" s="24">
        <f>IFERROR(VLOOKUP(B8,[2]BPS!$B$10:$O$64,12,0),0)-IF(B8=100873,IFERROR(VLOOKUP("Octubre",[2]BPS!$B$74:$C$89,2,0),0),0)</f>
        <v>0</v>
      </c>
      <c r="BK8" s="282">
        <f t="shared" si="18"/>
        <v>0</v>
      </c>
      <c r="BL8" s="380">
        <f>IFERROR(VLOOKUP(B8,'[2]RETAIL ORIGEN RMKT'!$B$11:$O$62,12,0),0)</f>
        <v>0</v>
      </c>
      <c r="BM8" s="127">
        <f t="shared" si="19"/>
        <v>0</v>
      </c>
      <c r="BN8" s="21">
        <f>SUMIF('UC BMW 2026'!$B$5:$B$77,'UC BMW 2026'!$B6,'UC BMW 2026'!$Z$5:$Z$77)</f>
        <v>0</v>
      </c>
      <c r="BO8" s="24">
        <f>SUMIF('UC BMW 2026'!$B$5:$B$77,'UC BMW 2026'!$B6,'UC BMW 2026'!$AA$5:$AA$77)</f>
        <v>0</v>
      </c>
      <c r="BP8" s="24">
        <f>IFERROR(VLOOKUP(B8,[2]BPS!$B$10:$O$64,13,0),0)-IF(B8=100873,IFERROR(VLOOKUP("Noviembre",[2]BPS!$B$74:$C$89,2,0),0),0)</f>
        <v>0</v>
      </c>
      <c r="BQ8" s="282">
        <f t="shared" si="20"/>
        <v>0</v>
      </c>
      <c r="BR8" s="380">
        <f>IFERROR(VLOOKUP(B8,'[2]RETAIL ORIGEN RMKT'!$B$11:$O$62,13,0),0)</f>
        <v>0</v>
      </c>
      <c r="BS8" s="127">
        <f t="shared" si="21"/>
        <v>0</v>
      </c>
      <c r="BT8" s="21">
        <f>SUMIF('UC BMW 2026'!$B$5:$B$77,'UC BMW 2026'!$B6,'UC BMW 2026'!$AB$5:$AB$77)</f>
        <v>0</v>
      </c>
      <c r="BU8" s="24">
        <f>SUMIF('UC BMW 2026'!$B$5:$B$77,'UC BMW 2026'!$B6,'UC BMW 2026'!$AC$5:$AC$77)</f>
        <v>0</v>
      </c>
      <c r="BV8" s="24">
        <f>IFERROR(VLOOKUP(B8,[2]BPS!$B$10:$O$64,13,0),0)-IF(B8=100873,IFERROR(VLOOKUP("Diciembre",[2]BPS!$B$74:$C$89,2,0),0),0)</f>
        <v>0</v>
      </c>
      <c r="BW8" s="282">
        <f t="shared" si="22"/>
        <v>0</v>
      </c>
      <c r="BX8" s="380">
        <f>IFERROR(VLOOKUP(B8,'[2]RETAIL ORIGEN RMKT'!$B$11:$O$62,14,0),0)</f>
        <v>0</v>
      </c>
      <c r="BY8" s="127">
        <f t="shared" si="23"/>
        <v>0</v>
      </c>
      <c r="BZ8" s="25">
        <f t="shared" ca="1" si="24"/>
        <v>250</v>
      </c>
      <c r="CA8" s="27">
        <f t="shared" ca="1" si="24"/>
        <v>312</v>
      </c>
      <c r="CB8" s="287">
        <f t="shared" ca="1" si="25"/>
        <v>1.248</v>
      </c>
      <c r="CC8" s="151">
        <f>IFERROR(IF($BZ$4="ENERO",H8,IF($BZ$4="FEBRERO",H8+N8,IF($BZ$4="MARZO",H8+N8+T8,IF($BZ$4="ABRIL",H8+N8+T8+Z8,IF($BZ$4="MAYO",H8+N8+T8+Z8+AF8,IF($BZ$4="JUNIO",H8+N8+T8+Z8+AF8+AL8,IF($BZ$4="JULIO",H8+N8+T8+Z8+AF8+AL8+AR8,IF($BZ$4="AGOSTO",H8+N8+T8+Z8+AF8+AL8+AR8+AX8,IF($BZ$4="SEPTIEMBRE",H8+N8+T8+Z8+AF8+AL8+AR8+AX8+BD8,IF($BZ$4="OCTUBRE",H8+N8+T8+Z8+AF8+AL8+AR8+AX8+BD8+BJ8,IF($BZ$4="NOVIEMBRE",H8+N8+T8+Z8+AF8+AL8+AR8+AX8+BD8+BJ8+BP8,IF($BZ$4="DICIEMBRE",H8+N8+T8+Z8+AF8+AL8+AR8+AX8+BD8+BJ8+BP8+BV8,"")))))))))))),0)</f>
        <v>288</v>
      </c>
      <c r="CD8" s="129">
        <f ca="1">IFERROR(IF(CA8=0,"N.D.",CC8/CA8),0)</f>
        <v>0.92307692307692313</v>
      </c>
      <c r="CE8" s="24">
        <f>IFERROR(IF($BZ$4="ENERO",J8,IF($BZ$4="FEBRERO",J8+P8,IF($BZ$4="MARZO",J8+P8+V8,IF($BZ$4="ABRIL",J8+P8+V8+AB8,IF($BZ$4="MAYO",J8+P8+V8+AB8+AH8,IF($BZ$4="JUNIO",J8+P8+V8+AB8+AH8+AN8,IF($BZ$4="JULIO",J8+P8+V8+AB8+AH8+AN8+AT8,IF($BZ$4="AGOSTO",J8+P8+V8+AB8+AH8+AN8+AT8+AZ8,IF($BZ$4="SEPTIEMBRE",J8+P8+V8+AB8+AH8+AN8+AT8+AZ8+BF8,IF($BZ$4="OCTUBRE",J8+P8+V8+AB8+AH8+AN8+AT8+AZ8+BF8+BL8,IF($BZ$4="NOVIEMBRE",J8+P8+V8+AB8+AH8+AN8+AT8+AZ8+BF8+BL8+BR8,IF($BZ$4="DICIEMBRE",J8+P8+V8+AB8+AH8+AN8+AT8+AZ8+BF8+BL8+BR8+BX8,"")))))))))))),0)</f>
        <v>67</v>
      </c>
      <c r="CF8" s="129">
        <f ca="1">IFERROR(CE8/BZ8,0)</f>
        <v>0.26800000000000002</v>
      </c>
      <c r="CG8" s="25">
        <f ca="1">SUM(F8+L8+R8+X8+AD8+AJ8+AP8+AV8+BB8+BH8+BN8+BT8)</f>
        <v>250</v>
      </c>
      <c r="CH8" s="27">
        <f ca="1">SUMIFS($F8:$BW8,$F$6:$BW$6,CH$6,$F$2:$BW$2,$BZ$4)</f>
        <v>312</v>
      </c>
      <c r="CI8" s="287">
        <f ca="1">IFERROR((CH8/CG8),0)</f>
        <v>1.248</v>
      </c>
      <c r="CJ8" s="291">
        <f>SUMIFS($F8:$BW8,$F$6:$BW$6,CJ$6,$F$2:$BW$2,$BZ$4)</f>
        <v>288</v>
      </c>
      <c r="CK8" s="129">
        <f t="shared" ca="1" si="26"/>
        <v>0.92307692307692313</v>
      </c>
      <c r="CL8" s="27">
        <f>IFERROR(J8+P8+V8+AB8+AH8+AN8+AT8+AZ8+BF8+BL8+BR8+BX8,0)</f>
        <v>67</v>
      </c>
      <c r="CM8" s="129">
        <f ca="1">IFERROR(CL8/CG8,0)</f>
        <v>0.26800000000000002</v>
      </c>
      <c r="CN8" s="25">
        <f t="shared" ca="1" si="27"/>
        <v>125</v>
      </c>
      <c r="CO8" s="27">
        <f t="shared" ca="1" si="27"/>
        <v>151</v>
      </c>
      <c r="CP8" s="287">
        <f ca="1">IFERROR((CO8/CN8),0)</f>
        <v>1.208</v>
      </c>
      <c r="CQ8" s="291">
        <f>IF($CN$5="Q1",H8+N8+T8,
IF($CN$5="Q2",Z8+AF8++AL8,
IF($CN$5="Q3",AR8+AX8+BD8,
IF($CN$5="Q4",BJ8+BP8+BV8,0))))</f>
        <v>136</v>
      </c>
      <c r="CR8" s="129">
        <f ca="1">IF(CO8=0,"N.D.",CQ8/CO8)</f>
        <v>0.90066225165562919</v>
      </c>
      <c r="CS8" s="27">
        <f>IF($CZ$5="Q1",J8+P8+V8,
IF($CZ$5="Q2",AB8+AH8+AN8,
IF($CZ$5="Q3",AT8+AZ8+BF8,
IF($CZ$5="Q4",BL8+BR8+BX8,0))))</f>
        <v>0</v>
      </c>
      <c r="CT8" s="129">
        <f ca="1">IFERROR(CS8/CN8,0)</f>
        <v>0</v>
      </c>
      <c r="CU8" s="25">
        <f t="shared" ca="1" si="28"/>
        <v>250</v>
      </c>
      <c r="CV8" s="27">
        <f t="shared" ca="1" si="28"/>
        <v>312</v>
      </c>
      <c r="CW8" s="287">
        <f ca="1">IFERROR((CV8/CU8),0)</f>
        <v>1.248</v>
      </c>
      <c r="CX8" s="27">
        <f>IFERROR(IF($CU$5="S 1",H8+N8+T8+Z8+AF8++AL8,
IF($CU$5="S 2",AR8+AX8+BD8+BJ8+BP8+BV8,0)),0)</f>
        <v>288</v>
      </c>
      <c r="CY8" s="129">
        <f ca="1">IF(CV8=0,"N.D.",CX8/CV8)</f>
        <v>0.92307692307692313</v>
      </c>
      <c r="CZ8" s="27">
        <f>IFERROR(IF($CU$5="S 1",J8+P8+V8+AB8+AH8+AN8,
IF($CU$5="S 2",AT8+AZ8+BF8+BL8+BR8+BX8,0)),0)</f>
        <v>67</v>
      </c>
      <c r="DA8" s="130">
        <f ca="1">IFERROR(CZ8/CU8,0)</f>
        <v>0.26800000000000002</v>
      </c>
      <c r="DB8" s="25">
        <f t="shared" ca="1" si="29"/>
        <v>0</v>
      </c>
      <c r="DC8" s="27">
        <f t="shared" ca="1" si="29"/>
        <v>0</v>
      </c>
      <c r="DD8" s="287">
        <f ca="1">IFERROR((DC8/DB8),0)</f>
        <v>0</v>
      </c>
      <c r="DE8" s="27">
        <f>IFERROR(IF($DB$5="S 1",H8+N8+T8+Z8+AF8++AL8,
IF($DB$5="S 2",AR8+AX8+BD8+BJ8+BP8+BV8,0)),0)</f>
        <v>0</v>
      </c>
      <c r="DF8" s="129" t="str">
        <f ca="1">IF(DC8=0,"N.D.",DE8/DC8)</f>
        <v>N.D.</v>
      </c>
      <c r="DG8" s="27">
        <f>IFERROR(IF($DB$5="S 1",J8+P8+V8+AB8+AH8+AN8,
IF($DB$5="S 2",AT8+AZ8+BF8+BL8+BR8+BX8,0)),0)</f>
        <v>0</v>
      </c>
      <c r="DH8" s="130">
        <f ca="1">IFERROR(DG8/DB8,0)</f>
        <v>0</v>
      </c>
      <c r="DI8" s="510">
        <v>1</v>
      </c>
      <c r="DJ8" s="369" t="s">
        <v>166</v>
      </c>
      <c r="DK8" s="25">
        <f t="shared" ca="1" si="30"/>
        <v>250</v>
      </c>
      <c r="DL8" s="27">
        <f t="shared" ca="1" si="30"/>
        <v>312</v>
      </c>
      <c r="DM8" s="287">
        <f ca="1">IFERROR((CA8/BZ8),0)</f>
        <v>1.248</v>
      </c>
      <c r="DN8" s="151">
        <f>IFERROR(IF($BZ$4="ENERO",H8,IF($BZ$4="FEBRERO",H8+N8,IF($BZ$4="MARZO",H8+N8+T8,IF($BZ$4="ABRIL",H8+N8+T8+Z8,IF($BZ$4="MAYO",H8+N8+T8+Z8+AF8,IF($BZ$4="JUNIO",H8+N8+T8+Z8+AF8+AL8,IF($BZ$4="JULIO",H8+N8+T8+Z8+AF8+AL8+AR8,IF($BZ$4="AGOSTO",H8+N8+T8+Z8+AF8+AL8+AR8+AX8,IF($BZ$4="SEPTIEMBRE",H8+N8+T8+Z8+AF8+AL8+AR8+AX8+BD8,IF($BZ$4="OCTUBRE",H8+N8+T8+Z8+AF8+AL8+AR8+AX8+BD8+BJ8,IF($BZ$4="NOVIEMBRE",H8+N8+T8+Z8+AF8+AL8+AR8+AX8+BD8+BJ8+BP8,IF($BZ$4="DICIEMBRE",H8+N8+T8+Z8+AF8+AL8+AR8+AX8+BD8+BJ8+BP8+BV8,"")))))))))))),0)</f>
        <v>288</v>
      </c>
      <c r="DO8" s="129">
        <f ca="1">IFERROR(IF(CA8=0,"N.D.",CC8/CA8),0)</f>
        <v>0.92307692307692313</v>
      </c>
      <c r="DP8" s="27">
        <f>IFERROR(J8+P8+V8+AB8+AH8+AN8+AT8+AZ8+BF8+BL8+BR8+BX8,0)</f>
        <v>67</v>
      </c>
      <c r="DQ8" s="130">
        <f ca="1">IFERROR(CE8/BZ8,0)</f>
        <v>0.26800000000000002</v>
      </c>
      <c r="DR8"/>
      <c r="DU8" s="508"/>
      <c r="DW8" s="508"/>
      <c r="DY8" s="508"/>
    </row>
    <row r="9" spans="1:129" s="4" customFormat="1" ht="15" customHeight="1" x14ac:dyDescent="0.35">
      <c r="A9" s="4">
        <f>_xlfn.XLOOKUP(B9,'WHOLESALE BMW 2026'!$B$7:$B$67,'WHOLESALE BMW 2026'!$A$7:$A$67)</f>
        <v>1</v>
      </c>
      <c r="B9" s="8">
        <v>100389</v>
      </c>
      <c r="C9" s="369" t="s">
        <v>40</v>
      </c>
      <c r="D9" s="125"/>
      <c r="E9" s="309" t="s">
        <v>275</v>
      </c>
      <c r="F9" s="21">
        <f ca="1">SUMIF('UC BMW 2026'!B7:B83,'UC BMW 2026'!B7,'UC BMW 2026'!F7:F74)</f>
        <v>22</v>
      </c>
      <c r="G9" s="24">
        <f ca="1">SUMIF('UC BMW 2026'!$B$5:$B$77,'UC BMW 2026'!B7,'UC BMW 2026'!$G$5:$G$72)</f>
        <v>4</v>
      </c>
      <c r="H9" s="24">
        <f>IFERROR(VLOOKUP(B9,[2]BPS!$B$10:$O$64,3,0),0)-IF(B9=100873,IFERROR(VLOOKUP("Enero",[2]BPS!$B$74:$C$89,2,0),0),0)</f>
        <v>4</v>
      </c>
      <c r="I9" s="282">
        <f t="shared" ca="1" si="0"/>
        <v>1</v>
      </c>
      <c r="J9" s="380">
        <f>IFERROR(VLOOKUP(B9,'[2]RETAIL ORIGEN RMKT'!$B$11:$O$62,3,0),0)</f>
        <v>2</v>
      </c>
      <c r="K9" s="127">
        <f t="shared" ca="1" si="1"/>
        <v>9.0909090909090912E-2</v>
      </c>
      <c r="L9" s="21">
        <f ca="1">SUMIF('UC BMW 2026'!$B$5:$B$77,'UC BMW 2026'!$B7,'UC BMW 2026'!$H$5:$H$72)</f>
        <v>22</v>
      </c>
      <c r="M9" s="24">
        <f ca="1">SUMIF('UC BMW 2026'!$B$5:$B$77,'UC BMW 2026'!$B7,'UC BMW 2026'!$I$5:$I$72)</f>
        <v>42</v>
      </c>
      <c r="N9" s="24">
        <f>IFERROR(VLOOKUP(B9,[2]BPS!$B$10:$O$64,4,0),0)-IF(B9=100873,IFERROR(VLOOKUP("Febrero",[2]BPS!$B$74:$C$89,2,0),0),0)</f>
        <v>34</v>
      </c>
      <c r="O9" s="282">
        <f t="shared" ca="1" si="2"/>
        <v>0.80952380952380953</v>
      </c>
      <c r="P9" s="380">
        <f>IFERROR(VLOOKUP(B9,'[2]RETAIL ORIGEN RMKT'!$B$11:$O$62,4,0),0)</f>
        <v>9</v>
      </c>
      <c r="Q9" s="127">
        <f t="shared" ca="1" si="3"/>
        <v>0.40909090909090912</v>
      </c>
      <c r="R9" s="21">
        <f ca="1">SUMIF('UC BMW 2026'!$B$5:$B$77,'UC BMW 2026'!$B7,'UC BMW 2026'!$J$5:$J$72)</f>
        <v>22</v>
      </c>
      <c r="S9" s="24">
        <f ca="1">SUMIF('UC BMW 2026'!$B$5:$B$77,'UC BMW 2026'!$B7,'UC BMW 2026'!$K$5:$K$72)</f>
        <v>25</v>
      </c>
      <c r="T9" s="24">
        <f>IFERROR(VLOOKUP(B9,[2]BPS!$B$10:$O$64,5,0),0)-IF(B9=100873,IFERROR(VLOOKUP("Marzo",[2]BPS!$B$74:$C$89,2,0),0),0)</f>
        <v>18</v>
      </c>
      <c r="U9" s="282">
        <f t="shared" ca="1" si="4"/>
        <v>0.72</v>
      </c>
      <c r="V9" s="380">
        <f>IFERROR(VLOOKUP(B9,'[2]RETAIL ORIGEN RMKT'!$B$11:$O$62,5,0),0)</f>
        <v>9</v>
      </c>
      <c r="W9" s="127">
        <f t="shared" ca="1" si="5"/>
        <v>0.40909090909090912</v>
      </c>
      <c r="X9" s="21">
        <f ca="1">SUMIF('UC BMW 2026'!$B$5:$B$77,'UC BMW 2026'!$B7,'UC BMW 2026'!$L$5:$L$72)</f>
        <v>22</v>
      </c>
      <c r="Y9" s="24">
        <f ca="1">SUMIF('UC BMW 2026'!$B$5:$B$77,'UC BMW 2026'!$B7,'UC BMW 2026'!$M$5:$M$72)</f>
        <v>18</v>
      </c>
      <c r="Z9" s="24">
        <f>IFERROR(VLOOKUP(B9,[2]BPS!$B$10:$O$64,6,0),0)-IF(B9=100873,IFERROR(VLOOKUP("Abril",[2]BPS!$B$74:$C$89,2,0),0),0)</f>
        <v>17</v>
      </c>
      <c r="AA9" s="282">
        <f t="shared" ca="1" si="6"/>
        <v>0.94444444444444442</v>
      </c>
      <c r="AB9" s="380">
        <f>IFERROR(VLOOKUP(B9,'[2]RETAIL ORIGEN RMKT'!$B$11:$O$62,6,0),0)</f>
        <v>6</v>
      </c>
      <c r="AC9" s="127">
        <f t="shared" ca="1" si="7"/>
        <v>0.27272727272727271</v>
      </c>
      <c r="AD9" s="21">
        <f ca="1">SUMIF('UC BMW 2026'!$B$5:$B$77,'UC BMW 2026'!$B7,'UC BMW 2026'!$N$5:$N$72)</f>
        <v>22</v>
      </c>
      <c r="AE9" s="24">
        <f ca="1">SUMIF('UC BMW 2026'!$B$5:$B$77,'UC BMW 2026'!$B7,'UC BMW 2026'!$O$5:$O$72)</f>
        <v>18</v>
      </c>
      <c r="AF9" s="24">
        <f>IFERROR(VLOOKUP(B9,[2]BPS!$B$10:$O$64,7,0),0)-IF(B9=100873,IFERROR(VLOOKUP("Mayo",[2]BPS!$B$74:$C$89,2,0),0),0)</f>
        <v>18</v>
      </c>
      <c r="AG9" s="282">
        <f t="shared" ca="1" si="8"/>
        <v>1</v>
      </c>
      <c r="AH9" s="380">
        <f>IFERROR(VLOOKUP(B9,'[2]RETAIL ORIGEN RMKT'!$B$11:$O$62,7,0),0)</f>
        <v>8</v>
      </c>
      <c r="AI9" s="127">
        <f t="shared" ca="1" si="9"/>
        <v>0.36363636363636365</v>
      </c>
      <c r="AJ9" s="21">
        <f ca="1">SUMIF('UC BMW 2026'!$B$5:$B$77,'UC BMW 2026'!$B7,'UC BMW 2026'!$P$5:$P$72)</f>
        <v>22</v>
      </c>
      <c r="AK9" s="24">
        <f ca="1">SUMIF('UC BMW 2026'!$B$5:$B$77,'UC BMW 2026'!$B7,'UC BMW 2026'!$Q$5:$Q$72)</f>
        <v>32</v>
      </c>
      <c r="AL9" s="24">
        <f>IFERROR(VLOOKUP(B9,[2]BPS!$B$10:$O$64,8,0),0)-IF(B9=100873,IFERROR(VLOOKUP("Junio",[2]BPS!$B$74:$C$89,2,0),0),0)</f>
        <v>27</v>
      </c>
      <c r="AM9" s="282">
        <f t="shared" ca="1" si="10"/>
        <v>0.84375</v>
      </c>
      <c r="AN9" s="380">
        <f>IFERROR(VLOOKUP(B9,'[2]RETAIL ORIGEN RMKT'!$B$11:$O$62,8,0),0)</f>
        <v>11</v>
      </c>
      <c r="AO9" s="127">
        <f t="shared" ca="1" si="11"/>
        <v>0.5</v>
      </c>
      <c r="AP9" s="21">
        <f ca="1">SUMIF('UC BMW 2026'!$B$5:$B$77,'UC BMW 2026'!$B7,'UC BMW 2026'!$R$5:$R$72)</f>
        <v>0</v>
      </c>
      <c r="AQ9" s="24">
        <f ca="1">SUMIF('UC BMW 2026'!$B$5:$B$77,'UC BMW 2026'!$B7,'UC BMW 2026'!$S$5:$S$72)</f>
        <v>0</v>
      </c>
      <c r="AR9" s="24">
        <f>IFERROR(VLOOKUP(B9,[2]BPS!$B$10:$O$64,9,0),0)-IF(B9=100873,IFERROR(VLOOKUP("Julio",[2]BPS!$B$74:$C$89,2,0),0),0)</f>
        <v>0</v>
      </c>
      <c r="AS9" s="282">
        <f t="shared" ca="1" si="12"/>
        <v>0</v>
      </c>
      <c r="AT9" s="380">
        <f>IFERROR(VLOOKUP(B9,'[2]RETAIL ORIGEN RMKT'!$B$11:$O$62,9,0),0)</f>
        <v>0</v>
      </c>
      <c r="AU9" s="127">
        <f t="shared" ca="1" si="13"/>
        <v>0</v>
      </c>
      <c r="AV9" s="21">
        <f ca="1">SUMIF('UC BMW 2026'!$B$5:$B$77,'UC BMW 2026'!$B7,'UC BMW 2026'!$T$5:$T$72)</f>
        <v>0</v>
      </c>
      <c r="AW9" s="24">
        <f ca="1">SUMIF('UC BMW 2026'!$B$5:$B$77,'UC BMW 2026'!$B7,'UC BMW 2026'!$U$5:$U$72)</f>
        <v>0</v>
      </c>
      <c r="AX9" s="24">
        <f>IFERROR(VLOOKUP(B9,[2]BPS!$B$10:$O$64,10,0),0)-IF(B9=100873,IFERROR(VLOOKUP("Agosto",[2]BPS!$B$74:$C$89,2,0),0),0)</f>
        <v>0</v>
      </c>
      <c r="AY9" s="282">
        <f t="shared" ca="1" si="14"/>
        <v>0</v>
      </c>
      <c r="AZ9" s="380">
        <f>IFERROR(VLOOKUP(B9,'[2]RETAIL ORIGEN RMKT'!$B$11:$O$62,10,0),0)</f>
        <v>0</v>
      </c>
      <c r="BA9" s="127">
        <f t="shared" ca="1" si="15"/>
        <v>0</v>
      </c>
      <c r="BB9" s="21">
        <f ca="1">SUMIF('UC BMW 2026'!$B$5:$B$77,'UC BMW 2026'!$B7,'UC BMW 2026'!$V$5:$V$72)</f>
        <v>0</v>
      </c>
      <c r="BC9" s="24">
        <f>SUMIF('UC BMW 2026'!$B$5:$B$77,'UC BMW 2026'!$B7,'UC BMW 2026'!$W$5:$W$77)</f>
        <v>0</v>
      </c>
      <c r="BD9" s="24">
        <f>IFERROR(VLOOKUP(B9,[2]BPS!$B$10:$O$64,11,0),0)-IF(B9=100873,IFERROR(VLOOKUP("Septiembre",[2]BPS!$B$74:$C$89,2,0),0),0)</f>
        <v>0</v>
      </c>
      <c r="BE9" s="282">
        <f t="shared" si="16"/>
        <v>0</v>
      </c>
      <c r="BF9" s="380">
        <f>IFERROR(VLOOKUP(B9,'[2]RETAIL ORIGEN RMKT'!$B$11:$O$62,11,0),0)</f>
        <v>0</v>
      </c>
      <c r="BG9" s="127">
        <f t="shared" ca="1" si="17"/>
        <v>0</v>
      </c>
      <c r="BH9" s="21">
        <f>SUMIF('UC BMW 2026'!$B$5:$B$77,'UC BMW 2026'!$B7,'UC BMW 2026'!$X$5:$X$77)</f>
        <v>0</v>
      </c>
      <c r="BI9" s="24">
        <f>SUMIF('UC BMW 2026'!$B$5:$B$77,'UC BMW 2026'!$B7,'UC BMW 2026'!$Y$5:$Y$77)</f>
        <v>0</v>
      </c>
      <c r="BJ9" s="24">
        <f>IFERROR(VLOOKUP(B9,[2]BPS!$B$10:$O$64,12,0),0)-IF(B9=100873,IFERROR(VLOOKUP("Octubre",[2]BPS!$B$74:$C$89,2,0),0),0)</f>
        <v>0</v>
      </c>
      <c r="BK9" s="282">
        <f t="shared" si="18"/>
        <v>0</v>
      </c>
      <c r="BL9" s="380">
        <f>IFERROR(VLOOKUP(B9,'[2]RETAIL ORIGEN RMKT'!$B$11:$O$62,12,0),0)</f>
        <v>0</v>
      </c>
      <c r="BM9" s="127">
        <f t="shared" si="19"/>
        <v>0</v>
      </c>
      <c r="BN9" s="21">
        <f>SUMIF('UC BMW 2026'!$B$5:$B$77,'UC BMW 2026'!$B7,'UC BMW 2026'!$Z$5:$Z$77)</f>
        <v>0</v>
      </c>
      <c r="BO9" s="24">
        <f>SUMIF('UC BMW 2026'!$B$5:$B$77,'UC BMW 2026'!$B7,'UC BMW 2026'!$AA$5:$AA$77)</f>
        <v>0</v>
      </c>
      <c r="BP9" s="24">
        <f>IFERROR(VLOOKUP(B9,[2]BPS!$B$10:$O$64,13,0),0)-IF(B9=100873,IFERROR(VLOOKUP("Noviembre",[2]BPS!$B$74:$C$89,2,0),0),0)</f>
        <v>0</v>
      </c>
      <c r="BQ9" s="282">
        <f t="shared" si="20"/>
        <v>0</v>
      </c>
      <c r="BR9" s="380">
        <f>IFERROR(VLOOKUP(B9,'[2]RETAIL ORIGEN RMKT'!$B$11:$O$62,13,0),0)</f>
        <v>0</v>
      </c>
      <c r="BS9" s="127">
        <f t="shared" si="21"/>
        <v>0</v>
      </c>
      <c r="BT9" s="21">
        <f>SUMIF('UC BMW 2026'!$B$5:$B$77,'UC BMW 2026'!$B7,'UC BMW 2026'!$AB$5:$AB$77)</f>
        <v>0</v>
      </c>
      <c r="BU9" s="24">
        <f>SUMIF('UC BMW 2026'!$B$5:$B$77,'UC BMW 2026'!$B7,'UC BMW 2026'!$AC$5:$AC$77)</f>
        <v>0</v>
      </c>
      <c r="BV9" s="24">
        <f>IFERROR(VLOOKUP(B9,[2]BPS!$B$10:$O$64,13,0),0)-IF(B9=100873,IFERROR(VLOOKUP("Diciembre",[2]BPS!$B$74:$C$89,2,0),0),0)</f>
        <v>0</v>
      </c>
      <c r="BW9" s="282">
        <f t="shared" si="22"/>
        <v>0</v>
      </c>
      <c r="BX9" s="380">
        <f>IFERROR(VLOOKUP(B9,'[2]RETAIL ORIGEN RMKT'!$B$11:$O$62,14,0),0)</f>
        <v>0</v>
      </c>
      <c r="BY9" s="127">
        <f t="shared" si="23"/>
        <v>0</v>
      </c>
      <c r="BZ9" s="25">
        <f t="shared" ca="1" si="24"/>
        <v>132</v>
      </c>
      <c r="CA9" s="27">
        <f t="shared" ca="1" si="24"/>
        <v>139</v>
      </c>
      <c r="CB9" s="287">
        <f t="shared" ca="1" si="25"/>
        <v>1.053030303030303</v>
      </c>
      <c r="CC9" s="151">
        <f>IFERROR(IF($BZ$4="ENERO",H9,IF($BZ$4="FEBRERO",H9+N9,IF($BZ$4="MARZO",H9+N9+T9,IF($BZ$4="ABRIL",H9+N9+T9+Z9,IF($BZ$4="MAYO",H9+N9+T9+Z9+AF9,IF($BZ$4="JUNIO",H9+N9+T9+Z9+AF9+AL9,IF($BZ$4="JULIO",H9+N9+T9+Z9+AF9+AL9+AR9,IF($BZ$4="AGOSTO",H9+N9+T9+Z9+AF9+AL9+AR9+AX9,IF($BZ$4="SEPTIEMBRE",H9+N9+T9+Z9+AF9+AL9+AR9+AX9+BD9,IF($BZ$4="OCTUBRE",H9+N9+T9+Z9+AF9+AL9+AR9+AX9+BD9+BJ9,IF($BZ$4="NOVIEMBRE",H9+N9+T9+Z9+AF9+AL9+AR9+AX9+BD9+BJ9+BP9,IF($BZ$4="DICIEMBRE",H9+N9+T9+Z9+AF9+AL9+AR9+AX9+BD9+BJ9+BP9+BV9,"")))))))))))),0)</f>
        <v>118</v>
      </c>
      <c r="CD9" s="129">
        <f ca="1">IFERROR(IF(CA9=0,"N.D.",CC9/CA9),0)</f>
        <v>0.84892086330935257</v>
      </c>
      <c r="CE9" s="24">
        <f>IFERROR(IF($BZ$4="ENERO",J9,IF($BZ$4="FEBRERO",J9+P9,IF($BZ$4="MARZO",J9+P9+V9,IF($BZ$4="ABRIL",J9+P9+V9+AB9,IF($BZ$4="MAYO",J9+P9+V9+AB9+AH9,IF($BZ$4="JUNIO",J9+P9+V9+AB9+AH9+AN9,IF($BZ$4="JULIO",J9+P9+V9+AB9+AH9+AN9+AT9,IF($BZ$4="AGOSTO",J9+P9+V9+AB9+AH9+AN9+AT9+AZ9,IF($BZ$4="SEPTIEMBRE",J9+P9+V9+AB9+AH9+AN9+AT9+AZ9+BF9,IF($BZ$4="OCTUBRE",J9+P9+V9+AB9+AH9+AN9+AT9+AZ9+BF9+BL9,IF($BZ$4="NOVIEMBRE",J9+P9+V9+AB9+AH9+AN9+AT9+AZ9+BF9+BL9+BR9,IF($BZ$4="DICIEMBRE",J9+P9+V9+AB9+AH9+AN9+AT9+AZ9+BF9+BL9+BR9+BX9,"")))))))))))),0)</f>
        <v>45</v>
      </c>
      <c r="CF9" s="129">
        <f ca="1">IFERROR(CE9/BZ9,0)</f>
        <v>0.34090909090909088</v>
      </c>
      <c r="CG9" s="25">
        <f ca="1">SUM(F9+L9+R9+X9+AD9+AJ9+AP9+AV9+BB9+BH9+BN9+BT9)</f>
        <v>132</v>
      </c>
      <c r="CH9" s="27">
        <f ca="1">SUMIFS($F9:$BW9,$F$6:$BW$6,CH$6,$F$2:$BW$2,$BZ$4)</f>
        <v>139</v>
      </c>
      <c r="CI9" s="287">
        <f ca="1">IFERROR((CH9/CG9),0)</f>
        <v>1.053030303030303</v>
      </c>
      <c r="CJ9" s="291">
        <f>SUMIFS($F9:$BW9,$F$6:$BW$6,CJ$6,$F$2:$BW$2,$BZ$4)</f>
        <v>118</v>
      </c>
      <c r="CK9" s="129">
        <f t="shared" ca="1" si="26"/>
        <v>0.84892086330935257</v>
      </c>
      <c r="CL9" s="27">
        <f>IFERROR(J9+P9+V9+AB9+AH9+AN9+AT9+AZ9+BF9+BL9+BR9+BX9,0)</f>
        <v>45</v>
      </c>
      <c r="CM9" s="129">
        <f ca="1">IFERROR(CL9/CG9,0)</f>
        <v>0.34090909090909088</v>
      </c>
      <c r="CN9" s="25">
        <f t="shared" ca="1" si="27"/>
        <v>66</v>
      </c>
      <c r="CO9" s="27">
        <f t="shared" ca="1" si="27"/>
        <v>71</v>
      </c>
      <c r="CP9" s="287">
        <f ca="1">IFERROR((CO9/CN9),0)</f>
        <v>1.0757575757575757</v>
      </c>
      <c r="CQ9" s="291">
        <f>IF($CN$5="Q1",H9+N9+T9,
IF($CN$5="Q2",Z9+AF9++AL9,
IF($CN$5="Q3",AR9+AX9+BD9,
IF($CN$5="Q4",BJ9+BP9+BV9,0))))</f>
        <v>56</v>
      </c>
      <c r="CR9" s="129">
        <f ca="1">IF(CO9=0,"N.D.",CQ9/CO9)</f>
        <v>0.78873239436619713</v>
      </c>
      <c r="CS9" s="27">
        <f>IF($CZ$5="Q1",J9+P9+V9,
IF($CZ$5="Q2",AB9+AH9+AN9,
IF($CZ$5="Q3",AT9+AZ9+BF9,
IF($CZ$5="Q4",BL9+BR9+BX9,0))))</f>
        <v>0</v>
      </c>
      <c r="CT9" s="129">
        <f ca="1">IFERROR(CS9/CN9,0)</f>
        <v>0</v>
      </c>
      <c r="CU9" s="25">
        <f t="shared" ca="1" si="28"/>
        <v>132</v>
      </c>
      <c r="CV9" s="27">
        <f t="shared" ca="1" si="28"/>
        <v>139</v>
      </c>
      <c r="CW9" s="287">
        <f ca="1">IFERROR((CV9/CU9),0)</f>
        <v>1.053030303030303</v>
      </c>
      <c r="CX9" s="27">
        <f>IFERROR(IF($CU$5="S 1",H9+N9+T9+Z9+AF9++AL9,
IF($CU$5="S 2",AR9+AX9+BD9+BJ9+BP9+BV9,0)),0)</f>
        <v>118</v>
      </c>
      <c r="CY9" s="129">
        <f ca="1">IF(CV9=0,"N.D.",CX9/CV9)</f>
        <v>0.84892086330935257</v>
      </c>
      <c r="CZ9" s="27">
        <f>IFERROR(IF($CU$5="S 1",J9+P9+V9+AB9+AH9+AN9,
IF($CU$5="S 2",AT9+AZ9+BF9+BL9+BR9+BX9,0)),0)</f>
        <v>45</v>
      </c>
      <c r="DA9" s="130">
        <f ca="1">IFERROR(CZ9/CU9,0)</f>
        <v>0.34090909090909088</v>
      </c>
      <c r="DB9" s="25">
        <f t="shared" ca="1" si="29"/>
        <v>0</v>
      </c>
      <c r="DC9" s="27">
        <f t="shared" ca="1" si="29"/>
        <v>0</v>
      </c>
      <c r="DD9" s="287">
        <f ca="1">IFERROR((DC9/DB9),0)</f>
        <v>0</v>
      </c>
      <c r="DE9" s="27">
        <f>IFERROR(IF($DB$5="S 1",H9+N9+T9+Z9+AF9++AL9,
IF($DB$5="S 2",AR9+AX9+BD9+BJ9+BP9+BV9,0)),0)</f>
        <v>0</v>
      </c>
      <c r="DF9" s="129" t="str">
        <f ca="1">IF(DC9=0,"N.D.",DE9/DC9)</f>
        <v>N.D.</v>
      </c>
      <c r="DG9" s="27">
        <f>IFERROR(IF($DB$5="S 1",J9+P9+V9+AB9+AH9+AN9,
IF($DB$5="S 2",AT9+AZ9+BF9+BL9+BR9+BX9,0)),0)</f>
        <v>0</v>
      </c>
      <c r="DH9" s="130">
        <f ca="1">IFERROR(DG9/DB9,0)</f>
        <v>0</v>
      </c>
      <c r="DI9" s="510">
        <v>1</v>
      </c>
      <c r="DJ9" s="369" t="s">
        <v>40</v>
      </c>
      <c r="DK9" s="25">
        <f t="shared" ca="1" si="30"/>
        <v>132</v>
      </c>
      <c r="DL9" s="27">
        <f t="shared" ca="1" si="30"/>
        <v>139</v>
      </c>
      <c r="DM9" s="287">
        <f ca="1">IFERROR((CA9/BZ9),0)</f>
        <v>1.053030303030303</v>
      </c>
      <c r="DN9" s="151">
        <f>IFERROR(IF($BZ$4="ENERO",H9,IF($BZ$4="FEBRERO",H9+N9,IF($BZ$4="MARZO",H9+N9+T9,IF($BZ$4="ABRIL",H9+N9+T9+Z9,IF($BZ$4="MAYO",H9+N9+T9+Z9+AF9,IF($BZ$4="JUNIO",H9+N9+T9+Z9+AF9+AL9,IF($BZ$4="JULIO",H9+N9+T9+Z9+AF9+AL9+AR9,IF($BZ$4="AGOSTO",H9+N9+T9+Z9+AF9+AL9+AR9+AX9,IF($BZ$4="SEPTIEMBRE",H9+N9+T9+Z9+AF9+AL9+AR9+AX9+BD9,IF($BZ$4="OCTUBRE",H9+N9+T9+Z9+AF9+AL9+AR9+AX9+BD9+BJ9,IF($BZ$4="NOVIEMBRE",H9+N9+T9+Z9+AF9+AL9+AR9+AX9+BD9+BJ9+BP9,IF($BZ$4="DICIEMBRE",H9+N9+T9+Z9+AF9+AL9+AR9+AX9+BD9+BJ9+BP9+BV9,"")))))))))))),0)</f>
        <v>118</v>
      </c>
      <c r="DO9" s="129">
        <f ca="1">IFERROR(IF(CA9=0,"N.D.",CC9/CA9),0)</f>
        <v>0.84892086330935257</v>
      </c>
      <c r="DP9" s="27">
        <f>IFERROR(J9+P9+V9+AB9+AH9+AN9+AT9+AZ9+BF9+BL9+BR9+BX9,0)</f>
        <v>45</v>
      </c>
      <c r="DQ9" s="130">
        <f ca="1">IFERROR(CE9/BZ9,0)</f>
        <v>0.34090909090909088</v>
      </c>
      <c r="DR9"/>
      <c r="DU9" s="508"/>
      <c r="DW9" s="508"/>
      <c r="DY9" s="508"/>
    </row>
    <row r="10" spans="1:129" s="4" customFormat="1" ht="15" customHeight="1" thickBot="1" x14ac:dyDescent="0.4">
      <c r="A10" s="4">
        <f>_xlfn.XLOOKUP(B10,'WHOLESALE BMW 2026'!$B$7:$B$67,'WHOLESALE BMW 2026'!$A$7:$A$67)</f>
        <v>1</v>
      </c>
      <c r="B10" s="8">
        <v>100738</v>
      </c>
      <c r="C10" s="369" t="s">
        <v>42</v>
      </c>
      <c r="D10" s="125"/>
      <c r="E10" s="309" t="s">
        <v>89</v>
      </c>
      <c r="F10" s="21">
        <f ca="1">SUMIF('UC BMW 2026'!B8:B84,'UC BMW 2026'!B8,'UC BMW 2026'!F8:F75)</f>
        <v>18</v>
      </c>
      <c r="G10" s="24">
        <f ca="1">SUMIF('UC BMW 2026'!$B$5:$B$77,'UC BMW 2026'!B8,'UC BMW 2026'!$G$5:$G$72)</f>
        <v>11</v>
      </c>
      <c r="H10" s="24">
        <f>IFERROR(VLOOKUP(B10,[2]BPS!$B$10:$O$64,3,0),0)-IF(B10=100873,IFERROR(VLOOKUP("Enero",[2]BPS!$B$74:$C$89,2,0),0),0)</f>
        <v>10</v>
      </c>
      <c r="I10" s="283">
        <f t="shared" ca="1" si="0"/>
        <v>0.90909090909090906</v>
      </c>
      <c r="J10" s="380">
        <f>IFERROR(VLOOKUP(B10,'[2]RETAIL ORIGEN RMKT'!$B$11:$O$62,3,0),0)</f>
        <v>5</v>
      </c>
      <c r="K10" s="127">
        <f t="shared" ca="1" si="1"/>
        <v>0.27777777777777779</v>
      </c>
      <c r="L10" s="21">
        <f ca="1">SUMIF('UC BMW 2026'!$B$5:$B$77,'UC BMW 2026'!$B8,'UC BMW 2026'!$H$5:$H$72)</f>
        <v>19</v>
      </c>
      <c r="M10" s="24">
        <f ca="1">SUMIF('UC BMW 2026'!$B$5:$B$77,'UC BMW 2026'!$B8,'UC BMW 2026'!$I$5:$I$72)</f>
        <v>7</v>
      </c>
      <c r="N10" s="24">
        <f>IFERROR(VLOOKUP(B10,[2]BPS!$B$10:$O$64,4,0),0)-IF(B10=100873,IFERROR(VLOOKUP("Febrero",[2]BPS!$B$74:$C$89,2,0),0),0)</f>
        <v>5</v>
      </c>
      <c r="O10" s="283">
        <f t="shared" ca="1" si="2"/>
        <v>0.7142857142857143</v>
      </c>
      <c r="P10" s="380">
        <f>IFERROR(VLOOKUP(B10,'[2]RETAIL ORIGEN RMKT'!$B$11:$O$62,4,0),0)</f>
        <v>1</v>
      </c>
      <c r="Q10" s="127">
        <f t="shared" ca="1" si="3"/>
        <v>5.2631578947368418E-2</v>
      </c>
      <c r="R10" s="21">
        <f ca="1">SUMIF('UC BMW 2026'!$B$5:$B$77,'UC BMW 2026'!$B8,'UC BMW 2026'!$J$5:$J$72)</f>
        <v>19</v>
      </c>
      <c r="S10" s="24">
        <f ca="1">SUMIF('UC BMW 2026'!$B$5:$B$77,'UC BMW 2026'!$B8,'UC BMW 2026'!$K$5:$K$72)</f>
        <v>14</v>
      </c>
      <c r="T10" s="24">
        <f>IFERROR(VLOOKUP(B10,[2]BPS!$B$10:$O$64,5,0),0)-IF(B10=100873,IFERROR(VLOOKUP("Marzo",[2]BPS!$B$74:$C$89,2,0),0),0)</f>
        <v>11</v>
      </c>
      <c r="U10" s="283">
        <f t="shared" ca="1" si="4"/>
        <v>0.7857142857142857</v>
      </c>
      <c r="V10" s="380">
        <f>IFERROR(VLOOKUP(B10,'[2]RETAIL ORIGEN RMKT'!$B$11:$O$62,5,0),0)</f>
        <v>8</v>
      </c>
      <c r="W10" s="127">
        <f t="shared" ca="1" si="5"/>
        <v>0.42105263157894735</v>
      </c>
      <c r="X10" s="21">
        <f ca="1">SUMIF('UC BMW 2026'!$B$5:$B$77,'UC BMW 2026'!$B8,'UC BMW 2026'!$L$5:$L$72)</f>
        <v>18</v>
      </c>
      <c r="Y10" s="24">
        <f ca="1">SUMIF('UC BMW 2026'!$B$5:$B$77,'UC BMW 2026'!$B8,'UC BMW 2026'!$M$5:$M$72)</f>
        <v>11</v>
      </c>
      <c r="Z10" s="24">
        <f>IFERROR(VLOOKUP(B10,[2]BPS!$B$10:$O$64,6,0),0)-IF(B10=100873,IFERROR(VLOOKUP("Abril",[2]BPS!$B$74:$C$89,2,0),0),0)</f>
        <v>8</v>
      </c>
      <c r="AA10" s="283">
        <f t="shared" ca="1" si="6"/>
        <v>0.72727272727272729</v>
      </c>
      <c r="AB10" s="380">
        <f>IFERROR(VLOOKUP(B10,'[2]RETAIL ORIGEN RMKT'!$B$11:$O$62,6,0),0)</f>
        <v>3</v>
      </c>
      <c r="AC10" s="127">
        <f t="shared" ca="1" si="7"/>
        <v>0.16666666666666666</v>
      </c>
      <c r="AD10" s="21">
        <f ca="1">SUMIF('UC BMW 2026'!$B$5:$B$77,'UC BMW 2026'!$B8,'UC BMW 2026'!$N$5:$N$72)</f>
        <v>19</v>
      </c>
      <c r="AE10" s="24">
        <f ca="1">SUMIF('UC BMW 2026'!$B$5:$B$77,'UC BMW 2026'!$B8,'UC BMW 2026'!$O$5:$O$72)</f>
        <v>12</v>
      </c>
      <c r="AF10" s="24">
        <f>IFERROR(VLOOKUP(B10,[2]BPS!$B$10:$O$64,7,0),0)-IF(B10=100873,IFERROR(VLOOKUP("Mayo",[2]BPS!$B$74:$C$89,2,0),0),0)</f>
        <v>12</v>
      </c>
      <c r="AG10" s="283">
        <f t="shared" ca="1" si="8"/>
        <v>1</v>
      </c>
      <c r="AH10" s="380">
        <f>IFERROR(VLOOKUP(B10,'[2]RETAIL ORIGEN RMKT'!$B$11:$O$62,7,0),0)</f>
        <v>3</v>
      </c>
      <c r="AI10" s="127">
        <f t="shared" ca="1" si="9"/>
        <v>0.15789473684210525</v>
      </c>
      <c r="AJ10" s="21">
        <f ca="1">SUMIF('UC BMW 2026'!$B$5:$B$77,'UC BMW 2026'!$B8,'UC BMW 2026'!$P$5:$P$72)</f>
        <v>19</v>
      </c>
      <c r="AK10" s="24">
        <f ca="1">SUMIF('UC BMW 2026'!$B$5:$B$77,'UC BMW 2026'!$B8,'UC BMW 2026'!$Q$5:$Q$72)</f>
        <v>9</v>
      </c>
      <c r="AL10" s="24">
        <f>IFERROR(VLOOKUP(B10,[2]BPS!$B$10:$O$64,8,0),0)-IF(B10=100873,IFERROR(VLOOKUP("Junio",[2]BPS!$B$74:$C$89,2,0),0),0)</f>
        <v>5</v>
      </c>
      <c r="AM10" s="283">
        <f t="shared" ca="1" si="10"/>
        <v>0.55555555555555558</v>
      </c>
      <c r="AN10" s="380">
        <f>IFERROR(VLOOKUP(B10,'[2]RETAIL ORIGEN RMKT'!$B$11:$O$62,8,0),0)</f>
        <v>3</v>
      </c>
      <c r="AO10" s="127">
        <f t="shared" ca="1" si="11"/>
        <v>0.15789473684210525</v>
      </c>
      <c r="AP10" s="21">
        <f ca="1">SUMIF('UC BMW 2026'!$B$5:$B$77,'UC BMW 2026'!$B8,'UC BMW 2026'!$R$5:$R$72)</f>
        <v>0</v>
      </c>
      <c r="AQ10" s="24">
        <f ca="1">SUMIF('UC BMW 2026'!$B$5:$B$77,'UC BMW 2026'!$B8,'UC BMW 2026'!$S$5:$S$72)</f>
        <v>0</v>
      </c>
      <c r="AR10" s="24">
        <f>IFERROR(VLOOKUP(B10,[2]BPS!$B$10:$O$64,9,0),0)-IF(B10=100873,IFERROR(VLOOKUP("Julio",[2]BPS!$B$74:$C$89,2,0),0),0)</f>
        <v>0</v>
      </c>
      <c r="AS10" s="283">
        <f t="shared" ca="1" si="12"/>
        <v>0</v>
      </c>
      <c r="AT10" s="380">
        <f>IFERROR(VLOOKUP(B10,'[2]RETAIL ORIGEN RMKT'!$B$11:$O$62,9,0),0)</f>
        <v>0</v>
      </c>
      <c r="AU10" s="127">
        <f t="shared" ca="1" si="13"/>
        <v>0</v>
      </c>
      <c r="AV10" s="21">
        <f ca="1">SUMIF('UC BMW 2026'!$B$5:$B$77,'UC BMW 2026'!$B8,'UC BMW 2026'!$T$5:$T$72)</f>
        <v>0</v>
      </c>
      <c r="AW10" s="24">
        <f ca="1">SUMIF('UC BMW 2026'!$B$5:$B$77,'UC BMW 2026'!$B8,'UC BMW 2026'!$U$5:$U$72)</f>
        <v>0</v>
      </c>
      <c r="AX10" s="24">
        <f>IFERROR(VLOOKUP(B10,[2]BPS!$B$10:$O$64,10,0),0)-IF(B10=100873,IFERROR(VLOOKUP("Agosto",[2]BPS!$B$74:$C$89,2,0),0),0)</f>
        <v>0</v>
      </c>
      <c r="AY10" s="283">
        <f t="shared" ca="1" si="14"/>
        <v>0</v>
      </c>
      <c r="AZ10" s="380">
        <f>IFERROR(VLOOKUP(B10,'[2]RETAIL ORIGEN RMKT'!$B$11:$O$62,10,0),0)</f>
        <v>0</v>
      </c>
      <c r="BA10" s="127">
        <f t="shared" ca="1" si="15"/>
        <v>0</v>
      </c>
      <c r="BB10" s="21">
        <f ca="1">SUMIF('UC BMW 2026'!$B$5:$B$77,'UC BMW 2026'!$B8,'UC BMW 2026'!$V$5:$V$72)</f>
        <v>0</v>
      </c>
      <c r="BC10" s="24">
        <f>SUMIF('UC BMW 2026'!$B$5:$B$77,'UC BMW 2026'!$B8,'UC BMW 2026'!$W$5:$W$77)</f>
        <v>0</v>
      </c>
      <c r="BD10" s="24">
        <f>IFERROR(VLOOKUP(B10,[2]BPS!$B$10:$O$64,11,0),0)-IF(B10=100873,IFERROR(VLOOKUP("Septiembre",[2]BPS!$B$74:$C$89,2,0),0),0)</f>
        <v>0</v>
      </c>
      <c r="BE10" s="283">
        <f t="shared" si="16"/>
        <v>0</v>
      </c>
      <c r="BF10" s="380">
        <f>IFERROR(VLOOKUP(B10,'[2]RETAIL ORIGEN RMKT'!$B$11:$O$62,11,0),0)</f>
        <v>0</v>
      </c>
      <c r="BG10" s="127">
        <f t="shared" ca="1" si="17"/>
        <v>0</v>
      </c>
      <c r="BH10" s="21">
        <f>SUMIF('UC BMW 2026'!$B$5:$B$77,'UC BMW 2026'!$B8,'UC BMW 2026'!$X$5:$X$77)</f>
        <v>0</v>
      </c>
      <c r="BI10" s="24">
        <f>SUMIF('UC BMW 2026'!$B$5:$B$77,'UC BMW 2026'!$B8,'UC BMW 2026'!$Y$5:$Y$77)</f>
        <v>0</v>
      </c>
      <c r="BJ10" s="24">
        <f>IFERROR(VLOOKUP(B10,[2]BPS!$B$10:$O$64,12,0),0)-IF(B10=100873,IFERROR(VLOOKUP("Octubre",[2]BPS!$B$74:$C$89,2,0),0),0)</f>
        <v>0</v>
      </c>
      <c r="BK10" s="283">
        <f t="shared" si="18"/>
        <v>0</v>
      </c>
      <c r="BL10" s="380">
        <f>IFERROR(VLOOKUP(B10,'[2]RETAIL ORIGEN RMKT'!$B$11:$O$62,12,0),0)</f>
        <v>0</v>
      </c>
      <c r="BM10" s="127">
        <f t="shared" si="19"/>
        <v>0</v>
      </c>
      <c r="BN10" s="21">
        <f>SUMIF('UC BMW 2026'!$B$5:$B$77,'UC BMW 2026'!$B8,'UC BMW 2026'!$Z$5:$Z$77)</f>
        <v>0</v>
      </c>
      <c r="BO10" s="24">
        <f>SUMIF('UC BMW 2026'!$B$5:$B$77,'UC BMW 2026'!$B8,'UC BMW 2026'!$AA$5:$AA$77)</f>
        <v>0</v>
      </c>
      <c r="BP10" s="24">
        <f>IFERROR(VLOOKUP(B10,[2]BPS!$B$10:$O$64,13,0),0)-IF(B10=100873,IFERROR(VLOOKUP("Noviembre",[2]BPS!$B$74:$C$89,2,0),0),0)</f>
        <v>0</v>
      </c>
      <c r="BQ10" s="283">
        <f t="shared" si="20"/>
        <v>0</v>
      </c>
      <c r="BR10" s="380">
        <f>IFERROR(VLOOKUP(B10,'[2]RETAIL ORIGEN RMKT'!$B$11:$O$62,13,0),0)</f>
        <v>0</v>
      </c>
      <c r="BS10" s="127">
        <f t="shared" si="21"/>
        <v>0</v>
      </c>
      <c r="BT10" s="21">
        <f>SUMIF('UC BMW 2026'!$B$5:$B$77,'UC BMW 2026'!$B8,'UC BMW 2026'!$AB$5:$AB$77)</f>
        <v>0</v>
      </c>
      <c r="BU10" s="24">
        <f>SUMIF('UC BMW 2026'!$B$5:$B$77,'UC BMW 2026'!$B8,'UC BMW 2026'!$AC$5:$AC$77)</f>
        <v>0</v>
      </c>
      <c r="BV10" s="24">
        <f>IFERROR(VLOOKUP(B10,[2]BPS!$B$10:$O$64,13,0),0)-IF(B10=100873,IFERROR(VLOOKUP("Diciembre",[2]BPS!$B$74:$C$89,2,0),0),0)</f>
        <v>0</v>
      </c>
      <c r="BW10" s="283">
        <f t="shared" si="22"/>
        <v>0</v>
      </c>
      <c r="BX10" s="380">
        <f>IFERROR(VLOOKUP(B10,'[2]RETAIL ORIGEN RMKT'!$B$11:$O$62,14,0),0)</f>
        <v>0</v>
      </c>
      <c r="BY10" s="127">
        <f t="shared" si="23"/>
        <v>0</v>
      </c>
      <c r="BZ10" s="25">
        <f t="shared" ca="1" si="24"/>
        <v>112</v>
      </c>
      <c r="CA10" s="27">
        <f t="shared" ca="1" si="24"/>
        <v>64</v>
      </c>
      <c r="CB10" s="283">
        <f t="shared" ca="1" si="25"/>
        <v>0.5714285714285714</v>
      </c>
      <c r="CC10" s="151">
        <f>IFERROR(IF($BZ$4="ENERO",H10,IF($BZ$4="FEBRERO",H10+N10,IF($BZ$4="MARZO",H10+N10+T10,IF($BZ$4="ABRIL",H10+N10+T10+Z10,IF($BZ$4="MAYO",H10+N10+T10+Z10+AF10,IF($BZ$4="JUNIO",H10+N10+T10+Z10+AF10+AL10,IF($BZ$4="JULIO",H10+N10+T10+Z10+AF10+AL10+AR10,IF($BZ$4="AGOSTO",H10+N10+T10+Z10+AF10+AL10+AR10+AX10,IF($BZ$4="SEPTIEMBRE",H10+N10+T10+Z10+AF10+AL10+AR10+AX10+BD10,IF($BZ$4="OCTUBRE",H10+N10+T10+Z10+AF10+AL10+AR10+AX10+BD10+BJ10,IF($BZ$4="NOVIEMBRE",H10+N10+T10+Z10+AF10+AL10+AR10+AX10+BD10+BJ10+BP10,IF($BZ$4="DICIEMBRE",H10+N10+T10+Z10+AF10+AL10+AR10+AX10+BD10+BJ10+BP10+BV10,"")))))))))))),0)</f>
        <v>51</v>
      </c>
      <c r="CD10" s="129">
        <f ca="1">IFERROR(IF(CA10=0,"N.D.",CC10/CA10),0)</f>
        <v>0.796875</v>
      </c>
      <c r="CE10" s="24">
        <f>IFERROR(IF($BZ$4="ENERO",J10,IF($BZ$4="FEBRERO",J10+P10,IF($BZ$4="MARZO",J10+P10+V10,IF($BZ$4="ABRIL",J10+P10+V10+AB10,IF($BZ$4="MAYO",J10+P10+V10+AB10+AH10,IF($BZ$4="JUNIO",J10+P10+V10+AB10+AH10+AN10,IF($BZ$4="JULIO",J10+P10+V10+AB10+AH10+AN10+AT10,IF($BZ$4="AGOSTO",J10+P10+V10+AB10+AH10+AN10+AT10+AZ10,IF($BZ$4="SEPTIEMBRE",J10+P10+V10+AB10+AH10+AN10+AT10+AZ10+BF10,IF($BZ$4="OCTUBRE",J10+P10+V10+AB10+AH10+AN10+AT10+AZ10+BF10+BL10,IF($BZ$4="NOVIEMBRE",J10+P10+V10+AB10+AH10+AN10+AT10+AZ10+BF10+BL10+BR10,IF($BZ$4="DICIEMBRE",J10+P10+V10+AB10+AH10+AN10+AT10+AZ10+BF10+BL10+BR10+BX10,"")))))))))))),0)</f>
        <v>23</v>
      </c>
      <c r="CF10" s="129">
        <f ca="1">IFERROR(CE10/BZ10,0)</f>
        <v>0.20535714285714285</v>
      </c>
      <c r="CG10" s="25">
        <f ca="1">SUM(F10+L10+R10+X10+AD10+AJ10+AP10+AV10+BB10+BH10+BN10+BT10)</f>
        <v>112</v>
      </c>
      <c r="CH10" s="27">
        <f ca="1">SUMIFS($F10:$BW10,$F$6:$BW$6,CH$6,$F$2:$BW$2,$BZ$4)</f>
        <v>64</v>
      </c>
      <c r="CI10" s="283">
        <f ca="1">IFERROR((CH10/CG10),0)</f>
        <v>0.5714285714285714</v>
      </c>
      <c r="CJ10" s="292">
        <f>SUMIFS($F10:$BW10,$F$6:$BW$6,CJ$6,$F$2:$BW$2,$BZ$4)</f>
        <v>51</v>
      </c>
      <c r="CK10" s="129">
        <f t="shared" ca="1" si="26"/>
        <v>0.796875</v>
      </c>
      <c r="CL10" s="27">
        <f>IFERROR(J10+P10+V10+AB10+AH10+AN10+AT10+AZ10+BF10+BL10+BR10+BX10,0)</f>
        <v>23</v>
      </c>
      <c r="CM10" s="129">
        <f ca="1">IFERROR(CL10/CG10,0)</f>
        <v>0.20535714285714285</v>
      </c>
      <c r="CN10" s="25">
        <f t="shared" ca="1" si="27"/>
        <v>56</v>
      </c>
      <c r="CO10" s="27">
        <f t="shared" ca="1" si="27"/>
        <v>32</v>
      </c>
      <c r="CP10" s="283">
        <f ca="1">IFERROR((CO10/CN10),0)</f>
        <v>0.5714285714285714</v>
      </c>
      <c r="CQ10" s="292">
        <f>IF($CN$5="Q1",H10+N10+T10,
IF($CN$5="Q2",Z10+AF10++AL10,
IF($CN$5="Q3",AR10+AX10+BD10,
IF($CN$5="Q4",BJ10+BP10+BV10,0))))</f>
        <v>26</v>
      </c>
      <c r="CR10" s="129">
        <f ca="1">IF(CO10=0,"N.D.",CQ10/CO10)</f>
        <v>0.8125</v>
      </c>
      <c r="CS10" s="27">
        <f>IF($CZ$5="Q1",J10+P10+V10,
IF($CZ$5="Q2",AB10+AH10+AN10,
IF($CZ$5="Q3",AT10+AZ10+BF10,
IF($CZ$5="Q4",BL10+BR10+BX10,0))))</f>
        <v>0</v>
      </c>
      <c r="CT10" s="129">
        <f ca="1">IFERROR(CS10/CN10,0)</f>
        <v>0</v>
      </c>
      <c r="CU10" s="25">
        <f t="shared" ca="1" si="28"/>
        <v>112</v>
      </c>
      <c r="CV10" s="27">
        <f t="shared" ca="1" si="28"/>
        <v>64</v>
      </c>
      <c r="CW10" s="283">
        <f ca="1">IFERROR((CV10/CU10),0)</f>
        <v>0.5714285714285714</v>
      </c>
      <c r="CX10" s="27">
        <f>IFERROR(IF($CU$5="S 1",H10+N10+T10+Z10+AF10++AL10,
IF($CU$5="S 2",AR10+AX10+BD10+BJ10+BP10+BV10,0)),0)</f>
        <v>51</v>
      </c>
      <c r="CY10" s="129">
        <f ca="1">IF(CV10=0,"N.D.",CX10/CV10)</f>
        <v>0.796875</v>
      </c>
      <c r="CZ10" s="27">
        <f>IFERROR(IF($CU$5="S 1",J10+P10+V10+AB10+AH10+AN10,
IF($CU$5="S 2",AT10+AZ10+BF10+BL10+BR10+BX10,0)),0)</f>
        <v>23</v>
      </c>
      <c r="DA10" s="130">
        <f ca="1">IFERROR(CZ10/CU10,0)</f>
        <v>0.20535714285714285</v>
      </c>
      <c r="DB10" s="25">
        <f t="shared" ca="1" si="29"/>
        <v>0</v>
      </c>
      <c r="DC10" s="27">
        <f t="shared" ca="1" si="29"/>
        <v>0</v>
      </c>
      <c r="DD10" s="283">
        <f ca="1">IFERROR((DC10/DB10),0)</f>
        <v>0</v>
      </c>
      <c r="DE10" s="27">
        <f>IFERROR(IF($DB$5="S 1",H10+N10+T10+Z10+AF10++AL10,
IF($DB$5="S 2",AR10+AX10+BD10+BJ10+BP10+BV10,0)),0)</f>
        <v>0</v>
      </c>
      <c r="DF10" s="129" t="str">
        <f ca="1">IF(DC10=0,"N.D.",DE10/DC10)</f>
        <v>N.D.</v>
      </c>
      <c r="DG10" s="27">
        <f>IFERROR(IF($DB$5="S 1",J10+P10+V10+AB10+AH10+AN10,
IF($DB$5="S 2",AT10+AZ10+BF10+BL10+BR10+BX10,0)),0)</f>
        <v>0</v>
      </c>
      <c r="DH10" s="130">
        <f ca="1">IFERROR(DG10/DB10,0)</f>
        <v>0</v>
      </c>
      <c r="DI10" s="510">
        <v>1</v>
      </c>
      <c r="DJ10" s="369" t="s">
        <v>42</v>
      </c>
      <c r="DK10" s="25">
        <f t="shared" ca="1" si="30"/>
        <v>112</v>
      </c>
      <c r="DL10" s="27">
        <f t="shared" ca="1" si="30"/>
        <v>64</v>
      </c>
      <c r="DM10" s="283">
        <f ca="1">IFERROR((CA10/BZ10),0)</f>
        <v>0.5714285714285714</v>
      </c>
      <c r="DN10" s="151">
        <f>IFERROR(IF($BZ$4="ENERO",H10,IF($BZ$4="FEBRERO",H10+N10,IF($BZ$4="MARZO",H10+N10+T10,IF($BZ$4="ABRIL",H10+N10+T10+Z10,IF($BZ$4="MAYO",H10+N10+T10+Z10+AF10,IF($BZ$4="JUNIO",H10+N10+T10+Z10+AF10+AL10,IF($BZ$4="JULIO",H10+N10+T10+Z10+AF10+AL10+AR10,IF($BZ$4="AGOSTO",H10+N10+T10+Z10+AF10+AL10+AR10+AX10,IF($BZ$4="SEPTIEMBRE",H10+N10+T10+Z10+AF10+AL10+AR10+AX10+BD10,IF($BZ$4="OCTUBRE",H10+N10+T10+Z10+AF10+AL10+AR10+AX10+BD10+BJ10,IF($BZ$4="NOVIEMBRE",H10+N10+T10+Z10+AF10+AL10+AR10+AX10+BD10+BJ10+BP10,IF($BZ$4="DICIEMBRE",H10+N10+T10+Z10+AF10+AL10+AR10+AX10+BD10+BJ10+BP10+BV10,"")))))))))))),0)</f>
        <v>51</v>
      </c>
      <c r="DO10" s="129">
        <f ca="1">IFERROR(IF(CA10=0,"N.D.",CC10/CA10),0)</f>
        <v>0.796875</v>
      </c>
      <c r="DP10" s="27">
        <f>IFERROR(J10+P10+V10+AB10+AH10+AN10+AT10+AZ10+BF10+BL10+BR10+BX10,0)</f>
        <v>23</v>
      </c>
      <c r="DQ10" s="130">
        <f ca="1">IFERROR(CE10/BZ10,0)</f>
        <v>0.20535714285714285</v>
      </c>
      <c r="DR10"/>
      <c r="DU10" s="508"/>
      <c r="DW10" s="508"/>
      <c r="DY10" s="508"/>
    </row>
    <row r="11" spans="1:129" s="4" customFormat="1" ht="15" customHeight="1" thickBot="1" x14ac:dyDescent="0.4">
      <c r="A11" s="4">
        <f>_xlfn.XLOOKUP(B11,'WHOLESALE BMW 2026'!$B$7:$B$67,'WHOLESALE BMW 2026'!$A$7:$A$67)</f>
        <v>0</v>
      </c>
      <c r="B11" s="7" t="s">
        <v>264</v>
      </c>
      <c r="C11" s="28"/>
      <c r="D11" s="125"/>
      <c r="E11" s="7"/>
      <c r="F11" s="277">
        <f ca="1">SUM(F7:F10)</f>
        <v>119</v>
      </c>
      <c r="G11" s="277">
        <f ca="1">SUM(G7:G10)</f>
        <v>90</v>
      </c>
      <c r="H11" s="277">
        <f>SUM(H7:H10)</f>
        <v>83</v>
      </c>
      <c r="I11" s="132">
        <f t="shared" ca="1" si="0"/>
        <v>0.92222222222222228</v>
      </c>
      <c r="J11" s="277">
        <f>SUM(J7:J10)</f>
        <v>24</v>
      </c>
      <c r="K11" s="390">
        <f t="shared" ca="1" si="1"/>
        <v>0.20168067226890757</v>
      </c>
      <c r="L11" s="277">
        <f ca="1">SUM(L7:L10)</f>
        <v>121</v>
      </c>
      <c r="M11" s="277">
        <f ca="1">SUM(M7:M10)</f>
        <v>140</v>
      </c>
      <c r="N11" s="277">
        <f>SUM(N7:N10)</f>
        <v>125</v>
      </c>
      <c r="O11" s="132">
        <f t="shared" ca="1" si="2"/>
        <v>0.8928571428571429</v>
      </c>
      <c r="P11" s="277">
        <f>SUM(P7:P10)</f>
        <v>33</v>
      </c>
      <c r="Q11" s="390">
        <f t="shared" ca="1" si="3"/>
        <v>0.27272727272727271</v>
      </c>
      <c r="R11" s="277">
        <f ca="1">SUM(R7:R10)</f>
        <v>122</v>
      </c>
      <c r="S11" s="277">
        <f ca="1">SUM(S7:S10)</f>
        <v>147</v>
      </c>
      <c r="T11" s="277">
        <f>SUM(T7:T10)</f>
        <v>129</v>
      </c>
      <c r="U11" s="132">
        <f t="shared" ca="1" si="4"/>
        <v>0.87755102040816324</v>
      </c>
      <c r="V11" s="277">
        <f>SUM(V7:V10)</f>
        <v>38</v>
      </c>
      <c r="W11" s="390">
        <f t="shared" ca="1" si="5"/>
        <v>0.31147540983606559</v>
      </c>
      <c r="X11" s="277">
        <f ca="1">SUM(X7:X10)</f>
        <v>119</v>
      </c>
      <c r="Y11" s="277">
        <f ca="1">SUM(Y7:Y10)</f>
        <v>114</v>
      </c>
      <c r="Z11" s="277">
        <f>SUM(Z7:Z10)</f>
        <v>104</v>
      </c>
      <c r="AA11" s="132">
        <f t="shared" ca="1" si="6"/>
        <v>0.91228070175438591</v>
      </c>
      <c r="AB11" s="277">
        <f>SUM(AB7:AB10)</f>
        <v>33</v>
      </c>
      <c r="AC11" s="390">
        <f t="shared" ca="1" si="7"/>
        <v>0.27731092436974791</v>
      </c>
      <c r="AD11" s="277">
        <f ca="1">SUM(AD7:AD10)</f>
        <v>121</v>
      </c>
      <c r="AE11" s="277">
        <f ca="1">SUM(AE7:AE10)</f>
        <v>117</v>
      </c>
      <c r="AF11" s="277">
        <f>SUM(AF7:AF10)</f>
        <v>111</v>
      </c>
      <c r="AG11" s="132">
        <f t="shared" ca="1" si="8"/>
        <v>0.94871794871794868</v>
      </c>
      <c r="AH11" s="277">
        <f>SUM(AH7:AH10)</f>
        <v>51</v>
      </c>
      <c r="AI11" s="390">
        <f t="shared" ca="1" si="9"/>
        <v>0.42148760330578511</v>
      </c>
      <c r="AJ11" s="277">
        <f ca="1">SUM(AJ7:AJ10)</f>
        <v>122</v>
      </c>
      <c r="AK11" s="277">
        <f ca="1">SUM(AK7:AK10)</f>
        <v>137</v>
      </c>
      <c r="AL11" s="277">
        <f>SUM(AL7:AL10)</f>
        <v>123</v>
      </c>
      <c r="AM11" s="132">
        <f t="shared" ca="1" si="10"/>
        <v>0.8978102189781022</v>
      </c>
      <c r="AN11" s="277">
        <f>SUM(AN7:AN10)</f>
        <v>50</v>
      </c>
      <c r="AO11" s="390">
        <f t="shared" ca="1" si="11"/>
        <v>0.4098360655737705</v>
      </c>
      <c r="AP11" s="277">
        <f ca="1">SUM(AP7:AP10)</f>
        <v>0</v>
      </c>
      <c r="AQ11" s="277">
        <f ca="1">SUM(AQ7:AQ10)</f>
        <v>0</v>
      </c>
      <c r="AR11" s="277">
        <f>SUM(AR7:AR10)</f>
        <v>0</v>
      </c>
      <c r="AS11" s="132">
        <f t="shared" ca="1" si="12"/>
        <v>0</v>
      </c>
      <c r="AT11" s="277">
        <f>SUM(AT7:AT10)</f>
        <v>0</v>
      </c>
      <c r="AU11" s="390">
        <f t="shared" ca="1" si="13"/>
        <v>0</v>
      </c>
      <c r="AV11" s="277">
        <f ca="1">SUM(AV7:AV10)</f>
        <v>0</v>
      </c>
      <c r="AW11" s="277">
        <f ca="1">SUM(AW7:AW10)</f>
        <v>0</v>
      </c>
      <c r="AX11" s="277">
        <f>SUM(AX7:AX10)</f>
        <v>0</v>
      </c>
      <c r="AY11" s="132">
        <f t="shared" ca="1" si="14"/>
        <v>0</v>
      </c>
      <c r="AZ11" s="277">
        <f>SUM(AZ7:AZ10)</f>
        <v>0</v>
      </c>
      <c r="BA11" s="390">
        <f t="shared" ca="1" si="15"/>
        <v>0</v>
      </c>
      <c r="BB11" s="277">
        <f ca="1">SUM(BB7:BB10)</f>
        <v>0</v>
      </c>
      <c r="BC11" s="277">
        <f>SUM(BC7:BC10)</f>
        <v>0</v>
      </c>
      <c r="BD11" s="277">
        <f>SUM(BD7:BD10)</f>
        <v>0</v>
      </c>
      <c r="BE11" s="132">
        <f t="shared" si="16"/>
        <v>0</v>
      </c>
      <c r="BF11" s="277">
        <f>SUM(BF7:BF10)</f>
        <v>0</v>
      </c>
      <c r="BG11" s="390">
        <f t="shared" ca="1" si="17"/>
        <v>0</v>
      </c>
      <c r="BH11" s="277">
        <f>SUM(BH7:BH10)</f>
        <v>0</v>
      </c>
      <c r="BI11" s="277">
        <f>SUM(BI7:BI10)</f>
        <v>0</v>
      </c>
      <c r="BJ11" s="277">
        <f>SUM(BJ7:BJ10)</f>
        <v>0</v>
      </c>
      <c r="BK11" s="132">
        <f t="shared" si="18"/>
        <v>0</v>
      </c>
      <c r="BL11" s="277">
        <f>SUM(BL7:BL10)</f>
        <v>0</v>
      </c>
      <c r="BM11" s="390">
        <f t="shared" si="19"/>
        <v>0</v>
      </c>
      <c r="BN11" s="277">
        <f>SUM(BN7:BN10)</f>
        <v>0</v>
      </c>
      <c r="BO11" s="277">
        <f>SUM(BO7:BO10)</f>
        <v>0</v>
      </c>
      <c r="BP11" s="277">
        <f>SUM(BP7:BP10)</f>
        <v>0</v>
      </c>
      <c r="BQ11" s="132">
        <f t="shared" si="20"/>
        <v>0</v>
      </c>
      <c r="BR11" s="277">
        <f>SUM(BR7:BR10)</f>
        <v>0</v>
      </c>
      <c r="BS11" s="390">
        <f t="shared" si="21"/>
        <v>0</v>
      </c>
      <c r="BT11" s="277">
        <f>SUM(BT7:BT10)</f>
        <v>0</v>
      </c>
      <c r="BU11" s="277">
        <f>SUM(BU7:BU10)</f>
        <v>0</v>
      </c>
      <c r="BV11" s="277">
        <f>SUM(BV7:BV10)</f>
        <v>0</v>
      </c>
      <c r="BW11" s="132">
        <f t="shared" si="22"/>
        <v>0</v>
      </c>
      <c r="BX11" s="277">
        <f>SUM(BX7:BX10)</f>
        <v>0</v>
      </c>
      <c r="BY11" s="390">
        <f t="shared" si="23"/>
        <v>0</v>
      </c>
      <c r="BZ11" s="200">
        <f ca="1">SUM(BZ7:BZ10)</f>
        <v>724</v>
      </c>
      <c r="CA11" s="200">
        <f ca="1">SUM(CA7:CA10)</f>
        <v>745</v>
      </c>
      <c r="CB11" s="132">
        <f t="shared" ca="1" si="25"/>
        <v>1.0290055248618784</v>
      </c>
      <c r="CC11" s="200">
        <f>SUM(CC7:CC10)</f>
        <v>675</v>
      </c>
      <c r="CD11" s="132">
        <f ca="1">CC11/CA11</f>
        <v>0.90604026845637586</v>
      </c>
      <c r="CE11" s="200">
        <f>SUM(CE7:CE10)</f>
        <v>229</v>
      </c>
      <c r="CF11" s="131">
        <f ca="1">IFERROR(CE11/BZ11,0)</f>
        <v>0.31629834254143646</v>
      </c>
      <c r="CG11" s="200">
        <f ca="1">SUM(CG7:CG10)</f>
        <v>724</v>
      </c>
      <c r="CH11" s="200">
        <f ca="1">SUM(CH7:CH10)</f>
        <v>745</v>
      </c>
      <c r="CI11" s="132">
        <f ca="1">IFERROR((CH11/CG11),0)</f>
        <v>1.0290055248618784</v>
      </c>
      <c r="CJ11" s="278">
        <f>SUM(CJ7:CJ10)</f>
        <v>675</v>
      </c>
      <c r="CK11" s="132">
        <f t="shared" ca="1" si="26"/>
        <v>0.90604026845637586</v>
      </c>
      <c r="CL11" s="278">
        <f>SUM(CL7:CL10)</f>
        <v>229</v>
      </c>
      <c r="CM11" s="131">
        <f ca="1">IFERROR(CL11/CG11,0)</f>
        <v>0.31629834254143646</v>
      </c>
      <c r="CN11" s="200">
        <f ca="1">SUM(CN1:CN9)</f>
        <v>306</v>
      </c>
      <c r="CO11" s="258">
        <f ca="1">SUM(CO1:CO9)</f>
        <v>345</v>
      </c>
      <c r="CP11" s="132">
        <f ca="1">IFERROR((CO11/CN11),0)</f>
        <v>1.1274509803921569</v>
      </c>
      <c r="CQ11" s="278">
        <f>SUM(CQ1:CQ9)</f>
        <v>311</v>
      </c>
      <c r="CR11" s="132">
        <f ca="1">IF(CO11=0,"N.D.",CQ11/CO11)</f>
        <v>0.90144927536231889</v>
      </c>
      <c r="CS11" s="258">
        <f>IF($CZ$5="Q1",J11+P11+V11,
IF($CZ$5="Q2",AB11+AH11+AN11,
IF($CZ$5="Q3",AT11+AZ11+BF11,
IF($CZ$5="Q4",BL11+BR11+BX11,0))))</f>
        <v>0</v>
      </c>
      <c r="CT11" s="131">
        <f ca="1">IFERROR(CS11/CN11,0)</f>
        <v>0</v>
      </c>
      <c r="CU11" s="200">
        <f ca="1">IF($CU$5="S 1",F11+L11+R11+X11+AD11++AJ11,
IF($CU$5="S 2",AP11+AV11+BB11+BH11+BN11+BT11,0))</f>
        <v>724</v>
      </c>
      <c r="CV11" s="258">
        <f ca="1">IF($CU$5="S 1",G11+M11+S11+Y11+AE11++AK11,
IF($CU$5="S 2",AQ11+AW11+BC11+BI11+BO11+BU11,0))</f>
        <v>745</v>
      </c>
      <c r="CW11" s="132">
        <f ca="1">IFERROR((CV11/CU11),0)</f>
        <v>1.0290055248618784</v>
      </c>
      <c r="CX11" s="258">
        <f>IFERROR(IF($CU$5="S 1",H11+N11+T11+Z11+AF11++AL11,
IF($CU$5="S 2",AR11+AX11+BD11+BJ11+BP11+BV11,0)),0)</f>
        <v>675</v>
      </c>
      <c r="CY11" s="132">
        <f ca="1">IF(CV11=0,"N.D.",CX11/CV11)</f>
        <v>0.90604026845637586</v>
      </c>
      <c r="CZ11" s="258">
        <f>IFERROR(IF($CU$5="S 1",J11+P11+V11+AB11+AH11+AN11,
IF($CU$5="S 2",AT11+AZ11+BF11+BL11+BR11+BX11,0)),0)</f>
        <v>229</v>
      </c>
      <c r="DA11" s="275">
        <f ca="1">IFERROR(CZ11/CU11,0)</f>
        <v>0.31629834254143646</v>
      </c>
      <c r="DB11" s="200">
        <f ca="1">IFERROR(SUM(DB1:DB9),0)</f>
        <v>0</v>
      </c>
      <c r="DC11" s="200">
        <f ca="1">IFERROR(SUM(DC1:DC9),0)</f>
        <v>0</v>
      </c>
      <c r="DD11" s="132">
        <f ca="1">IFERROR((DC11/DB11),0)</f>
        <v>0</v>
      </c>
      <c r="DE11" s="258">
        <f>IFERROR(SUM(DE1:DE9),0)</f>
        <v>0</v>
      </c>
      <c r="DF11" s="132" t="str">
        <f ca="1">IF(DC11=0,"N.D.",DE11/DC11)</f>
        <v>N.D.</v>
      </c>
      <c r="DG11" s="258">
        <f>IFERROR(SUM(DG1:DG9),0)</f>
        <v>0</v>
      </c>
      <c r="DH11" s="275">
        <f ca="1">IFERROR(DG11/DB11,0)</f>
        <v>0</v>
      </c>
      <c r="DI11" s="510">
        <v>0</v>
      </c>
      <c r="DJ11" s="28"/>
      <c r="DK11" s="200">
        <f ca="1">IF($BZ$4="ENERO",F11,IF($BZ$4="FEBRERO",F11+L11,IF($BZ$4="MARZO",F11+L11+R11,IF($BZ$4="ABRIL",F11+L11+R11+X11,IF($BZ$4="MAYO",F11+L11+R11+X11+AD11,IF($BZ$4="JUNIO",F11+L11+R11+X11+AD11+AJ11,IF($BZ$4="JULIO",F11+L11+R11+X11+AD11+AJ11+AP11,IF($BZ$4="AGOSTO",F11+L11+R11+X11+AD11+AJ11+AP11+AV11,IF($BZ$4="SEPTIEMBRE",F11+L11+R11+X11+AD11+AJ11+AP11+AV11+BB11,IF($BZ$4="OCTUBRE",F11+L11+R11+X11+AD11+AJ11+AP11+AV11+BB11+BH11,IF($BZ$4="NOVIEMBRE",F11+L11+R11+X11+AD11+AJ11+AP11+AV11+BB11+BH11+BN11,IF($BZ$4="DICIEMBRE",F11+L11+R11+X11+AD11+AJ11+AP11+AV11+BB11+BH11+BN11+BT11,""))))))))))))</f>
        <v>724</v>
      </c>
      <c r="DL11" s="258">
        <f ca="1">IF($BZ$4="ENERO",G11,IF($BZ$4="FEBRERO",G11+M11,IF($BZ$4="MARZO",G11+M11+S11,IF($BZ$4="ABRIL",G11+M11+S11+Y11,IF($BZ$4="MAYO",G11+M11+S11+Y11+AE11,IF($BZ$4="JUNIO",G11+M11+S11+Y11+AE11+AK11,IF($BZ$4="JULIO",G11+M11+S11+Y11+AE11+AK11+AQ11,IF($BZ$4="AGOSTO",G11+M11+S11+Y11+AE11+AK11+AQ11+AW11,IF($BZ$4="SEPTIEMBRE",G11+M11+S11+Y11+AE11+AK11+AQ11+AW11+BC11,IF($BZ$4="OCTUBRE",G11+M11+S11+Y11+AE11+AK11+AQ11+AW11+BC11+BI11,IF($BZ$4="NOVIEMBRE",G11+M11+S11+Y11+AE11+AK11+AQ11+AW11+BC11+BI11+BO11,IF($BZ$4="DICIEMBRE",G11+M11+S11+Y11+AE11+AK11+AQ11+AW11+BC11+BI11+BO11+BU11,""))))))))))))</f>
        <v>745</v>
      </c>
      <c r="DM11" s="132">
        <f ca="1">IFERROR((CA11/BZ11),0)</f>
        <v>1.0290055248618784</v>
      </c>
      <c r="DN11" s="278">
        <f>IFERROR(IF($BZ$4="ENERO",H11,IF($BZ$4="FEBRERO",H11+N11,IF($BZ$4="MARZO",H11+N11+T11,IF($BZ$4="ABRIL",H11+N11+T11+Z11,IF($BZ$4="MAYO",H11+N11+T11+Z11+AF11,IF($BZ$4="JUNIO",H11+N11+T11+Z11+AF11+AL11,IF($BZ$4="JULIO",H11+N11+T11+Z11+AF11+AL11+AR11,IF($BZ$4="AGOSTO",H11+N11+T11+Z11+AF11+AL11+AR11+AX11,IF($BZ$4="SEPTIEMBRE",H11+N11+T11+Z11+AF11+AL11+AR11+AX11+BD11,IF($BZ$4="OCTUBRE",H11+N11+T11+Z11+AF11+AL11+AR11+AX11+BD11+BJ11,IF($BZ$4="NOVIEMBRE",H11+N11+T11+Z11+AF11+AL11+AR11+AX11+BD11+BJ11+BP11,IF($BZ$4="DICIEMBRE",H11+N11+T11+Z11+AF11+AL11+AR11+AX11+BD11+BJ11+BP11+BV11,"")))))))))))),0)</f>
        <v>675</v>
      </c>
      <c r="DO11" s="132">
        <f ca="1">IFERROR(IF(CA11=0,"N.D.",CC11/CA11),0)</f>
        <v>0.90604026845637586</v>
      </c>
      <c r="DP11" s="258">
        <f>IFERROR(J11+P11+V11+AB11+AH11+AN11+AT11+AZ11+BF11+BL11+BR11+BX11,0)</f>
        <v>229</v>
      </c>
      <c r="DQ11" s="275">
        <f ca="1">IFERROR(CE11/BZ11,0)</f>
        <v>0.31629834254143646</v>
      </c>
      <c r="DR11"/>
      <c r="DU11" s="508"/>
      <c r="DW11" s="508"/>
      <c r="DY11" s="508"/>
    </row>
    <row r="12" spans="1:129" s="4" customFormat="1" ht="15" customHeight="1" x14ac:dyDescent="0.35">
      <c r="A12" s="4">
        <f>_xlfn.XLOOKUP(B12,'WHOLESALE BMW 2026'!$B$7:$B$67,'WHOLESALE BMW 2026'!$A$7:$A$67)</f>
        <v>2</v>
      </c>
      <c r="B12" s="8">
        <v>100213</v>
      </c>
      <c r="C12" s="369" t="s">
        <v>15</v>
      </c>
      <c r="D12" s="125"/>
      <c r="E12" s="309" t="s">
        <v>276</v>
      </c>
      <c r="F12" s="21">
        <f ca="1">SUMIF('UC BMW 2026'!B10:B86,'UC BMW 2026'!B10,'UC BMW 2026'!F10:F77)</f>
        <v>46</v>
      </c>
      <c r="G12" s="24">
        <f ca="1">SUMIF('UC BMW 2026'!$B$5:$B$77,'UC BMW 2026'!B10,'UC BMW 2026'!$G$5:$G$72)</f>
        <v>38</v>
      </c>
      <c r="H12" s="24">
        <f>IFERROR(VLOOKUP(B12,[2]BPS!$B$10:$O$64,3,0),0)-IF(B12=100873,IFERROR(VLOOKUP("Enero",[2]BPS!$B$74:$C$89,2,0),0),0)</f>
        <v>38</v>
      </c>
      <c r="I12" s="285">
        <f t="shared" ca="1" si="0"/>
        <v>1</v>
      </c>
      <c r="J12" s="380">
        <f>IFERROR(VLOOKUP(B12,'[2]RETAIL ORIGEN RMKT'!$B$11:$O$62,3,0),0)</f>
        <v>21</v>
      </c>
      <c r="K12" s="127">
        <f t="shared" ca="1" si="1"/>
        <v>0.45652173913043476</v>
      </c>
      <c r="L12" s="21">
        <f ca="1">SUMIF('UC BMW 2026'!$B$5:$B$77,'UC BMW 2026'!$B10,'UC BMW 2026'!$H$5:$H$72)</f>
        <v>47</v>
      </c>
      <c r="M12" s="24">
        <f ca="1">SUMIF('UC BMW 2026'!$B$5:$B$77,'UC BMW 2026'!$B10,'UC BMW 2026'!$I$5:$I$72)</f>
        <v>51</v>
      </c>
      <c r="N12" s="24">
        <f>IFERROR(VLOOKUP(B12,[2]BPS!$B$10:$O$64,4,0),0)-IF(B12=100873,IFERROR(VLOOKUP("Febrero",[2]BPS!$B$74:$C$89,2,0),0),0)</f>
        <v>49</v>
      </c>
      <c r="O12" s="285">
        <f t="shared" ca="1" si="2"/>
        <v>0.96078431372549022</v>
      </c>
      <c r="P12" s="380">
        <f>IFERROR(VLOOKUP(B12,'[2]RETAIL ORIGEN RMKT'!$B$11:$O$62,4,0),0)</f>
        <v>17</v>
      </c>
      <c r="Q12" s="127">
        <f t="shared" ca="1" si="3"/>
        <v>0.36170212765957449</v>
      </c>
      <c r="R12" s="21">
        <f ca="1">SUMIF('UC BMW 2026'!$B$5:$B$77,'UC BMW 2026'!$B10,'UC BMW 2026'!$J$5:$J$72)</f>
        <v>47</v>
      </c>
      <c r="S12" s="24">
        <f ca="1">SUMIF('UC BMW 2026'!$B$5:$B$77,'UC BMW 2026'!$B10,'UC BMW 2026'!$K$5:$K$72)</f>
        <v>63</v>
      </c>
      <c r="T12" s="24">
        <f>IFERROR(VLOOKUP(B12,[2]BPS!$B$10:$O$64,5,0),0)-IF(B12=100873,IFERROR(VLOOKUP("Marzo",[2]BPS!$B$74:$C$89,2,0),0),0)</f>
        <v>59</v>
      </c>
      <c r="U12" s="285">
        <f t="shared" ca="1" si="4"/>
        <v>0.93650793650793651</v>
      </c>
      <c r="V12" s="380">
        <f>IFERROR(VLOOKUP(B12,'[2]RETAIL ORIGEN RMKT'!$B$11:$O$62,5,0),0)</f>
        <v>30</v>
      </c>
      <c r="W12" s="127">
        <f t="shared" ca="1" si="5"/>
        <v>0.63829787234042556</v>
      </c>
      <c r="X12" s="21">
        <f ca="1">SUMIF('UC BMW 2026'!$B$5:$B$77,'UC BMW 2026'!$B10,'UC BMW 2026'!$L$5:$L$72)</f>
        <v>46</v>
      </c>
      <c r="Y12" s="24">
        <f ca="1">SUMIF('UC BMW 2026'!$B$5:$B$77,'UC BMW 2026'!$B10,'UC BMW 2026'!$M$5:$M$72)</f>
        <v>48</v>
      </c>
      <c r="Z12" s="24">
        <f>IFERROR(VLOOKUP(B12,[2]BPS!$B$10:$O$64,6,0),0)-IF(B12=100873,IFERROR(VLOOKUP("Abril",[2]BPS!$B$74:$C$89,2,0),0),0)</f>
        <v>46</v>
      </c>
      <c r="AA12" s="285">
        <f t="shared" ca="1" si="6"/>
        <v>0.95833333333333337</v>
      </c>
      <c r="AB12" s="380">
        <f>IFERROR(VLOOKUP(B12,'[2]RETAIL ORIGEN RMKT'!$B$11:$O$62,6,0),0)</f>
        <v>13</v>
      </c>
      <c r="AC12" s="127">
        <f t="shared" ca="1" si="7"/>
        <v>0.28260869565217389</v>
      </c>
      <c r="AD12" s="21">
        <f ca="1">SUMIF('UC BMW 2026'!$B$5:$B$77,'UC BMW 2026'!$B10,'UC BMW 2026'!$N$5:$N$72)</f>
        <v>47</v>
      </c>
      <c r="AE12" s="24">
        <f ca="1">SUMIF('UC BMW 2026'!$B$5:$B$77,'UC BMW 2026'!$B10,'UC BMW 2026'!$O$5:$O$72)</f>
        <v>50</v>
      </c>
      <c r="AF12" s="24">
        <f>IFERROR(VLOOKUP(B12,[2]BPS!$B$10:$O$64,7,0),0)-IF(B12=100873,IFERROR(VLOOKUP("Mayo",[2]BPS!$B$74:$C$89,2,0),0),0)</f>
        <v>49</v>
      </c>
      <c r="AG12" s="285">
        <f t="shared" ca="1" si="8"/>
        <v>0.98</v>
      </c>
      <c r="AH12" s="380">
        <f>IFERROR(VLOOKUP(B12,'[2]RETAIL ORIGEN RMKT'!$B$11:$O$62,7,0),0)</f>
        <v>26</v>
      </c>
      <c r="AI12" s="127">
        <f t="shared" ca="1" si="9"/>
        <v>0.55319148936170215</v>
      </c>
      <c r="AJ12" s="21">
        <f ca="1">SUMIF('UC BMW 2026'!$B$5:$B$77,'UC BMW 2026'!$B10,'UC BMW 2026'!$P$5:$P$72)</f>
        <v>47</v>
      </c>
      <c r="AK12" s="24">
        <f ca="1">SUMIF('UC BMW 2026'!$B$5:$B$77,'UC BMW 2026'!$B10,'UC BMW 2026'!$Q$5:$Q$72)</f>
        <v>49</v>
      </c>
      <c r="AL12" s="24">
        <f>IFERROR(VLOOKUP(B12,[2]BPS!$B$10:$O$64,8,0),0)-IF(B12=100873,IFERROR(VLOOKUP("Junio",[2]BPS!$B$74:$C$89,2,0),0),0)</f>
        <v>45</v>
      </c>
      <c r="AM12" s="285">
        <f t="shared" ca="1" si="10"/>
        <v>0.91836734693877553</v>
      </c>
      <c r="AN12" s="380">
        <f>IFERROR(VLOOKUP(B12,'[2]RETAIL ORIGEN RMKT'!$B$11:$O$62,8,0),0)</f>
        <v>23</v>
      </c>
      <c r="AO12" s="127">
        <f t="shared" ca="1" si="11"/>
        <v>0.48936170212765956</v>
      </c>
      <c r="AP12" s="21">
        <f ca="1">SUMIF('UC BMW 2026'!$B$5:$B$77,'UC BMW 2026'!$B10,'UC BMW 2026'!$R$5:$R$72)</f>
        <v>0</v>
      </c>
      <c r="AQ12" s="24">
        <f ca="1">SUMIF('UC BMW 2026'!$B$5:$B$77,'UC BMW 2026'!$B10,'UC BMW 2026'!$S$5:$S$72)</f>
        <v>0</v>
      </c>
      <c r="AR12" s="24">
        <f>IFERROR(VLOOKUP(B12,[2]BPS!$B$10:$O$64,9,0),0)-IF(B12=100873,IFERROR(VLOOKUP("Julio",[2]BPS!$B$74:$C$89,2,0),0),0)</f>
        <v>0</v>
      </c>
      <c r="AS12" s="285">
        <f t="shared" ca="1" si="12"/>
        <v>0</v>
      </c>
      <c r="AT12" s="380">
        <f>IFERROR(VLOOKUP(B12,'[2]RETAIL ORIGEN RMKT'!$B$11:$O$62,9,0),0)</f>
        <v>0</v>
      </c>
      <c r="AU12" s="127">
        <f t="shared" ca="1" si="13"/>
        <v>0</v>
      </c>
      <c r="AV12" s="21">
        <f ca="1">SUMIF('UC BMW 2026'!$B$5:$B$77,'UC BMW 2026'!$B10,'UC BMW 2026'!$T$5:$T$72)</f>
        <v>0</v>
      </c>
      <c r="AW12" s="24">
        <f ca="1">SUMIF('UC BMW 2026'!$B$5:$B$77,'UC BMW 2026'!$B10,'UC BMW 2026'!$U$5:$U$72)</f>
        <v>0</v>
      </c>
      <c r="AX12" s="24">
        <f>IFERROR(VLOOKUP(B12,[2]BPS!$B$10:$O$64,10,0),0)-IF(B12=100873,IFERROR(VLOOKUP("Agosto",[2]BPS!$B$74:$C$89,2,0),0),0)</f>
        <v>0</v>
      </c>
      <c r="AY12" s="285">
        <f t="shared" ca="1" si="14"/>
        <v>0</v>
      </c>
      <c r="AZ12" s="380">
        <f>IFERROR(VLOOKUP(B12,'[2]RETAIL ORIGEN RMKT'!$B$11:$O$62,10,0),0)</f>
        <v>0</v>
      </c>
      <c r="BA12" s="127">
        <f t="shared" ca="1" si="15"/>
        <v>0</v>
      </c>
      <c r="BB12" s="21">
        <f ca="1">SUMIF('UC BMW 2026'!$B$5:$B$77,'UC BMW 2026'!$B10,'UC BMW 2026'!$V$5:$V$72)</f>
        <v>0</v>
      </c>
      <c r="BC12" s="24">
        <f>SUMIF('UC BMW 2026'!$B$5:$B$77,'UC BMW 2026'!$B10,'UC BMW 2026'!$W$5:$W$77)</f>
        <v>0</v>
      </c>
      <c r="BD12" s="24">
        <f>IFERROR(VLOOKUP(B12,[2]BPS!$B$10:$O$64,11,0),0)-IF(B12=100873,IFERROR(VLOOKUP("Septiembre",[2]BPS!$B$74:$C$89,2,0),0),0)</f>
        <v>0</v>
      </c>
      <c r="BE12" s="285">
        <f t="shared" si="16"/>
        <v>0</v>
      </c>
      <c r="BF12" s="380">
        <f>IFERROR(VLOOKUP(B12,'[2]RETAIL ORIGEN RMKT'!$B$11:$O$62,11,0),0)</f>
        <v>0</v>
      </c>
      <c r="BG12" s="127">
        <f t="shared" ca="1" si="17"/>
        <v>0</v>
      </c>
      <c r="BH12" s="21">
        <f>SUMIF('UC BMW 2026'!$B$5:$B$77,'UC BMW 2026'!$B10,'UC BMW 2026'!$X$5:$X$77)</f>
        <v>0</v>
      </c>
      <c r="BI12" s="24">
        <f>SUMIF('UC BMW 2026'!$B$5:$B$77,'UC BMW 2026'!$B10,'UC BMW 2026'!$Y$5:$Y$77)</f>
        <v>0</v>
      </c>
      <c r="BJ12" s="24">
        <f>IFERROR(VLOOKUP(B12,[2]BPS!$B$10:$O$64,12,0),0)-IF(B12=100873,IFERROR(VLOOKUP("Octubre",[2]BPS!$B$74:$C$89,2,0),0),0)</f>
        <v>0</v>
      </c>
      <c r="BK12" s="285">
        <f t="shared" si="18"/>
        <v>0</v>
      </c>
      <c r="BL12" s="380">
        <f>IFERROR(VLOOKUP(B12,'[2]RETAIL ORIGEN RMKT'!$B$11:$O$62,12,0),0)</f>
        <v>0</v>
      </c>
      <c r="BM12" s="127">
        <f t="shared" si="19"/>
        <v>0</v>
      </c>
      <c r="BN12" s="21">
        <f>SUMIF('UC BMW 2026'!$B$5:$B$77,'UC BMW 2026'!$B10,'UC BMW 2026'!$Z$5:$Z$77)</f>
        <v>0</v>
      </c>
      <c r="BO12" s="24">
        <f>SUMIF('UC BMW 2026'!$B$5:$B$77,'UC BMW 2026'!$B10,'UC BMW 2026'!$AA$5:$AA$77)</f>
        <v>0</v>
      </c>
      <c r="BP12" s="24">
        <f>IFERROR(VLOOKUP(B12,[2]BPS!$B$10:$O$64,13,0),0)-IF(B12=100873,IFERROR(VLOOKUP("Noviembre",[2]BPS!$B$74:$C$89,2,0),0),0)</f>
        <v>0</v>
      </c>
      <c r="BQ12" s="285">
        <f t="shared" si="20"/>
        <v>0</v>
      </c>
      <c r="BR12" s="380">
        <f>IFERROR(VLOOKUP(B12,'[2]RETAIL ORIGEN RMKT'!$B$11:$O$62,13,0),0)</f>
        <v>0</v>
      </c>
      <c r="BS12" s="127">
        <f t="shared" si="21"/>
        <v>0</v>
      </c>
      <c r="BT12" s="21">
        <f>SUMIF('UC BMW 2026'!$B$5:$B$77,'UC BMW 2026'!$B10,'UC BMW 2026'!$AB$5:$AB$77)</f>
        <v>0</v>
      </c>
      <c r="BU12" s="24">
        <f>SUMIF('UC BMW 2026'!$B$5:$B$77,'UC BMW 2026'!$B10,'UC BMW 2026'!$AC$5:$AC$77)</f>
        <v>0</v>
      </c>
      <c r="BV12" s="24">
        <f>IFERROR(VLOOKUP(B12,[2]BPS!$B$10:$O$64,13,0),0)-IF(B12=100873,IFERROR(VLOOKUP("Diciembre",[2]BPS!$B$74:$C$89,2,0),0),0)</f>
        <v>0</v>
      </c>
      <c r="BW12" s="285">
        <f t="shared" si="22"/>
        <v>0</v>
      </c>
      <c r="BX12" s="380">
        <f>IFERROR(VLOOKUP(B12,'[2]RETAIL ORIGEN RMKT'!$B$11:$O$62,14,0),0)</f>
        <v>0</v>
      </c>
      <c r="BY12" s="127">
        <f t="shared" si="23"/>
        <v>0</v>
      </c>
      <c r="BZ12" s="21">
        <f t="shared" ref="BZ12:CA16" ca="1" si="31">IF($BZ$4="ENERO",F12,IF($BZ$4="FEBRERO",F12+L12,IF($BZ$4="MARZO",F12+L12+R12,IF($BZ$4="ABRIL",F12+L12+R12+X12,IF($BZ$4="MAYO",F12+L12+R12+X12+AD12,IF($BZ$4="JUNIO",F12+L12+R12+X12+AD12+AJ12,IF($BZ$4="JULIO",F12+L12+R12+X12+AD12+AJ12+AP12,IF($BZ$4="AGOSTO",F12+L12+R12+X12+AD12+AJ12+AP12+AV12,IF($BZ$4="SEPTIEMBRE",F12+L12+R12+X12+AD12+AJ12+AP12+AV12+BB12,IF($BZ$4="OCTUBRE",F12+L12+R12+X12+AD12+AJ12+AP12+AV12+BB12+BH12,IF($BZ$4="NOVIEMBRE",F12+L12+R12+X12+AD12+AJ12+AP12+AV12+BB12+BH12+BN12,IF($BZ$4="DICIEMBRE",F12+L12+R12+X12+AD12+AJ12+AP12+AV12+BB12+BH12+BN12+BT12,""))))))))))))</f>
        <v>280</v>
      </c>
      <c r="CA12" s="24">
        <f t="shared" ca="1" si="31"/>
        <v>299</v>
      </c>
      <c r="CB12" s="282">
        <f t="shared" ca="1" si="25"/>
        <v>1.0678571428571428</v>
      </c>
      <c r="CC12" s="291">
        <f>IFERROR(IF($BZ$4="ENERO",H12,IF($BZ$4="FEBRERO",H12+N12,IF($BZ$4="MARZO",H12+N12+T12,IF($BZ$4="ABRIL",H12+N12+T12+Z12,IF($BZ$4="MAYO",H12+N12+T12+Z12+AF12,IF($BZ$4="JUNIO",H12+N12+T12+Z12+AF12+AL12,IF($BZ$4="JULIO",H12+N12+T12+Z12+AF12+AL12+AR12,IF($BZ$4="AGOSTO",H12+N12+T12+Z12+AF12+AL12+AR12+AX12,IF($BZ$4="SEPTIEMBRE",H12+N12+T12+Z12+AF12+AL12+AR12+AX12+BD12,IF($BZ$4="OCTUBRE",H12+N12+T12+Z12+AF12+AL12+AR12+AX12+BD12+BJ12,IF($BZ$4="NOVIEMBRE",H12+N12+T12+Z12+AF12+AL12+AR12+AX12+BD12+BJ12+BP12,IF($BZ$4="DICIEMBRE",H12+N12+T12+Z12+AF12+AL12+AR12+AX12+BD12+BJ12+BP12+BV12,"")))))))))))),0)</f>
        <v>286</v>
      </c>
      <c r="CD12" s="126">
        <f ca="1">IFERROR(IF(CA12=0,"N.D.",CC12/CA12),0)</f>
        <v>0.95652173913043481</v>
      </c>
      <c r="CE12" s="24">
        <f>IFERROR(IF($BZ$4="ENERO",J12,IF($BZ$4="FEBRERO",J12+P12,IF($BZ$4="MARZO",J12+P12+V12,IF($BZ$4="ABRIL",J12+P12+V12+AB12,IF($BZ$4="MAYO",J12+P12+V12+AB12+AH12,IF($BZ$4="JUNIO",J12+P12+V12+AB12+AH12+AN12,IF($BZ$4="JULIO",J12+P12+V12+AB12+AH12+AN12+AT12,IF($BZ$4="AGOSTO",J12+P12+V12+AB12+AH12+AN12+AT12+AZ12,IF($BZ$4="SEPTIEMBRE",J12+P12+V12+AB12+AH12+AN12+AT12+AZ12+BF12,IF($BZ$4="OCTUBRE",J12+P12+V12+AB12+AH12+AN12+AT12+AZ12+BF12+BL12,IF($BZ$4="NOVIEMBRE",J12+P12+V12+AB12+AH12+AN12+AT12+AZ12+BF12+BL12+BR12,IF($BZ$4="DICIEMBRE",J12+P12+V12+AB12+AH12+AN12+AT12+AZ12+BF12+BL12+BR12+BX12,"")))))))))))),0)</f>
        <v>130</v>
      </c>
      <c r="CF12" s="126">
        <f t="shared" ref="CF12:CF33" ca="1" si="32">IFERROR(CE12/BZ12,0)</f>
        <v>0.4642857142857143</v>
      </c>
      <c r="CG12" s="21">
        <f ca="1">SUM(F12+L12+R12+X12+AD12+AJ12+AP12+AV12+BB12+BH12+BN12+BT12)</f>
        <v>280</v>
      </c>
      <c r="CH12" s="24">
        <f ca="1">SUMIFS($F12:$BW12,$F$6:$BW$6,CH$6,$F$2:$BW$2,$BZ$4)</f>
        <v>299</v>
      </c>
      <c r="CI12" s="282">
        <f t="shared" ref="CI12:CI33" ca="1" si="33">IFERROR((CH12/CG12),0)</f>
        <v>1.0678571428571428</v>
      </c>
      <c r="CJ12" s="291">
        <f>SUMIFS($F12:$BW12,$F$6:$BW$6,CJ$6,$F$2:$BW$2,$BZ$4)</f>
        <v>286</v>
      </c>
      <c r="CK12" s="126">
        <f t="shared" ca="1" si="26"/>
        <v>0.95652173913043481</v>
      </c>
      <c r="CL12" s="24">
        <f>IFERROR(J12+P12+V12+AB12+AH12+AN12+AT12+AZ12+BF12+BL12+BR12+BX12,0)</f>
        <v>130</v>
      </c>
      <c r="CM12" s="126">
        <f t="shared" ref="CM12:CM33" ca="1" si="34">IFERROR(CL12/CG12,0)</f>
        <v>0.4642857142857143</v>
      </c>
      <c r="CN12" s="21">
        <f t="shared" ref="CN12:CO16" ca="1" si="35">IF($CN$5="Q1",F12+L12+R12,
IF($CN$5="Q2",X12+AD12++AJ12,
IF($CN$5="Q3",AP12+AV12+BB12,
IF($CN$5="Q4",BH12+BN12+BT12,0))))</f>
        <v>140</v>
      </c>
      <c r="CO12" s="24">
        <f t="shared" ca="1" si="35"/>
        <v>152</v>
      </c>
      <c r="CP12" s="282">
        <f t="shared" ref="CP12:CP33" ca="1" si="36">IFERROR((CO12/CN12),0)</f>
        <v>1.0857142857142856</v>
      </c>
      <c r="CQ12" s="291">
        <f>IF($CN$5="Q1",H12+N12+T12,
IF($CN$5="Q2",Z12+AF12++AL12,
IF($CN$5="Q3",AR12+AX12+BD12,
IF($CN$5="Q4",BJ12+BP12+BV12,0))))</f>
        <v>146</v>
      </c>
      <c r="CR12" s="126">
        <f t="shared" ref="CR12:CR33" ca="1" si="37">IF(CO12=0,"N.D.",CQ12/CO12)</f>
        <v>0.96052631578947367</v>
      </c>
      <c r="CS12" s="24">
        <f t="shared" ref="CS12:CS33" si="38">IF($CZ$5="Q1",J12+P12+V12,
IF($CZ$5="Q2",AB12+AH12+AN12,
IF($CZ$5="Q3",AT12+AZ12+BF12,
IF($CZ$5="Q4",BL12+BR12+BX12,0))))</f>
        <v>0</v>
      </c>
      <c r="CT12" s="126">
        <f t="shared" ref="CT12:CT33" ca="1" si="39">IFERROR(CS12/CN12,0)</f>
        <v>0</v>
      </c>
      <c r="CU12" s="21">
        <f t="shared" ref="CU12:CU33" ca="1" si="40">IF($CU$5="S 1",F12+L12+R12+X12+AD12++AJ12,
IF($CU$5="S 2",AP12+AV12+BB12+BH12+BN12+BT12,0))</f>
        <v>280</v>
      </c>
      <c r="CV12" s="24">
        <f t="shared" ref="CV12:CV33" ca="1" si="41">IF($CU$5="S 1",G12+M12+S12+Y12+AE12++AK12,
IF($CU$5="S 2",AQ12+AW12+BC12+BI12+BO12+BU12,0))</f>
        <v>299</v>
      </c>
      <c r="CW12" s="282">
        <f t="shared" ref="CW12:CW33" ca="1" si="42">IFERROR((CV12/CU12),0)</f>
        <v>1.0678571428571428</v>
      </c>
      <c r="CX12" s="24">
        <f t="shared" ref="CX12:CX33" si="43">IFERROR(IF($CU$5="S 1",H12+N12+T12+Z12+AF12++AL12,
IF($CU$5="S 2",AR12+AX12+BD12+BJ12+BP12+BV12,0)),0)</f>
        <v>286</v>
      </c>
      <c r="CY12" s="126">
        <f t="shared" ref="CY12:CY33" ca="1" si="44">IF(CV12=0,"N.D.",CX12/CV12)</f>
        <v>0.95652173913043481</v>
      </c>
      <c r="CZ12" s="24">
        <f t="shared" ref="CZ12:CZ33" si="45">IFERROR(IF($CU$5="S 1",J12+P12+V12+AB12+AH12+AN12,
IF($CU$5="S 2",AT12+AZ12+BF12+BL12+BR12+BX12,0)),0)</f>
        <v>130</v>
      </c>
      <c r="DA12" s="127">
        <f t="shared" ref="DA12:DA33" ca="1" si="46">IFERROR(CZ12/CU12,0)</f>
        <v>0.4642857142857143</v>
      </c>
      <c r="DB12" s="21">
        <f t="shared" ref="DB12:DC16" ca="1" si="47">IF($DB$5="S 1",F12+L12+R12+X12+AD12++AJ12,
IF($DB$5="S 2",AP12+AV12+BB12+BH12+BN12+BT12,0))</f>
        <v>0</v>
      </c>
      <c r="DC12" s="24">
        <f t="shared" ca="1" si="47"/>
        <v>0</v>
      </c>
      <c r="DD12" s="282">
        <f t="shared" ref="DD12:DD33" ca="1" si="48">IFERROR((DC12/DB12),0)</f>
        <v>0</v>
      </c>
      <c r="DE12" s="24">
        <f>IFERROR(IF($DB$5="S 1",H12+N12+T12+Z12+AF12++AL12,
IF($DB$5="S 2",AR12+AX12+BD12+BJ12+BP12+BV12,0)),0)</f>
        <v>0</v>
      </c>
      <c r="DF12" s="126" t="str">
        <f t="shared" ref="DF12:DF33" ca="1" si="49">IF(DC12=0,"N.D.",DE12/DC12)</f>
        <v>N.D.</v>
      </c>
      <c r="DG12" s="24">
        <f>IFERROR(IF($DB$5="S 1",J12+P12+V12+AB12+AH12+AN12,
IF($DB$5="S 2",AT12+AZ12+BF12+BL12+BR12+BX12,0)),0)</f>
        <v>0</v>
      </c>
      <c r="DH12" s="127">
        <f t="shared" ref="DH12:DH17" ca="1" si="50">IFERROR(DG12/DB12,0)</f>
        <v>0</v>
      </c>
      <c r="DI12" s="510">
        <v>1</v>
      </c>
      <c r="DJ12" s="369" t="s">
        <v>15</v>
      </c>
      <c r="DK12" s="21">
        <f t="shared" ref="DK12:DK33" ca="1" si="51">IF($BZ$4="ENERO",F12,IF($BZ$4="FEBRERO",F12+L12,IF($BZ$4="MARZO",F12+L12+R12,IF($BZ$4="ABRIL",F12+L12+R12+X12,IF($BZ$4="MAYO",F12+L12+R12+X12+AD12,IF($BZ$4="JUNIO",F12+L12+R12+X12+AD12+AJ12,IF($BZ$4="JULIO",F12+L12+R12+X12+AD12+AJ12+AP12,IF($BZ$4="AGOSTO",F12+L12+R12+X12+AD12+AJ12+AP12+AV12,IF($BZ$4="SEPTIEMBRE",F12+L12+R12+X12+AD12+AJ12+AP12+AV12+BB12,IF($BZ$4="OCTUBRE",F12+L12+R12+X12+AD12+AJ12+AP12+AV12+BB12+BH12,IF($BZ$4="NOVIEMBRE",F12+L12+R12+X12+AD12+AJ12+AP12+AV12+BB12+BH12+BN12,IF($BZ$4="DICIEMBRE",F12+L12+R12+X12+AD12+AJ12+AP12+AV12+BB12+BH12+BN12+BT12,""))))))))))))</f>
        <v>280</v>
      </c>
      <c r="DL12" s="24">
        <f t="shared" ref="DL12:DL33" ca="1" si="52">IF($BZ$4="ENERO",G12,IF($BZ$4="FEBRERO",G12+M12,IF($BZ$4="MARZO",G12+M12+S12,IF($BZ$4="ABRIL",G12+M12+S12+Y12,IF($BZ$4="MAYO",G12+M12+S12+Y12+AE12,IF($BZ$4="JUNIO",G12+M12+S12+Y12+AE12+AK12,IF($BZ$4="JULIO",G12+M12+S12+Y12+AE12+AK12+AQ12,IF($BZ$4="AGOSTO",G12+M12+S12+Y12+AE12+AK12+AQ12+AW12,IF($BZ$4="SEPTIEMBRE",G12+M12+S12+Y12+AE12+AK12+AQ12+AW12+BC12,IF($BZ$4="OCTUBRE",G12+M12+S12+Y12+AE12+AK12+AQ12+AW12+BC12+BI12,IF($BZ$4="NOVIEMBRE",G12+M12+S12+Y12+AE12+AK12+AQ12+AW12+BC12+BI12+BO12,IF($BZ$4="DICIEMBRE",G12+M12+S12+Y12+AE12+AK12+AQ12+AW12+BC12+BI12+BO12+BU12,""))))))))))))</f>
        <v>299</v>
      </c>
      <c r="DM12" s="282">
        <f t="shared" ref="DM12:DM33" ca="1" si="53">IFERROR((CA12/BZ12),0)</f>
        <v>1.0678571428571428</v>
      </c>
      <c r="DN12" s="291">
        <f t="shared" ref="DN12:DN33" si="54">IFERROR(IF($BZ$4="ENERO",H12,IF($BZ$4="FEBRERO",H12+N12,IF($BZ$4="MARZO",H12+N12+T12,IF($BZ$4="ABRIL",H12+N12+T12+Z12,IF($BZ$4="MAYO",H12+N12+T12+Z12+AF12,IF($BZ$4="JUNIO",H12+N12+T12+Z12+AF12+AL12,IF($BZ$4="JULIO",H12+N12+T12+Z12+AF12+AL12+AR12,IF($BZ$4="AGOSTO",H12+N12+T12+Z12+AF12+AL12+AR12+AX12,IF($BZ$4="SEPTIEMBRE",H12+N12+T12+Z12+AF12+AL12+AR12+AX12+BD12,IF($BZ$4="OCTUBRE",H12+N12+T12+Z12+AF12+AL12+AR12+AX12+BD12+BJ12,IF($BZ$4="NOVIEMBRE",H12+N12+T12+Z12+AF12+AL12+AR12+AX12+BD12+BJ12+BP12,IF($BZ$4="DICIEMBRE",H12+N12+T12+Z12+AF12+AL12+AR12+AX12+BD12+BJ12+BP12+BV12,"")))))))))))),0)</f>
        <v>286</v>
      </c>
      <c r="DO12" s="126">
        <f t="shared" ref="DO12:DO33" ca="1" si="55">IFERROR(IF(CA12=0,"N.D.",CC12/CA12),0)</f>
        <v>0.95652173913043481</v>
      </c>
      <c r="DP12" s="24">
        <f t="shared" ref="DP12:DP33" si="56">IFERROR(J12+P12+V12+AB12+AH12+AN12+AT12+AZ12+BF12+BL12+BR12+BX12,0)</f>
        <v>130</v>
      </c>
      <c r="DQ12" s="127">
        <f t="shared" ref="DQ12:DQ33" ca="1" si="57">IFERROR(CE12/BZ12,0)</f>
        <v>0.4642857142857143</v>
      </c>
      <c r="DR12"/>
      <c r="DS12" s="4" cm="1">
        <f t="array" aca="1" ref="DS12:DS59" ca="1">_xlfn._xlws.SORT(_xlfn._xlws.FILTER(BZ12:BZ67, DI12:DI67=1),1, -1)</f>
        <v>402</v>
      </c>
      <c r="DT12" s="4" cm="1">
        <f t="array" aca="1" ref="DT12:DT59" ca="1">_xlfn._xlws.SORT(_xlfn._xlws.FILTER(CA12:CA67, DI12:DI67=1),1, -1)</f>
        <v>338</v>
      </c>
      <c r="DU12" s="511" cm="1">
        <f t="array" aca="1" ref="DU12:DU59" ca="1">_xlfn._xlws.SORT(_xlfn._xlws.FILTER(CB12:CB67, DI12:DI67=1),1, -1)</f>
        <v>1.6148148148148149</v>
      </c>
      <c r="DW12" s="508" cm="1">
        <f t="array" aca="1" ref="DW12:DW59" ca="1">_xlfn._xlws.SORT(_xlfn._xlws.FILTER(CD12:CD67, DI12:DI67=1),1, -1)</f>
        <v>1</v>
      </c>
      <c r="DX12" s="4" cm="1">
        <f t="array" ref="DX12:DX59">_xlfn._xlws.SORT(_xlfn._xlws.FILTER(CE12:CE67, DI12:DI67=1),1, -1)</f>
        <v>149</v>
      </c>
      <c r="DY12" s="508" cm="1">
        <f t="array" aca="1" ref="DY12:DY59" ca="1">_xlfn._xlws.SORT(_xlfn._xlws.FILTER(CF12:CF67, DI12:DI67=1),1, -1)</f>
        <v>0.79090909090909089</v>
      </c>
    </row>
    <row r="13" spans="1:129" s="4" customFormat="1" ht="15" customHeight="1" x14ac:dyDescent="0.35">
      <c r="A13" s="4">
        <f>_xlfn.XLOOKUP(B13,'WHOLESALE BMW 2026'!$B$7:$B$67,'WHOLESALE BMW 2026'!$A$7:$A$67)</f>
        <v>2</v>
      </c>
      <c r="B13" s="8">
        <v>100319</v>
      </c>
      <c r="C13" s="369" t="s">
        <v>16</v>
      </c>
      <c r="D13" s="125"/>
      <c r="E13" s="309" t="s">
        <v>276</v>
      </c>
      <c r="F13" s="21">
        <f ca="1">SUMIF('UC BMW 2026'!B11:B87,'UC BMW 2026'!B11,'UC BMW 2026'!F11:F78)</f>
        <v>47</v>
      </c>
      <c r="G13" s="24">
        <f ca="1">SUMIF('UC BMW 2026'!$B$5:$B$77,'UC BMW 2026'!B11,'UC BMW 2026'!$G$5:$G$72)</f>
        <v>50</v>
      </c>
      <c r="H13" s="24">
        <f>IFERROR(VLOOKUP(B13,[2]BPS!$B$10:$O$64,3,0),0)-IF(B13=100873,IFERROR(VLOOKUP("Enero",[2]BPS!$B$74:$C$89,2,0),0),0)</f>
        <v>50</v>
      </c>
      <c r="I13" s="285">
        <f t="shared" ca="1" si="0"/>
        <v>1</v>
      </c>
      <c r="J13" s="380">
        <f>IFERROR(VLOOKUP(B13,'[2]RETAIL ORIGEN RMKT'!$B$11:$O$62,3,0),0)</f>
        <v>20</v>
      </c>
      <c r="K13" s="127">
        <f t="shared" ca="1" si="1"/>
        <v>0.42553191489361702</v>
      </c>
      <c r="L13" s="21">
        <f ca="1">SUMIF('UC BMW 2026'!$B$5:$B$77,'UC BMW 2026'!$B11,'UC BMW 2026'!$H$5:$H$72)</f>
        <v>49</v>
      </c>
      <c r="M13" s="24">
        <f ca="1">SUMIF('UC BMW 2026'!$B$5:$B$77,'UC BMW 2026'!$B11,'UC BMW 2026'!$I$5:$I$72)</f>
        <v>57</v>
      </c>
      <c r="N13" s="24">
        <f>IFERROR(VLOOKUP(B13,[2]BPS!$B$10:$O$64,4,0),0)-IF(B13=100873,IFERROR(VLOOKUP("Febrero",[2]BPS!$B$74:$C$89,2,0),0),0)</f>
        <v>56</v>
      </c>
      <c r="O13" s="285">
        <f t="shared" ca="1" si="2"/>
        <v>0.98245614035087714</v>
      </c>
      <c r="P13" s="380">
        <f>IFERROR(VLOOKUP(B13,'[2]RETAIL ORIGEN RMKT'!$B$11:$O$62,4,0),0)</f>
        <v>26</v>
      </c>
      <c r="Q13" s="127">
        <f t="shared" ca="1" si="3"/>
        <v>0.53061224489795922</v>
      </c>
      <c r="R13" s="21">
        <f ca="1">SUMIF('UC BMW 2026'!$B$5:$B$77,'UC BMW 2026'!$B11,'UC BMW 2026'!$J$5:$J$72)</f>
        <v>49</v>
      </c>
      <c r="S13" s="24">
        <f ca="1">SUMIF('UC BMW 2026'!$B$5:$B$77,'UC BMW 2026'!$B11,'UC BMW 2026'!$K$5:$K$72)</f>
        <v>63</v>
      </c>
      <c r="T13" s="24">
        <f>IFERROR(VLOOKUP(B13,[2]BPS!$B$10:$O$64,5,0),0)-IF(B13=100873,IFERROR(VLOOKUP("Marzo",[2]BPS!$B$74:$C$89,2,0),0),0)</f>
        <v>55</v>
      </c>
      <c r="U13" s="285">
        <f t="shared" ca="1" si="4"/>
        <v>0.87301587301587302</v>
      </c>
      <c r="V13" s="380">
        <f>IFERROR(VLOOKUP(B13,'[2]RETAIL ORIGEN RMKT'!$B$11:$O$62,5,0),0)</f>
        <v>28</v>
      </c>
      <c r="W13" s="127">
        <f t="shared" ca="1" si="5"/>
        <v>0.5714285714285714</v>
      </c>
      <c r="X13" s="21">
        <f ca="1">SUMIF('UC BMW 2026'!$B$5:$B$77,'UC BMW 2026'!$B11,'UC BMW 2026'!$L$5:$L$72)</f>
        <v>47</v>
      </c>
      <c r="Y13" s="24">
        <f ca="1">SUMIF('UC BMW 2026'!$B$5:$B$77,'UC BMW 2026'!$B11,'UC BMW 2026'!$M$5:$M$72)</f>
        <v>56</v>
      </c>
      <c r="Z13" s="24">
        <f>IFERROR(VLOOKUP(B13,[2]BPS!$B$10:$O$64,6,0),0)-IF(B13=100873,IFERROR(VLOOKUP("Abril",[2]BPS!$B$74:$C$89,2,0),0),0)</f>
        <v>55</v>
      </c>
      <c r="AA13" s="285">
        <f t="shared" ca="1" si="6"/>
        <v>0.9821428571428571</v>
      </c>
      <c r="AB13" s="380">
        <f>IFERROR(VLOOKUP(B13,'[2]RETAIL ORIGEN RMKT'!$B$11:$O$62,6,0),0)</f>
        <v>14</v>
      </c>
      <c r="AC13" s="127">
        <f t="shared" ca="1" si="7"/>
        <v>0.2978723404255319</v>
      </c>
      <c r="AD13" s="21">
        <f ca="1">SUMIF('UC BMW 2026'!$B$5:$B$77,'UC BMW 2026'!$B11,'UC BMW 2026'!$N$5:$N$72)</f>
        <v>49</v>
      </c>
      <c r="AE13" s="24">
        <f ca="1">SUMIF('UC BMW 2026'!$B$5:$B$77,'UC BMW 2026'!$B11,'UC BMW 2026'!$O$5:$O$72)</f>
        <v>44</v>
      </c>
      <c r="AF13" s="24">
        <f>IFERROR(VLOOKUP(B13,[2]BPS!$B$10:$O$64,7,0),0)-IF(B13=100873,IFERROR(VLOOKUP("Mayo",[2]BPS!$B$74:$C$89,2,0),0),0)</f>
        <v>44</v>
      </c>
      <c r="AG13" s="285">
        <f t="shared" ca="1" si="8"/>
        <v>1</v>
      </c>
      <c r="AH13" s="380">
        <f>IFERROR(VLOOKUP(B13,'[2]RETAIL ORIGEN RMKT'!$B$11:$O$62,7,0),0)</f>
        <v>15</v>
      </c>
      <c r="AI13" s="127">
        <f t="shared" ca="1" si="9"/>
        <v>0.30612244897959184</v>
      </c>
      <c r="AJ13" s="21">
        <f ca="1">SUMIF('UC BMW 2026'!$B$5:$B$77,'UC BMW 2026'!$B11,'UC BMW 2026'!$P$5:$P$72)</f>
        <v>49</v>
      </c>
      <c r="AK13" s="24">
        <f ca="1">SUMIF('UC BMW 2026'!$B$5:$B$77,'UC BMW 2026'!$B11,'UC BMW 2026'!$Q$5:$Q$72)</f>
        <v>60</v>
      </c>
      <c r="AL13" s="24">
        <f>IFERROR(VLOOKUP(B13,[2]BPS!$B$10:$O$64,8,0),0)-IF(B13=100873,IFERROR(VLOOKUP("Junio",[2]BPS!$B$74:$C$89,2,0),0),0)</f>
        <v>59</v>
      </c>
      <c r="AM13" s="285">
        <f t="shared" ca="1" si="10"/>
        <v>0.98333333333333328</v>
      </c>
      <c r="AN13" s="380">
        <f>IFERROR(VLOOKUP(B13,'[2]RETAIL ORIGEN RMKT'!$B$11:$O$62,8,0),0)</f>
        <v>18</v>
      </c>
      <c r="AO13" s="127">
        <f t="shared" ca="1" si="11"/>
        <v>0.36734693877551022</v>
      </c>
      <c r="AP13" s="21">
        <f ca="1">SUMIF('UC BMW 2026'!$B$5:$B$77,'UC BMW 2026'!$B11,'UC BMW 2026'!$R$5:$R$72)</f>
        <v>0</v>
      </c>
      <c r="AQ13" s="24">
        <f ca="1">SUMIF('UC BMW 2026'!$B$5:$B$77,'UC BMW 2026'!$B11,'UC BMW 2026'!$S$5:$S$72)</f>
        <v>0</v>
      </c>
      <c r="AR13" s="24">
        <f>IFERROR(VLOOKUP(B13,[2]BPS!$B$10:$O$64,9,0),0)-IF(B13=100873,IFERROR(VLOOKUP("Julio",[2]BPS!$B$74:$C$89,2,0),0),0)</f>
        <v>0</v>
      </c>
      <c r="AS13" s="285">
        <f t="shared" ca="1" si="12"/>
        <v>0</v>
      </c>
      <c r="AT13" s="380">
        <f>IFERROR(VLOOKUP(B13,'[2]RETAIL ORIGEN RMKT'!$B$11:$O$62,9,0),0)</f>
        <v>0</v>
      </c>
      <c r="AU13" s="127">
        <f t="shared" ca="1" si="13"/>
        <v>0</v>
      </c>
      <c r="AV13" s="21">
        <f ca="1">SUMIF('UC BMW 2026'!$B$5:$B$77,'UC BMW 2026'!$B11,'UC BMW 2026'!$T$5:$T$72)</f>
        <v>0</v>
      </c>
      <c r="AW13" s="24">
        <f ca="1">SUMIF('UC BMW 2026'!$B$5:$B$77,'UC BMW 2026'!$B11,'UC BMW 2026'!$U$5:$U$72)</f>
        <v>0</v>
      </c>
      <c r="AX13" s="24">
        <f>IFERROR(VLOOKUP(B13,[2]BPS!$B$10:$O$64,10,0),0)-IF(B13=100873,IFERROR(VLOOKUP("Agosto",[2]BPS!$B$74:$C$89,2,0),0),0)</f>
        <v>0</v>
      </c>
      <c r="AY13" s="285">
        <f t="shared" ca="1" si="14"/>
        <v>0</v>
      </c>
      <c r="AZ13" s="380">
        <f>IFERROR(VLOOKUP(B13,'[2]RETAIL ORIGEN RMKT'!$B$11:$O$62,10,0),0)</f>
        <v>0</v>
      </c>
      <c r="BA13" s="127">
        <f t="shared" ca="1" si="15"/>
        <v>0</v>
      </c>
      <c r="BB13" s="21">
        <f ca="1">SUMIF('UC BMW 2026'!$B$5:$B$77,'UC BMW 2026'!$B11,'UC BMW 2026'!$V$5:$V$72)</f>
        <v>0</v>
      </c>
      <c r="BC13" s="24">
        <f>SUMIF('UC BMW 2026'!$B$5:$B$77,'UC BMW 2026'!$B11,'UC BMW 2026'!$W$5:$W$77)</f>
        <v>0</v>
      </c>
      <c r="BD13" s="24">
        <f>IFERROR(VLOOKUP(B13,[2]BPS!$B$10:$O$64,11,0),0)-IF(B13=100873,IFERROR(VLOOKUP("Septiembre",[2]BPS!$B$74:$C$89,2,0),0),0)</f>
        <v>0</v>
      </c>
      <c r="BE13" s="285">
        <f t="shared" si="16"/>
        <v>0</v>
      </c>
      <c r="BF13" s="380">
        <f>IFERROR(VLOOKUP(B13,'[2]RETAIL ORIGEN RMKT'!$B$11:$O$62,11,0),0)</f>
        <v>0</v>
      </c>
      <c r="BG13" s="127">
        <f t="shared" ca="1" si="17"/>
        <v>0</v>
      </c>
      <c r="BH13" s="21">
        <f>SUMIF('UC BMW 2026'!$B$5:$B$77,'UC BMW 2026'!$B11,'UC BMW 2026'!$X$5:$X$77)</f>
        <v>0</v>
      </c>
      <c r="BI13" s="24">
        <f>SUMIF('UC BMW 2026'!$B$5:$B$77,'UC BMW 2026'!$B11,'UC BMW 2026'!$Y$5:$Y$77)</f>
        <v>0</v>
      </c>
      <c r="BJ13" s="24">
        <f>IFERROR(VLOOKUP(B13,[2]BPS!$B$10:$O$64,12,0),0)-IF(B13=100873,IFERROR(VLOOKUP("Octubre",[2]BPS!$B$74:$C$89,2,0),0),0)</f>
        <v>0</v>
      </c>
      <c r="BK13" s="285">
        <f t="shared" si="18"/>
        <v>0</v>
      </c>
      <c r="BL13" s="380">
        <f>IFERROR(VLOOKUP(B13,'[2]RETAIL ORIGEN RMKT'!$B$11:$O$62,12,0),0)</f>
        <v>0</v>
      </c>
      <c r="BM13" s="127">
        <f t="shared" si="19"/>
        <v>0</v>
      </c>
      <c r="BN13" s="21">
        <f>SUMIF('UC BMW 2026'!$B$5:$B$77,'UC BMW 2026'!$B11,'UC BMW 2026'!$Z$5:$Z$77)</f>
        <v>0</v>
      </c>
      <c r="BO13" s="24">
        <f>SUMIF('UC BMW 2026'!$B$5:$B$77,'UC BMW 2026'!$B11,'UC BMW 2026'!$AA$5:$AA$77)</f>
        <v>0</v>
      </c>
      <c r="BP13" s="24">
        <f>IFERROR(VLOOKUP(B13,[2]BPS!$B$10:$O$64,13,0),0)-IF(B13=100873,IFERROR(VLOOKUP("Noviembre",[2]BPS!$B$74:$C$89,2,0),0),0)</f>
        <v>0</v>
      </c>
      <c r="BQ13" s="285">
        <f t="shared" si="20"/>
        <v>0</v>
      </c>
      <c r="BR13" s="380">
        <f>IFERROR(VLOOKUP(B13,'[2]RETAIL ORIGEN RMKT'!$B$11:$O$62,13,0),0)</f>
        <v>0</v>
      </c>
      <c r="BS13" s="127">
        <f t="shared" si="21"/>
        <v>0</v>
      </c>
      <c r="BT13" s="21">
        <f>SUMIF('UC BMW 2026'!$B$5:$B$77,'UC BMW 2026'!$B11,'UC BMW 2026'!$AB$5:$AB$77)</f>
        <v>0</v>
      </c>
      <c r="BU13" s="24">
        <f>SUMIF('UC BMW 2026'!$B$5:$B$77,'UC BMW 2026'!$B11,'UC BMW 2026'!$AC$5:$AC$77)</f>
        <v>0</v>
      </c>
      <c r="BV13" s="24">
        <f>IFERROR(VLOOKUP(B13,[2]BPS!$B$10:$O$64,13,0),0)-IF(B13=100873,IFERROR(VLOOKUP("Diciembre",[2]BPS!$B$74:$C$89,2,0),0),0)</f>
        <v>0</v>
      </c>
      <c r="BW13" s="285">
        <f t="shared" si="22"/>
        <v>0</v>
      </c>
      <c r="BX13" s="380">
        <f>IFERROR(VLOOKUP(B13,'[2]RETAIL ORIGEN RMKT'!$B$11:$O$62,14,0),0)</f>
        <v>0</v>
      </c>
      <c r="BY13" s="127">
        <f t="shared" si="23"/>
        <v>0</v>
      </c>
      <c r="BZ13" s="21">
        <f t="shared" ca="1" si="31"/>
        <v>290</v>
      </c>
      <c r="CA13" s="24">
        <f t="shared" ca="1" si="31"/>
        <v>330</v>
      </c>
      <c r="CB13" s="282">
        <f t="shared" ca="1" si="25"/>
        <v>1.1379310344827587</v>
      </c>
      <c r="CC13" s="291">
        <f>IFERROR(IF($BZ$4="ENERO",H13,IF($BZ$4="FEBRERO",H13+N13,IF($BZ$4="MARZO",H13+N13+T13,IF($BZ$4="ABRIL",H13+N13+T13+Z13,IF($BZ$4="MAYO",H13+N13+T13+Z13+AF13,IF($BZ$4="JUNIO",H13+N13+T13+Z13+AF13+AL13,IF($BZ$4="JULIO",H13+N13+T13+Z13+AF13+AL13+AR13,IF($BZ$4="AGOSTO",H13+N13+T13+Z13+AF13+AL13+AR13+AX13,IF($BZ$4="SEPTIEMBRE",H13+N13+T13+Z13+AF13+AL13+AR13+AX13+BD13,IF($BZ$4="OCTUBRE",H13+N13+T13+Z13+AF13+AL13+AR13+AX13+BD13+BJ13,IF($BZ$4="NOVIEMBRE",H13+N13+T13+Z13+AF13+AL13+AR13+AX13+BD13+BJ13+BP13,IF($BZ$4="DICIEMBRE",H13+N13+T13+Z13+AF13+AL13+AR13+AX13+BD13+BJ13+BP13+BV13,"")))))))))))),0)</f>
        <v>319</v>
      </c>
      <c r="CD13" s="126">
        <f ca="1">IFERROR(IF(CA13=0,"N.D.",CC13/CA13),0)</f>
        <v>0.96666666666666667</v>
      </c>
      <c r="CE13" s="24">
        <f>IFERROR(IF($BZ$4="ENERO",J13,IF($BZ$4="FEBRERO",J13+P13,IF($BZ$4="MARZO",J13+P13+V13,IF($BZ$4="ABRIL",J13+P13+V13+AB13,IF($BZ$4="MAYO",J13+P13+V13+AB13+AH13,IF($BZ$4="JUNIO",J13+P13+V13+AB13+AH13+AN13,IF($BZ$4="JULIO",J13+P13+V13+AB13+AH13+AN13+AT13,IF($BZ$4="AGOSTO",J13+P13+V13+AB13+AH13+AN13+AT13+AZ13,IF($BZ$4="SEPTIEMBRE",J13+P13+V13+AB13+AH13+AN13+AT13+AZ13+BF13,IF($BZ$4="OCTUBRE",J13+P13+V13+AB13+AH13+AN13+AT13+AZ13+BF13+BL13,IF($BZ$4="NOVIEMBRE",J13+P13+V13+AB13+AH13+AN13+AT13+AZ13+BF13+BL13+BR13,IF($BZ$4="DICIEMBRE",J13+P13+V13+AB13+AH13+AN13+AT13+AZ13+BF13+BL13+BR13+BX13,"")))))))))))),0)</f>
        <v>121</v>
      </c>
      <c r="CF13" s="126">
        <f t="shared" ca="1" si="32"/>
        <v>0.41724137931034483</v>
      </c>
      <c r="CG13" s="21">
        <f ca="1">SUM(F13+L13+R13+X13+AD13+AJ13+AP13+AV13+BB13+BH13+BN13+BT13)</f>
        <v>290</v>
      </c>
      <c r="CH13" s="24">
        <f ca="1">SUMIFS($F13:$BW13,$F$6:$BW$6,CH$6,$F$2:$BW$2,$BZ$4)</f>
        <v>330</v>
      </c>
      <c r="CI13" s="282">
        <f t="shared" ca="1" si="33"/>
        <v>1.1379310344827587</v>
      </c>
      <c r="CJ13" s="291">
        <f>SUMIFS($F13:$BW13,$F$6:$BW$6,CJ$6,$F$2:$BW$2,$BZ$4)</f>
        <v>319</v>
      </c>
      <c r="CK13" s="126">
        <f t="shared" ca="1" si="26"/>
        <v>0.96666666666666667</v>
      </c>
      <c r="CL13" s="24">
        <f>IFERROR(J13+P13+V13+AB13+AH13+AN13+AT13+AZ13+BF13+BL13+BR13+BX13,0)</f>
        <v>121</v>
      </c>
      <c r="CM13" s="126">
        <f t="shared" ca="1" si="34"/>
        <v>0.41724137931034483</v>
      </c>
      <c r="CN13" s="21">
        <f t="shared" ca="1" si="35"/>
        <v>145</v>
      </c>
      <c r="CO13" s="24">
        <f t="shared" ca="1" si="35"/>
        <v>170</v>
      </c>
      <c r="CP13" s="282">
        <f t="shared" ca="1" si="36"/>
        <v>1.1724137931034482</v>
      </c>
      <c r="CQ13" s="291">
        <f>IF($CN$5="Q1",H13+N13+T13,
IF($CN$5="Q2",Z13+AF13++AL13,
IF($CN$5="Q3",AR13+AX13+BD13,
IF($CN$5="Q4",BJ13+BP13+BV13,0))))</f>
        <v>161</v>
      </c>
      <c r="CR13" s="126">
        <f t="shared" ca="1" si="37"/>
        <v>0.94705882352941173</v>
      </c>
      <c r="CS13" s="24">
        <f t="shared" si="38"/>
        <v>0</v>
      </c>
      <c r="CT13" s="126">
        <f t="shared" ca="1" si="39"/>
        <v>0</v>
      </c>
      <c r="CU13" s="21">
        <f t="shared" ca="1" si="40"/>
        <v>290</v>
      </c>
      <c r="CV13" s="24">
        <f t="shared" ca="1" si="41"/>
        <v>330</v>
      </c>
      <c r="CW13" s="282">
        <f t="shared" ca="1" si="42"/>
        <v>1.1379310344827587</v>
      </c>
      <c r="CX13" s="24">
        <f t="shared" si="43"/>
        <v>319</v>
      </c>
      <c r="CY13" s="126">
        <f t="shared" ca="1" si="44"/>
        <v>0.96666666666666667</v>
      </c>
      <c r="CZ13" s="24">
        <f t="shared" si="45"/>
        <v>121</v>
      </c>
      <c r="DA13" s="127">
        <f t="shared" ca="1" si="46"/>
        <v>0.41724137931034483</v>
      </c>
      <c r="DB13" s="21">
        <f t="shared" ca="1" si="47"/>
        <v>0</v>
      </c>
      <c r="DC13" s="24">
        <f t="shared" ca="1" si="47"/>
        <v>0</v>
      </c>
      <c r="DD13" s="282">
        <f t="shared" ca="1" si="48"/>
        <v>0</v>
      </c>
      <c r="DE13" s="24">
        <f>IFERROR(IF($DB$5="S 1",H13+N13+T13+Z13+AF13++AL13,
IF($DB$5="S 2",AR13+AX13+BD13+BJ13+BP13+BV13,0)),0)</f>
        <v>0</v>
      </c>
      <c r="DF13" s="126" t="str">
        <f t="shared" ca="1" si="49"/>
        <v>N.D.</v>
      </c>
      <c r="DG13" s="24">
        <f>IFERROR(IF($DB$5="S 1",J13+P13+V13+AB13+AH13+AN13,
IF($DB$5="S 2",AT13+AZ13+BF13+BL13+BR13+BX13,0)),0)</f>
        <v>0</v>
      </c>
      <c r="DH13" s="127">
        <f t="shared" ca="1" si="50"/>
        <v>0</v>
      </c>
      <c r="DI13" s="510">
        <v>1</v>
      </c>
      <c r="DJ13" s="369" t="s">
        <v>16</v>
      </c>
      <c r="DK13" s="21">
        <f t="shared" ca="1" si="51"/>
        <v>290</v>
      </c>
      <c r="DL13" s="24">
        <f t="shared" ca="1" si="52"/>
        <v>330</v>
      </c>
      <c r="DM13" s="282">
        <f t="shared" ca="1" si="53"/>
        <v>1.1379310344827587</v>
      </c>
      <c r="DN13" s="291">
        <f t="shared" si="54"/>
        <v>319</v>
      </c>
      <c r="DO13" s="126">
        <f t="shared" ca="1" si="55"/>
        <v>0.96666666666666667</v>
      </c>
      <c r="DP13" s="24">
        <f t="shared" si="56"/>
        <v>121</v>
      </c>
      <c r="DQ13" s="127">
        <f t="shared" ca="1" si="57"/>
        <v>0.41724137931034483</v>
      </c>
      <c r="DR13"/>
      <c r="DS13" s="4">
        <f ca="1"/>
        <v>290</v>
      </c>
      <c r="DT13" s="4">
        <f ca="1"/>
        <v>330</v>
      </c>
      <c r="DU13" s="511">
        <f ca="1"/>
        <v>1.3520000000000001</v>
      </c>
      <c r="DW13" s="508">
        <f ca="1"/>
        <v>1</v>
      </c>
      <c r="DX13" s="4">
        <v>130</v>
      </c>
      <c r="DY13" s="508">
        <f ca="1"/>
        <v>0.74193548387096775</v>
      </c>
    </row>
    <row r="14" spans="1:129" s="4" customFormat="1" ht="15" customHeight="1" x14ac:dyDescent="0.35">
      <c r="A14" s="4">
        <f>_xlfn.XLOOKUP(B14,'WHOLESALE BMW 2026'!$B$7:$B$67,'WHOLESALE BMW 2026'!$A$7:$A$67)</f>
        <v>2</v>
      </c>
      <c r="B14" s="8">
        <v>100349</v>
      </c>
      <c r="C14" s="369" t="s">
        <v>10</v>
      </c>
      <c r="D14" s="125"/>
      <c r="E14" s="309" t="s">
        <v>276</v>
      </c>
      <c r="F14" s="21">
        <f ca="1">SUMIF('UC BMW 2026'!B12:B88,'UC BMW 2026'!B12,'UC BMW 2026'!F12:F79)</f>
        <v>41</v>
      </c>
      <c r="G14" s="24">
        <f ca="1">SUMIF('UC BMW 2026'!$B$5:$B$77,'UC BMW 2026'!B12,'UC BMW 2026'!$G$5:$G$72)</f>
        <v>36</v>
      </c>
      <c r="H14" s="24">
        <f>IFERROR(VLOOKUP(B14,[2]BPS!$B$10:$O$64,3,0),0)-IF(B14=100873,IFERROR(VLOOKUP("Enero",[2]BPS!$B$74:$C$89,2,0),0),0)</f>
        <v>35</v>
      </c>
      <c r="I14" s="285">
        <f t="shared" ca="1" si="0"/>
        <v>0.97222222222222221</v>
      </c>
      <c r="J14" s="380">
        <f>IFERROR(VLOOKUP(B14,'[2]RETAIL ORIGEN RMKT'!$B$11:$O$62,3,0),0)</f>
        <v>16</v>
      </c>
      <c r="K14" s="127">
        <f t="shared" ca="1" si="1"/>
        <v>0.3902439024390244</v>
      </c>
      <c r="L14" s="21">
        <f ca="1">SUMIF('UC BMW 2026'!$B$5:$B$77,'UC BMW 2026'!$B12,'UC BMW 2026'!$H$5:$H$72)</f>
        <v>41</v>
      </c>
      <c r="M14" s="24">
        <f ca="1">SUMIF('UC BMW 2026'!$B$5:$B$77,'UC BMW 2026'!$B12,'UC BMW 2026'!$I$5:$I$72)</f>
        <v>60</v>
      </c>
      <c r="N14" s="24">
        <f>IFERROR(VLOOKUP(B14,[2]BPS!$B$10:$O$64,4,0),0)-IF(B14=100873,IFERROR(VLOOKUP("Febrero",[2]BPS!$B$74:$C$89,2,0),0),0)</f>
        <v>53</v>
      </c>
      <c r="O14" s="285">
        <f t="shared" ca="1" si="2"/>
        <v>0.8833333333333333</v>
      </c>
      <c r="P14" s="380">
        <f>IFERROR(VLOOKUP(B14,'[2]RETAIL ORIGEN RMKT'!$B$11:$O$62,4,0),0)</f>
        <v>21</v>
      </c>
      <c r="Q14" s="127">
        <f t="shared" ca="1" si="3"/>
        <v>0.51219512195121952</v>
      </c>
      <c r="R14" s="21">
        <f ca="1">SUMIF('UC BMW 2026'!$B$5:$B$77,'UC BMW 2026'!$B12,'UC BMW 2026'!$J$5:$J$72)</f>
        <v>43</v>
      </c>
      <c r="S14" s="24">
        <f ca="1">SUMIF('UC BMW 2026'!$B$5:$B$77,'UC BMW 2026'!$B12,'UC BMW 2026'!$K$5:$K$72)</f>
        <v>67</v>
      </c>
      <c r="T14" s="24">
        <f>IFERROR(VLOOKUP(B14,[2]BPS!$B$10:$O$64,5,0),0)-IF(B14=100873,IFERROR(VLOOKUP("Marzo",[2]BPS!$B$74:$C$89,2,0),0),0)</f>
        <v>54</v>
      </c>
      <c r="U14" s="285">
        <f t="shared" ca="1" si="4"/>
        <v>0.80597014925373134</v>
      </c>
      <c r="V14" s="380">
        <f>IFERROR(VLOOKUP(B14,'[2]RETAIL ORIGEN RMKT'!$B$11:$O$62,5,0),0)</f>
        <v>26</v>
      </c>
      <c r="W14" s="127">
        <f t="shared" ca="1" si="5"/>
        <v>0.60465116279069764</v>
      </c>
      <c r="X14" s="21">
        <f ca="1">SUMIF('UC BMW 2026'!$B$5:$B$77,'UC BMW 2026'!$B12,'UC BMW 2026'!$L$5:$L$72)</f>
        <v>41</v>
      </c>
      <c r="Y14" s="24">
        <f ca="1">SUMIF('UC BMW 2026'!$B$5:$B$77,'UC BMW 2026'!$B12,'UC BMW 2026'!$M$5:$M$72)</f>
        <v>71</v>
      </c>
      <c r="Z14" s="24">
        <f>IFERROR(VLOOKUP(B14,[2]BPS!$B$10:$O$64,6,0),0)-IF(B14=100873,IFERROR(VLOOKUP("Abril",[2]BPS!$B$74:$C$89,2,0),0),0)</f>
        <v>60</v>
      </c>
      <c r="AA14" s="285">
        <f t="shared" ca="1" si="6"/>
        <v>0.84507042253521125</v>
      </c>
      <c r="AB14" s="380">
        <f>IFERROR(VLOOKUP(B14,'[2]RETAIL ORIGEN RMKT'!$B$11:$O$62,6,0),0)</f>
        <v>36</v>
      </c>
      <c r="AC14" s="127">
        <f t="shared" ca="1" si="7"/>
        <v>0.87804878048780488</v>
      </c>
      <c r="AD14" s="21">
        <f ca="1">SUMIF('UC BMW 2026'!$B$5:$B$77,'UC BMW 2026'!$B12,'UC BMW 2026'!$N$5:$N$72)</f>
        <v>41</v>
      </c>
      <c r="AE14" s="24">
        <f ca="1">SUMIF('UC BMW 2026'!$B$5:$B$77,'UC BMW 2026'!$B12,'UC BMW 2026'!$O$5:$O$72)</f>
        <v>44</v>
      </c>
      <c r="AF14" s="24">
        <f>IFERROR(VLOOKUP(B14,[2]BPS!$B$10:$O$64,7,0),0)-IF(B14=100873,IFERROR(VLOOKUP("Mayo",[2]BPS!$B$74:$C$89,2,0),0),0)</f>
        <v>37</v>
      </c>
      <c r="AG14" s="285">
        <f t="shared" ca="1" si="8"/>
        <v>0.84090909090909094</v>
      </c>
      <c r="AH14" s="380">
        <f>IFERROR(VLOOKUP(B14,'[2]RETAIL ORIGEN RMKT'!$B$11:$O$62,7,0),0)</f>
        <v>21</v>
      </c>
      <c r="AI14" s="127">
        <f t="shared" ca="1" si="9"/>
        <v>0.51219512195121952</v>
      </c>
      <c r="AJ14" s="21">
        <f ca="1">SUMIF('UC BMW 2026'!$B$5:$B$77,'UC BMW 2026'!$B12,'UC BMW 2026'!$P$5:$P$72)</f>
        <v>43</v>
      </c>
      <c r="AK14" s="24">
        <f ca="1">SUMIF('UC BMW 2026'!$B$5:$B$77,'UC BMW 2026'!$B12,'UC BMW 2026'!$Q$5:$Q$72)</f>
        <v>60</v>
      </c>
      <c r="AL14" s="24">
        <f>IFERROR(VLOOKUP(B14,[2]BPS!$B$10:$O$64,8,0),0)-IF(B14=100873,IFERROR(VLOOKUP("Junio",[2]BPS!$B$74:$C$89,2,0),0),0)</f>
        <v>58</v>
      </c>
      <c r="AM14" s="285">
        <f t="shared" ca="1" si="10"/>
        <v>0.96666666666666667</v>
      </c>
      <c r="AN14" s="380">
        <f>IFERROR(VLOOKUP(B14,'[2]RETAIL ORIGEN RMKT'!$B$11:$O$62,8,0),0)</f>
        <v>29</v>
      </c>
      <c r="AO14" s="127">
        <f t="shared" ca="1" si="11"/>
        <v>0.67441860465116277</v>
      </c>
      <c r="AP14" s="21">
        <f ca="1">SUMIF('UC BMW 2026'!$B$5:$B$77,'UC BMW 2026'!$B12,'UC BMW 2026'!$R$5:$R$72)</f>
        <v>0</v>
      </c>
      <c r="AQ14" s="24">
        <f ca="1">SUMIF('UC BMW 2026'!$B$5:$B$77,'UC BMW 2026'!$B12,'UC BMW 2026'!$S$5:$S$72)</f>
        <v>0</v>
      </c>
      <c r="AR14" s="24">
        <f>IFERROR(VLOOKUP(B14,[2]BPS!$B$10:$O$64,9,0),0)-IF(B14=100873,IFERROR(VLOOKUP("Julio",[2]BPS!$B$74:$C$89,2,0),0),0)</f>
        <v>0</v>
      </c>
      <c r="AS14" s="285">
        <f t="shared" ca="1" si="12"/>
        <v>0</v>
      </c>
      <c r="AT14" s="380">
        <f>IFERROR(VLOOKUP(B14,'[2]RETAIL ORIGEN RMKT'!$B$11:$O$62,9,0),0)</f>
        <v>0</v>
      </c>
      <c r="AU14" s="127">
        <f t="shared" ca="1" si="13"/>
        <v>0</v>
      </c>
      <c r="AV14" s="21">
        <f ca="1">SUMIF('UC BMW 2026'!$B$5:$B$77,'UC BMW 2026'!$B12,'UC BMW 2026'!$T$5:$T$72)</f>
        <v>0</v>
      </c>
      <c r="AW14" s="24">
        <f ca="1">SUMIF('UC BMW 2026'!$B$5:$B$77,'UC BMW 2026'!$B12,'UC BMW 2026'!$U$5:$U$72)</f>
        <v>0</v>
      </c>
      <c r="AX14" s="24">
        <f>IFERROR(VLOOKUP(B14,[2]BPS!$B$10:$O$64,10,0),0)-IF(B14=100873,IFERROR(VLOOKUP("Agosto",[2]BPS!$B$74:$C$89,2,0),0),0)</f>
        <v>0</v>
      </c>
      <c r="AY14" s="285">
        <f t="shared" ca="1" si="14"/>
        <v>0</v>
      </c>
      <c r="AZ14" s="380">
        <f>IFERROR(VLOOKUP(B14,'[2]RETAIL ORIGEN RMKT'!$B$11:$O$62,10,0),0)</f>
        <v>0</v>
      </c>
      <c r="BA14" s="127">
        <f t="shared" ca="1" si="15"/>
        <v>0</v>
      </c>
      <c r="BB14" s="21">
        <f ca="1">SUMIF('UC BMW 2026'!$B$5:$B$77,'UC BMW 2026'!$B12,'UC BMW 2026'!$V$5:$V$72)</f>
        <v>0</v>
      </c>
      <c r="BC14" s="24">
        <f>SUMIF('UC BMW 2026'!$B$5:$B$77,'UC BMW 2026'!$B12,'UC BMW 2026'!$W$5:$W$77)</f>
        <v>0</v>
      </c>
      <c r="BD14" s="24">
        <f>IFERROR(VLOOKUP(B14,[2]BPS!$B$10:$O$64,11,0),0)-IF(B14=100873,IFERROR(VLOOKUP("Septiembre",[2]BPS!$B$74:$C$89,2,0),0),0)</f>
        <v>0</v>
      </c>
      <c r="BE14" s="285">
        <f t="shared" si="16"/>
        <v>0</v>
      </c>
      <c r="BF14" s="380">
        <f>IFERROR(VLOOKUP(B14,'[2]RETAIL ORIGEN RMKT'!$B$11:$O$62,11,0),0)</f>
        <v>0</v>
      </c>
      <c r="BG14" s="127">
        <f t="shared" ca="1" si="17"/>
        <v>0</v>
      </c>
      <c r="BH14" s="21">
        <f>SUMIF('UC BMW 2026'!$B$5:$B$77,'UC BMW 2026'!$B12,'UC BMW 2026'!$X$5:$X$77)</f>
        <v>0</v>
      </c>
      <c r="BI14" s="24">
        <f>SUMIF('UC BMW 2026'!$B$5:$B$77,'UC BMW 2026'!$B12,'UC BMW 2026'!$Y$5:$Y$77)</f>
        <v>0</v>
      </c>
      <c r="BJ14" s="24">
        <f>IFERROR(VLOOKUP(B14,[2]BPS!$B$10:$O$64,12,0),0)-IF(B14=100873,IFERROR(VLOOKUP("Octubre",[2]BPS!$B$74:$C$89,2,0),0),0)</f>
        <v>0</v>
      </c>
      <c r="BK14" s="285">
        <f t="shared" si="18"/>
        <v>0</v>
      </c>
      <c r="BL14" s="380">
        <f>IFERROR(VLOOKUP(B14,'[2]RETAIL ORIGEN RMKT'!$B$11:$O$62,12,0),0)</f>
        <v>0</v>
      </c>
      <c r="BM14" s="127">
        <f t="shared" si="19"/>
        <v>0</v>
      </c>
      <c r="BN14" s="21">
        <f>SUMIF('UC BMW 2026'!$B$5:$B$77,'UC BMW 2026'!$B12,'UC BMW 2026'!$Z$5:$Z$77)</f>
        <v>0</v>
      </c>
      <c r="BO14" s="24">
        <f>SUMIF('UC BMW 2026'!$B$5:$B$77,'UC BMW 2026'!$B12,'UC BMW 2026'!$AA$5:$AA$77)</f>
        <v>0</v>
      </c>
      <c r="BP14" s="24">
        <f>IFERROR(VLOOKUP(B14,[2]BPS!$B$10:$O$64,13,0),0)-IF(B14=100873,IFERROR(VLOOKUP("Noviembre",[2]BPS!$B$74:$C$89,2,0),0),0)</f>
        <v>0</v>
      </c>
      <c r="BQ14" s="285">
        <f t="shared" si="20"/>
        <v>0</v>
      </c>
      <c r="BR14" s="380">
        <f>IFERROR(VLOOKUP(B14,'[2]RETAIL ORIGEN RMKT'!$B$11:$O$62,13,0),0)</f>
        <v>0</v>
      </c>
      <c r="BS14" s="127">
        <f t="shared" si="21"/>
        <v>0</v>
      </c>
      <c r="BT14" s="21">
        <f>SUMIF('UC BMW 2026'!$B$5:$B$77,'UC BMW 2026'!$B12,'UC BMW 2026'!$AB$5:$AB$77)</f>
        <v>0</v>
      </c>
      <c r="BU14" s="24">
        <f>SUMIF('UC BMW 2026'!$B$5:$B$77,'UC BMW 2026'!$B12,'UC BMW 2026'!$AC$5:$AC$77)</f>
        <v>0</v>
      </c>
      <c r="BV14" s="24">
        <f>IFERROR(VLOOKUP(B14,[2]BPS!$B$10:$O$64,13,0),0)-IF(B14=100873,IFERROR(VLOOKUP("Diciembre",[2]BPS!$B$74:$C$89,2,0),0),0)</f>
        <v>0</v>
      </c>
      <c r="BW14" s="285">
        <f t="shared" si="22"/>
        <v>0</v>
      </c>
      <c r="BX14" s="380">
        <f>IFERROR(VLOOKUP(B14,'[2]RETAIL ORIGEN RMKT'!$B$11:$O$62,14,0),0)</f>
        <v>0</v>
      </c>
      <c r="BY14" s="127">
        <f t="shared" si="23"/>
        <v>0</v>
      </c>
      <c r="BZ14" s="21">
        <f t="shared" ca="1" si="31"/>
        <v>250</v>
      </c>
      <c r="CA14" s="24">
        <f t="shared" ca="1" si="31"/>
        <v>338</v>
      </c>
      <c r="CB14" s="282">
        <f t="shared" ca="1" si="25"/>
        <v>1.3520000000000001</v>
      </c>
      <c r="CC14" s="291">
        <f>IFERROR(IF($BZ$4="ENERO",H14,IF($BZ$4="FEBRERO",H14+N14,IF($BZ$4="MARZO",H14+N14+T14,IF($BZ$4="ABRIL",H14+N14+T14+Z14,IF($BZ$4="MAYO",H14+N14+T14+Z14+AF14,IF($BZ$4="JUNIO",H14+N14+T14+Z14+AF14+AL14,IF($BZ$4="JULIO",H14+N14+T14+Z14+AF14+AL14+AR14,IF($BZ$4="AGOSTO",H14+N14+T14+Z14+AF14+AL14+AR14+AX14,IF($BZ$4="SEPTIEMBRE",H14+N14+T14+Z14+AF14+AL14+AR14+AX14+BD14,IF($BZ$4="OCTUBRE",H14+N14+T14+Z14+AF14+AL14+AR14+AX14+BD14+BJ14,IF($BZ$4="NOVIEMBRE",H14+N14+T14+Z14+AF14+AL14+AR14+AX14+BD14+BJ14+BP14,IF($BZ$4="DICIEMBRE",H14+N14+T14+Z14+AF14+AL14+AR14+AX14+BD14+BJ14+BP14+BV14,"")))))))))))),0)</f>
        <v>297</v>
      </c>
      <c r="CD14" s="126">
        <f ca="1">IFERROR(IF(CA14=0,"N.D.",CC14/CA14),0)</f>
        <v>0.87869822485207105</v>
      </c>
      <c r="CE14" s="24">
        <f>IFERROR(IF($BZ$4="ENERO",J14,IF($BZ$4="FEBRERO",J14+P14,IF($BZ$4="MARZO",J14+P14+V14,IF($BZ$4="ABRIL",J14+P14+V14+AB14,IF($BZ$4="MAYO",J14+P14+V14+AB14+AH14,IF($BZ$4="JUNIO",J14+P14+V14+AB14+AH14+AN14,IF($BZ$4="JULIO",J14+P14+V14+AB14+AH14+AN14+AT14,IF($BZ$4="AGOSTO",J14+P14+V14+AB14+AH14+AN14+AT14+AZ14,IF($BZ$4="SEPTIEMBRE",J14+P14+V14+AB14+AH14+AN14+AT14+AZ14+BF14,IF($BZ$4="OCTUBRE",J14+P14+V14+AB14+AH14+AN14+AT14+AZ14+BF14+BL14,IF($BZ$4="NOVIEMBRE",J14+P14+V14+AB14+AH14+AN14+AT14+AZ14+BF14+BL14+BR14,IF($BZ$4="DICIEMBRE",J14+P14+V14+AB14+AH14+AN14+AT14+AZ14+BF14+BL14+BR14+BX14,"")))))))))))),0)</f>
        <v>149</v>
      </c>
      <c r="CF14" s="126">
        <f t="shared" ca="1" si="32"/>
        <v>0.59599999999999997</v>
      </c>
      <c r="CG14" s="21">
        <f ca="1">SUM(F14+L14+R14+X14+AD14+AJ14+AP14+AV14+BB14+BH14+BN14+BT14)</f>
        <v>250</v>
      </c>
      <c r="CH14" s="24">
        <f ca="1">SUMIFS($F14:$BW14,$F$6:$BW$6,CH$6,$F$2:$BW$2,$BZ$4)</f>
        <v>338</v>
      </c>
      <c r="CI14" s="282">
        <f t="shared" ca="1" si="33"/>
        <v>1.3520000000000001</v>
      </c>
      <c r="CJ14" s="291">
        <f>SUMIFS($F14:$BW14,$F$6:$BW$6,CJ$6,$F$2:$BW$2,$BZ$4)</f>
        <v>297</v>
      </c>
      <c r="CK14" s="126">
        <f t="shared" ca="1" si="26"/>
        <v>0.87869822485207105</v>
      </c>
      <c r="CL14" s="27">
        <f>IFERROR(J14+P14+V14+AB14+AH14+AN14+AT14+AZ14+BF14+BL14+BR14+BX14,0)</f>
        <v>149</v>
      </c>
      <c r="CM14" s="126">
        <f t="shared" ca="1" si="34"/>
        <v>0.59599999999999997</v>
      </c>
      <c r="CN14" s="21">
        <f t="shared" ca="1" si="35"/>
        <v>125</v>
      </c>
      <c r="CO14" s="24">
        <f t="shared" ca="1" si="35"/>
        <v>163</v>
      </c>
      <c r="CP14" s="282">
        <f t="shared" ca="1" si="36"/>
        <v>1.304</v>
      </c>
      <c r="CQ14" s="291">
        <f>IF($CN$5="Q1",H14+N14+T14,
IF($CN$5="Q2",Z14+AF14++AL14,
IF($CN$5="Q3",AR14+AX14+BD14,
IF($CN$5="Q4",BJ14+BP14+BV14,0))))</f>
        <v>142</v>
      </c>
      <c r="CR14" s="126">
        <f t="shared" ca="1" si="37"/>
        <v>0.87116564417177911</v>
      </c>
      <c r="CS14" s="24">
        <f t="shared" si="38"/>
        <v>0</v>
      </c>
      <c r="CT14" s="126">
        <f t="shared" ca="1" si="39"/>
        <v>0</v>
      </c>
      <c r="CU14" s="21">
        <f t="shared" ca="1" si="40"/>
        <v>250</v>
      </c>
      <c r="CV14" s="24">
        <f t="shared" ca="1" si="41"/>
        <v>338</v>
      </c>
      <c r="CW14" s="282">
        <f t="shared" ca="1" si="42"/>
        <v>1.3520000000000001</v>
      </c>
      <c r="CX14" s="24">
        <f t="shared" si="43"/>
        <v>297</v>
      </c>
      <c r="CY14" s="126">
        <f t="shared" ca="1" si="44"/>
        <v>0.87869822485207105</v>
      </c>
      <c r="CZ14" s="24">
        <f t="shared" si="45"/>
        <v>149</v>
      </c>
      <c r="DA14" s="127">
        <f t="shared" ca="1" si="46"/>
        <v>0.59599999999999997</v>
      </c>
      <c r="DB14" s="21">
        <f t="shared" ca="1" si="47"/>
        <v>0</v>
      </c>
      <c r="DC14" s="24">
        <f t="shared" ca="1" si="47"/>
        <v>0</v>
      </c>
      <c r="DD14" s="282">
        <f t="shared" ca="1" si="48"/>
        <v>0</v>
      </c>
      <c r="DE14" s="24">
        <f>IFERROR(IF($DB$5="S 1",H14+N14+T14+Z14+AF14++AL14,
IF($DB$5="S 2",AR14+AX14+BD14+BJ14+BP14+BV14,0)),0)</f>
        <v>0</v>
      </c>
      <c r="DF14" s="126" t="str">
        <f t="shared" ca="1" si="49"/>
        <v>N.D.</v>
      </c>
      <c r="DG14" s="24">
        <f>IFERROR(IF($DB$5="S 1",J14+P14+V14+AB14+AH14+AN14,
IF($DB$5="S 2",AT14+AZ14+BF14+BL14+BR14+BX14,0)),0)</f>
        <v>0</v>
      </c>
      <c r="DH14" s="127">
        <f t="shared" ca="1" si="50"/>
        <v>0</v>
      </c>
      <c r="DI14" s="510">
        <v>1</v>
      </c>
      <c r="DJ14" s="369" t="s">
        <v>10</v>
      </c>
      <c r="DK14" s="21">
        <f t="shared" ca="1" si="51"/>
        <v>250</v>
      </c>
      <c r="DL14" s="24">
        <f t="shared" ca="1" si="52"/>
        <v>338</v>
      </c>
      <c r="DM14" s="282">
        <f t="shared" ca="1" si="53"/>
        <v>1.3520000000000001</v>
      </c>
      <c r="DN14" s="291">
        <f t="shared" si="54"/>
        <v>297</v>
      </c>
      <c r="DO14" s="126">
        <f t="shared" ca="1" si="55"/>
        <v>0.87869822485207105</v>
      </c>
      <c r="DP14" s="27">
        <f t="shared" si="56"/>
        <v>149</v>
      </c>
      <c r="DQ14" s="127">
        <f t="shared" ca="1" si="57"/>
        <v>0.59599999999999997</v>
      </c>
      <c r="DR14"/>
      <c r="DS14" s="4">
        <f ca="1"/>
        <v>280</v>
      </c>
      <c r="DT14" s="4">
        <f ca="1"/>
        <v>299</v>
      </c>
      <c r="DU14" s="508">
        <f ca="1"/>
        <v>1.3</v>
      </c>
      <c r="DW14" s="508">
        <f ca="1"/>
        <v>0.99541284403669728</v>
      </c>
      <c r="DX14" s="4">
        <v>121</v>
      </c>
      <c r="DY14" s="508">
        <f ca="1"/>
        <v>0.66666666666666663</v>
      </c>
    </row>
    <row r="15" spans="1:129" s="4" customFormat="1" ht="15" customHeight="1" x14ac:dyDescent="0.35">
      <c r="A15" s="4">
        <f>_xlfn.XLOOKUP(B15,'WHOLESALE BMW 2026'!$B$7:$B$67,'WHOLESALE BMW 2026'!$A$7:$A$67)</f>
        <v>2</v>
      </c>
      <c r="B15" s="8">
        <v>100917</v>
      </c>
      <c r="C15" s="369" t="s">
        <v>263</v>
      </c>
      <c r="D15" s="125"/>
      <c r="E15" s="309" t="s">
        <v>276</v>
      </c>
      <c r="F15" s="21">
        <f ca="1">SUMIF('UC BMW 2026'!B13:B89,'UC BMW 2026'!B13,'UC BMW 2026'!F13:F80)</f>
        <v>1</v>
      </c>
      <c r="G15" s="24">
        <f ca="1">SUMIF('UC BMW 2026'!$B$5:$B$77,'UC BMW 2026'!B13,'UC BMW 2026'!$G$5:$G$72)</f>
        <v>0</v>
      </c>
      <c r="H15" s="24">
        <f>IFERROR(VLOOKUP(B15,[2]BPS!$B$10:$O$64,3,0),0)-IF(B15=100873,IFERROR(VLOOKUP("Enero",[2]BPS!$B$74:$C$89,2,0),0),0)</f>
        <v>0</v>
      </c>
      <c r="I15" s="282">
        <f t="shared" ca="1" si="0"/>
        <v>0</v>
      </c>
      <c r="J15" s="380">
        <f>IFERROR(VLOOKUP(B15,'[2]RETAIL ORIGEN RMKT'!$B$11:$O$62,3,0),0)</f>
        <v>0</v>
      </c>
      <c r="K15" s="127">
        <f t="shared" ca="1" si="1"/>
        <v>0</v>
      </c>
      <c r="L15" s="21">
        <f ca="1">SUMIF('UC BMW 2026'!$B$5:$B$77,'UC BMW 2026'!$B13,'UC BMW 2026'!$H$5:$H$72)</f>
        <v>1</v>
      </c>
      <c r="M15" s="24">
        <f ca="1">SUMIF('UC BMW 2026'!$B$5:$B$77,'UC BMW 2026'!$B13,'UC BMW 2026'!$I$5:$I$72)</f>
        <v>0</v>
      </c>
      <c r="N15" s="24">
        <f>IFERROR(VLOOKUP(B15,[2]BPS!$B$10:$O$64,4,0),0)-IF(B15=100873,IFERROR(VLOOKUP("Febrero",[2]BPS!$B$74:$C$89,2,0),0),0)</f>
        <v>0</v>
      </c>
      <c r="O15" s="282">
        <f t="shared" ca="1" si="2"/>
        <v>0</v>
      </c>
      <c r="P15" s="380">
        <f>IFERROR(VLOOKUP(B15,'[2]RETAIL ORIGEN RMKT'!$B$11:$O$62,4,0),0)</f>
        <v>0</v>
      </c>
      <c r="Q15" s="127">
        <f t="shared" ca="1" si="3"/>
        <v>0</v>
      </c>
      <c r="R15" s="21">
        <f ca="1">SUMIF('UC BMW 2026'!$B$5:$B$77,'UC BMW 2026'!$B13,'UC BMW 2026'!$J$5:$J$72)</f>
        <v>18</v>
      </c>
      <c r="S15" s="24">
        <f ca="1">SUMIF('UC BMW 2026'!$B$5:$B$77,'UC BMW 2026'!$B13,'UC BMW 2026'!$K$5:$K$72)</f>
        <v>0</v>
      </c>
      <c r="T15" s="24">
        <f>IFERROR(VLOOKUP(B15,[2]BPS!$B$10:$O$64,5,0),0)-IF(B15=100873,IFERROR(VLOOKUP("Marzo",[2]BPS!$B$74:$C$89,2,0),0),0)</f>
        <v>0</v>
      </c>
      <c r="U15" s="282">
        <f t="shared" ca="1" si="4"/>
        <v>0</v>
      </c>
      <c r="V15" s="380">
        <f>IFERROR(VLOOKUP(B15,'[2]RETAIL ORIGEN RMKT'!$B$11:$O$62,5,0),0)</f>
        <v>0</v>
      </c>
      <c r="W15" s="127">
        <f t="shared" ca="1" si="5"/>
        <v>0</v>
      </c>
      <c r="X15" s="21">
        <f ca="1">SUMIF('UC BMW 2026'!$B$5:$B$77,'UC BMW 2026'!$B13,'UC BMW 2026'!$L$5:$L$72)</f>
        <v>20</v>
      </c>
      <c r="Y15" s="24">
        <f ca="1">SUMIF('UC BMW 2026'!$B$5:$B$77,'UC BMW 2026'!$B13,'UC BMW 2026'!$M$5:$M$72)</f>
        <v>7</v>
      </c>
      <c r="Z15" s="24">
        <f>IFERROR(VLOOKUP(B15,[2]BPS!$B$10:$O$64,6,0),0)-IF(B15=100873,IFERROR(VLOOKUP("Abril",[2]BPS!$B$74:$C$89,2,0),0),0)</f>
        <v>5</v>
      </c>
      <c r="AA15" s="282">
        <f t="shared" ca="1" si="6"/>
        <v>0.7142857142857143</v>
      </c>
      <c r="AB15" s="380">
        <f>IFERROR(VLOOKUP(B15,'[2]RETAIL ORIGEN RMKT'!$B$11:$O$62,6,0),0)</f>
        <v>0</v>
      </c>
      <c r="AC15" s="127">
        <f t="shared" ca="1" si="7"/>
        <v>0</v>
      </c>
      <c r="AD15" s="21">
        <f ca="1">SUMIF('UC BMW 2026'!$B$5:$B$77,'UC BMW 2026'!$B13,'UC BMW 2026'!$N$5:$N$72)</f>
        <v>30</v>
      </c>
      <c r="AE15" s="24">
        <f ca="1">SUMIF('UC BMW 2026'!$B$5:$B$77,'UC BMW 2026'!$B13,'UC BMW 2026'!$O$5:$O$72)</f>
        <v>14</v>
      </c>
      <c r="AF15" s="24">
        <f>IFERROR(VLOOKUP(B15,[2]BPS!$B$10:$O$64,7,0),0)-IF(B15=100873,IFERROR(VLOOKUP("Mayo",[2]BPS!$B$74:$C$89,2,0),0),0)</f>
        <v>8</v>
      </c>
      <c r="AG15" s="282">
        <f t="shared" ca="1" si="8"/>
        <v>0.5714285714285714</v>
      </c>
      <c r="AH15" s="380">
        <f>IFERROR(VLOOKUP(B15,'[2]RETAIL ORIGEN RMKT'!$B$11:$O$62,7,0),0)</f>
        <v>4</v>
      </c>
      <c r="AI15" s="127">
        <f t="shared" ca="1" si="9"/>
        <v>0.13333333333333333</v>
      </c>
      <c r="AJ15" s="21">
        <f ca="1">SUMIF('UC BMW 2026'!$B$5:$B$77,'UC BMW 2026'!$B13,'UC BMW 2026'!$P$5:$P$72)</f>
        <v>30</v>
      </c>
      <c r="AK15" s="24">
        <f ca="1">SUMIF('UC BMW 2026'!$B$5:$B$77,'UC BMW 2026'!$B13,'UC BMW 2026'!$Q$5:$Q$72)</f>
        <v>27</v>
      </c>
      <c r="AL15" s="24">
        <f>IFERROR(VLOOKUP(B15,[2]BPS!$B$10:$O$64,8,0),0)-IF(B15=100873,IFERROR(VLOOKUP("Junio",[2]BPS!$B$74:$C$89,2,0),0),0)</f>
        <v>16</v>
      </c>
      <c r="AM15" s="282">
        <f t="shared" ca="1" si="10"/>
        <v>0.59259259259259256</v>
      </c>
      <c r="AN15" s="380">
        <f>IFERROR(VLOOKUP(B15,'[2]RETAIL ORIGEN RMKT'!$B$11:$O$62,8,0),0)</f>
        <v>11</v>
      </c>
      <c r="AO15" s="127">
        <f t="shared" ca="1" si="11"/>
        <v>0.36666666666666664</v>
      </c>
      <c r="AP15" s="21">
        <f ca="1">SUMIF('UC BMW 2026'!$B$5:$B$77,'UC BMW 2026'!$B13,'UC BMW 2026'!$R$5:$R$72)</f>
        <v>0</v>
      </c>
      <c r="AQ15" s="24">
        <f ca="1">SUMIF('UC BMW 2026'!$B$5:$B$77,'UC BMW 2026'!$B13,'UC BMW 2026'!$S$5:$S$72)</f>
        <v>0</v>
      </c>
      <c r="AR15" s="24">
        <f>IFERROR(VLOOKUP(B15,[2]BPS!$B$10:$O$64,9,0),0)-IF(B15=100873,IFERROR(VLOOKUP("Julio",[2]BPS!$B$74:$C$89,2,0),0),0)</f>
        <v>0</v>
      </c>
      <c r="AS15" s="282">
        <f t="shared" ca="1" si="12"/>
        <v>0</v>
      </c>
      <c r="AT15" s="380">
        <f>IFERROR(VLOOKUP(B15,'[2]RETAIL ORIGEN RMKT'!$B$11:$O$62,9,0),0)</f>
        <v>0</v>
      </c>
      <c r="AU15" s="127">
        <f t="shared" ca="1" si="13"/>
        <v>0</v>
      </c>
      <c r="AV15" s="21">
        <f ca="1">SUMIF('UC BMW 2026'!$B$5:$B$77,'UC BMW 2026'!$B13,'UC BMW 2026'!$T$5:$T$72)</f>
        <v>0</v>
      </c>
      <c r="AW15" s="24">
        <f ca="1">SUMIF('UC BMW 2026'!$B$5:$B$77,'UC BMW 2026'!$B13,'UC BMW 2026'!$U$5:$U$72)</f>
        <v>0</v>
      </c>
      <c r="AX15" s="24">
        <f>IFERROR(VLOOKUP(B15,[2]BPS!$B$10:$O$64,10,0),0)-IF(B15=100873,IFERROR(VLOOKUP("Agosto",[2]BPS!$B$74:$C$89,2,0),0),0)</f>
        <v>0</v>
      </c>
      <c r="AY15" s="282">
        <f t="shared" ca="1" si="14"/>
        <v>0</v>
      </c>
      <c r="AZ15" s="380">
        <f>IFERROR(VLOOKUP(B15,'[2]RETAIL ORIGEN RMKT'!$B$11:$O$62,10,0),0)</f>
        <v>0</v>
      </c>
      <c r="BA15" s="127">
        <f t="shared" ca="1" si="15"/>
        <v>0</v>
      </c>
      <c r="BB15" s="21">
        <f ca="1">SUMIF('UC BMW 2026'!$B$5:$B$77,'UC BMW 2026'!$B13,'UC BMW 2026'!$V$5:$V$72)</f>
        <v>0</v>
      </c>
      <c r="BC15" s="24">
        <f>SUMIF('UC BMW 2026'!$B$5:$B$77,'UC BMW 2026'!$B13,'UC BMW 2026'!$W$5:$W$77)</f>
        <v>0</v>
      </c>
      <c r="BD15" s="24">
        <f>IFERROR(VLOOKUP(B15,[2]BPS!$B$10:$O$64,11,0),0)-IF(B15=100873,IFERROR(VLOOKUP("Septiembre",[2]BPS!$B$74:$C$89,2,0),0),0)</f>
        <v>0</v>
      </c>
      <c r="BE15" s="282">
        <f t="shared" si="16"/>
        <v>0</v>
      </c>
      <c r="BF15" s="380">
        <f>IFERROR(VLOOKUP(B15,'[2]RETAIL ORIGEN RMKT'!$B$11:$O$62,11,0),0)</f>
        <v>0</v>
      </c>
      <c r="BG15" s="127">
        <f t="shared" ca="1" si="17"/>
        <v>0</v>
      </c>
      <c r="BH15" s="21">
        <f>SUMIF('UC BMW 2026'!$B$5:$B$77,'UC BMW 2026'!$B13,'UC BMW 2026'!$X$5:$X$77)</f>
        <v>0</v>
      </c>
      <c r="BI15" s="24">
        <f>SUMIF('UC BMW 2026'!$B$5:$B$77,'UC BMW 2026'!$B13,'UC BMW 2026'!$Y$5:$Y$77)</f>
        <v>0</v>
      </c>
      <c r="BJ15" s="24">
        <f>IFERROR(VLOOKUP(B15,[2]BPS!$B$10:$O$64,12,0),0)-IF(B15=100873,IFERROR(VLOOKUP("Octubre",[2]BPS!$B$74:$C$89,2,0),0),0)</f>
        <v>0</v>
      </c>
      <c r="BK15" s="282">
        <f t="shared" si="18"/>
        <v>0</v>
      </c>
      <c r="BL15" s="380">
        <f>IFERROR(VLOOKUP(B15,'[2]RETAIL ORIGEN RMKT'!$B$11:$O$62,12,0),0)</f>
        <v>0</v>
      </c>
      <c r="BM15" s="127">
        <f t="shared" si="19"/>
        <v>0</v>
      </c>
      <c r="BN15" s="21">
        <f>SUMIF('UC BMW 2026'!$B$5:$B$77,'UC BMW 2026'!$B13,'UC BMW 2026'!$Z$5:$Z$77)</f>
        <v>0</v>
      </c>
      <c r="BO15" s="24">
        <f>SUMIF('UC BMW 2026'!$B$5:$B$77,'UC BMW 2026'!$B13,'UC BMW 2026'!$AA$5:$AA$77)</f>
        <v>0</v>
      </c>
      <c r="BP15" s="24">
        <f>IFERROR(VLOOKUP(B15,[2]BPS!$B$10:$O$64,13,0),0)-IF(B15=100873,IFERROR(VLOOKUP("Noviembre",[2]BPS!$B$74:$C$89,2,0),0),0)</f>
        <v>0</v>
      </c>
      <c r="BQ15" s="282">
        <f t="shared" si="20"/>
        <v>0</v>
      </c>
      <c r="BR15" s="380">
        <f>IFERROR(VLOOKUP(B15,'[2]RETAIL ORIGEN RMKT'!$B$11:$O$62,13,0),0)</f>
        <v>0</v>
      </c>
      <c r="BS15" s="127">
        <f t="shared" si="21"/>
        <v>0</v>
      </c>
      <c r="BT15" s="21">
        <f>SUMIF('UC BMW 2026'!$B$5:$B$77,'UC BMW 2026'!$B13,'UC BMW 2026'!$AB$5:$AB$77)</f>
        <v>0</v>
      </c>
      <c r="BU15" s="24">
        <f>SUMIF('UC BMW 2026'!$B$5:$B$77,'UC BMW 2026'!$B13,'UC BMW 2026'!$AC$5:$AC$77)</f>
        <v>0</v>
      </c>
      <c r="BV15" s="24">
        <f>IFERROR(VLOOKUP(B15,[2]BPS!$B$10:$O$64,13,0),0)-IF(B15=100873,IFERROR(VLOOKUP("Diciembre",[2]BPS!$B$74:$C$89,2,0),0),0)</f>
        <v>0</v>
      </c>
      <c r="BW15" s="282">
        <f t="shared" si="22"/>
        <v>0</v>
      </c>
      <c r="BX15" s="380">
        <f>IFERROR(VLOOKUP(B15,'[2]RETAIL ORIGEN RMKT'!$B$11:$O$62,14,0),0)</f>
        <v>0</v>
      </c>
      <c r="BY15" s="127">
        <f t="shared" si="23"/>
        <v>0</v>
      </c>
      <c r="BZ15" s="25">
        <f t="shared" ca="1" si="31"/>
        <v>100</v>
      </c>
      <c r="CA15" s="27">
        <f t="shared" ca="1" si="31"/>
        <v>48</v>
      </c>
      <c r="CB15" s="287">
        <f t="shared" ca="1" si="25"/>
        <v>0.48</v>
      </c>
      <c r="CC15" s="294">
        <f>IFERROR(IF($BZ$4="ENERO",H15,IF($BZ$4="FEBRERO",H15+N15,IF($BZ$4="MARZO",H15+N15+T15,IF($BZ$4="ABRIL",H15+N15+T15+Z15,IF($BZ$4="MAYO",H15+N15+T15+Z15+AF15,IF($BZ$4="JUNIO",H15+N15+T15+Z15+AF15+AL15,IF($BZ$4="JULIO",H15+N15+T15+Z15+AF15+AL15+AR15,IF($BZ$4="AGOSTO",H15+N15+T15+Z15+AF15+AL15+AR15+AX15,IF($BZ$4="SEPTIEMBRE",H15+N15+T15+Z15+AF15+AL15+AR15+AX15+BD15,IF($BZ$4="OCTUBRE",H15+N15+T15+Z15+AF15+AL15+AR15+AX15+BD15+BJ15,IF($BZ$4="NOVIEMBRE",H15+N15+T15+Z15+AF15+AL15+AR15+AX15+BD15+BJ15+BP15,IF($BZ$4="DICIEMBRE",H15+N15+T15+Z15+AF15+AL15+AR15+AX15+BD15+BJ15+BP15+BV15,"")))))))))))),0)</f>
        <v>29</v>
      </c>
      <c r="CD15" s="129">
        <f ca="1">IFERROR(IF(CA15=0,"N.D.",CC15/CA15),0)</f>
        <v>0.60416666666666663</v>
      </c>
      <c r="CE15" s="24">
        <f>IFERROR(IF($BZ$4="ENERO",J15,IF($BZ$4="FEBRERO",J15+P15,IF($BZ$4="MARZO",J15+P15+V15,IF($BZ$4="ABRIL",J15+P15+V15+AB15,IF($BZ$4="MAYO",J15+P15+V15+AB15+AH15,IF($BZ$4="JUNIO",J15+P15+V15+AB15+AH15+AN15,IF($BZ$4="JULIO",J15+P15+V15+AB15+AH15+AN15+AT15,IF($BZ$4="AGOSTO",J15+P15+V15+AB15+AH15+AN15+AT15+AZ15,IF($BZ$4="SEPTIEMBRE",J15+P15+V15+AB15+AH15+AN15+AT15+AZ15+BF15,IF($BZ$4="OCTUBRE",J15+P15+V15+AB15+AH15+AN15+AT15+AZ15+BF15+BL15,IF($BZ$4="NOVIEMBRE",J15+P15+V15+AB15+AH15+AN15+AT15+AZ15+BF15+BL15+BR15,IF($BZ$4="DICIEMBRE",J15+P15+V15+AB15+AH15+AN15+AT15+AZ15+BF15+BL15+BR15+BX15,"")))))))))))),0)</f>
        <v>15</v>
      </c>
      <c r="CF15" s="129">
        <f t="shared" ca="1" si="32"/>
        <v>0.15</v>
      </c>
      <c r="CG15" s="25">
        <f ca="1">SUM(F15+L15+R15+X15+AD15+AJ15+AP15+AV15+BB15+BH15+BN15+BT15)</f>
        <v>100</v>
      </c>
      <c r="CH15" s="27">
        <f ca="1">SUMIFS($F15:$BW15,$F$6:$BW$6,CH$6,$F$2:$BW$2,$BZ$4)</f>
        <v>48</v>
      </c>
      <c r="CI15" s="287">
        <f t="shared" ca="1" si="33"/>
        <v>0.48</v>
      </c>
      <c r="CJ15" s="294">
        <f>SUMIFS($F15:$BW15,$F$6:$BW$6,CJ$6,$F$2:$BW$2,$BZ$4)</f>
        <v>29</v>
      </c>
      <c r="CK15" s="129">
        <f t="shared" ca="1" si="26"/>
        <v>0.60416666666666663</v>
      </c>
      <c r="CL15" s="27">
        <f>IFERROR(J15+P15+V15+AB15+AH15+AN15+AT15+AZ15+BF15+BL15+BR15+BX15,0)</f>
        <v>15</v>
      </c>
      <c r="CM15" s="129">
        <f t="shared" ca="1" si="34"/>
        <v>0.15</v>
      </c>
      <c r="CN15" s="25">
        <f t="shared" ca="1" si="35"/>
        <v>20</v>
      </c>
      <c r="CO15" s="27">
        <f t="shared" ca="1" si="35"/>
        <v>0</v>
      </c>
      <c r="CP15" s="287">
        <f t="shared" ca="1" si="36"/>
        <v>0</v>
      </c>
      <c r="CQ15" s="294">
        <f>IF($CN$5="Q1",H15+N15+T15,
IF($CN$5="Q2",Z15+AF15++AL15,
IF($CN$5="Q3",AR15+AX15+BD15,
IF($CN$5="Q4",BJ15+BP15+BV15,0))))</f>
        <v>0</v>
      </c>
      <c r="CR15" s="129" t="str">
        <f t="shared" ca="1" si="37"/>
        <v>N.D.</v>
      </c>
      <c r="CS15" s="27">
        <f t="shared" si="38"/>
        <v>0</v>
      </c>
      <c r="CT15" s="129">
        <f t="shared" ca="1" si="39"/>
        <v>0</v>
      </c>
      <c r="CU15" s="25">
        <f t="shared" ca="1" si="40"/>
        <v>100</v>
      </c>
      <c r="CV15" s="27">
        <f t="shared" ca="1" si="41"/>
        <v>48</v>
      </c>
      <c r="CW15" s="287">
        <f t="shared" ca="1" si="42"/>
        <v>0.48</v>
      </c>
      <c r="CX15" s="27">
        <f t="shared" si="43"/>
        <v>29</v>
      </c>
      <c r="CY15" s="129">
        <f t="shared" ca="1" si="44"/>
        <v>0.60416666666666663</v>
      </c>
      <c r="CZ15" s="27">
        <f t="shared" si="45"/>
        <v>15</v>
      </c>
      <c r="DA15" s="130">
        <f t="shared" ca="1" si="46"/>
        <v>0.15</v>
      </c>
      <c r="DB15" s="25">
        <f t="shared" ca="1" si="47"/>
        <v>0</v>
      </c>
      <c r="DC15" s="27">
        <f t="shared" ca="1" si="47"/>
        <v>0</v>
      </c>
      <c r="DD15" s="287">
        <f t="shared" ca="1" si="48"/>
        <v>0</v>
      </c>
      <c r="DE15" s="27">
        <f>IFERROR(IF($DB$5="S 1",H15+N15+T15+Z15+AF15++AL15,
IF($DB$5="S 2",AR15+AX15+BD15+BJ15+BP15+BV15,0)),0)</f>
        <v>0</v>
      </c>
      <c r="DF15" s="129" t="str">
        <f t="shared" ca="1" si="49"/>
        <v>N.D.</v>
      </c>
      <c r="DG15" s="27">
        <f>IFERROR(IF($DB$5="S 1",J15+P15+V15+AB15+AH15+AN15,
IF($DB$5="S 2",AT15+AZ15+BF15+BL15+BR15+BX15,0)),0)</f>
        <v>0</v>
      </c>
      <c r="DH15" s="130">
        <f t="shared" ca="1" si="50"/>
        <v>0</v>
      </c>
      <c r="DI15" s="510">
        <v>1</v>
      </c>
      <c r="DJ15" s="369" t="s">
        <v>23</v>
      </c>
      <c r="DK15" s="25">
        <f t="shared" ca="1" si="51"/>
        <v>100</v>
      </c>
      <c r="DL15" s="27">
        <f t="shared" ca="1" si="52"/>
        <v>48</v>
      </c>
      <c r="DM15" s="287">
        <f t="shared" ca="1" si="53"/>
        <v>0.48</v>
      </c>
      <c r="DN15" s="294">
        <f t="shared" si="54"/>
        <v>29</v>
      </c>
      <c r="DO15" s="129">
        <f t="shared" ca="1" si="55"/>
        <v>0.60416666666666663</v>
      </c>
      <c r="DP15" s="27">
        <f t="shared" si="56"/>
        <v>15</v>
      </c>
      <c r="DQ15" s="130">
        <f t="shared" ca="1" si="57"/>
        <v>0.15</v>
      </c>
      <c r="DR15"/>
      <c r="DS15" s="4">
        <f ca="1"/>
        <v>250</v>
      </c>
      <c r="DT15" s="4">
        <f ca="1"/>
        <v>290</v>
      </c>
      <c r="DU15" s="508">
        <f ca="1"/>
        <v>1.239766081871345</v>
      </c>
      <c r="DW15" s="508">
        <f ca="1"/>
        <v>0.98809523809523814</v>
      </c>
      <c r="DX15" s="4">
        <v>115</v>
      </c>
      <c r="DY15" s="508">
        <f ca="1"/>
        <v>0.59599999999999997</v>
      </c>
    </row>
    <row r="16" spans="1:129" s="4" customFormat="1" ht="15" customHeight="1" thickBot="1" x14ac:dyDescent="0.4">
      <c r="A16" s="4">
        <f>_xlfn.XLOOKUP(B16,'WHOLESALE BMW 2026'!$B$7:$B$67,'WHOLESALE BMW 2026'!$A$7:$A$67)</f>
        <v>2</v>
      </c>
      <c r="B16" s="8">
        <v>100726</v>
      </c>
      <c r="C16" s="369" t="s">
        <v>19</v>
      </c>
      <c r="D16" s="125"/>
      <c r="E16" s="309" t="s">
        <v>88</v>
      </c>
      <c r="F16" s="21">
        <f ca="1">SUMIF('UC BMW 2026'!B14:B90,'UC BMW 2026'!B14,'UC BMW 2026'!F14:F81)</f>
        <v>11</v>
      </c>
      <c r="G16" s="24">
        <f ca="1">SUMIF('UC BMW 2026'!$B$5:$B$77,'UC BMW 2026'!B14,'UC BMW 2026'!$G$5:$G$72)</f>
        <v>7</v>
      </c>
      <c r="H16" s="24">
        <f>IFERROR(VLOOKUP(B16,[2]BPS!$B$10:$O$64,3,0),0)-IF(B16=100873,IFERROR(VLOOKUP("Enero",[2]BPS!$B$74:$C$89,2,0),0),0)</f>
        <v>7</v>
      </c>
      <c r="I16" s="282">
        <f t="shared" ca="1" si="0"/>
        <v>1</v>
      </c>
      <c r="J16" s="380">
        <f>IFERROR(VLOOKUP(B16,'[2]RETAIL ORIGEN RMKT'!$B$11:$O$62,3,0),0)</f>
        <v>3</v>
      </c>
      <c r="K16" s="127">
        <f t="shared" ca="1" si="1"/>
        <v>0.27272727272727271</v>
      </c>
      <c r="L16" s="21">
        <f ca="1">SUMIF('UC BMW 2026'!$B$5:$B$77,'UC BMW 2026'!$B14,'UC BMW 2026'!$H$5:$H$72)</f>
        <v>12</v>
      </c>
      <c r="M16" s="24">
        <f ca="1">SUMIF('UC BMW 2026'!$B$5:$B$77,'UC BMW 2026'!$B14,'UC BMW 2026'!$I$5:$I$72)</f>
        <v>12</v>
      </c>
      <c r="N16" s="24">
        <f>IFERROR(VLOOKUP(B16,[2]BPS!$B$10:$O$64,4,0),0)-IF(B16=100873,IFERROR(VLOOKUP("Febrero",[2]BPS!$B$74:$C$89,2,0),0),0)</f>
        <v>11</v>
      </c>
      <c r="O16" s="282">
        <f t="shared" ca="1" si="2"/>
        <v>0.91666666666666663</v>
      </c>
      <c r="P16" s="380">
        <f>IFERROR(VLOOKUP(B16,'[2]RETAIL ORIGEN RMKT'!$B$11:$O$62,4,0),0)</f>
        <v>4</v>
      </c>
      <c r="Q16" s="127">
        <f t="shared" ca="1" si="3"/>
        <v>0.33333333333333331</v>
      </c>
      <c r="R16" s="21">
        <f ca="1">SUMIF('UC BMW 2026'!$B$5:$B$77,'UC BMW 2026'!$B14,'UC BMW 2026'!$J$5:$J$72)</f>
        <v>12</v>
      </c>
      <c r="S16" s="24">
        <f ca="1">SUMIF('UC BMW 2026'!$B$5:$B$77,'UC BMW 2026'!$B14,'UC BMW 2026'!$K$5:$K$72)</f>
        <v>24</v>
      </c>
      <c r="T16" s="24">
        <f>IFERROR(VLOOKUP(B16,[2]BPS!$B$10:$O$64,5,0),0)-IF(B16=100873,IFERROR(VLOOKUP("Marzo",[2]BPS!$B$74:$C$89,2,0),0),0)</f>
        <v>14</v>
      </c>
      <c r="U16" s="282">
        <f t="shared" ca="1" si="4"/>
        <v>0.58333333333333337</v>
      </c>
      <c r="V16" s="380">
        <f>IFERROR(VLOOKUP(B16,'[2]RETAIL ORIGEN RMKT'!$B$11:$O$62,5,0),0)</f>
        <v>4</v>
      </c>
      <c r="W16" s="127">
        <f t="shared" ca="1" si="5"/>
        <v>0.33333333333333331</v>
      </c>
      <c r="X16" s="21">
        <f ca="1">SUMIF('UC BMW 2026'!$B$5:$B$77,'UC BMW 2026'!$B14,'UC BMW 2026'!$L$5:$L$72)</f>
        <v>11</v>
      </c>
      <c r="Y16" s="24">
        <f ca="1">SUMIF('UC BMW 2026'!$B$5:$B$77,'UC BMW 2026'!$B14,'UC BMW 2026'!$M$5:$M$72)</f>
        <v>14</v>
      </c>
      <c r="Z16" s="24">
        <f>IFERROR(VLOOKUP(B16,[2]BPS!$B$10:$O$64,6,0),0)-IF(B16=100873,IFERROR(VLOOKUP("Abril",[2]BPS!$B$74:$C$89,2,0),0),0)</f>
        <v>11</v>
      </c>
      <c r="AA16" s="282">
        <f t="shared" ca="1" si="6"/>
        <v>0.7857142857142857</v>
      </c>
      <c r="AB16" s="380">
        <f>IFERROR(VLOOKUP(B16,'[2]RETAIL ORIGEN RMKT'!$B$11:$O$62,6,0),0)</f>
        <v>4</v>
      </c>
      <c r="AC16" s="127">
        <f t="shared" ca="1" si="7"/>
        <v>0.36363636363636365</v>
      </c>
      <c r="AD16" s="21">
        <f ca="1">SUMIF('UC BMW 2026'!$B$5:$B$77,'UC BMW 2026'!$B14,'UC BMW 2026'!$N$5:$N$72)</f>
        <v>12</v>
      </c>
      <c r="AE16" s="24">
        <f ca="1">SUMIF('UC BMW 2026'!$B$5:$B$77,'UC BMW 2026'!$B14,'UC BMW 2026'!$O$5:$O$72)</f>
        <v>9</v>
      </c>
      <c r="AF16" s="24">
        <f>IFERROR(VLOOKUP(B16,[2]BPS!$B$10:$O$64,7,0),0)-IF(B16=100873,IFERROR(VLOOKUP("Mayo",[2]BPS!$B$74:$C$89,2,0),0),0)</f>
        <v>9</v>
      </c>
      <c r="AG16" s="282">
        <f t="shared" ca="1" si="8"/>
        <v>1</v>
      </c>
      <c r="AH16" s="380">
        <f>IFERROR(VLOOKUP(B16,'[2]RETAIL ORIGEN RMKT'!$B$11:$O$62,7,0),0)</f>
        <v>4</v>
      </c>
      <c r="AI16" s="127">
        <f t="shared" ca="1" si="9"/>
        <v>0.33333333333333331</v>
      </c>
      <c r="AJ16" s="21">
        <f ca="1">SUMIF('UC BMW 2026'!$B$5:$B$77,'UC BMW 2026'!$B14,'UC BMW 2026'!$P$5:$P$72)</f>
        <v>12</v>
      </c>
      <c r="AK16" s="24">
        <f ca="1">SUMIF('UC BMW 2026'!$B$5:$B$77,'UC BMW 2026'!$B14,'UC BMW 2026'!$Q$5:$Q$72)</f>
        <v>25</v>
      </c>
      <c r="AL16" s="24">
        <f>IFERROR(VLOOKUP(B16,[2]BPS!$B$10:$O$64,8,0),0)-IF(B16=100873,IFERROR(VLOOKUP("Junio",[2]BPS!$B$74:$C$89,2,0),0),0)</f>
        <v>19</v>
      </c>
      <c r="AM16" s="282">
        <f t="shared" ca="1" si="10"/>
        <v>0.76</v>
      </c>
      <c r="AN16" s="380">
        <f>IFERROR(VLOOKUP(B16,'[2]RETAIL ORIGEN RMKT'!$B$11:$O$62,8,0),0)</f>
        <v>8</v>
      </c>
      <c r="AO16" s="127">
        <f t="shared" ca="1" si="11"/>
        <v>0.66666666666666663</v>
      </c>
      <c r="AP16" s="21">
        <f ca="1">SUMIF('UC BMW 2026'!$B$5:$B$77,'UC BMW 2026'!$B14,'UC BMW 2026'!$R$5:$R$72)</f>
        <v>0</v>
      </c>
      <c r="AQ16" s="24">
        <f ca="1">SUMIF('UC BMW 2026'!$B$5:$B$77,'UC BMW 2026'!$B14,'UC BMW 2026'!$S$5:$S$72)</f>
        <v>0</v>
      </c>
      <c r="AR16" s="24">
        <f>IFERROR(VLOOKUP(B16,[2]BPS!$B$10:$O$64,9,0),0)-IF(B16=100873,IFERROR(VLOOKUP("Julio",[2]BPS!$B$74:$C$89,2,0),0),0)</f>
        <v>0</v>
      </c>
      <c r="AS16" s="282">
        <f t="shared" ca="1" si="12"/>
        <v>0</v>
      </c>
      <c r="AT16" s="380">
        <f>IFERROR(VLOOKUP(B16,'[2]RETAIL ORIGEN RMKT'!$B$11:$O$62,9,0),0)</f>
        <v>0</v>
      </c>
      <c r="AU16" s="127">
        <f t="shared" ca="1" si="13"/>
        <v>0</v>
      </c>
      <c r="AV16" s="21">
        <f ca="1">SUMIF('UC BMW 2026'!$B$5:$B$77,'UC BMW 2026'!$B14,'UC BMW 2026'!$T$5:$T$72)</f>
        <v>0</v>
      </c>
      <c r="AW16" s="24">
        <f ca="1">SUMIF('UC BMW 2026'!$B$5:$B$77,'UC BMW 2026'!$B14,'UC BMW 2026'!$U$5:$U$72)</f>
        <v>0</v>
      </c>
      <c r="AX16" s="24">
        <f>IFERROR(VLOOKUP(B16,[2]BPS!$B$10:$O$64,10,0),0)-IF(B16=100873,IFERROR(VLOOKUP("Agosto",[2]BPS!$B$74:$C$89,2,0),0),0)</f>
        <v>0</v>
      </c>
      <c r="AY16" s="282">
        <f t="shared" ca="1" si="14"/>
        <v>0</v>
      </c>
      <c r="AZ16" s="380">
        <f>IFERROR(VLOOKUP(B16,'[2]RETAIL ORIGEN RMKT'!$B$11:$O$62,10,0),0)</f>
        <v>0</v>
      </c>
      <c r="BA16" s="127">
        <f t="shared" ca="1" si="15"/>
        <v>0</v>
      </c>
      <c r="BB16" s="21">
        <f ca="1">SUMIF('UC BMW 2026'!$B$5:$B$77,'UC BMW 2026'!$B14,'UC BMW 2026'!$V$5:$V$72)</f>
        <v>0</v>
      </c>
      <c r="BC16" s="24">
        <f>SUMIF('UC BMW 2026'!$B$5:$B$77,'UC BMW 2026'!$B14,'UC BMW 2026'!$W$5:$W$77)</f>
        <v>0</v>
      </c>
      <c r="BD16" s="24">
        <f>IFERROR(VLOOKUP(B16,[2]BPS!$B$10:$O$64,11,0),0)-IF(B16=100873,IFERROR(VLOOKUP("Septiembre",[2]BPS!$B$74:$C$89,2,0),0),0)</f>
        <v>0</v>
      </c>
      <c r="BE16" s="282">
        <f t="shared" si="16"/>
        <v>0</v>
      </c>
      <c r="BF16" s="380">
        <f>IFERROR(VLOOKUP(B16,'[2]RETAIL ORIGEN RMKT'!$B$11:$O$62,11,0),0)</f>
        <v>0</v>
      </c>
      <c r="BG16" s="127">
        <f t="shared" ca="1" si="17"/>
        <v>0</v>
      </c>
      <c r="BH16" s="21">
        <f>SUMIF('UC BMW 2026'!$B$5:$B$77,'UC BMW 2026'!$B14,'UC BMW 2026'!$X$5:$X$77)</f>
        <v>0</v>
      </c>
      <c r="BI16" s="24">
        <f>SUMIF('UC BMW 2026'!$B$5:$B$77,'UC BMW 2026'!$B14,'UC BMW 2026'!$Y$5:$Y$77)</f>
        <v>0</v>
      </c>
      <c r="BJ16" s="24">
        <f>IFERROR(VLOOKUP(B16,[2]BPS!$B$10:$O$64,12,0),0)-IF(B16=100873,IFERROR(VLOOKUP("Octubre",[2]BPS!$B$74:$C$89,2,0),0),0)</f>
        <v>0</v>
      </c>
      <c r="BK16" s="282">
        <f t="shared" si="18"/>
        <v>0</v>
      </c>
      <c r="BL16" s="380">
        <f>IFERROR(VLOOKUP(B16,'[2]RETAIL ORIGEN RMKT'!$B$11:$O$62,12,0),0)</f>
        <v>0</v>
      </c>
      <c r="BM16" s="127">
        <f t="shared" si="19"/>
        <v>0</v>
      </c>
      <c r="BN16" s="21">
        <f>SUMIF('UC BMW 2026'!$B$5:$B$77,'UC BMW 2026'!$B14,'UC BMW 2026'!$Z$5:$Z$77)</f>
        <v>0</v>
      </c>
      <c r="BO16" s="24">
        <f>SUMIF('UC BMW 2026'!$B$5:$B$77,'UC BMW 2026'!$B14,'UC BMW 2026'!$AA$5:$AA$77)</f>
        <v>0</v>
      </c>
      <c r="BP16" s="24">
        <f>IFERROR(VLOOKUP(B16,[2]BPS!$B$10:$O$64,13,0),0)-IF(B16=100873,IFERROR(VLOOKUP("Noviembre",[2]BPS!$B$74:$C$89,2,0),0),0)</f>
        <v>0</v>
      </c>
      <c r="BQ16" s="282">
        <f t="shared" si="20"/>
        <v>0</v>
      </c>
      <c r="BR16" s="380">
        <f>IFERROR(VLOOKUP(B16,'[2]RETAIL ORIGEN RMKT'!$B$11:$O$62,13,0),0)</f>
        <v>0</v>
      </c>
      <c r="BS16" s="127">
        <f t="shared" si="21"/>
        <v>0</v>
      </c>
      <c r="BT16" s="21">
        <f>SUMIF('UC BMW 2026'!$B$5:$B$77,'UC BMW 2026'!$B14,'UC BMW 2026'!$AB$5:$AB$77)</f>
        <v>0</v>
      </c>
      <c r="BU16" s="24">
        <f>SUMIF('UC BMW 2026'!$B$5:$B$77,'UC BMW 2026'!$B14,'UC BMW 2026'!$AC$5:$AC$77)</f>
        <v>0</v>
      </c>
      <c r="BV16" s="24">
        <f>IFERROR(VLOOKUP(B16,[2]BPS!$B$10:$O$64,13,0),0)-IF(B16=100873,IFERROR(VLOOKUP("Diciembre",[2]BPS!$B$74:$C$89,2,0),0),0)</f>
        <v>0</v>
      </c>
      <c r="BW16" s="282">
        <f t="shared" si="22"/>
        <v>0</v>
      </c>
      <c r="BX16" s="380">
        <f>IFERROR(VLOOKUP(B16,'[2]RETAIL ORIGEN RMKT'!$B$11:$O$62,14,0),0)</f>
        <v>0</v>
      </c>
      <c r="BY16" s="127">
        <f t="shared" si="23"/>
        <v>0</v>
      </c>
      <c r="BZ16" s="25">
        <f t="shared" ca="1" si="31"/>
        <v>70</v>
      </c>
      <c r="CA16" s="27">
        <f t="shared" ca="1" si="31"/>
        <v>91</v>
      </c>
      <c r="CB16" s="287">
        <f t="shared" ca="1" si="25"/>
        <v>1.3</v>
      </c>
      <c r="CC16" s="294">
        <f>IFERROR(IF($BZ$4="ENERO",H16,IF($BZ$4="FEBRERO",H16+N16,IF($BZ$4="MARZO",H16+N16+T16,IF($BZ$4="ABRIL",H16+N16+T16+Z16,IF($BZ$4="MAYO",H16+N16+T16+Z16+AF16,IF($BZ$4="JUNIO",H16+N16+T16+Z16+AF16+AL16,IF($BZ$4="JULIO",H16+N16+T16+Z16+AF16+AL16+AR16,IF($BZ$4="AGOSTO",H16+N16+T16+Z16+AF16+AL16+AR16+AX16,IF($BZ$4="SEPTIEMBRE",H16+N16+T16+Z16+AF16+AL16+AR16+AX16+BD16,IF($BZ$4="OCTUBRE",H16+N16+T16+Z16+AF16+AL16+AR16+AX16+BD16+BJ16,IF($BZ$4="NOVIEMBRE",H16+N16+T16+Z16+AF16+AL16+AR16+AX16+BD16+BJ16+BP16,IF($BZ$4="DICIEMBRE",H16+N16+T16+Z16+AF16+AL16+AR16+AX16+BD16+BJ16+BP16+BV16,"")))))))))))),0)</f>
        <v>71</v>
      </c>
      <c r="CD16" s="129">
        <f ca="1">IFERROR(IF(CA16=0,"N.D.",CC16/CA16),0)</f>
        <v>0.78021978021978022</v>
      </c>
      <c r="CE16" s="24">
        <f>IFERROR(IF($BZ$4="ENERO",J16,IF($BZ$4="FEBRERO",J16+P16,IF($BZ$4="MARZO",J16+P16+V16,IF($BZ$4="ABRIL",J16+P16+V16+AB16,IF($BZ$4="MAYO",J16+P16+V16+AB16+AH16,IF($BZ$4="JUNIO",J16+P16+V16+AB16+AH16+AN16,IF($BZ$4="JULIO",J16+P16+V16+AB16+AH16+AN16+AT16,IF($BZ$4="AGOSTO",J16+P16+V16+AB16+AH16+AN16+AT16+AZ16,IF($BZ$4="SEPTIEMBRE",J16+P16+V16+AB16+AH16+AN16+AT16+AZ16+BF16,IF($BZ$4="OCTUBRE",J16+P16+V16+AB16+AH16+AN16+AT16+AZ16+BF16+BL16,IF($BZ$4="NOVIEMBRE",J16+P16+V16+AB16+AH16+AN16+AT16+AZ16+BF16+BL16+BR16,IF($BZ$4="DICIEMBRE",J16+P16+V16+AB16+AH16+AN16+AT16+AZ16+BF16+BL16+BR16+BX16,"")))))))))))),0)</f>
        <v>27</v>
      </c>
      <c r="CF16" s="129">
        <f t="shared" ca="1" si="32"/>
        <v>0.38571428571428573</v>
      </c>
      <c r="CG16" s="25">
        <f ca="1">SUM(F16+L16+R16+X16+AD16+AJ16+AP16+AV16+BB16+BH16+BN16+BT16)</f>
        <v>70</v>
      </c>
      <c r="CH16" s="27">
        <f ca="1">SUMIFS($F16:$BW16,$F$6:$BW$6,CH$6,$F$2:$BW$2,$BZ$4)</f>
        <v>91</v>
      </c>
      <c r="CI16" s="287">
        <f t="shared" ca="1" si="33"/>
        <v>1.3</v>
      </c>
      <c r="CJ16" s="294">
        <f>SUMIFS($F16:$BW16,$F$6:$BW$6,CJ$6,$F$2:$BW$2,$BZ$4)</f>
        <v>71</v>
      </c>
      <c r="CK16" s="129">
        <f t="shared" ca="1" si="26"/>
        <v>0.78021978021978022</v>
      </c>
      <c r="CL16" s="27">
        <f>IFERROR(J16+P16+V16+AB16+AH16+AN16+AT16+AZ16+BF16+BL16+BR16+BX16,0)</f>
        <v>27</v>
      </c>
      <c r="CM16" s="129">
        <f t="shared" ca="1" si="34"/>
        <v>0.38571428571428573</v>
      </c>
      <c r="CN16" s="25">
        <f t="shared" ca="1" si="35"/>
        <v>35</v>
      </c>
      <c r="CO16" s="27">
        <f t="shared" ca="1" si="35"/>
        <v>43</v>
      </c>
      <c r="CP16" s="287">
        <f t="shared" ca="1" si="36"/>
        <v>1.2285714285714286</v>
      </c>
      <c r="CQ16" s="294">
        <f>IF($CN$5="Q1",H16+N16+T16,
IF($CN$5="Q2",Z16+AF16++AL16,
IF($CN$5="Q3",AR16+AX16+BD16,
IF($CN$5="Q4",BJ16+BP16+BV16,0))))</f>
        <v>32</v>
      </c>
      <c r="CR16" s="129">
        <f t="shared" ca="1" si="37"/>
        <v>0.7441860465116279</v>
      </c>
      <c r="CS16" s="27">
        <f t="shared" si="38"/>
        <v>0</v>
      </c>
      <c r="CT16" s="129">
        <f t="shared" ca="1" si="39"/>
        <v>0</v>
      </c>
      <c r="CU16" s="25">
        <f t="shared" ca="1" si="40"/>
        <v>70</v>
      </c>
      <c r="CV16" s="27">
        <f t="shared" ca="1" si="41"/>
        <v>91</v>
      </c>
      <c r="CW16" s="287">
        <f t="shared" ca="1" si="42"/>
        <v>1.3</v>
      </c>
      <c r="CX16" s="27">
        <f t="shared" si="43"/>
        <v>71</v>
      </c>
      <c r="CY16" s="129">
        <f t="shared" ca="1" si="44"/>
        <v>0.78021978021978022</v>
      </c>
      <c r="CZ16" s="27">
        <f t="shared" si="45"/>
        <v>27</v>
      </c>
      <c r="DA16" s="130">
        <f t="shared" ca="1" si="46"/>
        <v>0.38571428571428573</v>
      </c>
      <c r="DB16" s="25">
        <f t="shared" ca="1" si="47"/>
        <v>0</v>
      </c>
      <c r="DC16" s="27">
        <f t="shared" ca="1" si="47"/>
        <v>0</v>
      </c>
      <c r="DD16" s="287">
        <f t="shared" ca="1" si="48"/>
        <v>0</v>
      </c>
      <c r="DE16" s="27">
        <f>IFERROR(IF($DB$5="S 1",H16+N16+T16+Z16+AF16++AL16,
IF($DB$5="S 2",AR16+AX16+BD16+BJ16+BP16+BV16,0)),0)</f>
        <v>0</v>
      </c>
      <c r="DF16" s="129" t="str">
        <f t="shared" ca="1" si="49"/>
        <v>N.D.</v>
      </c>
      <c r="DG16" s="27">
        <f>IFERROR(IF($DB$5="S 1",J16+P16+V16+AB16+AH16+AN16,
IF($DB$5="S 2",AT16+AZ16+BF16+BL16+BR16+BX16,0)),0)</f>
        <v>0</v>
      </c>
      <c r="DH16" s="130">
        <f t="shared" ca="1" si="50"/>
        <v>0</v>
      </c>
      <c r="DI16" s="510">
        <v>1</v>
      </c>
      <c r="DJ16" s="369" t="s">
        <v>19</v>
      </c>
      <c r="DK16" s="25">
        <f t="shared" ca="1" si="51"/>
        <v>70</v>
      </c>
      <c r="DL16" s="27">
        <f t="shared" ca="1" si="52"/>
        <v>91</v>
      </c>
      <c r="DM16" s="287">
        <f t="shared" ca="1" si="53"/>
        <v>1.3</v>
      </c>
      <c r="DN16" s="294">
        <f t="shared" si="54"/>
        <v>71</v>
      </c>
      <c r="DO16" s="129">
        <f t="shared" ca="1" si="55"/>
        <v>0.78021978021978022</v>
      </c>
      <c r="DP16" s="27">
        <f t="shared" si="56"/>
        <v>27</v>
      </c>
      <c r="DQ16" s="130">
        <f t="shared" ca="1" si="57"/>
        <v>0.38571428571428573</v>
      </c>
      <c r="DR16"/>
      <c r="DS16" s="4">
        <f ca="1"/>
        <v>235</v>
      </c>
      <c r="DT16" s="4">
        <f ca="1"/>
        <v>268</v>
      </c>
      <c r="DU16" s="508">
        <f ca="1"/>
        <v>1.2340425531914894</v>
      </c>
      <c r="DW16" s="508">
        <f ca="1"/>
        <v>0.98285714285714287</v>
      </c>
      <c r="DX16" s="4">
        <v>106</v>
      </c>
      <c r="DY16" s="508">
        <f ca="1"/>
        <v>0.56666666666666665</v>
      </c>
    </row>
    <row r="17" spans="1:129" s="4" customFormat="1" ht="15" customHeight="1" thickBot="1" x14ac:dyDescent="0.4">
      <c r="A17" s="4">
        <f>_xlfn.XLOOKUP(B17,'WHOLESALE BMW 2026'!$B$7:$B$67,'WHOLESALE BMW 2026'!$A$7:$A$67)</f>
        <v>0</v>
      </c>
      <c r="B17" s="7" t="s">
        <v>265</v>
      </c>
      <c r="C17" s="28"/>
      <c r="D17" s="125"/>
      <c r="E17" s="7"/>
      <c r="F17" s="277">
        <f ca="1">SUM(F12:F16)</f>
        <v>146</v>
      </c>
      <c r="G17" s="88">
        <f ca="1">SUM(G12:G16)</f>
        <v>131</v>
      </c>
      <c r="H17" s="410">
        <f>SUM(H12:H16)</f>
        <v>130</v>
      </c>
      <c r="I17" s="132">
        <f t="shared" ca="1" si="0"/>
        <v>0.99236641221374045</v>
      </c>
      <c r="J17" s="411">
        <f>SUM(J12:J16)</f>
        <v>60</v>
      </c>
      <c r="K17" s="390">
        <f t="shared" ca="1" si="1"/>
        <v>0.41095890410958902</v>
      </c>
      <c r="L17" s="277">
        <f ca="1">SUM(L12:L16)</f>
        <v>150</v>
      </c>
      <c r="M17" s="88">
        <f ca="1">SUM(M12:M16)</f>
        <v>180</v>
      </c>
      <c r="N17" s="410">
        <f>SUM(N12:N16)</f>
        <v>169</v>
      </c>
      <c r="O17" s="132">
        <f t="shared" ca="1" si="2"/>
        <v>0.93888888888888888</v>
      </c>
      <c r="P17" s="411">
        <f>SUM(P12:P16)</f>
        <v>68</v>
      </c>
      <c r="Q17" s="390">
        <f t="shared" ca="1" si="3"/>
        <v>0.45333333333333331</v>
      </c>
      <c r="R17" s="277">
        <f ca="1">SUM(R12:R16)</f>
        <v>169</v>
      </c>
      <c r="S17" s="88">
        <f ca="1">SUM(S12:S16)</f>
        <v>217</v>
      </c>
      <c r="T17" s="410">
        <f>SUM(T12:T16)</f>
        <v>182</v>
      </c>
      <c r="U17" s="132">
        <f t="shared" ca="1" si="4"/>
        <v>0.83870967741935487</v>
      </c>
      <c r="V17" s="411">
        <f>SUM(V12:V16)</f>
        <v>88</v>
      </c>
      <c r="W17" s="390">
        <f t="shared" ca="1" si="5"/>
        <v>0.52071005917159763</v>
      </c>
      <c r="X17" s="277">
        <f ca="1">SUM(X12:X16)</f>
        <v>165</v>
      </c>
      <c r="Y17" s="88">
        <f ca="1">SUM(Y12:Y16)</f>
        <v>196</v>
      </c>
      <c r="Z17" s="410">
        <f>SUM(Z12:Z16)</f>
        <v>177</v>
      </c>
      <c r="AA17" s="132">
        <f t="shared" ca="1" si="6"/>
        <v>0.90306122448979587</v>
      </c>
      <c r="AB17" s="411">
        <f>SUM(AB12:AB16)</f>
        <v>67</v>
      </c>
      <c r="AC17" s="390">
        <f t="shared" ca="1" si="7"/>
        <v>0.40606060606060607</v>
      </c>
      <c r="AD17" s="277">
        <f ca="1">SUM(AD12:AD16)</f>
        <v>179</v>
      </c>
      <c r="AE17" s="88">
        <f ca="1">SUM(AE12:AE16)</f>
        <v>161</v>
      </c>
      <c r="AF17" s="410">
        <f>SUM(AF12:AF16)</f>
        <v>147</v>
      </c>
      <c r="AG17" s="132">
        <f t="shared" ca="1" si="8"/>
        <v>0.91304347826086951</v>
      </c>
      <c r="AH17" s="411">
        <f>SUM(AH12:AH16)</f>
        <v>70</v>
      </c>
      <c r="AI17" s="390">
        <f t="shared" ca="1" si="9"/>
        <v>0.39106145251396646</v>
      </c>
      <c r="AJ17" s="277">
        <f ca="1">SUM(AJ12:AJ16)</f>
        <v>181</v>
      </c>
      <c r="AK17" s="88">
        <f ca="1">SUM(AK12:AK16)</f>
        <v>221</v>
      </c>
      <c r="AL17" s="410">
        <f>SUM(AL12:AL16)</f>
        <v>197</v>
      </c>
      <c r="AM17" s="132">
        <f t="shared" ca="1" si="10"/>
        <v>0.89140271493212675</v>
      </c>
      <c r="AN17" s="411">
        <f>SUM(AN12:AN16)</f>
        <v>89</v>
      </c>
      <c r="AO17" s="390">
        <f t="shared" ca="1" si="11"/>
        <v>0.49171270718232046</v>
      </c>
      <c r="AP17" s="277">
        <f ca="1">SUM(AP12:AP16)</f>
        <v>0</v>
      </c>
      <c r="AQ17" s="88">
        <f ca="1">SUM(AQ12:AQ16)</f>
        <v>0</v>
      </c>
      <c r="AR17" s="410">
        <f>SUM(AR12:AR16)</f>
        <v>0</v>
      </c>
      <c r="AS17" s="132">
        <f t="shared" ca="1" si="12"/>
        <v>0</v>
      </c>
      <c r="AT17" s="411">
        <f>SUM(AT12:AT16)</f>
        <v>0</v>
      </c>
      <c r="AU17" s="390">
        <f t="shared" ca="1" si="13"/>
        <v>0</v>
      </c>
      <c r="AV17" s="277">
        <f ca="1">SUM(AV12:AV16)</f>
        <v>0</v>
      </c>
      <c r="AW17" s="88">
        <f ca="1">SUM(AW12:AW16)</f>
        <v>0</v>
      </c>
      <c r="AX17" s="410">
        <f>SUM(AX12:AX16)</f>
        <v>0</v>
      </c>
      <c r="AY17" s="132">
        <f t="shared" ca="1" si="14"/>
        <v>0</v>
      </c>
      <c r="AZ17" s="411">
        <f>SUM(AZ12:AZ16)</f>
        <v>0</v>
      </c>
      <c r="BA17" s="390">
        <f t="shared" ca="1" si="15"/>
        <v>0</v>
      </c>
      <c r="BB17" s="277">
        <f ca="1">SUM(BB12:BB16)</f>
        <v>0</v>
      </c>
      <c r="BC17" s="88">
        <f>SUM(BC12:BC16)</f>
        <v>0</v>
      </c>
      <c r="BD17" s="410">
        <f>SUM(BD12:BD16)</f>
        <v>0</v>
      </c>
      <c r="BE17" s="132">
        <f t="shared" si="16"/>
        <v>0</v>
      </c>
      <c r="BF17" s="411">
        <f>SUM(BF12:BF16)</f>
        <v>0</v>
      </c>
      <c r="BG17" s="390">
        <f t="shared" ca="1" si="17"/>
        <v>0</v>
      </c>
      <c r="BH17" s="277">
        <f>SUM(BH12:BH16)</f>
        <v>0</v>
      </c>
      <c r="BI17" s="88">
        <f>SUM(BI12:BI16)</f>
        <v>0</v>
      </c>
      <c r="BJ17" s="410">
        <f>SUM(BJ12:BJ16)</f>
        <v>0</v>
      </c>
      <c r="BK17" s="132">
        <f t="shared" si="18"/>
        <v>0</v>
      </c>
      <c r="BL17" s="411">
        <f>SUM(BL12:BL16)</f>
        <v>0</v>
      </c>
      <c r="BM17" s="390">
        <f t="shared" si="19"/>
        <v>0</v>
      </c>
      <c r="BN17" s="277">
        <f>SUM(BN12:BN16)</f>
        <v>0</v>
      </c>
      <c r="BO17" s="88">
        <f>SUM(BO12:BO16)</f>
        <v>0</v>
      </c>
      <c r="BP17" s="410">
        <f>SUM(BP12:BP16)</f>
        <v>0</v>
      </c>
      <c r="BQ17" s="132">
        <f t="shared" si="20"/>
        <v>0</v>
      </c>
      <c r="BR17" s="411">
        <f>SUM(BR12:BR16)</f>
        <v>0</v>
      </c>
      <c r="BS17" s="390">
        <f t="shared" si="21"/>
        <v>0</v>
      </c>
      <c r="BT17" s="277">
        <f>SUM(BT12:BT16)</f>
        <v>0</v>
      </c>
      <c r="BU17" s="88">
        <f>SUM(BU12:BU16)</f>
        <v>0</v>
      </c>
      <c r="BV17" s="410">
        <f>SUM(BV12:BV16)</f>
        <v>0</v>
      </c>
      <c r="BW17" s="132">
        <f t="shared" si="22"/>
        <v>0</v>
      </c>
      <c r="BX17" s="411">
        <f>SUM(BX12:BX16)</f>
        <v>0</v>
      </c>
      <c r="BY17" s="390">
        <f t="shared" si="23"/>
        <v>0</v>
      </c>
      <c r="BZ17" s="200">
        <f ca="1">SUM(BZ12:BZ16)</f>
        <v>990</v>
      </c>
      <c r="CA17" s="258">
        <f ca="1">SUM(CA12:CA16)</f>
        <v>1106</v>
      </c>
      <c r="CB17" s="132">
        <f t="shared" ca="1" si="25"/>
        <v>1.1171717171717173</v>
      </c>
      <c r="CC17" s="200">
        <f>SUM(CC12:CC16)</f>
        <v>1002</v>
      </c>
      <c r="CD17" s="132">
        <f ca="1">CC17/CA17</f>
        <v>0.9059674502712477</v>
      </c>
      <c r="CE17" s="200">
        <f>SUM(CE12:CE16)</f>
        <v>442</v>
      </c>
      <c r="CF17" s="131">
        <f t="shared" ca="1" si="32"/>
        <v>0.44646464646464645</v>
      </c>
      <c r="CG17" s="200">
        <f ca="1">SUM(CG12:CG16)</f>
        <v>990</v>
      </c>
      <c r="CH17" s="200">
        <f ca="1">SUM(CH12:CH16)</f>
        <v>1106</v>
      </c>
      <c r="CI17" s="132">
        <f t="shared" ca="1" si="33"/>
        <v>1.1171717171717173</v>
      </c>
      <c r="CJ17" s="200">
        <f>SUM(CJ12:CJ16)</f>
        <v>1002</v>
      </c>
      <c r="CK17" s="132">
        <f t="shared" ca="1" si="26"/>
        <v>0.9059674502712477</v>
      </c>
      <c r="CL17" s="258">
        <f>J17+P17+V17+AB17+AH17+AN17+AT17+AZ17+BF17+BL17+BR17+BX17</f>
        <v>442</v>
      </c>
      <c r="CM17" s="131">
        <f t="shared" ca="1" si="34"/>
        <v>0.44646464646464645</v>
      </c>
      <c r="CN17" s="200">
        <f ca="1">SUM(CN12:CN25)</f>
        <v>410</v>
      </c>
      <c r="CO17" s="258" t="e">
        <f ca="1">SUM(CO12:CO25)</f>
        <v>#N/A</v>
      </c>
      <c r="CP17" s="132">
        <f t="shared" ca="1" si="36"/>
        <v>0.38048780487804879</v>
      </c>
      <c r="CQ17" s="278" t="e">
        <f ca="1">SUM(CQ12:CQ25)</f>
        <v>#VALUE!</v>
      </c>
      <c r="CR17" s="132" t="e">
        <f t="shared" ca="1" si="37"/>
        <v>#N/A</v>
      </c>
      <c r="CS17" s="258">
        <f t="shared" si="38"/>
        <v>0</v>
      </c>
      <c r="CT17" s="131">
        <f t="shared" ca="1" si="39"/>
        <v>0</v>
      </c>
      <c r="CU17" s="200">
        <f t="shared" ca="1" si="40"/>
        <v>990</v>
      </c>
      <c r="CV17" s="258">
        <f t="shared" ca="1" si="41"/>
        <v>1106</v>
      </c>
      <c r="CW17" s="132">
        <f t="shared" ca="1" si="42"/>
        <v>1.1171717171717173</v>
      </c>
      <c r="CX17" s="258">
        <f t="shared" si="43"/>
        <v>1002</v>
      </c>
      <c r="CY17" s="132">
        <f t="shared" ca="1" si="44"/>
        <v>0.9059674502712477</v>
      </c>
      <c r="CZ17" s="258">
        <f t="shared" si="45"/>
        <v>442</v>
      </c>
      <c r="DA17" s="275">
        <f t="shared" ca="1" si="46"/>
        <v>0.44646464646464645</v>
      </c>
      <c r="DB17" s="200">
        <f ca="1">IFERROR(SUM(DB12:DB25),0)</f>
        <v>0</v>
      </c>
      <c r="DC17" s="200">
        <f ca="1">IFERROR(SUM(DC12:DC25),0)</f>
        <v>0</v>
      </c>
      <c r="DD17" s="132">
        <f t="shared" ca="1" si="48"/>
        <v>0</v>
      </c>
      <c r="DE17" s="258">
        <f ca="1">IFERROR(SUM(DE12:DE25),0)</f>
        <v>0</v>
      </c>
      <c r="DF17" s="132" t="str">
        <f t="shared" ca="1" si="49"/>
        <v>N.D.</v>
      </c>
      <c r="DG17" s="258">
        <f ca="1">IFERROR(SUM(DG12:DG25),0)</f>
        <v>0</v>
      </c>
      <c r="DH17" s="275">
        <f t="shared" ca="1" si="50"/>
        <v>0</v>
      </c>
      <c r="DI17" s="510">
        <v>0</v>
      </c>
      <c r="DJ17" s="28"/>
      <c r="DK17" s="200">
        <f t="shared" ca="1" si="51"/>
        <v>990</v>
      </c>
      <c r="DL17" s="258">
        <f t="shared" ca="1" si="52"/>
        <v>1106</v>
      </c>
      <c r="DM17" s="132">
        <f t="shared" ca="1" si="53"/>
        <v>1.1171717171717173</v>
      </c>
      <c r="DN17" s="278">
        <f t="shared" si="54"/>
        <v>1002</v>
      </c>
      <c r="DO17" s="132">
        <f t="shared" ca="1" si="55"/>
        <v>0.9059674502712477</v>
      </c>
      <c r="DP17" s="258">
        <f t="shared" si="56"/>
        <v>442</v>
      </c>
      <c r="DQ17" s="275">
        <f t="shared" ca="1" si="57"/>
        <v>0.44646464646464645</v>
      </c>
      <c r="DR17"/>
      <c r="DS17" s="4">
        <f ca="1"/>
        <v>234</v>
      </c>
      <c r="DT17" s="4">
        <f ca="1"/>
        <v>237</v>
      </c>
      <c r="DU17" s="508">
        <f ca="1"/>
        <v>1.211111111111111</v>
      </c>
      <c r="DW17" s="508">
        <f ca="1"/>
        <v>0.98165137614678899</v>
      </c>
      <c r="DX17" s="4">
        <v>103</v>
      </c>
      <c r="DY17" s="508">
        <f ca="1"/>
        <v>0.55675675675675673</v>
      </c>
    </row>
    <row r="18" spans="1:129" s="4" customFormat="1" ht="15" customHeight="1" x14ac:dyDescent="0.35">
      <c r="A18" s="4">
        <f>_xlfn.XLOOKUP(B18,'WHOLESALE BMW 2026'!$B$7:$B$67,'WHOLESALE BMW 2026'!$A$7:$A$67)</f>
        <v>3</v>
      </c>
      <c r="B18" s="8">
        <v>100307</v>
      </c>
      <c r="C18" s="369" t="s">
        <v>39</v>
      </c>
      <c r="D18" s="125"/>
      <c r="E18" s="309" t="s">
        <v>83</v>
      </c>
      <c r="F18" s="21">
        <f ca="1">SUMIF('UC BMW 2026'!B16:B92,'UC BMW 2026'!B16,'UC BMW 2026'!F16:F83)</f>
        <v>7</v>
      </c>
      <c r="G18" s="24">
        <f ca="1">SUMIF('UC BMW 2026'!$B$5:$B$77,'UC BMW 2026'!B16,'UC BMW 2026'!$G$5:$G$72)</f>
        <v>2</v>
      </c>
      <c r="H18" s="24">
        <f>IFERROR(VLOOKUP(B18,[2]BPS!$B$10:$O$64,3,0),0)-IF(B18=100873,IFERROR(VLOOKUP("Enero",[2]BPS!$B$74:$C$89,2,0),0),0)</f>
        <v>2</v>
      </c>
      <c r="I18" s="285">
        <f t="shared" ca="1" si="0"/>
        <v>1</v>
      </c>
      <c r="J18" s="380">
        <f>IFERROR(VLOOKUP(B18,'[2]RETAIL ORIGEN RMKT'!$B$11:$O$62,3,0),0)</f>
        <v>0</v>
      </c>
      <c r="K18" s="127">
        <f t="shared" ca="1" si="1"/>
        <v>0</v>
      </c>
      <c r="L18" s="21">
        <f ca="1">SUMIF('UC BMW 2026'!$B$5:$B$77,'UC BMW 2026'!$B16,'UC BMW 2026'!$H$5:$H$72)</f>
        <v>7</v>
      </c>
      <c r="M18" s="24">
        <f ca="1">SUMIF('UC BMW 2026'!$B$5:$B$77,'UC BMW 2026'!$B16,'UC BMW 2026'!$I$5:$I$72)</f>
        <v>5</v>
      </c>
      <c r="N18" s="24">
        <f>IFERROR(VLOOKUP(B18,[2]BPS!$B$10:$O$64,4,0),0)-IF(B18=100873,IFERROR(VLOOKUP("Febrero",[2]BPS!$B$74:$C$89,2,0),0),0)</f>
        <v>5</v>
      </c>
      <c r="O18" s="285">
        <f t="shared" ca="1" si="2"/>
        <v>1</v>
      </c>
      <c r="P18" s="380">
        <f>IFERROR(VLOOKUP(B18,'[2]RETAIL ORIGEN RMKT'!$B$11:$O$62,4,0),0)</f>
        <v>2</v>
      </c>
      <c r="Q18" s="127">
        <f t="shared" ca="1" si="3"/>
        <v>0.2857142857142857</v>
      </c>
      <c r="R18" s="21">
        <f ca="1">SUMIF('UC BMW 2026'!$B$5:$B$77,'UC BMW 2026'!$B16,'UC BMW 2026'!$J$5:$J$72)</f>
        <v>7</v>
      </c>
      <c r="S18" s="24">
        <f ca="1">SUMIF('UC BMW 2026'!$B$5:$B$77,'UC BMW 2026'!$B16,'UC BMW 2026'!$K$5:$K$72)</f>
        <v>8</v>
      </c>
      <c r="T18" s="24">
        <f>IFERROR(VLOOKUP(B18,[2]BPS!$B$10:$O$64,5,0),0)-IF(B18=100873,IFERROR(VLOOKUP("Marzo",[2]BPS!$B$74:$C$89,2,0),0),0)</f>
        <v>7</v>
      </c>
      <c r="U18" s="285">
        <f t="shared" ca="1" si="4"/>
        <v>0.875</v>
      </c>
      <c r="V18" s="380">
        <f>IFERROR(VLOOKUP(B18,'[2]RETAIL ORIGEN RMKT'!$B$11:$O$62,5,0),0)</f>
        <v>3</v>
      </c>
      <c r="W18" s="127">
        <f t="shared" ca="1" si="5"/>
        <v>0.42857142857142855</v>
      </c>
      <c r="X18" s="21">
        <f ca="1">SUMIF('UC BMW 2026'!$B$5:$B$77,'UC BMW 2026'!$B16,'UC BMW 2026'!$L$5:$L$72)</f>
        <v>8</v>
      </c>
      <c r="Y18" s="24">
        <f ca="1">SUMIF('UC BMW 2026'!$B$5:$B$77,'UC BMW 2026'!$B16,'UC BMW 2026'!$M$5:$M$72)</f>
        <v>6</v>
      </c>
      <c r="Z18" s="24">
        <f>IFERROR(VLOOKUP(B18,[2]BPS!$B$10:$O$64,6,0),0)-IF(B18=100873,IFERROR(VLOOKUP("Abril",[2]BPS!$B$74:$C$89,2,0),0),0)</f>
        <v>6</v>
      </c>
      <c r="AA18" s="285">
        <f t="shared" ca="1" si="6"/>
        <v>1</v>
      </c>
      <c r="AB18" s="380">
        <f>IFERROR(VLOOKUP(B18,'[2]RETAIL ORIGEN RMKT'!$B$11:$O$62,6,0),0)</f>
        <v>1</v>
      </c>
      <c r="AC18" s="127">
        <f t="shared" ca="1" si="7"/>
        <v>0.125</v>
      </c>
      <c r="AD18" s="21">
        <f ca="1">SUMIF('UC BMW 2026'!$B$5:$B$77,'UC BMW 2026'!$B16,'UC BMW 2026'!$N$5:$N$72)</f>
        <v>8</v>
      </c>
      <c r="AE18" s="24">
        <f ca="1">SUMIF('UC BMW 2026'!$B$5:$B$77,'UC BMW 2026'!$B16,'UC BMW 2026'!$O$5:$O$72)</f>
        <v>4</v>
      </c>
      <c r="AF18" s="24">
        <f>IFERROR(VLOOKUP(B18,[2]BPS!$B$10:$O$64,7,0),0)-IF(B18=100873,IFERROR(VLOOKUP("Mayo",[2]BPS!$B$74:$C$89,2,0),0),0)</f>
        <v>4</v>
      </c>
      <c r="AG18" s="285">
        <f t="shared" ca="1" si="8"/>
        <v>1</v>
      </c>
      <c r="AH18" s="380">
        <f>IFERROR(VLOOKUP(B18,'[2]RETAIL ORIGEN RMKT'!$B$11:$O$62,7,0),0)</f>
        <v>1</v>
      </c>
      <c r="AI18" s="127">
        <f t="shared" ca="1" si="9"/>
        <v>0.125</v>
      </c>
      <c r="AJ18" s="21">
        <f ca="1">SUMIF('UC BMW 2026'!$B$5:$B$77,'UC BMW 2026'!$B16,'UC BMW 2026'!$P$5:$P$72)</f>
        <v>8</v>
      </c>
      <c r="AK18" s="24">
        <f ca="1">SUMIF('UC BMW 2026'!$B$5:$B$77,'UC BMW 2026'!$B16,'UC BMW 2026'!$Q$5:$Q$72)</f>
        <v>20</v>
      </c>
      <c r="AL18" s="24">
        <f>IFERROR(VLOOKUP(B18,[2]BPS!$B$10:$O$64,8,0),0)-IF(B18=100873,IFERROR(VLOOKUP("Junio",[2]BPS!$B$74:$C$89,2,0),0),0)</f>
        <v>18</v>
      </c>
      <c r="AM18" s="285">
        <f t="shared" ca="1" si="10"/>
        <v>0.9</v>
      </c>
      <c r="AN18" s="380">
        <f>IFERROR(VLOOKUP(B18,'[2]RETAIL ORIGEN RMKT'!$B$11:$O$62,8,0),0)</f>
        <v>6</v>
      </c>
      <c r="AO18" s="127">
        <f t="shared" ca="1" si="11"/>
        <v>0.75</v>
      </c>
      <c r="AP18" s="21">
        <f ca="1">SUMIF('UC BMW 2026'!$B$5:$B$77,'UC BMW 2026'!$B16,'UC BMW 2026'!$R$5:$R$72)</f>
        <v>0</v>
      </c>
      <c r="AQ18" s="24">
        <f ca="1">SUMIF('UC BMW 2026'!$B$5:$B$77,'UC BMW 2026'!$B16,'UC BMW 2026'!$S$5:$S$72)</f>
        <v>0</v>
      </c>
      <c r="AR18" s="24">
        <f>IFERROR(VLOOKUP(B18,[2]BPS!$B$10:$O$64,9,0),0)-IF(B18=100873,IFERROR(VLOOKUP("Julio",[2]BPS!$B$74:$C$89,2,0),0),0)</f>
        <v>0</v>
      </c>
      <c r="AS18" s="285">
        <f t="shared" ca="1" si="12"/>
        <v>0</v>
      </c>
      <c r="AT18" s="380">
        <f>IFERROR(VLOOKUP(B18,'[2]RETAIL ORIGEN RMKT'!$B$11:$O$62,9,0),0)</f>
        <v>0</v>
      </c>
      <c r="AU18" s="127">
        <f t="shared" ca="1" si="13"/>
        <v>0</v>
      </c>
      <c r="AV18" s="21">
        <f ca="1">SUMIF('UC BMW 2026'!$B$5:$B$77,'UC BMW 2026'!$B16,'UC BMW 2026'!$T$5:$T$72)</f>
        <v>0</v>
      </c>
      <c r="AW18" s="24">
        <f ca="1">SUMIF('UC BMW 2026'!$B$5:$B$77,'UC BMW 2026'!$B16,'UC BMW 2026'!$U$5:$U$72)</f>
        <v>0</v>
      </c>
      <c r="AX18" s="24">
        <f>IFERROR(VLOOKUP(B18,[2]BPS!$B$10:$O$64,10,0),0)-IF(B18=100873,IFERROR(VLOOKUP("Agosto",[2]BPS!$B$74:$C$89,2,0),0),0)</f>
        <v>0</v>
      </c>
      <c r="AY18" s="285">
        <f t="shared" ca="1" si="14"/>
        <v>0</v>
      </c>
      <c r="AZ18" s="380">
        <f>IFERROR(VLOOKUP(B18,'[2]RETAIL ORIGEN RMKT'!$B$11:$O$62,10,0),0)</f>
        <v>0</v>
      </c>
      <c r="BA18" s="127">
        <f t="shared" ca="1" si="15"/>
        <v>0</v>
      </c>
      <c r="BB18" s="21">
        <f ca="1">SUMIF('UC BMW 2026'!$B$5:$B$77,'UC BMW 2026'!$B16,'UC BMW 2026'!$V$5:$V$72)</f>
        <v>0</v>
      </c>
      <c r="BC18" s="24">
        <f>SUMIF('UC BMW 2026'!$B$5:$B$77,'UC BMW 2026'!$B16,'UC BMW 2026'!$W$5:$W$77)</f>
        <v>0</v>
      </c>
      <c r="BD18" s="24">
        <f>IFERROR(VLOOKUP(B18,[2]BPS!$B$10:$O$64,11,0),0)-IF(B18=100873,IFERROR(VLOOKUP("Septiembre",[2]BPS!$B$74:$C$89,2,0),0),0)</f>
        <v>0</v>
      </c>
      <c r="BE18" s="285">
        <f t="shared" si="16"/>
        <v>0</v>
      </c>
      <c r="BF18" s="380">
        <f>IFERROR(VLOOKUP(B18,'[2]RETAIL ORIGEN RMKT'!$B$11:$O$62,11,0),0)</f>
        <v>0</v>
      </c>
      <c r="BG18" s="127">
        <f t="shared" ca="1" si="17"/>
        <v>0</v>
      </c>
      <c r="BH18" s="21">
        <f>SUMIF('UC BMW 2026'!$B$5:$B$77,'UC BMW 2026'!$B16,'UC BMW 2026'!$X$5:$X$77)</f>
        <v>0</v>
      </c>
      <c r="BI18" s="24">
        <f>SUMIF('UC BMW 2026'!$B$5:$B$77,'UC BMW 2026'!$B16,'UC BMW 2026'!$Y$5:$Y$77)</f>
        <v>0</v>
      </c>
      <c r="BJ18" s="24">
        <f>IFERROR(VLOOKUP(B18,[2]BPS!$B$10:$O$64,12,0),0)-IF(B18=100873,IFERROR(VLOOKUP("Octubre",[2]BPS!$B$74:$C$89,2,0),0),0)</f>
        <v>0</v>
      </c>
      <c r="BK18" s="285">
        <f t="shared" si="18"/>
        <v>0</v>
      </c>
      <c r="BL18" s="380">
        <f>IFERROR(VLOOKUP(B18,'[2]RETAIL ORIGEN RMKT'!$B$11:$O$62,12,0),0)</f>
        <v>0</v>
      </c>
      <c r="BM18" s="127">
        <f t="shared" si="19"/>
        <v>0</v>
      </c>
      <c r="BN18" s="21">
        <f>SUMIF('UC BMW 2026'!$B$5:$B$77,'UC BMW 2026'!$B16,'UC BMW 2026'!$Z$5:$Z$77)</f>
        <v>0</v>
      </c>
      <c r="BO18" s="24">
        <f>SUMIF('UC BMW 2026'!$B$5:$B$77,'UC BMW 2026'!$B16,'UC BMW 2026'!$AA$5:$AA$77)</f>
        <v>0</v>
      </c>
      <c r="BP18" s="24">
        <f>IFERROR(VLOOKUP(B18,[2]BPS!$B$10:$O$64,13,0),0)-IF(B18=100873,IFERROR(VLOOKUP("Noviembre",[2]BPS!$B$74:$C$89,2,0),0),0)</f>
        <v>0</v>
      </c>
      <c r="BQ18" s="285">
        <f t="shared" si="20"/>
        <v>0</v>
      </c>
      <c r="BR18" s="380">
        <f>IFERROR(VLOOKUP(B18,'[2]RETAIL ORIGEN RMKT'!$B$11:$O$62,13,0),0)</f>
        <v>0</v>
      </c>
      <c r="BS18" s="127">
        <f t="shared" si="21"/>
        <v>0</v>
      </c>
      <c r="BT18" s="21">
        <f>SUMIF('UC BMW 2026'!$B$5:$B$77,'UC BMW 2026'!$B16,'UC BMW 2026'!$AB$5:$AB$77)</f>
        <v>0</v>
      </c>
      <c r="BU18" s="24">
        <f>SUMIF('UC BMW 2026'!$B$5:$B$77,'UC BMW 2026'!$B16,'UC BMW 2026'!$AC$5:$AC$77)</f>
        <v>0</v>
      </c>
      <c r="BV18" s="24">
        <f>IFERROR(VLOOKUP(B18,[2]BPS!$B$10:$O$64,13,0),0)-IF(B18=100873,IFERROR(VLOOKUP("Diciembre",[2]BPS!$B$74:$C$89,2,0),0),0)</f>
        <v>0</v>
      </c>
      <c r="BW18" s="285">
        <f t="shared" si="22"/>
        <v>0</v>
      </c>
      <c r="BX18" s="380">
        <f>IFERROR(VLOOKUP(B18,'[2]RETAIL ORIGEN RMKT'!$B$11:$O$62,14,0),0)</f>
        <v>0</v>
      </c>
      <c r="BY18" s="127">
        <f t="shared" si="23"/>
        <v>0</v>
      </c>
      <c r="BZ18" s="21">
        <f t="shared" ref="BZ18:CA20" ca="1" si="58">IF($BZ$4="ENERO",F18,IF($BZ$4="FEBRERO",F18+L18,IF($BZ$4="MARZO",F18+L18+R18,IF($BZ$4="ABRIL",F18+L18+R18+X18,IF($BZ$4="MAYO",F18+L18+R18+X18+AD18,IF($BZ$4="JUNIO",F18+L18+R18+X18+AD18+AJ18,IF($BZ$4="JULIO",F18+L18+R18+X18+AD18+AJ18+AP18,IF($BZ$4="AGOSTO",F18+L18+R18+X18+AD18+AJ18+AP18+AV18,IF($BZ$4="SEPTIEMBRE",F18+L18+R18+X18+AD18+AJ18+AP18+AV18+BB18,IF($BZ$4="OCTUBRE",F18+L18+R18+X18+AD18+AJ18+AP18+AV18+BB18+BH18,IF($BZ$4="NOVIEMBRE",F18+L18+R18+X18+AD18+AJ18+AP18+AV18+BB18+BH18+BN18,IF($BZ$4="DICIEMBRE",F18+L18+R18+X18+AD18+AJ18+AP18+AV18+BB18+BH18+BN18+BT18,""))))))))))))</f>
        <v>45</v>
      </c>
      <c r="CA18" s="24">
        <f t="shared" ca="1" si="58"/>
        <v>45</v>
      </c>
      <c r="CB18" s="282">
        <f t="shared" ca="1" si="25"/>
        <v>1</v>
      </c>
      <c r="CC18" s="291">
        <f>IFERROR(IF($BZ$4="ENERO",H18,IF($BZ$4="FEBRERO",H18+N18,IF($BZ$4="MARZO",H18+N18+T18,IF($BZ$4="ABRIL",H18+N18+T18+Z18,IF($BZ$4="MAYO",H18+N18+T18+Z18+AF18,IF($BZ$4="JUNIO",H18+N18+T18+Z18+AF18+AL18,IF($BZ$4="JULIO",H18+N18+T18+Z18+AF18+AL18+AR18,IF($BZ$4="AGOSTO",H18+N18+T18+Z18+AF18+AL18+AR18+AX18,IF($BZ$4="SEPTIEMBRE",H18+N18+T18+Z18+AF18+AL18+AR18+AX18+BD18,IF($BZ$4="OCTUBRE",H18+N18+T18+Z18+AF18+AL18+AR18+AX18+BD18+BJ18,IF($BZ$4="NOVIEMBRE",H18+N18+T18+Z18+AF18+AL18+AR18+AX18+BD18+BJ18+BP18,IF($BZ$4="DICIEMBRE",H18+N18+T18+Z18+AF18+AL18+AR18+AX18+BD18+BJ18+BP18+BV18,"")))))))))))),0)</f>
        <v>42</v>
      </c>
      <c r="CD18" s="126">
        <f ca="1">IFERROR(IF(CA18=0,"N.D.",CC18/CA18),0)</f>
        <v>0.93333333333333335</v>
      </c>
      <c r="CE18" s="24">
        <f>IFERROR(IF($BZ$4="ENERO",J18,IF($BZ$4="FEBRERO",J18+P18,IF($BZ$4="MARZO",J18+P18+V18,IF($BZ$4="ABRIL",J18+P18+V18+AB18,IF($BZ$4="MAYO",J18+P18+V18+AB18+AH18,IF($BZ$4="JUNIO",J18+P18+V18+AB18+AH18+AN18,IF($BZ$4="JULIO",J18+P18+V18+AB18+AH18+AN18+AT18,IF($BZ$4="AGOSTO",J18+P18+V18+AB18+AH18+AN18+AT18+AZ18,IF($BZ$4="SEPTIEMBRE",J18+P18+V18+AB18+AH18+AN18+AT18+AZ18+BF18,IF($BZ$4="OCTUBRE",J18+P18+V18+AB18+AH18+AN18+AT18+AZ18+BF18+BL18,IF($BZ$4="NOVIEMBRE",J18+P18+V18+AB18+AH18+AN18+AT18+AZ18+BF18+BL18+BR18,IF($BZ$4="DICIEMBRE",J18+P18+V18+AB18+AH18+AN18+AT18+AZ18+BF18+BL18+BR18+BX18,"")))))))))))),0)</f>
        <v>13</v>
      </c>
      <c r="CF18" s="126">
        <f t="shared" ca="1" si="32"/>
        <v>0.28888888888888886</v>
      </c>
      <c r="CG18" s="21">
        <f ca="1">SUM(F18+L18+R18+X18+AD18+AJ18+AP18+AV18+BB18+BH18+BN18+BT18)</f>
        <v>45</v>
      </c>
      <c r="CH18" s="24">
        <f ca="1">SUMIFS($F18:$BW18,$F$6:$BW$6,CH$6,$F$2:$BW$2,$BZ$4)</f>
        <v>45</v>
      </c>
      <c r="CI18" s="282">
        <f t="shared" ca="1" si="33"/>
        <v>1</v>
      </c>
      <c r="CJ18" s="291">
        <f>SUMIFS($F18:$BW18,$F$6:$BW$6,CJ$6,$F$2:$BW$2,$BZ$4)</f>
        <v>42</v>
      </c>
      <c r="CK18" s="126">
        <f t="shared" ca="1" si="26"/>
        <v>0.93333333333333335</v>
      </c>
      <c r="CL18" s="24">
        <f>IFERROR(J18+P18+V18+AB18+AH18+AN18+AT18+AZ18+BF18+BL18+BR18+BX18,0)</f>
        <v>13</v>
      </c>
      <c r="CM18" s="126">
        <f t="shared" ca="1" si="34"/>
        <v>0.28888888888888886</v>
      </c>
      <c r="CN18" s="21">
        <f t="shared" ref="CN18:CO20" ca="1" si="59">IF($CN$5="Q1",F18+L18+R18,
IF($CN$5="Q2",X18+AD18++AJ18,
IF($CN$5="Q3",AP18+AV18+BB18,
IF($CN$5="Q4",BH18+BN18+BT18,0))))</f>
        <v>21</v>
      </c>
      <c r="CO18" s="24">
        <f t="shared" ca="1" si="59"/>
        <v>15</v>
      </c>
      <c r="CP18" s="282">
        <f t="shared" ca="1" si="36"/>
        <v>0.7142857142857143</v>
      </c>
      <c r="CQ18" s="291">
        <f>IF($CN$5="Q1",H18+N18+T18,
IF($CN$5="Q2",Z18+AF18++AL18,
IF($CN$5="Q3",AR18+AX18+BD18,
IF($CN$5="Q4",BJ18+BP18+BV18,0))))</f>
        <v>14</v>
      </c>
      <c r="CR18" s="126">
        <f t="shared" ca="1" si="37"/>
        <v>0.93333333333333335</v>
      </c>
      <c r="CS18" s="24">
        <f t="shared" si="38"/>
        <v>0</v>
      </c>
      <c r="CT18" s="126">
        <f t="shared" ca="1" si="39"/>
        <v>0</v>
      </c>
      <c r="CU18" s="21">
        <f t="shared" ca="1" si="40"/>
        <v>45</v>
      </c>
      <c r="CV18" s="24">
        <f t="shared" ca="1" si="41"/>
        <v>45</v>
      </c>
      <c r="CW18" s="282">
        <f t="shared" ca="1" si="42"/>
        <v>1</v>
      </c>
      <c r="CX18" s="24">
        <f t="shared" si="43"/>
        <v>42</v>
      </c>
      <c r="CY18" s="126">
        <f t="shared" ca="1" si="44"/>
        <v>0.93333333333333335</v>
      </c>
      <c r="CZ18" s="24">
        <f t="shared" si="45"/>
        <v>13</v>
      </c>
      <c r="DA18" s="127">
        <f t="shared" ca="1" si="46"/>
        <v>0.28888888888888886</v>
      </c>
      <c r="DB18" s="21">
        <f t="shared" ref="DB18:DC20" ca="1" si="60">IF($DB$5="S 1",F18+L18+R18+X18+AD18++AJ18,
IF($DB$5="S 2",AP18+AV18+BB18+BH18+BN18+BT18,0))</f>
        <v>0</v>
      </c>
      <c r="DC18" s="24">
        <f t="shared" ca="1" si="60"/>
        <v>0</v>
      </c>
      <c r="DD18" s="282">
        <f t="shared" ca="1" si="48"/>
        <v>0</v>
      </c>
      <c r="DE18" s="24">
        <f>IFERROR(IF($DB$5="S 1",H18+N18+T18+Z18+AF18++AL18,
IF($DB$5="S 2",AR18+AX18+BD18+BJ18+BP18+BV18,0)),0)</f>
        <v>0</v>
      </c>
      <c r="DF18" s="126" t="str">
        <f t="shared" ca="1" si="49"/>
        <v>N.D.</v>
      </c>
      <c r="DG18" s="24">
        <f>IFERROR(IF($DB$5="S 1",J18+P18+V18+AB18+AH18+AN18,
IF($DB$5="S 2",AT18+AZ18+BF18+BL18+BR18+BX18,0)),0)</f>
        <v>0</v>
      </c>
      <c r="DH18" s="127">
        <f ca="1">IFERROR(DG18/DB18,0)</f>
        <v>0</v>
      </c>
      <c r="DI18" s="510">
        <v>1</v>
      </c>
      <c r="DJ18" s="369" t="s">
        <v>39</v>
      </c>
      <c r="DK18" s="21">
        <f t="shared" ca="1" si="51"/>
        <v>45</v>
      </c>
      <c r="DL18" s="24">
        <f t="shared" ca="1" si="52"/>
        <v>45</v>
      </c>
      <c r="DM18" s="282">
        <f t="shared" ca="1" si="53"/>
        <v>1</v>
      </c>
      <c r="DN18" s="291">
        <f t="shared" si="54"/>
        <v>42</v>
      </c>
      <c r="DO18" s="126">
        <f t="shared" ca="1" si="55"/>
        <v>0.93333333333333335</v>
      </c>
      <c r="DP18" s="24">
        <f t="shared" si="56"/>
        <v>13</v>
      </c>
      <c r="DQ18" s="127">
        <f t="shared" ca="1" si="57"/>
        <v>0.28888888888888886</v>
      </c>
      <c r="DR18"/>
      <c r="DS18" s="4">
        <f ca="1"/>
        <v>205</v>
      </c>
      <c r="DT18" s="4">
        <f ca="1"/>
        <v>218</v>
      </c>
      <c r="DU18" s="511">
        <f ca="1"/>
        <v>1.1855670103092784</v>
      </c>
      <c r="DW18" s="508">
        <f ca="1"/>
        <v>0.98113207547169812</v>
      </c>
      <c r="DX18" s="4">
        <v>96</v>
      </c>
      <c r="DY18" s="508">
        <f ca="1"/>
        <v>0.48888888888888887</v>
      </c>
    </row>
    <row r="19" spans="1:129" s="4" customFormat="1" ht="15" customHeight="1" x14ac:dyDescent="0.35">
      <c r="A19" s="4">
        <f>_xlfn.XLOOKUP(B19,'WHOLESALE BMW 2026'!$B$7:$B$67,'WHOLESALE BMW 2026'!$A$7:$A$67)</f>
        <v>3</v>
      </c>
      <c r="B19" s="8">
        <v>100380</v>
      </c>
      <c r="C19" s="369" t="s">
        <v>11</v>
      </c>
      <c r="D19" s="125"/>
      <c r="E19" s="309" t="s">
        <v>78</v>
      </c>
      <c r="F19" s="21">
        <f ca="1">SUMIF('UC BMW 2026'!B17:B93,'UC BMW 2026'!B17,'UC BMW 2026'!F17:F84)</f>
        <v>22</v>
      </c>
      <c r="G19" s="24">
        <f ca="1">SUMIF('UC BMW 2026'!$B$5:$B$77,'UC BMW 2026'!B17,'UC BMW 2026'!$G$5:$G$72)</f>
        <v>11</v>
      </c>
      <c r="H19" s="24">
        <f>IFERROR(VLOOKUP(B19,[2]BPS!$B$10:$O$64,3,0),0)-IF(B19=100873,IFERROR(VLOOKUP("Enero",[2]BPS!$B$74:$C$89,2,0),0),0)</f>
        <v>11</v>
      </c>
      <c r="I19" s="285">
        <f t="shared" ca="1" si="0"/>
        <v>1</v>
      </c>
      <c r="J19" s="380">
        <f>IFERROR(VLOOKUP(B19,'[2]RETAIL ORIGEN RMKT'!$B$11:$O$62,3,0),0)</f>
        <v>4</v>
      </c>
      <c r="K19" s="130">
        <f t="shared" ca="1" si="1"/>
        <v>0.18181818181818182</v>
      </c>
      <c r="L19" s="21">
        <f ca="1">SUMIF('UC BMW 2026'!$B$5:$B$77,'UC BMW 2026'!$B17,'UC BMW 2026'!$H$5:$H$72)</f>
        <v>22</v>
      </c>
      <c r="M19" s="24">
        <f ca="1">SUMIF('UC BMW 2026'!$B$5:$B$77,'UC BMW 2026'!$B17,'UC BMW 2026'!$I$5:$I$72)</f>
        <v>22</v>
      </c>
      <c r="N19" s="24">
        <f>IFERROR(VLOOKUP(B19,[2]BPS!$B$10:$O$64,4,0),0)-IF(B19=100873,IFERROR(VLOOKUP("Febrero",[2]BPS!$B$74:$C$89,2,0),0),0)</f>
        <v>21</v>
      </c>
      <c r="O19" s="285">
        <f t="shared" ca="1" si="2"/>
        <v>0.95454545454545459</v>
      </c>
      <c r="P19" s="380">
        <f>IFERROR(VLOOKUP(B19,'[2]RETAIL ORIGEN RMKT'!$B$11:$O$62,4,0),0)</f>
        <v>11</v>
      </c>
      <c r="Q19" s="130">
        <f t="shared" ca="1" si="3"/>
        <v>0.5</v>
      </c>
      <c r="R19" s="21">
        <f ca="1">SUMIF('UC BMW 2026'!$B$5:$B$77,'UC BMW 2026'!$B17,'UC BMW 2026'!$J$5:$J$72)</f>
        <v>22</v>
      </c>
      <c r="S19" s="24">
        <f ca="1">SUMIF('UC BMW 2026'!$B$5:$B$77,'UC BMW 2026'!$B17,'UC BMW 2026'!$K$5:$K$72)</f>
        <v>26</v>
      </c>
      <c r="T19" s="24">
        <f>IFERROR(VLOOKUP(B19,[2]BPS!$B$10:$O$64,5,0),0)-IF(B19=100873,IFERROR(VLOOKUP("Marzo",[2]BPS!$B$74:$C$89,2,0),0),0)</f>
        <v>24</v>
      </c>
      <c r="U19" s="285">
        <f t="shared" ca="1" si="4"/>
        <v>0.92307692307692313</v>
      </c>
      <c r="V19" s="380">
        <f>IFERROR(VLOOKUP(B19,'[2]RETAIL ORIGEN RMKT'!$B$11:$O$62,5,0),0)</f>
        <v>10</v>
      </c>
      <c r="W19" s="130">
        <f t="shared" ca="1" si="5"/>
        <v>0.45454545454545453</v>
      </c>
      <c r="X19" s="21">
        <f ca="1">SUMIF('UC BMW 2026'!$B$5:$B$77,'UC BMW 2026'!$B17,'UC BMW 2026'!$L$5:$L$72)</f>
        <v>23</v>
      </c>
      <c r="Y19" s="24">
        <f ca="1">SUMIF('UC BMW 2026'!$B$5:$B$77,'UC BMW 2026'!$B17,'UC BMW 2026'!$M$5:$M$72)</f>
        <v>25</v>
      </c>
      <c r="Z19" s="24">
        <f>IFERROR(VLOOKUP(B19,[2]BPS!$B$10:$O$64,6,0),0)-IF(B19=100873,IFERROR(VLOOKUP("Abril",[2]BPS!$B$74:$C$89,2,0),0),0)</f>
        <v>24</v>
      </c>
      <c r="AA19" s="285">
        <f t="shared" ca="1" si="6"/>
        <v>0.96</v>
      </c>
      <c r="AB19" s="380">
        <f>IFERROR(VLOOKUP(B19,'[2]RETAIL ORIGEN RMKT'!$B$11:$O$62,6,0),0)</f>
        <v>13</v>
      </c>
      <c r="AC19" s="130">
        <f t="shared" ca="1" si="7"/>
        <v>0.56521739130434778</v>
      </c>
      <c r="AD19" s="21">
        <f ca="1">SUMIF('UC BMW 2026'!$B$5:$B$77,'UC BMW 2026'!$B17,'UC BMW 2026'!$N$5:$N$72)</f>
        <v>23</v>
      </c>
      <c r="AE19" s="24">
        <f ca="1">SUMIF('UC BMW 2026'!$B$5:$B$77,'UC BMW 2026'!$B17,'UC BMW 2026'!$O$5:$O$72)</f>
        <v>11</v>
      </c>
      <c r="AF19" s="24">
        <f>IFERROR(VLOOKUP(B19,[2]BPS!$B$10:$O$64,7,0),0)-IF(B19=100873,IFERROR(VLOOKUP("Mayo",[2]BPS!$B$74:$C$89,2,0),0),0)</f>
        <v>7</v>
      </c>
      <c r="AG19" s="285">
        <f t="shared" ca="1" si="8"/>
        <v>0.63636363636363635</v>
      </c>
      <c r="AH19" s="380">
        <f>IFERROR(VLOOKUP(B19,'[2]RETAIL ORIGEN RMKT'!$B$11:$O$62,7,0),0)</f>
        <v>2</v>
      </c>
      <c r="AI19" s="130">
        <f t="shared" ca="1" si="9"/>
        <v>8.6956521739130432E-2</v>
      </c>
      <c r="AJ19" s="21">
        <f ca="1">SUMIF('UC BMW 2026'!$B$5:$B$77,'UC BMW 2026'!$B17,'UC BMW 2026'!$P$5:$P$72)</f>
        <v>23</v>
      </c>
      <c r="AK19" s="24">
        <f ca="1">SUMIF('UC BMW 2026'!$B$5:$B$77,'UC BMW 2026'!$B17,'UC BMW 2026'!$Q$5:$Q$72)</f>
        <v>27</v>
      </c>
      <c r="AL19" s="24">
        <f>IFERROR(VLOOKUP(B19,[2]BPS!$B$10:$O$64,8,0),0)-IF(B19=100873,IFERROR(VLOOKUP("Junio",[2]BPS!$B$74:$C$89,2,0),0),0)</f>
        <v>25</v>
      </c>
      <c r="AM19" s="285">
        <f t="shared" ca="1" si="10"/>
        <v>0.92592592592592593</v>
      </c>
      <c r="AN19" s="380">
        <f>IFERROR(VLOOKUP(B19,'[2]RETAIL ORIGEN RMKT'!$B$11:$O$62,8,0),0)</f>
        <v>9</v>
      </c>
      <c r="AO19" s="130">
        <f t="shared" ca="1" si="11"/>
        <v>0.39130434782608697</v>
      </c>
      <c r="AP19" s="21">
        <f ca="1">SUMIF('UC BMW 2026'!$B$5:$B$77,'UC BMW 2026'!$B17,'UC BMW 2026'!$R$5:$R$72)</f>
        <v>0</v>
      </c>
      <c r="AQ19" s="24">
        <f ca="1">SUMIF('UC BMW 2026'!$B$5:$B$77,'UC BMW 2026'!$B17,'UC BMW 2026'!$S$5:$S$72)</f>
        <v>0</v>
      </c>
      <c r="AR19" s="24">
        <f>IFERROR(VLOOKUP(B19,[2]BPS!$B$10:$O$64,9,0),0)-IF(B19=100873,IFERROR(VLOOKUP("Julio",[2]BPS!$B$74:$C$89,2,0),0),0)</f>
        <v>0</v>
      </c>
      <c r="AS19" s="285">
        <f t="shared" ca="1" si="12"/>
        <v>0</v>
      </c>
      <c r="AT19" s="380">
        <f>IFERROR(VLOOKUP(B19,'[2]RETAIL ORIGEN RMKT'!$B$11:$O$62,9,0),0)</f>
        <v>0</v>
      </c>
      <c r="AU19" s="130">
        <f t="shared" ca="1" si="13"/>
        <v>0</v>
      </c>
      <c r="AV19" s="21">
        <f ca="1">SUMIF('UC BMW 2026'!$B$5:$B$77,'UC BMW 2026'!$B17,'UC BMW 2026'!$T$5:$T$72)</f>
        <v>0</v>
      </c>
      <c r="AW19" s="24">
        <f ca="1">SUMIF('UC BMW 2026'!$B$5:$B$77,'UC BMW 2026'!$B17,'UC BMW 2026'!$U$5:$U$72)</f>
        <v>0</v>
      </c>
      <c r="AX19" s="24">
        <f>IFERROR(VLOOKUP(B19,[2]BPS!$B$10:$O$64,10,0),0)-IF(B19=100873,IFERROR(VLOOKUP("Agosto",[2]BPS!$B$74:$C$89,2,0),0),0)</f>
        <v>0</v>
      </c>
      <c r="AY19" s="285">
        <f t="shared" ca="1" si="14"/>
        <v>0</v>
      </c>
      <c r="AZ19" s="380">
        <f>IFERROR(VLOOKUP(B19,'[2]RETAIL ORIGEN RMKT'!$B$11:$O$62,10,0),0)</f>
        <v>0</v>
      </c>
      <c r="BA19" s="130">
        <f t="shared" ca="1" si="15"/>
        <v>0</v>
      </c>
      <c r="BB19" s="21">
        <f ca="1">SUMIF('UC BMW 2026'!$B$5:$B$77,'UC BMW 2026'!$B17,'UC BMW 2026'!$V$5:$V$72)</f>
        <v>0</v>
      </c>
      <c r="BC19" s="24">
        <f>SUMIF('UC BMW 2026'!$B$5:$B$77,'UC BMW 2026'!$B17,'UC BMW 2026'!$W$5:$W$77)</f>
        <v>0</v>
      </c>
      <c r="BD19" s="24">
        <f>IFERROR(VLOOKUP(B19,[2]BPS!$B$10:$O$64,11,0),0)-IF(B19=100873,IFERROR(VLOOKUP("Septiembre",[2]BPS!$B$74:$C$89,2,0),0),0)</f>
        <v>0</v>
      </c>
      <c r="BE19" s="285">
        <f t="shared" si="16"/>
        <v>0</v>
      </c>
      <c r="BF19" s="380">
        <f>IFERROR(VLOOKUP(B19,'[2]RETAIL ORIGEN RMKT'!$B$11:$O$62,11,0),0)</f>
        <v>0</v>
      </c>
      <c r="BG19" s="130">
        <f t="shared" ca="1" si="17"/>
        <v>0</v>
      </c>
      <c r="BH19" s="21">
        <f>SUMIF('UC BMW 2026'!$B$5:$B$77,'UC BMW 2026'!$B17,'UC BMW 2026'!$X$5:$X$77)</f>
        <v>0</v>
      </c>
      <c r="BI19" s="24">
        <f>SUMIF('UC BMW 2026'!$B$5:$B$77,'UC BMW 2026'!$B17,'UC BMW 2026'!$Y$5:$Y$77)</f>
        <v>0</v>
      </c>
      <c r="BJ19" s="24">
        <f>IFERROR(VLOOKUP(B19,[2]BPS!$B$10:$O$64,12,0),0)-IF(B19=100873,IFERROR(VLOOKUP("Octubre",[2]BPS!$B$74:$C$89,2,0),0),0)</f>
        <v>0</v>
      </c>
      <c r="BK19" s="285">
        <f t="shared" si="18"/>
        <v>0</v>
      </c>
      <c r="BL19" s="380">
        <f>IFERROR(VLOOKUP(B19,'[2]RETAIL ORIGEN RMKT'!$B$11:$O$62,12,0),0)</f>
        <v>0</v>
      </c>
      <c r="BM19" s="130">
        <f t="shared" si="19"/>
        <v>0</v>
      </c>
      <c r="BN19" s="21">
        <f>SUMIF('UC BMW 2026'!$B$5:$B$77,'UC BMW 2026'!$B17,'UC BMW 2026'!$Z$5:$Z$77)</f>
        <v>0</v>
      </c>
      <c r="BO19" s="24">
        <f>SUMIF('UC BMW 2026'!$B$5:$B$77,'UC BMW 2026'!$B17,'UC BMW 2026'!$AA$5:$AA$77)</f>
        <v>0</v>
      </c>
      <c r="BP19" s="24">
        <f>IFERROR(VLOOKUP(B19,[2]BPS!$B$10:$O$64,13,0),0)-IF(B19=100873,IFERROR(VLOOKUP("Noviembre",[2]BPS!$B$74:$C$89,2,0),0),0)</f>
        <v>0</v>
      </c>
      <c r="BQ19" s="285">
        <f t="shared" si="20"/>
        <v>0</v>
      </c>
      <c r="BR19" s="380">
        <f>IFERROR(VLOOKUP(B19,'[2]RETAIL ORIGEN RMKT'!$B$11:$O$62,13,0),0)</f>
        <v>0</v>
      </c>
      <c r="BS19" s="130">
        <f t="shared" si="21"/>
        <v>0</v>
      </c>
      <c r="BT19" s="21">
        <f>SUMIF('UC BMW 2026'!$B$5:$B$77,'UC BMW 2026'!$B17,'UC BMW 2026'!$AB$5:$AB$77)</f>
        <v>0</v>
      </c>
      <c r="BU19" s="24">
        <f>SUMIF('UC BMW 2026'!$B$5:$B$77,'UC BMW 2026'!$B17,'UC BMW 2026'!$AC$5:$AC$77)</f>
        <v>0</v>
      </c>
      <c r="BV19" s="24">
        <f>IFERROR(VLOOKUP(B19,[2]BPS!$B$10:$O$64,13,0),0)-IF(B19=100873,IFERROR(VLOOKUP("Diciembre",[2]BPS!$B$74:$C$89,2,0),0),0)</f>
        <v>0</v>
      </c>
      <c r="BW19" s="285">
        <f t="shared" si="22"/>
        <v>0</v>
      </c>
      <c r="BX19" s="380">
        <f>IFERROR(VLOOKUP(B19,'[2]RETAIL ORIGEN RMKT'!$B$11:$O$62,14,0),0)</f>
        <v>0</v>
      </c>
      <c r="BY19" s="130">
        <f t="shared" si="23"/>
        <v>0</v>
      </c>
      <c r="BZ19" s="25">
        <f t="shared" ca="1" si="58"/>
        <v>135</v>
      </c>
      <c r="CA19" s="27">
        <f t="shared" ca="1" si="58"/>
        <v>122</v>
      </c>
      <c r="CB19" s="287">
        <f t="shared" ca="1" si="25"/>
        <v>0.90370370370370368</v>
      </c>
      <c r="CC19" s="291">
        <f>IFERROR(IF($BZ$4="ENERO",H19,IF($BZ$4="FEBRERO",H19+N19,IF($BZ$4="MARZO",H19+N19+T19,IF($BZ$4="ABRIL",H19+N19+T19+Z19,IF($BZ$4="MAYO",H19+N19+T19+Z19+AF19,IF($BZ$4="JUNIO",H19+N19+T19+Z19+AF19+AL19,IF($BZ$4="JULIO",H19+N19+T19+Z19+AF19+AL19+AR19,IF($BZ$4="AGOSTO",H19+N19+T19+Z19+AF19+AL19+AR19+AX19,IF($BZ$4="SEPTIEMBRE",H19+N19+T19+Z19+AF19+AL19+AR19+AX19+BD19,IF($BZ$4="OCTUBRE",H19+N19+T19+Z19+AF19+AL19+AR19+AX19+BD19+BJ19,IF($BZ$4="NOVIEMBRE",H19+N19+T19+Z19+AF19+AL19+AR19+AX19+BD19+BJ19+BP19,IF($BZ$4="DICIEMBRE",H19+N19+T19+Z19+AF19+AL19+AR19+AX19+BD19+BJ19+BP19+BV19,"")))))))))))),0)</f>
        <v>112</v>
      </c>
      <c r="CD19" s="287">
        <f ca="1">IFERROR(IF(CA19=0,"N.D.",CC19/CA19),0)</f>
        <v>0.91803278688524592</v>
      </c>
      <c r="CE19" s="24">
        <f>IFERROR(IF($BZ$4="ENERO",J19,IF($BZ$4="FEBRERO",J19+P19,IF($BZ$4="MARZO",J19+P19+V19,IF($BZ$4="ABRIL",J19+P19+V19+AB19,IF($BZ$4="MAYO",J19+P19+V19+AB19+AH19,IF($BZ$4="JUNIO",J19+P19+V19+AB19+AH19+AN19,IF($BZ$4="JULIO",J19+P19+V19+AB19+AH19+AN19+AT19,IF($BZ$4="AGOSTO",J19+P19+V19+AB19+AH19+AN19+AT19+AZ19,IF($BZ$4="SEPTIEMBRE",J19+P19+V19+AB19+AH19+AN19+AT19+AZ19+BF19,IF($BZ$4="OCTUBRE",J19+P19+V19+AB19+AH19+AN19+AT19+AZ19+BF19+BL19,IF($BZ$4="NOVIEMBRE",J19+P19+V19+AB19+AH19+AN19+AT19+AZ19+BF19+BL19+BR19,IF($BZ$4="DICIEMBRE",J19+P19+V19+AB19+AH19+AN19+AT19+AZ19+BF19+BL19+BR19+BX19,"")))))))))))),0)</f>
        <v>49</v>
      </c>
      <c r="CF19" s="129">
        <f t="shared" ca="1" si="32"/>
        <v>0.36296296296296299</v>
      </c>
      <c r="CG19" s="25">
        <f ca="1">SUM(F19+L19+R19+X19+AD19+AJ19+AP19+AV19+BB19+BH19+BN19+BT19)</f>
        <v>135</v>
      </c>
      <c r="CH19" s="27">
        <f ca="1">SUMIFS($F19:$BW19,$F$6:$BW$6,CH$6,$F$2:$BW$2,$BZ$4)</f>
        <v>122</v>
      </c>
      <c r="CI19" s="287">
        <f t="shared" ca="1" si="33"/>
        <v>0.90370370370370368</v>
      </c>
      <c r="CJ19" s="291">
        <f>SUMIFS($F19:$BW19,$F$6:$BW$6,CJ$6,$F$2:$BW$2,$BZ$4)</f>
        <v>112</v>
      </c>
      <c r="CK19" s="287">
        <f t="shared" ca="1" si="26"/>
        <v>0.91803278688524592</v>
      </c>
      <c r="CL19" s="24">
        <f>IFERROR(J19+P19+V19+AB19+AH19+AN19+AT19+AZ19+BF19+BL19+BR19+BX19,0)</f>
        <v>49</v>
      </c>
      <c r="CM19" s="129">
        <f t="shared" ca="1" si="34"/>
        <v>0.36296296296296299</v>
      </c>
      <c r="CN19" s="25">
        <f t="shared" ca="1" si="59"/>
        <v>66</v>
      </c>
      <c r="CO19" s="27">
        <f t="shared" ca="1" si="59"/>
        <v>59</v>
      </c>
      <c r="CP19" s="287">
        <f t="shared" ca="1" si="36"/>
        <v>0.89393939393939392</v>
      </c>
      <c r="CQ19" s="291">
        <f>IF($CN$5="Q1",H19+N19+T19,
IF($CN$5="Q2",Z19+AF19++AL19,
IF($CN$5="Q3",AR19+AX19+BD19,
IF($CN$5="Q4",BJ19+BP19+BV19,0))))</f>
        <v>56</v>
      </c>
      <c r="CR19" s="287">
        <f t="shared" ca="1" si="37"/>
        <v>0.94915254237288138</v>
      </c>
      <c r="CS19" s="27">
        <f t="shared" si="38"/>
        <v>0</v>
      </c>
      <c r="CT19" s="129">
        <f t="shared" ca="1" si="39"/>
        <v>0</v>
      </c>
      <c r="CU19" s="25">
        <f t="shared" ca="1" si="40"/>
        <v>135</v>
      </c>
      <c r="CV19" s="27">
        <f t="shared" ca="1" si="41"/>
        <v>122</v>
      </c>
      <c r="CW19" s="287">
        <f t="shared" ca="1" si="42"/>
        <v>0.90370370370370368</v>
      </c>
      <c r="CX19" s="27">
        <f t="shared" si="43"/>
        <v>112</v>
      </c>
      <c r="CY19" s="287">
        <f t="shared" ca="1" si="44"/>
        <v>0.91803278688524592</v>
      </c>
      <c r="CZ19" s="27">
        <f t="shared" si="45"/>
        <v>49</v>
      </c>
      <c r="DA19" s="130">
        <f t="shared" ca="1" si="46"/>
        <v>0.36296296296296299</v>
      </c>
      <c r="DB19" s="25">
        <f t="shared" ca="1" si="60"/>
        <v>0</v>
      </c>
      <c r="DC19" s="27">
        <f t="shared" ca="1" si="60"/>
        <v>0</v>
      </c>
      <c r="DD19" s="287">
        <f t="shared" ca="1" si="48"/>
        <v>0</v>
      </c>
      <c r="DE19" s="27">
        <f>IFERROR(IF($DB$5="S 1",H19+N19+T19+Z19+AF19++AL19,
IF($DB$5="S 2",AR19+AX19+BD19+BJ19+BP19+BV19,0)),0)</f>
        <v>0</v>
      </c>
      <c r="DF19" s="287" t="str">
        <f t="shared" ca="1" si="49"/>
        <v>N.D.</v>
      </c>
      <c r="DG19" s="27">
        <f>IFERROR(IF($DB$5="S 1",J19+P19+V19+AB19+AH19+AN19,
IF($DB$5="S 2",AT19+AZ19+BF19+BL19+BR19+BX19,0)),0)</f>
        <v>0</v>
      </c>
      <c r="DH19" s="130">
        <f t="shared" ref="DH19:DH31" ca="1" si="61">IFERROR(DG19/DB19,0)</f>
        <v>0</v>
      </c>
      <c r="DI19" s="510">
        <v>1</v>
      </c>
      <c r="DJ19" s="369" t="s">
        <v>11</v>
      </c>
      <c r="DK19" s="25">
        <f t="shared" ca="1" si="51"/>
        <v>135</v>
      </c>
      <c r="DL19" s="27">
        <f t="shared" ca="1" si="52"/>
        <v>122</v>
      </c>
      <c r="DM19" s="287">
        <f t="shared" ca="1" si="53"/>
        <v>0.90370370370370368</v>
      </c>
      <c r="DN19" s="291">
        <f t="shared" si="54"/>
        <v>112</v>
      </c>
      <c r="DO19" s="287">
        <f t="shared" ca="1" si="55"/>
        <v>0.91803278688524592</v>
      </c>
      <c r="DP19" s="24">
        <f t="shared" si="56"/>
        <v>49</v>
      </c>
      <c r="DQ19" s="130">
        <f t="shared" ca="1" si="57"/>
        <v>0.36296296296296299</v>
      </c>
      <c r="DR19"/>
      <c r="DS19" s="4">
        <f ca="1"/>
        <v>200</v>
      </c>
      <c r="DT19" s="4">
        <f ca="1"/>
        <v>218</v>
      </c>
      <c r="DU19" s="508">
        <f ca="1"/>
        <v>1.18</v>
      </c>
      <c r="DW19" s="508">
        <f ca="1"/>
        <v>0.98009950248756217</v>
      </c>
      <c r="DX19" s="4">
        <v>90</v>
      </c>
      <c r="DY19" s="508">
        <f ca="1"/>
        <v>0.48</v>
      </c>
    </row>
    <row r="20" spans="1:129" s="4" customFormat="1" ht="15" customHeight="1" x14ac:dyDescent="0.35">
      <c r="A20" s="4">
        <f>_xlfn.XLOOKUP(B20,'WHOLESALE BMW 2026'!$B$7:$B$67,'WHOLESALE BMW 2026'!$A$7:$A$67)</f>
        <v>3</v>
      </c>
      <c r="B20" s="8">
        <v>100418</v>
      </c>
      <c r="C20" s="369" t="s">
        <v>13</v>
      </c>
      <c r="D20" s="125"/>
      <c r="E20" s="309" t="s">
        <v>83</v>
      </c>
      <c r="F20" s="21">
        <f ca="1">SUMIF('UC BMW 2026'!B18:B94,'UC BMW 2026'!B18,'UC BMW 2026'!F18:F85)</f>
        <v>11</v>
      </c>
      <c r="G20" s="24">
        <f ca="1">SUMIF('UC BMW 2026'!$B$5:$B$77,'UC BMW 2026'!B18,'UC BMW 2026'!$G$5:$G$72)</f>
        <v>1</v>
      </c>
      <c r="H20" s="24">
        <f>IFERROR(VLOOKUP(B20,[2]BPS!$B$10:$O$64,3,0),0)-IF(B20=100873,IFERROR(VLOOKUP("Enero",[2]BPS!$B$74:$C$89,2,0),0),0)</f>
        <v>0</v>
      </c>
      <c r="I20" s="285">
        <f t="shared" ca="1" si="0"/>
        <v>0</v>
      </c>
      <c r="J20" s="380">
        <f>IFERROR(VLOOKUP(B20,'[2]RETAIL ORIGEN RMKT'!$B$11:$O$62,3,0),0)</f>
        <v>0</v>
      </c>
      <c r="K20" s="130">
        <f t="shared" ca="1" si="1"/>
        <v>0</v>
      </c>
      <c r="L20" s="21">
        <f ca="1">SUMIF('UC BMW 2026'!$B$5:$B$77,'UC BMW 2026'!$B18,'UC BMW 2026'!$H$5:$H$72)</f>
        <v>11</v>
      </c>
      <c r="M20" s="24">
        <f ca="1">SUMIF('UC BMW 2026'!$B$5:$B$77,'UC BMW 2026'!$B18,'UC BMW 2026'!$I$5:$I$72)</f>
        <v>14</v>
      </c>
      <c r="N20" s="24">
        <f>IFERROR(VLOOKUP(B20,[2]BPS!$B$10:$O$64,4,0),0)-IF(B20=100873,IFERROR(VLOOKUP("Febrero",[2]BPS!$B$74:$C$89,2,0),0),0)</f>
        <v>13</v>
      </c>
      <c r="O20" s="285">
        <f t="shared" ca="1" si="2"/>
        <v>0.9285714285714286</v>
      </c>
      <c r="P20" s="380">
        <f>IFERROR(VLOOKUP(B20,'[2]RETAIL ORIGEN RMKT'!$B$11:$O$62,4,0),0)</f>
        <v>4</v>
      </c>
      <c r="Q20" s="130">
        <f t="shared" ca="1" si="3"/>
        <v>0.36363636363636365</v>
      </c>
      <c r="R20" s="21">
        <f ca="1">SUMIF('UC BMW 2026'!$B$5:$B$77,'UC BMW 2026'!$B18,'UC BMW 2026'!$J$5:$J$72)</f>
        <v>11</v>
      </c>
      <c r="S20" s="24">
        <f ca="1">SUMIF('UC BMW 2026'!$B$5:$B$77,'UC BMW 2026'!$B18,'UC BMW 2026'!$K$5:$K$72)</f>
        <v>10</v>
      </c>
      <c r="T20" s="24">
        <f>IFERROR(VLOOKUP(B20,[2]BPS!$B$10:$O$64,5,0),0)-IF(B20=100873,IFERROR(VLOOKUP("Marzo",[2]BPS!$B$74:$C$89,2,0),0),0)</f>
        <v>9</v>
      </c>
      <c r="U20" s="285">
        <f t="shared" ca="1" si="4"/>
        <v>0.9</v>
      </c>
      <c r="V20" s="380">
        <f>IFERROR(VLOOKUP(B20,'[2]RETAIL ORIGEN RMKT'!$B$11:$O$62,5,0),0)</f>
        <v>3</v>
      </c>
      <c r="W20" s="130">
        <f t="shared" ca="1" si="5"/>
        <v>0.27272727272727271</v>
      </c>
      <c r="X20" s="21">
        <f ca="1">SUMIF('UC BMW 2026'!$B$5:$B$77,'UC BMW 2026'!$B18,'UC BMW 2026'!$L$5:$L$72)</f>
        <v>11</v>
      </c>
      <c r="Y20" s="24">
        <f ca="1">SUMIF('UC BMW 2026'!$B$5:$B$77,'UC BMW 2026'!$B18,'UC BMW 2026'!$M$5:$M$72)</f>
        <v>9</v>
      </c>
      <c r="Z20" s="24">
        <f>IFERROR(VLOOKUP(B20,[2]BPS!$B$10:$O$64,6,0),0)-IF(B20=100873,IFERROR(VLOOKUP("Abril",[2]BPS!$B$74:$C$89,2,0),0),0)</f>
        <v>8</v>
      </c>
      <c r="AA20" s="285">
        <f t="shared" ca="1" si="6"/>
        <v>0.88888888888888884</v>
      </c>
      <c r="AB20" s="380">
        <f>IFERROR(VLOOKUP(B20,'[2]RETAIL ORIGEN RMKT'!$B$11:$O$62,6,0),0)</f>
        <v>2</v>
      </c>
      <c r="AC20" s="130">
        <f t="shared" ca="1" si="7"/>
        <v>0.18181818181818182</v>
      </c>
      <c r="AD20" s="21">
        <f ca="1">SUMIF('UC BMW 2026'!$B$5:$B$77,'UC BMW 2026'!$B18,'UC BMW 2026'!$N$5:$N$72)</f>
        <v>12</v>
      </c>
      <c r="AE20" s="24">
        <f ca="1">SUMIF('UC BMW 2026'!$B$5:$B$77,'UC BMW 2026'!$B18,'UC BMW 2026'!$O$5:$O$72)</f>
        <v>6</v>
      </c>
      <c r="AF20" s="24">
        <f>IFERROR(VLOOKUP(B20,[2]BPS!$B$10:$O$64,7,0),0)-IF(B20=100873,IFERROR(VLOOKUP("Mayo",[2]BPS!$B$74:$C$89,2,0),0),0)</f>
        <v>5</v>
      </c>
      <c r="AG20" s="285">
        <f t="shared" ca="1" si="8"/>
        <v>0.83333333333333337</v>
      </c>
      <c r="AH20" s="380">
        <f>IFERROR(VLOOKUP(B20,'[2]RETAIL ORIGEN RMKT'!$B$11:$O$62,7,0),0)</f>
        <v>2</v>
      </c>
      <c r="AI20" s="130">
        <f t="shared" ca="1" si="9"/>
        <v>0.16666666666666666</v>
      </c>
      <c r="AJ20" s="21">
        <f ca="1">SUMIF('UC BMW 2026'!$B$5:$B$77,'UC BMW 2026'!$B18,'UC BMW 2026'!$P$5:$P$72)</f>
        <v>12</v>
      </c>
      <c r="AK20" s="24">
        <f ca="1">SUMIF('UC BMW 2026'!$B$5:$B$77,'UC BMW 2026'!$B18,'UC BMW 2026'!$Q$5:$Q$72)</f>
        <v>14</v>
      </c>
      <c r="AL20" s="24">
        <f>IFERROR(VLOOKUP(B20,[2]BPS!$B$10:$O$64,8,0),0)-IF(B20=100873,IFERROR(VLOOKUP("Junio",[2]BPS!$B$74:$C$89,2,0),0),0)</f>
        <v>13</v>
      </c>
      <c r="AM20" s="285">
        <f t="shared" ca="1" si="10"/>
        <v>0.9285714285714286</v>
      </c>
      <c r="AN20" s="380">
        <f>IFERROR(VLOOKUP(B20,'[2]RETAIL ORIGEN RMKT'!$B$11:$O$62,8,0),0)</f>
        <v>5</v>
      </c>
      <c r="AO20" s="130">
        <f t="shared" ca="1" si="11"/>
        <v>0.41666666666666669</v>
      </c>
      <c r="AP20" s="21">
        <f ca="1">SUMIF('UC BMW 2026'!$B$5:$B$77,'UC BMW 2026'!$B18,'UC BMW 2026'!$R$5:$R$72)</f>
        <v>0</v>
      </c>
      <c r="AQ20" s="24">
        <f ca="1">SUMIF('UC BMW 2026'!$B$5:$B$77,'UC BMW 2026'!$B18,'UC BMW 2026'!$S$5:$S$72)</f>
        <v>0</v>
      </c>
      <c r="AR20" s="24">
        <f>IFERROR(VLOOKUP(B20,[2]BPS!$B$10:$O$64,9,0),0)-IF(B20=100873,IFERROR(VLOOKUP("Julio",[2]BPS!$B$74:$C$89,2,0),0),0)</f>
        <v>0</v>
      </c>
      <c r="AS20" s="285">
        <f t="shared" ca="1" si="12"/>
        <v>0</v>
      </c>
      <c r="AT20" s="380">
        <f>IFERROR(VLOOKUP(B20,'[2]RETAIL ORIGEN RMKT'!$B$11:$O$62,9,0),0)</f>
        <v>0</v>
      </c>
      <c r="AU20" s="130">
        <f t="shared" ca="1" si="13"/>
        <v>0</v>
      </c>
      <c r="AV20" s="21">
        <f ca="1">SUMIF('UC BMW 2026'!$B$5:$B$77,'UC BMW 2026'!$B18,'UC BMW 2026'!$T$5:$T$72)</f>
        <v>0</v>
      </c>
      <c r="AW20" s="24">
        <f ca="1">SUMIF('UC BMW 2026'!$B$5:$B$77,'UC BMW 2026'!$B18,'UC BMW 2026'!$U$5:$U$72)</f>
        <v>0</v>
      </c>
      <c r="AX20" s="24">
        <f>IFERROR(VLOOKUP(B20,[2]BPS!$B$10:$O$64,10,0),0)-IF(B20=100873,IFERROR(VLOOKUP("Agosto",[2]BPS!$B$74:$C$89,2,0),0),0)</f>
        <v>0</v>
      </c>
      <c r="AY20" s="285">
        <f t="shared" ca="1" si="14"/>
        <v>0</v>
      </c>
      <c r="AZ20" s="380">
        <f>IFERROR(VLOOKUP(B20,'[2]RETAIL ORIGEN RMKT'!$B$11:$O$62,10,0),0)</f>
        <v>0</v>
      </c>
      <c r="BA20" s="130">
        <f t="shared" ca="1" si="15"/>
        <v>0</v>
      </c>
      <c r="BB20" s="21">
        <f ca="1">SUMIF('UC BMW 2026'!$B$5:$B$77,'UC BMW 2026'!$B18,'UC BMW 2026'!$V$5:$V$72)</f>
        <v>0</v>
      </c>
      <c r="BC20" s="24">
        <f>SUMIF('UC BMW 2026'!$B$5:$B$77,'UC BMW 2026'!$B18,'UC BMW 2026'!$W$5:$W$77)</f>
        <v>0</v>
      </c>
      <c r="BD20" s="24">
        <f>IFERROR(VLOOKUP(B20,[2]BPS!$B$10:$O$64,11,0),0)-IF(B20=100873,IFERROR(VLOOKUP("Septiembre",[2]BPS!$B$74:$C$89,2,0),0),0)</f>
        <v>0</v>
      </c>
      <c r="BE20" s="285">
        <f t="shared" si="16"/>
        <v>0</v>
      </c>
      <c r="BF20" s="380">
        <f>IFERROR(VLOOKUP(B20,'[2]RETAIL ORIGEN RMKT'!$B$11:$O$62,11,0),0)</f>
        <v>0</v>
      </c>
      <c r="BG20" s="130">
        <f t="shared" ca="1" si="17"/>
        <v>0</v>
      </c>
      <c r="BH20" s="21">
        <f>SUMIF('UC BMW 2026'!$B$5:$B$77,'UC BMW 2026'!$B18,'UC BMW 2026'!$X$5:$X$77)</f>
        <v>0</v>
      </c>
      <c r="BI20" s="24">
        <f>SUMIF('UC BMW 2026'!$B$5:$B$77,'UC BMW 2026'!$B18,'UC BMW 2026'!$Y$5:$Y$77)</f>
        <v>0</v>
      </c>
      <c r="BJ20" s="24">
        <f>IFERROR(VLOOKUP(B20,[2]BPS!$B$10:$O$64,12,0),0)-IF(B20=100873,IFERROR(VLOOKUP("Octubre",[2]BPS!$B$74:$C$89,2,0),0),0)</f>
        <v>0</v>
      </c>
      <c r="BK20" s="285">
        <f t="shared" si="18"/>
        <v>0</v>
      </c>
      <c r="BL20" s="380">
        <f>IFERROR(VLOOKUP(B20,'[2]RETAIL ORIGEN RMKT'!$B$11:$O$62,12,0),0)</f>
        <v>0</v>
      </c>
      <c r="BM20" s="130">
        <f t="shared" si="19"/>
        <v>0</v>
      </c>
      <c r="BN20" s="21">
        <f>SUMIF('UC BMW 2026'!$B$5:$B$77,'UC BMW 2026'!$B18,'UC BMW 2026'!$Z$5:$Z$77)</f>
        <v>0</v>
      </c>
      <c r="BO20" s="24">
        <f>SUMIF('UC BMW 2026'!$B$5:$B$77,'UC BMW 2026'!$B18,'UC BMW 2026'!$AA$5:$AA$77)</f>
        <v>0</v>
      </c>
      <c r="BP20" s="24">
        <f>IFERROR(VLOOKUP(B20,[2]BPS!$B$10:$O$64,13,0),0)-IF(B20=100873,IFERROR(VLOOKUP("Noviembre",[2]BPS!$B$74:$C$89,2,0),0),0)</f>
        <v>0</v>
      </c>
      <c r="BQ20" s="285">
        <f t="shared" si="20"/>
        <v>0</v>
      </c>
      <c r="BR20" s="380">
        <f>IFERROR(VLOOKUP(B20,'[2]RETAIL ORIGEN RMKT'!$B$11:$O$62,13,0),0)</f>
        <v>0</v>
      </c>
      <c r="BS20" s="130">
        <f t="shared" si="21"/>
        <v>0</v>
      </c>
      <c r="BT20" s="21">
        <f>SUMIF('UC BMW 2026'!$B$5:$B$77,'UC BMW 2026'!$B18,'UC BMW 2026'!$AB$5:$AB$77)</f>
        <v>0</v>
      </c>
      <c r="BU20" s="24">
        <f>SUMIF('UC BMW 2026'!$B$5:$B$77,'UC BMW 2026'!$B18,'UC BMW 2026'!$AC$5:$AC$77)</f>
        <v>0</v>
      </c>
      <c r="BV20" s="24">
        <f>IFERROR(VLOOKUP(B20,[2]BPS!$B$10:$O$64,13,0),0)-IF(B20=100873,IFERROR(VLOOKUP("Diciembre",[2]BPS!$B$74:$C$89,2,0),0),0)</f>
        <v>0</v>
      </c>
      <c r="BW20" s="285">
        <f t="shared" si="22"/>
        <v>0</v>
      </c>
      <c r="BX20" s="380">
        <f>IFERROR(VLOOKUP(B20,'[2]RETAIL ORIGEN RMKT'!$B$11:$O$62,14,0),0)</f>
        <v>0</v>
      </c>
      <c r="BY20" s="130">
        <f t="shared" si="23"/>
        <v>0</v>
      </c>
      <c r="BZ20" s="25">
        <f t="shared" ca="1" si="58"/>
        <v>68</v>
      </c>
      <c r="CA20" s="24">
        <f t="shared" ca="1" si="58"/>
        <v>54</v>
      </c>
      <c r="CB20" s="287">
        <f t="shared" ca="1" si="25"/>
        <v>0.79411764705882348</v>
      </c>
      <c r="CC20" s="291">
        <f>IFERROR(IF($BZ$4="ENERO",H20,IF($BZ$4="FEBRERO",H20+N20,IF($BZ$4="MARZO",H20+N20+T20,IF($BZ$4="ABRIL",H20+N20+T20+Z20,IF($BZ$4="MAYO",H20+N20+T20+Z20+AF20,IF($BZ$4="JUNIO",H20+N20+T20+Z20+AF20+AL20,IF($BZ$4="JULIO",H20+N20+T20+Z20+AF20+AL20+AR20,IF($BZ$4="AGOSTO",H20+N20+T20+Z20+AF20+AL20+AR20+AX20,IF($BZ$4="SEPTIEMBRE",H20+N20+T20+Z20+AF20+AL20+AR20+AX20+BD20,IF($BZ$4="OCTUBRE",H20+N20+T20+Z20+AF20+AL20+AR20+AX20+BD20+BJ20,IF($BZ$4="NOVIEMBRE",H20+N20+T20+Z20+AF20+AL20+AR20+AX20+BD20+BJ20+BP20,IF($BZ$4="DICIEMBRE",H20+N20+T20+Z20+AF20+AL20+AR20+AX20+BD20+BJ20+BP20+BV20,"")))))))))))),0)</f>
        <v>48</v>
      </c>
      <c r="CD20" s="282">
        <f ca="1">IFERROR(IF(CA20=0,"N.D.",CC20/CA20),0)</f>
        <v>0.88888888888888884</v>
      </c>
      <c r="CE20" s="24">
        <f>IFERROR(IF($BZ$4="ENERO",J20,IF($BZ$4="FEBRERO",J20+P20,IF($BZ$4="MARZO",J20+P20+V20,IF($BZ$4="ABRIL",J20+P20+V20+AB20,IF($BZ$4="MAYO",J20+P20+V20+AB20+AH20,IF($BZ$4="JUNIO",J20+P20+V20+AB20+AH20+AN20,IF($BZ$4="JULIO",J20+P20+V20+AB20+AH20+AN20+AT20,IF($BZ$4="AGOSTO",J20+P20+V20+AB20+AH20+AN20+AT20+AZ20,IF($BZ$4="SEPTIEMBRE",J20+P20+V20+AB20+AH20+AN20+AT20+AZ20+BF20,IF($BZ$4="OCTUBRE",J20+P20+V20+AB20+AH20+AN20+AT20+AZ20+BF20+BL20,IF($BZ$4="NOVIEMBRE",J20+P20+V20+AB20+AH20+AN20+AT20+AZ20+BF20+BL20+BR20,IF($BZ$4="DICIEMBRE",J20+P20+V20+AB20+AH20+AN20+AT20+AZ20+BF20+BL20+BR20+BX20,"")))))))))))),0)</f>
        <v>16</v>
      </c>
      <c r="CF20" s="130">
        <f t="shared" ca="1" si="32"/>
        <v>0.23529411764705882</v>
      </c>
      <c r="CG20" s="25">
        <f ca="1">SUM(F20+L20+R20+X20+AD20+AJ20+AP20+AV20+BB20+BH20+BN20+BT20)</f>
        <v>68</v>
      </c>
      <c r="CH20" s="24">
        <f ca="1">SUMIFS($F20:$BW20,$F$6:$BW$6,CH$6,$F$2:$BW$2,$BZ$4)</f>
        <v>54</v>
      </c>
      <c r="CI20" s="287">
        <f t="shared" ca="1" si="33"/>
        <v>0.79411764705882348</v>
      </c>
      <c r="CJ20" s="291">
        <f>SUMIFS($F20:$BW20,$F$6:$BW$6,CJ$6,$F$2:$BW$2,$BZ$4)</f>
        <v>48</v>
      </c>
      <c r="CK20" s="282">
        <f t="shared" ca="1" si="26"/>
        <v>0.88888888888888884</v>
      </c>
      <c r="CL20" s="182">
        <f>IFERROR(J20+P20+V20+AB20+AH20+AN20+AT20+AZ20+BF20+BL20+BR20+BX20,0)</f>
        <v>16</v>
      </c>
      <c r="CM20" s="130">
        <f t="shared" ca="1" si="34"/>
        <v>0.23529411764705882</v>
      </c>
      <c r="CN20" s="25">
        <f t="shared" ca="1" si="59"/>
        <v>33</v>
      </c>
      <c r="CO20" s="24">
        <f t="shared" ca="1" si="59"/>
        <v>25</v>
      </c>
      <c r="CP20" s="287">
        <f t="shared" ca="1" si="36"/>
        <v>0.75757575757575757</v>
      </c>
      <c r="CQ20" s="291">
        <f>IF($CN$5="Q1",H20+N20+T20,
IF($CN$5="Q2",Z20+AF20++AL20,
IF($CN$5="Q3",AR20+AX20+BD20,
IF($CN$5="Q4",BJ20+BP20+BV20,0))))</f>
        <v>22</v>
      </c>
      <c r="CR20" s="282">
        <f t="shared" ca="1" si="37"/>
        <v>0.88</v>
      </c>
      <c r="CS20" s="24">
        <f t="shared" si="38"/>
        <v>0</v>
      </c>
      <c r="CT20" s="130">
        <f t="shared" ca="1" si="39"/>
        <v>0</v>
      </c>
      <c r="CU20" s="25">
        <f t="shared" ca="1" si="40"/>
        <v>68</v>
      </c>
      <c r="CV20" s="24">
        <f t="shared" ca="1" si="41"/>
        <v>54</v>
      </c>
      <c r="CW20" s="287">
        <f t="shared" ca="1" si="42"/>
        <v>0.79411764705882348</v>
      </c>
      <c r="CX20" s="24">
        <f t="shared" si="43"/>
        <v>48</v>
      </c>
      <c r="CY20" s="282">
        <f t="shared" ca="1" si="44"/>
        <v>0.88888888888888884</v>
      </c>
      <c r="CZ20" s="24">
        <f t="shared" si="45"/>
        <v>16</v>
      </c>
      <c r="DA20" s="130">
        <f t="shared" ca="1" si="46"/>
        <v>0.23529411764705882</v>
      </c>
      <c r="DB20" s="25">
        <f t="shared" ca="1" si="60"/>
        <v>0</v>
      </c>
      <c r="DC20" s="24">
        <f t="shared" ca="1" si="60"/>
        <v>0</v>
      </c>
      <c r="DD20" s="287">
        <f t="shared" ca="1" si="48"/>
        <v>0</v>
      </c>
      <c r="DE20" s="24">
        <f>IFERROR(IF($DB$5="S 1",H20+N20+T20+Z20+AF20++AL20,
IF($DB$5="S 2",AR20+AX20+BD20+BJ20+BP20+BV20,0)),0)</f>
        <v>0</v>
      </c>
      <c r="DF20" s="282" t="str">
        <f t="shared" ca="1" si="49"/>
        <v>N.D.</v>
      </c>
      <c r="DG20" s="24">
        <f>IFERROR(IF($DB$5="S 1",J20+P20+V20+AB20+AH20+AN20,
IF($DB$5="S 2",AT20+AZ20+BF20+BL20+BR20+BX20,0)),0)</f>
        <v>0</v>
      </c>
      <c r="DH20" s="130">
        <f t="shared" ca="1" si="61"/>
        <v>0</v>
      </c>
      <c r="DI20" s="510">
        <v>1</v>
      </c>
      <c r="DJ20" s="369" t="s">
        <v>13</v>
      </c>
      <c r="DK20" s="25">
        <f t="shared" ca="1" si="51"/>
        <v>68</v>
      </c>
      <c r="DL20" s="24">
        <f t="shared" ca="1" si="52"/>
        <v>54</v>
      </c>
      <c r="DM20" s="287">
        <f t="shared" ca="1" si="53"/>
        <v>0.79411764705882348</v>
      </c>
      <c r="DN20" s="291">
        <f t="shared" si="54"/>
        <v>48</v>
      </c>
      <c r="DO20" s="282">
        <f t="shared" ca="1" si="55"/>
        <v>0.88888888888888884</v>
      </c>
      <c r="DP20" s="182">
        <f t="shared" si="56"/>
        <v>16</v>
      </c>
      <c r="DQ20" s="130">
        <f t="shared" ca="1" si="57"/>
        <v>0.23529411764705882</v>
      </c>
      <c r="DR20"/>
      <c r="DS20" s="4">
        <f ca="1"/>
        <v>200</v>
      </c>
      <c r="DT20" s="4">
        <f ca="1"/>
        <v>212</v>
      </c>
      <c r="DU20" s="508">
        <f ca="1"/>
        <v>1.145945945945946</v>
      </c>
      <c r="DW20" s="508">
        <f ca="1"/>
        <v>0.97916666666666663</v>
      </c>
      <c r="DX20" s="4">
        <v>88</v>
      </c>
      <c r="DY20" s="508">
        <f ca="1"/>
        <v>0.4642857142857143</v>
      </c>
    </row>
    <row r="21" spans="1:129" s="4" customFormat="1" ht="15" customHeight="1" x14ac:dyDescent="0.35">
      <c r="A21" s="4">
        <f>_xlfn.XLOOKUP(B21,'WHOLESALE BMW 2026'!$B$7:$B$67,'WHOLESALE BMW 2026'!$A$7:$A$67)</f>
        <v>3</v>
      </c>
      <c r="B21" s="8">
        <v>100730</v>
      </c>
      <c r="C21" s="369" t="s">
        <v>41</v>
      </c>
      <c r="D21" s="125"/>
      <c r="E21" s="309" t="s">
        <v>78</v>
      </c>
      <c r="F21" s="21">
        <f ca="1">SUMIF('UC BMW 2026'!B19:B95,'UC BMW 2026'!B19,'UC BMW 2026'!F19:F86)</f>
        <v>18</v>
      </c>
      <c r="G21" s="24">
        <f ca="1">SUMIF('UC BMW 2026'!$B$5:$B$77,'UC BMW 2026'!B19,'UC BMW 2026'!$G$5:$G$72)</f>
        <v>11</v>
      </c>
      <c r="H21" s="24">
        <f>IFERROR(VLOOKUP(B21,[2]BPS!$B$10:$O$64,3,0),0)-IF(B21=100873,IFERROR(VLOOKUP("Enero",[2]BPS!$B$74:$C$89,2,0),0),0)</f>
        <v>11</v>
      </c>
      <c r="I21" s="285">
        <f t="shared" ca="1" si="0"/>
        <v>1</v>
      </c>
      <c r="J21" s="380">
        <f>IFERROR(VLOOKUP(B21,'[2]RETAIL ORIGEN RMKT'!$B$11:$O$62,3,0),0)</f>
        <v>5</v>
      </c>
      <c r="K21" s="130">
        <f t="shared" ca="1" si="1"/>
        <v>0.27777777777777779</v>
      </c>
      <c r="L21" s="21">
        <f ca="1">SUMIF('UC BMW 2026'!$B$5:$B$77,'UC BMW 2026'!$B19,'UC BMW 2026'!$H$5:$H$72)</f>
        <v>18</v>
      </c>
      <c r="M21" s="24">
        <f ca="1">SUMIF('UC BMW 2026'!$B$5:$B$77,'UC BMW 2026'!$B19,'UC BMW 2026'!$I$5:$I$72)</f>
        <v>19</v>
      </c>
      <c r="N21" s="24">
        <f>IFERROR(VLOOKUP(B21,[2]BPS!$B$10:$O$64,4,0),0)-IF(B21=100873,IFERROR(VLOOKUP("Febrero",[2]BPS!$B$74:$C$89,2,0),0),0)</f>
        <v>19</v>
      </c>
      <c r="O21" s="285">
        <f t="shared" ca="1" si="2"/>
        <v>1</v>
      </c>
      <c r="P21" s="380">
        <f>IFERROR(VLOOKUP(B21,'[2]RETAIL ORIGEN RMKT'!$B$11:$O$62,4,0),0)</f>
        <v>6</v>
      </c>
      <c r="Q21" s="130">
        <f t="shared" ca="1" si="3"/>
        <v>0.33333333333333331</v>
      </c>
      <c r="R21" s="21">
        <f ca="1">SUMIF('UC BMW 2026'!$B$5:$B$77,'UC BMW 2026'!$B19,'UC BMW 2026'!$J$5:$J$72)</f>
        <v>18</v>
      </c>
      <c r="S21" s="24">
        <f ca="1">SUMIF('UC BMW 2026'!$B$5:$B$77,'UC BMW 2026'!$B19,'UC BMW 2026'!$K$5:$K$72)</f>
        <v>18</v>
      </c>
      <c r="T21" s="24">
        <f>IFERROR(VLOOKUP(B21,[2]BPS!$B$10:$O$64,5,0),0)-IF(B21=100873,IFERROR(VLOOKUP("Marzo",[2]BPS!$B$74:$C$89,2,0),0),0)</f>
        <v>16</v>
      </c>
      <c r="U21" s="285">
        <f t="shared" ca="1" si="4"/>
        <v>0.88888888888888884</v>
      </c>
      <c r="V21" s="380">
        <f>IFERROR(VLOOKUP(B21,'[2]RETAIL ORIGEN RMKT'!$B$11:$O$62,5,0),0)</f>
        <v>2</v>
      </c>
      <c r="W21" s="130">
        <f t="shared" ca="1" si="5"/>
        <v>0.1111111111111111</v>
      </c>
      <c r="X21" s="21">
        <f ca="1">SUMIF('UC BMW 2026'!$B$5:$B$77,'UC BMW 2026'!$B19,'UC BMW 2026'!$L$5:$L$72)</f>
        <v>18</v>
      </c>
      <c r="Y21" s="24">
        <f ca="1">SUMIF('UC BMW 2026'!$B$5:$B$77,'UC BMW 2026'!$B19,'UC BMW 2026'!$M$5:$M$72)</f>
        <v>9</v>
      </c>
      <c r="Z21" s="24">
        <f>IFERROR(VLOOKUP(B21,[2]BPS!$B$10:$O$64,6,0),0)-IF(B21=100873,IFERROR(VLOOKUP("Abril",[2]BPS!$B$74:$C$89,2,0),0),0)</f>
        <v>9</v>
      </c>
      <c r="AA21" s="285">
        <f t="shared" ca="1" si="6"/>
        <v>1</v>
      </c>
      <c r="AB21" s="380">
        <f>IFERROR(VLOOKUP(B21,'[2]RETAIL ORIGEN RMKT'!$B$11:$O$62,6,0),0)</f>
        <v>5</v>
      </c>
      <c r="AC21" s="130">
        <f t="shared" ca="1" si="7"/>
        <v>0.27777777777777779</v>
      </c>
      <c r="AD21" s="21">
        <f ca="1">SUMIF('UC BMW 2026'!$B$5:$B$77,'UC BMW 2026'!$B19,'UC BMW 2026'!$N$5:$N$72)</f>
        <v>18</v>
      </c>
      <c r="AE21" s="24">
        <f ca="1">SUMIF('UC BMW 2026'!$B$5:$B$77,'UC BMW 2026'!$B19,'UC BMW 2026'!$O$5:$O$72)</f>
        <v>16</v>
      </c>
      <c r="AF21" s="24">
        <f>IFERROR(VLOOKUP(B21,[2]BPS!$B$10:$O$64,7,0),0)-IF(B21=100873,IFERROR(VLOOKUP("Mayo",[2]BPS!$B$74:$C$89,2,0),0),0)</f>
        <v>15</v>
      </c>
      <c r="AG21" s="285">
        <f t="shared" ca="1" si="8"/>
        <v>0.9375</v>
      </c>
      <c r="AH21" s="380">
        <f>IFERROR(VLOOKUP(B21,'[2]RETAIL ORIGEN RMKT'!$B$11:$O$62,7,0),0)</f>
        <v>6</v>
      </c>
      <c r="AI21" s="130">
        <f t="shared" ca="1" si="9"/>
        <v>0.33333333333333331</v>
      </c>
      <c r="AJ21" s="21">
        <f ca="1">SUMIF('UC BMW 2026'!$B$5:$B$77,'UC BMW 2026'!$B19,'UC BMW 2026'!$P$5:$P$72)</f>
        <v>19</v>
      </c>
      <c r="AK21" s="24">
        <f ca="1">SUMIF('UC BMW 2026'!$B$5:$B$77,'UC BMW 2026'!$B19,'UC BMW 2026'!$Q$5:$Q$72)</f>
        <v>25</v>
      </c>
      <c r="AL21" s="24">
        <f>IFERROR(VLOOKUP(B21,[2]BPS!$B$10:$O$64,8,0),0)-IF(B21=100873,IFERROR(VLOOKUP("Junio",[2]BPS!$B$74:$C$89,2,0),0),0)</f>
        <v>23</v>
      </c>
      <c r="AM21" s="285">
        <f t="shared" ca="1" si="10"/>
        <v>0.92</v>
      </c>
      <c r="AN21" s="380">
        <f>IFERROR(VLOOKUP(B21,'[2]RETAIL ORIGEN RMKT'!$B$11:$O$62,8,0),0)</f>
        <v>5</v>
      </c>
      <c r="AO21" s="130">
        <f t="shared" ca="1" si="11"/>
        <v>0.26315789473684209</v>
      </c>
      <c r="AP21" s="21">
        <f ca="1">SUMIF('UC BMW 2026'!$B$5:$B$77,'UC BMW 2026'!$B19,'UC BMW 2026'!$R$5:$R$72)</f>
        <v>0</v>
      </c>
      <c r="AQ21" s="24">
        <f ca="1">SUMIF('UC BMW 2026'!$B$5:$B$77,'UC BMW 2026'!$B19,'UC BMW 2026'!$S$5:$S$72)</f>
        <v>0</v>
      </c>
      <c r="AR21" s="24">
        <f>IFERROR(VLOOKUP(B21,[2]BPS!$B$10:$O$64,9,0),0)-IF(B21=100873,IFERROR(VLOOKUP("Julio",[2]BPS!$B$74:$C$89,2,0),0),0)</f>
        <v>0</v>
      </c>
      <c r="AS21" s="285">
        <f t="shared" ca="1" si="12"/>
        <v>0</v>
      </c>
      <c r="AT21" s="380">
        <f>IFERROR(VLOOKUP(B21,'[2]RETAIL ORIGEN RMKT'!$B$11:$O$62,9,0),0)</f>
        <v>0</v>
      </c>
      <c r="AU21" s="130">
        <f t="shared" ca="1" si="13"/>
        <v>0</v>
      </c>
      <c r="AV21" s="21">
        <f ca="1">SUMIF('UC BMW 2026'!$B$5:$B$77,'UC BMW 2026'!$B19,'UC BMW 2026'!$T$5:$T$72)</f>
        <v>0</v>
      </c>
      <c r="AW21" s="24">
        <f ca="1">SUMIF('UC BMW 2026'!$B$5:$B$77,'UC BMW 2026'!$B19,'UC BMW 2026'!$U$5:$U$72)</f>
        <v>0</v>
      </c>
      <c r="AX21" s="24">
        <f>IFERROR(VLOOKUP(B21,[2]BPS!$B$10:$O$64,10,0),0)-IF(B21=100873,IFERROR(VLOOKUP("Agosto",[2]BPS!$B$74:$C$89,2,0),0),0)</f>
        <v>0</v>
      </c>
      <c r="AY21" s="285">
        <f t="shared" ca="1" si="14"/>
        <v>0</v>
      </c>
      <c r="AZ21" s="380">
        <f>IFERROR(VLOOKUP(B21,'[2]RETAIL ORIGEN RMKT'!$B$11:$O$62,10,0),0)</f>
        <v>0</v>
      </c>
      <c r="BA21" s="130">
        <f t="shared" ca="1" si="15"/>
        <v>0</v>
      </c>
      <c r="BB21" s="21">
        <f ca="1">SUMIF('UC BMW 2026'!$B$5:$B$77,'UC BMW 2026'!$B19,'UC BMW 2026'!$V$5:$V$72)</f>
        <v>0</v>
      </c>
      <c r="BC21" s="24">
        <f>SUMIF('UC BMW 2026'!$B$5:$B$77,'UC BMW 2026'!$B19,'UC BMW 2026'!$W$5:$W$77)</f>
        <v>0</v>
      </c>
      <c r="BD21" s="24">
        <f>IFERROR(VLOOKUP(B21,[2]BPS!$B$10:$O$64,11,0),0)-IF(B21=100873,IFERROR(VLOOKUP("Septiembre",[2]BPS!$B$74:$C$89,2,0),0),0)</f>
        <v>0</v>
      </c>
      <c r="BE21" s="285">
        <f t="shared" si="16"/>
        <v>0</v>
      </c>
      <c r="BF21" s="380">
        <f>IFERROR(VLOOKUP(B21,'[2]RETAIL ORIGEN RMKT'!$B$11:$O$62,11,0),0)</f>
        <v>0</v>
      </c>
      <c r="BG21" s="130">
        <f t="shared" ca="1" si="17"/>
        <v>0</v>
      </c>
      <c r="BH21" s="21">
        <f>SUMIF('UC BMW 2026'!$B$5:$B$77,'UC BMW 2026'!$B19,'UC BMW 2026'!$X$5:$X$77)</f>
        <v>0</v>
      </c>
      <c r="BI21" s="24">
        <f>SUMIF('UC BMW 2026'!$B$5:$B$77,'UC BMW 2026'!$B19,'UC BMW 2026'!$Y$5:$Y$77)</f>
        <v>0</v>
      </c>
      <c r="BJ21" s="24">
        <f>IFERROR(VLOOKUP(B21,[2]BPS!$B$10:$O$64,12,0),0)-IF(B21=100873,IFERROR(VLOOKUP("Octubre",[2]BPS!$B$74:$C$89,2,0),0),0)</f>
        <v>0</v>
      </c>
      <c r="BK21" s="285">
        <f t="shared" si="18"/>
        <v>0</v>
      </c>
      <c r="BL21" s="380">
        <f>IFERROR(VLOOKUP(B21,'[2]RETAIL ORIGEN RMKT'!$B$11:$O$62,12,0),0)</f>
        <v>0</v>
      </c>
      <c r="BM21" s="130">
        <f t="shared" si="19"/>
        <v>0</v>
      </c>
      <c r="BN21" s="21">
        <f>SUMIF('UC BMW 2026'!$B$5:$B$77,'UC BMW 2026'!$B19,'UC BMW 2026'!$Z$5:$Z$77)</f>
        <v>0</v>
      </c>
      <c r="BO21" s="24">
        <f>SUMIF('UC BMW 2026'!$B$5:$B$77,'UC BMW 2026'!$B19,'UC BMW 2026'!$AA$5:$AA$77)</f>
        <v>0</v>
      </c>
      <c r="BP21" s="24">
        <f>IFERROR(VLOOKUP(B21,[2]BPS!$B$10:$O$64,13,0),0)-IF(B21=100873,IFERROR(VLOOKUP("Noviembre",[2]BPS!$B$74:$C$89,2,0),0),0)</f>
        <v>0</v>
      </c>
      <c r="BQ21" s="285">
        <f t="shared" si="20"/>
        <v>0</v>
      </c>
      <c r="BR21" s="380">
        <f>IFERROR(VLOOKUP(B21,'[2]RETAIL ORIGEN RMKT'!$B$11:$O$62,13,0),0)</f>
        <v>0</v>
      </c>
      <c r="BS21" s="130">
        <f t="shared" si="21"/>
        <v>0</v>
      </c>
      <c r="BT21" s="21">
        <f>SUMIF('UC BMW 2026'!$B$5:$B$77,'UC BMW 2026'!$B19,'UC BMW 2026'!$AB$5:$AB$77)</f>
        <v>0</v>
      </c>
      <c r="BU21" s="24">
        <f>SUMIF('UC BMW 2026'!$B$5:$B$77,'UC BMW 2026'!$B19,'UC BMW 2026'!$AC$5:$AC$77)</f>
        <v>0</v>
      </c>
      <c r="BV21" s="24">
        <f>IFERROR(VLOOKUP(B21,[2]BPS!$B$10:$O$64,13,0),0)-IF(B21=100873,IFERROR(VLOOKUP("Diciembre",[2]BPS!$B$74:$C$89,2,0),0),0)</f>
        <v>0</v>
      </c>
      <c r="BW21" s="285">
        <f t="shared" si="22"/>
        <v>0</v>
      </c>
      <c r="BX21" s="380">
        <f>IFERROR(VLOOKUP(B21,'[2]RETAIL ORIGEN RMKT'!$B$11:$O$62,14,0),0)</f>
        <v>0</v>
      </c>
      <c r="BY21" s="130">
        <f t="shared" si="23"/>
        <v>0</v>
      </c>
      <c r="BZ21" s="25">
        <f ca="1">IF($BZ$4="ENERO",F21,IF($BZ$4="FEBRERO",F21+L21,IF($BZ$4="MARZO",F21+L21+R21,IF($BZ$4="ABRIL",F21+L21+R21+X21,IF($BZ$4="MAYO",F21+L21+R21+X21+AD21,IF($BZ$4="JUNIO",F21+L21+R21+X21+AD21+AJ21,IF($BZ$4="JULIO",F21+L21+R21+X21+AD21+AJ21+AP21,IF($BZ$4="AGOSTO",F21+L21+R21+X21+AD21+AJ21+AP21+AV21,IF($BZ$4="SEPTIEMBRE",F21+L21+R21+X21+AD21+AJ21+AP21+AV21+BB21,IF($BZ$4="OCTUBRE",F21+L21+R21+X21+AD21+AJ21+AP21+AV21+BB21+BH21,IF($BZ$4="NOVIEMBRE",F21+L21+R21+X21+AD21+AJ21+AP21+AV21+BB21+BH21+BN21,IF($BZ$4="DICIEMBRE",F21+L21+R21+X21+AD21+AJ21+AP21+AV21+BB21+BH21+BN21+BT21,""))))))))))))</f>
        <v>109</v>
      </c>
      <c r="CA21" s="182">
        <f ca="1">IF($BZ$4="ENERO",G21,IF($BZ$4="FEBRERO",G21+M21,IF($BZ$4="MARZO",G21+M21+S21,IF($BZ$4="ABRIL",G21+M21+S21+Y21,IF($BZ$4="MAYO",G21+M21+S21+Y21+AE21,IF($BZ$4="JUNIO",G21+M21+S21+Y21+AE21+AK21,IF($BZ$4="JULIO",G21+M21+S21+Y21+AE21+AK21+AQ21,IF($BZ$4="AGOSTO",G21+M21+S21+Y21+AE21+AK21+AQ21+AW21,IF($BZ$4="SEPTIEMBRE",G21+M21+S21+Y21+AE21+AK21+AQ21+AW21+BC21,IF($BZ$4="OCTUBRE",G21+M21+S21+Y21+AE21+AK21+AQ21+AW21+BC21+BI21,IF($BZ$4="NOVIEMBRE",G21+M21+S21+Y21+AE21+AK21+AQ21+AW21+BC21+BI21+BO21,IF($BZ$4="DICIEMBRE",G21+M21+S21+Y21+AE21+AK21+AQ21+AW21+BC21+BI21+BO21+BU21,""))))))))))))</f>
        <v>98</v>
      </c>
      <c r="CB21" s="282">
        <f t="shared" ca="1" si="25"/>
        <v>0.8990825688073395</v>
      </c>
      <c r="CC21" s="291">
        <f>IFERROR(IF($BZ$4="ENERO",H21,IF($BZ$4="FEBRERO",H21+N21,IF($BZ$4="MARZO",H21+N21+T21,IF($BZ$4="ABRIL",H21+N21+T21+Z21,IF($BZ$4="MAYO",H21+N21+T21+Z21+AF21,IF($BZ$4="JUNIO",H21+N21+T21+Z21+AF21+AL21,IF($BZ$4="JULIO",H21+N21+T21+Z21+AF21+AL21+AR21,IF($BZ$4="AGOSTO",H21+N21+T21+Z21+AF21+AL21+AR21+AX21,IF($BZ$4="SEPTIEMBRE",H21+N21+T21+Z21+AF21+AL21+AR21+AX21+BD21,IF($BZ$4="OCTUBRE",H21+N21+T21+Z21+AF21+AL21+AR21+AX21+BD21+BJ21,IF($BZ$4="NOVIEMBRE",H21+N21+T21+Z21+AF21+AL21+AR21+AX21+BD21+BJ21+BP21,IF($BZ$4="DICIEMBRE",H21+N21+T21+Z21+AF21+AL21+AR21+AX21+BD21+BJ21+BP21+BV21,"")))))))))))),0)</f>
        <v>93</v>
      </c>
      <c r="CD21" s="288">
        <f ca="1">IFERROR(IF(CA21=0,"N.D.",CC21/CA21),0)</f>
        <v>0.94897959183673475</v>
      </c>
      <c r="CE21" s="24">
        <f>IFERROR(IF($BZ$4="ENERO",J21,IF($BZ$4="FEBRERO",J21+P21,IF($BZ$4="MARZO",J21+P21+V21,IF($BZ$4="ABRIL",J21+P21+V21+AB21,IF($BZ$4="MAYO",J21+P21+V21+AB21+AH21,IF($BZ$4="JUNIO",J21+P21+V21+AB21+AH21+AN21,IF($BZ$4="JULIO",J21+P21+V21+AB21+AH21+AN21+AT21,IF($BZ$4="AGOSTO",J21+P21+V21+AB21+AH21+AN21+AT21+AZ21,IF($BZ$4="SEPTIEMBRE",J21+P21+V21+AB21+AH21+AN21+AT21+AZ21+BF21,IF($BZ$4="OCTUBRE",J21+P21+V21+AB21+AH21+AN21+AT21+AZ21+BF21+BL21,IF($BZ$4="NOVIEMBRE",J21+P21+V21+AB21+AH21+AN21+AT21+AZ21+BF21+BL21+BR21,IF($BZ$4="DICIEMBRE",J21+P21+V21+AB21+AH21+AN21+AT21+AZ21+BF21+BL21+BR21+BX21,"")))))))))))),0)</f>
        <v>29</v>
      </c>
      <c r="CF21" s="127">
        <f t="shared" ca="1" si="32"/>
        <v>0.26605504587155965</v>
      </c>
      <c r="CG21" s="25">
        <f ca="1">SUM(F21+L21+R21+X21+AD21+AJ21+AP21+AV21+BB21+BH21+BN21+BT21)</f>
        <v>109</v>
      </c>
      <c r="CH21" s="182">
        <f ca="1">SUMIFS($F21:$BW21,$F$6:$BW$6,CH$6,$F$2:$BW$2,$BZ$4)</f>
        <v>98</v>
      </c>
      <c r="CI21" s="282">
        <f t="shared" ca="1" si="33"/>
        <v>0.8990825688073395</v>
      </c>
      <c r="CJ21" s="291">
        <f>SUMIFS($F21:$BW21,$F$6:$BW$6,CJ$6,$F$2:$BW$2,$BZ$4)</f>
        <v>93</v>
      </c>
      <c r="CK21" s="288">
        <f t="shared" ca="1" si="26"/>
        <v>0.94897959183673475</v>
      </c>
      <c r="CL21" s="182">
        <f>IFERROR(J21+P21+V21+AB21+AH21+AN21+AT21+AZ21+BF21+BL21+BR21+BX21,0)</f>
        <v>29</v>
      </c>
      <c r="CM21" s="127">
        <f t="shared" ca="1" si="34"/>
        <v>0.26605504587155965</v>
      </c>
      <c r="CN21" s="25">
        <f ca="1">IF($CN$5="Q1",F21+L21+R21,
IF($CN$5="Q2",X21+AD21++AJ21,
IF($CN$5="Q3",AP21+AV21+BB21,
IF($CN$5="Q4",BH21+BN21+BT21,0))))</f>
        <v>54</v>
      </c>
      <c r="CO21" s="182">
        <f ca="1">IF($CN$5="Q1",G21+M21+S21,
IF($CN$5="Q2",Y21+AE21++AK21,
IF($CN$5="Q3",AQ21+AW21+BC21,
IF($CN$5="Q4",BI21+BO21+BU21,0))))</f>
        <v>48</v>
      </c>
      <c r="CP21" s="282">
        <f t="shared" ca="1" si="36"/>
        <v>0.88888888888888884</v>
      </c>
      <c r="CQ21" s="291">
        <f>IF($CN$5="Q1",H21+N21+T21,
IF($CN$5="Q2",Z21+AF21++AL21,
IF($CN$5="Q3",AR21+AX21+BD21,
IF($CN$5="Q4",BJ21+BP21+BV21,0))))</f>
        <v>46</v>
      </c>
      <c r="CR21" s="288">
        <f t="shared" ca="1" si="37"/>
        <v>0.95833333333333337</v>
      </c>
      <c r="CS21" s="182">
        <f t="shared" si="38"/>
        <v>0</v>
      </c>
      <c r="CT21" s="127">
        <f t="shared" ca="1" si="39"/>
        <v>0</v>
      </c>
      <c r="CU21" s="25">
        <f t="shared" ca="1" si="40"/>
        <v>109</v>
      </c>
      <c r="CV21" s="182">
        <f t="shared" ca="1" si="41"/>
        <v>98</v>
      </c>
      <c r="CW21" s="282">
        <f t="shared" ca="1" si="42"/>
        <v>0.8990825688073395</v>
      </c>
      <c r="CX21" s="182">
        <f t="shared" si="43"/>
        <v>93</v>
      </c>
      <c r="CY21" s="288">
        <f t="shared" ca="1" si="44"/>
        <v>0.94897959183673475</v>
      </c>
      <c r="CZ21" s="182">
        <f t="shared" si="45"/>
        <v>29</v>
      </c>
      <c r="DA21" s="127">
        <f t="shared" ca="1" si="46"/>
        <v>0.26605504587155965</v>
      </c>
      <c r="DB21" s="25">
        <f ca="1">IF($DB$5="S 1",F21+L21+R21+X21+AD21++AJ21,
IF($DB$5="S 2",AP21+AV21+BB21+BH21+BN21+BT21,0))</f>
        <v>0</v>
      </c>
      <c r="DC21" s="182">
        <f ca="1">IF($DB$5="S 1",G21+M21+S21+Y21+AE21++AK21,
IF($DB$5="S 2",AQ21+AW21+BC21+BI21+BO21+BU21,0))</f>
        <v>0</v>
      </c>
      <c r="DD21" s="282">
        <f t="shared" ca="1" si="48"/>
        <v>0</v>
      </c>
      <c r="DE21" s="182">
        <f>IFERROR(IF($DB$5="S 1",H21+N21+T21+Z21+AF21++AL21,
IF($DB$5="S 2",AR21+AX21+BD21+BJ21+BP21+BV21,0)),0)</f>
        <v>0</v>
      </c>
      <c r="DF21" s="288" t="str">
        <f t="shared" ca="1" si="49"/>
        <v>N.D.</v>
      </c>
      <c r="DG21" s="182">
        <f>IFERROR(IF($DB$5="S 1",J21+P21+V21+AB21+AH21+AN21,
IF($DB$5="S 2",AT21+AZ21+BF21+BL21+BR21+BX21,0)),0)</f>
        <v>0</v>
      </c>
      <c r="DH21" s="127">
        <f t="shared" ca="1" si="61"/>
        <v>0</v>
      </c>
      <c r="DI21" s="510">
        <v>1</v>
      </c>
      <c r="DJ21" s="369" t="s">
        <v>41</v>
      </c>
      <c r="DK21" s="25">
        <f t="shared" ca="1" si="51"/>
        <v>109</v>
      </c>
      <c r="DL21" s="182">
        <f t="shared" ca="1" si="52"/>
        <v>98</v>
      </c>
      <c r="DM21" s="282">
        <f t="shared" ca="1" si="53"/>
        <v>0.8990825688073395</v>
      </c>
      <c r="DN21" s="291">
        <f t="shared" si="54"/>
        <v>93</v>
      </c>
      <c r="DO21" s="288">
        <f t="shared" ca="1" si="55"/>
        <v>0.94897959183673475</v>
      </c>
      <c r="DP21" s="182">
        <f t="shared" si="56"/>
        <v>29</v>
      </c>
      <c r="DQ21" s="127">
        <f t="shared" ca="1" si="57"/>
        <v>0.26605504587155965</v>
      </c>
      <c r="DR21"/>
      <c r="DS21" s="4">
        <f ca="1"/>
        <v>185</v>
      </c>
      <c r="DT21" s="4">
        <f ca="1"/>
        <v>212</v>
      </c>
      <c r="DU21" s="508">
        <f ca="1"/>
        <v>1.1379310344827587</v>
      </c>
      <c r="DW21" s="508">
        <f ca="1"/>
        <v>0.97826086956521741</v>
      </c>
      <c r="DX21" s="4">
        <v>87</v>
      </c>
      <c r="DY21" s="508">
        <f ca="1"/>
        <v>0.46198830409356723</v>
      </c>
    </row>
    <row r="22" spans="1:129" s="4" customFormat="1" ht="15" customHeight="1" thickBot="1" x14ac:dyDescent="0.4">
      <c r="A22" s="4">
        <f>_xlfn.XLOOKUP(B22,'WHOLESALE BMW 2026'!$B$7:$B$67,'WHOLESALE BMW 2026'!$A$7:$A$67)</f>
        <v>3</v>
      </c>
      <c r="B22" s="8">
        <v>100764</v>
      </c>
      <c r="C22" s="369" t="s">
        <v>26</v>
      </c>
      <c r="D22" s="125"/>
      <c r="E22" s="309" t="s">
        <v>277</v>
      </c>
      <c r="F22" s="21">
        <f ca="1">SUMIF('UC BMW 2026'!B20:B96,'UC BMW 2026'!B20,'UC BMW 2026'!F20:F87)</f>
        <v>19</v>
      </c>
      <c r="G22" s="24">
        <f ca="1">SUMIF('UC BMW 2026'!$B$5:$B$77,'UC BMW 2026'!B20,'UC BMW 2026'!$G$5:$G$72)</f>
        <v>17</v>
      </c>
      <c r="H22" s="24">
        <f>IFERROR(VLOOKUP(B22,[2]BPS!$B$10:$O$64,3,0),0)-IF(B22=100873,IFERROR(VLOOKUP("Enero",[2]BPS!$B$74:$C$89,2,0),0),0)</f>
        <v>14</v>
      </c>
      <c r="I22" s="283">
        <f t="shared" ca="1" si="0"/>
        <v>0.82352941176470584</v>
      </c>
      <c r="J22" s="380">
        <f>IFERROR(VLOOKUP(B22,'[2]RETAIL ORIGEN RMKT'!$B$11:$O$62,3,0),0)</f>
        <v>2</v>
      </c>
      <c r="K22" s="127">
        <f t="shared" ca="1" si="1"/>
        <v>0.10526315789473684</v>
      </c>
      <c r="L22" s="21">
        <f ca="1">SUMIF('UC BMW 2026'!$B$5:$B$77,'UC BMW 2026'!$B20,'UC BMW 2026'!$H$5:$H$72)</f>
        <v>19</v>
      </c>
      <c r="M22" s="24">
        <f ca="1">SUMIF('UC BMW 2026'!$B$5:$B$77,'UC BMW 2026'!$B20,'UC BMW 2026'!$I$5:$I$72)</f>
        <v>21</v>
      </c>
      <c r="N22" s="24">
        <f>IFERROR(VLOOKUP(B22,[2]BPS!$B$10:$O$64,4,0),0)-IF(B22=100873,IFERROR(VLOOKUP("Febrero",[2]BPS!$B$74:$C$89,2,0),0),0)</f>
        <v>19</v>
      </c>
      <c r="O22" s="283">
        <f t="shared" ca="1" si="2"/>
        <v>0.90476190476190477</v>
      </c>
      <c r="P22" s="380">
        <f>IFERROR(VLOOKUP(B22,'[2]RETAIL ORIGEN RMKT'!$B$11:$O$62,4,0),0)</f>
        <v>13</v>
      </c>
      <c r="Q22" s="127">
        <f t="shared" ca="1" si="3"/>
        <v>0.68421052631578949</v>
      </c>
      <c r="R22" s="21">
        <f ca="1">SUMIF('UC BMW 2026'!$B$5:$B$77,'UC BMW 2026'!$B20,'UC BMW 2026'!$J$5:$J$72)</f>
        <v>19</v>
      </c>
      <c r="S22" s="24">
        <f ca="1">SUMIF('UC BMW 2026'!$B$5:$B$77,'UC BMW 2026'!$B20,'UC BMW 2026'!$K$5:$K$72)</f>
        <v>14</v>
      </c>
      <c r="T22" s="24">
        <f>IFERROR(VLOOKUP(B22,[2]BPS!$B$10:$O$64,5,0),0)-IF(B22=100873,IFERROR(VLOOKUP("Marzo",[2]BPS!$B$74:$C$89,2,0),0),0)</f>
        <v>13</v>
      </c>
      <c r="U22" s="283">
        <f t="shared" ca="1" si="4"/>
        <v>0.9285714285714286</v>
      </c>
      <c r="V22" s="380">
        <f>IFERROR(VLOOKUP(B22,'[2]RETAIL ORIGEN RMKT'!$B$11:$O$62,5,0),0)</f>
        <v>5</v>
      </c>
      <c r="W22" s="127">
        <f t="shared" ca="1" si="5"/>
        <v>0.26315789473684209</v>
      </c>
      <c r="X22" s="21">
        <f ca="1">SUMIF('UC BMW 2026'!$B$5:$B$77,'UC BMW 2026'!$B20,'UC BMW 2026'!$L$5:$L$72)</f>
        <v>20</v>
      </c>
      <c r="Y22" s="24">
        <f ca="1">SUMIF('UC BMW 2026'!$B$5:$B$77,'UC BMW 2026'!$B20,'UC BMW 2026'!$M$5:$M$72)</f>
        <v>13</v>
      </c>
      <c r="Z22" s="24">
        <f>IFERROR(VLOOKUP(B22,[2]BPS!$B$10:$O$64,6,0),0)-IF(B22=100873,IFERROR(VLOOKUP("Abril",[2]BPS!$B$74:$C$89,2,0),0),0)</f>
        <v>13</v>
      </c>
      <c r="AA22" s="283">
        <f t="shared" ca="1" si="6"/>
        <v>1</v>
      </c>
      <c r="AB22" s="380">
        <f>IFERROR(VLOOKUP(B22,'[2]RETAIL ORIGEN RMKT'!$B$11:$O$62,6,0),0)</f>
        <v>4</v>
      </c>
      <c r="AC22" s="127">
        <f t="shared" ca="1" si="7"/>
        <v>0.2</v>
      </c>
      <c r="AD22" s="21">
        <f ca="1">SUMIF('UC BMW 2026'!$B$5:$B$77,'UC BMW 2026'!$B20,'UC BMW 2026'!$N$5:$N$72)</f>
        <v>20</v>
      </c>
      <c r="AE22" s="24">
        <f ca="1">SUMIF('UC BMW 2026'!$B$5:$B$77,'UC BMW 2026'!$B20,'UC BMW 2026'!$O$5:$O$72)</f>
        <v>19</v>
      </c>
      <c r="AF22" s="24">
        <f>IFERROR(VLOOKUP(B22,[2]BPS!$B$10:$O$64,7,0),0)-IF(B22=100873,IFERROR(VLOOKUP("Mayo",[2]BPS!$B$74:$C$89,2,0),0),0)</f>
        <v>17</v>
      </c>
      <c r="AG22" s="283">
        <f t="shared" ca="1" si="8"/>
        <v>0.89473684210526316</v>
      </c>
      <c r="AH22" s="380">
        <f>IFERROR(VLOOKUP(B22,'[2]RETAIL ORIGEN RMKT'!$B$11:$O$62,7,0),0)</f>
        <v>6</v>
      </c>
      <c r="AI22" s="127">
        <f t="shared" ca="1" si="9"/>
        <v>0.3</v>
      </c>
      <c r="AJ22" s="21">
        <f ca="1">SUMIF('UC BMW 2026'!$B$5:$B$77,'UC BMW 2026'!$B20,'UC BMW 2026'!$P$5:$P$72)</f>
        <v>20</v>
      </c>
      <c r="AK22" s="24">
        <f ca="1">SUMIF('UC BMW 2026'!$B$5:$B$77,'UC BMW 2026'!$B20,'UC BMW 2026'!$Q$5:$Q$72)</f>
        <v>37</v>
      </c>
      <c r="AL22" s="24">
        <f>IFERROR(VLOOKUP(B22,[2]BPS!$B$10:$O$64,8,0),0)-IF(B22=100873,IFERROR(VLOOKUP("Junio",[2]BPS!$B$74:$C$89,2,0),0),0)</f>
        <v>36</v>
      </c>
      <c r="AM22" s="283">
        <f t="shared" ca="1" si="10"/>
        <v>0.97297297297297303</v>
      </c>
      <c r="AN22" s="380">
        <f>IFERROR(VLOOKUP(B22,'[2]RETAIL ORIGEN RMKT'!$B$11:$O$62,8,0),0)</f>
        <v>8</v>
      </c>
      <c r="AO22" s="127">
        <f t="shared" ca="1" si="11"/>
        <v>0.4</v>
      </c>
      <c r="AP22" s="21">
        <f ca="1">SUMIF('UC BMW 2026'!$B$5:$B$77,'UC BMW 2026'!$B20,'UC BMW 2026'!$R$5:$R$72)</f>
        <v>0</v>
      </c>
      <c r="AQ22" s="24">
        <f ca="1">SUMIF('UC BMW 2026'!$B$5:$B$77,'UC BMW 2026'!$B20,'UC BMW 2026'!$S$5:$S$72)</f>
        <v>0</v>
      </c>
      <c r="AR22" s="24">
        <f>IFERROR(VLOOKUP(B22,[2]BPS!$B$10:$O$64,9,0),0)-IF(B22=100873,IFERROR(VLOOKUP("Julio",[2]BPS!$B$74:$C$89,2,0),0),0)</f>
        <v>0</v>
      </c>
      <c r="AS22" s="283">
        <f t="shared" ca="1" si="12"/>
        <v>0</v>
      </c>
      <c r="AT22" s="380">
        <f>IFERROR(VLOOKUP(B22,'[2]RETAIL ORIGEN RMKT'!$B$11:$O$62,9,0),0)</f>
        <v>0</v>
      </c>
      <c r="AU22" s="127">
        <f t="shared" ca="1" si="13"/>
        <v>0</v>
      </c>
      <c r="AV22" s="21">
        <f ca="1">SUMIF('UC BMW 2026'!$B$5:$B$77,'UC BMW 2026'!$B20,'UC BMW 2026'!$T$5:$T$72)</f>
        <v>0</v>
      </c>
      <c r="AW22" s="24">
        <f ca="1">SUMIF('UC BMW 2026'!$B$5:$B$77,'UC BMW 2026'!$B20,'UC BMW 2026'!$U$5:$U$72)</f>
        <v>0</v>
      </c>
      <c r="AX22" s="24">
        <f>IFERROR(VLOOKUP(B22,[2]BPS!$B$10:$O$64,10,0),0)-IF(B22=100873,IFERROR(VLOOKUP("Agosto",[2]BPS!$B$74:$C$89,2,0),0),0)</f>
        <v>0</v>
      </c>
      <c r="AY22" s="283">
        <f t="shared" ca="1" si="14"/>
        <v>0</v>
      </c>
      <c r="AZ22" s="380">
        <f>IFERROR(VLOOKUP(B22,'[2]RETAIL ORIGEN RMKT'!$B$11:$O$62,10,0),0)</f>
        <v>0</v>
      </c>
      <c r="BA22" s="127">
        <f t="shared" ca="1" si="15"/>
        <v>0</v>
      </c>
      <c r="BB22" s="21">
        <f ca="1">SUMIF('UC BMW 2026'!$B$5:$B$77,'UC BMW 2026'!$B20,'UC BMW 2026'!$V$5:$V$72)</f>
        <v>0</v>
      </c>
      <c r="BC22" s="24">
        <f>SUMIF('UC BMW 2026'!$B$5:$B$77,'UC BMW 2026'!$B20,'UC BMW 2026'!$W$5:$W$77)</f>
        <v>0</v>
      </c>
      <c r="BD22" s="24">
        <f>IFERROR(VLOOKUP(B22,[2]BPS!$B$10:$O$64,11,0),0)-IF(B22=100873,IFERROR(VLOOKUP("Septiembre",[2]BPS!$B$74:$C$89,2,0),0),0)</f>
        <v>0</v>
      </c>
      <c r="BE22" s="283">
        <f t="shared" si="16"/>
        <v>0</v>
      </c>
      <c r="BF22" s="380">
        <f>IFERROR(VLOOKUP(B22,'[2]RETAIL ORIGEN RMKT'!$B$11:$O$62,11,0),0)</f>
        <v>0</v>
      </c>
      <c r="BG22" s="127">
        <f t="shared" ca="1" si="17"/>
        <v>0</v>
      </c>
      <c r="BH22" s="21">
        <f>SUMIF('UC BMW 2026'!$B$5:$B$77,'UC BMW 2026'!$B20,'UC BMW 2026'!$X$5:$X$77)</f>
        <v>0</v>
      </c>
      <c r="BI22" s="24">
        <f>SUMIF('UC BMW 2026'!$B$5:$B$77,'UC BMW 2026'!$B20,'UC BMW 2026'!$Y$5:$Y$77)</f>
        <v>0</v>
      </c>
      <c r="BJ22" s="24">
        <f>IFERROR(VLOOKUP(B22,[2]BPS!$B$10:$O$64,12,0),0)-IF(B22=100873,IFERROR(VLOOKUP("Octubre",[2]BPS!$B$74:$C$89,2,0),0),0)</f>
        <v>0</v>
      </c>
      <c r="BK22" s="283">
        <f t="shared" si="18"/>
        <v>0</v>
      </c>
      <c r="BL22" s="380">
        <f>IFERROR(VLOOKUP(B22,'[2]RETAIL ORIGEN RMKT'!$B$11:$O$62,12,0),0)</f>
        <v>0</v>
      </c>
      <c r="BM22" s="127">
        <f t="shared" si="19"/>
        <v>0</v>
      </c>
      <c r="BN22" s="21">
        <f>SUMIF('UC BMW 2026'!$B$5:$B$77,'UC BMW 2026'!$B20,'UC BMW 2026'!$Z$5:$Z$77)</f>
        <v>0</v>
      </c>
      <c r="BO22" s="24">
        <f>SUMIF('UC BMW 2026'!$B$5:$B$77,'UC BMW 2026'!$B20,'UC BMW 2026'!$AA$5:$AA$77)</f>
        <v>0</v>
      </c>
      <c r="BP22" s="24">
        <f>IFERROR(VLOOKUP(B22,[2]BPS!$B$10:$O$64,13,0),0)-IF(B22=100873,IFERROR(VLOOKUP("Noviembre",[2]BPS!$B$74:$C$89,2,0),0),0)</f>
        <v>0</v>
      </c>
      <c r="BQ22" s="283">
        <f t="shared" si="20"/>
        <v>0</v>
      </c>
      <c r="BR22" s="380">
        <f>IFERROR(VLOOKUP(B22,'[2]RETAIL ORIGEN RMKT'!$B$11:$O$62,13,0),0)</f>
        <v>0</v>
      </c>
      <c r="BS22" s="127">
        <f t="shared" si="21"/>
        <v>0</v>
      </c>
      <c r="BT22" s="21">
        <f>SUMIF('UC BMW 2026'!$B$5:$B$77,'UC BMW 2026'!$B20,'UC BMW 2026'!$AB$5:$AB$77)</f>
        <v>0</v>
      </c>
      <c r="BU22" s="24">
        <f>SUMIF('UC BMW 2026'!$B$5:$B$77,'UC BMW 2026'!$B20,'UC BMW 2026'!$AC$5:$AC$77)</f>
        <v>0</v>
      </c>
      <c r="BV22" s="24">
        <f>IFERROR(VLOOKUP(B22,[2]BPS!$B$10:$O$64,13,0),0)-IF(B22=100873,IFERROR(VLOOKUP("Diciembre",[2]BPS!$B$74:$C$89,2,0),0),0)</f>
        <v>0</v>
      </c>
      <c r="BW22" s="283">
        <f t="shared" si="22"/>
        <v>0</v>
      </c>
      <c r="BX22" s="380">
        <f>IFERROR(VLOOKUP(B22,'[2]RETAIL ORIGEN RMKT'!$B$11:$O$62,14,0),0)</f>
        <v>0</v>
      </c>
      <c r="BY22" s="127">
        <f t="shared" si="23"/>
        <v>0</v>
      </c>
      <c r="BZ22" s="25">
        <f ca="1">IF($BZ$4="ENERO",F22,IF($BZ$4="FEBRERO",F22+L22,IF($BZ$4="MARZO",F22+L22+R22,IF($BZ$4="ABRIL",F22+L22+R22+X22,IF($BZ$4="MAYO",F22+L22+R22+X22+AD22,IF($BZ$4="JUNIO",F22+L22+R22+X22+AD22+AJ22,IF($BZ$4="JULIO",F22+L22+R22+X22+AD22+AJ22+AP22,IF($BZ$4="AGOSTO",F22+L22+R22+X22+AD22+AJ22+AP22+AV22,IF($BZ$4="SEPTIEMBRE",F22+L22+R22+X22+AD22+AJ22+AP22+AV22+BB22,IF($BZ$4="OCTUBRE",F22+L22+R22+X22+AD22+AJ22+AP22+AV22+BB22+BH22,IF($BZ$4="NOVIEMBRE",F22+L22+R22+X22+AD22+AJ22+AP22+AV22+BB22+BH22+BN22,IF($BZ$4="DICIEMBRE",F22+L22+R22+X22+AD22+AJ22+AP22+AV22+BB22+BH22+BN22+BT22,""))))))))))))</f>
        <v>117</v>
      </c>
      <c r="CA22" s="27">
        <f ca="1">IF($BZ$4="ENERO",G22,IF($BZ$4="FEBRERO",G22+M22,IF($BZ$4="MARZO",G22+M22+S22,IF($BZ$4="ABRIL",G22+M22+S22+Y22,IF($BZ$4="MAYO",G22+M22+S22+Y22+AE22,IF($BZ$4="JUNIO",G22+M22+S22+Y22+AE22+AK22,IF($BZ$4="JULIO",G22+M22+S22+Y22+AE22+AK22+AQ22,IF($BZ$4="AGOSTO",G22+M22+S22+Y22+AE22+AK22+AQ22+AW22,IF($BZ$4="SEPTIEMBRE",G22+M22+S22+Y22+AE22+AK22+AQ22+AW22+BC22,IF($BZ$4="OCTUBRE",G22+M22+S22+Y22+AE22+AK22+AQ22+AW22+BC22+BI22,IF($BZ$4="NOVIEMBRE",G22+M22+S22+Y22+AE22+AK22+AQ22+AW22+BC22+BI22+BO22,IF($BZ$4="DICIEMBRE",G22+M22+S22+Y22+AE22+AK22+AQ22+AW22+BC22+BI22+BO22+BU22,""))))))))))))</f>
        <v>121</v>
      </c>
      <c r="CB22" s="283">
        <f t="shared" ca="1" si="25"/>
        <v>1.0341880341880343</v>
      </c>
      <c r="CC22" s="294">
        <f>IFERROR(IF($BZ$4="ENERO",H22,IF($BZ$4="FEBRERO",H22+N22,IF($BZ$4="MARZO",H22+N22+T22,IF($BZ$4="ABRIL",H22+N22+T22+Z22,IF($BZ$4="MAYO",H22+N22+T22+Z22+AF22,IF($BZ$4="JUNIO",H22+N22+T22+Z22+AF22+AL22,IF($BZ$4="JULIO",H22+N22+T22+Z22+AF22+AL22+AR22,IF($BZ$4="AGOSTO",H22+N22+T22+Z22+AF22+AL22+AR22+AX22,IF($BZ$4="SEPTIEMBRE",H22+N22+T22+Z22+AF22+AL22+AR22+AX22+BD22,IF($BZ$4="OCTUBRE",H22+N22+T22+Z22+AF22+AL22+AR22+AX22+BD22+BJ22,IF($BZ$4="NOVIEMBRE",H22+N22+T22+Z22+AF22+AL22+AR22+AX22+BD22+BJ22+BP22,IF($BZ$4="DICIEMBRE",H22+N22+T22+Z22+AF22+AL22+AR22+AX22+BD22+BJ22+BP22+BV22,"")))))))))))),0)</f>
        <v>112</v>
      </c>
      <c r="CD22" s="283">
        <f ca="1">IFERROR(IF(CA22=0,"N.D.",CC22/CA22),0)</f>
        <v>0.92561983471074383</v>
      </c>
      <c r="CE22" s="24">
        <f>IFERROR(IF($BZ$4="ENERO",J22,IF($BZ$4="FEBRERO",J22+P22,IF($BZ$4="MARZO",J22+P22+V22,IF($BZ$4="ABRIL",J22+P22+V22+AB22,IF($BZ$4="MAYO",J22+P22+V22+AB22+AH22,IF($BZ$4="JUNIO",J22+P22+V22+AB22+AH22+AN22,IF($BZ$4="JULIO",J22+P22+V22+AB22+AH22+AN22+AT22,IF($BZ$4="AGOSTO",J22+P22+V22+AB22+AH22+AN22+AT22+AZ22,IF($BZ$4="SEPTIEMBRE",J22+P22+V22+AB22+AH22+AN22+AT22+AZ22+BF22,IF($BZ$4="OCTUBRE",J22+P22+V22+AB22+AH22+AN22+AT22+AZ22+BF22+BL22,IF($BZ$4="NOVIEMBRE",J22+P22+V22+AB22+AH22+AN22+AT22+AZ22+BF22+BL22+BR22,IF($BZ$4="DICIEMBRE",J22+P22+V22+AB22+AH22+AN22+AT22+AZ22+BF22+BL22+BR22+BX22,"")))))))))))),0)</f>
        <v>38</v>
      </c>
      <c r="CF22" s="129">
        <f t="shared" ca="1" si="32"/>
        <v>0.3247863247863248</v>
      </c>
      <c r="CG22" s="25">
        <f ca="1">SUM(F22+L22+R22+X22+AD22+AJ22+AP22+AV22+BB22+BH22+BN22+BT22)</f>
        <v>117</v>
      </c>
      <c r="CH22" s="27">
        <f ca="1">SUMIFS($F22:$BW22,$F$6:$BW$6,CH$6,$F$2:$BW$2,$BZ$4)</f>
        <v>121</v>
      </c>
      <c r="CI22" s="283">
        <f t="shared" ca="1" si="33"/>
        <v>1.0341880341880343</v>
      </c>
      <c r="CJ22" s="295">
        <f>SUMIFS($F22:$BW22,$F$6:$BW$6,CJ$6,$F$2:$BW$2,$BZ$4)</f>
        <v>112</v>
      </c>
      <c r="CK22" s="283">
        <f t="shared" ca="1" si="26"/>
        <v>0.92561983471074383</v>
      </c>
      <c r="CL22" s="27">
        <f>IFERROR(J22+P22+V22+AB22+AH22+AN22+AT22+AZ22+BF22+BL22+BR22+BX22,0)</f>
        <v>38</v>
      </c>
      <c r="CM22" s="129">
        <f t="shared" ca="1" si="34"/>
        <v>0.3247863247863248</v>
      </c>
      <c r="CN22" s="25">
        <f ca="1">IF($CN$5="Q1",F22+L22+R22,
IF($CN$5="Q2",X22+AD22++AJ22,
IF($CN$5="Q3",AP22+AV22+BB22,
IF($CN$5="Q4",BH22+BN22+BT22,0))))</f>
        <v>57</v>
      </c>
      <c r="CO22" s="27">
        <f ca="1">IF($CN$5="Q1",G22+M22+S22,
IF($CN$5="Q2",Y22+AE22++AK22,
IF($CN$5="Q3",AQ22+AW22+BC22,
IF($CN$5="Q4",BI22+BO22+BU22,0))))</f>
        <v>52</v>
      </c>
      <c r="CP22" s="283">
        <f t="shared" ca="1" si="36"/>
        <v>0.91228070175438591</v>
      </c>
      <c r="CQ22" s="295">
        <f>IF($CN$5="Q1",H22+N22+T22,
IF($CN$5="Q2",Z22+AF22++AL22,
IF($CN$5="Q3",AR22+AX22+BD22,
IF($CN$5="Q4",BJ22+BP22+BV22,0))))</f>
        <v>46</v>
      </c>
      <c r="CR22" s="283">
        <f t="shared" ca="1" si="37"/>
        <v>0.88461538461538458</v>
      </c>
      <c r="CS22" s="27">
        <f t="shared" si="38"/>
        <v>0</v>
      </c>
      <c r="CT22" s="129">
        <f t="shared" ca="1" si="39"/>
        <v>0</v>
      </c>
      <c r="CU22" s="25">
        <f t="shared" ca="1" si="40"/>
        <v>117</v>
      </c>
      <c r="CV22" s="27">
        <f t="shared" ca="1" si="41"/>
        <v>121</v>
      </c>
      <c r="CW22" s="283">
        <f t="shared" ca="1" si="42"/>
        <v>1.0341880341880343</v>
      </c>
      <c r="CX22" s="27">
        <f t="shared" si="43"/>
        <v>112</v>
      </c>
      <c r="CY22" s="283">
        <f t="shared" ca="1" si="44"/>
        <v>0.92561983471074383</v>
      </c>
      <c r="CZ22" s="27">
        <f t="shared" si="45"/>
        <v>38</v>
      </c>
      <c r="DA22" s="130">
        <f t="shared" ca="1" si="46"/>
        <v>0.3247863247863248</v>
      </c>
      <c r="DB22" s="25">
        <f ca="1">IF($DB$5="S 1",F22+L22+R22+X22+AD22++AJ22,
IF($DB$5="S 2",AP22+AV22+BB22+BH22+BN22+BT22,0))</f>
        <v>0</v>
      </c>
      <c r="DC22" s="27">
        <f ca="1">IF($DB$5="S 1",G22+M22+S22+Y22+AE22++AK22,
IF($DB$5="S 2",AQ22+AW22+BC22+BI22+BO22+BU22,0))</f>
        <v>0</v>
      </c>
      <c r="DD22" s="283">
        <f t="shared" ca="1" si="48"/>
        <v>0</v>
      </c>
      <c r="DE22" s="27">
        <f>IFERROR(IF($DB$5="S 1",H22+N22+T22+Z22+AF22++AL22,
IF($DB$5="S 2",AR22+AX22+BD22+BJ22+BP22+BV22,0)),0)</f>
        <v>0</v>
      </c>
      <c r="DF22" s="283" t="str">
        <f t="shared" ca="1" si="49"/>
        <v>N.D.</v>
      </c>
      <c r="DG22" s="27">
        <f>IFERROR(IF($DB$5="S 1",J22+P22+V22+AB22+AH22+AN22,
IF($DB$5="S 2",AT22+AZ22+BF22+BL22+BR22+BX22,0)),0)</f>
        <v>0</v>
      </c>
      <c r="DH22" s="130">
        <f t="shared" ca="1" si="61"/>
        <v>0</v>
      </c>
      <c r="DI22" s="510">
        <v>1</v>
      </c>
      <c r="DJ22" s="369" t="s">
        <v>26</v>
      </c>
      <c r="DK22" s="25">
        <f t="shared" ca="1" si="51"/>
        <v>117</v>
      </c>
      <c r="DL22" s="27">
        <f t="shared" ca="1" si="52"/>
        <v>121</v>
      </c>
      <c r="DM22" s="283">
        <f t="shared" ca="1" si="53"/>
        <v>1.0341880341880343</v>
      </c>
      <c r="DN22" s="294">
        <f t="shared" si="54"/>
        <v>112</v>
      </c>
      <c r="DO22" s="283">
        <f t="shared" ca="1" si="55"/>
        <v>0.92561983471074383</v>
      </c>
      <c r="DP22" s="27">
        <f t="shared" si="56"/>
        <v>38</v>
      </c>
      <c r="DQ22" s="130">
        <f t="shared" ca="1" si="57"/>
        <v>0.3247863247863248</v>
      </c>
      <c r="DR22"/>
      <c r="DS22" s="4">
        <f ca="1"/>
        <v>180</v>
      </c>
      <c r="DT22" s="4">
        <f ca="1"/>
        <v>201</v>
      </c>
      <c r="DU22" s="508">
        <f ca="1"/>
        <v>1.131578947368421</v>
      </c>
      <c r="DW22" s="508">
        <f ca="1"/>
        <v>0.97674418604651159</v>
      </c>
      <c r="DX22" s="4">
        <v>79</v>
      </c>
      <c r="DY22" s="508">
        <f ca="1"/>
        <v>0.45945945945945948</v>
      </c>
    </row>
    <row r="23" spans="1:129" s="4" customFormat="1" ht="15" customHeight="1" thickBot="1" x14ac:dyDescent="0.4">
      <c r="A23" s="4">
        <f>_xlfn.XLOOKUP(B23,'WHOLESALE BMW 2026'!$B$7:$B$67,'WHOLESALE BMW 2026'!$A$7:$A$67)</f>
        <v>0</v>
      </c>
      <c r="B23" s="7" t="s">
        <v>273</v>
      </c>
      <c r="C23" s="28"/>
      <c r="D23" s="125"/>
      <c r="E23" s="7"/>
      <c r="F23" s="277">
        <f ca="1">SUM(F18:F22)</f>
        <v>77</v>
      </c>
      <c r="G23" s="277">
        <f ca="1">SUM(G18:G22)</f>
        <v>42</v>
      </c>
      <c r="H23" s="277">
        <f>SUM(H18:H22)</f>
        <v>38</v>
      </c>
      <c r="I23" s="132">
        <f t="shared" ca="1" si="0"/>
        <v>0.90476190476190477</v>
      </c>
      <c r="J23" s="277">
        <f>SUM(J18:J22)</f>
        <v>11</v>
      </c>
      <c r="K23" s="390">
        <f t="shared" ca="1" si="1"/>
        <v>0.14285714285714285</v>
      </c>
      <c r="L23" s="277">
        <f ca="1">SUM(L18:L22)</f>
        <v>77</v>
      </c>
      <c r="M23" s="277">
        <f ca="1">SUM(M18:M22)</f>
        <v>81</v>
      </c>
      <c r="N23" s="277">
        <f>SUM(N18:N22)</f>
        <v>77</v>
      </c>
      <c r="O23" s="132">
        <f t="shared" ca="1" si="2"/>
        <v>0.95061728395061729</v>
      </c>
      <c r="P23" s="277">
        <f>SUM(P18:P22)</f>
        <v>36</v>
      </c>
      <c r="Q23" s="390">
        <f t="shared" ca="1" si="3"/>
        <v>0.46753246753246752</v>
      </c>
      <c r="R23" s="277">
        <f ca="1">SUM(R18:R22)</f>
        <v>77</v>
      </c>
      <c r="S23" s="277">
        <f ca="1">SUM(S18:S22)</f>
        <v>76</v>
      </c>
      <c r="T23" s="277">
        <f>SUM(T18:T22)</f>
        <v>69</v>
      </c>
      <c r="U23" s="132">
        <f t="shared" ca="1" si="4"/>
        <v>0.90789473684210531</v>
      </c>
      <c r="V23" s="277">
        <f>SUM(V18:V22)</f>
        <v>23</v>
      </c>
      <c r="W23" s="390">
        <f t="shared" ca="1" si="5"/>
        <v>0.29870129870129869</v>
      </c>
      <c r="X23" s="277">
        <f ca="1">SUM(X18:X22)</f>
        <v>80</v>
      </c>
      <c r="Y23" s="277">
        <f ca="1">SUM(Y18:Y22)</f>
        <v>62</v>
      </c>
      <c r="Z23" s="277">
        <f>SUM(Z18:Z22)</f>
        <v>60</v>
      </c>
      <c r="AA23" s="132">
        <f t="shared" ca="1" si="6"/>
        <v>0.967741935483871</v>
      </c>
      <c r="AB23" s="277">
        <f>SUM(AB18:AB22)</f>
        <v>25</v>
      </c>
      <c r="AC23" s="390">
        <f t="shared" ca="1" si="7"/>
        <v>0.3125</v>
      </c>
      <c r="AD23" s="277">
        <f ca="1">SUM(AD18:AD22)</f>
        <v>81</v>
      </c>
      <c r="AE23" s="277">
        <f ca="1">SUM(AE18:AE22)</f>
        <v>56</v>
      </c>
      <c r="AF23" s="277">
        <f>SUM(AF18:AF22)</f>
        <v>48</v>
      </c>
      <c r="AG23" s="132">
        <f t="shared" ca="1" si="8"/>
        <v>0.8571428571428571</v>
      </c>
      <c r="AH23" s="277">
        <f>SUM(AH18:AH22)</f>
        <v>17</v>
      </c>
      <c r="AI23" s="390">
        <f t="shared" ca="1" si="9"/>
        <v>0.20987654320987653</v>
      </c>
      <c r="AJ23" s="277">
        <f ca="1">SUM(AJ18:AJ22)</f>
        <v>82</v>
      </c>
      <c r="AK23" s="277">
        <f ca="1">SUM(AK18:AK22)</f>
        <v>123</v>
      </c>
      <c r="AL23" s="277">
        <f>SUM(AL18:AL22)</f>
        <v>115</v>
      </c>
      <c r="AM23" s="132">
        <f t="shared" ca="1" si="10"/>
        <v>0.93495934959349591</v>
      </c>
      <c r="AN23" s="277">
        <f>SUM(AN18:AN22)</f>
        <v>33</v>
      </c>
      <c r="AO23" s="390">
        <f t="shared" ca="1" si="11"/>
        <v>0.40243902439024393</v>
      </c>
      <c r="AP23" s="277">
        <f ca="1">SUM(AP18:AP22)</f>
        <v>0</v>
      </c>
      <c r="AQ23" s="277">
        <f ca="1">SUM(AQ18:AQ22)</f>
        <v>0</v>
      </c>
      <c r="AR23" s="277">
        <f>SUM(AR18:AR22)</f>
        <v>0</v>
      </c>
      <c r="AS23" s="132">
        <f t="shared" ca="1" si="12"/>
        <v>0</v>
      </c>
      <c r="AT23" s="277">
        <f>SUM(AT18:AT22)</f>
        <v>0</v>
      </c>
      <c r="AU23" s="390">
        <f t="shared" ca="1" si="13"/>
        <v>0</v>
      </c>
      <c r="AV23" s="277">
        <f ca="1">SUM(AV18:AV22)</f>
        <v>0</v>
      </c>
      <c r="AW23" s="277">
        <f ca="1">SUM(AW18:AW22)</f>
        <v>0</v>
      </c>
      <c r="AX23" s="277">
        <f>SUM(AX18:AX22)</f>
        <v>0</v>
      </c>
      <c r="AY23" s="132">
        <f t="shared" ca="1" si="14"/>
        <v>0</v>
      </c>
      <c r="AZ23" s="277">
        <f>SUM(AZ18:AZ22)</f>
        <v>0</v>
      </c>
      <c r="BA23" s="390">
        <f t="shared" ca="1" si="15"/>
        <v>0</v>
      </c>
      <c r="BB23" s="277">
        <f ca="1">SUM(BB18:BB22)</f>
        <v>0</v>
      </c>
      <c r="BC23" s="277">
        <f>SUM(BC18:BC22)</f>
        <v>0</v>
      </c>
      <c r="BD23" s="277">
        <f>SUM(BD18:BD22)</f>
        <v>0</v>
      </c>
      <c r="BE23" s="132">
        <f t="shared" si="16"/>
        <v>0</v>
      </c>
      <c r="BF23" s="277">
        <f>SUM(BF18:BF22)</f>
        <v>0</v>
      </c>
      <c r="BG23" s="390">
        <f t="shared" ca="1" si="17"/>
        <v>0</v>
      </c>
      <c r="BH23" s="277">
        <f>SUM(BH18:BH22)</f>
        <v>0</v>
      </c>
      <c r="BI23" s="277">
        <f>SUM(BI18:BI22)</f>
        <v>0</v>
      </c>
      <c r="BJ23" s="277">
        <f>SUM(BJ18:BJ22)</f>
        <v>0</v>
      </c>
      <c r="BK23" s="132">
        <f t="shared" si="18"/>
        <v>0</v>
      </c>
      <c r="BL23" s="277">
        <f>SUM(BL18:BL22)</f>
        <v>0</v>
      </c>
      <c r="BM23" s="390">
        <f t="shared" si="19"/>
        <v>0</v>
      </c>
      <c r="BN23" s="277">
        <f>SUM(BN18:BN22)</f>
        <v>0</v>
      </c>
      <c r="BO23" s="277">
        <f>SUM(BO18:BO22)</f>
        <v>0</v>
      </c>
      <c r="BP23" s="277">
        <f>SUM(BP18:BP22)</f>
        <v>0</v>
      </c>
      <c r="BQ23" s="132">
        <f t="shared" si="20"/>
        <v>0</v>
      </c>
      <c r="BR23" s="277">
        <f>SUM(BR18:BR22)</f>
        <v>0</v>
      </c>
      <c r="BS23" s="390">
        <f t="shared" si="21"/>
        <v>0</v>
      </c>
      <c r="BT23" s="277">
        <f>SUM(BT18:BT22)</f>
        <v>0</v>
      </c>
      <c r="BU23" s="277">
        <f>SUM(BU18:BU22)</f>
        <v>0</v>
      </c>
      <c r="BV23" s="277">
        <f>SUM(BV18:BV22)</f>
        <v>0</v>
      </c>
      <c r="BW23" s="132">
        <f t="shared" si="22"/>
        <v>0</v>
      </c>
      <c r="BX23" s="277">
        <f>SUM(BX18:BX22)</f>
        <v>0</v>
      </c>
      <c r="BY23" s="390">
        <f t="shared" si="23"/>
        <v>0</v>
      </c>
      <c r="BZ23" s="200">
        <f ca="1">SUM(BZ18:BZ22)</f>
        <v>474</v>
      </c>
      <c r="CA23" s="200">
        <f ca="1">SUM(CA18:CA22)</f>
        <v>440</v>
      </c>
      <c r="CB23" s="132">
        <f t="shared" ca="1" si="25"/>
        <v>0.92827004219409281</v>
      </c>
      <c r="CC23" s="200">
        <f>SUM(CC18:CC22)</f>
        <v>407</v>
      </c>
      <c r="CD23" s="132">
        <f ca="1">CC23/CA23</f>
        <v>0.92500000000000004</v>
      </c>
      <c r="CE23" s="200">
        <f>SUM(CE18:CE22)</f>
        <v>145</v>
      </c>
      <c r="CF23" s="131">
        <f t="shared" ca="1" si="32"/>
        <v>0.30590717299578057</v>
      </c>
      <c r="CG23" s="200">
        <f ca="1">SUM(CG18:CG22)</f>
        <v>474</v>
      </c>
      <c r="CH23" s="200">
        <f ca="1">SUM(CH18:CH22)</f>
        <v>440</v>
      </c>
      <c r="CI23" s="132">
        <f t="shared" ca="1" si="33"/>
        <v>0.92827004219409281</v>
      </c>
      <c r="CJ23" s="200">
        <f>SUM(CJ18:CJ22)</f>
        <v>407</v>
      </c>
      <c r="CK23" s="132">
        <f t="shared" ca="1" si="26"/>
        <v>0.92500000000000004</v>
      </c>
      <c r="CL23" s="200">
        <f>SUM(CL18:CL22)</f>
        <v>145</v>
      </c>
      <c r="CM23" s="131">
        <f t="shared" ca="1" si="34"/>
        <v>0.30590717299578057</v>
      </c>
      <c r="CN23" s="200">
        <f ca="1">SUM(CN18:CN32)</f>
        <v>410</v>
      </c>
      <c r="CO23" s="258">
        <f ca="1">SUM(CO18:CO32)</f>
        <v>156</v>
      </c>
      <c r="CP23" s="132">
        <f t="shared" ca="1" si="36"/>
        <v>0.38048780487804879</v>
      </c>
      <c r="CQ23" s="278" t="e">
        <f ca="1">SUM(CQ18:CQ32)</f>
        <v>#VALUE!</v>
      </c>
      <c r="CR23" s="132" t="e">
        <f t="shared" ca="1" si="37"/>
        <v>#VALUE!</v>
      </c>
      <c r="CS23" s="258">
        <f t="shared" si="38"/>
        <v>0</v>
      </c>
      <c r="CT23" s="131">
        <f t="shared" ca="1" si="39"/>
        <v>0</v>
      </c>
      <c r="CU23" s="200">
        <f t="shared" ca="1" si="40"/>
        <v>474</v>
      </c>
      <c r="CV23" s="258">
        <f t="shared" ca="1" si="41"/>
        <v>440</v>
      </c>
      <c r="CW23" s="132">
        <f t="shared" ca="1" si="42"/>
        <v>0.92827004219409281</v>
      </c>
      <c r="CX23" s="258">
        <f t="shared" si="43"/>
        <v>407</v>
      </c>
      <c r="CY23" s="132">
        <f t="shared" ca="1" si="44"/>
        <v>0.92500000000000004</v>
      </c>
      <c r="CZ23" s="258">
        <f t="shared" si="45"/>
        <v>145</v>
      </c>
      <c r="DA23" s="275">
        <f t="shared" ca="1" si="46"/>
        <v>0.30590717299578057</v>
      </c>
      <c r="DB23" s="200">
        <f ca="1">IFERROR(SUM(DB18:DB32),0)</f>
        <v>0</v>
      </c>
      <c r="DC23" s="200">
        <f ca="1">IFERROR(SUM(DC18:DC32),0)</f>
        <v>0</v>
      </c>
      <c r="DD23" s="132">
        <f t="shared" ca="1" si="48"/>
        <v>0</v>
      </c>
      <c r="DE23" s="258">
        <f ca="1">IFERROR(SUM(DE18:DE32),0)</f>
        <v>0</v>
      </c>
      <c r="DF23" s="132" t="str">
        <f t="shared" ca="1" si="49"/>
        <v>N.D.</v>
      </c>
      <c r="DG23" s="258">
        <f ca="1">IFERROR(SUM(DG18:DG32),0)</f>
        <v>0</v>
      </c>
      <c r="DH23" s="275">
        <f t="shared" ca="1" si="61"/>
        <v>0</v>
      </c>
      <c r="DI23" s="510">
        <v>0</v>
      </c>
      <c r="DJ23" s="28"/>
      <c r="DK23" s="200">
        <f t="shared" ca="1" si="51"/>
        <v>474</v>
      </c>
      <c r="DL23" s="258">
        <f t="shared" ca="1" si="52"/>
        <v>440</v>
      </c>
      <c r="DM23" s="132">
        <f t="shared" ca="1" si="53"/>
        <v>0.92827004219409281</v>
      </c>
      <c r="DN23" s="278">
        <f t="shared" si="54"/>
        <v>407</v>
      </c>
      <c r="DO23" s="132">
        <f t="shared" ca="1" si="55"/>
        <v>0.92500000000000004</v>
      </c>
      <c r="DP23" s="258">
        <f t="shared" si="56"/>
        <v>145</v>
      </c>
      <c r="DQ23" s="275">
        <f t="shared" ca="1" si="57"/>
        <v>0.30590717299578057</v>
      </c>
      <c r="DR23"/>
      <c r="DS23" s="4">
        <f ca="1"/>
        <v>171</v>
      </c>
      <c r="DT23" s="4">
        <f ca="1"/>
        <v>201</v>
      </c>
      <c r="DU23" s="508">
        <f ca="1"/>
        <v>1.1290322580645162</v>
      </c>
      <c r="DW23" s="508">
        <f ca="1"/>
        <v>0.96666666666666667</v>
      </c>
      <c r="DX23" s="4">
        <v>68</v>
      </c>
      <c r="DY23" s="508">
        <f ca="1"/>
        <v>0.44444444444444442</v>
      </c>
    </row>
    <row r="24" spans="1:129" s="4" customFormat="1" ht="15" customHeight="1" x14ac:dyDescent="0.35">
      <c r="A24" s="4">
        <f>_xlfn.XLOOKUP(B24,'WHOLESALE BMW 2026'!$B$7:$B$67,'WHOLESALE BMW 2026'!$A$7:$A$67)</f>
        <v>4</v>
      </c>
      <c r="B24" s="8">
        <v>100120</v>
      </c>
      <c r="C24" s="369" t="s">
        <v>44</v>
      </c>
      <c r="D24" s="125"/>
      <c r="E24" s="309" t="s">
        <v>80</v>
      </c>
      <c r="F24" s="21">
        <f ca="1">SUMIF('UC BMW 2026'!B22:B98,'UC BMW 2026'!B22,'UC BMW 2026'!F22:F89)</f>
        <v>7</v>
      </c>
      <c r="G24" s="24">
        <f ca="1">SUMIF('UC BMW 2026'!$B$5:$B$77,'UC BMW 2026'!B22,'UC BMW 2026'!$G$5:$G$72)</f>
        <v>0</v>
      </c>
      <c r="H24" s="24">
        <f>IFERROR(VLOOKUP(B24,[2]BPS!$B$10:$O$64,3,0),0)-IF(B24=100873,IFERROR(VLOOKUP("Enero",[2]BPS!$B$74:$C$89,2,0),0),0)</f>
        <v>0</v>
      </c>
      <c r="I24" s="282">
        <f t="shared" ca="1" si="0"/>
        <v>0</v>
      </c>
      <c r="J24" s="380">
        <f>IFERROR(VLOOKUP(B24,'[2]RETAIL ORIGEN RMKT'!$B$11:$O$62,3,0),0)</f>
        <v>0</v>
      </c>
      <c r="K24" s="127">
        <f t="shared" ca="1" si="1"/>
        <v>0</v>
      </c>
      <c r="L24" s="21">
        <f ca="1">SUMIF('UC BMW 2026'!$B$5:$B$77,'UC BMW 2026'!$B22,'UC BMW 2026'!$H$5:$H$72)</f>
        <v>7</v>
      </c>
      <c r="M24" s="24">
        <f ca="1">SUMIF('UC BMW 2026'!$B$5:$B$77,'UC BMW 2026'!$B22,'UC BMW 2026'!$I$5:$I$72)</f>
        <v>3</v>
      </c>
      <c r="N24" s="24">
        <f>IFERROR(VLOOKUP(B24,[2]BPS!$B$10:$O$64,4,0),0)-IF(B24=100873,IFERROR(VLOOKUP("Febrero",[2]BPS!$B$74:$C$89,2,0),0),0)</f>
        <v>3</v>
      </c>
      <c r="O24" s="282">
        <f t="shared" ca="1" si="2"/>
        <v>1</v>
      </c>
      <c r="P24" s="380">
        <f>IFERROR(VLOOKUP(B24,'[2]RETAIL ORIGEN RMKT'!$B$11:$O$62,4,0),0)</f>
        <v>0</v>
      </c>
      <c r="Q24" s="127">
        <f t="shared" ca="1" si="3"/>
        <v>0</v>
      </c>
      <c r="R24" s="21">
        <f ca="1">SUMIF('UC BMW 2026'!$B$5:$B$77,'UC BMW 2026'!$B22,'UC BMW 2026'!$J$5:$J$72)</f>
        <v>7</v>
      </c>
      <c r="S24" s="24">
        <f ca="1">SUMIF('UC BMW 2026'!$B$5:$B$77,'UC BMW 2026'!$B22,'UC BMW 2026'!$K$5:$K$72)</f>
        <v>4</v>
      </c>
      <c r="T24" s="24">
        <f>IFERROR(VLOOKUP(B24,[2]BPS!$B$10:$O$64,5,0),0)-IF(B24=100873,IFERROR(VLOOKUP("Marzo",[2]BPS!$B$74:$C$89,2,0),0),0)</f>
        <v>3</v>
      </c>
      <c r="U24" s="282">
        <f t="shared" ca="1" si="4"/>
        <v>0.75</v>
      </c>
      <c r="V24" s="380">
        <f>IFERROR(VLOOKUP(B24,'[2]RETAIL ORIGEN RMKT'!$B$11:$O$62,5,0),0)</f>
        <v>0</v>
      </c>
      <c r="W24" s="127">
        <f t="shared" ca="1" si="5"/>
        <v>0</v>
      </c>
      <c r="X24" s="21">
        <f ca="1">SUMIF('UC BMW 2026'!$B$5:$B$77,'UC BMW 2026'!$B22,'UC BMW 2026'!$L$5:$L$72)</f>
        <v>7</v>
      </c>
      <c r="Y24" s="24">
        <f ca="1">SUMIF('UC BMW 2026'!$B$5:$B$77,'UC BMW 2026'!$B22,'UC BMW 2026'!$M$5:$M$72)</f>
        <v>5</v>
      </c>
      <c r="Z24" s="24">
        <f>IFERROR(VLOOKUP(B24,[2]BPS!$B$10:$O$64,6,0),0)-IF(B24=100873,IFERROR(VLOOKUP("Abril",[2]BPS!$B$74:$C$89,2,0),0),0)</f>
        <v>4</v>
      </c>
      <c r="AA24" s="282">
        <f t="shared" ca="1" si="6"/>
        <v>0.8</v>
      </c>
      <c r="AB24" s="380">
        <f>IFERROR(VLOOKUP(B24,'[2]RETAIL ORIGEN RMKT'!$B$11:$O$62,6,0),0)</f>
        <v>0</v>
      </c>
      <c r="AC24" s="127">
        <f t="shared" ca="1" si="7"/>
        <v>0</v>
      </c>
      <c r="AD24" s="21">
        <f ca="1">SUMIF('UC BMW 2026'!$B$5:$B$77,'UC BMW 2026'!$B22,'UC BMW 2026'!$N$5:$N$72)</f>
        <v>7</v>
      </c>
      <c r="AE24" s="24">
        <f ca="1">SUMIF('UC BMW 2026'!$B$5:$B$77,'UC BMW 2026'!$B22,'UC BMW 2026'!$O$5:$O$72)</f>
        <v>10</v>
      </c>
      <c r="AF24" s="24">
        <f>IFERROR(VLOOKUP(B24,[2]BPS!$B$10:$O$64,7,0),0)-IF(B24=100873,IFERROR(VLOOKUP("Mayo",[2]BPS!$B$74:$C$89,2,0),0),0)</f>
        <v>5</v>
      </c>
      <c r="AG24" s="282">
        <f t="shared" ca="1" si="8"/>
        <v>0.5</v>
      </c>
      <c r="AH24" s="380">
        <f>IFERROR(VLOOKUP(B24,'[2]RETAIL ORIGEN RMKT'!$B$11:$O$62,7,0),0)</f>
        <v>0</v>
      </c>
      <c r="AI24" s="127">
        <f t="shared" ca="1" si="9"/>
        <v>0</v>
      </c>
      <c r="AJ24" s="21">
        <f ca="1">SUMIF('UC BMW 2026'!$B$5:$B$77,'UC BMW 2026'!$B22,'UC BMW 2026'!$P$5:$P$72)</f>
        <v>7</v>
      </c>
      <c r="AK24" s="24">
        <f ca="1">SUMIF('UC BMW 2026'!$B$5:$B$77,'UC BMW 2026'!$B22,'UC BMW 2026'!$Q$5:$Q$72)</f>
        <v>10</v>
      </c>
      <c r="AL24" s="24">
        <f>IFERROR(VLOOKUP(B24,[2]BPS!$B$10:$O$64,8,0),0)-IF(B24=100873,IFERROR(VLOOKUP("Junio",[2]BPS!$B$74:$C$89,2,0),0),0)</f>
        <v>6</v>
      </c>
      <c r="AM24" s="282">
        <f t="shared" ca="1" si="10"/>
        <v>0.6</v>
      </c>
      <c r="AN24" s="380">
        <f>IFERROR(VLOOKUP(B24,'[2]RETAIL ORIGEN RMKT'!$B$11:$O$62,8,0),0)</f>
        <v>0</v>
      </c>
      <c r="AO24" s="127">
        <f t="shared" ca="1" si="11"/>
        <v>0</v>
      </c>
      <c r="AP24" s="21">
        <f ca="1">SUMIF('UC BMW 2026'!$B$5:$B$77,'UC BMW 2026'!$B22,'UC BMW 2026'!$R$5:$R$72)</f>
        <v>0</v>
      </c>
      <c r="AQ24" s="24">
        <f ca="1">SUMIF('UC BMW 2026'!$B$5:$B$77,'UC BMW 2026'!$B22,'UC BMW 2026'!$S$5:$S$72)</f>
        <v>0</v>
      </c>
      <c r="AR24" s="24">
        <f>IFERROR(VLOOKUP(B24,[2]BPS!$B$10:$O$64,9,0),0)-IF(B24=100873,IFERROR(VLOOKUP("Julio",[2]BPS!$B$74:$C$89,2,0),0),0)</f>
        <v>0</v>
      </c>
      <c r="AS24" s="282">
        <f t="shared" ca="1" si="12"/>
        <v>0</v>
      </c>
      <c r="AT24" s="380">
        <f>IFERROR(VLOOKUP(B24,'[2]RETAIL ORIGEN RMKT'!$B$11:$O$62,9,0),0)</f>
        <v>0</v>
      </c>
      <c r="AU24" s="127">
        <f t="shared" ca="1" si="13"/>
        <v>0</v>
      </c>
      <c r="AV24" s="21">
        <f ca="1">SUMIF('UC BMW 2026'!$B$5:$B$77,'UC BMW 2026'!$B22,'UC BMW 2026'!$T$5:$T$72)</f>
        <v>0</v>
      </c>
      <c r="AW24" s="24">
        <f ca="1">SUMIF('UC BMW 2026'!$B$5:$B$77,'UC BMW 2026'!$B22,'UC BMW 2026'!$U$5:$U$72)</f>
        <v>0</v>
      </c>
      <c r="AX24" s="24">
        <f>IFERROR(VLOOKUP(B24,[2]BPS!$B$10:$O$64,10,0),0)-IF(B24=100873,IFERROR(VLOOKUP("Agosto",[2]BPS!$B$74:$C$89,2,0),0),0)</f>
        <v>0</v>
      </c>
      <c r="AY24" s="282">
        <f t="shared" ca="1" si="14"/>
        <v>0</v>
      </c>
      <c r="AZ24" s="380">
        <f>IFERROR(VLOOKUP(B24,'[2]RETAIL ORIGEN RMKT'!$B$11:$O$62,10,0),0)</f>
        <v>0</v>
      </c>
      <c r="BA24" s="127">
        <f t="shared" ca="1" si="15"/>
        <v>0</v>
      </c>
      <c r="BB24" s="21">
        <f ca="1">SUMIF('UC BMW 2026'!$B$5:$B$77,'UC BMW 2026'!$B22,'UC BMW 2026'!$V$5:$V$72)</f>
        <v>0</v>
      </c>
      <c r="BC24" s="24">
        <f>SUMIF('UC BMW 2026'!$B$5:$B$77,'UC BMW 2026'!$B22,'UC BMW 2026'!$W$5:$W$77)</f>
        <v>0</v>
      </c>
      <c r="BD24" s="24">
        <f>IFERROR(VLOOKUP(B24,[2]BPS!$B$10:$O$64,11,0),0)-IF(B24=100873,IFERROR(VLOOKUP("Septiembre",[2]BPS!$B$74:$C$89,2,0),0),0)</f>
        <v>0</v>
      </c>
      <c r="BE24" s="282">
        <f t="shared" si="16"/>
        <v>0</v>
      </c>
      <c r="BF24" s="380">
        <f>IFERROR(VLOOKUP(B24,'[2]RETAIL ORIGEN RMKT'!$B$11:$O$62,11,0),0)</f>
        <v>0</v>
      </c>
      <c r="BG24" s="127">
        <f t="shared" ca="1" si="17"/>
        <v>0</v>
      </c>
      <c r="BH24" s="21">
        <f>SUMIF('UC BMW 2026'!$B$5:$B$77,'UC BMW 2026'!$B22,'UC BMW 2026'!$X$5:$X$77)</f>
        <v>0</v>
      </c>
      <c r="BI24" s="24">
        <f>SUMIF('UC BMW 2026'!$B$5:$B$77,'UC BMW 2026'!$B22,'UC BMW 2026'!$Y$5:$Y$77)</f>
        <v>0</v>
      </c>
      <c r="BJ24" s="24">
        <f>IFERROR(VLOOKUP(B24,[2]BPS!$B$10:$O$64,12,0),0)-IF(B24=100873,IFERROR(VLOOKUP("Octubre",[2]BPS!$B$74:$C$89,2,0),0),0)</f>
        <v>0</v>
      </c>
      <c r="BK24" s="282">
        <f t="shared" si="18"/>
        <v>0</v>
      </c>
      <c r="BL24" s="380">
        <f>IFERROR(VLOOKUP(B24,'[2]RETAIL ORIGEN RMKT'!$B$11:$O$62,12,0),0)</f>
        <v>0</v>
      </c>
      <c r="BM24" s="127">
        <f t="shared" si="19"/>
        <v>0</v>
      </c>
      <c r="BN24" s="21">
        <f>SUMIF('UC BMW 2026'!$B$5:$B$77,'UC BMW 2026'!$B22,'UC BMW 2026'!$Z$5:$Z$77)</f>
        <v>0</v>
      </c>
      <c r="BO24" s="24">
        <f>SUMIF('UC BMW 2026'!$B$5:$B$77,'UC BMW 2026'!$B22,'UC BMW 2026'!$AA$5:$AA$77)</f>
        <v>0</v>
      </c>
      <c r="BP24" s="24">
        <f>IFERROR(VLOOKUP(B24,[2]BPS!$B$10:$O$64,13,0),0)-IF(B24=100873,IFERROR(VLOOKUP("Noviembre",[2]BPS!$B$74:$C$89,2,0),0),0)</f>
        <v>0</v>
      </c>
      <c r="BQ24" s="282">
        <f t="shared" si="20"/>
        <v>0</v>
      </c>
      <c r="BR24" s="380">
        <f>IFERROR(VLOOKUP(B24,'[2]RETAIL ORIGEN RMKT'!$B$11:$O$62,13,0),0)</f>
        <v>0</v>
      </c>
      <c r="BS24" s="127">
        <f t="shared" si="21"/>
        <v>0</v>
      </c>
      <c r="BT24" s="21">
        <f>SUMIF('UC BMW 2026'!$B$5:$B$77,'UC BMW 2026'!$B22,'UC BMW 2026'!$AB$5:$AB$77)</f>
        <v>0</v>
      </c>
      <c r="BU24" s="24">
        <f>SUMIF('UC BMW 2026'!$B$5:$B$77,'UC BMW 2026'!$B22,'UC BMW 2026'!$AC$5:$AC$77)</f>
        <v>0</v>
      </c>
      <c r="BV24" s="24">
        <f>IFERROR(VLOOKUP(B24,[2]BPS!$B$10:$O$64,13,0),0)-IF(B24=100873,IFERROR(VLOOKUP("Diciembre",[2]BPS!$B$74:$C$89,2,0),0),0)</f>
        <v>0</v>
      </c>
      <c r="BW24" s="282">
        <f t="shared" si="22"/>
        <v>0</v>
      </c>
      <c r="BX24" s="380">
        <f>IFERROR(VLOOKUP(B24,'[2]RETAIL ORIGEN RMKT'!$B$11:$O$62,14,0),0)</f>
        <v>0</v>
      </c>
      <c r="BY24" s="127">
        <f t="shared" si="23"/>
        <v>0</v>
      </c>
      <c r="BZ24" s="25">
        <f t="shared" ref="BZ24:CA30" ca="1" si="62">IF($BZ$4="ENERO",F24,IF($BZ$4="FEBRERO",F24+L24,IF($BZ$4="MARZO",F24+L24+R24,IF($BZ$4="ABRIL",F24+L24+R24+X24,IF($BZ$4="MAYO",F24+L24+R24+X24+AD24,IF($BZ$4="JUNIO",F24+L24+R24+X24+AD24+AJ24,IF($BZ$4="JULIO",F24+L24+R24+X24+AD24+AJ24+AP24,IF($BZ$4="AGOSTO",F24+L24+R24+X24+AD24+AJ24+AP24+AV24,IF($BZ$4="SEPTIEMBRE",F24+L24+R24+X24+AD24+AJ24+AP24+AV24+BB24,IF($BZ$4="OCTUBRE",F24+L24+R24+X24+AD24+AJ24+AP24+AV24+BB24+BH24,IF($BZ$4="NOVIEMBRE",F24+L24+R24+X24+AD24+AJ24+AP24+AV24+BB24+BH24+BN24,IF($BZ$4="DICIEMBRE",F24+L24+R24+X24+AD24+AJ24+AP24+AV24+BB24+BH24+BN24+BT24,""))))))))))))</f>
        <v>42</v>
      </c>
      <c r="CA24" s="27">
        <f t="shared" ca="1" si="62"/>
        <v>32</v>
      </c>
      <c r="CB24" s="287">
        <f t="shared" ca="1" si="25"/>
        <v>0.76190476190476186</v>
      </c>
      <c r="CC24" s="151">
        <f t="shared" ref="CC24:CC30" si="63">IFERROR(IF($BZ$4="ENERO",H24,IF($BZ$4="FEBRERO",H24+N24,IF($BZ$4="MARZO",H24+N24+T24,IF($BZ$4="ABRIL",H24+N24+T24+Z24,IF($BZ$4="MAYO",H24+N24+T24+Z24+AF24,IF($BZ$4="JUNIO",H24+N24+T24+Z24+AF24+AL24,IF($BZ$4="JULIO",H24+N24+T24+Z24+AF24+AL24+AR24,IF($BZ$4="AGOSTO",H24+N24+T24+Z24+AF24+AL24+AR24+AX24,IF($BZ$4="SEPTIEMBRE",H24+N24+T24+Z24+AF24+AL24+AR24+AX24+BD24,IF($BZ$4="OCTUBRE",H24+N24+T24+Z24+AF24+AL24+AR24+AX24+BD24+BJ24,IF($BZ$4="NOVIEMBRE",H24+N24+T24+Z24+AF24+AL24+AR24+AX24+BD24+BJ24+BP24,IF($BZ$4="DICIEMBRE",H24+N24+T24+Z24+AF24+AL24+AR24+AX24+BD24+BJ24+BP24+BV24,"")))))))))))),0)</f>
        <v>21</v>
      </c>
      <c r="CD24" s="129">
        <f t="shared" ref="CD24:CD30" ca="1" si="64">IFERROR(IF(CA24=0,"N.D.",CC24/CA24),0)</f>
        <v>0.65625</v>
      </c>
      <c r="CE24" s="24">
        <f t="shared" ref="CE24:CE30" si="65">IFERROR(IF($BZ$4="ENERO",J24,IF($BZ$4="FEBRERO",J24+P24,IF($BZ$4="MARZO",J24+P24+V24,IF($BZ$4="ABRIL",J24+P24+V24+AB24,IF($BZ$4="MAYO",J24+P24+V24+AB24+AH24,IF($BZ$4="JUNIO",J24+P24+V24+AB24+AH24+AN24,IF($BZ$4="JULIO",J24+P24+V24+AB24+AH24+AN24+AT24,IF($BZ$4="AGOSTO",J24+P24+V24+AB24+AH24+AN24+AT24+AZ24,IF($BZ$4="SEPTIEMBRE",J24+P24+V24+AB24+AH24+AN24+AT24+AZ24+BF24,IF($BZ$4="OCTUBRE",J24+P24+V24+AB24+AH24+AN24+AT24+AZ24+BF24+BL24,IF($BZ$4="NOVIEMBRE",J24+P24+V24+AB24+AH24+AN24+AT24+AZ24+BF24+BL24+BR24,IF($BZ$4="DICIEMBRE",J24+P24+V24+AB24+AH24+AN24+AT24+AZ24+BF24+BL24+BR24+BX24,"")))))))))))),0)</f>
        <v>0</v>
      </c>
      <c r="CF24" s="129">
        <f t="shared" ca="1" si="32"/>
        <v>0</v>
      </c>
      <c r="CG24" s="25">
        <f t="shared" ref="CG24:CG30" ca="1" si="66">SUM(F24+L24+R24+X24+AD24+AJ24+AP24+AV24+BB24+BH24+BN24+BT24)</f>
        <v>42</v>
      </c>
      <c r="CH24" s="27">
        <f t="shared" ref="CH24:CH30" ca="1" si="67">SUMIFS($F24:$BW24,$F$6:$BW$6,CH$6,$F$2:$BW$2,$BZ$4)</f>
        <v>32</v>
      </c>
      <c r="CI24" s="287">
        <f t="shared" ca="1" si="33"/>
        <v>0.76190476190476186</v>
      </c>
      <c r="CJ24" s="291">
        <f t="shared" ref="CJ24:CJ30" si="68">SUMIFS($F24:$BW24,$F$6:$BW$6,CJ$6,$F$2:$BW$2,$BZ$4)</f>
        <v>21</v>
      </c>
      <c r="CK24" s="129">
        <f t="shared" ca="1" si="26"/>
        <v>0.65625</v>
      </c>
      <c r="CL24" s="27">
        <f t="shared" ref="CL24:CL30" si="69">IFERROR(J24+P24+V24+AB24+AH24+AN24+AT24+AZ24+BF24+BL24+BR24+BX24,0)</f>
        <v>0</v>
      </c>
      <c r="CM24" s="129">
        <f t="shared" ca="1" si="34"/>
        <v>0</v>
      </c>
      <c r="CN24" s="25">
        <f t="shared" ref="CN24:CO30" ca="1" si="70">IF($CN$5="Q1",F24+L24+R24,
IF($CN$5="Q2",X24+AD24++AJ24,
IF($CN$5="Q3",AP24+AV24+BB24,
IF($CN$5="Q4",BH24+BN24+BT24,0))))</f>
        <v>21</v>
      </c>
      <c r="CO24" s="27">
        <f t="shared" ca="1" si="70"/>
        <v>7</v>
      </c>
      <c r="CP24" s="287">
        <f t="shared" ca="1" si="36"/>
        <v>0.33333333333333331</v>
      </c>
      <c r="CQ24" s="291">
        <f t="shared" ref="CQ24:CQ30" si="71">IF($CN$5="Q1",H24+N24+T24,
IF($CN$5="Q2",Z24+AF24++AL24,
IF($CN$5="Q3",AR24+AX24+BD24,
IF($CN$5="Q4",BJ24+BP24+BV24,0))))</f>
        <v>6</v>
      </c>
      <c r="CR24" s="129">
        <f t="shared" ca="1" si="37"/>
        <v>0.8571428571428571</v>
      </c>
      <c r="CS24" s="27">
        <f t="shared" si="38"/>
        <v>0</v>
      </c>
      <c r="CT24" s="129">
        <f t="shared" ca="1" si="39"/>
        <v>0</v>
      </c>
      <c r="CU24" s="25">
        <f t="shared" ca="1" si="40"/>
        <v>42</v>
      </c>
      <c r="CV24" s="27">
        <f t="shared" ca="1" si="41"/>
        <v>32</v>
      </c>
      <c r="CW24" s="287">
        <f t="shared" ca="1" si="42"/>
        <v>0.76190476190476186</v>
      </c>
      <c r="CX24" s="27">
        <f t="shared" si="43"/>
        <v>21</v>
      </c>
      <c r="CY24" s="129">
        <f t="shared" ca="1" si="44"/>
        <v>0.65625</v>
      </c>
      <c r="CZ24" s="27">
        <f t="shared" si="45"/>
        <v>0</v>
      </c>
      <c r="DA24" s="130">
        <f t="shared" ca="1" si="46"/>
        <v>0</v>
      </c>
      <c r="DB24" s="25">
        <f t="shared" ref="DB24:DC30" ca="1" si="72">IF($DB$5="S 1",F24+L24+R24+X24+AD24++AJ24,
IF($DB$5="S 2",AP24+AV24+BB24+BH24+BN24+BT24,0))</f>
        <v>0</v>
      </c>
      <c r="DC24" s="27">
        <f t="shared" ca="1" si="72"/>
        <v>0</v>
      </c>
      <c r="DD24" s="287">
        <f t="shared" ca="1" si="48"/>
        <v>0</v>
      </c>
      <c r="DE24" s="27">
        <f t="shared" ref="DE24:DE30" si="73">IFERROR(IF($DB$5="S 1",H24+N24+T24+Z24+AF24++AL24,
IF($DB$5="S 2",AR24+AX24+BD24+BJ24+BP24+BV24,0)),0)</f>
        <v>0</v>
      </c>
      <c r="DF24" s="129" t="str">
        <f t="shared" ca="1" si="49"/>
        <v>N.D.</v>
      </c>
      <c r="DG24" s="27">
        <f t="shared" ref="DG24:DG30" si="74">IFERROR(IF($DB$5="S 1",J24+P24+V24+AB24+AH24+AN24,
IF($DB$5="S 2",AT24+AZ24+BF24+BL24+BR24+BX24,0)),0)</f>
        <v>0</v>
      </c>
      <c r="DH24" s="130">
        <f t="shared" ca="1" si="61"/>
        <v>0</v>
      </c>
      <c r="DI24" s="510">
        <v>1</v>
      </c>
      <c r="DJ24" s="369" t="s">
        <v>44</v>
      </c>
      <c r="DK24" s="25">
        <f t="shared" ca="1" si="51"/>
        <v>42</v>
      </c>
      <c r="DL24" s="27">
        <f t="shared" ca="1" si="52"/>
        <v>32</v>
      </c>
      <c r="DM24" s="287">
        <f t="shared" ca="1" si="53"/>
        <v>0.76190476190476186</v>
      </c>
      <c r="DN24" s="151">
        <f t="shared" si="54"/>
        <v>21</v>
      </c>
      <c r="DO24" s="129">
        <f t="shared" ca="1" si="55"/>
        <v>0.65625</v>
      </c>
      <c r="DP24" s="27">
        <f t="shared" si="56"/>
        <v>0</v>
      </c>
      <c r="DQ24" s="130">
        <f t="shared" ca="1" si="57"/>
        <v>0</v>
      </c>
      <c r="DR24"/>
      <c r="DS24" s="4">
        <f ca="1"/>
        <v>168</v>
      </c>
      <c r="DT24" s="4">
        <f ca="1"/>
        <v>177</v>
      </c>
      <c r="DU24" s="508">
        <f ca="1"/>
        <v>1.1142857142857143</v>
      </c>
      <c r="DW24" s="508">
        <f ca="1"/>
        <v>0.96039603960396036</v>
      </c>
      <c r="DX24" s="4">
        <v>67</v>
      </c>
      <c r="DY24" s="508">
        <f ca="1"/>
        <v>0.42857142857142855</v>
      </c>
    </row>
    <row r="25" spans="1:129" s="4" customFormat="1" ht="15" customHeight="1" x14ac:dyDescent="0.35">
      <c r="A25" s="4">
        <f>_xlfn.XLOOKUP(B25,'WHOLESALE BMW 2026'!$B$7:$B$67,'WHOLESALE BMW 2026'!$A$7:$A$67)</f>
        <v>4</v>
      </c>
      <c r="B25" s="8">
        <v>100146</v>
      </c>
      <c r="C25" s="369" t="s">
        <v>18</v>
      </c>
      <c r="D25" s="125"/>
      <c r="E25" s="309" t="s">
        <v>81</v>
      </c>
      <c r="F25" s="21">
        <f ca="1">SUMIF('UC BMW 2026'!B23:B99,'UC BMW 2026'!B23,'UC BMW 2026'!F23:F90)</f>
        <v>7</v>
      </c>
      <c r="G25" s="24">
        <f ca="1">SUMIF('UC BMW 2026'!$B$5:$B$77,'UC BMW 2026'!B23,'UC BMW 2026'!$G$5:$G$72)</f>
        <v>12</v>
      </c>
      <c r="H25" s="24">
        <f>IFERROR(VLOOKUP(B25,[2]BPS!$B$10:$O$64,3,0),0)-IF(B25=100873,IFERROR(VLOOKUP("Enero",[2]BPS!$B$74:$C$89,2,0),0),0)</f>
        <v>8</v>
      </c>
      <c r="I25" s="282">
        <f t="shared" ca="1" si="0"/>
        <v>0.66666666666666663</v>
      </c>
      <c r="J25" s="380">
        <f>IFERROR(VLOOKUP(B25,'[2]RETAIL ORIGEN RMKT'!$B$11:$O$62,3,0),0)</f>
        <v>0</v>
      </c>
      <c r="K25" s="127">
        <f t="shared" ca="1" si="1"/>
        <v>0</v>
      </c>
      <c r="L25" s="21">
        <f ca="1">SUMIF('UC BMW 2026'!$B$5:$B$77,'UC BMW 2026'!$B23,'UC BMW 2026'!$H$5:$H$72)</f>
        <v>7</v>
      </c>
      <c r="M25" s="24">
        <f ca="1">SUMIF('UC BMW 2026'!$B$5:$B$77,'UC BMW 2026'!$B23,'UC BMW 2026'!$I$5:$I$72)</f>
        <v>4</v>
      </c>
      <c r="N25" s="24">
        <f>IFERROR(VLOOKUP(B25,[2]BPS!$B$10:$O$64,4,0),0)-IF(B25=100873,IFERROR(VLOOKUP("Febrero",[2]BPS!$B$74:$C$89,2,0),0),0)</f>
        <v>3</v>
      </c>
      <c r="O25" s="282">
        <f t="shared" ca="1" si="2"/>
        <v>0.75</v>
      </c>
      <c r="P25" s="380">
        <f>IFERROR(VLOOKUP(B25,'[2]RETAIL ORIGEN RMKT'!$B$11:$O$62,4,0),0)</f>
        <v>0</v>
      </c>
      <c r="Q25" s="127">
        <f t="shared" ca="1" si="3"/>
        <v>0</v>
      </c>
      <c r="R25" s="21">
        <f ca="1">SUMIF('UC BMW 2026'!$B$5:$B$77,'UC BMW 2026'!$B23,'UC BMW 2026'!$J$5:$J$72)</f>
        <v>7</v>
      </c>
      <c r="S25" s="24">
        <f ca="1">SUMIF('UC BMW 2026'!$B$5:$B$77,'UC BMW 2026'!$B23,'UC BMW 2026'!$K$5:$K$72)</f>
        <v>0</v>
      </c>
      <c r="T25" s="24">
        <f>IFERROR(VLOOKUP(B25,[2]BPS!$B$10:$O$64,5,0),0)-IF(B25=100873,IFERROR(VLOOKUP("Marzo",[2]BPS!$B$74:$C$89,2,0),0),0)</f>
        <v>0</v>
      </c>
      <c r="U25" s="282">
        <f t="shared" ca="1" si="4"/>
        <v>0</v>
      </c>
      <c r="V25" s="380">
        <f>IFERROR(VLOOKUP(B25,'[2]RETAIL ORIGEN RMKT'!$B$11:$O$62,5,0),0)</f>
        <v>0</v>
      </c>
      <c r="W25" s="127">
        <f t="shared" ca="1" si="5"/>
        <v>0</v>
      </c>
      <c r="X25" s="21">
        <f ca="1">SUMIF('UC BMW 2026'!$B$5:$B$77,'UC BMW 2026'!$B23,'UC BMW 2026'!$L$5:$L$72)</f>
        <v>8</v>
      </c>
      <c r="Y25" s="24">
        <f ca="1">SUMIF('UC BMW 2026'!$B$5:$B$77,'UC BMW 2026'!$B23,'UC BMW 2026'!$M$5:$M$72)</f>
        <v>5</v>
      </c>
      <c r="Z25" s="24">
        <f>IFERROR(VLOOKUP(B25,[2]BPS!$B$10:$O$64,6,0),0)-IF(B25=100873,IFERROR(VLOOKUP("Abril",[2]BPS!$B$74:$C$89,2,0),0),0)</f>
        <v>4</v>
      </c>
      <c r="AA25" s="282">
        <f t="shared" ca="1" si="6"/>
        <v>0.8</v>
      </c>
      <c r="AB25" s="380">
        <f>IFERROR(VLOOKUP(B25,'[2]RETAIL ORIGEN RMKT'!$B$11:$O$62,6,0),0)</f>
        <v>0</v>
      </c>
      <c r="AC25" s="127">
        <f t="shared" ca="1" si="7"/>
        <v>0</v>
      </c>
      <c r="AD25" s="21">
        <f ca="1">SUMIF('UC BMW 2026'!$B$5:$B$77,'UC BMW 2026'!$B23,'UC BMW 2026'!$N$5:$N$72)</f>
        <v>8</v>
      </c>
      <c r="AE25" s="24">
        <f ca="1">SUMIF('UC BMW 2026'!$B$5:$B$77,'UC BMW 2026'!$B23,'UC BMW 2026'!$O$5:$O$72)</f>
        <v>1</v>
      </c>
      <c r="AF25" s="24">
        <f>IFERROR(VLOOKUP(B25,[2]BPS!$B$10:$O$64,7,0),0)-IF(B25=100873,IFERROR(VLOOKUP("Mayo",[2]BPS!$B$74:$C$89,2,0),0),0)</f>
        <v>0</v>
      </c>
      <c r="AG25" s="282">
        <f t="shared" ca="1" si="8"/>
        <v>0</v>
      </c>
      <c r="AH25" s="380">
        <f>IFERROR(VLOOKUP(B25,'[2]RETAIL ORIGEN RMKT'!$B$11:$O$62,7,0),0)</f>
        <v>0</v>
      </c>
      <c r="AI25" s="127">
        <f t="shared" ca="1" si="9"/>
        <v>0</v>
      </c>
      <c r="AJ25" s="21">
        <f ca="1">SUMIF('UC BMW 2026'!$B$5:$B$77,'UC BMW 2026'!$B23,'UC BMW 2026'!$P$5:$P$72)</f>
        <v>8</v>
      </c>
      <c r="AK25" s="24">
        <f ca="1">SUMIF('UC BMW 2026'!$B$5:$B$77,'UC BMW 2026'!$B23,'UC BMW 2026'!$Q$5:$Q$72)</f>
        <v>3</v>
      </c>
      <c r="AL25" s="24">
        <f>IFERROR(VLOOKUP(B25,[2]BPS!$B$10:$O$64,8,0),0)-IF(B25=100873,IFERROR(VLOOKUP("Junio",[2]BPS!$B$74:$C$89,2,0),0),0)</f>
        <v>2</v>
      </c>
      <c r="AM25" s="282">
        <f t="shared" ca="1" si="10"/>
        <v>0.66666666666666663</v>
      </c>
      <c r="AN25" s="380">
        <f>IFERROR(VLOOKUP(B25,'[2]RETAIL ORIGEN RMKT'!$B$11:$O$62,8,0),0)</f>
        <v>0</v>
      </c>
      <c r="AO25" s="127">
        <f t="shared" ca="1" si="11"/>
        <v>0</v>
      </c>
      <c r="AP25" s="21">
        <f ca="1">SUMIF('UC BMW 2026'!$B$5:$B$77,'UC BMW 2026'!$B23,'UC BMW 2026'!$R$5:$R$72)</f>
        <v>0</v>
      </c>
      <c r="AQ25" s="24">
        <f ca="1">SUMIF('UC BMW 2026'!$B$5:$B$77,'UC BMW 2026'!$B23,'UC BMW 2026'!$S$5:$S$72)</f>
        <v>0</v>
      </c>
      <c r="AR25" s="24">
        <f>IFERROR(VLOOKUP(B25,[2]BPS!$B$10:$O$64,9,0),0)-IF(B25=100873,IFERROR(VLOOKUP("Julio",[2]BPS!$B$74:$C$89,2,0),0),0)</f>
        <v>0</v>
      </c>
      <c r="AS25" s="282">
        <f t="shared" ca="1" si="12"/>
        <v>0</v>
      </c>
      <c r="AT25" s="380">
        <f>IFERROR(VLOOKUP(B25,'[2]RETAIL ORIGEN RMKT'!$B$11:$O$62,9,0),0)</f>
        <v>0</v>
      </c>
      <c r="AU25" s="127">
        <f t="shared" ca="1" si="13"/>
        <v>0</v>
      </c>
      <c r="AV25" s="21">
        <f ca="1">SUMIF('UC BMW 2026'!$B$5:$B$77,'UC BMW 2026'!$B23,'UC BMW 2026'!$T$5:$T$72)</f>
        <v>0</v>
      </c>
      <c r="AW25" s="24">
        <f ca="1">SUMIF('UC BMW 2026'!$B$5:$B$77,'UC BMW 2026'!$B23,'UC BMW 2026'!$U$5:$U$72)</f>
        <v>0</v>
      </c>
      <c r="AX25" s="24">
        <f>IFERROR(VLOOKUP(B25,[2]BPS!$B$10:$O$64,10,0),0)-IF(B25=100873,IFERROR(VLOOKUP("Agosto",[2]BPS!$B$74:$C$89,2,0),0),0)</f>
        <v>0</v>
      </c>
      <c r="AY25" s="282">
        <f t="shared" ca="1" si="14"/>
        <v>0</v>
      </c>
      <c r="AZ25" s="380">
        <f>IFERROR(VLOOKUP(B25,'[2]RETAIL ORIGEN RMKT'!$B$11:$O$62,10,0),0)</f>
        <v>0</v>
      </c>
      <c r="BA25" s="127">
        <f t="shared" ca="1" si="15"/>
        <v>0</v>
      </c>
      <c r="BB25" s="21">
        <f ca="1">SUMIF('UC BMW 2026'!$B$5:$B$77,'UC BMW 2026'!$B23,'UC BMW 2026'!$V$5:$V$72)</f>
        <v>0</v>
      </c>
      <c r="BC25" s="24">
        <f>SUMIF('UC BMW 2026'!$B$5:$B$77,'UC BMW 2026'!$B23,'UC BMW 2026'!$W$5:$W$77)</f>
        <v>0</v>
      </c>
      <c r="BD25" s="24">
        <f>IFERROR(VLOOKUP(B25,[2]BPS!$B$10:$O$64,11,0),0)-IF(B25=100873,IFERROR(VLOOKUP("Septiembre",[2]BPS!$B$74:$C$89,2,0),0),0)</f>
        <v>0</v>
      </c>
      <c r="BE25" s="282">
        <f t="shared" si="16"/>
        <v>0</v>
      </c>
      <c r="BF25" s="380">
        <f>IFERROR(VLOOKUP(B25,'[2]RETAIL ORIGEN RMKT'!$B$11:$O$62,11,0),0)</f>
        <v>0</v>
      </c>
      <c r="BG25" s="127">
        <f t="shared" ca="1" si="17"/>
        <v>0</v>
      </c>
      <c r="BH25" s="21">
        <f>SUMIF('UC BMW 2026'!$B$5:$B$77,'UC BMW 2026'!$B23,'UC BMW 2026'!$X$5:$X$77)</f>
        <v>0</v>
      </c>
      <c r="BI25" s="24">
        <f>SUMIF('UC BMW 2026'!$B$5:$B$77,'UC BMW 2026'!$B23,'UC BMW 2026'!$Y$5:$Y$77)</f>
        <v>0</v>
      </c>
      <c r="BJ25" s="24">
        <f>IFERROR(VLOOKUP(B25,[2]BPS!$B$10:$O$64,12,0),0)-IF(B25=100873,IFERROR(VLOOKUP("Octubre",[2]BPS!$B$74:$C$89,2,0),0),0)</f>
        <v>0</v>
      </c>
      <c r="BK25" s="282">
        <f t="shared" si="18"/>
        <v>0</v>
      </c>
      <c r="BL25" s="380">
        <f>IFERROR(VLOOKUP(B25,'[2]RETAIL ORIGEN RMKT'!$B$11:$O$62,12,0),0)</f>
        <v>0</v>
      </c>
      <c r="BM25" s="127">
        <f t="shared" si="19"/>
        <v>0</v>
      </c>
      <c r="BN25" s="21">
        <f>SUMIF('UC BMW 2026'!$B$5:$B$77,'UC BMW 2026'!$B23,'UC BMW 2026'!$Z$5:$Z$77)</f>
        <v>0</v>
      </c>
      <c r="BO25" s="24">
        <f>SUMIF('UC BMW 2026'!$B$5:$B$77,'UC BMW 2026'!$B23,'UC BMW 2026'!$AA$5:$AA$77)</f>
        <v>0</v>
      </c>
      <c r="BP25" s="24">
        <f>IFERROR(VLOOKUP(B25,[2]BPS!$B$10:$O$64,13,0),0)-IF(B25=100873,IFERROR(VLOOKUP("Noviembre",[2]BPS!$B$74:$C$89,2,0),0),0)</f>
        <v>0</v>
      </c>
      <c r="BQ25" s="282">
        <f t="shared" si="20"/>
        <v>0</v>
      </c>
      <c r="BR25" s="380">
        <f>IFERROR(VLOOKUP(B25,'[2]RETAIL ORIGEN RMKT'!$B$11:$O$62,13,0),0)</f>
        <v>0</v>
      </c>
      <c r="BS25" s="127">
        <f t="shared" si="21"/>
        <v>0</v>
      </c>
      <c r="BT25" s="21">
        <f>SUMIF('UC BMW 2026'!$B$5:$B$77,'UC BMW 2026'!$B23,'UC BMW 2026'!$AB$5:$AB$77)</f>
        <v>0</v>
      </c>
      <c r="BU25" s="24">
        <f>SUMIF('UC BMW 2026'!$B$5:$B$77,'UC BMW 2026'!$B23,'UC BMW 2026'!$AC$5:$AC$77)</f>
        <v>0</v>
      </c>
      <c r="BV25" s="24">
        <f>IFERROR(VLOOKUP(B25,[2]BPS!$B$10:$O$64,13,0),0)-IF(B25=100873,IFERROR(VLOOKUP("Diciembre",[2]BPS!$B$74:$C$89,2,0),0),0)</f>
        <v>0</v>
      </c>
      <c r="BW25" s="282">
        <f t="shared" si="22"/>
        <v>0</v>
      </c>
      <c r="BX25" s="380">
        <f>IFERROR(VLOOKUP(B25,'[2]RETAIL ORIGEN RMKT'!$B$11:$O$62,14,0),0)</f>
        <v>0</v>
      </c>
      <c r="BY25" s="127">
        <f t="shared" si="23"/>
        <v>0</v>
      </c>
      <c r="BZ25" s="25">
        <f t="shared" ca="1" si="62"/>
        <v>45</v>
      </c>
      <c r="CA25" s="27">
        <f t="shared" ca="1" si="62"/>
        <v>25</v>
      </c>
      <c r="CB25" s="287">
        <f t="shared" ca="1" si="25"/>
        <v>0.55555555555555558</v>
      </c>
      <c r="CC25" s="151">
        <f t="shared" si="63"/>
        <v>17</v>
      </c>
      <c r="CD25" s="129">
        <f t="shared" ca="1" si="64"/>
        <v>0.68</v>
      </c>
      <c r="CE25" s="24">
        <f t="shared" si="65"/>
        <v>0</v>
      </c>
      <c r="CF25" s="129">
        <f t="shared" ca="1" si="32"/>
        <v>0</v>
      </c>
      <c r="CG25" s="25">
        <f t="shared" ca="1" si="66"/>
        <v>45</v>
      </c>
      <c r="CH25" s="27">
        <f t="shared" ca="1" si="67"/>
        <v>25</v>
      </c>
      <c r="CI25" s="287">
        <f t="shared" ca="1" si="33"/>
        <v>0.55555555555555558</v>
      </c>
      <c r="CJ25" s="291">
        <f t="shared" si="68"/>
        <v>17</v>
      </c>
      <c r="CK25" s="129">
        <f t="shared" ca="1" si="26"/>
        <v>0.68</v>
      </c>
      <c r="CL25" s="27">
        <f t="shared" si="69"/>
        <v>0</v>
      </c>
      <c r="CM25" s="129">
        <f t="shared" ca="1" si="34"/>
        <v>0</v>
      </c>
      <c r="CN25" s="25">
        <f t="shared" ca="1" si="70"/>
        <v>21</v>
      </c>
      <c r="CO25" s="27">
        <f t="shared" ca="1" si="70"/>
        <v>16</v>
      </c>
      <c r="CP25" s="287">
        <f t="shared" ca="1" si="36"/>
        <v>0.76190476190476186</v>
      </c>
      <c r="CQ25" s="291">
        <f t="shared" si="71"/>
        <v>11</v>
      </c>
      <c r="CR25" s="129">
        <f t="shared" ca="1" si="37"/>
        <v>0.6875</v>
      </c>
      <c r="CS25" s="27">
        <f t="shared" si="38"/>
        <v>0</v>
      </c>
      <c r="CT25" s="129">
        <f t="shared" ca="1" si="39"/>
        <v>0</v>
      </c>
      <c r="CU25" s="25">
        <f t="shared" ca="1" si="40"/>
        <v>45</v>
      </c>
      <c r="CV25" s="27">
        <f t="shared" ca="1" si="41"/>
        <v>25</v>
      </c>
      <c r="CW25" s="287">
        <f t="shared" ca="1" si="42"/>
        <v>0.55555555555555558</v>
      </c>
      <c r="CX25" s="27">
        <f t="shared" si="43"/>
        <v>17</v>
      </c>
      <c r="CY25" s="129">
        <f t="shared" ca="1" si="44"/>
        <v>0.68</v>
      </c>
      <c r="CZ25" s="27">
        <f t="shared" si="45"/>
        <v>0</v>
      </c>
      <c r="DA25" s="130">
        <f t="shared" ca="1" si="46"/>
        <v>0</v>
      </c>
      <c r="DB25" s="25">
        <f t="shared" ca="1" si="72"/>
        <v>0</v>
      </c>
      <c r="DC25" s="27">
        <f t="shared" ca="1" si="72"/>
        <v>0</v>
      </c>
      <c r="DD25" s="287">
        <f t="shared" ca="1" si="48"/>
        <v>0</v>
      </c>
      <c r="DE25" s="27">
        <f t="shared" si="73"/>
        <v>0</v>
      </c>
      <c r="DF25" s="129" t="str">
        <f t="shared" ca="1" si="49"/>
        <v>N.D.</v>
      </c>
      <c r="DG25" s="27">
        <f t="shared" si="74"/>
        <v>0</v>
      </c>
      <c r="DH25" s="130">
        <f t="shared" ca="1" si="61"/>
        <v>0</v>
      </c>
      <c r="DI25" s="510">
        <v>1</v>
      </c>
      <c r="DJ25" s="369" t="s">
        <v>18</v>
      </c>
      <c r="DK25" s="25">
        <f t="shared" ca="1" si="51"/>
        <v>45</v>
      </c>
      <c r="DL25" s="27">
        <f t="shared" ca="1" si="52"/>
        <v>25</v>
      </c>
      <c r="DM25" s="287">
        <f t="shared" ca="1" si="53"/>
        <v>0.55555555555555558</v>
      </c>
      <c r="DN25" s="151">
        <f t="shared" si="54"/>
        <v>17</v>
      </c>
      <c r="DO25" s="129">
        <f t="shared" ca="1" si="55"/>
        <v>0.68</v>
      </c>
      <c r="DP25" s="27">
        <f t="shared" si="56"/>
        <v>0</v>
      </c>
      <c r="DQ25" s="130">
        <f t="shared" ca="1" si="57"/>
        <v>0</v>
      </c>
      <c r="DR25"/>
      <c r="DS25" s="4">
        <f ca="1"/>
        <v>160</v>
      </c>
      <c r="DT25" s="4">
        <f ca="1"/>
        <v>175</v>
      </c>
      <c r="DU25" s="508">
        <f ca="1"/>
        <v>1.0952380952380953</v>
      </c>
      <c r="DW25" s="508">
        <f ca="1"/>
        <v>0.95652173913043481</v>
      </c>
      <c r="DX25" s="4">
        <v>64</v>
      </c>
      <c r="DY25" s="508">
        <f ca="1"/>
        <v>0.42666666666666669</v>
      </c>
    </row>
    <row r="26" spans="1:129" s="4" customFormat="1" ht="15" customHeight="1" x14ac:dyDescent="0.35">
      <c r="A26" s="4">
        <f>_xlfn.XLOOKUP(B26,'WHOLESALE BMW 2026'!$B$7:$B$67,'WHOLESALE BMW 2026'!$A$7:$A$67)</f>
        <v>4</v>
      </c>
      <c r="B26" s="8">
        <v>100155</v>
      </c>
      <c r="C26" s="369" t="s">
        <v>243</v>
      </c>
      <c r="D26" s="125"/>
      <c r="E26" s="309" t="s">
        <v>82</v>
      </c>
      <c r="F26" s="21">
        <f ca="1">SUMIF('UC BMW 2026'!B24:B100,'UC BMW 2026'!B24,'UC BMW 2026'!F24:F91)</f>
        <v>10</v>
      </c>
      <c r="G26" s="24">
        <f ca="1">SUMIF('UC BMW 2026'!$B$5:$B$77,'UC BMW 2026'!B24,'UC BMW 2026'!$G$5:$G$72)</f>
        <v>5</v>
      </c>
      <c r="H26" s="24">
        <f>IFERROR(VLOOKUP(B26,[2]BPS!$B$10:$O$64,3,0),0)-IF(B26=100873,IFERROR(VLOOKUP("Enero",[2]BPS!$B$74:$C$89,2,0),0),0)</f>
        <v>5</v>
      </c>
      <c r="I26" s="282">
        <f t="shared" ca="1" si="0"/>
        <v>1</v>
      </c>
      <c r="J26" s="380">
        <f>IFERROR(VLOOKUP(B26,'[2]RETAIL ORIGEN RMKT'!$B$11:$O$62,3,0),0)</f>
        <v>0</v>
      </c>
      <c r="K26" s="127">
        <f t="shared" ca="1" si="1"/>
        <v>0</v>
      </c>
      <c r="L26" s="21">
        <f ca="1">SUMIF('UC BMW 2026'!$B$5:$B$77,'UC BMW 2026'!$B24,'UC BMW 2026'!$H$5:$H$72)</f>
        <v>10</v>
      </c>
      <c r="M26" s="24">
        <f ca="1">SUMIF('UC BMW 2026'!$B$5:$B$77,'UC BMW 2026'!$B24,'UC BMW 2026'!$I$5:$I$72)</f>
        <v>11</v>
      </c>
      <c r="N26" s="24">
        <f>IFERROR(VLOOKUP(B26,[2]BPS!$B$10:$O$64,4,0),0)-IF(B26=100873,IFERROR(VLOOKUP("Febrero",[2]BPS!$B$74:$C$89,2,0),0),0)</f>
        <v>11</v>
      </c>
      <c r="O26" s="282">
        <f t="shared" ca="1" si="2"/>
        <v>1</v>
      </c>
      <c r="P26" s="380">
        <f>IFERROR(VLOOKUP(B26,'[2]RETAIL ORIGEN RMKT'!$B$11:$O$62,4,0),0)</f>
        <v>0</v>
      </c>
      <c r="Q26" s="127">
        <f t="shared" ca="1" si="3"/>
        <v>0</v>
      </c>
      <c r="R26" s="21">
        <f ca="1">SUMIF('UC BMW 2026'!$B$5:$B$77,'UC BMW 2026'!$B24,'UC BMW 2026'!$J$5:$J$72)</f>
        <v>10</v>
      </c>
      <c r="S26" s="24">
        <f ca="1">SUMIF('UC BMW 2026'!$B$5:$B$77,'UC BMW 2026'!$B24,'UC BMW 2026'!$K$5:$K$72)</f>
        <v>15</v>
      </c>
      <c r="T26" s="24">
        <f>IFERROR(VLOOKUP(B26,[2]BPS!$B$10:$O$64,5,0),0)-IF(B26=100873,IFERROR(VLOOKUP("Marzo",[2]BPS!$B$74:$C$89,2,0),0),0)</f>
        <v>13</v>
      </c>
      <c r="U26" s="282">
        <f t="shared" ca="1" si="4"/>
        <v>0.8666666666666667</v>
      </c>
      <c r="V26" s="380">
        <f>IFERROR(VLOOKUP(B26,'[2]RETAIL ORIGEN RMKT'!$B$11:$O$62,5,0),0)</f>
        <v>0</v>
      </c>
      <c r="W26" s="127">
        <f t="shared" ca="1" si="5"/>
        <v>0</v>
      </c>
      <c r="X26" s="21">
        <f ca="1">SUMIF('UC BMW 2026'!$B$5:$B$77,'UC BMW 2026'!$B24,'UC BMW 2026'!$L$5:$L$72)</f>
        <v>10</v>
      </c>
      <c r="Y26" s="24">
        <f ca="1">SUMIF('UC BMW 2026'!$B$5:$B$77,'UC BMW 2026'!$B24,'UC BMW 2026'!$M$5:$M$72)</f>
        <v>11</v>
      </c>
      <c r="Z26" s="24">
        <f>IFERROR(VLOOKUP(B26,[2]BPS!$B$10:$O$64,6,0),0)-IF(B26=100873,IFERROR(VLOOKUP("Abril",[2]BPS!$B$74:$C$89,2,0),0),0)</f>
        <v>11</v>
      </c>
      <c r="AA26" s="282">
        <f t="shared" ca="1" si="6"/>
        <v>1</v>
      </c>
      <c r="AB26" s="380">
        <f>IFERROR(VLOOKUP(B26,'[2]RETAIL ORIGEN RMKT'!$B$11:$O$62,6,0),0)</f>
        <v>0</v>
      </c>
      <c r="AC26" s="127">
        <f t="shared" ca="1" si="7"/>
        <v>0</v>
      </c>
      <c r="AD26" s="21">
        <f ca="1">SUMIF('UC BMW 2026'!$B$5:$B$77,'UC BMW 2026'!$B24,'UC BMW 2026'!$N$5:$N$72)</f>
        <v>10</v>
      </c>
      <c r="AE26" s="24">
        <f ca="1">SUMIF('UC BMW 2026'!$B$5:$B$77,'UC BMW 2026'!$B24,'UC BMW 2026'!$O$5:$O$72)</f>
        <v>6</v>
      </c>
      <c r="AF26" s="24">
        <f>IFERROR(VLOOKUP(B26,[2]BPS!$B$10:$O$64,7,0),0)-IF(B26=100873,IFERROR(VLOOKUP("Mayo",[2]BPS!$B$74:$C$89,2,0),0),0)</f>
        <v>6</v>
      </c>
      <c r="AG26" s="282">
        <f t="shared" ca="1" si="8"/>
        <v>1</v>
      </c>
      <c r="AH26" s="380">
        <f>IFERROR(VLOOKUP(B26,'[2]RETAIL ORIGEN RMKT'!$B$11:$O$62,7,0),0)</f>
        <v>0</v>
      </c>
      <c r="AI26" s="127">
        <f t="shared" ca="1" si="9"/>
        <v>0</v>
      </c>
      <c r="AJ26" s="21">
        <f ca="1">SUMIF('UC BMW 2026'!$B$5:$B$77,'UC BMW 2026'!$B24,'UC BMW 2026'!$P$5:$P$72)</f>
        <v>10</v>
      </c>
      <c r="AK26" s="24">
        <f ca="1">SUMIF('UC BMW 2026'!$B$5:$B$77,'UC BMW 2026'!$B24,'UC BMW 2026'!$Q$5:$Q$72)</f>
        <v>14</v>
      </c>
      <c r="AL26" s="24">
        <f>IFERROR(VLOOKUP(B26,[2]BPS!$B$10:$O$64,8,0),0)-IF(B26=100873,IFERROR(VLOOKUP("Junio",[2]BPS!$B$74:$C$89,2,0),0),0)</f>
        <v>10</v>
      </c>
      <c r="AM26" s="282">
        <f t="shared" ca="1" si="10"/>
        <v>0.7142857142857143</v>
      </c>
      <c r="AN26" s="380">
        <f>IFERROR(VLOOKUP(B26,'[2]RETAIL ORIGEN RMKT'!$B$11:$O$62,8,0),0)</f>
        <v>1</v>
      </c>
      <c r="AO26" s="127">
        <f t="shared" ca="1" si="11"/>
        <v>0.1</v>
      </c>
      <c r="AP26" s="21">
        <f ca="1">SUMIF('UC BMW 2026'!$B$5:$B$77,'UC BMW 2026'!$B24,'UC BMW 2026'!$R$5:$R$72)</f>
        <v>0</v>
      </c>
      <c r="AQ26" s="24">
        <f ca="1">SUMIF('UC BMW 2026'!$B$5:$B$77,'UC BMW 2026'!$B24,'UC BMW 2026'!$S$5:$S$72)</f>
        <v>0</v>
      </c>
      <c r="AR26" s="24">
        <f>IFERROR(VLOOKUP(B26,[2]BPS!$B$10:$O$64,9,0),0)-IF(B26=100873,IFERROR(VLOOKUP("Julio",[2]BPS!$B$74:$C$89,2,0),0),0)</f>
        <v>0</v>
      </c>
      <c r="AS26" s="282">
        <f t="shared" ca="1" si="12"/>
        <v>0</v>
      </c>
      <c r="AT26" s="380">
        <f>IFERROR(VLOOKUP(B26,'[2]RETAIL ORIGEN RMKT'!$B$11:$O$62,9,0),0)</f>
        <v>0</v>
      </c>
      <c r="AU26" s="127">
        <f t="shared" ca="1" si="13"/>
        <v>0</v>
      </c>
      <c r="AV26" s="21">
        <f ca="1">SUMIF('UC BMW 2026'!$B$5:$B$77,'UC BMW 2026'!$B24,'UC BMW 2026'!$T$5:$T$72)</f>
        <v>0</v>
      </c>
      <c r="AW26" s="24">
        <f ca="1">SUMIF('UC BMW 2026'!$B$5:$B$77,'UC BMW 2026'!$B24,'UC BMW 2026'!$U$5:$U$72)</f>
        <v>0</v>
      </c>
      <c r="AX26" s="24">
        <f>IFERROR(VLOOKUP(B26,[2]BPS!$B$10:$O$64,10,0),0)-IF(B26=100873,IFERROR(VLOOKUP("Agosto",[2]BPS!$B$74:$C$89,2,0),0),0)</f>
        <v>0</v>
      </c>
      <c r="AY26" s="282">
        <f t="shared" ca="1" si="14"/>
        <v>0</v>
      </c>
      <c r="AZ26" s="380">
        <f>IFERROR(VLOOKUP(B26,'[2]RETAIL ORIGEN RMKT'!$B$11:$O$62,10,0),0)</f>
        <v>0</v>
      </c>
      <c r="BA26" s="127">
        <f t="shared" ca="1" si="15"/>
        <v>0</v>
      </c>
      <c r="BB26" s="21">
        <f ca="1">SUMIF('UC BMW 2026'!$B$5:$B$77,'UC BMW 2026'!$B24,'UC BMW 2026'!$V$5:$V$72)</f>
        <v>0</v>
      </c>
      <c r="BC26" s="24">
        <f>SUMIF('UC BMW 2026'!$B$5:$B$77,'UC BMW 2026'!$B24,'UC BMW 2026'!$W$5:$W$77)</f>
        <v>0</v>
      </c>
      <c r="BD26" s="24">
        <f>IFERROR(VLOOKUP(B26,[2]BPS!$B$10:$O$64,11,0),0)-IF(B26=100873,IFERROR(VLOOKUP("Septiembre",[2]BPS!$B$74:$C$89,2,0),0),0)</f>
        <v>0</v>
      </c>
      <c r="BE26" s="282">
        <f t="shared" si="16"/>
        <v>0</v>
      </c>
      <c r="BF26" s="380">
        <f>IFERROR(VLOOKUP(B26,'[2]RETAIL ORIGEN RMKT'!$B$11:$O$62,11,0),0)</f>
        <v>0</v>
      </c>
      <c r="BG26" s="127">
        <f t="shared" ca="1" si="17"/>
        <v>0</v>
      </c>
      <c r="BH26" s="21">
        <f>SUMIF('UC BMW 2026'!$B$5:$B$77,'UC BMW 2026'!$B24,'UC BMW 2026'!$X$5:$X$77)</f>
        <v>0</v>
      </c>
      <c r="BI26" s="24">
        <f>SUMIF('UC BMW 2026'!$B$5:$B$77,'UC BMW 2026'!$B24,'UC BMW 2026'!$Y$5:$Y$77)</f>
        <v>0</v>
      </c>
      <c r="BJ26" s="24">
        <f>IFERROR(VLOOKUP(B26,[2]BPS!$B$10:$O$64,12,0),0)-IF(B26=100873,IFERROR(VLOOKUP("Octubre",[2]BPS!$B$74:$C$89,2,0),0),0)</f>
        <v>0</v>
      </c>
      <c r="BK26" s="282">
        <f t="shared" si="18"/>
        <v>0</v>
      </c>
      <c r="BL26" s="380">
        <f>IFERROR(VLOOKUP(B26,'[2]RETAIL ORIGEN RMKT'!$B$11:$O$62,12,0),0)</f>
        <v>0</v>
      </c>
      <c r="BM26" s="127">
        <f t="shared" si="19"/>
        <v>0</v>
      </c>
      <c r="BN26" s="21">
        <f>SUMIF('UC BMW 2026'!$B$5:$B$77,'UC BMW 2026'!$B24,'UC BMW 2026'!$Z$5:$Z$77)</f>
        <v>0</v>
      </c>
      <c r="BO26" s="24">
        <f>SUMIF('UC BMW 2026'!$B$5:$B$77,'UC BMW 2026'!$B24,'UC BMW 2026'!$AA$5:$AA$77)</f>
        <v>0</v>
      </c>
      <c r="BP26" s="24">
        <f>IFERROR(VLOOKUP(B26,[2]BPS!$B$10:$O$64,13,0),0)-IF(B26=100873,IFERROR(VLOOKUP("Noviembre",[2]BPS!$B$74:$C$89,2,0),0),0)</f>
        <v>0</v>
      </c>
      <c r="BQ26" s="282">
        <f t="shared" si="20"/>
        <v>0</v>
      </c>
      <c r="BR26" s="380">
        <f>IFERROR(VLOOKUP(B26,'[2]RETAIL ORIGEN RMKT'!$B$11:$O$62,13,0),0)</f>
        <v>0</v>
      </c>
      <c r="BS26" s="127">
        <f t="shared" si="21"/>
        <v>0</v>
      </c>
      <c r="BT26" s="21">
        <f>SUMIF('UC BMW 2026'!$B$5:$B$77,'UC BMW 2026'!$B24,'UC BMW 2026'!$AB$5:$AB$77)</f>
        <v>0</v>
      </c>
      <c r="BU26" s="24">
        <f>SUMIF('UC BMW 2026'!$B$5:$B$77,'UC BMW 2026'!$B24,'UC BMW 2026'!$AC$5:$AC$77)</f>
        <v>0</v>
      </c>
      <c r="BV26" s="24">
        <f>IFERROR(VLOOKUP(B26,[2]BPS!$B$10:$O$64,13,0),0)-IF(B26=100873,IFERROR(VLOOKUP("Diciembre",[2]BPS!$B$74:$C$89,2,0),0),0)</f>
        <v>0</v>
      </c>
      <c r="BW26" s="282">
        <f t="shared" si="22"/>
        <v>0</v>
      </c>
      <c r="BX26" s="380">
        <f>IFERROR(VLOOKUP(B26,'[2]RETAIL ORIGEN RMKT'!$B$11:$O$62,14,0),0)</f>
        <v>0</v>
      </c>
      <c r="BY26" s="127">
        <f t="shared" si="23"/>
        <v>0</v>
      </c>
      <c r="BZ26" s="25">
        <f t="shared" ca="1" si="62"/>
        <v>60</v>
      </c>
      <c r="CA26" s="27">
        <f t="shared" ca="1" si="62"/>
        <v>62</v>
      </c>
      <c r="CB26" s="287">
        <f t="shared" ca="1" si="25"/>
        <v>1.0333333333333334</v>
      </c>
      <c r="CC26" s="151">
        <f t="shared" si="63"/>
        <v>56</v>
      </c>
      <c r="CD26" s="129">
        <f t="shared" ca="1" si="64"/>
        <v>0.90322580645161288</v>
      </c>
      <c r="CE26" s="24">
        <f t="shared" si="65"/>
        <v>1</v>
      </c>
      <c r="CF26" s="129">
        <f t="shared" ca="1" si="32"/>
        <v>1.6666666666666666E-2</v>
      </c>
      <c r="CG26" s="25">
        <f t="shared" ca="1" si="66"/>
        <v>60</v>
      </c>
      <c r="CH26" s="27">
        <f t="shared" ca="1" si="67"/>
        <v>62</v>
      </c>
      <c r="CI26" s="287">
        <f t="shared" ca="1" si="33"/>
        <v>1.0333333333333334</v>
      </c>
      <c r="CJ26" s="291">
        <f t="shared" si="68"/>
        <v>56</v>
      </c>
      <c r="CK26" s="129">
        <f t="shared" ca="1" si="26"/>
        <v>0.90322580645161288</v>
      </c>
      <c r="CL26" s="27">
        <f t="shared" si="69"/>
        <v>1</v>
      </c>
      <c r="CM26" s="129">
        <f t="shared" ca="1" si="34"/>
        <v>1.6666666666666666E-2</v>
      </c>
      <c r="CN26" s="25">
        <f t="shared" ca="1" si="70"/>
        <v>30</v>
      </c>
      <c r="CO26" s="27">
        <f t="shared" ca="1" si="70"/>
        <v>31</v>
      </c>
      <c r="CP26" s="287">
        <f t="shared" ca="1" si="36"/>
        <v>1.0333333333333334</v>
      </c>
      <c r="CQ26" s="291">
        <f t="shared" si="71"/>
        <v>29</v>
      </c>
      <c r="CR26" s="129">
        <f t="shared" ca="1" si="37"/>
        <v>0.93548387096774188</v>
      </c>
      <c r="CS26" s="27">
        <f t="shared" si="38"/>
        <v>0</v>
      </c>
      <c r="CT26" s="129">
        <f t="shared" ca="1" si="39"/>
        <v>0</v>
      </c>
      <c r="CU26" s="25">
        <f t="shared" ca="1" si="40"/>
        <v>60</v>
      </c>
      <c r="CV26" s="27">
        <f t="shared" ca="1" si="41"/>
        <v>62</v>
      </c>
      <c r="CW26" s="287">
        <f t="shared" ca="1" si="42"/>
        <v>1.0333333333333334</v>
      </c>
      <c r="CX26" s="27">
        <f t="shared" si="43"/>
        <v>56</v>
      </c>
      <c r="CY26" s="129">
        <f t="shared" ca="1" si="44"/>
        <v>0.90322580645161288</v>
      </c>
      <c r="CZ26" s="27">
        <f t="shared" si="45"/>
        <v>1</v>
      </c>
      <c r="DA26" s="130">
        <f t="shared" ca="1" si="46"/>
        <v>1.6666666666666666E-2</v>
      </c>
      <c r="DB26" s="25">
        <f t="shared" ca="1" si="72"/>
        <v>0</v>
      </c>
      <c r="DC26" s="27">
        <f t="shared" ca="1" si="72"/>
        <v>0</v>
      </c>
      <c r="DD26" s="287">
        <f t="shared" ca="1" si="48"/>
        <v>0</v>
      </c>
      <c r="DE26" s="27">
        <f t="shared" si="73"/>
        <v>0</v>
      </c>
      <c r="DF26" s="129" t="str">
        <f t="shared" ca="1" si="49"/>
        <v>N.D.</v>
      </c>
      <c r="DG26" s="27">
        <f t="shared" si="74"/>
        <v>0</v>
      </c>
      <c r="DH26" s="130">
        <f t="shared" ca="1" si="61"/>
        <v>0</v>
      </c>
      <c r="DI26" s="510">
        <v>1</v>
      </c>
      <c r="DJ26" s="369" t="s">
        <v>243</v>
      </c>
      <c r="DK26" s="25">
        <f t="shared" ca="1" si="51"/>
        <v>60</v>
      </c>
      <c r="DL26" s="27">
        <f t="shared" ca="1" si="52"/>
        <v>62</v>
      </c>
      <c r="DM26" s="287">
        <f t="shared" ca="1" si="53"/>
        <v>1.0333333333333334</v>
      </c>
      <c r="DN26" s="151">
        <f t="shared" si="54"/>
        <v>56</v>
      </c>
      <c r="DO26" s="129">
        <f t="shared" ca="1" si="55"/>
        <v>0.90322580645161288</v>
      </c>
      <c r="DP26" s="27">
        <f t="shared" si="56"/>
        <v>1</v>
      </c>
      <c r="DQ26" s="130">
        <f t="shared" ca="1" si="57"/>
        <v>1.6666666666666666E-2</v>
      </c>
      <c r="DR26"/>
      <c r="DS26" s="4">
        <f ca="1"/>
        <v>160</v>
      </c>
      <c r="DT26" s="4">
        <f ca="1"/>
        <v>168</v>
      </c>
      <c r="DU26" s="508">
        <f ca="1"/>
        <v>1.0818181818181818</v>
      </c>
      <c r="DW26" s="508">
        <f ca="1"/>
        <v>0.95454545454545459</v>
      </c>
      <c r="DX26" s="4">
        <v>60</v>
      </c>
      <c r="DY26" s="508">
        <f ca="1"/>
        <v>0.41724137931034483</v>
      </c>
    </row>
    <row r="27" spans="1:129" s="4" customFormat="1" ht="15" customHeight="1" x14ac:dyDescent="0.35">
      <c r="A27" s="4">
        <f>_xlfn.XLOOKUP(B27,'WHOLESALE BMW 2026'!$B$7:$B$67,'WHOLESALE BMW 2026'!$A$7:$A$67)</f>
        <v>4</v>
      </c>
      <c r="B27" s="8">
        <v>100304</v>
      </c>
      <c r="C27" s="369" t="s">
        <v>45</v>
      </c>
      <c r="D27" s="125"/>
      <c r="E27" s="309" t="s">
        <v>81</v>
      </c>
      <c r="F27" s="21">
        <f ca="1">SUMIF('UC BMW 2026'!B25:B101,'UC BMW 2026'!B25,'UC BMW 2026'!F25:F92)</f>
        <v>15</v>
      </c>
      <c r="G27" s="24">
        <f ca="1">SUMIF('UC BMW 2026'!$B$5:$B$77,'UC BMW 2026'!B25,'UC BMW 2026'!$G$5:$G$72)</f>
        <v>8</v>
      </c>
      <c r="H27" s="24">
        <f>IFERROR(VLOOKUP(B27,[2]BPS!$B$10:$O$64,3,0),0)-IF(B27=100873,IFERROR(VLOOKUP("Enero",[2]BPS!$B$74:$C$89,2,0),0),0)</f>
        <v>5</v>
      </c>
      <c r="I27" s="282">
        <f t="shared" ca="1" si="0"/>
        <v>0.625</v>
      </c>
      <c r="J27" s="380">
        <f>IFERROR(VLOOKUP(B27,'[2]RETAIL ORIGEN RMKT'!$B$11:$O$62,3,0),0)</f>
        <v>1</v>
      </c>
      <c r="K27" s="127">
        <f t="shared" ca="1" si="1"/>
        <v>6.6666666666666666E-2</v>
      </c>
      <c r="L27" s="21">
        <f ca="1">SUMIF('UC BMW 2026'!$B$5:$B$77,'UC BMW 2026'!$B25,'UC BMW 2026'!$H$5:$H$72)</f>
        <v>16</v>
      </c>
      <c r="M27" s="24">
        <f ca="1">SUMIF('UC BMW 2026'!$B$5:$B$77,'UC BMW 2026'!$B25,'UC BMW 2026'!$I$5:$I$72)</f>
        <v>9</v>
      </c>
      <c r="N27" s="24">
        <f>IFERROR(VLOOKUP(B27,[2]BPS!$B$10:$O$64,4,0),0)-IF(B27=100873,IFERROR(VLOOKUP("Febrero",[2]BPS!$B$74:$C$89,2,0),0),0)</f>
        <v>9</v>
      </c>
      <c r="O27" s="282">
        <f t="shared" ca="1" si="2"/>
        <v>1</v>
      </c>
      <c r="P27" s="380">
        <f>IFERROR(VLOOKUP(B27,'[2]RETAIL ORIGEN RMKT'!$B$11:$O$62,4,0),0)</f>
        <v>1</v>
      </c>
      <c r="Q27" s="127">
        <f t="shared" ca="1" si="3"/>
        <v>6.25E-2</v>
      </c>
      <c r="R27" s="21">
        <f ca="1">SUMIF('UC BMW 2026'!$B$5:$B$77,'UC BMW 2026'!$B25,'UC BMW 2026'!$J$5:$J$72)</f>
        <v>16</v>
      </c>
      <c r="S27" s="24">
        <f ca="1">SUMIF('UC BMW 2026'!$B$5:$B$77,'UC BMW 2026'!$B25,'UC BMW 2026'!$K$5:$K$72)</f>
        <v>10</v>
      </c>
      <c r="T27" s="24">
        <f>IFERROR(VLOOKUP(B27,[2]BPS!$B$10:$O$64,5,0),0)-IF(B27=100873,IFERROR(VLOOKUP("Marzo",[2]BPS!$B$74:$C$89,2,0),0),0)</f>
        <v>10</v>
      </c>
      <c r="U27" s="282">
        <f t="shared" ca="1" si="4"/>
        <v>1</v>
      </c>
      <c r="V27" s="380">
        <f>IFERROR(VLOOKUP(B27,'[2]RETAIL ORIGEN RMKT'!$B$11:$O$62,5,0),0)</f>
        <v>2</v>
      </c>
      <c r="W27" s="127">
        <f t="shared" ca="1" si="5"/>
        <v>0.125</v>
      </c>
      <c r="X27" s="21">
        <f ca="1">SUMIF('UC BMW 2026'!$B$5:$B$77,'UC BMW 2026'!$B25,'UC BMW 2026'!$L$5:$L$72)</f>
        <v>16</v>
      </c>
      <c r="Y27" s="24">
        <f ca="1">SUMIF('UC BMW 2026'!$B$5:$B$77,'UC BMW 2026'!$B25,'UC BMW 2026'!$M$5:$M$72)</f>
        <v>17</v>
      </c>
      <c r="Z27" s="24">
        <f>IFERROR(VLOOKUP(B27,[2]BPS!$B$10:$O$64,6,0),0)-IF(B27=100873,IFERROR(VLOOKUP("Abril",[2]BPS!$B$74:$C$89,2,0),0),0)</f>
        <v>15</v>
      </c>
      <c r="AA27" s="282">
        <f t="shared" ca="1" si="6"/>
        <v>0.88235294117647056</v>
      </c>
      <c r="AB27" s="380">
        <f>IFERROR(VLOOKUP(B27,'[2]RETAIL ORIGEN RMKT'!$B$11:$O$62,6,0),0)</f>
        <v>6</v>
      </c>
      <c r="AC27" s="127">
        <f t="shared" ca="1" si="7"/>
        <v>0.375</v>
      </c>
      <c r="AD27" s="21">
        <f ca="1">SUMIF('UC BMW 2026'!$B$5:$B$77,'UC BMW 2026'!$B25,'UC BMW 2026'!$N$5:$N$72)</f>
        <v>16</v>
      </c>
      <c r="AE27" s="24">
        <f ca="1">SUMIF('UC BMW 2026'!$B$5:$B$77,'UC BMW 2026'!$B25,'UC BMW 2026'!$O$5:$O$72)</f>
        <v>14</v>
      </c>
      <c r="AF27" s="24">
        <f>IFERROR(VLOOKUP(B27,[2]BPS!$B$10:$O$64,7,0),0)-IF(B27=100873,IFERROR(VLOOKUP("Mayo",[2]BPS!$B$74:$C$89,2,0),0),0)</f>
        <v>10</v>
      </c>
      <c r="AG27" s="282">
        <f t="shared" ca="1" si="8"/>
        <v>0.7142857142857143</v>
      </c>
      <c r="AH27" s="380">
        <f>IFERROR(VLOOKUP(B27,'[2]RETAIL ORIGEN RMKT'!$B$11:$O$62,7,0),0)</f>
        <v>6</v>
      </c>
      <c r="AI27" s="127">
        <f t="shared" ca="1" si="9"/>
        <v>0.375</v>
      </c>
      <c r="AJ27" s="21">
        <f ca="1">SUMIF('UC BMW 2026'!$B$5:$B$77,'UC BMW 2026'!$B25,'UC BMW 2026'!$P$5:$P$72)</f>
        <v>16</v>
      </c>
      <c r="AK27" s="24">
        <f ca="1">SUMIF('UC BMW 2026'!$B$5:$B$77,'UC BMW 2026'!$B25,'UC BMW 2026'!$Q$5:$Q$72)</f>
        <v>38</v>
      </c>
      <c r="AL27" s="24">
        <f>IFERROR(VLOOKUP(B27,[2]BPS!$B$10:$O$64,8,0),0)-IF(B27=100873,IFERROR(VLOOKUP("Junio",[2]BPS!$B$74:$C$89,2,0),0),0)</f>
        <v>27</v>
      </c>
      <c r="AM27" s="282">
        <f t="shared" ca="1" si="10"/>
        <v>0.71052631578947367</v>
      </c>
      <c r="AN27" s="380">
        <f>IFERROR(VLOOKUP(B27,'[2]RETAIL ORIGEN RMKT'!$B$11:$O$62,8,0),0)</f>
        <v>3</v>
      </c>
      <c r="AO27" s="127">
        <f t="shared" ca="1" si="11"/>
        <v>0.1875</v>
      </c>
      <c r="AP27" s="21">
        <f ca="1">SUMIF('UC BMW 2026'!$B$5:$B$77,'UC BMW 2026'!$B25,'UC BMW 2026'!$R$5:$R$72)</f>
        <v>0</v>
      </c>
      <c r="AQ27" s="24">
        <f ca="1">SUMIF('UC BMW 2026'!$B$5:$B$77,'UC BMW 2026'!$B25,'UC BMW 2026'!$S$5:$S$72)</f>
        <v>0</v>
      </c>
      <c r="AR27" s="24">
        <f>IFERROR(VLOOKUP(B27,[2]BPS!$B$10:$O$64,9,0),0)-IF(B27=100873,IFERROR(VLOOKUP("Julio",[2]BPS!$B$74:$C$89,2,0),0),0)</f>
        <v>0</v>
      </c>
      <c r="AS27" s="282">
        <f t="shared" ca="1" si="12"/>
        <v>0</v>
      </c>
      <c r="AT27" s="380">
        <f>IFERROR(VLOOKUP(B27,'[2]RETAIL ORIGEN RMKT'!$B$11:$O$62,9,0),0)</f>
        <v>0</v>
      </c>
      <c r="AU27" s="127">
        <f t="shared" ca="1" si="13"/>
        <v>0</v>
      </c>
      <c r="AV27" s="21">
        <f ca="1">SUMIF('UC BMW 2026'!$B$5:$B$77,'UC BMW 2026'!$B25,'UC BMW 2026'!$T$5:$T$72)</f>
        <v>0</v>
      </c>
      <c r="AW27" s="24">
        <f ca="1">SUMIF('UC BMW 2026'!$B$5:$B$77,'UC BMW 2026'!$B25,'UC BMW 2026'!$U$5:$U$72)</f>
        <v>0</v>
      </c>
      <c r="AX27" s="24">
        <f>IFERROR(VLOOKUP(B27,[2]BPS!$B$10:$O$64,10,0),0)-IF(B27=100873,IFERROR(VLOOKUP("Agosto",[2]BPS!$B$74:$C$89,2,0),0),0)</f>
        <v>0</v>
      </c>
      <c r="AY27" s="282">
        <f t="shared" ca="1" si="14"/>
        <v>0</v>
      </c>
      <c r="AZ27" s="380">
        <f>IFERROR(VLOOKUP(B27,'[2]RETAIL ORIGEN RMKT'!$B$11:$O$62,10,0),0)</f>
        <v>0</v>
      </c>
      <c r="BA27" s="127">
        <f t="shared" ca="1" si="15"/>
        <v>0</v>
      </c>
      <c r="BB27" s="21">
        <f ca="1">SUMIF('UC BMW 2026'!$B$5:$B$77,'UC BMW 2026'!$B25,'UC BMW 2026'!$V$5:$V$72)</f>
        <v>0</v>
      </c>
      <c r="BC27" s="24">
        <f>SUMIF('UC BMW 2026'!$B$5:$B$77,'UC BMW 2026'!$B25,'UC BMW 2026'!$W$5:$W$77)</f>
        <v>0</v>
      </c>
      <c r="BD27" s="24">
        <f>IFERROR(VLOOKUP(B27,[2]BPS!$B$10:$O$64,11,0),0)-IF(B27=100873,IFERROR(VLOOKUP("Septiembre",[2]BPS!$B$74:$C$89,2,0),0),0)</f>
        <v>0</v>
      </c>
      <c r="BE27" s="282">
        <f t="shared" si="16"/>
        <v>0</v>
      </c>
      <c r="BF27" s="380">
        <f>IFERROR(VLOOKUP(B27,'[2]RETAIL ORIGEN RMKT'!$B$11:$O$62,11,0),0)</f>
        <v>0</v>
      </c>
      <c r="BG27" s="127">
        <f t="shared" ca="1" si="17"/>
        <v>0</v>
      </c>
      <c r="BH27" s="21">
        <f>SUMIF('UC BMW 2026'!$B$5:$B$77,'UC BMW 2026'!$B25,'UC BMW 2026'!$X$5:$X$77)</f>
        <v>0</v>
      </c>
      <c r="BI27" s="24">
        <f>SUMIF('UC BMW 2026'!$B$5:$B$77,'UC BMW 2026'!$B25,'UC BMW 2026'!$Y$5:$Y$77)</f>
        <v>0</v>
      </c>
      <c r="BJ27" s="24">
        <f>IFERROR(VLOOKUP(B27,[2]BPS!$B$10:$O$64,12,0),0)-IF(B27=100873,IFERROR(VLOOKUP("Octubre",[2]BPS!$B$74:$C$89,2,0),0),0)</f>
        <v>0</v>
      </c>
      <c r="BK27" s="282">
        <f t="shared" si="18"/>
        <v>0</v>
      </c>
      <c r="BL27" s="380">
        <f>IFERROR(VLOOKUP(B27,'[2]RETAIL ORIGEN RMKT'!$B$11:$O$62,12,0),0)</f>
        <v>0</v>
      </c>
      <c r="BM27" s="127">
        <f t="shared" si="19"/>
        <v>0</v>
      </c>
      <c r="BN27" s="21">
        <f>SUMIF('UC BMW 2026'!$B$5:$B$77,'UC BMW 2026'!$B25,'UC BMW 2026'!$Z$5:$Z$77)</f>
        <v>0</v>
      </c>
      <c r="BO27" s="24">
        <f>SUMIF('UC BMW 2026'!$B$5:$B$77,'UC BMW 2026'!$B25,'UC BMW 2026'!$AA$5:$AA$77)</f>
        <v>0</v>
      </c>
      <c r="BP27" s="24">
        <f>IFERROR(VLOOKUP(B27,[2]BPS!$B$10:$O$64,13,0),0)-IF(B27=100873,IFERROR(VLOOKUP("Noviembre",[2]BPS!$B$74:$C$89,2,0),0),0)</f>
        <v>0</v>
      </c>
      <c r="BQ27" s="282">
        <f t="shared" si="20"/>
        <v>0</v>
      </c>
      <c r="BR27" s="380">
        <f>IFERROR(VLOOKUP(B27,'[2]RETAIL ORIGEN RMKT'!$B$11:$O$62,13,0),0)</f>
        <v>0</v>
      </c>
      <c r="BS27" s="127">
        <f t="shared" si="21"/>
        <v>0</v>
      </c>
      <c r="BT27" s="21">
        <f>SUMIF('UC BMW 2026'!$B$5:$B$77,'UC BMW 2026'!$B25,'UC BMW 2026'!$AB$5:$AB$77)</f>
        <v>0</v>
      </c>
      <c r="BU27" s="24">
        <f>SUMIF('UC BMW 2026'!$B$5:$B$77,'UC BMW 2026'!$B25,'UC BMW 2026'!$AC$5:$AC$77)</f>
        <v>0</v>
      </c>
      <c r="BV27" s="24">
        <f>IFERROR(VLOOKUP(B27,[2]BPS!$B$10:$O$64,13,0),0)-IF(B27=100873,IFERROR(VLOOKUP("Diciembre",[2]BPS!$B$74:$C$89,2,0),0),0)</f>
        <v>0</v>
      </c>
      <c r="BW27" s="282">
        <f t="shared" si="22"/>
        <v>0</v>
      </c>
      <c r="BX27" s="380">
        <f>IFERROR(VLOOKUP(B27,'[2]RETAIL ORIGEN RMKT'!$B$11:$O$62,14,0),0)</f>
        <v>0</v>
      </c>
      <c r="BY27" s="127">
        <f t="shared" si="23"/>
        <v>0</v>
      </c>
      <c r="BZ27" s="25">
        <f t="shared" ca="1" si="62"/>
        <v>95</v>
      </c>
      <c r="CA27" s="27">
        <f t="shared" ca="1" si="62"/>
        <v>96</v>
      </c>
      <c r="CB27" s="287">
        <f t="shared" ca="1" si="25"/>
        <v>1.0105263157894737</v>
      </c>
      <c r="CC27" s="151">
        <f t="shared" si="63"/>
        <v>76</v>
      </c>
      <c r="CD27" s="129">
        <f t="shared" ca="1" si="64"/>
        <v>0.79166666666666663</v>
      </c>
      <c r="CE27" s="24">
        <f t="shared" si="65"/>
        <v>19</v>
      </c>
      <c r="CF27" s="129">
        <f t="shared" ca="1" si="32"/>
        <v>0.2</v>
      </c>
      <c r="CG27" s="25">
        <f t="shared" ca="1" si="66"/>
        <v>95</v>
      </c>
      <c r="CH27" s="27">
        <f t="shared" ca="1" si="67"/>
        <v>96</v>
      </c>
      <c r="CI27" s="287">
        <f t="shared" ca="1" si="33"/>
        <v>1.0105263157894737</v>
      </c>
      <c r="CJ27" s="291">
        <f t="shared" si="68"/>
        <v>76</v>
      </c>
      <c r="CK27" s="129">
        <f t="shared" ca="1" si="26"/>
        <v>0.79166666666666663</v>
      </c>
      <c r="CL27" s="27">
        <f t="shared" si="69"/>
        <v>19</v>
      </c>
      <c r="CM27" s="129">
        <f t="shared" ca="1" si="34"/>
        <v>0.2</v>
      </c>
      <c r="CN27" s="25">
        <f t="shared" ca="1" si="70"/>
        <v>47</v>
      </c>
      <c r="CO27" s="27">
        <f t="shared" ca="1" si="70"/>
        <v>27</v>
      </c>
      <c r="CP27" s="287">
        <f t="shared" ca="1" si="36"/>
        <v>0.57446808510638303</v>
      </c>
      <c r="CQ27" s="291">
        <f t="shared" si="71"/>
        <v>24</v>
      </c>
      <c r="CR27" s="129">
        <f t="shared" ca="1" si="37"/>
        <v>0.88888888888888884</v>
      </c>
      <c r="CS27" s="27">
        <f t="shared" si="38"/>
        <v>0</v>
      </c>
      <c r="CT27" s="129">
        <f t="shared" ca="1" si="39"/>
        <v>0</v>
      </c>
      <c r="CU27" s="25">
        <f t="shared" ca="1" si="40"/>
        <v>95</v>
      </c>
      <c r="CV27" s="27">
        <f t="shared" ca="1" si="41"/>
        <v>96</v>
      </c>
      <c r="CW27" s="287">
        <f t="shared" ca="1" si="42"/>
        <v>1.0105263157894737</v>
      </c>
      <c r="CX27" s="27">
        <f t="shared" si="43"/>
        <v>76</v>
      </c>
      <c r="CY27" s="129">
        <f t="shared" ca="1" si="44"/>
        <v>0.79166666666666663</v>
      </c>
      <c r="CZ27" s="27">
        <f t="shared" si="45"/>
        <v>19</v>
      </c>
      <c r="DA27" s="130">
        <f t="shared" ca="1" si="46"/>
        <v>0.2</v>
      </c>
      <c r="DB27" s="25">
        <f t="shared" ca="1" si="72"/>
        <v>0</v>
      </c>
      <c r="DC27" s="27">
        <f t="shared" ca="1" si="72"/>
        <v>0</v>
      </c>
      <c r="DD27" s="287">
        <f t="shared" ca="1" si="48"/>
        <v>0</v>
      </c>
      <c r="DE27" s="27">
        <f t="shared" si="73"/>
        <v>0</v>
      </c>
      <c r="DF27" s="129" t="str">
        <f t="shared" ca="1" si="49"/>
        <v>N.D.</v>
      </c>
      <c r="DG27" s="27">
        <f t="shared" si="74"/>
        <v>0</v>
      </c>
      <c r="DH27" s="130">
        <f t="shared" ca="1" si="61"/>
        <v>0</v>
      </c>
      <c r="DI27" s="510">
        <v>1</v>
      </c>
      <c r="DJ27" s="369" t="s">
        <v>45</v>
      </c>
      <c r="DK27" s="25">
        <f t="shared" ca="1" si="51"/>
        <v>95</v>
      </c>
      <c r="DL27" s="27">
        <f t="shared" ca="1" si="52"/>
        <v>96</v>
      </c>
      <c r="DM27" s="287">
        <f t="shared" ca="1" si="53"/>
        <v>1.0105263157894737</v>
      </c>
      <c r="DN27" s="151">
        <f t="shared" si="54"/>
        <v>76</v>
      </c>
      <c r="DO27" s="129">
        <f t="shared" ca="1" si="55"/>
        <v>0.79166666666666663</v>
      </c>
      <c r="DP27" s="27">
        <f t="shared" si="56"/>
        <v>19</v>
      </c>
      <c r="DQ27" s="130">
        <f t="shared" ca="1" si="57"/>
        <v>0.2</v>
      </c>
      <c r="DR27"/>
      <c r="DS27" s="4">
        <f ca="1"/>
        <v>155</v>
      </c>
      <c r="DT27" s="4">
        <f ca="1"/>
        <v>146</v>
      </c>
      <c r="DU27" s="508">
        <f ca="1"/>
        <v>1.0740740740740742</v>
      </c>
      <c r="DW27" s="508">
        <f ca="1"/>
        <v>0.94897959183673475</v>
      </c>
      <c r="DX27" s="4">
        <v>55</v>
      </c>
      <c r="DY27" s="508">
        <f ca="1"/>
        <v>0.38571428571428573</v>
      </c>
    </row>
    <row r="28" spans="1:129" s="4" customFormat="1" ht="15" customHeight="1" x14ac:dyDescent="0.35">
      <c r="A28" s="4">
        <f>_xlfn.XLOOKUP(B28,'WHOLESALE BMW 2026'!$B$7:$B$67,'WHOLESALE BMW 2026'!$A$7:$A$67)</f>
        <v>4</v>
      </c>
      <c r="B28" s="8">
        <v>100346</v>
      </c>
      <c r="C28" s="369" t="s">
        <v>46</v>
      </c>
      <c r="D28" s="125"/>
      <c r="E28" s="309" t="s">
        <v>81</v>
      </c>
      <c r="F28" s="21">
        <f ca="1">SUMIF('UC BMW 2026'!B26:B102,'UC BMW 2026'!B26,'UC BMW 2026'!F26:F93)</f>
        <v>10</v>
      </c>
      <c r="G28" s="24">
        <f ca="1">SUMIF('UC BMW 2026'!$B$5:$B$77,'UC BMW 2026'!B26,'UC BMW 2026'!$G$5:$G$72)</f>
        <v>4</v>
      </c>
      <c r="H28" s="24">
        <f>IFERROR(VLOOKUP(B28,[2]BPS!$B$10:$O$64,3,0),0)-IF(B28=100873,IFERROR(VLOOKUP("Enero",[2]BPS!$B$74:$C$89,2,0),0),0)</f>
        <v>2</v>
      </c>
      <c r="I28" s="282">
        <f t="shared" ca="1" si="0"/>
        <v>0.5</v>
      </c>
      <c r="J28" s="380">
        <f>IFERROR(VLOOKUP(B28,'[2]RETAIL ORIGEN RMKT'!$B$11:$O$62,3,0),0)</f>
        <v>0</v>
      </c>
      <c r="K28" s="127">
        <f t="shared" ca="1" si="1"/>
        <v>0</v>
      </c>
      <c r="L28" s="21">
        <f ca="1">SUMIF('UC BMW 2026'!$B$5:$B$77,'UC BMW 2026'!$B26,'UC BMW 2026'!$H$5:$H$72)</f>
        <v>10</v>
      </c>
      <c r="M28" s="24">
        <f ca="1">SUMIF('UC BMW 2026'!$B$5:$B$77,'UC BMW 2026'!$B26,'UC BMW 2026'!$I$5:$I$72)</f>
        <v>7</v>
      </c>
      <c r="N28" s="24">
        <f>IFERROR(VLOOKUP(B28,[2]BPS!$B$10:$O$64,4,0),0)-IF(B28=100873,IFERROR(VLOOKUP("Febrero",[2]BPS!$B$74:$C$89,2,0),0),0)</f>
        <v>7</v>
      </c>
      <c r="O28" s="282">
        <f t="shared" ca="1" si="2"/>
        <v>1</v>
      </c>
      <c r="P28" s="380">
        <f>IFERROR(VLOOKUP(B28,'[2]RETAIL ORIGEN RMKT'!$B$11:$O$62,4,0),0)</f>
        <v>0</v>
      </c>
      <c r="Q28" s="127">
        <f t="shared" ca="1" si="3"/>
        <v>0</v>
      </c>
      <c r="R28" s="21">
        <f ca="1">SUMIF('UC BMW 2026'!$B$5:$B$77,'UC BMW 2026'!$B26,'UC BMW 2026'!$J$5:$J$72)</f>
        <v>10</v>
      </c>
      <c r="S28" s="24">
        <f ca="1">SUMIF('UC BMW 2026'!$B$5:$B$77,'UC BMW 2026'!$B26,'UC BMW 2026'!$K$5:$K$72)</f>
        <v>4</v>
      </c>
      <c r="T28" s="24">
        <f>IFERROR(VLOOKUP(B28,[2]BPS!$B$10:$O$64,5,0),0)-IF(B28=100873,IFERROR(VLOOKUP("Marzo",[2]BPS!$B$74:$C$89,2,0),0),0)</f>
        <v>4</v>
      </c>
      <c r="U28" s="282">
        <f t="shared" ca="1" si="4"/>
        <v>1</v>
      </c>
      <c r="V28" s="380">
        <f>IFERROR(VLOOKUP(B28,'[2]RETAIL ORIGEN RMKT'!$B$11:$O$62,5,0),0)</f>
        <v>0</v>
      </c>
      <c r="W28" s="127">
        <f t="shared" ca="1" si="5"/>
        <v>0</v>
      </c>
      <c r="X28" s="21">
        <f ca="1">SUMIF('UC BMW 2026'!$B$5:$B$77,'UC BMW 2026'!$B26,'UC BMW 2026'!$L$5:$L$72)</f>
        <v>10</v>
      </c>
      <c r="Y28" s="24">
        <f ca="1">SUMIF('UC BMW 2026'!$B$5:$B$77,'UC BMW 2026'!$B26,'UC BMW 2026'!$M$5:$M$72)</f>
        <v>5</v>
      </c>
      <c r="Z28" s="24">
        <f>IFERROR(VLOOKUP(B28,[2]BPS!$B$10:$O$64,6,0),0)-IF(B28=100873,IFERROR(VLOOKUP("Abril",[2]BPS!$B$74:$C$89,2,0),0),0)</f>
        <v>2</v>
      </c>
      <c r="AA28" s="282">
        <f t="shared" ca="1" si="6"/>
        <v>0.4</v>
      </c>
      <c r="AB28" s="380">
        <f>IFERROR(VLOOKUP(B28,'[2]RETAIL ORIGEN RMKT'!$B$11:$O$62,6,0),0)</f>
        <v>0</v>
      </c>
      <c r="AC28" s="127">
        <f t="shared" ca="1" si="7"/>
        <v>0</v>
      </c>
      <c r="AD28" s="21">
        <f ca="1">SUMIF('UC BMW 2026'!$B$5:$B$77,'UC BMW 2026'!$B26,'UC BMW 2026'!$N$5:$N$72)</f>
        <v>10</v>
      </c>
      <c r="AE28" s="24">
        <f ca="1">SUMIF('UC BMW 2026'!$B$5:$B$77,'UC BMW 2026'!$B26,'UC BMW 2026'!$O$5:$O$72)</f>
        <v>2</v>
      </c>
      <c r="AF28" s="24">
        <f>IFERROR(VLOOKUP(B28,[2]BPS!$B$10:$O$64,7,0),0)-IF(B28=100873,IFERROR(VLOOKUP("Mayo",[2]BPS!$B$74:$C$89,2,0),0),0)</f>
        <v>1</v>
      </c>
      <c r="AG28" s="282">
        <f t="shared" ca="1" si="8"/>
        <v>0.5</v>
      </c>
      <c r="AH28" s="380">
        <f>IFERROR(VLOOKUP(B28,'[2]RETAIL ORIGEN RMKT'!$B$11:$O$62,7,0),0)</f>
        <v>0</v>
      </c>
      <c r="AI28" s="127">
        <f t="shared" ca="1" si="9"/>
        <v>0</v>
      </c>
      <c r="AJ28" s="21">
        <f ca="1">SUMIF('UC BMW 2026'!$B$5:$B$77,'UC BMW 2026'!$B26,'UC BMW 2026'!$P$5:$P$72)</f>
        <v>10</v>
      </c>
      <c r="AK28" s="24">
        <f ca="1">SUMIF('UC BMW 2026'!$B$5:$B$77,'UC BMW 2026'!$B26,'UC BMW 2026'!$Q$5:$Q$72)</f>
        <v>4</v>
      </c>
      <c r="AL28" s="24">
        <f>IFERROR(VLOOKUP(B28,[2]BPS!$B$10:$O$64,8,0),0)-IF(B28=100873,IFERROR(VLOOKUP("Junio",[2]BPS!$B$74:$C$89,2,0),0),0)</f>
        <v>2</v>
      </c>
      <c r="AM28" s="282">
        <f t="shared" ca="1" si="10"/>
        <v>0.5</v>
      </c>
      <c r="AN28" s="380">
        <f>IFERROR(VLOOKUP(B28,'[2]RETAIL ORIGEN RMKT'!$B$11:$O$62,8,0),0)</f>
        <v>0</v>
      </c>
      <c r="AO28" s="127">
        <f t="shared" ca="1" si="11"/>
        <v>0</v>
      </c>
      <c r="AP28" s="21">
        <f ca="1">SUMIF('UC BMW 2026'!$B$5:$B$77,'UC BMW 2026'!$B26,'UC BMW 2026'!$R$5:$R$72)</f>
        <v>11</v>
      </c>
      <c r="AQ28" s="24">
        <f ca="1">SUMIF('UC BMW 2026'!$B$5:$B$77,'UC BMW 2026'!$B26,'UC BMW 2026'!$S$5:$S$72)</f>
        <v>0</v>
      </c>
      <c r="AR28" s="24">
        <f>IFERROR(VLOOKUP(B28,[2]BPS!$B$10:$O$64,9,0),0)-IF(B28=100873,IFERROR(VLOOKUP("Julio",[2]BPS!$B$74:$C$89,2,0),0),0)</f>
        <v>0</v>
      </c>
      <c r="AS28" s="282">
        <f t="shared" ca="1" si="12"/>
        <v>0</v>
      </c>
      <c r="AT28" s="380">
        <f>IFERROR(VLOOKUP(B28,'[2]RETAIL ORIGEN RMKT'!$B$11:$O$62,9,0),0)</f>
        <v>0</v>
      </c>
      <c r="AU28" s="127">
        <f t="shared" ca="1" si="13"/>
        <v>0</v>
      </c>
      <c r="AV28" s="21">
        <f ca="1">SUMIF('UC BMW 2026'!$B$5:$B$77,'UC BMW 2026'!$B26,'UC BMW 2026'!$T$5:$T$72)</f>
        <v>10</v>
      </c>
      <c r="AW28" s="24">
        <f ca="1">SUMIF('UC BMW 2026'!$B$5:$B$77,'UC BMW 2026'!$B26,'UC BMW 2026'!$U$5:$U$72)</f>
        <v>0</v>
      </c>
      <c r="AX28" s="24">
        <f>IFERROR(VLOOKUP(B28,[2]BPS!$B$10:$O$64,10,0),0)-IF(B28=100873,IFERROR(VLOOKUP("Agosto",[2]BPS!$B$74:$C$89,2,0),0),0)</f>
        <v>0</v>
      </c>
      <c r="AY28" s="282">
        <f t="shared" ca="1" si="14"/>
        <v>0</v>
      </c>
      <c r="AZ28" s="380">
        <f>IFERROR(VLOOKUP(B28,'[2]RETAIL ORIGEN RMKT'!$B$11:$O$62,10,0),0)</f>
        <v>0</v>
      </c>
      <c r="BA28" s="127">
        <f t="shared" ca="1" si="15"/>
        <v>0</v>
      </c>
      <c r="BB28" s="21">
        <f ca="1">SUMIF('UC BMW 2026'!$B$5:$B$77,'UC BMW 2026'!$B26,'UC BMW 2026'!$V$5:$V$72)</f>
        <v>11</v>
      </c>
      <c r="BC28" s="24">
        <f>SUMIF('UC BMW 2026'!$B$5:$B$77,'UC BMW 2026'!$B26,'UC BMW 2026'!$W$5:$W$77)</f>
        <v>0</v>
      </c>
      <c r="BD28" s="24">
        <f>IFERROR(VLOOKUP(B28,[2]BPS!$B$10:$O$64,11,0),0)-IF(B28=100873,IFERROR(VLOOKUP("Septiembre",[2]BPS!$B$74:$C$89,2,0),0),0)</f>
        <v>0</v>
      </c>
      <c r="BE28" s="282">
        <f t="shared" si="16"/>
        <v>0</v>
      </c>
      <c r="BF28" s="380">
        <f>IFERROR(VLOOKUP(B28,'[2]RETAIL ORIGEN RMKT'!$B$11:$O$62,11,0),0)</f>
        <v>0</v>
      </c>
      <c r="BG28" s="127">
        <f t="shared" ca="1" si="17"/>
        <v>0</v>
      </c>
      <c r="BH28" s="21">
        <f>SUMIF('UC BMW 2026'!$B$5:$B$77,'UC BMW 2026'!$B26,'UC BMW 2026'!$X$5:$X$77)</f>
        <v>11</v>
      </c>
      <c r="BI28" s="24">
        <f>SUMIF('UC BMW 2026'!$B$5:$B$77,'UC BMW 2026'!$B26,'UC BMW 2026'!$Y$5:$Y$77)</f>
        <v>0</v>
      </c>
      <c r="BJ28" s="24">
        <f>IFERROR(VLOOKUP(B28,[2]BPS!$B$10:$O$64,12,0),0)-IF(B28=100873,IFERROR(VLOOKUP("Octubre",[2]BPS!$B$74:$C$89,2,0),0),0)</f>
        <v>0</v>
      </c>
      <c r="BK28" s="282">
        <f t="shared" si="18"/>
        <v>0</v>
      </c>
      <c r="BL28" s="380">
        <f>IFERROR(VLOOKUP(B28,'[2]RETAIL ORIGEN RMKT'!$B$11:$O$62,12,0),0)</f>
        <v>0</v>
      </c>
      <c r="BM28" s="127">
        <f t="shared" si="19"/>
        <v>0</v>
      </c>
      <c r="BN28" s="21">
        <f>SUMIF('UC BMW 2026'!$B$5:$B$77,'UC BMW 2026'!$B26,'UC BMW 2026'!$Z$5:$Z$77)</f>
        <v>11</v>
      </c>
      <c r="BO28" s="24">
        <f>SUMIF('UC BMW 2026'!$B$5:$B$77,'UC BMW 2026'!$B26,'UC BMW 2026'!$AA$5:$AA$77)</f>
        <v>0</v>
      </c>
      <c r="BP28" s="24">
        <f>IFERROR(VLOOKUP(B28,[2]BPS!$B$10:$O$64,13,0),0)-IF(B28=100873,IFERROR(VLOOKUP("Noviembre",[2]BPS!$B$74:$C$89,2,0),0),0)</f>
        <v>0</v>
      </c>
      <c r="BQ28" s="282">
        <f t="shared" si="20"/>
        <v>0</v>
      </c>
      <c r="BR28" s="380">
        <f>IFERROR(VLOOKUP(B28,'[2]RETAIL ORIGEN RMKT'!$B$11:$O$62,13,0),0)</f>
        <v>0</v>
      </c>
      <c r="BS28" s="127">
        <f t="shared" si="21"/>
        <v>0</v>
      </c>
      <c r="BT28" s="21">
        <f>SUMIF('UC BMW 2026'!$B$5:$B$77,'UC BMW 2026'!$B26,'UC BMW 2026'!$AB$5:$AB$77)</f>
        <v>11</v>
      </c>
      <c r="BU28" s="24">
        <f>SUMIF('UC BMW 2026'!$B$5:$B$77,'UC BMW 2026'!$B26,'UC BMW 2026'!$AC$5:$AC$77)</f>
        <v>0</v>
      </c>
      <c r="BV28" s="24">
        <f>IFERROR(VLOOKUP(B28,[2]BPS!$B$10:$O$64,13,0),0)-IF(B28=100873,IFERROR(VLOOKUP("Diciembre",[2]BPS!$B$74:$C$89,2,0),0),0)</f>
        <v>0</v>
      </c>
      <c r="BW28" s="282">
        <f t="shared" si="22"/>
        <v>0</v>
      </c>
      <c r="BX28" s="380">
        <f>IFERROR(VLOOKUP(B28,'[2]RETAIL ORIGEN RMKT'!$B$11:$O$62,14,0),0)</f>
        <v>0</v>
      </c>
      <c r="BY28" s="127">
        <f t="shared" si="23"/>
        <v>0</v>
      </c>
      <c r="BZ28" s="25">
        <f t="shared" ca="1" si="62"/>
        <v>60</v>
      </c>
      <c r="CA28" s="27">
        <f t="shared" ca="1" si="62"/>
        <v>26</v>
      </c>
      <c r="CB28" s="287">
        <f t="shared" ca="1" si="25"/>
        <v>0.43333333333333335</v>
      </c>
      <c r="CC28" s="151">
        <f t="shared" si="63"/>
        <v>18</v>
      </c>
      <c r="CD28" s="129">
        <f t="shared" ca="1" si="64"/>
        <v>0.69230769230769229</v>
      </c>
      <c r="CE28" s="24">
        <f t="shared" si="65"/>
        <v>0</v>
      </c>
      <c r="CF28" s="129">
        <f t="shared" ca="1" si="32"/>
        <v>0</v>
      </c>
      <c r="CG28" s="25">
        <f t="shared" ca="1" si="66"/>
        <v>125</v>
      </c>
      <c r="CH28" s="27">
        <f t="shared" ca="1" si="67"/>
        <v>26</v>
      </c>
      <c r="CI28" s="287">
        <f t="shared" ca="1" si="33"/>
        <v>0.20799999999999999</v>
      </c>
      <c r="CJ28" s="291">
        <f t="shared" si="68"/>
        <v>18</v>
      </c>
      <c r="CK28" s="129">
        <f t="shared" ca="1" si="26"/>
        <v>0.69230769230769229</v>
      </c>
      <c r="CL28" s="27">
        <f t="shared" si="69"/>
        <v>0</v>
      </c>
      <c r="CM28" s="129">
        <f t="shared" ca="1" si="34"/>
        <v>0</v>
      </c>
      <c r="CN28" s="25">
        <f t="shared" ca="1" si="70"/>
        <v>30</v>
      </c>
      <c r="CO28" s="27">
        <f t="shared" ca="1" si="70"/>
        <v>15</v>
      </c>
      <c r="CP28" s="287">
        <f t="shared" ca="1" si="36"/>
        <v>0.5</v>
      </c>
      <c r="CQ28" s="291">
        <f t="shared" si="71"/>
        <v>13</v>
      </c>
      <c r="CR28" s="129">
        <f t="shared" ca="1" si="37"/>
        <v>0.8666666666666667</v>
      </c>
      <c r="CS28" s="27">
        <f t="shared" si="38"/>
        <v>0</v>
      </c>
      <c r="CT28" s="129">
        <f t="shared" ca="1" si="39"/>
        <v>0</v>
      </c>
      <c r="CU28" s="25">
        <f t="shared" ca="1" si="40"/>
        <v>60</v>
      </c>
      <c r="CV28" s="27">
        <f t="shared" ca="1" si="41"/>
        <v>26</v>
      </c>
      <c r="CW28" s="287">
        <f t="shared" ca="1" si="42"/>
        <v>0.43333333333333335</v>
      </c>
      <c r="CX28" s="27">
        <f t="shared" si="43"/>
        <v>18</v>
      </c>
      <c r="CY28" s="129">
        <f t="shared" ca="1" si="44"/>
        <v>0.69230769230769229</v>
      </c>
      <c r="CZ28" s="27">
        <f t="shared" si="45"/>
        <v>0</v>
      </c>
      <c r="DA28" s="130">
        <f t="shared" ca="1" si="46"/>
        <v>0</v>
      </c>
      <c r="DB28" s="25">
        <f t="shared" ca="1" si="72"/>
        <v>65</v>
      </c>
      <c r="DC28" s="27">
        <f t="shared" ca="1" si="72"/>
        <v>0</v>
      </c>
      <c r="DD28" s="287">
        <f t="shared" ca="1" si="48"/>
        <v>0</v>
      </c>
      <c r="DE28" s="27">
        <f t="shared" si="73"/>
        <v>0</v>
      </c>
      <c r="DF28" s="129" t="str">
        <f t="shared" ca="1" si="49"/>
        <v>N.D.</v>
      </c>
      <c r="DG28" s="27">
        <f t="shared" si="74"/>
        <v>0</v>
      </c>
      <c r="DH28" s="130">
        <f t="shared" ca="1" si="61"/>
        <v>0</v>
      </c>
      <c r="DI28" s="510">
        <v>1</v>
      </c>
      <c r="DJ28" s="369" t="s">
        <v>46</v>
      </c>
      <c r="DK28" s="25">
        <f t="shared" ca="1" si="51"/>
        <v>60</v>
      </c>
      <c r="DL28" s="27">
        <f t="shared" ca="1" si="52"/>
        <v>26</v>
      </c>
      <c r="DM28" s="287">
        <f t="shared" ca="1" si="53"/>
        <v>0.43333333333333335</v>
      </c>
      <c r="DN28" s="151">
        <f t="shared" si="54"/>
        <v>18</v>
      </c>
      <c r="DO28" s="129">
        <f t="shared" ca="1" si="55"/>
        <v>0.69230769230769229</v>
      </c>
      <c r="DP28" s="27">
        <f t="shared" si="56"/>
        <v>0</v>
      </c>
      <c r="DQ28" s="130">
        <f t="shared" ca="1" si="57"/>
        <v>0</v>
      </c>
      <c r="DR28"/>
      <c r="DS28" s="4">
        <f ca="1"/>
        <v>150</v>
      </c>
      <c r="DT28" s="4">
        <f ca="1"/>
        <v>135</v>
      </c>
      <c r="DU28" s="508">
        <f ca="1"/>
        <v>1.0678571428571428</v>
      </c>
      <c r="DW28" s="508">
        <f ca="1"/>
        <v>0.94814814814814818</v>
      </c>
      <c r="DX28" s="4">
        <v>52</v>
      </c>
      <c r="DY28" s="508">
        <f ca="1"/>
        <v>0.36296296296296299</v>
      </c>
    </row>
    <row r="29" spans="1:129" s="4" customFormat="1" ht="15" customHeight="1" x14ac:dyDescent="0.35">
      <c r="A29" s="4">
        <f>_xlfn.XLOOKUP(B29,'WHOLESALE BMW 2026'!$B$7:$B$67,'WHOLESALE BMW 2026'!$A$7:$A$67)</f>
        <v>4</v>
      </c>
      <c r="B29" s="8">
        <v>100454</v>
      </c>
      <c r="C29" s="369" t="s">
        <v>47</v>
      </c>
      <c r="D29" s="125"/>
      <c r="E29" s="309" t="s">
        <v>84</v>
      </c>
      <c r="F29" s="21">
        <f ca="1">SUMIF('UC BMW 2026'!B27:B103,'UC BMW 2026'!B27,'UC BMW 2026'!F27:F94)</f>
        <v>4</v>
      </c>
      <c r="G29" s="24">
        <f ca="1">SUMIF('UC BMW 2026'!$B$5:$B$77,'UC BMW 2026'!B27,'UC BMW 2026'!$G$5:$G$72)</f>
        <v>8</v>
      </c>
      <c r="H29" s="24">
        <f>IFERROR(VLOOKUP(B29,[2]BPS!$B$10:$O$64,3,0),0)-IF(B29=100873,IFERROR(VLOOKUP("Enero",[2]BPS!$B$74:$C$89,2,0),0),0)</f>
        <v>0</v>
      </c>
      <c r="I29" s="282">
        <f t="shared" ca="1" si="0"/>
        <v>0</v>
      </c>
      <c r="J29" s="380">
        <f>IFERROR(VLOOKUP(B29,'[2]RETAIL ORIGEN RMKT'!$B$11:$O$62,3,0),0)</f>
        <v>1</v>
      </c>
      <c r="K29" s="127">
        <f t="shared" ca="1" si="1"/>
        <v>0.25</v>
      </c>
      <c r="L29" s="21">
        <f ca="1">SUMIF('UC BMW 2026'!$B$5:$B$77,'UC BMW 2026'!$B27,'UC BMW 2026'!$H$5:$H$72)</f>
        <v>4</v>
      </c>
      <c r="M29" s="24">
        <f ca="1">SUMIF('UC BMW 2026'!$B$5:$B$77,'UC BMW 2026'!$B27,'UC BMW 2026'!$I$5:$I$72)</f>
        <v>2</v>
      </c>
      <c r="N29" s="24">
        <f>IFERROR(VLOOKUP(B29,[2]BPS!$B$10:$O$64,4,0),0)-IF(B29=100873,IFERROR(VLOOKUP("Febrero",[2]BPS!$B$74:$C$89,2,0),0),0)</f>
        <v>0</v>
      </c>
      <c r="O29" s="282">
        <f t="shared" ca="1" si="2"/>
        <v>0</v>
      </c>
      <c r="P29" s="380">
        <f>IFERROR(VLOOKUP(B29,'[2]RETAIL ORIGEN RMKT'!$B$11:$O$62,4,0),0)</f>
        <v>1</v>
      </c>
      <c r="Q29" s="127">
        <f t="shared" ca="1" si="3"/>
        <v>0.25</v>
      </c>
      <c r="R29" s="21">
        <f ca="1">SUMIF('UC BMW 2026'!$B$5:$B$77,'UC BMW 2026'!$B27,'UC BMW 2026'!$J$5:$J$72)</f>
        <v>4</v>
      </c>
      <c r="S29" s="24">
        <f ca="1">SUMIF('UC BMW 2026'!$B$5:$B$77,'UC BMW 2026'!$B27,'UC BMW 2026'!$K$5:$K$72)</f>
        <v>2</v>
      </c>
      <c r="T29" s="24">
        <f>IFERROR(VLOOKUP(B29,[2]BPS!$B$10:$O$64,5,0),0)-IF(B29=100873,IFERROR(VLOOKUP("Marzo",[2]BPS!$B$74:$C$89,2,0),0),0)</f>
        <v>0</v>
      </c>
      <c r="U29" s="282">
        <f t="shared" ca="1" si="4"/>
        <v>0</v>
      </c>
      <c r="V29" s="380">
        <f>IFERROR(VLOOKUP(B29,'[2]RETAIL ORIGEN RMKT'!$B$11:$O$62,5,0),0)</f>
        <v>0</v>
      </c>
      <c r="W29" s="127">
        <f t="shared" ca="1" si="5"/>
        <v>0</v>
      </c>
      <c r="X29" s="21">
        <f ca="1">SUMIF('UC BMW 2026'!$B$5:$B$77,'UC BMW 2026'!$B27,'UC BMW 2026'!$L$5:$L$72)</f>
        <v>4</v>
      </c>
      <c r="Y29" s="24">
        <f ca="1">SUMIF('UC BMW 2026'!$B$5:$B$77,'UC BMW 2026'!$B27,'UC BMW 2026'!$M$5:$M$72)</f>
        <v>3</v>
      </c>
      <c r="Z29" s="24">
        <f>IFERROR(VLOOKUP(B29,[2]BPS!$B$10:$O$64,6,0),0)-IF(B29=100873,IFERROR(VLOOKUP("Abril",[2]BPS!$B$74:$C$89,2,0),0),0)</f>
        <v>0</v>
      </c>
      <c r="AA29" s="282">
        <f t="shared" ca="1" si="6"/>
        <v>0</v>
      </c>
      <c r="AB29" s="380">
        <f>IFERROR(VLOOKUP(B29,'[2]RETAIL ORIGEN RMKT'!$B$11:$O$62,6,0),0)</f>
        <v>0</v>
      </c>
      <c r="AC29" s="127">
        <f t="shared" ca="1" si="7"/>
        <v>0</v>
      </c>
      <c r="AD29" s="21">
        <f ca="1">SUMIF('UC BMW 2026'!$B$5:$B$77,'UC BMW 2026'!$B27,'UC BMW 2026'!$N$5:$N$72)</f>
        <v>4</v>
      </c>
      <c r="AE29" s="24">
        <f ca="1">SUMIF('UC BMW 2026'!$B$5:$B$77,'UC BMW 2026'!$B27,'UC BMW 2026'!$O$5:$O$72)</f>
        <v>1</v>
      </c>
      <c r="AF29" s="24">
        <f>IFERROR(VLOOKUP(B29,[2]BPS!$B$10:$O$64,7,0),0)-IF(B29=100873,IFERROR(VLOOKUP("Mayo",[2]BPS!$B$74:$C$89,2,0),0),0)</f>
        <v>0</v>
      </c>
      <c r="AG29" s="282">
        <f t="shared" ca="1" si="8"/>
        <v>0</v>
      </c>
      <c r="AH29" s="380">
        <f>IFERROR(VLOOKUP(B29,'[2]RETAIL ORIGEN RMKT'!$B$11:$O$62,7,0),0)</f>
        <v>0</v>
      </c>
      <c r="AI29" s="127">
        <f t="shared" ca="1" si="9"/>
        <v>0</v>
      </c>
      <c r="AJ29" s="21">
        <f ca="1">SUMIF('UC BMW 2026'!$B$5:$B$77,'UC BMW 2026'!$B27,'UC BMW 2026'!$P$5:$P$72)</f>
        <v>4</v>
      </c>
      <c r="AK29" s="24">
        <f ca="1">SUMIF('UC BMW 2026'!$B$5:$B$77,'UC BMW 2026'!$B27,'UC BMW 2026'!$Q$5:$Q$72)</f>
        <v>3</v>
      </c>
      <c r="AL29" s="24">
        <f>IFERROR(VLOOKUP(B29,[2]BPS!$B$10:$O$64,8,0),0)-IF(B29=100873,IFERROR(VLOOKUP("Junio",[2]BPS!$B$74:$C$89,2,0),0),0)</f>
        <v>0</v>
      </c>
      <c r="AM29" s="282">
        <f t="shared" ca="1" si="10"/>
        <v>0</v>
      </c>
      <c r="AN29" s="380">
        <f>IFERROR(VLOOKUP(B29,'[2]RETAIL ORIGEN RMKT'!$B$11:$O$62,8,0),0)</f>
        <v>0</v>
      </c>
      <c r="AO29" s="127">
        <f t="shared" ca="1" si="11"/>
        <v>0</v>
      </c>
      <c r="AP29" s="21">
        <f ca="1">SUMIF('UC BMW 2026'!$B$5:$B$77,'UC BMW 2026'!$B27,'UC BMW 2026'!$R$5:$R$72)</f>
        <v>0</v>
      </c>
      <c r="AQ29" s="24">
        <f ca="1">SUMIF('UC BMW 2026'!$B$5:$B$77,'UC BMW 2026'!$B27,'UC BMW 2026'!$S$5:$S$72)</f>
        <v>0</v>
      </c>
      <c r="AR29" s="24">
        <f>IFERROR(VLOOKUP(B29,[2]BPS!$B$10:$O$64,9,0),0)-IF(B29=100873,IFERROR(VLOOKUP("Julio",[2]BPS!$B$74:$C$89,2,0),0),0)</f>
        <v>0</v>
      </c>
      <c r="AS29" s="282">
        <f t="shared" ca="1" si="12"/>
        <v>0</v>
      </c>
      <c r="AT29" s="380">
        <f>IFERROR(VLOOKUP(B29,'[2]RETAIL ORIGEN RMKT'!$B$11:$O$62,9,0),0)</f>
        <v>0</v>
      </c>
      <c r="AU29" s="127">
        <f t="shared" ca="1" si="13"/>
        <v>0</v>
      </c>
      <c r="AV29" s="21">
        <f ca="1">SUMIF('UC BMW 2026'!$B$5:$B$77,'UC BMW 2026'!$B27,'UC BMW 2026'!$T$5:$T$72)</f>
        <v>0</v>
      </c>
      <c r="AW29" s="24">
        <f ca="1">SUMIF('UC BMW 2026'!$B$5:$B$77,'UC BMW 2026'!$B27,'UC BMW 2026'!$U$5:$U$72)</f>
        <v>0</v>
      </c>
      <c r="AX29" s="24">
        <f>IFERROR(VLOOKUP(B29,[2]BPS!$B$10:$O$64,10,0),0)-IF(B29=100873,IFERROR(VLOOKUP("Agosto",[2]BPS!$B$74:$C$89,2,0),0),0)</f>
        <v>0</v>
      </c>
      <c r="AY29" s="282">
        <f t="shared" ca="1" si="14"/>
        <v>0</v>
      </c>
      <c r="AZ29" s="380">
        <f>IFERROR(VLOOKUP(B29,'[2]RETAIL ORIGEN RMKT'!$B$11:$O$62,10,0),0)</f>
        <v>0</v>
      </c>
      <c r="BA29" s="127">
        <f t="shared" ca="1" si="15"/>
        <v>0</v>
      </c>
      <c r="BB29" s="21">
        <f ca="1">SUMIF('UC BMW 2026'!$B$5:$B$77,'UC BMW 2026'!$B27,'UC BMW 2026'!$V$5:$V$72)</f>
        <v>0</v>
      </c>
      <c r="BC29" s="24">
        <f>SUMIF('UC BMW 2026'!$B$5:$B$77,'UC BMW 2026'!$B27,'UC BMW 2026'!$W$5:$W$77)</f>
        <v>0</v>
      </c>
      <c r="BD29" s="24">
        <f>IFERROR(VLOOKUP(B29,[2]BPS!$B$10:$O$64,11,0),0)-IF(B29=100873,IFERROR(VLOOKUP("Septiembre",[2]BPS!$B$74:$C$89,2,0),0),0)</f>
        <v>0</v>
      </c>
      <c r="BE29" s="282">
        <f t="shared" si="16"/>
        <v>0</v>
      </c>
      <c r="BF29" s="380">
        <f>IFERROR(VLOOKUP(B29,'[2]RETAIL ORIGEN RMKT'!$B$11:$O$62,11,0),0)</f>
        <v>0</v>
      </c>
      <c r="BG29" s="127">
        <f t="shared" ca="1" si="17"/>
        <v>0</v>
      </c>
      <c r="BH29" s="21">
        <f>SUMIF('UC BMW 2026'!$B$5:$B$77,'UC BMW 2026'!$B27,'UC BMW 2026'!$X$5:$X$77)</f>
        <v>0</v>
      </c>
      <c r="BI29" s="24">
        <f>SUMIF('UC BMW 2026'!$B$5:$B$77,'UC BMW 2026'!$B27,'UC BMW 2026'!$Y$5:$Y$77)</f>
        <v>0</v>
      </c>
      <c r="BJ29" s="24">
        <f>IFERROR(VLOOKUP(B29,[2]BPS!$B$10:$O$64,12,0),0)-IF(B29=100873,IFERROR(VLOOKUP("Octubre",[2]BPS!$B$74:$C$89,2,0),0),0)</f>
        <v>0</v>
      </c>
      <c r="BK29" s="282">
        <f t="shared" si="18"/>
        <v>0</v>
      </c>
      <c r="BL29" s="380">
        <f>IFERROR(VLOOKUP(B29,'[2]RETAIL ORIGEN RMKT'!$B$11:$O$62,12,0),0)</f>
        <v>0</v>
      </c>
      <c r="BM29" s="127">
        <f t="shared" si="19"/>
        <v>0</v>
      </c>
      <c r="BN29" s="21">
        <f>SUMIF('UC BMW 2026'!$B$5:$B$77,'UC BMW 2026'!$B27,'UC BMW 2026'!$Z$5:$Z$77)</f>
        <v>0</v>
      </c>
      <c r="BO29" s="24">
        <f>SUMIF('UC BMW 2026'!$B$5:$B$77,'UC BMW 2026'!$B27,'UC BMW 2026'!$AA$5:$AA$77)</f>
        <v>0</v>
      </c>
      <c r="BP29" s="24">
        <f>IFERROR(VLOOKUP(B29,[2]BPS!$B$10:$O$64,13,0),0)-IF(B29=100873,IFERROR(VLOOKUP("Noviembre",[2]BPS!$B$74:$C$89,2,0),0),0)</f>
        <v>0</v>
      </c>
      <c r="BQ29" s="282">
        <f t="shared" si="20"/>
        <v>0</v>
      </c>
      <c r="BR29" s="380">
        <f>IFERROR(VLOOKUP(B29,'[2]RETAIL ORIGEN RMKT'!$B$11:$O$62,13,0),0)</f>
        <v>0</v>
      </c>
      <c r="BS29" s="127">
        <f t="shared" si="21"/>
        <v>0</v>
      </c>
      <c r="BT29" s="21">
        <f>SUMIF('UC BMW 2026'!$B$5:$B$77,'UC BMW 2026'!$B27,'UC BMW 2026'!$AB$5:$AB$77)</f>
        <v>0</v>
      </c>
      <c r="BU29" s="24">
        <f>SUMIF('UC BMW 2026'!$B$5:$B$77,'UC BMW 2026'!$B27,'UC BMW 2026'!$AC$5:$AC$77)</f>
        <v>0</v>
      </c>
      <c r="BV29" s="24">
        <f>IFERROR(VLOOKUP(B29,[2]BPS!$B$10:$O$64,13,0),0)-IF(B29=100873,IFERROR(VLOOKUP("Diciembre",[2]BPS!$B$74:$C$89,2,0),0),0)</f>
        <v>0</v>
      </c>
      <c r="BW29" s="282">
        <f t="shared" si="22"/>
        <v>0</v>
      </c>
      <c r="BX29" s="380">
        <f>IFERROR(VLOOKUP(B29,'[2]RETAIL ORIGEN RMKT'!$B$11:$O$62,14,0),0)</f>
        <v>0</v>
      </c>
      <c r="BY29" s="127">
        <f t="shared" si="23"/>
        <v>0</v>
      </c>
      <c r="BZ29" s="25">
        <f t="shared" ca="1" si="62"/>
        <v>24</v>
      </c>
      <c r="CA29" s="27">
        <f t="shared" ca="1" si="62"/>
        <v>19</v>
      </c>
      <c r="CB29" s="287">
        <f t="shared" ca="1" si="25"/>
        <v>0.79166666666666663</v>
      </c>
      <c r="CC29" s="151">
        <f t="shared" si="63"/>
        <v>0</v>
      </c>
      <c r="CD29" s="129">
        <f t="shared" ca="1" si="64"/>
        <v>0</v>
      </c>
      <c r="CE29" s="24">
        <f t="shared" si="65"/>
        <v>2</v>
      </c>
      <c r="CF29" s="129">
        <f t="shared" ca="1" si="32"/>
        <v>8.3333333333333329E-2</v>
      </c>
      <c r="CG29" s="25">
        <f t="shared" ca="1" si="66"/>
        <v>24</v>
      </c>
      <c r="CH29" s="27">
        <f t="shared" ca="1" si="67"/>
        <v>19</v>
      </c>
      <c r="CI29" s="287">
        <f t="shared" ca="1" si="33"/>
        <v>0.79166666666666663</v>
      </c>
      <c r="CJ29" s="291">
        <f t="shared" si="68"/>
        <v>0</v>
      </c>
      <c r="CK29" s="129">
        <f t="shared" ca="1" si="26"/>
        <v>0</v>
      </c>
      <c r="CL29" s="27">
        <f t="shared" si="69"/>
        <v>2</v>
      </c>
      <c r="CM29" s="129">
        <f t="shared" ca="1" si="34"/>
        <v>8.3333333333333329E-2</v>
      </c>
      <c r="CN29" s="25">
        <f t="shared" ca="1" si="70"/>
        <v>12</v>
      </c>
      <c r="CO29" s="27">
        <f t="shared" ca="1" si="70"/>
        <v>12</v>
      </c>
      <c r="CP29" s="287">
        <f t="shared" ca="1" si="36"/>
        <v>1</v>
      </c>
      <c r="CQ29" s="291">
        <f t="shared" si="71"/>
        <v>0</v>
      </c>
      <c r="CR29" s="129">
        <f t="shared" ca="1" si="37"/>
        <v>0</v>
      </c>
      <c r="CS29" s="27">
        <f t="shared" si="38"/>
        <v>0</v>
      </c>
      <c r="CT29" s="129">
        <f t="shared" ca="1" si="39"/>
        <v>0</v>
      </c>
      <c r="CU29" s="25">
        <f t="shared" ca="1" si="40"/>
        <v>24</v>
      </c>
      <c r="CV29" s="27">
        <f t="shared" ca="1" si="41"/>
        <v>19</v>
      </c>
      <c r="CW29" s="287">
        <f t="shared" ca="1" si="42"/>
        <v>0.79166666666666663</v>
      </c>
      <c r="CX29" s="27">
        <f t="shared" si="43"/>
        <v>0</v>
      </c>
      <c r="CY29" s="129">
        <f t="shared" ca="1" si="44"/>
        <v>0</v>
      </c>
      <c r="CZ29" s="27">
        <f t="shared" si="45"/>
        <v>2</v>
      </c>
      <c r="DA29" s="130">
        <f t="shared" ca="1" si="46"/>
        <v>8.3333333333333329E-2</v>
      </c>
      <c r="DB29" s="25">
        <f t="shared" ca="1" si="72"/>
        <v>0</v>
      </c>
      <c r="DC29" s="27">
        <f t="shared" ca="1" si="72"/>
        <v>0</v>
      </c>
      <c r="DD29" s="287">
        <f t="shared" ca="1" si="48"/>
        <v>0</v>
      </c>
      <c r="DE29" s="27">
        <f t="shared" si="73"/>
        <v>0</v>
      </c>
      <c r="DF29" s="129" t="str">
        <f t="shared" ca="1" si="49"/>
        <v>N.D.</v>
      </c>
      <c r="DG29" s="27">
        <f t="shared" si="74"/>
        <v>0</v>
      </c>
      <c r="DH29" s="130">
        <f t="shared" ca="1" si="61"/>
        <v>0</v>
      </c>
      <c r="DI29" s="510">
        <v>1</v>
      </c>
      <c r="DJ29" s="369" t="s">
        <v>47</v>
      </c>
      <c r="DK29" s="25">
        <f t="shared" ca="1" si="51"/>
        <v>24</v>
      </c>
      <c r="DL29" s="27">
        <f t="shared" ca="1" si="52"/>
        <v>19</v>
      </c>
      <c r="DM29" s="287">
        <f t="shared" ca="1" si="53"/>
        <v>0.79166666666666663</v>
      </c>
      <c r="DN29" s="151">
        <f t="shared" si="54"/>
        <v>0</v>
      </c>
      <c r="DO29" s="129">
        <f t="shared" ca="1" si="55"/>
        <v>0</v>
      </c>
      <c r="DP29" s="27">
        <f t="shared" si="56"/>
        <v>2</v>
      </c>
      <c r="DQ29" s="130">
        <f t="shared" ca="1" si="57"/>
        <v>8.3333333333333329E-2</v>
      </c>
      <c r="DR29"/>
      <c r="DS29" s="4">
        <f ca="1"/>
        <v>140</v>
      </c>
      <c r="DT29" s="4">
        <f ca="1"/>
        <v>122</v>
      </c>
      <c r="DU29" s="508">
        <f ca="1"/>
        <v>1.05</v>
      </c>
      <c r="DW29" s="508">
        <f ca="1"/>
        <v>0.94029850746268662</v>
      </c>
      <c r="DX29" s="4">
        <v>51</v>
      </c>
      <c r="DY29" s="508">
        <f ca="1"/>
        <v>0.35</v>
      </c>
    </row>
    <row r="30" spans="1:129" s="4" customFormat="1" ht="15" customHeight="1" thickBot="1" x14ac:dyDescent="0.4">
      <c r="A30" s="4">
        <f>_xlfn.XLOOKUP(B30,'WHOLESALE BMW 2026'!$B$7:$B$67,'WHOLESALE BMW 2026'!$A$7:$A$67)</f>
        <v>4</v>
      </c>
      <c r="B30" s="8">
        <v>100571</v>
      </c>
      <c r="C30" s="369" t="s">
        <v>48</v>
      </c>
      <c r="D30" s="125"/>
      <c r="E30" s="309" t="s">
        <v>82</v>
      </c>
      <c r="F30" s="21">
        <f ca="1">SUMIF('UC BMW 2026'!B28:B104,'UC BMW 2026'!B28,'UC BMW 2026'!F28:F95)</f>
        <v>6</v>
      </c>
      <c r="G30" s="24">
        <f ca="1">SUMIF('UC BMW 2026'!$B$5:$B$77,'UC BMW 2026'!B28,'UC BMW 2026'!$G$5:$G$72)</f>
        <v>1</v>
      </c>
      <c r="H30" s="24">
        <f>IFERROR(VLOOKUP(B30,[2]BPS!$B$10:$O$64,3,0),0)-IF(B30=100873,IFERROR(VLOOKUP("Enero",[2]BPS!$B$74:$C$89,2,0),0),0)</f>
        <v>1</v>
      </c>
      <c r="I30" s="282">
        <f t="shared" ca="1" si="0"/>
        <v>1</v>
      </c>
      <c r="J30" s="380">
        <f>IFERROR(VLOOKUP(B30,'[2]RETAIL ORIGEN RMKT'!$B$11:$O$62,3,0),0)</f>
        <v>0</v>
      </c>
      <c r="K30" s="127">
        <f t="shared" ca="1" si="1"/>
        <v>0</v>
      </c>
      <c r="L30" s="21">
        <f ca="1">SUMIF('UC BMW 2026'!$B$5:$B$77,'UC BMW 2026'!$B28,'UC BMW 2026'!$H$5:$H$72)</f>
        <v>6</v>
      </c>
      <c r="M30" s="24">
        <f ca="1">SUMIF('UC BMW 2026'!$B$5:$B$77,'UC BMW 2026'!$B28,'UC BMW 2026'!$I$5:$I$72)</f>
        <v>2</v>
      </c>
      <c r="N30" s="24">
        <f>IFERROR(VLOOKUP(B30,[2]BPS!$B$10:$O$64,4,0),0)-IF(B30=100873,IFERROR(VLOOKUP("Febrero",[2]BPS!$B$74:$C$89,2,0),0),0)</f>
        <v>2</v>
      </c>
      <c r="O30" s="282">
        <f t="shared" ca="1" si="2"/>
        <v>1</v>
      </c>
      <c r="P30" s="380">
        <f>IFERROR(VLOOKUP(B30,'[2]RETAIL ORIGEN RMKT'!$B$11:$O$62,4,0),0)</f>
        <v>0</v>
      </c>
      <c r="Q30" s="127">
        <f t="shared" ca="1" si="3"/>
        <v>0</v>
      </c>
      <c r="R30" s="21">
        <f ca="1">SUMIF('UC BMW 2026'!$B$5:$B$77,'UC BMW 2026'!$B28,'UC BMW 2026'!$J$5:$J$72)</f>
        <v>6</v>
      </c>
      <c r="S30" s="24">
        <f ca="1">SUMIF('UC BMW 2026'!$B$5:$B$77,'UC BMW 2026'!$B28,'UC BMW 2026'!$K$5:$K$72)</f>
        <v>2</v>
      </c>
      <c r="T30" s="24">
        <f>IFERROR(VLOOKUP(B30,[2]BPS!$B$10:$O$64,5,0),0)-IF(B30=100873,IFERROR(VLOOKUP("Marzo",[2]BPS!$B$74:$C$89,2,0),0),0)</f>
        <v>2</v>
      </c>
      <c r="U30" s="282">
        <f t="shared" ca="1" si="4"/>
        <v>1</v>
      </c>
      <c r="V30" s="380">
        <f>IFERROR(VLOOKUP(B30,'[2]RETAIL ORIGEN RMKT'!$B$11:$O$62,5,0),0)</f>
        <v>0</v>
      </c>
      <c r="W30" s="127">
        <f t="shared" ca="1" si="5"/>
        <v>0</v>
      </c>
      <c r="X30" s="21">
        <f ca="1">SUMIF('UC BMW 2026'!$B$5:$B$77,'UC BMW 2026'!$B28,'UC BMW 2026'!$L$5:$L$72)</f>
        <v>6</v>
      </c>
      <c r="Y30" s="24">
        <f ca="1">SUMIF('UC BMW 2026'!$B$5:$B$77,'UC BMW 2026'!$B28,'UC BMW 2026'!$M$5:$M$72)</f>
        <v>0</v>
      </c>
      <c r="Z30" s="24">
        <f>IFERROR(VLOOKUP(B30,[2]BPS!$B$10:$O$64,6,0),0)-IF(B30=100873,IFERROR(VLOOKUP("Abril",[2]BPS!$B$74:$C$89,2,0),0),0)</f>
        <v>0</v>
      </c>
      <c r="AA30" s="282">
        <f t="shared" ca="1" si="6"/>
        <v>0</v>
      </c>
      <c r="AB30" s="380">
        <f>IFERROR(VLOOKUP(B30,'[2]RETAIL ORIGEN RMKT'!$B$11:$O$62,6,0),0)</f>
        <v>0</v>
      </c>
      <c r="AC30" s="127">
        <f t="shared" ca="1" si="7"/>
        <v>0</v>
      </c>
      <c r="AD30" s="21">
        <f ca="1">SUMIF('UC BMW 2026'!$B$5:$B$77,'UC BMW 2026'!$B28,'UC BMW 2026'!$N$5:$N$72)</f>
        <v>6</v>
      </c>
      <c r="AE30" s="24">
        <f ca="1">SUMIF('UC BMW 2026'!$B$5:$B$77,'UC BMW 2026'!$B28,'UC BMW 2026'!$O$5:$O$72)</f>
        <v>0</v>
      </c>
      <c r="AF30" s="24">
        <f>IFERROR(VLOOKUP(B30,[2]BPS!$B$10:$O$64,7,0),0)-IF(B30=100873,IFERROR(VLOOKUP("Mayo",[2]BPS!$B$74:$C$89,2,0),0),0)</f>
        <v>0</v>
      </c>
      <c r="AG30" s="282">
        <f t="shared" ca="1" si="8"/>
        <v>0</v>
      </c>
      <c r="AH30" s="380">
        <f>IFERROR(VLOOKUP(B30,'[2]RETAIL ORIGEN RMKT'!$B$11:$O$62,7,0),0)</f>
        <v>0</v>
      </c>
      <c r="AI30" s="127">
        <f t="shared" ca="1" si="9"/>
        <v>0</v>
      </c>
      <c r="AJ30" s="21">
        <f ca="1">SUMIF('UC BMW 2026'!$B$5:$B$77,'UC BMW 2026'!$B28,'UC BMW 2026'!$P$5:$P$72)</f>
        <v>6</v>
      </c>
      <c r="AK30" s="24">
        <f ca="1">SUMIF('UC BMW 2026'!$B$5:$B$77,'UC BMW 2026'!$B28,'UC BMW 2026'!$Q$5:$Q$72)</f>
        <v>3</v>
      </c>
      <c r="AL30" s="24">
        <f>IFERROR(VLOOKUP(B30,[2]BPS!$B$10:$O$64,8,0),0)-IF(B30=100873,IFERROR(VLOOKUP("Junio",[2]BPS!$B$74:$C$89,2,0),0),0)</f>
        <v>3</v>
      </c>
      <c r="AM30" s="282">
        <f t="shared" ca="1" si="10"/>
        <v>1</v>
      </c>
      <c r="AN30" s="380">
        <f>IFERROR(VLOOKUP(B30,'[2]RETAIL ORIGEN RMKT'!$B$11:$O$62,8,0),0)</f>
        <v>0</v>
      </c>
      <c r="AO30" s="127">
        <f t="shared" ca="1" si="11"/>
        <v>0</v>
      </c>
      <c r="AP30" s="21">
        <f ca="1">SUMIF('UC BMW 2026'!$B$5:$B$77,'UC BMW 2026'!$B28,'UC BMW 2026'!$R$5:$R$72)</f>
        <v>0</v>
      </c>
      <c r="AQ30" s="24">
        <f ca="1">SUMIF('UC BMW 2026'!$B$5:$B$77,'UC BMW 2026'!$B28,'UC BMW 2026'!$S$5:$S$72)</f>
        <v>0</v>
      </c>
      <c r="AR30" s="24">
        <f>IFERROR(VLOOKUP(B30,[2]BPS!$B$10:$O$64,9,0),0)-IF(B30=100873,IFERROR(VLOOKUP("Julio",[2]BPS!$B$74:$C$89,2,0),0),0)</f>
        <v>0</v>
      </c>
      <c r="AS30" s="282">
        <f t="shared" ca="1" si="12"/>
        <v>0</v>
      </c>
      <c r="AT30" s="380">
        <f>IFERROR(VLOOKUP(B30,'[2]RETAIL ORIGEN RMKT'!$B$11:$O$62,9,0),0)</f>
        <v>0</v>
      </c>
      <c r="AU30" s="127">
        <f t="shared" ca="1" si="13"/>
        <v>0</v>
      </c>
      <c r="AV30" s="21">
        <f ca="1">SUMIF('UC BMW 2026'!$B$5:$B$77,'UC BMW 2026'!$B28,'UC BMW 2026'!$T$5:$T$72)</f>
        <v>0</v>
      </c>
      <c r="AW30" s="24">
        <f ca="1">SUMIF('UC BMW 2026'!$B$5:$B$77,'UC BMW 2026'!$B28,'UC BMW 2026'!$U$5:$U$72)</f>
        <v>0</v>
      </c>
      <c r="AX30" s="24">
        <f>IFERROR(VLOOKUP(B30,[2]BPS!$B$10:$O$64,10,0),0)-IF(B30=100873,IFERROR(VLOOKUP("Agosto",[2]BPS!$B$74:$C$89,2,0),0),0)</f>
        <v>0</v>
      </c>
      <c r="AY30" s="282">
        <f t="shared" ca="1" si="14"/>
        <v>0</v>
      </c>
      <c r="AZ30" s="380">
        <f>IFERROR(VLOOKUP(B30,'[2]RETAIL ORIGEN RMKT'!$B$11:$O$62,10,0),0)</f>
        <v>0</v>
      </c>
      <c r="BA30" s="127">
        <f t="shared" ca="1" si="15"/>
        <v>0</v>
      </c>
      <c r="BB30" s="21">
        <f ca="1">SUMIF('UC BMW 2026'!$B$5:$B$77,'UC BMW 2026'!$B28,'UC BMW 2026'!$V$5:$V$72)</f>
        <v>0</v>
      </c>
      <c r="BC30" s="24">
        <f>SUMIF('UC BMW 2026'!$B$5:$B$77,'UC BMW 2026'!$B28,'UC BMW 2026'!$W$5:$W$77)</f>
        <v>0</v>
      </c>
      <c r="BD30" s="24">
        <f>IFERROR(VLOOKUP(B30,[2]BPS!$B$10:$O$64,11,0),0)-IF(B30=100873,IFERROR(VLOOKUP("Septiembre",[2]BPS!$B$74:$C$89,2,0),0),0)</f>
        <v>0</v>
      </c>
      <c r="BE30" s="282">
        <f t="shared" si="16"/>
        <v>0</v>
      </c>
      <c r="BF30" s="380">
        <f>IFERROR(VLOOKUP(B30,'[2]RETAIL ORIGEN RMKT'!$B$11:$O$62,11,0),0)</f>
        <v>0</v>
      </c>
      <c r="BG30" s="127">
        <f t="shared" ca="1" si="17"/>
        <v>0</v>
      </c>
      <c r="BH30" s="21">
        <f>SUMIF('UC BMW 2026'!$B$5:$B$77,'UC BMW 2026'!$B28,'UC BMW 2026'!$X$5:$X$77)</f>
        <v>0</v>
      </c>
      <c r="BI30" s="24">
        <f>SUMIF('UC BMW 2026'!$B$5:$B$77,'UC BMW 2026'!$B28,'UC BMW 2026'!$Y$5:$Y$77)</f>
        <v>0</v>
      </c>
      <c r="BJ30" s="24">
        <f>IFERROR(VLOOKUP(B30,[2]BPS!$B$10:$O$64,12,0),0)-IF(B30=100873,IFERROR(VLOOKUP("Octubre",[2]BPS!$B$74:$C$89,2,0),0),0)</f>
        <v>0</v>
      </c>
      <c r="BK30" s="282">
        <f t="shared" si="18"/>
        <v>0</v>
      </c>
      <c r="BL30" s="380">
        <f>IFERROR(VLOOKUP(B30,'[2]RETAIL ORIGEN RMKT'!$B$11:$O$62,12,0),0)</f>
        <v>0</v>
      </c>
      <c r="BM30" s="127">
        <f t="shared" si="19"/>
        <v>0</v>
      </c>
      <c r="BN30" s="21">
        <f>SUMIF('UC BMW 2026'!$B$5:$B$77,'UC BMW 2026'!$B28,'UC BMW 2026'!$Z$5:$Z$77)</f>
        <v>0</v>
      </c>
      <c r="BO30" s="24">
        <f>SUMIF('UC BMW 2026'!$B$5:$B$77,'UC BMW 2026'!$B28,'UC BMW 2026'!$AA$5:$AA$77)</f>
        <v>0</v>
      </c>
      <c r="BP30" s="24">
        <f>IFERROR(VLOOKUP(B30,[2]BPS!$B$10:$O$64,13,0),0)-IF(B30=100873,IFERROR(VLOOKUP("Noviembre",[2]BPS!$B$74:$C$89,2,0),0),0)</f>
        <v>0</v>
      </c>
      <c r="BQ30" s="282">
        <f t="shared" si="20"/>
        <v>0</v>
      </c>
      <c r="BR30" s="380">
        <f>IFERROR(VLOOKUP(B30,'[2]RETAIL ORIGEN RMKT'!$B$11:$O$62,13,0),0)</f>
        <v>0</v>
      </c>
      <c r="BS30" s="127">
        <f t="shared" si="21"/>
        <v>0</v>
      </c>
      <c r="BT30" s="21">
        <f>SUMIF('UC BMW 2026'!$B$5:$B$77,'UC BMW 2026'!$B28,'UC BMW 2026'!$AB$5:$AB$77)</f>
        <v>0</v>
      </c>
      <c r="BU30" s="24">
        <f>SUMIF('UC BMW 2026'!$B$5:$B$77,'UC BMW 2026'!$B28,'UC BMW 2026'!$AC$5:$AC$77)</f>
        <v>0</v>
      </c>
      <c r="BV30" s="24">
        <f>IFERROR(VLOOKUP(B30,[2]BPS!$B$10:$O$64,13,0),0)-IF(B30=100873,IFERROR(VLOOKUP("Diciembre",[2]BPS!$B$74:$C$89,2,0),0),0)</f>
        <v>0</v>
      </c>
      <c r="BW30" s="282">
        <f t="shared" si="22"/>
        <v>0</v>
      </c>
      <c r="BX30" s="380">
        <f>IFERROR(VLOOKUP(B30,'[2]RETAIL ORIGEN RMKT'!$B$11:$O$62,14,0),0)</f>
        <v>0</v>
      </c>
      <c r="BY30" s="127">
        <f t="shared" si="23"/>
        <v>0</v>
      </c>
      <c r="BZ30" s="25">
        <f t="shared" ca="1" si="62"/>
        <v>36</v>
      </c>
      <c r="CA30" s="27">
        <f t="shared" ca="1" si="62"/>
        <v>8</v>
      </c>
      <c r="CB30" s="287">
        <f t="shared" ca="1" si="25"/>
        <v>0.22222222222222221</v>
      </c>
      <c r="CC30" s="151">
        <f t="shared" si="63"/>
        <v>8</v>
      </c>
      <c r="CD30" s="129">
        <f t="shared" ca="1" si="64"/>
        <v>1</v>
      </c>
      <c r="CE30" s="24">
        <f t="shared" si="65"/>
        <v>0</v>
      </c>
      <c r="CF30" s="129">
        <f t="shared" ca="1" si="32"/>
        <v>0</v>
      </c>
      <c r="CG30" s="25">
        <f t="shared" ca="1" si="66"/>
        <v>36</v>
      </c>
      <c r="CH30" s="27">
        <f t="shared" ca="1" si="67"/>
        <v>8</v>
      </c>
      <c r="CI30" s="287">
        <f t="shared" ca="1" si="33"/>
        <v>0.22222222222222221</v>
      </c>
      <c r="CJ30" s="291">
        <f t="shared" si="68"/>
        <v>8</v>
      </c>
      <c r="CK30" s="129">
        <f t="shared" ca="1" si="26"/>
        <v>1</v>
      </c>
      <c r="CL30" s="27">
        <f t="shared" si="69"/>
        <v>0</v>
      </c>
      <c r="CM30" s="129">
        <f t="shared" ca="1" si="34"/>
        <v>0</v>
      </c>
      <c r="CN30" s="25">
        <f t="shared" ca="1" si="70"/>
        <v>18</v>
      </c>
      <c r="CO30" s="27">
        <f t="shared" ca="1" si="70"/>
        <v>5</v>
      </c>
      <c r="CP30" s="287">
        <f t="shared" ca="1" si="36"/>
        <v>0.27777777777777779</v>
      </c>
      <c r="CQ30" s="291">
        <f t="shared" si="71"/>
        <v>5</v>
      </c>
      <c r="CR30" s="129">
        <f t="shared" ca="1" si="37"/>
        <v>1</v>
      </c>
      <c r="CS30" s="27">
        <f t="shared" si="38"/>
        <v>0</v>
      </c>
      <c r="CT30" s="129">
        <f t="shared" ca="1" si="39"/>
        <v>0</v>
      </c>
      <c r="CU30" s="25">
        <f t="shared" ca="1" si="40"/>
        <v>36</v>
      </c>
      <c r="CV30" s="27">
        <f t="shared" ca="1" si="41"/>
        <v>8</v>
      </c>
      <c r="CW30" s="287">
        <f t="shared" ca="1" si="42"/>
        <v>0.22222222222222221</v>
      </c>
      <c r="CX30" s="27">
        <f t="shared" si="43"/>
        <v>8</v>
      </c>
      <c r="CY30" s="129">
        <f t="shared" ca="1" si="44"/>
        <v>1</v>
      </c>
      <c r="CZ30" s="27">
        <f t="shared" si="45"/>
        <v>0</v>
      </c>
      <c r="DA30" s="130">
        <f t="shared" ca="1" si="46"/>
        <v>0</v>
      </c>
      <c r="DB30" s="25">
        <f t="shared" ca="1" si="72"/>
        <v>0</v>
      </c>
      <c r="DC30" s="27">
        <f t="shared" ca="1" si="72"/>
        <v>0</v>
      </c>
      <c r="DD30" s="287">
        <f t="shared" ca="1" si="48"/>
        <v>0</v>
      </c>
      <c r="DE30" s="27">
        <f t="shared" si="73"/>
        <v>0</v>
      </c>
      <c r="DF30" s="129" t="str">
        <f t="shared" ca="1" si="49"/>
        <v>N.D.</v>
      </c>
      <c r="DG30" s="27">
        <f t="shared" si="74"/>
        <v>0</v>
      </c>
      <c r="DH30" s="130">
        <f t="shared" ca="1" si="61"/>
        <v>0</v>
      </c>
      <c r="DI30" s="510">
        <v>1</v>
      </c>
      <c r="DJ30" s="369" t="s">
        <v>48</v>
      </c>
      <c r="DK30" s="25">
        <f t="shared" ca="1" si="51"/>
        <v>36</v>
      </c>
      <c r="DL30" s="27">
        <f t="shared" ca="1" si="52"/>
        <v>8</v>
      </c>
      <c r="DM30" s="287">
        <f t="shared" ca="1" si="53"/>
        <v>0.22222222222222221</v>
      </c>
      <c r="DN30" s="151">
        <f t="shared" si="54"/>
        <v>8</v>
      </c>
      <c r="DO30" s="129">
        <f t="shared" ca="1" si="55"/>
        <v>1</v>
      </c>
      <c r="DP30" s="27">
        <f t="shared" si="56"/>
        <v>0</v>
      </c>
      <c r="DQ30" s="130">
        <f t="shared" ca="1" si="57"/>
        <v>0</v>
      </c>
      <c r="DR30"/>
      <c r="DS30" s="4">
        <f ca="1"/>
        <v>135</v>
      </c>
      <c r="DT30" s="4">
        <f ca="1"/>
        <v>122</v>
      </c>
      <c r="DU30" s="508">
        <f ca="1"/>
        <v>1.0428571428571429</v>
      </c>
      <c r="DW30" s="508">
        <f ca="1"/>
        <v>0.93835616438356162</v>
      </c>
      <c r="DX30" s="4">
        <v>49</v>
      </c>
      <c r="DY30" s="508">
        <f ca="1"/>
        <v>0.33500000000000002</v>
      </c>
    </row>
    <row r="31" spans="1:129" s="4" customFormat="1" ht="15" customHeight="1" thickBot="1" x14ac:dyDescent="0.4">
      <c r="A31" s="4">
        <f>_xlfn.XLOOKUP(B31,'WHOLESALE BMW 2026'!$B$7:$B$67,'WHOLESALE BMW 2026'!$A$7:$A$67)</f>
        <v>0</v>
      </c>
      <c r="B31" s="7" t="s">
        <v>266</v>
      </c>
      <c r="C31" s="28"/>
      <c r="D31" s="125"/>
      <c r="E31" s="7"/>
      <c r="F31" s="277">
        <f ca="1">SUM(F24:F30)</f>
        <v>59</v>
      </c>
      <c r="G31" s="88">
        <f ca="1">SUM(G24:G30)</f>
        <v>38</v>
      </c>
      <c r="H31" s="410">
        <f>SUM(H24:H30)</f>
        <v>21</v>
      </c>
      <c r="I31" s="132">
        <f t="shared" ca="1" si="0"/>
        <v>0.55263157894736847</v>
      </c>
      <c r="J31" s="411">
        <f>SUM(J24:J30)</f>
        <v>2</v>
      </c>
      <c r="K31" s="390">
        <f t="shared" ca="1" si="1"/>
        <v>3.3898305084745763E-2</v>
      </c>
      <c r="L31" s="277">
        <f ca="1">SUM(L24:L30)</f>
        <v>60</v>
      </c>
      <c r="M31" s="88">
        <f ca="1">SUM(M24:M30)</f>
        <v>38</v>
      </c>
      <c r="N31" s="410">
        <f>SUM(N24:N30)</f>
        <v>35</v>
      </c>
      <c r="O31" s="132">
        <f t="shared" ca="1" si="2"/>
        <v>0.92105263157894735</v>
      </c>
      <c r="P31" s="411">
        <f>SUM(P24:P30)</f>
        <v>2</v>
      </c>
      <c r="Q31" s="390">
        <f t="shared" ca="1" si="3"/>
        <v>3.3333333333333333E-2</v>
      </c>
      <c r="R31" s="277">
        <f ca="1">SUM(R24:R30)</f>
        <v>60</v>
      </c>
      <c r="S31" s="88">
        <f ca="1">SUM(S24:S30)</f>
        <v>37</v>
      </c>
      <c r="T31" s="410">
        <f>SUM(T24:T30)</f>
        <v>32</v>
      </c>
      <c r="U31" s="132">
        <f t="shared" ca="1" si="4"/>
        <v>0.86486486486486491</v>
      </c>
      <c r="V31" s="411">
        <f>SUM(V24:V30)</f>
        <v>2</v>
      </c>
      <c r="W31" s="390">
        <f t="shared" ca="1" si="5"/>
        <v>3.3333333333333333E-2</v>
      </c>
      <c r="X31" s="277">
        <f ca="1">SUM(X24:X30)</f>
        <v>61</v>
      </c>
      <c r="Y31" s="88">
        <f ca="1">SUM(Y24:Y30)</f>
        <v>46</v>
      </c>
      <c r="Z31" s="410">
        <f>SUM(Z24:Z30)</f>
        <v>36</v>
      </c>
      <c r="AA31" s="132">
        <f t="shared" ca="1" si="6"/>
        <v>0.78260869565217395</v>
      </c>
      <c r="AB31" s="411">
        <f>SUM(AB24:AB30)</f>
        <v>6</v>
      </c>
      <c r="AC31" s="390">
        <f t="shared" ca="1" si="7"/>
        <v>9.8360655737704916E-2</v>
      </c>
      <c r="AD31" s="277">
        <f ca="1">SUM(AD24:AD30)</f>
        <v>61</v>
      </c>
      <c r="AE31" s="88">
        <f ca="1">SUM(AE24:AE30)</f>
        <v>34</v>
      </c>
      <c r="AF31" s="410">
        <f>SUM(AF24:AF30)</f>
        <v>22</v>
      </c>
      <c r="AG31" s="132">
        <f t="shared" ca="1" si="8"/>
        <v>0.6470588235294118</v>
      </c>
      <c r="AH31" s="411">
        <f>SUM(AH24:AH30)</f>
        <v>6</v>
      </c>
      <c r="AI31" s="390">
        <f t="shared" ca="1" si="9"/>
        <v>9.8360655737704916E-2</v>
      </c>
      <c r="AJ31" s="277">
        <f ca="1">SUM(AJ24:AJ30)</f>
        <v>61</v>
      </c>
      <c r="AK31" s="88">
        <f ca="1">SUM(AK24:AK30)</f>
        <v>75</v>
      </c>
      <c r="AL31" s="410">
        <f>SUM(AL24:AL30)</f>
        <v>50</v>
      </c>
      <c r="AM31" s="132">
        <f t="shared" ca="1" si="10"/>
        <v>0.66666666666666663</v>
      </c>
      <c r="AN31" s="411">
        <f>SUM(AN24:AN30)</f>
        <v>4</v>
      </c>
      <c r="AO31" s="390">
        <f t="shared" ca="1" si="11"/>
        <v>6.5573770491803282E-2</v>
      </c>
      <c r="AP31" s="277">
        <f ca="1">SUM(AP24:AP30)</f>
        <v>11</v>
      </c>
      <c r="AQ31" s="88">
        <f ca="1">SUM(AQ24:AQ30)</f>
        <v>0</v>
      </c>
      <c r="AR31" s="410">
        <f>SUM(AR24:AR30)</f>
        <v>0</v>
      </c>
      <c r="AS31" s="132">
        <f t="shared" ca="1" si="12"/>
        <v>0</v>
      </c>
      <c r="AT31" s="411">
        <f>SUM(AT24:AT30)</f>
        <v>0</v>
      </c>
      <c r="AU31" s="390">
        <f t="shared" ca="1" si="13"/>
        <v>0</v>
      </c>
      <c r="AV31" s="277">
        <f ca="1">SUM(AV24:AV30)</f>
        <v>10</v>
      </c>
      <c r="AW31" s="88">
        <f ca="1">SUM(AW24:AW30)</f>
        <v>0</v>
      </c>
      <c r="AX31" s="410">
        <f>SUM(AX24:AX30)</f>
        <v>0</v>
      </c>
      <c r="AY31" s="132">
        <f t="shared" ca="1" si="14"/>
        <v>0</v>
      </c>
      <c r="AZ31" s="411">
        <f>SUM(AZ24:AZ30)</f>
        <v>0</v>
      </c>
      <c r="BA31" s="390">
        <f t="shared" ca="1" si="15"/>
        <v>0</v>
      </c>
      <c r="BB31" s="277">
        <f ca="1">SUM(BB24:BB30)</f>
        <v>11</v>
      </c>
      <c r="BC31" s="88">
        <f>SUM(BC24:BC30)</f>
        <v>0</v>
      </c>
      <c r="BD31" s="410">
        <f>SUM(BD24:BD30)</f>
        <v>0</v>
      </c>
      <c r="BE31" s="132">
        <f t="shared" si="16"/>
        <v>0</v>
      </c>
      <c r="BF31" s="411">
        <f>SUM(BF24:BF30)</f>
        <v>0</v>
      </c>
      <c r="BG31" s="390">
        <f t="shared" ca="1" si="17"/>
        <v>0</v>
      </c>
      <c r="BH31" s="277">
        <f>SUM(BH24:BH30)</f>
        <v>11</v>
      </c>
      <c r="BI31" s="88">
        <f>SUM(BI24:BI30)</f>
        <v>0</v>
      </c>
      <c r="BJ31" s="410">
        <f>SUM(BJ24:BJ30)</f>
        <v>0</v>
      </c>
      <c r="BK31" s="132">
        <f t="shared" si="18"/>
        <v>0</v>
      </c>
      <c r="BL31" s="411">
        <f>SUM(BL24:BL30)</f>
        <v>0</v>
      </c>
      <c r="BM31" s="390">
        <f t="shared" si="19"/>
        <v>0</v>
      </c>
      <c r="BN31" s="277">
        <f>SUM(BN24:BN30)</f>
        <v>11</v>
      </c>
      <c r="BO31" s="88">
        <f>SUM(BO24:BO30)</f>
        <v>0</v>
      </c>
      <c r="BP31" s="410">
        <f>SUM(BP24:BP30)</f>
        <v>0</v>
      </c>
      <c r="BQ31" s="132">
        <f t="shared" si="20"/>
        <v>0</v>
      </c>
      <c r="BR31" s="411">
        <f>SUM(BR24:BR30)</f>
        <v>0</v>
      </c>
      <c r="BS31" s="390">
        <f t="shared" si="21"/>
        <v>0</v>
      </c>
      <c r="BT31" s="277">
        <f>SUM(BT24:BT30)</f>
        <v>11</v>
      </c>
      <c r="BU31" s="88">
        <f>SUM(BU24:BU30)</f>
        <v>0</v>
      </c>
      <c r="BV31" s="410">
        <f>SUM(BV24:BV30)</f>
        <v>0</v>
      </c>
      <c r="BW31" s="132">
        <f t="shared" si="22"/>
        <v>0</v>
      </c>
      <c r="BX31" s="411">
        <f>SUM(BX24:BX30)</f>
        <v>0</v>
      </c>
      <c r="BY31" s="390">
        <f t="shared" si="23"/>
        <v>0</v>
      </c>
      <c r="BZ31" s="200">
        <f ca="1">SUM(BZ24:BZ30)</f>
        <v>362</v>
      </c>
      <c r="CA31" s="258">
        <f ca="1">SUM(CA24:CA30)</f>
        <v>268</v>
      </c>
      <c r="CB31" s="132">
        <f t="shared" ca="1" si="25"/>
        <v>0.74033149171270718</v>
      </c>
      <c r="CC31" s="258">
        <f>SUM(CC24:CC30)</f>
        <v>196</v>
      </c>
      <c r="CD31" s="132">
        <f ca="1">CC31/CA31</f>
        <v>0.73134328358208955</v>
      </c>
      <c r="CE31" s="258">
        <f>SUM(CE24:CE30)</f>
        <v>22</v>
      </c>
      <c r="CF31" s="131">
        <f t="shared" ca="1" si="32"/>
        <v>6.0773480662983423E-2</v>
      </c>
      <c r="CG31" s="258">
        <f ca="1">SUM(CG24:CG30)</f>
        <v>427</v>
      </c>
      <c r="CH31" s="258">
        <f ca="1">SUM(CH24:CH30)</f>
        <v>268</v>
      </c>
      <c r="CI31" s="132">
        <f t="shared" ca="1" si="33"/>
        <v>0.6276346604215457</v>
      </c>
      <c r="CJ31" s="258">
        <f>SUM(CJ24:CJ30)</f>
        <v>196</v>
      </c>
      <c r="CK31" s="132">
        <f t="shared" ca="1" si="26"/>
        <v>0.73134328358208955</v>
      </c>
      <c r="CL31" s="258">
        <f>J31+P31+V31+AB31+AH31+AN31+AT31+AZ31+BF31+BL31+BR31+BX31</f>
        <v>22</v>
      </c>
      <c r="CM31" s="131">
        <f t="shared" ca="1" si="34"/>
        <v>5.1522248243559721E-2</v>
      </c>
      <c r="CN31" s="200">
        <f ca="1">SUM(CN26:CN39)</f>
        <v>410</v>
      </c>
      <c r="CO31" s="258">
        <f ca="1">SUM(CO26:CO39)</f>
        <v>156</v>
      </c>
      <c r="CP31" s="132">
        <f t="shared" ca="1" si="36"/>
        <v>0.38048780487804879</v>
      </c>
      <c r="CQ31" s="278" t="e">
        <f ca="1">SUM(CQ26:CQ39)</f>
        <v>#VALUE!</v>
      </c>
      <c r="CR31" s="132" t="e">
        <f t="shared" ca="1" si="37"/>
        <v>#VALUE!</v>
      </c>
      <c r="CS31" s="258">
        <f t="shared" si="38"/>
        <v>0</v>
      </c>
      <c r="CT31" s="131">
        <f t="shared" ca="1" si="39"/>
        <v>0</v>
      </c>
      <c r="CU31" s="200">
        <f t="shared" ca="1" si="40"/>
        <v>362</v>
      </c>
      <c r="CV31" s="258">
        <f t="shared" ca="1" si="41"/>
        <v>268</v>
      </c>
      <c r="CW31" s="132">
        <f t="shared" ca="1" si="42"/>
        <v>0.74033149171270718</v>
      </c>
      <c r="CX31" s="258">
        <f t="shared" si="43"/>
        <v>196</v>
      </c>
      <c r="CY31" s="132">
        <f t="shared" ca="1" si="44"/>
        <v>0.73134328358208955</v>
      </c>
      <c r="CZ31" s="258">
        <f t="shared" si="45"/>
        <v>22</v>
      </c>
      <c r="DA31" s="275">
        <f t="shared" ca="1" si="46"/>
        <v>6.0773480662983423E-2</v>
      </c>
      <c r="DB31" s="200">
        <f ca="1">IFERROR(SUM(DB26:DB39),0)</f>
        <v>0</v>
      </c>
      <c r="DC31" s="200">
        <f ca="1">IFERROR(SUM(DC26:DC39),0)</f>
        <v>0</v>
      </c>
      <c r="DD31" s="132">
        <f t="shared" ca="1" si="48"/>
        <v>0</v>
      </c>
      <c r="DE31" s="258">
        <f ca="1">IFERROR(SUM(DE26:DE39),0)</f>
        <v>0</v>
      </c>
      <c r="DF31" s="132" t="str">
        <f t="shared" ca="1" si="49"/>
        <v>N.D.</v>
      </c>
      <c r="DG31" s="258">
        <f ca="1">IFERROR(SUM(DG26:DG39),0)</f>
        <v>0</v>
      </c>
      <c r="DH31" s="275">
        <f t="shared" ca="1" si="61"/>
        <v>0</v>
      </c>
      <c r="DI31" s="510">
        <v>0</v>
      </c>
      <c r="DJ31" s="28"/>
      <c r="DK31" s="200">
        <f t="shared" ca="1" si="51"/>
        <v>362</v>
      </c>
      <c r="DL31" s="258">
        <f t="shared" ca="1" si="52"/>
        <v>268</v>
      </c>
      <c r="DM31" s="132">
        <f t="shared" ca="1" si="53"/>
        <v>0.74033149171270718</v>
      </c>
      <c r="DN31" s="278">
        <f t="shared" si="54"/>
        <v>196</v>
      </c>
      <c r="DO31" s="132">
        <f t="shared" ca="1" si="55"/>
        <v>0.73134328358208955</v>
      </c>
      <c r="DP31" s="258">
        <f t="shared" si="56"/>
        <v>22</v>
      </c>
      <c r="DQ31" s="275">
        <f t="shared" ca="1" si="57"/>
        <v>6.0773480662983423E-2</v>
      </c>
      <c r="DR31"/>
      <c r="DS31" s="4">
        <f ca="1"/>
        <v>135</v>
      </c>
      <c r="DT31" s="4">
        <f ca="1"/>
        <v>121</v>
      </c>
      <c r="DU31" s="508">
        <f ca="1"/>
        <v>1.0341880341880343</v>
      </c>
      <c r="DW31" s="508">
        <f ca="1"/>
        <v>0.93333333333333335</v>
      </c>
      <c r="DX31" s="4">
        <v>38</v>
      </c>
      <c r="DY31" s="508">
        <f ca="1"/>
        <v>0.33333333333333331</v>
      </c>
    </row>
    <row r="32" spans="1:129" s="4" customFormat="1" ht="15" customHeight="1" x14ac:dyDescent="0.35">
      <c r="A32" s="4">
        <f>_xlfn.XLOOKUP(B32,'WHOLESALE BMW 2026'!$B$7:$B$67,'WHOLESALE BMW 2026'!$A$7:$A$67)</f>
        <v>5</v>
      </c>
      <c r="B32" s="8">
        <v>100015</v>
      </c>
      <c r="C32" s="369" t="s">
        <v>51</v>
      </c>
      <c r="D32" s="134"/>
      <c r="E32" s="309" t="s">
        <v>79</v>
      </c>
      <c r="F32" s="21">
        <f ca="1">SUMIF('UC BMW 2026'!B30:B106,'UC BMW 2026'!B30,'UC BMW 2026'!F30:F97)</f>
        <v>12</v>
      </c>
      <c r="G32" s="24">
        <f ca="1">SUMIF('UC BMW 2026'!$B$5:$B$77,'UC BMW 2026'!B30,'UC BMW 2026'!$G$5:$G$72)</f>
        <v>9</v>
      </c>
      <c r="H32" s="24">
        <f>IFERROR(VLOOKUP(B32,[2]BPS!$B$10:$O$64,3,0),0)-IF(B32=100873,IFERROR(VLOOKUP("Enero",[2]BPS!$B$74:$C$89,2,0),0),0)</f>
        <v>9</v>
      </c>
      <c r="I32" s="281">
        <f t="shared" ca="1" si="0"/>
        <v>1</v>
      </c>
      <c r="J32" s="380">
        <f>IFERROR(VLOOKUP(B32,'[2]RETAIL ORIGEN RMKT'!$B$11:$O$62,3,0),0)</f>
        <v>1</v>
      </c>
      <c r="K32" s="274">
        <f t="shared" ca="1" si="1"/>
        <v>8.3333333333333329E-2</v>
      </c>
      <c r="L32" s="21">
        <f ca="1">SUMIF('UC BMW 2026'!$B$5:$B$77,'UC BMW 2026'!$B30,'UC BMW 2026'!$H$5:$H$72)</f>
        <v>12</v>
      </c>
      <c r="M32" s="24">
        <f ca="1">SUMIF('UC BMW 2026'!$B$5:$B$77,'UC BMW 2026'!$B30,'UC BMW 2026'!$I$5:$I$72)</f>
        <v>8</v>
      </c>
      <c r="N32" s="24">
        <f>IFERROR(VLOOKUP(B32,[2]BPS!$B$10:$O$64,4,0),0)-IF(B32=100873,IFERROR(VLOOKUP("Febrero",[2]BPS!$B$74:$C$89,2,0),0),0)</f>
        <v>8</v>
      </c>
      <c r="O32" s="281">
        <f t="shared" ca="1" si="2"/>
        <v>1</v>
      </c>
      <c r="P32" s="380">
        <f>IFERROR(VLOOKUP(B32,'[2]RETAIL ORIGEN RMKT'!$B$11:$O$62,4,0),0)</f>
        <v>2</v>
      </c>
      <c r="Q32" s="274">
        <f t="shared" ca="1" si="3"/>
        <v>0.16666666666666666</v>
      </c>
      <c r="R32" s="21">
        <f ca="1">SUMIF('UC BMW 2026'!$B$5:$B$77,'UC BMW 2026'!$B30,'UC BMW 2026'!$J$5:$J$72)</f>
        <v>12</v>
      </c>
      <c r="S32" s="24">
        <f ca="1">SUMIF('UC BMW 2026'!$B$5:$B$77,'UC BMW 2026'!$B30,'UC BMW 2026'!$K$5:$K$72)</f>
        <v>9</v>
      </c>
      <c r="T32" s="24">
        <f>IFERROR(VLOOKUP(B32,[2]BPS!$B$10:$O$64,5,0),0)-IF(B32=100873,IFERROR(VLOOKUP("Marzo",[2]BPS!$B$74:$C$89,2,0),0),0)</f>
        <v>9</v>
      </c>
      <c r="U32" s="281">
        <f t="shared" ca="1" si="4"/>
        <v>1</v>
      </c>
      <c r="V32" s="380">
        <f>IFERROR(VLOOKUP(B32,'[2]RETAIL ORIGEN RMKT'!$B$11:$O$62,5,0),0)</f>
        <v>0</v>
      </c>
      <c r="W32" s="274">
        <f t="shared" ca="1" si="5"/>
        <v>0</v>
      </c>
      <c r="X32" s="21">
        <f ca="1">SUMIF('UC BMW 2026'!$B$5:$B$77,'UC BMW 2026'!$B30,'UC BMW 2026'!$L$5:$L$72)</f>
        <v>13</v>
      </c>
      <c r="Y32" s="24">
        <f ca="1">SUMIF('UC BMW 2026'!$B$5:$B$77,'UC BMW 2026'!$B30,'UC BMW 2026'!$M$5:$M$72)</f>
        <v>9</v>
      </c>
      <c r="Z32" s="24">
        <f>IFERROR(VLOOKUP(B32,[2]BPS!$B$10:$O$64,6,0),0)-IF(B32=100873,IFERROR(VLOOKUP("Abril",[2]BPS!$B$74:$C$89,2,0),0),0)</f>
        <v>9</v>
      </c>
      <c r="AA32" s="281">
        <f t="shared" ca="1" si="6"/>
        <v>1</v>
      </c>
      <c r="AB32" s="380">
        <f>IFERROR(VLOOKUP(B32,'[2]RETAIL ORIGEN RMKT'!$B$11:$O$62,6,0),0)</f>
        <v>1</v>
      </c>
      <c r="AC32" s="274">
        <f t="shared" ca="1" si="7"/>
        <v>7.6923076923076927E-2</v>
      </c>
      <c r="AD32" s="21">
        <f ca="1">SUMIF('UC BMW 2026'!$B$5:$B$77,'UC BMW 2026'!$B30,'UC BMW 2026'!$N$5:$N$72)</f>
        <v>13</v>
      </c>
      <c r="AE32" s="24">
        <f ca="1">SUMIF('UC BMW 2026'!$B$5:$B$77,'UC BMW 2026'!$B30,'UC BMW 2026'!$O$5:$O$72)</f>
        <v>10</v>
      </c>
      <c r="AF32" s="24">
        <f>IFERROR(VLOOKUP(B32,[2]BPS!$B$10:$O$64,7,0),0)-IF(B32=100873,IFERROR(VLOOKUP("Mayo",[2]BPS!$B$74:$C$89,2,0),0),0)</f>
        <v>10</v>
      </c>
      <c r="AG32" s="281">
        <f t="shared" ca="1" si="8"/>
        <v>1</v>
      </c>
      <c r="AH32" s="380">
        <f>IFERROR(VLOOKUP(B32,'[2]RETAIL ORIGEN RMKT'!$B$11:$O$62,7,0),0)</f>
        <v>0</v>
      </c>
      <c r="AI32" s="274">
        <f t="shared" ca="1" si="9"/>
        <v>0</v>
      </c>
      <c r="AJ32" s="21">
        <f ca="1">SUMIF('UC BMW 2026'!$B$5:$B$77,'UC BMW 2026'!$B30,'UC BMW 2026'!$P$5:$P$72)</f>
        <v>13</v>
      </c>
      <c r="AK32" s="24">
        <f ca="1">SUMIF('UC BMW 2026'!$B$5:$B$77,'UC BMW 2026'!$B30,'UC BMW 2026'!$Q$5:$Q$72)</f>
        <v>22</v>
      </c>
      <c r="AL32" s="24">
        <f>IFERROR(VLOOKUP(B32,[2]BPS!$B$10:$O$64,8,0),0)-IF(B32=100873,IFERROR(VLOOKUP("Junio",[2]BPS!$B$74:$C$89,2,0),0),0)</f>
        <v>18</v>
      </c>
      <c r="AM32" s="281">
        <f t="shared" ca="1" si="10"/>
        <v>0.81818181818181823</v>
      </c>
      <c r="AN32" s="380">
        <f>IFERROR(VLOOKUP(B32,'[2]RETAIL ORIGEN RMKT'!$B$11:$O$62,8,0),0)</f>
        <v>3</v>
      </c>
      <c r="AO32" s="274">
        <f t="shared" ca="1" si="11"/>
        <v>0.23076923076923078</v>
      </c>
      <c r="AP32" s="21">
        <f ca="1">SUMIF('UC BMW 2026'!$B$5:$B$77,'UC BMW 2026'!$B30,'UC BMW 2026'!$R$5:$R$72)</f>
        <v>11</v>
      </c>
      <c r="AQ32" s="24">
        <f ca="1">SUMIF('UC BMW 2026'!$B$5:$B$77,'UC BMW 2026'!$B30,'UC BMW 2026'!$S$5:$S$72)</f>
        <v>0</v>
      </c>
      <c r="AR32" s="24">
        <f>IFERROR(VLOOKUP(B32,[2]BPS!$B$10:$O$64,9,0),0)-IF(B32=100873,IFERROR(VLOOKUP("Julio",[2]BPS!$B$74:$C$89,2,0),0),0)</f>
        <v>0</v>
      </c>
      <c r="AS32" s="281">
        <f t="shared" ca="1" si="12"/>
        <v>0</v>
      </c>
      <c r="AT32" s="380">
        <f>IFERROR(VLOOKUP(B32,'[2]RETAIL ORIGEN RMKT'!$B$11:$O$62,9,0),0)</f>
        <v>0</v>
      </c>
      <c r="AU32" s="274">
        <f t="shared" ca="1" si="13"/>
        <v>0</v>
      </c>
      <c r="AV32" s="21">
        <f ca="1">SUMIF('UC BMW 2026'!$B$5:$B$77,'UC BMW 2026'!$B30,'UC BMW 2026'!$T$5:$T$72)</f>
        <v>9</v>
      </c>
      <c r="AW32" s="24">
        <f ca="1">SUMIF('UC BMW 2026'!$B$5:$B$77,'UC BMW 2026'!$B30,'UC BMW 2026'!$U$5:$U$72)</f>
        <v>0</v>
      </c>
      <c r="AX32" s="24">
        <f>IFERROR(VLOOKUP(B32,[2]BPS!$B$10:$O$64,10,0),0)-IF(B32=100873,IFERROR(VLOOKUP("Agosto",[2]BPS!$B$74:$C$89,2,0),0),0)</f>
        <v>0</v>
      </c>
      <c r="AY32" s="281">
        <f t="shared" ca="1" si="14"/>
        <v>0</v>
      </c>
      <c r="AZ32" s="380">
        <f>IFERROR(VLOOKUP(B32,'[2]RETAIL ORIGEN RMKT'!$B$11:$O$62,10,0),0)</f>
        <v>0</v>
      </c>
      <c r="BA32" s="274">
        <f t="shared" ca="1" si="15"/>
        <v>0</v>
      </c>
      <c r="BB32" s="21">
        <f ca="1">SUMIF('UC BMW 2026'!$B$5:$B$77,'UC BMW 2026'!$B30,'UC BMW 2026'!$V$5:$V$72)</f>
        <v>12</v>
      </c>
      <c r="BC32" s="24">
        <f>SUMIF('UC BMW 2026'!$B$5:$B$77,'UC BMW 2026'!$B30,'UC BMW 2026'!$W$5:$W$77)</f>
        <v>0</v>
      </c>
      <c r="BD32" s="24">
        <f>IFERROR(VLOOKUP(B32,[2]BPS!$B$10:$O$64,11,0),0)-IF(B32=100873,IFERROR(VLOOKUP("Septiembre",[2]BPS!$B$74:$C$89,2,0),0),0)</f>
        <v>0</v>
      </c>
      <c r="BE32" s="281">
        <f t="shared" si="16"/>
        <v>0</v>
      </c>
      <c r="BF32" s="380">
        <f>IFERROR(VLOOKUP(B32,'[2]RETAIL ORIGEN RMKT'!$B$11:$O$62,11,0),0)</f>
        <v>0</v>
      </c>
      <c r="BG32" s="274">
        <f t="shared" ca="1" si="17"/>
        <v>0</v>
      </c>
      <c r="BH32" s="21">
        <f>SUMIF('UC BMW 2026'!$B$5:$B$77,'UC BMW 2026'!$B30,'UC BMW 2026'!$X$5:$X$77)</f>
        <v>12</v>
      </c>
      <c r="BI32" s="24">
        <f>SUMIF('UC BMW 2026'!$B$5:$B$77,'UC BMW 2026'!$B30,'UC BMW 2026'!$Y$5:$Y$77)</f>
        <v>0</v>
      </c>
      <c r="BJ32" s="24">
        <f>IFERROR(VLOOKUP(B32,[2]BPS!$B$10:$O$64,12,0),0)-IF(B32=100873,IFERROR(VLOOKUP("Octubre",[2]BPS!$B$74:$C$89,2,0),0),0)</f>
        <v>0</v>
      </c>
      <c r="BK32" s="281">
        <f t="shared" si="18"/>
        <v>0</v>
      </c>
      <c r="BL32" s="380">
        <f>IFERROR(VLOOKUP(B32,'[2]RETAIL ORIGEN RMKT'!$B$11:$O$62,12,0),0)</f>
        <v>0</v>
      </c>
      <c r="BM32" s="274">
        <f t="shared" si="19"/>
        <v>0</v>
      </c>
      <c r="BN32" s="21">
        <f>SUMIF('UC BMW 2026'!$B$5:$B$77,'UC BMW 2026'!$B30,'UC BMW 2026'!$Z$5:$Z$77)</f>
        <v>12</v>
      </c>
      <c r="BO32" s="24">
        <f>SUMIF('UC BMW 2026'!$B$5:$B$77,'UC BMW 2026'!$B30,'UC BMW 2026'!$AA$5:$AA$77)</f>
        <v>0</v>
      </c>
      <c r="BP32" s="24">
        <f>IFERROR(VLOOKUP(B32,[2]BPS!$B$10:$O$64,13,0),0)-IF(B32=100873,IFERROR(VLOOKUP("Noviembre",[2]BPS!$B$74:$C$89,2,0),0),0)</f>
        <v>0</v>
      </c>
      <c r="BQ32" s="281">
        <f t="shared" si="20"/>
        <v>0</v>
      </c>
      <c r="BR32" s="380">
        <f>IFERROR(VLOOKUP(B32,'[2]RETAIL ORIGEN RMKT'!$B$11:$O$62,13,0),0)</f>
        <v>0</v>
      </c>
      <c r="BS32" s="274">
        <f t="shared" si="21"/>
        <v>0</v>
      </c>
      <c r="BT32" s="21">
        <f>SUMIF('UC BMW 2026'!$B$5:$B$77,'UC BMW 2026'!$B30,'UC BMW 2026'!$AB$5:$AB$77)</f>
        <v>11</v>
      </c>
      <c r="BU32" s="24">
        <f>SUMIF('UC BMW 2026'!$B$5:$B$77,'UC BMW 2026'!$B30,'UC BMW 2026'!$AC$5:$AC$77)</f>
        <v>0</v>
      </c>
      <c r="BV32" s="24">
        <f>IFERROR(VLOOKUP(B32,[2]BPS!$B$10:$O$64,13,0),0)-IF(B32=100873,IFERROR(VLOOKUP("Diciembre",[2]BPS!$B$74:$C$89,2,0),0),0)</f>
        <v>0</v>
      </c>
      <c r="BW32" s="281">
        <f t="shared" si="22"/>
        <v>0</v>
      </c>
      <c r="BX32" s="380">
        <f>IFERROR(VLOOKUP(B32,'[2]RETAIL ORIGEN RMKT'!$B$11:$O$62,14,0),0)</f>
        <v>0</v>
      </c>
      <c r="BY32" s="274">
        <f t="shared" si="23"/>
        <v>0</v>
      </c>
      <c r="BZ32" s="25">
        <f t="shared" ref="BZ32:CA36" ca="1" si="75">IF($BZ$4="ENERO",F32,IF($BZ$4="FEBRERO",F32+L32,IF($BZ$4="MARZO",F32+L32+R32,IF($BZ$4="ABRIL",F32+L32+R32+X32,IF($BZ$4="MAYO",F32+L32+R32+X32+AD32,IF($BZ$4="JUNIO",F32+L32+R32+X32+AD32+AJ32,IF($BZ$4="JULIO",F32+L32+R32+X32+AD32+AJ32+AP32,IF($BZ$4="AGOSTO",F32+L32+R32+X32+AD32+AJ32+AP32+AV32,IF($BZ$4="SEPTIEMBRE",F32+L32+R32+X32+AD32+AJ32+AP32+AV32+BB32,IF($BZ$4="OCTUBRE",F32+L32+R32+X32+AD32+AJ32+AP32+AV32+BB32+BH32,IF($BZ$4="NOVIEMBRE",F32+L32+R32+X32+AD32+AJ32+AP32+AV32+BB32+BH32+BN32,IF($BZ$4="DICIEMBRE",F32+L32+R32+X32+AD32+AJ32+AP32+AV32+BB32+BH32+BN32+BT32,""))))))))))))</f>
        <v>75</v>
      </c>
      <c r="CA32" s="27">
        <f t="shared" ca="1" si="75"/>
        <v>67</v>
      </c>
      <c r="CB32" s="289">
        <f t="shared" ca="1" si="25"/>
        <v>0.89333333333333331</v>
      </c>
      <c r="CC32" s="151">
        <f>IFERROR(IF($BZ$4="ENERO",H32,IF($BZ$4="FEBRERO",H32+N32,IF($BZ$4="MARZO",H32+N32+T32,IF($BZ$4="ABRIL",H32+N32+T32+Z32,IF($BZ$4="MAYO",H32+N32+T32+Z32+AF32,IF($BZ$4="JUNIO",H32+N32+T32+Z32+AF32+AL32,IF($BZ$4="JULIO",H32+N32+T32+Z32+AF32+AL32+AR32,IF($BZ$4="AGOSTO",H32+N32+T32+Z32+AF32+AL32+AR32+AX32,IF($BZ$4="SEPTIEMBRE",H32+N32+T32+Z32+AF32+AL32+AR32+AX32+BD32,IF($BZ$4="OCTUBRE",H32+N32+T32+Z32+AF32+AL32+AR32+AX32+BD32+BJ32,IF($BZ$4="NOVIEMBRE",H32+N32+T32+Z32+AF32+AL32+AR32+AX32+BD32+BJ32+BP32,IF($BZ$4="DICIEMBRE",H32+N32+T32+Z32+AF32+AL32+AR32+AX32+BD32+BJ32+BP32+BV32,"")))))))))))),0)</f>
        <v>63</v>
      </c>
      <c r="CD32" s="281">
        <f ca="1">IFERROR(IF(CA32=0,"N.D.",CC32/CA32),0)</f>
        <v>0.94029850746268662</v>
      </c>
      <c r="CE32" s="24">
        <f>IFERROR(IF($BZ$4="ENERO",J32,IF($BZ$4="FEBRERO",J32+P32,IF($BZ$4="MARZO",J32+P32+V32,IF($BZ$4="ABRIL",J32+P32+V32+AB32,IF($BZ$4="MAYO",J32+P32+V32+AB32+AH32,IF($BZ$4="JUNIO",J32+P32+V32+AB32+AH32+AN32,IF($BZ$4="JULIO",J32+P32+V32+AB32+AH32+AN32+AT32,IF($BZ$4="AGOSTO",J32+P32+V32+AB32+AH32+AN32+AT32+AZ32,IF($BZ$4="SEPTIEMBRE",J32+P32+V32+AB32+AH32+AN32+AT32+AZ32+BF32,IF($BZ$4="OCTUBRE",J32+P32+V32+AB32+AH32+AN32+AT32+AZ32+BF32+BL32,IF($BZ$4="NOVIEMBRE",J32+P32+V32+AB32+AH32+AN32+AT32+AZ32+BF32+BL32+BR32,IF($BZ$4="DICIEMBRE",J32+P32+V32+AB32+AH32+AN32+AT32+AZ32+BF32+BL32+BR32+BX32,"")))))))))))),0)</f>
        <v>7</v>
      </c>
      <c r="CF32" s="129">
        <f t="shared" ca="1" si="32"/>
        <v>9.3333333333333338E-2</v>
      </c>
      <c r="CG32" s="25">
        <f ca="1">SUM(F32+L32+R32+X32+AD32+AJ32+AP32+AV32+BB32+BH32+BN32+BT32)</f>
        <v>142</v>
      </c>
      <c r="CH32" s="27">
        <f ca="1">SUMIFS($F32:$BW32,$F$6:$BW$6,CH$6,$F$2:$BW$2,$BZ$4)</f>
        <v>67</v>
      </c>
      <c r="CI32" s="289">
        <f t="shared" ca="1" si="33"/>
        <v>0.47183098591549294</v>
      </c>
      <c r="CJ32" s="151">
        <f>SUMIFS($F32:$BW32,$F$6:$BW$6,CJ$6,$F$2:$BW$2,$BZ$4)</f>
        <v>63</v>
      </c>
      <c r="CK32" s="281">
        <f t="shared" ca="1" si="26"/>
        <v>0.94029850746268662</v>
      </c>
      <c r="CL32" s="27">
        <f>IFERROR(J32+P32+V32+AB32+AH32+AN32+AT32+AZ32+BF32+BL32+BR32+BX32,0)</f>
        <v>7</v>
      </c>
      <c r="CM32" s="129">
        <f t="shared" ca="1" si="34"/>
        <v>4.9295774647887321E-2</v>
      </c>
      <c r="CN32" s="25">
        <f t="shared" ref="CN32:CO36" ca="1" si="76">IF($CN$5="Q1",F32+L32+R32,
IF($CN$5="Q2",X32+AD32++AJ32,
IF($CN$5="Q3",AP32+AV32+BB32,
IF($CN$5="Q4",BH32+BN32+BT32,0))))</f>
        <v>36</v>
      </c>
      <c r="CO32" s="27">
        <f t="shared" ca="1" si="76"/>
        <v>26</v>
      </c>
      <c r="CP32" s="289">
        <f t="shared" ca="1" si="36"/>
        <v>0.72222222222222221</v>
      </c>
      <c r="CQ32" s="151">
        <f>IF($CN$5="Q1",H32+N32+T32,
IF($CN$5="Q2",Z32+AF32++AL32,
IF($CN$5="Q3",AR32+AX32+BD32,
IF($CN$5="Q4",BJ32+BP32+BV32,0))))</f>
        <v>26</v>
      </c>
      <c r="CR32" s="281">
        <f t="shared" ca="1" si="37"/>
        <v>1</v>
      </c>
      <c r="CS32" s="27">
        <f t="shared" si="38"/>
        <v>0</v>
      </c>
      <c r="CT32" s="129">
        <f t="shared" ca="1" si="39"/>
        <v>0</v>
      </c>
      <c r="CU32" s="25">
        <f t="shared" ca="1" si="40"/>
        <v>75</v>
      </c>
      <c r="CV32" s="27">
        <f t="shared" ca="1" si="41"/>
        <v>67</v>
      </c>
      <c r="CW32" s="289">
        <f t="shared" ca="1" si="42"/>
        <v>0.89333333333333331</v>
      </c>
      <c r="CX32" s="27">
        <f t="shared" si="43"/>
        <v>63</v>
      </c>
      <c r="CY32" s="281">
        <f t="shared" ca="1" si="44"/>
        <v>0.94029850746268662</v>
      </c>
      <c r="CZ32" s="27">
        <f t="shared" si="45"/>
        <v>7</v>
      </c>
      <c r="DA32" s="130">
        <f t="shared" ca="1" si="46"/>
        <v>9.3333333333333338E-2</v>
      </c>
      <c r="DB32" s="25">
        <f t="shared" ref="DB32:DC36" ca="1" si="77">IF($DB$5="S 1",F32+L32+R32+X32+AD32++AJ32,
IF($DB$5="S 2",AP32+AV32+BB32+BH32+BN32+BT32,0))</f>
        <v>67</v>
      </c>
      <c r="DC32" s="27">
        <f t="shared" ca="1" si="77"/>
        <v>0</v>
      </c>
      <c r="DD32" s="289">
        <f t="shared" ca="1" si="48"/>
        <v>0</v>
      </c>
      <c r="DE32" s="27">
        <f>IFERROR(IF($DB$5="S 1",H32+N32+T32+Z32+AF32++AL32,
IF($DB$5="S 2",AR32+AX32+BD32+BJ32+BP32+BV32,0)),0)</f>
        <v>0</v>
      </c>
      <c r="DF32" s="281" t="str">
        <f t="shared" ca="1" si="49"/>
        <v>N.D.</v>
      </c>
      <c r="DG32" s="27">
        <f>IFERROR(IF($DB$5="S 1",J32+P32+V32+AB32+AH32+AN32,
IF($DB$5="S 2",AT32+AZ32+BF32+BL32+BR32+BX32,0)),0)</f>
        <v>0</v>
      </c>
      <c r="DH32" s="130">
        <f ca="1">IFERROR(DG32/DB32,0)</f>
        <v>0</v>
      </c>
      <c r="DI32" s="510">
        <v>1</v>
      </c>
      <c r="DJ32" s="369" t="s">
        <v>51</v>
      </c>
      <c r="DK32" s="25">
        <f t="shared" ca="1" si="51"/>
        <v>75</v>
      </c>
      <c r="DL32" s="27">
        <f t="shared" ca="1" si="52"/>
        <v>67</v>
      </c>
      <c r="DM32" s="289">
        <f t="shared" ca="1" si="53"/>
        <v>0.89333333333333331</v>
      </c>
      <c r="DN32" s="151">
        <f t="shared" si="54"/>
        <v>63</v>
      </c>
      <c r="DO32" s="281">
        <f t="shared" ca="1" si="55"/>
        <v>0.94029850746268662</v>
      </c>
      <c r="DP32" s="27">
        <f t="shared" si="56"/>
        <v>7</v>
      </c>
      <c r="DQ32" s="130">
        <f t="shared" ca="1" si="57"/>
        <v>9.3333333333333338E-2</v>
      </c>
      <c r="DR32"/>
      <c r="DS32" s="4">
        <f ca="1"/>
        <v>135</v>
      </c>
      <c r="DT32" s="4">
        <f ca="1"/>
        <v>119</v>
      </c>
      <c r="DU32" s="508">
        <f ca="1"/>
        <v>1.0333333333333334</v>
      </c>
      <c r="DW32" s="508">
        <f ca="1"/>
        <v>0.93220338983050843</v>
      </c>
      <c r="DX32" s="4">
        <v>36</v>
      </c>
      <c r="DY32" s="508">
        <f ca="1"/>
        <v>0.32500000000000001</v>
      </c>
    </row>
    <row r="33" spans="1:129" s="4" customFormat="1" ht="15" customHeight="1" x14ac:dyDescent="0.35">
      <c r="A33" s="4">
        <f>_xlfn.XLOOKUP(B33,'WHOLESALE BMW 2026'!$B$7:$B$67,'WHOLESALE BMW 2026'!$A$7:$A$67)</f>
        <v>5</v>
      </c>
      <c r="B33" s="8">
        <v>100190</v>
      </c>
      <c r="C33" s="369" t="s">
        <v>52</v>
      </c>
      <c r="D33" s="125"/>
      <c r="E33" s="309" t="s">
        <v>79</v>
      </c>
      <c r="F33" s="21">
        <f ca="1">SUMIF('UC BMW 2026'!B31:B107,'UC BMW 2026'!B31,'UC BMW 2026'!F31:F98)</f>
        <v>16</v>
      </c>
      <c r="G33" s="24">
        <f ca="1">SUMIF('UC BMW 2026'!$B$5:$B$77,'UC BMW 2026'!B31,'UC BMW 2026'!$G$5:$G$72)</f>
        <v>13</v>
      </c>
      <c r="H33" s="24">
        <f>IFERROR(VLOOKUP(B33,[2]BPS!$B$10:$O$64,3,0),0)-IF(B33=100873,IFERROR(VLOOKUP("Enero",[2]BPS!$B$74:$C$89,2,0),0),0)</f>
        <v>13</v>
      </c>
      <c r="I33" s="282">
        <f t="shared" ca="1" si="0"/>
        <v>1</v>
      </c>
      <c r="J33" s="380">
        <f>IFERROR(VLOOKUP(B33,'[2]RETAIL ORIGEN RMKT'!$B$11:$O$62,3,0),0)</f>
        <v>2</v>
      </c>
      <c r="K33" s="127">
        <f t="shared" ca="1" si="1"/>
        <v>0.125</v>
      </c>
      <c r="L33" s="21">
        <f ca="1">SUMIF('UC BMW 2026'!$B$5:$B$77,'UC BMW 2026'!$B31,'UC BMW 2026'!$H$5:$H$72)</f>
        <v>16</v>
      </c>
      <c r="M33" s="24">
        <f ca="1">SUMIF('UC BMW 2026'!$B$5:$B$77,'UC BMW 2026'!$B31,'UC BMW 2026'!$I$5:$I$72)</f>
        <v>11</v>
      </c>
      <c r="N33" s="24">
        <f>IFERROR(VLOOKUP(B33,[2]BPS!$B$10:$O$64,4,0),0)-IF(B33=100873,IFERROR(VLOOKUP("Febrero",[2]BPS!$B$74:$C$89,2,0),0),0)</f>
        <v>9</v>
      </c>
      <c r="O33" s="282">
        <f t="shared" ca="1" si="2"/>
        <v>0.81818181818181823</v>
      </c>
      <c r="P33" s="380">
        <f>IFERROR(VLOOKUP(B33,'[2]RETAIL ORIGEN RMKT'!$B$11:$O$62,4,0),0)</f>
        <v>5</v>
      </c>
      <c r="Q33" s="127">
        <f t="shared" ca="1" si="3"/>
        <v>0.3125</v>
      </c>
      <c r="R33" s="21">
        <f ca="1">SUMIF('UC BMW 2026'!$B$5:$B$77,'UC BMW 2026'!$B31,'UC BMW 2026'!$J$5:$J$72)</f>
        <v>17</v>
      </c>
      <c r="S33" s="24">
        <f ca="1">SUMIF('UC BMW 2026'!$B$5:$B$77,'UC BMW 2026'!$B31,'UC BMW 2026'!$K$5:$K$72)</f>
        <v>15</v>
      </c>
      <c r="T33" s="24">
        <f>IFERROR(VLOOKUP(B33,[2]BPS!$B$10:$O$64,5,0),0)-IF(B33=100873,IFERROR(VLOOKUP("Marzo",[2]BPS!$B$74:$C$89,2,0),0),0)</f>
        <v>15</v>
      </c>
      <c r="U33" s="282">
        <f t="shared" ca="1" si="4"/>
        <v>1</v>
      </c>
      <c r="V33" s="380">
        <f>IFERROR(VLOOKUP(B33,'[2]RETAIL ORIGEN RMKT'!$B$11:$O$62,5,0),0)</f>
        <v>4</v>
      </c>
      <c r="W33" s="127">
        <f t="shared" ca="1" si="5"/>
        <v>0.23529411764705882</v>
      </c>
      <c r="X33" s="21">
        <f ca="1">SUMIF('UC BMW 2026'!$B$5:$B$77,'UC BMW 2026'!$B31,'UC BMW 2026'!$L$5:$L$72)</f>
        <v>17</v>
      </c>
      <c r="Y33" s="24">
        <f ca="1">SUMIF('UC BMW 2026'!$B$5:$B$77,'UC BMW 2026'!$B31,'UC BMW 2026'!$M$5:$M$72)</f>
        <v>21</v>
      </c>
      <c r="Z33" s="24">
        <f>IFERROR(VLOOKUP(B33,[2]BPS!$B$10:$O$64,6,0),0)-IF(B33=100873,IFERROR(VLOOKUP("Abril",[2]BPS!$B$74:$C$89,2,0),0),0)</f>
        <v>21</v>
      </c>
      <c r="AA33" s="282">
        <f t="shared" ca="1" si="6"/>
        <v>1</v>
      </c>
      <c r="AB33" s="380">
        <f>IFERROR(VLOOKUP(B33,'[2]RETAIL ORIGEN RMKT'!$B$11:$O$62,6,0),0)</f>
        <v>8</v>
      </c>
      <c r="AC33" s="127">
        <f t="shared" ca="1" si="7"/>
        <v>0.47058823529411764</v>
      </c>
      <c r="AD33" s="21">
        <f ca="1">SUMIF('UC BMW 2026'!$B$5:$B$77,'UC BMW 2026'!$B31,'UC BMW 2026'!$N$5:$N$72)</f>
        <v>17</v>
      </c>
      <c r="AE33" s="24">
        <f ca="1">SUMIF('UC BMW 2026'!$B$5:$B$77,'UC BMW 2026'!$B31,'UC BMW 2026'!$O$5:$O$72)</f>
        <v>17</v>
      </c>
      <c r="AF33" s="24">
        <f>IFERROR(VLOOKUP(B33,[2]BPS!$B$10:$O$64,7,0),0)-IF(B33=100873,IFERROR(VLOOKUP("Mayo",[2]BPS!$B$74:$C$89,2,0),0),0)</f>
        <v>17</v>
      </c>
      <c r="AG33" s="282">
        <f t="shared" ca="1" si="8"/>
        <v>1</v>
      </c>
      <c r="AH33" s="380">
        <f>IFERROR(VLOOKUP(B33,'[2]RETAIL ORIGEN RMKT'!$B$11:$O$62,7,0),0)</f>
        <v>7</v>
      </c>
      <c r="AI33" s="127">
        <f t="shared" ca="1" si="9"/>
        <v>0.41176470588235292</v>
      </c>
      <c r="AJ33" s="21">
        <f ca="1">SUMIF('UC BMW 2026'!$B$5:$B$77,'UC BMW 2026'!$B31,'UC BMW 2026'!$P$5:$P$72)</f>
        <v>17</v>
      </c>
      <c r="AK33" s="24">
        <f ca="1">SUMIF('UC BMW 2026'!$B$5:$B$77,'UC BMW 2026'!$B31,'UC BMW 2026'!$Q$5:$Q$72)</f>
        <v>24</v>
      </c>
      <c r="AL33" s="24">
        <f>IFERROR(VLOOKUP(B33,[2]BPS!$B$10:$O$64,8,0),0)-IF(B33=100873,IFERROR(VLOOKUP("Junio",[2]BPS!$B$74:$C$89,2,0),0),0)</f>
        <v>22</v>
      </c>
      <c r="AM33" s="282">
        <f t="shared" ca="1" si="10"/>
        <v>0.91666666666666663</v>
      </c>
      <c r="AN33" s="380">
        <f>IFERROR(VLOOKUP(B33,'[2]RETAIL ORIGEN RMKT'!$B$11:$O$62,8,0),0)</f>
        <v>6</v>
      </c>
      <c r="AO33" s="127">
        <f t="shared" ca="1" si="11"/>
        <v>0.35294117647058826</v>
      </c>
      <c r="AP33" s="21">
        <f ca="1">SUMIF('UC BMW 2026'!$B$5:$B$77,'UC BMW 2026'!$B31,'UC BMW 2026'!$R$5:$R$72)</f>
        <v>15</v>
      </c>
      <c r="AQ33" s="24">
        <f ca="1">SUMIF('UC BMW 2026'!$B$5:$B$77,'UC BMW 2026'!$B31,'UC BMW 2026'!$S$5:$S$72)</f>
        <v>0</v>
      </c>
      <c r="AR33" s="24">
        <f>IFERROR(VLOOKUP(B33,[2]BPS!$B$10:$O$64,9,0),0)-IF(B33=100873,IFERROR(VLOOKUP("Julio",[2]BPS!$B$74:$C$89,2,0),0),0)</f>
        <v>0</v>
      </c>
      <c r="AS33" s="282">
        <f t="shared" ca="1" si="12"/>
        <v>0</v>
      </c>
      <c r="AT33" s="380">
        <f>IFERROR(VLOOKUP(B33,'[2]RETAIL ORIGEN RMKT'!$B$11:$O$62,9,0),0)</f>
        <v>0</v>
      </c>
      <c r="AU33" s="127">
        <f t="shared" ca="1" si="13"/>
        <v>0</v>
      </c>
      <c r="AV33" s="21">
        <f ca="1">SUMIF('UC BMW 2026'!$B$5:$B$77,'UC BMW 2026'!$B31,'UC BMW 2026'!$T$5:$T$72)</f>
        <v>12</v>
      </c>
      <c r="AW33" s="24">
        <f ca="1">SUMIF('UC BMW 2026'!$B$5:$B$77,'UC BMW 2026'!$B31,'UC BMW 2026'!$U$5:$U$72)</f>
        <v>0</v>
      </c>
      <c r="AX33" s="24">
        <f>IFERROR(VLOOKUP(B33,[2]BPS!$B$10:$O$64,10,0),0)-IF(B33=100873,IFERROR(VLOOKUP("Agosto",[2]BPS!$B$74:$C$89,2,0),0),0)</f>
        <v>0</v>
      </c>
      <c r="AY33" s="282">
        <f t="shared" ca="1" si="14"/>
        <v>0</v>
      </c>
      <c r="AZ33" s="380">
        <f>IFERROR(VLOOKUP(B33,'[2]RETAIL ORIGEN RMKT'!$B$11:$O$62,10,0),0)</f>
        <v>0</v>
      </c>
      <c r="BA33" s="127">
        <f t="shared" ca="1" si="15"/>
        <v>0</v>
      </c>
      <c r="BB33" s="21">
        <f ca="1">SUMIF('UC BMW 2026'!$B$5:$B$77,'UC BMW 2026'!$B31,'UC BMW 2026'!$V$5:$V$72)</f>
        <v>15</v>
      </c>
      <c r="BC33" s="24">
        <f>SUMIF('UC BMW 2026'!$B$5:$B$77,'UC BMW 2026'!$B31,'UC BMW 2026'!$W$5:$W$77)</f>
        <v>0</v>
      </c>
      <c r="BD33" s="24">
        <f>IFERROR(VLOOKUP(B33,[2]BPS!$B$10:$O$64,11,0),0)-IF(B33=100873,IFERROR(VLOOKUP("Septiembre",[2]BPS!$B$74:$C$89,2,0),0),0)</f>
        <v>0</v>
      </c>
      <c r="BE33" s="282">
        <f t="shared" si="16"/>
        <v>0</v>
      </c>
      <c r="BF33" s="380">
        <f>IFERROR(VLOOKUP(B33,'[2]RETAIL ORIGEN RMKT'!$B$11:$O$62,11,0),0)</f>
        <v>0</v>
      </c>
      <c r="BG33" s="127">
        <f t="shared" ca="1" si="17"/>
        <v>0</v>
      </c>
      <c r="BH33" s="21">
        <f>SUMIF('UC BMW 2026'!$B$5:$B$77,'UC BMW 2026'!$B31,'UC BMW 2026'!$X$5:$X$77)</f>
        <v>16</v>
      </c>
      <c r="BI33" s="24">
        <f>SUMIF('UC BMW 2026'!$B$5:$B$77,'UC BMW 2026'!$B31,'UC BMW 2026'!$Y$5:$Y$77)</f>
        <v>0</v>
      </c>
      <c r="BJ33" s="24">
        <f>IFERROR(VLOOKUP(B33,[2]BPS!$B$10:$O$64,12,0),0)-IF(B33=100873,IFERROR(VLOOKUP("Octubre",[2]BPS!$B$74:$C$89,2,0),0),0)</f>
        <v>0</v>
      </c>
      <c r="BK33" s="282">
        <f t="shared" si="18"/>
        <v>0</v>
      </c>
      <c r="BL33" s="380">
        <f>IFERROR(VLOOKUP(B33,'[2]RETAIL ORIGEN RMKT'!$B$11:$O$62,12,0),0)</f>
        <v>0</v>
      </c>
      <c r="BM33" s="127">
        <f t="shared" si="19"/>
        <v>0</v>
      </c>
      <c r="BN33" s="21">
        <f>SUMIF('UC BMW 2026'!$B$5:$B$77,'UC BMW 2026'!$B31,'UC BMW 2026'!$Z$5:$Z$77)</f>
        <v>17</v>
      </c>
      <c r="BO33" s="24">
        <f>SUMIF('UC BMW 2026'!$B$5:$B$77,'UC BMW 2026'!$B31,'UC BMW 2026'!$AA$5:$AA$77)</f>
        <v>0</v>
      </c>
      <c r="BP33" s="24">
        <f>IFERROR(VLOOKUP(B33,[2]BPS!$B$10:$O$64,13,0),0)-IF(B33=100873,IFERROR(VLOOKUP("Noviembre",[2]BPS!$B$74:$C$89,2,0),0),0)</f>
        <v>0</v>
      </c>
      <c r="BQ33" s="282">
        <f t="shared" si="20"/>
        <v>0</v>
      </c>
      <c r="BR33" s="380">
        <f>IFERROR(VLOOKUP(B33,'[2]RETAIL ORIGEN RMKT'!$B$11:$O$62,13,0),0)</f>
        <v>0</v>
      </c>
      <c r="BS33" s="127">
        <f t="shared" si="21"/>
        <v>0</v>
      </c>
      <c r="BT33" s="21">
        <f>SUMIF('UC BMW 2026'!$B$5:$B$77,'UC BMW 2026'!$B31,'UC BMW 2026'!$AB$5:$AB$77)</f>
        <v>15</v>
      </c>
      <c r="BU33" s="24">
        <f>SUMIF('UC BMW 2026'!$B$5:$B$77,'UC BMW 2026'!$B31,'UC BMW 2026'!$AC$5:$AC$77)</f>
        <v>0</v>
      </c>
      <c r="BV33" s="24">
        <f>IFERROR(VLOOKUP(B33,[2]BPS!$B$10:$O$64,13,0),0)-IF(B33=100873,IFERROR(VLOOKUP("Diciembre",[2]BPS!$B$74:$C$89,2,0),0),0)</f>
        <v>0</v>
      </c>
      <c r="BW33" s="282">
        <f t="shared" si="22"/>
        <v>0</v>
      </c>
      <c r="BX33" s="380">
        <f>IFERROR(VLOOKUP(B33,'[2]RETAIL ORIGEN RMKT'!$B$11:$O$62,14,0),0)</f>
        <v>0</v>
      </c>
      <c r="BY33" s="127">
        <f t="shared" si="23"/>
        <v>0</v>
      </c>
      <c r="BZ33" s="25">
        <f t="shared" ca="1" si="75"/>
        <v>100</v>
      </c>
      <c r="CA33" s="27">
        <f t="shared" ca="1" si="75"/>
        <v>101</v>
      </c>
      <c r="CB33" s="287">
        <f t="shared" ca="1" si="25"/>
        <v>1.01</v>
      </c>
      <c r="CC33" s="151">
        <f>IFERROR(IF($BZ$4="ENERO",H33,IF($BZ$4="FEBRERO",H33+N33,IF($BZ$4="MARZO",H33+N33+T33,IF($BZ$4="ABRIL",H33+N33+T33+Z33,IF($BZ$4="MAYO",H33+N33+T33+Z33+AF33,IF($BZ$4="JUNIO",H33+N33+T33+Z33+AF33+AL33,IF($BZ$4="JULIO",H33+N33+T33+Z33+AF33+AL33+AR33,IF($BZ$4="AGOSTO",H33+N33+T33+Z33+AF33+AL33+AR33+AX33,IF($BZ$4="SEPTIEMBRE",H33+N33+T33+Z33+AF33+AL33+AR33+AX33+BD33,IF($BZ$4="OCTUBRE",H33+N33+T33+Z33+AF33+AL33+AR33+AX33+BD33+BJ33,IF($BZ$4="NOVIEMBRE",H33+N33+T33+Z33+AF33+AL33+AR33+AX33+BD33+BJ33+BP33,IF($BZ$4="DICIEMBRE",H33+N33+T33+Z33+AF33+AL33+AR33+AX33+BD33+BJ33+BP33+BV33,"")))))))))))),0)</f>
        <v>97</v>
      </c>
      <c r="CD33" s="129">
        <f ca="1">IFERROR(IF(CA33=0,"N.D.",CC33/CA33),0)</f>
        <v>0.96039603960396036</v>
      </c>
      <c r="CE33" s="24">
        <f>IFERROR(IF($BZ$4="ENERO",J33,IF($BZ$4="FEBRERO",J33+P33,IF($BZ$4="MARZO",J33+P33+V33,IF($BZ$4="ABRIL",J33+P33+V33+AB33,IF($BZ$4="MAYO",J33+P33+V33+AB33+AH33,IF($BZ$4="JUNIO",J33+P33+V33+AB33+AH33+AN33,IF($BZ$4="JULIO",J33+P33+V33+AB33+AH33+AN33+AT33,IF($BZ$4="AGOSTO",J33+P33+V33+AB33+AH33+AN33+AT33+AZ33,IF($BZ$4="SEPTIEMBRE",J33+P33+V33+AB33+AH33+AN33+AT33+AZ33+BF33,IF($BZ$4="OCTUBRE",J33+P33+V33+AB33+AH33+AN33+AT33+AZ33+BF33+BL33,IF($BZ$4="NOVIEMBRE",J33+P33+V33+AB33+AH33+AN33+AT33+AZ33+BF33+BL33+BR33,IF($BZ$4="DICIEMBRE",J33+P33+V33+AB33+AH33+AN33+AT33+AZ33+BF33+BL33+BR33+BX33,"")))))))))))),0)</f>
        <v>32</v>
      </c>
      <c r="CF33" s="129">
        <f t="shared" ca="1" si="32"/>
        <v>0.32</v>
      </c>
      <c r="CG33" s="25">
        <f ca="1">SUM(F33+L33+R33+X33+AD33+AJ33+AP33+AV33+BB33+BH33+BN33+BT33)</f>
        <v>190</v>
      </c>
      <c r="CH33" s="27">
        <f ca="1">SUMIFS($F33:$BW33,$F$6:$BW$6,CH$6,$F$2:$BW$2,$BZ$4)</f>
        <v>101</v>
      </c>
      <c r="CI33" s="287">
        <f t="shared" ca="1" si="33"/>
        <v>0.53157894736842104</v>
      </c>
      <c r="CJ33" s="291">
        <f>SUMIFS($F33:$BW33,$F$6:$BW$6,CJ$6,$F$2:$BW$2,$BZ$4)</f>
        <v>97</v>
      </c>
      <c r="CK33" s="129">
        <f t="shared" ca="1" si="26"/>
        <v>0.96039603960396036</v>
      </c>
      <c r="CL33" s="27">
        <f>IFERROR(J33+P33+V33+AB33+AH33+AN33+AT33+AZ33+BF33+BL33+BR33+BX33,0)</f>
        <v>32</v>
      </c>
      <c r="CM33" s="129">
        <f t="shared" ca="1" si="34"/>
        <v>0.16842105263157894</v>
      </c>
      <c r="CN33" s="25">
        <f t="shared" ca="1" si="76"/>
        <v>49</v>
      </c>
      <c r="CO33" s="27">
        <f t="shared" ca="1" si="76"/>
        <v>39</v>
      </c>
      <c r="CP33" s="287">
        <f t="shared" ca="1" si="36"/>
        <v>0.79591836734693877</v>
      </c>
      <c r="CQ33" s="291">
        <f>IF($CN$5="Q1",H33+N33+T33,
IF($CN$5="Q2",Z33+AF33++AL33,
IF($CN$5="Q3",AR33+AX33+BD33,
IF($CN$5="Q4",BJ33+BP33+BV33,0))))</f>
        <v>37</v>
      </c>
      <c r="CR33" s="129">
        <f t="shared" ca="1" si="37"/>
        <v>0.94871794871794868</v>
      </c>
      <c r="CS33" s="27">
        <f t="shared" si="38"/>
        <v>0</v>
      </c>
      <c r="CT33" s="129">
        <f t="shared" ca="1" si="39"/>
        <v>0</v>
      </c>
      <c r="CU33" s="25">
        <f t="shared" ca="1" si="40"/>
        <v>100</v>
      </c>
      <c r="CV33" s="27">
        <f t="shared" ca="1" si="41"/>
        <v>101</v>
      </c>
      <c r="CW33" s="287">
        <f t="shared" ca="1" si="42"/>
        <v>1.01</v>
      </c>
      <c r="CX33" s="27">
        <f t="shared" si="43"/>
        <v>97</v>
      </c>
      <c r="CY33" s="129">
        <f t="shared" ca="1" si="44"/>
        <v>0.96039603960396036</v>
      </c>
      <c r="CZ33" s="27">
        <f t="shared" si="45"/>
        <v>32</v>
      </c>
      <c r="DA33" s="130">
        <f t="shared" ca="1" si="46"/>
        <v>0.32</v>
      </c>
      <c r="DB33" s="25">
        <f t="shared" ca="1" si="77"/>
        <v>90</v>
      </c>
      <c r="DC33" s="27">
        <f t="shared" ca="1" si="77"/>
        <v>0</v>
      </c>
      <c r="DD33" s="287">
        <f t="shared" ca="1" si="48"/>
        <v>0</v>
      </c>
      <c r="DE33" s="27">
        <f>IFERROR(IF($DB$5="S 1",H33+N33+T33+Z33+AF33++AL33,
IF($DB$5="S 2",AR33+AX33+BD33+BJ33+BP33+BV33,0)),0)</f>
        <v>0</v>
      </c>
      <c r="DF33" s="129" t="str">
        <f t="shared" ca="1" si="49"/>
        <v>N.D.</v>
      </c>
      <c r="DG33" s="27">
        <f>IFERROR(IF($DB$5="S 1",J33+P33+V33+AB33+AH33+AN33,
IF($DB$5="S 2",AT33+AZ33+BF33+BL33+BR33+BX33,0)),0)</f>
        <v>0</v>
      </c>
      <c r="DH33" s="130">
        <f ca="1">IFERROR(DG33/DB33,0)</f>
        <v>0</v>
      </c>
      <c r="DI33" s="510">
        <v>1</v>
      </c>
      <c r="DJ33" s="369" t="s">
        <v>52</v>
      </c>
      <c r="DK33" s="25">
        <f t="shared" ca="1" si="51"/>
        <v>100</v>
      </c>
      <c r="DL33" s="27">
        <f t="shared" ca="1" si="52"/>
        <v>101</v>
      </c>
      <c r="DM33" s="287">
        <f t="shared" ca="1" si="53"/>
        <v>1.01</v>
      </c>
      <c r="DN33" s="151">
        <f t="shared" si="54"/>
        <v>97</v>
      </c>
      <c r="DO33" s="129">
        <f t="shared" ca="1" si="55"/>
        <v>0.96039603960396036</v>
      </c>
      <c r="DP33" s="27">
        <f t="shared" si="56"/>
        <v>32</v>
      </c>
      <c r="DQ33" s="130">
        <f t="shared" ca="1" si="57"/>
        <v>0.32</v>
      </c>
      <c r="DR33"/>
      <c r="DS33" s="4">
        <f ca="1"/>
        <v>117</v>
      </c>
      <c r="DT33" s="4">
        <f ca="1"/>
        <v>115</v>
      </c>
      <c r="DU33" s="508">
        <f ca="1"/>
        <v>1.027027027027027</v>
      </c>
      <c r="DW33" s="508">
        <f ca="1"/>
        <v>0.92660550458715596</v>
      </c>
      <c r="DX33" s="4">
        <v>34</v>
      </c>
      <c r="DY33" s="508">
        <f ca="1"/>
        <v>0.3247863247863248</v>
      </c>
    </row>
    <row r="34" spans="1:129" s="4" customFormat="1" ht="15" customHeight="1" x14ac:dyDescent="0.35">
      <c r="A34" s="4">
        <f>_xlfn.XLOOKUP(B34,'WHOLESALE BMW 2026'!$B$7:$B$67,'WHOLESALE BMW 2026'!$A$7:$A$67)</f>
        <v>5</v>
      </c>
      <c r="B34" s="8">
        <v>100379</v>
      </c>
      <c r="C34" s="369" t="s">
        <v>9</v>
      </c>
      <c r="D34" s="125"/>
      <c r="E34" s="309" t="s">
        <v>79</v>
      </c>
      <c r="F34" s="21">
        <f ca="1">SUMIF('UC BMW 2026'!B32:B108,'UC BMW 2026'!B32,'UC BMW 2026'!F32:F99)</f>
        <v>18</v>
      </c>
      <c r="G34" s="24">
        <f ca="1">SUMIF('UC BMW 2026'!$B$5:$B$77,'UC BMW 2026'!B32,'UC BMW 2026'!$G$5:$G$72)</f>
        <v>13</v>
      </c>
      <c r="H34" s="24">
        <f>IFERROR(VLOOKUP(B34,[2]BPS!$B$10:$O$64,3,0),0)-IF(B34=100873,IFERROR(VLOOKUP("Enero",[2]BPS!$B$74:$C$89,2,0),0),0)</f>
        <v>13</v>
      </c>
      <c r="I34" s="282">
        <f ca="1">IFERROR(H34/G34,0)</f>
        <v>1</v>
      </c>
      <c r="J34" s="380">
        <f>IFERROR(VLOOKUP(B34,'[2]RETAIL ORIGEN RMKT'!$B$11:$O$62,3,0),0)</f>
        <v>1</v>
      </c>
      <c r="K34" s="127">
        <f ca="1">IFERROR(J34/F34,0)</f>
        <v>5.5555555555555552E-2</v>
      </c>
      <c r="L34" s="21">
        <f ca="1">SUMIF('UC BMW 2026'!$B$5:$B$77,'UC BMW 2026'!$B32,'UC BMW 2026'!$H$5:$H$72)</f>
        <v>18</v>
      </c>
      <c r="M34" s="24">
        <f ca="1">SUMIF('UC BMW 2026'!$B$5:$B$77,'UC BMW 2026'!$B32,'UC BMW 2026'!$I$5:$I$72)</f>
        <v>15</v>
      </c>
      <c r="N34" s="24">
        <f>IFERROR(VLOOKUP(B34,[2]BPS!$B$10:$O$64,4,0),0)-IF(B34=100873,IFERROR(VLOOKUP("Febrero",[2]BPS!$B$74:$C$89,2,0),0),0)</f>
        <v>15</v>
      </c>
      <c r="O34" s="282">
        <f ca="1">IFERROR(N34/M34,0)</f>
        <v>1</v>
      </c>
      <c r="P34" s="380">
        <f>IFERROR(VLOOKUP(B34,'[2]RETAIL ORIGEN RMKT'!$B$11:$O$62,4,0),0)</f>
        <v>4</v>
      </c>
      <c r="Q34" s="127">
        <f ca="1">IFERROR(P34/L34,0)</f>
        <v>0.22222222222222221</v>
      </c>
      <c r="R34" s="21">
        <f ca="1">SUMIF('UC BMW 2026'!$B$5:$B$77,'UC BMW 2026'!$B32,'UC BMW 2026'!$J$5:$J$72)</f>
        <v>18</v>
      </c>
      <c r="S34" s="24">
        <f ca="1">SUMIF('UC BMW 2026'!$B$5:$B$77,'UC BMW 2026'!$B32,'UC BMW 2026'!$K$5:$K$72)</f>
        <v>20</v>
      </c>
      <c r="T34" s="24">
        <f>IFERROR(VLOOKUP(B34,[2]BPS!$B$10:$O$64,5,0),0)-IF(B34=100873,IFERROR(VLOOKUP("Marzo",[2]BPS!$B$74:$C$89,2,0),0),0)</f>
        <v>18</v>
      </c>
      <c r="U34" s="282">
        <f ca="1">IFERROR(T34/S34,0)</f>
        <v>0.9</v>
      </c>
      <c r="V34" s="380">
        <f>IFERROR(VLOOKUP(B34,'[2]RETAIL ORIGEN RMKT'!$B$11:$O$62,5,0),0)</f>
        <v>6</v>
      </c>
      <c r="W34" s="127">
        <f ca="1">IFERROR(V34/R34,0)</f>
        <v>0.33333333333333331</v>
      </c>
      <c r="X34" s="21">
        <f ca="1">SUMIF('UC BMW 2026'!$B$5:$B$77,'UC BMW 2026'!$B32,'UC BMW 2026'!$L$5:$L$72)</f>
        <v>18</v>
      </c>
      <c r="Y34" s="24">
        <f ca="1">SUMIF('UC BMW 2026'!$B$5:$B$77,'UC BMW 2026'!$B32,'UC BMW 2026'!$M$5:$M$72)</f>
        <v>11</v>
      </c>
      <c r="Z34" s="24">
        <f>IFERROR(VLOOKUP(B34,[2]BPS!$B$10:$O$64,6,0),0)-IF(B34=100873,IFERROR(VLOOKUP("Abril",[2]BPS!$B$74:$C$89,2,0),0),0)</f>
        <v>10</v>
      </c>
      <c r="AA34" s="282">
        <f ca="1">IFERROR(Z34/Y34,0)</f>
        <v>0.90909090909090906</v>
      </c>
      <c r="AB34" s="380">
        <f>IFERROR(VLOOKUP(B34,'[2]RETAIL ORIGEN RMKT'!$B$11:$O$62,6,0),0)</f>
        <v>5</v>
      </c>
      <c r="AC34" s="127">
        <f ca="1">IFERROR(AB34/X34,0)</f>
        <v>0.27777777777777779</v>
      </c>
      <c r="AD34" s="21">
        <f ca="1">SUMIF('UC BMW 2026'!$B$5:$B$77,'UC BMW 2026'!$B32,'UC BMW 2026'!$N$5:$N$72)</f>
        <v>19</v>
      </c>
      <c r="AE34" s="24">
        <f ca="1">SUMIF('UC BMW 2026'!$B$5:$B$77,'UC BMW 2026'!$B32,'UC BMW 2026'!$O$5:$O$72)</f>
        <v>27</v>
      </c>
      <c r="AF34" s="24">
        <f>IFERROR(VLOOKUP(B34,[2]BPS!$B$10:$O$64,7,0),0)-IF(B34=100873,IFERROR(VLOOKUP("Mayo",[2]BPS!$B$74:$C$89,2,0),0),0)</f>
        <v>27</v>
      </c>
      <c r="AG34" s="282">
        <f ca="1">IFERROR(AF34/AE34,0)</f>
        <v>1</v>
      </c>
      <c r="AH34" s="380">
        <f>IFERROR(VLOOKUP(B34,'[2]RETAIL ORIGEN RMKT'!$B$11:$O$62,7,0),0)</f>
        <v>3</v>
      </c>
      <c r="AI34" s="127">
        <f ca="1">IFERROR(AH34/AD34,0)</f>
        <v>0.15789473684210525</v>
      </c>
      <c r="AJ34" s="21">
        <f ca="1">SUMIF('UC BMW 2026'!$B$5:$B$77,'UC BMW 2026'!$B32,'UC BMW 2026'!$P$5:$P$72)</f>
        <v>19</v>
      </c>
      <c r="AK34" s="24">
        <f ca="1">SUMIF('UC BMW 2026'!$B$5:$B$77,'UC BMW 2026'!$B32,'UC BMW 2026'!$Q$5:$Q$72)</f>
        <v>33</v>
      </c>
      <c r="AL34" s="24">
        <f>IFERROR(VLOOKUP(B34,[2]BPS!$B$10:$O$64,8,0),0)-IF(B34=100873,IFERROR(VLOOKUP("Junio",[2]BPS!$B$74:$C$89,2,0),0),0)</f>
        <v>27</v>
      </c>
      <c r="AM34" s="282">
        <f ca="1">IFERROR(AL34/AK34,0)</f>
        <v>0.81818181818181823</v>
      </c>
      <c r="AN34" s="380">
        <f>IFERROR(VLOOKUP(B34,'[2]RETAIL ORIGEN RMKT'!$B$11:$O$62,8,0),0)</f>
        <v>11</v>
      </c>
      <c r="AO34" s="127">
        <f ca="1">IFERROR(AN34/AJ34,0)</f>
        <v>0.57894736842105265</v>
      </c>
      <c r="AP34" s="21">
        <f ca="1">SUMIF('UC BMW 2026'!$B$5:$B$77,'UC BMW 2026'!$B32,'UC BMW 2026'!$R$5:$R$72)</f>
        <v>15</v>
      </c>
      <c r="AQ34" s="24">
        <f ca="1">SUMIF('UC BMW 2026'!$B$5:$B$77,'UC BMW 2026'!$B32,'UC BMW 2026'!$S$5:$S$72)</f>
        <v>0</v>
      </c>
      <c r="AR34" s="24">
        <f>IFERROR(VLOOKUP(B34,[2]BPS!$B$10:$O$64,9,0),0)-IF(B34=100873,IFERROR(VLOOKUP("Julio",[2]BPS!$B$74:$C$89,2,0),0),0)</f>
        <v>0</v>
      </c>
      <c r="AS34" s="282">
        <f ca="1">IFERROR(AR34/AQ34,0)</f>
        <v>0</v>
      </c>
      <c r="AT34" s="380">
        <f>IFERROR(VLOOKUP(B34,'[2]RETAIL ORIGEN RMKT'!$B$11:$O$62,9,0),0)</f>
        <v>0</v>
      </c>
      <c r="AU34" s="127">
        <f ca="1">IFERROR(AT34/AP34,0)</f>
        <v>0</v>
      </c>
      <c r="AV34" s="21">
        <f ca="1">SUMIF('UC BMW 2026'!$B$5:$B$77,'UC BMW 2026'!$B32,'UC BMW 2026'!$T$5:$T$72)</f>
        <v>14</v>
      </c>
      <c r="AW34" s="24">
        <f ca="1">SUMIF('UC BMW 2026'!$B$5:$B$77,'UC BMW 2026'!$B32,'UC BMW 2026'!$U$5:$U$72)</f>
        <v>0</v>
      </c>
      <c r="AX34" s="24">
        <f>IFERROR(VLOOKUP(B34,[2]BPS!$B$10:$O$64,10,0),0)-IF(B34=100873,IFERROR(VLOOKUP("Agosto",[2]BPS!$B$74:$C$89,2,0),0),0)</f>
        <v>0</v>
      </c>
      <c r="AY34" s="282">
        <f ca="1">IFERROR(AX34/AW34,0)</f>
        <v>0</v>
      </c>
      <c r="AZ34" s="380">
        <f>IFERROR(VLOOKUP(B34,'[2]RETAIL ORIGEN RMKT'!$B$11:$O$62,10,0),0)</f>
        <v>0</v>
      </c>
      <c r="BA34" s="127">
        <f ca="1">IFERROR(AZ34/AV34,0)</f>
        <v>0</v>
      </c>
      <c r="BB34" s="21">
        <f ca="1">SUMIF('UC BMW 2026'!$B$5:$B$77,'UC BMW 2026'!$B32,'UC BMW 2026'!$V$5:$V$72)</f>
        <v>15</v>
      </c>
      <c r="BC34" s="24">
        <f>SUMIF('UC BMW 2026'!$B$5:$B$77,'UC BMW 2026'!$B32,'UC BMW 2026'!$W$5:$W$77)</f>
        <v>0</v>
      </c>
      <c r="BD34" s="24">
        <f>IFERROR(VLOOKUP(B34,[2]BPS!$B$10:$O$64,11,0),0)-IF(B34=100873,IFERROR(VLOOKUP("Septiembre",[2]BPS!$B$74:$C$89,2,0),0),0)</f>
        <v>0</v>
      </c>
      <c r="BE34" s="282">
        <f>IFERROR(BD34/BC34,0)</f>
        <v>0</v>
      </c>
      <c r="BF34" s="380">
        <f>IFERROR(VLOOKUP(B34,'[2]RETAIL ORIGEN RMKT'!$B$11:$O$62,11,0),0)</f>
        <v>0</v>
      </c>
      <c r="BG34" s="127">
        <f ca="1">IFERROR(BF34/BB34,0)</f>
        <v>0</v>
      </c>
      <c r="BH34" s="21">
        <f>SUMIF('UC BMW 2026'!$B$5:$B$77,'UC BMW 2026'!$B32,'UC BMW 2026'!$X$5:$X$77)</f>
        <v>20</v>
      </c>
      <c r="BI34" s="24">
        <f>SUMIF('UC BMW 2026'!$B$5:$B$77,'UC BMW 2026'!$B32,'UC BMW 2026'!$Y$5:$Y$77)</f>
        <v>0</v>
      </c>
      <c r="BJ34" s="24">
        <f>IFERROR(VLOOKUP(B34,[2]BPS!$B$10:$O$64,12,0),0)-IF(B34=100873,IFERROR(VLOOKUP("Octubre",[2]BPS!$B$74:$C$89,2,0),0),0)</f>
        <v>0</v>
      </c>
      <c r="BK34" s="282">
        <f>IFERROR(BJ34/BI34,0)</f>
        <v>0</v>
      </c>
      <c r="BL34" s="380">
        <f>IFERROR(VLOOKUP(B34,'[2]RETAIL ORIGEN RMKT'!$B$11:$O$62,12,0),0)</f>
        <v>0</v>
      </c>
      <c r="BM34" s="127">
        <f>IFERROR(BL34/BH34,0)</f>
        <v>0</v>
      </c>
      <c r="BN34" s="21">
        <f>SUMIF('UC BMW 2026'!$B$5:$B$77,'UC BMW 2026'!$B32,'UC BMW 2026'!$Z$5:$Z$77)</f>
        <v>19</v>
      </c>
      <c r="BO34" s="24">
        <f>SUMIF('UC BMW 2026'!$B$5:$B$77,'UC BMW 2026'!$B32,'UC BMW 2026'!$AA$5:$AA$77)</f>
        <v>0</v>
      </c>
      <c r="BP34" s="24">
        <f>IFERROR(VLOOKUP(B34,[2]BPS!$B$10:$O$64,13,0),0)-IF(B34=100873,IFERROR(VLOOKUP("Noviembre",[2]BPS!$B$74:$C$89,2,0),0),0)</f>
        <v>0</v>
      </c>
      <c r="BQ34" s="282">
        <f>IFERROR(BP34/BO34,0)</f>
        <v>0</v>
      </c>
      <c r="BR34" s="380">
        <f>IFERROR(VLOOKUP(B34,'[2]RETAIL ORIGEN RMKT'!$B$11:$O$62,13,0),0)</f>
        <v>0</v>
      </c>
      <c r="BS34" s="127">
        <f>IFERROR(BR34/BN34,0)</f>
        <v>0</v>
      </c>
      <c r="BT34" s="21">
        <f>SUMIF('UC BMW 2026'!$B$5:$B$77,'UC BMW 2026'!$B32,'UC BMW 2026'!$AB$5:$AB$77)</f>
        <v>17</v>
      </c>
      <c r="BU34" s="24">
        <f>SUMIF('UC BMW 2026'!$B$5:$B$77,'UC BMW 2026'!$B32,'UC BMW 2026'!$AC$5:$AC$77)</f>
        <v>0</v>
      </c>
      <c r="BV34" s="24">
        <f>IFERROR(VLOOKUP(B34,[2]BPS!$B$10:$O$64,13,0),0)-IF(B34=100873,IFERROR(VLOOKUP("Diciembre",[2]BPS!$B$74:$C$89,2,0),0),0)</f>
        <v>0</v>
      </c>
      <c r="BW34" s="282">
        <f>IFERROR(BV34/BU34,0)</f>
        <v>0</v>
      </c>
      <c r="BX34" s="380">
        <f>IFERROR(VLOOKUP(B34,'[2]RETAIL ORIGEN RMKT'!$B$11:$O$62,14,0),0)</f>
        <v>0</v>
      </c>
      <c r="BY34" s="127">
        <f>IFERROR(BX34/BT34,0)</f>
        <v>0</v>
      </c>
      <c r="BZ34" s="25">
        <f t="shared" ca="1" si="75"/>
        <v>110</v>
      </c>
      <c r="CA34" s="27">
        <f t="shared" ca="1" si="75"/>
        <v>119</v>
      </c>
      <c r="CB34" s="287">
        <f ca="1">IFERROR((CA34/BZ34),0)</f>
        <v>1.0818181818181818</v>
      </c>
      <c r="CC34" s="151">
        <f>IFERROR(IF($BZ$4="ENERO",H34,IF($BZ$4="FEBRERO",H34+N34,IF($BZ$4="MARZO",H34+N34+T34,IF($BZ$4="ABRIL",H34+N34+T34+Z34,IF($BZ$4="MAYO",H34+N34+T34+Z34+AF34,IF($BZ$4="JUNIO",H34+N34+T34+Z34+AF34+AL34,IF($BZ$4="JULIO",H34+N34+T34+Z34+AF34+AL34+AR34,IF($BZ$4="AGOSTO",H34+N34+T34+Z34+AF34+AL34+AR34+AX34,IF($BZ$4="SEPTIEMBRE",H34+N34+T34+Z34+AF34+AL34+AR34+AX34+BD34,IF($BZ$4="OCTUBRE",H34+N34+T34+Z34+AF34+AL34+AR34+AX34+BD34+BJ34,IF($BZ$4="NOVIEMBRE",H34+N34+T34+Z34+AF34+AL34+AR34+AX34+BD34+BJ34+BP34,IF($BZ$4="DICIEMBRE",H34+N34+T34+Z34+AF34+AL34+AR34+AX34+BD34+BJ34+BP34+BV34,"")))))))))))),0)</f>
        <v>110</v>
      </c>
      <c r="CD34" s="129">
        <f ca="1">IFERROR(IF(CA34=0,"N.D.",CC34/CA34),0)</f>
        <v>0.92436974789915971</v>
      </c>
      <c r="CE34" s="24">
        <f>IFERROR(IF($BZ$4="ENERO",J34,IF($BZ$4="FEBRERO",J34+P34,IF($BZ$4="MARZO",J34+P34+V34,IF($BZ$4="ABRIL",J34+P34+V34+AB34,IF($BZ$4="MAYO",J34+P34+V34+AB34+AH34,IF($BZ$4="JUNIO",J34+P34+V34+AB34+AH34+AN34,IF($BZ$4="JULIO",J34+P34+V34+AB34+AH34+AN34+AT34,IF($BZ$4="AGOSTO",J34+P34+V34+AB34+AH34+AN34+AT34+AZ34,IF($BZ$4="SEPTIEMBRE",J34+P34+V34+AB34+AH34+AN34+AT34+AZ34+BF34,IF($BZ$4="OCTUBRE",J34+P34+V34+AB34+AH34+AN34+AT34+AZ34+BF34+BL34,IF($BZ$4="NOVIEMBRE",J34+P34+V34+AB34+AH34+AN34+AT34+AZ34+BF34+BL34+BR34,IF($BZ$4="DICIEMBRE",J34+P34+V34+AB34+AH34+AN34+AT34+AZ34+BF34+BL34+BR34+BX34,"")))))))))))),0)</f>
        <v>30</v>
      </c>
      <c r="CF34" s="129">
        <f ca="1">IFERROR(CE34/BZ34,0)</f>
        <v>0.27272727272727271</v>
      </c>
      <c r="CG34" s="25">
        <f ca="1">SUM(F34+L34+R34+X34+AD34+AJ34+AP34+AV34+BB34+BH34+BN34+BT34)</f>
        <v>210</v>
      </c>
      <c r="CH34" s="27">
        <f ca="1">SUMIFS($F34:$BW34,$F$6:$BW$6,CH$6,$F$2:$BW$2,$BZ$4)</f>
        <v>119</v>
      </c>
      <c r="CI34" s="287">
        <f ca="1">IFERROR((CH34/CG34),0)</f>
        <v>0.56666666666666665</v>
      </c>
      <c r="CJ34" s="291">
        <f>SUMIFS($F34:$BW34,$F$6:$BW$6,CJ$6,$F$2:$BW$2,$BZ$4)</f>
        <v>110</v>
      </c>
      <c r="CK34" s="129">
        <f ca="1">IF(CH34=0,"N.D.",CJ34/CH34)</f>
        <v>0.92436974789915971</v>
      </c>
      <c r="CL34" s="27">
        <f>IFERROR(J34+P34+V34+AB34+AH34+AN34+AT34+AZ34+BF34+BL34+BR34+BX34,0)</f>
        <v>30</v>
      </c>
      <c r="CM34" s="129">
        <f ca="1">IFERROR(CL34/CG34,0)</f>
        <v>0.14285714285714285</v>
      </c>
      <c r="CN34" s="25">
        <f t="shared" ca="1" si="76"/>
        <v>54</v>
      </c>
      <c r="CO34" s="27">
        <f t="shared" ca="1" si="76"/>
        <v>48</v>
      </c>
      <c r="CP34" s="287">
        <f ca="1">IFERROR((CO34/CN34),0)</f>
        <v>0.88888888888888884</v>
      </c>
      <c r="CQ34" s="291">
        <f>IF($CN$5="Q1",H34+N34+T34,
IF($CN$5="Q2",Z34+AF34++AL34,
IF($CN$5="Q3",AR34+AX34+BD34,
IF($CN$5="Q4",BJ34+BP34+BV34,0))))</f>
        <v>46</v>
      </c>
      <c r="CR34" s="129">
        <f ca="1">IF(CO34=0,"N.D.",CQ34/CO34)</f>
        <v>0.95833333333333337</v>
      </c>
      <c r="CS34" s="27">
        <f>IF($CZ$5="Q1",J34+P34+V34,
IF($CZ$5="Q2",AB34+AH34+AN34,
IF($CZ$5="Q3",AT34+AZ34+BF34,
IF($CZ$5="Q4",BL34+BR34+BX34,0))))</f>
        <v>0</v>
      </c>
      <c r="CT34" s="129">
        <f ca="1">IFERROR(CS34/CN34,0)</f>
        <v>0</v>
      </c>
      <c r="CU34" s="25">
        <f t="shared" ref="CU34:CV67" ca="1" si="78">IF($CU$5="S 1",F34+L34+R34+X34+AD34++AJ34,
IF($CU$5="S 2",AP34+AV34+BB34+BH34+BN34+BT34,0))</f>
        <v>110</v>
      </c>
      <c r="CV34" s="27">
        <f t="shared" ca="1" si="78"/>
        <v>119</v>
      </c>
      <c r="CW34" s="287">
        <f ca="1">IFERROR((CV34/CU34),0)</f>
        <v>1.0818181818181818</v>
      </c>
      <c r="CX34" s="27">
        <f>IFERROR(IF($CU$5="S 1",H34+N34+T34+Z34+AF34++AL34,
IF($CU$5="S 2",AR34+AX34+BD34+BJ34+BP34+BV34,0)),0)</f>
        <v>110</v>
      </c>
      <c r="CY34" s="129">
        <f ca="1">IF(CV34=0,"N.D.",CX34/CV34)</f>
        <v>0.92436974789915971</v>
      </c>
      <c r="CZ34" s="27">
        <f>IFERROR(IF($CU$5="S 1",J34+P34+V34+AB34+AH34+AN34,
IF($CU$5="S 2",AT34+AZ34+BF34+BL34+BR34+BX34,0)),0)</f>
        <v>30</v>
      </c>
      <c r="DA34" s="130">
        <f ca="1">IFERROR(CZ34/CU34,0)</f>
        <v>0.27272727272727271</v>
      </c>
      <c r="DB34" s="25">
        <f t="shared" ca="1" si="77"/>
        <v>100</v>
      </c>
      <c r="DC34" s="27">
        <f t="shared" ca="1" si="77"/>
        <v>0</v>
      </c>
      <c r="DD34" s="287">
        <f ca="1">IFERROR((DC34/DB34),0)</f>
        <v>0</v>
      </c>
      <c r="DE34" s="27">
        <f>IFERROR(IF($DB$5="S 1",H34+N34+T34+Z34+AF34++AL34,
IF($DB$5="S 2",AR34+AX34+BD34+BJ34+BP34+BV34,0)),0)</f>
        <v>0</v>
      </c>
      <c r="DF34" s="129" t="str">
        <f ca="1">IF(DC34=0,"N.D.",DE34/DC34)</f>
        <v>N.D.</v>
      </c>
      <c r="DG34" s="27">
        <f>IFERROR(IF($DB$5="S 1",J34+P34+V34+AB34+AH34+AN34,
IF($DB$5="S 2",AT34+AZ34+BF34+BL34+BR34+BX34,0)),0)</f>
        <v>0</v>
      </c>
      <c r="DH34" s="130">
        <f ca="1">IFERROR(DG34/DB34,0)</f>
        <v>0</v>
      </c>
      <c r="DI34" s="510">
        <v>1</v>
      </c>
      <c r="DJ34" s="369" t="s">
        <v>9</v>
      </c>
      <c r="DK34" s="25">
        <f ca="1">IF($BZ$4="ENERO",F34,IF($BZ$4="FEBRERO",F34+L34,IF($BZ$4="MARZO",F34+L34+R34,IF($BZ$4="ABRIL",F34+L34+R34+X34,IF($BZ$4="MAYO",F34+L34+R34+X34+AD34,IF($BZ$4="JUNIO",F34+L34+R34+X34+AD34+AJ34,IF($BZ$4="JULIO",F34+L34+R34+X34+AD34+AJ34+AP34,IF($BZ$4="AGOSTO",F34+L34+R34+X34+AD34+AJ34+AP34+AV34,IF($BZ$4="SEPTIEMBRE",F34+L34+R34+X34+AD34+AJ34+AP34+AV34+BB34,IF($BZ$4="OCTUBRE",F34+L34+R34+X34+AD34+AJ34+AP34+AV34+BB34+BH34,IF($BZ$4="NOVIEMBRE",F34+L34+R34+X34+AD34+AJ34+AP34+AV34+BB34+BH34+BN34,IF($BZ$4="DICIEMBRE",F34+L34+R34+X34+AD34+AJ34+AP34+AV34+BB34+BH34+BN34+BT34,""))))))))))))</f>
        <v>110</v>
      </c>
      <c r="DL34" s="27">
        <f t="shared" ref="DL34:DL68" ca="1" si="79">IF($BZ$4="ENERO",G34,IF($BZ$4="FEBRERO",G34+M34,IF($BZ$4="MARZO",G34+M34+S34,IF($BZ$4="ABRIL",G34+M34+S34+Y34,IF($BZ$4="MAYO",G34+M34+S34+Y34+AE34,IF($BZ$4="JUNIO",G34+M34+S34+Y34+AE34+AK34,IF($BZ$4="JULIO",G34+M34+S34+Y34+AE34+AK34+AQ34,IF($BZ$4="AGOSTO",G34+M34+S34+Y34+AE34+AK34+AQ34+AW34,IF($BZ$4="SEPTIEMBRE",G34+M34+S34+Y34+AE34+AK34+AQ34+AW34+BC34,IF($BZ$4="OCTUBRE",G34+M34+S34+Y34+AE34+AK34+AQ34+AW34+BC34+BI34,IF($BZ$4="NOVIEMBRE",G34+M34+S34+Y34+AE34+AK34+AQ34+AW34+BC34+BI34+BO34,IF($BZ$4="DICIEMBRE",G34+M34+S34+Y34+AE34+AK34+AQ34+AW34+BC34+BI34+BO34+BU34,""))))))))))))</f>
        <v>119</v>
      </c>
      <c r="DM34" s="287">
        <f ca="1">IFERROR((CA34/BZ34),0)</f>
        <v>1.0818181818181818</v>
      </c>
      <c r="DN34" s="151">
        <f>IFERROR(IF($BZ$4="ENERO",H34,IF($BZ$4="FEBRERO",H34+N34,IF($BZ$4="MARZO",H34+N34+T34,IF($BZ$4="ABRIL",H34+N34+T34+Z34,IF($BZ$4="MAYO",H34+N34+T34+Z34+AF34,IF($BZ$4="JUNIO",H34+N34+T34+Z34+AF34+AL34,IF($BZ$4="JULIO",H34+N34+T34+Z34+AF34+AL34+AR34,IF($BZ$4="AGOSTO",H34+N34+T34+Z34+AF34+AL34+AR34+AX34,IF($BZ$4="SEPTIEMBRE",H34+N34+T34+Z34+AF34+AL34+AR34+AX34+BD34,IF($BZ$4="OCTUBRE",H34+N34+T34+Z34+AF34+AL34+AR34+AX34+BD34+BJ34,IF($BZ$4="NOVIEMBRE",H34+N34+T34+Z34+AF34+AL34+AR34+AX34+BD34+BJ34+BP34,IF($BZ$4="DICIEMBRE",H34+N34+T34+Z34+AF34+AL34+AR34+AX34+BD34+BJ34+BP34+BV34,"")))))))))))),0)</f>
        <v>110</v>
      </c>
      <c r="DO34" s="129">
        <f ca="1">IFERROR(IF(CA34=0,"N.D.",CC34/CA34),0)</f>
        <v>0.92436974789915971</v>
      </c>
      <c r="DP34" s="27">
        <f>IFERROR(J34+P34+V34+AB34+AH34+AN34+AT34+AZ34+BF34+BL34+BR34+BX34,0)</f>
        <v>30</v>
      </c>
      <c r="DQ34" s="130">
        <f ca="1">IFERROR(CE34/BZ34,0)</f>
        <v>0.27272727272727271</v>
      </c>
      <c r="DR34"/>
      <c r="DS34" s="4">
        <f ca="1"/>
        <v>115</v>
      </c>
      <c r="DT34" s="4">
        <f ca="1"/>
        <v>110</v>
      </c>
      <c r="DU34" s="508">
        <f ca="1"/>
        <v>1.0128205128205128</v>
      </c>
      <c r="DW34" s="508">
        <f ca="1"/>
        <v>0.92561983471074383</v>
      </c>
      <c r="DX34" s="4">
        <v>32</v>
      </c>
      <c r="DY34" s="508">
        <f ca="1"/>
        <v>0.32</v>
      </c>
    </row>
    <row r="35" spans="1:129" s="4" customFormat="1" ht="15" customHeight="1" x14ac:dyDescent="0.35">
      <c r="A35" s="4">
        <f>_xlfn.XLOOKUP(B35,'WHOLESALE BMW 2026'!$B$7:$B$67,'WHOLESALE BMW 2026'!$A$7:$A$67)</f>
        <v>5</v>
      </c>
      <c r="B35" s="8">
        <v>100410</v>
      </c>
      <c r="C35" s="369" t="s">
        <v>22</v>
      </c>
      <c r="D35" s="125"/>
      <c r="E35" s="309" t="s">
        <v>79</v>
      </c>
      <c r="F35" s="21">
        <f ca="1">SUMIF('UC BMW 2026'!B33:B109,'UC BMW 2026'!B33,'UC BMW 2026'!F33:F100)</f>
        <v>23</v>
      </c>
      <c r="G35" s="24">
        <f ca="1">SUMIF('UC BMW 2026'!$B$5:$B$77,'UC BMW 2026'!B33,'UC BMW 2026'!$G$5:$G$72)</f>
        <v>24</v>
      </c>
      <c r="H35" s="24">
        <f>IFERROR(VLOOKUP(B35,[2]BPS!$B$10:$O$64,3,0),0)-IF(B35=100873,IFERROR(VLOOKUP("Enero",[2]BPS!$B$74:$C$89,2,0),0),0)</f>
        <v>22</v>
      </c>
      <c r="I35" s="282">
        <f ca="1">IFERROR(H35/G35,0)</f>
        <v>0.91666666666666663</v>
      </c>
      <c r="J35" s="380">
        <f>IFERROR(VLOOKUP(B35,'[2]RETAIL ORIGEN RMKT'!$B$11:$O$62,3,0),0)</f>
        <v>1</v>
      </c>
      <c r="K35" s="127">
        <f ca="1">IFERROR(J35/F35,0)</f>
        <v>4.3478260869565216E-2</v>
      </c>
      <c r="L35" s="21">
        <f ca="1">SUMIF('UC BMW 2026'!$B$5:$B$77,'UC BMW 2026'!$B33,'UC BMW 2026'!$H$5:$H$72)</f>
        <v>23</v>
      </c>
      <c r="M35" s="24">
        <f ca="1">SUMIF('UC BMW 2026'!$B$5:$B$77,'UC BMW 2026'!$B33,'UC BMW 2026'!$I$5:$I$72)</f>
        <v>13</v>
      </c>
      <c r="N35" s="24">
        <f>IFERROR(VLOOKUP(B35,[2]BPS!$B$10:$O$64,4,0),0)-IF(B35=100873,IFERROR(VLOOKUP("Febrero",[2]BPS!$B$74:$C$89,2,0),0),0)</f>
        <v>12</v>
      </c>
      <c r="O35" s="282">
        <f ca="1">IFERROR(N35/M35,0)</f>
        <v>0.92307692307692313</v>
      </c>
      <c r="P35" s="380">
        <f>IFERROR(VLOOKUP(B35,'[2]RETAIL ORIGEN RMKT'!$B$11:$O$62,4,0),0)</f>
        <v>3</v>
      </c>
      <c r="Q35" s="127">
        <f ca="1">IFERROR(P35/L35,0)</f>
        <v>0.13043478260869565</v>
      </c>
      <c r="R35" s="21">
        <f ca="1">SUMIF('UC BMW 2026'!$B$5:$B$77,'UC BMW 2026'!$B33,'UC BMW 2026'!$J$5:$J$72)</f>
        <v>23</v>
      </c>
      <c r="S35" s="24">
        <f ca="1">SUMIF('UC BMW 2026'!$B$5:$B$77,'UC BMW 2026'!$B33,'UC BMW 2026'!$K$5:$K$72)</f>
        <v>28</v>
      </c>
      <c r="T35" s="24">
        <f>IFERROR(VLOOKUP(B35,[2]BPS!$B$10:$O$64,5,0),0)-IF(B35=100873,IFERROR(VLOOKUP("Marzo",[2]BPS!$B$74:$C$89,2,0),0),0)</f>
        <v>26</v>
      </c>
      <c r="U35" s="282">
        <f ca="1">IFERROR(T35/S35,0)</f>
        <v>0.9285714285714286</v>
      </c>
      <c r="V35" s="380">
        <f>IFERROR(VLOOKUP(B35,'[2]RETAIL ORIGEN RMKT'!$B$11:$O$62,5,0),0)</f>
        <v>6</v>
      </c>
      <c r="W35" s="127">
        <f ca="1">IFERROR(V35/R35,0)</f>
        <v>0.2608695652173913</v>
      </c>
      <c r="X35" s="21">
        <f ca="1">SUMIF('UC BMW 2026'!$B$5:$B$77,'UC BMW 2026'!$B33,'UC BMW 2026'!$L$5:$L$72)</f>
        <v>23</v>
      </c>
      <c r="Y35" s="24">
        <f ca="1">SUMIF('UC BMW 2026'!$B$5:$B$77,'UC BMW 2026'!$B33,'UC BMW 2026'!$M$5:$M$72)</f>
        <v>12</v>
      </c>
      <c r="Z35" s="24">
        <f>IFERROR(VLOOKUP(B35,[2]BPS!$B$10:$O$64,6,0),0)-IF(B35=100873,IFERROR(VLOOKUP("Abril",[2]BPS!$B$74:$C$89,2,0),0),0)</f>
        <v>12</v>
      </c>
      <c r="AA35" s="282">
        <f ca="1">IFERROR(Z35/Y35,0)</f>
        <v>1</v>
      </c>
      <c r="AB35" s="380">
        <f>IFERROR(VLOOKUP(B35,'[2]RETAIL ORIGEN RMKT'!$B$11:$O$62,6,0),0)</f>
        <v>2</v>
      </c>
      <c r="AC35" s="127">
        <f ca="1">IFERROR(AB35/X35,0)</f>
        <v>8.6956521739130432E-2</v>
      </c>
      <c r="AD35" s="21">
        <f ca="1">SUMIF('UC BMW 2026'!$B$5:$B$77,'UC BMW 2026'!$B33,'UC BMW 2026'!$N$5:$N$72)</f>
        <v>24</v>
      </c>
      <c r="AE35" s="24">
        <f ca="1">SUMIF('UC BMW 2026'!$B$5:$B$77,'UC BMW 2026'!$B33,'UC BMW 2026'!$O$5:$O$72)</f>
        <v>30</v>
      </c>
      <c r="AF35" s="24">
        <f>IFERROR(VLOOKUP(B35,[2]BPS!$B$10:$O$64,7,0),0)-IF(B35=100873,IFERROR(VLOOKUP("Mayo",[2]BPS!$B$74:$C$89,2,0),0),0)</f>
        <v>26</v>
      </c>
      <c r="AG35" s="282">
        <f ca="1">IFERROR(AF35/AE35,0)</f>
        <v>0.8666666666666667</v>
      </c>
      <c r="AH35" s="380">
        <f>IFERROR(VLOOKUP(B35,'[2]RETAIL ORIGEN RMKT'!$B$11:$O$62,7,0),0)</f>
        <v>10</v>
      </c>
      <c r="AI35" s="127">
        <f ca="1">IFERROR(AH35/AD35,0)</f>
        <v>0.41666666666666669</v>
      </c>
      <c r="AJ35" s="21">
        <f ca="1">SUMIF('UC BMW 2026'!$B$5:$B$77,'UC BMW 2026'!$B33,'UC BMW 2026'!$P$5:$P$72)</f>
        <v>24</v>
      </c>
      <c r="AK35" s="24">
        <f ca="1">SUMIF('UC BMW 2026'!$B$5:$B$77,'UC BMW 2026'!$B33,'UC BMW 2026'!$Q$5:$Q$72)</f>
        <v>39</v>
      </c>
      <c r="AL35" s="24">
        <f>IFERROR(VLOOKUP(B35,[2]BPS!$B$10:$O$64,8,0),0)-IF(B35=100873,IFERROR(VLOOKUP("Junio",[2]BPS!$B$74:$C$89,2,0),0),0)</f>
        <v>39</v>
      </c>
      <c r="AM35" s="282">
        <f ca="1">IFERROR(AL35/AK35,0)</f>
        <v>1</v>
      </c>
      <c r="AN35" s="380">
        <f>IFERROR(VLOOKUP(B35,'[2]RETAIL ORIGEN RMKT'!$B$11:$O$62,8,0),0)</f>
        <v>5</v>
      </c>
      <c r="AO35" s="127">
        <f ca="1">IFERROR(AN35/AJ35,0)</f>
        <v>0.20833333333333334</v>
      </c>
      <c r="AP35" s="21">
        <f ca="1">SUMIF('UC BMW 2026'!$B$5:$B$77,'UC BMW 2026'!$B33,'UC BMW 2026'!$R$5:$R$72)</f>
        <v>20</v>
      </c>
      <c r="AQ35" s="24">
        <f ca="1">SUMIF('UC BMW 2026'!$B$5:$B$77,'UC BMW 2026'!$B33,'UC BMW 2026'!$S$5:$S$72)</f>
        <v>0</v>
      </c>
      <c r="AR35" s="24">
        <f>IFERROR(VLOOKUP(B35,[2]BPS!$B$10:$O$64,9,0),0)-IF(B35=100873,IFERROR(VLOOKUP("Julio",[2]BPS!$B$74:$C$89,2,0),0),0)</f>
        <v>0</v>
      </c>
      <c r="AS35" s="282">
        <f ca="1">IFERROR(AR35/AQ35,0)</f>
        <v>0</v>
      </c>
      <c r="AT35" s="380">
        <f>IFERROR(VLOOKUP(B35,'[2]RETAIL ORIGEN RMKT'!$B$11:$O$62,9,0),0)</f>
        <v>0</v>
      </c>
      <c r="AU35" s="127">
        <f ca="1">IFERROR(AT35/AP35,0)</f>
        <v>0</v>
      </c>
      <c r="AV35" s="21">
        <f ca="1">SUMIF('UC BMW 2026'!$B$5:$B$77,'UC BMW 2026'!$B33,'UC BMW 2026'!$T$5:$T$72)</f>
        <v>18</v>
      </c>
      <c r="AW35" s="24">
        <f ca="1">SUMIF('UC BMW 2026'!$B$5:$B$77,'UC BMW 2026'!$B33,'UC BMW 2026'!$U$5:$U$72)</f>
        <v>0</v>
      </c>
      <c r="AX35" s="24">
        <f>IFERROR(VLOOKUP(B35,[2]BPS!$B$10:$O$64,10,0),0)-IF(B35=100873,IFERROR(VLOOKUP("Agosto",[2]BPS!$B$74:$C$89,2,0),0),0)</f>
        <v>0</v>
      </c>
      <c r="AY35" s="282">
        <f ca="1">IFERROR(AX35/AW35,0)</f>
        <v>0</v>
      </c>
      <c r="AZ35" s="380">
        <f>IFERROR(VLOOKUP(B35,'[2]RETAIL ORIGEN RMKT'!$B$11:$O$62,10,0),0)</f>
        <v>0</v>
      </c>
      <c r="BA35" s="127">
        <f ca="1">IFERROR(AZ35/AV35,0)</f>
        <v>0</v>
      </c>
      <c r="BB35" s="21">
        <f ca="1">SUMIF('UC BMW 2026'!$B$5:$B$77,'UC BMW 2026'!$B33,'UC BMW 2026'!$V$5:$V$72)</f>
        <v>23</v>
      </c>
      <c r="BC35" s="24">
        <f>SUMIF('UC BMW 2026'!$B$5:$B$77,'UC BMW 2026'!$B33,'UC BMW 2026'!$W$5:$W$77)</f>
        <v>0</v>
      </c>
      <c r="BD35" s="24">
        <f>IFERROR(VLOOKUP(B35,[2]BPS!$B$10:$O$64,11,0),0)-IF(B35=100873,IFERROR(VLOOKUP("Septiembre",[2]BPS!$B$74:$C$89,2,0),0),0)</f>
        <v>0</v>
      </c>
      <c r="BE35" s="282">
        <f>IFERROR(BD35/BC35,0)</f>
        <v>0</v>
      </c>
      <c r="BF35" s="380">
        <f>IFERROR(VLOOKUP(B35,'[2]RETAIL ORIGEN RMKT'!$B$11:$O$62,11,0),0)</f>
        <v>0</v>
      </c>
      <c r="BG35" s="127">
        <f ca="1">IFERROR(BF35/BB35,0)</f>
        <v>0</v>
      </c>
      <c r="BH35" s="21">
        <f>SUMIF('UC BMW 2026'!$B$5:$B$77,'UC BMW 2026'!$B33,'UC BMW 2026'!$X$5:$X$77)</f>
        <v>27</v>
      </c>
      <c r="BI35" s="24">
        <f>SUMIF('UC BMW 2026'!$B$5:$B$77,'UC BMW 2026'!$B33,'UC BMW 2026'!$Y$5:$Y$77)</f>
        <v>0</v>
      </c>
      <c r="BJ35" s="24">
        <f>IFERROR(VLOOKUP(B35,[2]BPS!$B$10:$O$64,12,0),0)-IF(B35=100873,IFERROR(VLOOKUP("Octubre",[2]BPS!$B$74:$C$89,2,0),0),0)</f>
        <v>0</v>
      </c>
      <c r="BK35" s="282">
        <f>IFERROR(BJ35/BI35,0)</f>
        <v>0</v>
      </c>
      <c r="BL35" s="380">
        <f>IFERROR(VLOOKUP(B35,'[2]RETAIL ORIGEN RMKT'!$B$11:$O$62,12,0),0)</f>
        <v>0</v>
      </c>
      <c r="BM35" s="127">
        <f>IFERROR(BL35/BH35,0)</f>
        <v>0</v>
      </c>
      <c r="BN35" s="21">
        <f>SUMIF('UC BMW 2026'!$B$5:$B$77,'UC BMW 2026'!$B33,'UC BMW 2026'!$Z$5:$Z$77)</f>
        <v>26</v>
      </c>
      <c r="BO35" s="24">
        <f>SUMIF('UC BMW 2026'!$B$5:$B$77,'UC BMW 2026'!$B33,'UC BMW 2026'!$AA$5:$AA$77)</f>
        <v>0</v>
      </c>
      <c r="BP35" s="24">
        <f>IFERROR(VLOOKUP(B35,[2]BPS!$B$10:$O$64,13,0),0)-IF(B35=100873,IFERROR(VLOOKUP("Noviembre",[2]BPS!$B$74:$C$89,2,0),0),0)</f>
        <v>0</v>
      </c>
      <c r="BQ35" s="282">
        <f>IFERROR(BP35/BO35,0)</f>
        <v>0</v>
      </c>
      <c r="BR35" s="380">
        <f>IFERROR(VLOOKUP(B35,'[2]RETAIL ORIGEN RMKT'!$B$11:$O$62,13,0),0)</f>
        <v>0</v>
      </c>
      <c r="BS35" s="127">
        <f>IFERROR(BR35/BN35,0)</f>
        <v>0</v>
      </c>
      <c r="BT35" s="21">
        <f>SUMIF('UC BMW 2026'!$B$5:$B$77,'UC BMW 2026'!$B33,'UC BMW 2026'!$AB$5:$AB$77)</f>
        <v>26</v>
      </c>
      <c r="BU35" s="24">
        <f>SUMIF('UC BMW 2026'!$B$5:$B$77,'UC BMW 2026'!$B33,'UC BMW 2026'!$AC$5:$AC$77)</f>
        <v>0</v>
      </c>
      <c r="BV35" s="24">
        <f>IFERROR(VLOOKUP(B35,[2]BPS!$B$10:$O$64,13,0),0)-IF(B35=100873,IFERROR(VLOOKUP("Diciembre",[2]BPS!$B$74:$C$89,2,0),0),0)</f>
        <v>0</v>
      </c>
      <c r="BW35" s="282">
        <f>IFERROR(BV35/BU35,0)</f>
        <v>0</v>
      </c>
      <c r="BX35" s="380">
        <f>IFERROR(VLOOKUP(B35,'[2]RETAIL ORIGEN RMKT'!$B$11:$O$62,14,0),0)</f>
        <v>0</v>
      </c>
      <c r="BY35" s="127">
        <f>IFERROR(BX35/BT35,0)</f>
        <v>0</v>
      </c>
      <c r="BZ35" s="25">
        <f t="shared" ca="1" si="75"/>
        <v>140</v>
      </c>
      <c r="CA35" s="27">
        <f t="shared" ca="1" si="75"/>
        <v>146</v>
      </c>
      <c r="CB35" s="287">
        <f ca="1">IFERROR((CA35/BZ35),0)</f>
        <v>1.0428571428571429</v>
      </c>
      <c r="CC35" s="151">
        <f>IFERROR(IF($BZ$4="ENERO",H35,IF($BZ$4="FEBRERO",H35+N35,IF($BZ$4="MARZO",H35+N35+T35,IF($BZ$4="ABRIL",H35+N35+T35+Z35,IF($BZ$4="MAYO",H35+N35+T35+Z35+AF35,IF($BZ$4="JUNIO",H35+N35+T35+Z35+AF35+AL35,IF($BZ$4="JULIO",H35+N35+T35+Z35+AF35+AL35+AR35,IF($BZ$4="AGOSTO",H35+N35+T35+Z35+AF35+AL35+AR35+AX35,IF($BZ$4="SEPTIEMBRE",H35+N35+T35+Z35+AF35+AL35+AR35+AX35+BD35,IF($BZ$4="OCTUBRE",H35+N35+T35+Z35+AF35+AL35+AR35+AX35+BD35+BJ35,IF($BZ$4="NOVIEMBRE",H35+N35+T35+Z35+AF35+AL35+AR35+AX35+BD35+BJ35+BP35,IF($BZ$4="DICIEMBRE",H35+N35+T35+Z35+AF35+AL35+AR35+AX35+BD35+BJ35+BP35+BV35,"")))))))))))),0)</f>
        <v>137</v>
      </c>
      <c r="CD35" s="129">
        <f ca="1">IFERROR(IF(CA35=0,"N.D.",CC35/CA35),0)</f>
        <v>0.93835616438356162</v>
      </c>
      <c r="CE35" s="24">
        <f>IFERROR(IF($BZ$4="ENERO",J35,IF($BZ$4="FEBRERO",J35+P35,IF($BZ$4="MARZO",J35+P35+V35,IF($BZ$4="ABRIL",J35+P35+V35+AB35,IF($BZ$4="MAYO",J35+P35+V35+AB35+AH35,IF($BZ$4="JUNIO",J35+P35+V35+AB35+AH35+AN35,IF($BZ$4="JULIO",J35+P35+V35+AB35+AH35+AN35+AT35,IF($BZ$4="AGOSTO",J35+P35+V35+AB35+AH35+AN35+AT35+AZ35,IF($BZ$4="SEPTIEMBRE",J35+P35+V35+AB35+AH35+AN35+AT35+AZ35+BF35,IF($BZ$4="OCTUBRE",J35+P35+V35+AB35+AH35+AN35+AT35+AZ35+BF35+BL35,IF($BZ$4="NOVIEMBRE",J35+P35+V35+AB35+AH35+AN35+AT35+AZ35+BF35+BL35+BR35,IF($BZ$4="DICIEMBRE",J35+P35+V35+AB35+AH35+AN35+AT35+AZ35+BF35+BL35+BR35+BX35,"")))))))))))),0)</f>
        <v>27</v>
      </c>
      <c r="CF35" s="129">
        <f ca="1">IFERROR(CE35/BZ35,0)</f>
        <v>0.19285714285714287</v>
      </c>
      <c r="CG35" s="25">
        <f ca="1">SUM(F35+L35+R35+X35+AD35+AJ35+AP35+AV35+BB35+BH35+BN35+BT35)</f>
        <v>280</v>
      </c>
      <c r="CH35" s="27">
        <f ca="1">SUMIFS($F35:$BW35,$F$6:$BW$6,CH$6,$F$2:$BW$2,$BZ$4)</f>
        <v>146</v>
      </c>
      <c r="CI35" s="287">
        <f ca="1">IFERROR((CH35/CG35),0)</f>
        <v>0.52142857142857146</v>
      </c>
      <c r="CJ35" s="291">
        <f>SUMIFS($F35:$BW35,$F$6:$BW$6,CJ$6,$F$2:$BW$2,$BZ$4)</f>
        <v>137</v>
      </c>
      <c r="CK35" s="129">
        <f ca="1">IF(CH35=0,"N.D.",CJ35/CH35)</f>
        <v>0.93835616438356162</v>
      </c>
      <c r="CL35" s="27">
        <f>IFERROR(J35+P35+V35+AB35+AH35+AN35+AT35+AZ35+BF35+BL35+BR35+BX35,0)</f>
        <v>27</v>
      </c>
      <c r="CM35" s="129">
        <f ca="1">IFERROR(CL35/CG35,0)</f>
        <v>9.6428571428571433E-2</v>
      </c>
      <c r="CN35" s="25">
        <f t="shared" ca="1" si="76"/>
        <v>69</v>
      </c>
      <c r="CO35" s="27">
        <f t="shared" ca="1" si="76"/>
        <v>65</v>
      </c>
      <c r="CP35" s="287">
        <f ca="1">IFERROR((CO35/CN35),0)</f>
        <v>0.94202898550724634</v>
      </c>
      <c r="CQ35" s="291">
        <f>IF($CN$5="Q1",H35+N35+T35,
IF($CN$5="Q2",Z35+AF35++AL35,
IF($CN$5="Q3",AR35+AX35+BD35,
IF($CN$5="Q4",BJ35+BP35+BV35,0))))</f>
        <v>60</v>
      </c>
      <c r="CR35" s="129">
        <f ca="1">IF(CO35=0,"N.D.",CQ35/CO35)</f>
        <v>0.92307692307692313</v>
      </c>
      <c r="CS35" s="27">
        <f>IF($CZ$5="Q1",J35+P35+V35,
IF($CZ$5="Q2",AB35+AH35+AN35,
IF($CZ$5="Q3",AT35+AZ35+BF35,
IF($CZ$5="Q4",BL35+BR35+BX35,0))))</f>
        <v>0</v>
      </c>
      <c r="CT35" s="129">
        <f ca="1">IFERROR(CS35/CN35,0)</f>
        <v>0</v>
      </c>
      <c r="CU35" s="25">
        <f t="shared" ca="1" si="78"/>
        <v>140</v>
      </c>
      <c r="CV35" s="27">
        <f t="shared" ca="1" si="78"/>
        <v>146</v>
      </c>
      <c r="CW35" s="287">
        <f ca="1">IFERROR((CV35/CU35),0)</f>
        <v>1.0428571428571429</v>
      </c>
      <c r="CX35" s="27">
        <f>IFERROR(IF($CU$5="S 1",H35+N35+T35+Z35+AF35++AL35,
IF($CU$5="S 2",AR35+AX35+BD35+BJ35+BP35+BV35,0)),0)</f>
        <v>137</v>
      </c>
      <c r="CY35" s="129">
        <f ca="1">IF(CV35=0,"N.D.",CX35/CV35)</f>
        <v>0.93835616438356162</v>
      </c>
      <c r="CZ35" s="27">
        <f>IFERROR(IF($CU$5="S 1",J35+P35+V35+AB35+AH35+AN35,
IF($CU$5="S 2",AT35+AZ35+BF35+BL35+BR35+BX35,0)),0)</f>
        <v>27</v>
      </c>
      <c r="DA35" s="130">
        <f ca="1">IFERROR(CZ35/CU35,0)</f>
        <v>0.19285714285714287</v>
      </c>
      <c r="DB35" s="25">
        <f t="shared" ca="1" si="77"/>
        <v>140</v>
      </c>
      <c r="DC35" s="27">
        <f t="shared" ca="1" si="77"/>
        <v>0</v>
      </c>
      <c r="DD35" s="287">
        <f ca="1">IFERROR((DC35/DB35),0)</f>
        <v>0</v>
      </c>
      <c r="DE35" s="27">
        <f>IFERROR(IF($DB$5="S 1",H35+N35+T35+Z35+AF35++AL35,
IF($DB$5="S 2",AR35+AX35+BD35+BJ35+BP35+BV35,0)),0)</f>
        <v>0</v>
      </c>
      <c r="DF35" s="129" t="str">
        <f ca="1">IF(DC35=0,"N.D.",DE35/DC35)</f>
        <v>N.D.</v>
      </c>
      <c r="DG35" s="27">
        <f>IFERROR(IF($DB$5="S 1",J35+P35+V35+AB35+AH35+AN35,
IF($DB$5="S 2",AT35+AZ35+BF35+BL35+BR35+BX35,0)),0)</f>
        <v>0</v>
      </c>
      <c r="DH35" s="130">
        <f ca="1">IFERROR(DG35/DB35,0)</f>
        <v>0</v>
      </c>
      <c r="DI35" s="510">
        <v>1</v>
      </c>
      <c r="DJ35" s="369" t="s">
        <v>22</v>
      </c>
      <c r="DK35" s="25">
        <f ca="1">IF($BZ$4="ENERO",F35,IF($BZ$4="FEBRERO",F35+L35,IF($BZ$4="MARZO",F35+L35+R35,IF($BZ$4="ABRIL",F35+L35+R35+X35,IF($BZ$4="MAYO",F35+L35+R35+X35+AD35,IF($BZ$4="JUNIO",F35+L35+R35+X35+AD35+AJ35,IF($BZ$4="JULIO",F35+L35+R35+X35+AD35+AJ35+AP35,IF($BZ$4="AGOSTO",F35+L35+R35+X35+AD35+AJ35+AP35+AV35,IF($BZ$4="SEPTIEMBRE",F35+L35+R35+X35+AD35+AJ35+AP35+AV35+BB35,IF($BZ$4="OCTUBRE",F35+L35+R35+X35+AD35+AJ35+AP35+AV35+BB35+BH35,IF($BZ$4="NOVIEMBRE",F35+L35+R35+X35+AD35+AJ35+AP35+AV35+BB35+BH35+BN35,IF($BZ$4="DICIEMBRE",F35+L35+R35+X35+AD35+AJ35+AP35+AV35+BB35+BH35+BN35+BT35,""))))))))))))</f>
        <v>140</v>
      </c>
      <c r="DL35" s="27">
        <f t="shared" ca="1" si="79"/>
        <v>146</v>
      </c>
      <c r="DM35" s="287">
        <f ca="1">IFERROR((CA35/BZ35),0)</f>
        <v>1.0428571428571429</v>
      </c>
      <c r="DN35" s="151">
        <f>IFERROR(IF($BZ$4="ENERO",H35,IF($BZ$4="FEBRERO",H35+N35,IF($BZ$4="MARZO",H35+N35+T35,IF($BZ$4="ABRIL",H35+N35+T35+Z35,IF($BZ$4="MAYO",H35+N35+T35+Z35+AF35,IF($BZ$4="JUNIO",H35+N35+T35+Z35+AF35+AL35,IF($BZ$4="JULIO",H35+N35+T35+Z35+AF35+AL35+AR35,IF($BZ$4="AGOSTO",H35+N35+T35+Z35+AF35+AL35+AR35+AX35,IF($BZ$4="SEPTIEMBRE",H35+N35+T35+Z35+AF35+AL35+AR35+AX35+BD35,IF($BZ$4="OCTUBRE",H35+N35+T35+Z35+AF35+AL35+AR35+AX35+BD35+BJ35,IF($BZ$4="NOVIEMBRE",H35+N35+T35+Z35+AF35+AL35+AR35+AX35+BD35+BJ35+BP35,IF($BZ$4="DICIEMBRE",H35+N35+T35+Z35+AF35+AL35+AR35+AX35+BD35+BJ35+BP35+BV35,"")))))))))))),0)</f>
        <v>137</v>
      </c>
      <c r="DO35" s="129">
        <f ca="1">IFERROR(IF(CA35=0,"N.D.",CC35/CA35),0)</f>
        <v>0.93835616438356162</v>
      </c>
      <c r="DP35" s="27">
        <f>IFERROR(J35+P35+V35+AB35+AH35+AN35+AT35+AZ35+BF35+BL35+BR35+BX35,0)</f>
        <v>27</v>
      </c>
      <c r="DQ35" s="130">
        <f ca="1">IFERROR(CE35/BZ35,0)</f>
        <v>0.19285714285714287</v>
      </c>
      <c r="DR35"/>
      <c r="DS35" s="4">
        <f ca="1"/>
        <v>110</v>
      </c>
      <c r="DT35" s="4">
        <f ca="1"/>
        <v>109</v>
      </c>
      <c r="DU35" s="508">
        <f ca="1"/>
        <v>1.0105263157894737</v>
      </c>
      <c r="DW35" s="508">
        <f ca="1"/>
        <v>0.92436974789915971</v>
      </c>
      <c r="DX35" s="4">
        <v>30</v>
      </c>
      <c r="DY35" s="508">
        <f ca="1"/>
        <v>0.31304347826086959</v>
      </c>
    </row>
    <row r="36" spans="1:129" s="4" customFormat="1" ht="15" customHeight="1" thickBot="1" x14ac:dyDescent="0.4">
      <c r="A36" s="4">
        <f>_xlfn.XLOOKUP(B36,'WHOLESALE BMW 2026'!$B$7:$B$67,'WHOLESALE BMW 2026'!$A$7:$A$67)</f>
        <v>5</v>
      </c>
      <c r="B36" s="8">
        <v>100739</v>
      </c>
      <c r="C36" s="369" t="s">
        <v>49</v>
      </c>
      <c r="D36" s="125"/>
      <c r="E36" s="309" t="s">
        <v>79</v>
      </c>
      <c r="F36" s="21">
        <f ca="1">SUMIF('UC BMW 2026'!B34:B110,'UC BMW 2026'!B34,'UC BMW 2026'!F34:F101)</f>
        <v>10</v>
      </c>
      <c r="G36" s="24">
        <f ca="1">SUMIF('UC BMW 2026'!$B$5:$B$77,'UC BMW 2026'!B34,'UC BMW 2026'!$G$5:$G$72)</f>
        <v>10</v>
      </c>
      <c r="H36" s="24">
        <f>IFERROR(VLOOKUP(B36,[2]BPS!$B$10:$O$64,3,0),0)-IF(B36=100873,IFERROR(VLOOKUP("Enero",[2]BPS!$B$74:$C$89,2,0),0),0)</f>
        <v>10</v>
      </c>
      <c r="I36" s="283">
        <f t="shared" ref="I36:I44" ca="1" si="80">IFERROR(H36/G36,0)</f>
        <v>1</v>
      </c>
      <c r="J36" s="380">
        <f>IFERROR(VLOOKUP(B36,'[2]RETAIL ORIGEN RMKT'!$B$11:$O$62,3,0),0)</f>
        <v>0</v>
      </c>
      <c r="K36" s="127">
        <f t="shared" ref="K36:K44" ca="1" si="81">IFERROR(J36/F36,0)</f>
        <v>0</v>
      </c>
      <c r="L36" s="21">
        <f ca="1">SUMIF('UC BMW 2026'!$B$5:$B$77,'UC BMW 2026'!$B34,'UC BMW 2026'!$H$5:$H$72)</f>
        <v>10</v>
      </c>
      <c r="M36" s="24">
        <f ca="1">SUMIF('UC BMW 2026'!$B$5:$B$77,'UC BMW 2026'!$B34,'UC BMW 2026'!$I$5:$I$72)</f>
        <v>6</v>
      </c>
      <c r="N36" s="24">
        <f>IFERROR(VLOOKUP(B36,[2]BPS!$B$10:$O$64,4,0),0)-IF(B36=100873,IFERROR(VLOOKUP("Febrero",[2]BPS!$B$74:$C$89,2,0),0),0)</f>
        <v>6</v>
      </c>
      <c r="O36" s="283">
        <f t="shared" ref="O36:O44" ca="1" si="82">IFERROR(N36/M36,0)</f>
        <v>1</v>
      </c>
      <c r="P36" s="380">
        <f>IFERROR(VLOOKUP(B36,'[2]RETAIL ORIGEN RMKT'!$B$11:$O$62,4,0),0)</f>
        <v>3</v>
      </c>
      <c r="Q36" s="127">
        <f t="shared" ref="Q36:Q44" ca="1" si="83">IFERROR(P36/L36,0)</f>
        <v>0.3</v>
      </c>
      <c r="R36" s="21">
        <f ca="1">SUMIF('UC BMW 2026'!$B$5:$B$77,'UC BMW 2026'!$B34,'UC BMW 2026'!$J$5:$J$72)</f>
        <v>10</v>
      </c>
      <c r="S36" s="24">
        <f ca="1">SUMIF('UC BMW 2026'!$B$5:$B$77,'UC BMW 2026'!$B34,'UC BMW 2026'!$K$5:$K$72)</f>
        <v>13</v>
      </c>
      <c r="T36" s="24">
        <f>IFERROR(VLOOKUP(B36,[2]BPS!$B$10:$O$64,5,0),0)-IF(B36=100873,IFERROR(VLOOKUP("Marzo",[2]BPS!$B$74:$C$89,2,0),0),0)</f>
        <v>6</v>
      </c>
      <c r="U36" s="283">
        <f t="shared" ref="U36:U44" ca="1" si="84">IFERROR(T36/S36,0)</f>
        <v>0.46153846153846156</v>
      </c>
      <c r="V36" s="380">
        <f>IFERROR(VLOOKUP(B36,'[2]RETAIL ORIGEN RMKT'!$B$11:$O$62,5,0),0)</f>
        <v>1</v>
      </c>
      <c r="W36" s="127">
        <f t="shared" ref="W36:W44" ca="1" si="85">IFERROR(V36/R36,0)</f>
        <v>0.1</v>
      </c>
      <c r="X36" s="21">
        <f ca="1">SUMIF('UC BMW 2026'!$B$5:$B$77,'UC BMW 2026'!$B34,'UC BMW 2026'!$L$5:$L$72)</f>
        <v>10</v>
      </c>
      <c r="Y36" s="24">
        <f ca="1">SUMIF('UC BMW 2026'!$B$5:$B$77,'UC BMW 2026'!$B34,'UC BMW 2026'!$M$5:$M$72)</f>
        <v>5</v>
      </c>
      <c r="Z36" s="24">
        <f>IFERROR(VLOOKUP(B36,[2]BPS!$B$10:$O$64,6,0),0)-IF(B36=100873,IFERROR(VLOOKUP("Abril",[2]BPS!$B$74:$C$89,2,0),0),0)</f>
        <v>5</v>
      </c>
      <c r="AA36" s="283">
        <f t="shared" ref="AA36:AA44" ca="1" si="86">IFERROR(Z36/Y36,0)</f>
        <v>1</v>
      </c>
      <c r="AB36" s="380">
        <f>IFERROR(VLOOKUP(B36,'[2]RETAIL ORIGEN RMKT'!$B$11:$O$62,6,0),0)</f>
        <v>0</v>
      </c>
      <c r="AC36" s="127">
        <f t="shared" ref="AC36:AC44" ca="1" si="87">IFERROR(AB36/X36,0)</f>
        <v>0</v>
      </c>
      <c r="AD36" s="21">
        <f ca="1">SUMIF('UC BMW 2026'!$B$5:$B$77,'UC BMW 2026'!$B34,'UC BMW 2026'!$N$5:$N$72)</f>
        <v>11</v>
      </c>
      <c r="AE36" s="24">
        <f ca="1">SUMIF('UC BMW 2026'!$B$5:$B$77,'UC BMW 2026'!$B34,'UC BMW 2026'!$O$5:$O$72)</f>
        <v>9</v>
      </c>
      <c r="AF36" s="24">
        <f>IFERROR(VLOOKUP(B36,[2]BPS!$B$10:$O$64,7,0),0)-IF(B36=100873,IFERROR(VLOOKUP("Mayo",[2]BPS!$B$74:$C$89,2,0),0),0)</f>
        <v>9</v>
      </c>
      <c r="AG36" s="283">
        <f t="shared" ref="AG36:AG44" ca="1" si="88">IFERROR(AF36/AE36,0)</f>
        <v>1</v>
      </c>
      <c r="AH36" s="380">
        <f>IFERROR(VLOOKUP(B36,'[2]RETAIL ORIGEN RMKT'!$B$11:$O$62,7,0),0)</f>
        <v>2</v>
      </c>
      <c r="AI36" s="127">
        <f t="shared" ref="AI36:AI44" ca="1" si="89">IFERROR(AH36/AD36,0)</f>
        <v>0.18181818181818182</v>
      </c>
      <c r="AJ36" s="21">
        <f ca="1">SUMIF('UC BMW 2026'!$B$5:$B$77,'UC BMW 2026'!$B34,'UC BMW 2026'!$P$5:$P$72)</f>
        <v>11</v>
      </c>
      <c r="AK36" s="24">
        <f ca="1">SUMIF('UC BMW 2026'!$B$5:$B$77,'UC BMW 2026'!$B34,'UC BMW 2026'!$Q$5:$Q$72)</f>
        <v>12</v>
      </c>
      <c r="AL36" s="24">
        <f>IFERROR(VLOOKUP(B36,[2]BPS!$B$10:$O$64,8,0),0)-IF(B36=100873,IFERROR(VLOOKUP("Junio",[2]BPS!$B$74:$C$89,2,0),0),0)</f>
        <v>12</v>
      </c>
      <c r="AM36" s="283">
        <f t="shared" ref="AM36:AM44" ca="1" si="90">IFERROR(AL36/AK36,0)</f>
        <v>1</v>
      </c>
      <c r="AN36" s="380">
        <f>IFERROR(VLOOKUP(B36,'[2]RETAIL ORIGEN RMKT'!$B$11:$O$62,8,0),0)</f>
        <v>2</v>
      </c>
      <c r="AO36" s="127">
        <f t="shared" ref="AO36:AO44" ca="1" si="91">IFERROR(AN36/AJ36,0)</f>
        <v>0.18181818181818182</v>
      </c>
      <c r="AP36" s="21">
        <f ca="1">SUMIF('UC BMW 2026'!$B$5:$B$77,'UC BMW 2026'!$B34,'UC BMW 2026'!$R$5:$R$72)</f>
        <v>8</v>
      </c>
      <c r="AQ36" s="24">
        <f ca="1">SUMIF('UC BMW 2026'!$B$5:$B$77,'UC BMW 2026'!$B34,'UC BMW 2026'!$S$5:$S$72)</f>
        <v>0</v>
      </c>
      <c r="AR36" s="24">
        <f>IFERROR(VLOOKUP(B36,[2]BPS!$B$10:$O$64,9,0),0)-IF(B36=100873,IFERROR(VLOOKUP("Julio",[2]BPS!$B$74:$C$89,2,0),0),0)</f>
        <v>0</v>
      </c>
      <c r="AS36" s="283">
        <f t="shared" ref="AS36:AS44" ca="1" si="92">IFERROR(AR36/AQ36,0)</f>
        <v>0</v>
      </c>
      <c r="AT36" s="380">
        <f>IFERROR(VLOOKUP(B36,'[2]RETAIL ORIGEN RMKT'!$B$11:$O$62,9,0),0)</f>
        <v>0</v>
      </c>
      <c r="AU36" s="127">
        <f t="shared" ref="AU36:AU44" ca="1" si="93">IFERROR(AT36/AP36,0)</f>
        <v>0</v>
      </c>
      <c r="AV36" s="21">
        <f ca="1">SUMIF('UC BMW 2026'!$B$5:$B$77,'UC BMW 2026'!$B34,'UC BMW 2026'!$T$5:$T$72)</f>
        <v>7</v>
      </c>
      <c r="AW36" s="24">
        <f ca="1">SUMIF('UC BMW 2026'!$B$5:$B$77,'UC BMW 2026'!$B34,'UC BMW 2026'!$U$5:$U$72)</f>
        <v>0</v>
      </c>
      <c r="AX36" s="24">
        <f>IFERROR(VLOOKUP(B36,[2]BPS!$B$10:$O$64,10,0),0)-IF(B36=100873,IFERROR(VLOOKUP("Agosto",[2]BPS!$B$74:$C$89,2,0),0),0)</f>
        <v>0</v>
      </c>
      <c r="AY36" s="283">
        <f t="shared" ref="AY36:AY44" ca="1" si="94">IFERROR(AX36/AW36,0)</f>
        <v>0</v>
      </c>
      <c r="AZ36" s="380">
        <f>IFERROR(VLOOKUP(B36,'[2]RETAIL ORIGEN RMKT'!$B$11:$O$62,10,0),0)</f>
        <v>0</v>
      </c>
      <c r="BA36" s="127">
        <f t="shared" ref="BA36:BA44" ca="1" si="95">IFERROR(AZ36/AV36,0)</f>
        <v>0</v>
      </c>
      <c r="BB36" s="21">
        <f ca="1">SUMIF('UC BMW 2026'!$B$5:$B$77,'UC BMW 2026'!$B34,'UC BMW 2026'!$V$5:$V$72)</f>
        <v>9</v>
      </c>
      <c r="BC36" s="24">
        <f>SUMIF('UC BMW 2026'!$B$5:$B$77,'UC BMW 2026'!$B34,'UC BMW 2026'!$W$5:$W$77)</f>
        <v>0</v>
      </c>
      <c r="BD36" s="24">
        <f>IFERROR(VLOOKUP(B36,[2]BPS!$B$10:$O$64,11,0),0)-IF(B36=100873,IFERROR(VLOOKUP("Septiembre",[2]BPS!$B$74:$C$89,2,0),0),0)</f>
        <v>0</v>
      </c>
      <c r="BE36" s="283">
        <f t="shared" ref="BE36:BE44" si="96">IFERROR(BD36/BC36,0)</f>
        <v>0</v>
      </c>
      <c r="BF36" s="380">
        <f>IFERROR(VLOOKUP(B36,'[2]RETAIL ORIGEN RMKT'!$B$11:$O$62,11,0),0)</f>
        <v>0</v>
      </c>
      <c r="BG36" s="127">
        <f t="shared" ref="BG36:BG44" ca="1" si="97">IFERROR(BF36/BB36,0)</f>
        <v>0</v>
      </c>
      <c r="BH36" s="21">
        <f>SUMIF('UC BMW 2026'!$B$5:$B$77,'UC BMW 2026'!$B34,'UC BMW 2026'!$X$5:$X$77)</f>
        <v>9</v>
      </c>
      <c r="BI36" s="24">
        <f>SUMIF('UC BMW 2026'!$B$5:$B$77,'UC BMW 2026'!$B34,'UC BMW 2026'!$Y$5:$Y$77)</f>
        <v>0</v>
      </c>
      <c r="BJ36" s="24">
        <f>IFERROR(VLOOKUP(B36,[2]BPS!$B$10:$O$64,12,0),0)-IF(B36=100873,IFERROR(VLOOKUP("Octubre",[2]BPS!$B$74:$C$89,2,0),0),0)</f>
        <v>0</v>
      </c>
      <c r="BK36" s="283">
        <f t="shared" ref="BK36:BK44" si="98">IFERROR(BJ36/BI36,0)</f>
        <v>0</v>
      </c>
      <c r="BL36" s="380">
        <f>IFERROR(VLOOKUP(B36,'[2]RETAIL ORIGEN RMKT'!$B$11:$O$62,12,0),0)</f>
        <v>0</v>
      </c>
      <c r="BM36" s="127">
        <f t="shared" ref="BM36:BM44" si="99">IFERROR(BL36/BH36,0)</f>
        <v>0</v>
      </c>
      <c r="BN36" s="21">
        <f>SUMIF('UC BMW 2026'!$B$5:$B$77,'UC BMW 2026'!$B34,'UC BMW 2026'!$Z$5:$Z$77)</f>
        <v>9</v>
      </c>
      <c r="BO36" s="24">
        <f>SUMIF('UC BMW 2026'!$B$5:$B$77,'UC BMW 2026'!$B34,'UC BMW 2026'!$AA$5:$AA$77)</f>
        <v>0</v>
      </c>
      <c r="BP36" s="24">
        <f>IFERROR(VLOOKUP(B36,[2]BPS!$B$10:$O$64,13,0),0)-IF(B36=100873,IFERROR(VLOOKUP("Noviembre",[2]BPS!$B$74:$C$89,2,0),0),0)</f>
        <v>0</v>
      </c>
      <c r="BQ36" s="283">
        <f t="shared" ref="BQ36:BQ44" si="100">IFERROR(BP36/BO36,0)</f>
        <v>0</v>
      </c>
      <c r="BR36" s="380">
        <f>IFERROR(VLOOKUP(B36,'[2]RETAIL ORIGEN RMKT'!$B$11:$O$62,13,0),0)</f>
        <v>0</v>
      </c>
      <c r="BS36" s="127">
        <f t="shared" ref="BS36:BS44" si="101">IFERROR(BR36/BN36,0)</f>
        <v>0</v>
      </c>
      <c r="BT36" s="21">
        <f>SUMIF('UC BMW 2026'!$B$5:$B$77,'UC BMW 2026'!$B34,'UC BMW 2026'!$AB$5:$AB$77)</f>
        <v>8</v>
      </c>
      <c r="BU36" s="24">
        <f>SUMIF('UC BMW 2026'!$B$5:$B$77,'UC BMW 2026'!$B34,'UC BMW 2026'!$AC$5:$AC$77)</f>
        <v>0</v>
      </c>
      <c r="BV36" s="24">
        <f>IFERROR(VLOOKUP(B36,[2]BPS!$B$10:$O$64,13,0),0)-IF(B36=100873,IFERROR(VLOOKUP("Diciembre",[2]BPS!$B$74:$C$89,2,0),0),0)</f>
        <v>0</v>
      </c>
      <c r="BW36" s="283">
        <f t="shared" ref="BW36:BW44" si="102">IFERROR(BV36/BU36,0)</f>
        <v>0</v>
      </c>
      <c r="BX36" s="380">
        <f>IFERROR(VLOOKUP(B36,'[2]RETAIL ORIGEN RMKT'!$B$11:$O$62,14,0),0)</f>
        <v>0</v>
      </c>
      <c r="BY36" s="127">
        <f t="shared" ref="BY36:BY44" si="103">IFERROR(BX36/BT36,0)</f>
        <v>0</v>
      </c>
      <c r="BZ36" s="25">
        <f t="shared" ca="1" si="75"/>
        <v>62</v>
      </c>
      <c r="CA36" s="27">
        <f t="shared" ca="1" si="75"/>
        <v>55</v>
      </c>
      <c r="CB36" s="283">
        <f t="shared" ref="CB36:CB44" ca="1" si="104">IFERROR((CA36/BZ36),0)</f>
        <v>0.88709677419354838</v>
      </c>
      <c r="CC36" s="151">
        <f>IFERROR(IF($BZ$4="ENERO",H36,IF($BZ$4="FEBRERO",H36+N36,IF($BZ$4="MARZO",H36+N36+T36,IF($BZ$4="ABRIL",H36+N36+T36+Z36,IF($BZ$4="MAYO",H36+N36+T36+Z36+AF36,IF($BZ$4="JUNIO",H36+N36+T36+Z36+AF36+AL36,IF($BZ$4="JULIO",H36+N36+T36+Z36+AF36+AL36+AR36,IF($BZ$4="AGOSTO",H36+N36+T36+Z36+AF36+AL36+AR36+AX36,IF($BZ$4="SEPTIEMBRE",H36+N36+T36+Z36+AF36+AL36+AR36+AX36+BD36,IF($BZ$4="OCTUBRE",H36+N36+T36+Z36+AF36+AL36+AR36+AX36+BD36+BJ36,IF($BZ$4="NOVIEMBRE",H36+N36+T36+Z36+AF36+AL36+AR36+AX36+BD36+BJ36+BP36,IF($BZ$4="DICIEMBRE",H36+N36+T36+Z36+AF36+AL36+AR36+AX36+BD36+BJ36+BP36+BV36,"")))))))))))),0)</f>
        <v>48</v>
      </c>
      <c r="CD36" s="129">
        <f ca="1">IFERROR(IF(CA36=0,"N.D.",CC36/CA36),0)</f>
        <v>0.87272727272727268</v>
      </c>
      <c r="CE36" s="24">
        <f>IFERROR(IF($BZ$4="ENERO",J36,IF($BZ$4="FEBRERO",J36+P36,IF($BZ$4="MARZO",J36+P36+V36,IF($BZ$4="ABRIL",J36+P36+V36+AB36,IF($BZ$4="MAYO",J36+P36+V36+AB36+AH36,IF($BZ$4="JUNIO",J36+P36+V36+AB36+AH36+AN36,IF($BZ$4="JULIO",J36+P36+V36+AB36+AH36+AN36+AT36,IF($BZ$4="AGOSTO",J36+P36+V36+AB36+AH36+AN36+AT36+AZ36,IF($BZ$4="SEPTIEMBRE",J36+P36+V36+AB36+AH36+AN36+AT36+AZ36+BF36,IF($BZ$4="OCTUBRE",J36+P36+V36+AB36+AH36+AN36+AT36+AZ36+BF36+BL36,IF($BZ$4="NOVIEMBRE",J36+P36+V36+AB36+AH36+AN36+AT36+AZ36+BF36+BL36+BR36,IF($BZ$4="DICIEMBRE",J36+P36+V36+AB36+AH36+AN36+AT36+AZ36+BF36+BL36+BR36+BX36,"")))))))))))),0)</f>
        <v>8</v>
      </c>
      <c r="CF36" s="129">
        <f t="shared" ref="CF36:CF44" ca="1" si="105">IFERROR(CE36/BZ36,0)</f>
        <v>0.12903225806451613</v>
      </c>
      <c r="CG36" s="25">
        <f ca="1">SUM(F36+L36+R36+X36+AD36+AJ36+AP36+AV36+BB36+BH36+BN36+BT36)</f>
        <v>112</v>
      </c>
      <c r="CH36" s="27">
        <f ca="1">SUMIFS($F36:$BW36,$F$6:$BW$6,CH$6,$F$2:$BW$2,$BZ$4)</f>
        <v>55</v>
      </c>
      <c r="CI36" s="283">
        <f t="shared" ref="CI36:CI44" ca="1" si="106">IFERROR((CH36/CG36),0)</f>
        <v>0.49107142857142855</v>
      </c>
      <c r="CJ36" s="292">
        <f>SUMIFS($F36:$BW36,$F$6:$BW$6,CJ$6,$F$2:$BW$2,$BZ$4)</f>
        <v>48</v>
      </c>
      <c r="CK36" s="129">
        <f t="shared" ref="CK36:CK44" ca="1" si="107">IF(CH36=0,"N.D.",CJ36/CH36)</f>
        <v>0.87272727272727268</v>
      </c>
      <c r="CL36" s="27">
        <f>IFERROR(J36+P36+V36+AB36+AH36+AN36+AT36+AZ36+BF36+BL36+BR36+BX36,0)</f>
        <v>8</v>
      </c>
      <c r="CM36" s="129">
        <f t="shared" ref="CM36:CM44" ca="1" si="108">IFERROR(CL36/CG36,0)</f>
        <v>7.1428571428571425E-2</v>
      </c>
      <c r="CN36" s="25">
        <f t="shared" ca="1" si="76"/>
        <v>30</v>
      </c>
      <c r="CO36" s="27">
        <f t="shared" ca="1" si="76"/>
        <v>29</v>
      </c>
      <c r="CP36" s="283">
        <f t="shared" ref="CP36:CP44" ca="1" si="109">IFERROR((CO36/CN36),0)</f>
        <v>0.96666666666666667</v>
      </c>
      <c r="CQ36" s="292">
        <f>IF($CN$5="Q1",H36+N36+T36,
IF($CN$5="Q2",Z36+AF36++AL36,
IF($CN$5="Q3",AR36+AX36+BD36,
IF($CN$5="Q4",BJ36+BP36+BV36,0))))</f>
        <v>22</v>
      </c>
      <c r="CR36" s="129">
        <f t="shared" ref="CR36:CR44" ca="1" si="110">IF(CO36=0,"N.D.",CQ36/CO36)</f>
        <v>0.75862068965517238</v>
      </c>
      <c r="CS36" s="27">
        <f t="shared" ref="CS36:CS44" si="111">IF($CZ$5="Q1",J36+P36+V36,
IF($CZ$5="Q2",AB36+AH36+AN36,
IF($CZ$5="Q3",AT36+AZ36+BF36,
IF($CZ$5="Q4",BL36+BR36+BX36,0))))</f>
        <v>0</v>
      </c>
      <c r="CT36" s="129">
        <f t="shared" ref="CT36:CT44" ca="1" si="112">IFERROR(CS36/CN36,0)</f>
        <v>0</v>
      </c>
      <c r="CU36" s="25">
        <f ca="1">IF($CU$5="S 1",F36+L36+R36+X36+AD36++AJ36,
IF($CU$5="S 2",AP36+AV36+BB36+BH36+BN36+BT36,0))</f>
        <v>62</v>
      </c>
      <c r="CV36" s="27">
        <f t="shared" ca="1" si="78"/>
        <v>55</v>
      </c>
      <c r="CW36" s="283">
        <f t="shared" ref="CW36:CW44" ca="1" si="113">IFERROR((CV36/CU36),0)</f>
        <v>0.88709677419354838</v>
      </c>
      <c r="CX36" s="27">
        <f t="shared" ref="CX36:CX44" si="114">IFERROR(IF($CU$5="S 1",H36+N36+T36+Z36+AF36++AL36,
IF($CU$5="S 2",AR36+AX36+BD36+BJ36+BP36+BV36,0)),0)</f>
        <v>48</v>
      </c>
      <c r="CY36" s="129">
        <f t="shared" ref="CY36:CY44" ca="1" si="115">IF(CV36=0,"N.D.",CX36/CV36)</f>
        <v>0.87272727272727268</v>
      </c>
      <c r="CZ36" s="27">
        <f t="shared" ref="CZ36:CZ44" si="116">IFERROR(IF($CU$5="S 1",J36+P36+V36+AB36+AH36+AN36,
IF($CU$5="S 2",AT36+AZ36+BF36+BL36+BR36+BX36,0)),0)</f>
        <v>8</v>
      </c>
      <c r="DA36" s="130">
        <f t="shared" ref="DA36:DA44" ca="1" si="117">IFERROR(CZ36/CU36,0)</f>
        <v>0.12903225806451613</v>
      </c>
      <c r="DB36" s="25">
        <f t="shared" ca="1" si="77"/>
        <v>50</v>
      </c>
      <c r="DC36" s="27">
        <f t="shared" ca="1" si="77"/>
        <v>0</v>
      </c>
      <c r="DD36" s="283">
        <f t="shared" ref="DD36:DD44" ca="1" si="118">IFERROR((DC36/DB36),0)</f>
        <v>0</v>
      </c>
      <c r="DE36" s="27">
        <f>IFERROR(IF($DB$5="S 1",H36+N36+T36+Z36+AF36++AL36,
IF($DB$5="S 2",AR36+AX36+BD36+BJ36+BP36+BV36,0)),0)</f>
        <v>0</v>
      </c>
      <c r="DF36" s="129" t="str">
        <f t="shared" ref="DF36:DF44" ca="1" si="119">IF(DC36=0,"N.D.",DE36/DC36)</f>
        <v>N.D.</v>
      </c>
      <c r="DG36" s="27">
        <f>IFERROR(IF($DB$5="S 1",J36+P36+V36+AB36+AH36+AN36,
IF($DB$5="S 2",AT36+AZ36+BF36+BL36+BR36+BX36,0)),0)</f>
        <v>0</v>
      </c>
      <c r="DH36" s="130">
        <f t="shared" ref="DH36:DH44" ca="1" si="120">IFERROR(DG36/DB36,0)</f>
        <v>0</v>
      </c>
      <c r="DI36" s="510">
        <v>1</v>
      </c>
      <c r="DJ36" s="369" t="s">
        <v>49</v>
      </c>
      <c r="DK36" s="25">
        <f t="shared" ref="DK36:DK44" ca="1" si="121">IF($BZ$4="ENERO",F36,IF($BZ$4="FEBRERO",F36+L36,IF($BZ$4="MARZO",F36+L36+R36,IF($BZ$4="ABRIL",F36+L36+R36+X36,IF($BZ$4="MAYO",F36+L36+R36+X36+AD36,IF($BZ$4="JUNIO",F36+L36+R36+X36+AD36+AJ36,IF($BZ$4="JULIO",F36+L36+R36+X36+AD36+AJ36+AP36,IF($BZ$4="AGOSTO",F36+L36+R36+X36+AD36+AJ36+AP36+AV36,IF($BZ$4="SEPTIEMBRE",F36+L36+R36+X36+AD36+AJ36+AP36+AV36+BB36,IF($BZ$4="OCTUBRE",F36+L36+R36+X36+AD36+AJ36+AP36+AV36+BB36+BH36,IF($BZ$4="NOVIEMBRE",F36+L36+R36+X36+AD36+AJ36+AP36+AV36+BB36+BH36+BN36,IF($BZ$4="DICIEMBRE",F36+L36+R36+X36+AD36+AJ36+AP36+AV36+BB36+BH36+BN36+BT36,""))))))))))))</f>
        <v>62</v>
      </c>
      <c r="DL36" s="27">
        <f t="shared" ca="1" si="79"/>
        <v>55</v>
      </c>
      <c r="DM36" s="283">
        <f t="shared" ref="DM36:DM44" ca="1" si="122">IFERROR((CA36/BZ36),0)</f>
        <v>0.88709677419354838</v>
      </c>
      <c r="DN36" s="151">
        <f t="shared" ref="DN36:DN44" si="123">IFERROR(IF($BZ$4="ENERO",H36,IF($BZ$4="FEBRERO",H36+N36,IF($BZ$4="MARZO",H36+N36+T36,IF($BZ$4="ABRIL",H36+N36+T36+Z36,IF($BZ$4="MAYO",H36+N36+T36+Z36+AF36,IF($BZ$4="JUNIO",H36+N36+T36+Z36+AF36+AL36,IF($BZ$4="JULIO",H36+N36+T36+Z36+AF36+AL36+AR36,IF($BZ$4="AGOSTO",H36+N36+T36+Z36+AF36+AL36+AR36+AX36,IF($BZ$4="SEPTIEMBRE",H36+N36+T36+Z36+AF36+AL36+AR36+AX36+BD36,IF($BZ$4="OCTUBRE",H36+N36+T36+Z36+AF36+AL36+AR36+AX36+BD36+BJ36,IF($BZ$4="NOVIEMBRE",H36+N36+T36+Z36+AF36+AL36+AR36+AX36+BD36+BJ36+BP36,IF($BZ$4="DICIEMBRE",H36+N36+T36+Z36+AF36+AL36+AR36+AX36+BD36+BJ36+BP36+BV36,"")))))))))))),0)</f>
        <v>48</v>
      </c>
      <c r="DO36" s="129">
        <f t="shared" ref="DO36:DO44" ca="1" si="124">IFERROR(IF(CA36=0,"N.D.",CC36/CA36),0)</f>
        <v>0.87272727272727268</v>
      </c>
      <c r="DP36" s="27">
        <f t="shared" ref="DP36:DP44" si="125">IFERROR(J36+P36+V36+AB36+AH36+AN36+AT36+AZ36+BF36+BL36+BR36+BX36,0)</f>
        <v>8</v>
      </c>
      <c r="DQ36" s="130">
        <f t="shared" ref="DQ36:DQ44" ca="1" si="126">IFERROR(CE36/BZ36,0)</f>
        <v>0.12903225806451613</v>
      </c>
      <c r="DR36"/>
      <c r="DS36" s="4">
        <f ca="1"/>
        <v>110</v>
      </c>
      <c r="DT36" s="4">
        <f ca="1"/>
        <v>103</v>
      </c>
      <c r="DU36" s="508">
        <f ca="1"/>
        <v>1.01</v>
      </c>
      <c r="DW36" s="508">
        <f ca="1"/>
        <v>0.91803278688524592</v>
      </c>
      <c r="DX36" s="4">
        <v>29</v>
      </c>
      <c r="DY36" s="508">
        <f ca="1"/>
        <v>0.29896907216494845</v>
      </c>
    </row>
    <row r="37" spans="1:129" s="4" customFormat="1" ht="15" customHeight="1" thickBot="1" x14ac:dyDescent="0.4">
      <c r="A37" s="4">
        <f>_xlfn.XLOOKUP(B37,'WHOLESALE BMW 2026'!$B$7:$B$67,'WHOLESALE BMW 2026'!$A$7:$A$67)</f>
        <v>0</v>
      </c>
      <c r="B37" s="7" t="s">
        <v>267</v>
      </c>
      <c r="C37" s="28"/>
      <c r="D37" s="125"/>
      <c r="E37" s="7"/>
      <c r="F37" s="200">
        <f ca="1">SUM(F32:F36)</f>
        <v>79</v>
      </c>
      <c r="G37" s="410">
        <f ca="1">SUM(G32:G36)</f>
        <v>69</v>
      </c>
      <c r="H37" s="88">
        <f>SUM(H32:H36)</f>
        <v>67</v>
      </c>
      <c r="I37" s="413">
        <f t="shared" ca="1" si="80"/>
        <v>0.97101449275362317</v>
      </c>
      <c r="J37" s="412">
        <f>SUM(J32:J36)</f>
        <v>5</v>
      </c>
      <c r="K37" s="390">
        <f t="shared" ca="1" si="81"/>
        <v>6.3291139240506333E-2</v>
      </c>
      <c r="L37" s="200">
        <f ca="1">SUM(L32:L36)</f>
        <v>79</v>
      </c>
      <c r="M37" s="410">
        <f ca="1">SUM(M32:M36)</f>
        <v>53</v>
      </c>
      <c r="N37" s="88">
        <f>SUM(N32:N36)</f>
        <v>50</v>
      </c>
      <c r="O37" s="413">
        <f t="shared" ca="1" si="82"/>
        <v>0.94339622641509435</v>
      </c>
      <c r="P37" s="412">
        <f>SUM(P32:P36)</f>
        <v>17</v>
      </c>
      <c r="Q37" s="390">
        <f t="shared" ca="1" si="83"/>
        <v>0.21518987341772153</v>
      </c>
      <c r="R37" s="200">
        <f ca="1">SUM(R32:R36)</f>
        <v>80</v>
      </c>
      <c r="S37" s="410">
        <f ca="1">SUM(S32:S36)</f>
        <v>85</v>
      </c>
      <c r="T37" s="88">
        <f>SUM(T32:T36)</f>
        <v>74</v>
      </c>
      <c r="U37" s="413">
        <f t="shared" ca="1" si="84"/>
        <v>0.87058823529411766</v>
      </c>
      <c r="V37" s="412">
        <f>SUM(V32:V36)</f>
        <v>17</v>
      </c>
      <c r="W37" s="390">
        <f t="shared" ca="1" si="85"/>
        <v>0.21249999999999999</v>
      </c>
      <c r="X37" s="200">
        <f ca="1">SUM(X32:X36)</f>
        <v>81</v>
      </c>
      <c r="Y37" s="410">
        <f ca="1">SUM(Y32:Y36)</f>
        <v>58</v>
      </c>
      <c r="Z37" s="88">
        <f>SUM(Z32:Z36)</f>
        <v>57</v>
      </c>
      <c r="AA37" s="413">
        <f t="shared" ca="1" si="86"/>
        <v>0.98275862068965514</v>
      </c>
      <c r="AB37" s="412">
        <f>SUM(AB32:AB36)</f>
        <v>16</v>
      </c>
      <c r="AC37" s="390">
        <f t="shared" ca="1" si="87"/>
        <v>0.19753086419753085</v>
      </c>
      <c r="AD37" s="200">
        <f ca="1">SUM(AD32:AD36)</f>
        <v>84</v>
      </c>
      <c r="AE37" s="410">
        <f ca="1">SUM(AE32:AE36)</f>
        <v>93</v>
      </c>
      <c r="AF37" s="88">
        <f>SUM(AF32:AF36)</f>
        <v>89</v>
      </c>
      <c r="AG37" s="413">
        <f t="shared" ca="1" si="88"/>
        <v>0.956989247311828</v>
      </c>
      <c r="AH37" s="412">
        <f>SUM(AH32:AH36)</f>
        <v>22</v>
      </c>
      <c r="AI37" s="390">
        <f t="shared" ca="1" si="89"/>
        <v>0.26190476190476192</v>
      </c>
      <c r="AJ37" s="200">
        <f ca="1">SUM(AJ32:AJ36)</f>
        <v>84</v>
      </c>
      <c r="AK37" s="410">
        <f ca="1">SUM(AK32:AK36)</f>
        <v>130</v>
      </c>
      <c r="AL37" s="88">
        <f>SUM(AL32:AL36)</f>
        <v>118</v>
      </c>
      <c r="AM37" s="413">
        <f t="shared" ca="1" si="90"/>
        <v>0.90769230769230769</v>
      </c>
      <c r="AN37" s="412">
        <f>SUM(AN32:AN36)</f>
        <v>27</v>
      </c>
      <c r="AO37" s="390">
        <f t="shared" ca="1" si="91"/>
        <v>0.32142857142857145</v>
      </c>
      <c r="AP37" s="200">
        <f ca="1">SUM(AP32:AP36)</f>
        <v>69</v>
      </c>
      <c r="AQ37" s="410">
        <f ca="1">SUM(AQ32:AQ36)</f>
        <v>0</v>
      </c>
      <c r="AR37" s="88">
        <f>SUM(AR32:AR36)</f>
        <v>0</v>
      </c>
      <c r="AS37" s="413">
        <f t="shared" ca="1" si="92"/>
        <v>0</v>
      </c>
      <c r="AT37" s="412">
        <f>SUM(AT32:AT36)</f>
        <v>0</v>
      </c>
      <c r="AU37" s="390">
        <f t="shared" ca="1" si="93"/>
        <v>0</v>
      </c>
      <c r="AV37" s="200">
        <f ca="1">SUM(AV32:AV36)</f>
        <v>60</v>
      </c>
      <c r="AW37" s="410">
        <f ca="1">SUM(AW32:AW36)</f>
        <v>0</v>
      </c>
      <c r="AX37" s="88">
        <f>SUM(AX32:AX36)</f>
        <v>0</v>
      </c>
      <c r="AY37" s="413">
        <f t="shared" ca="1" si="94"/>
        <v>0</v>
      </c>
      <c r="AZ37" s="412">
        <f>SUM(AZ32:AZ36)</f>
        <v>0</v>
      </c>
      <c r="BA37" s="390">
        <f t="shared" ca="1" si="95"/>
        <v>0</v>
      </c>
      <c r="BB37" s="200">
        <f ca="1">SUM(BB32:BB36)</f>
        <v>74</v>
      </c>
      <c r="BC37" s="410">
        <f>SUM(BC32:BC36)</f>
        <v>0</v>
      </c>
      <c r="BD37" s="88">
        <f>SUM(BD32:BD36)</f>
        <v>0</v>
      </c>
      <c r="BE37" s="413">
        <f t="shared" si="96"/>
        <v>0</v>
      </c>
      <c r="BF37" s="412">
        <f>SUM(BF32:BF36)</f>
        <v>0</v>
      </c>
      <c r="BG37" s="390">
        <f t="shared" ca="1" si="97"/>
        <v>0</v>
      </c>
      <c r="BH37" s="200">
        <f>SUM(BH32:BH36)</f>
        <v>84</v>
      </c>
      <c r="BI37" s="410">
        <f>SUM(BI32:BI36)</f>
        <v>0</v>
      </c>
      <c r="BJ37" s="88">
        <f>SUM(BJ32:BJ36)</f>
        <v>0</v>
      </c>
      <c r="BK37" s="413">
        <f t="shared" si="98"/>
        <v>0</v>
      </c>
      <c r="BL37" s="412">
        <f>SUM(BL32:BL36)</f>
        <v>0</v>
      </c>
      <c r="BM37" s="390">
        <f t="shared" si="99"/>
        <v>0</v>
      </c>
      <c r="BN37" s="200">
        <f>SUM(BN32:BN36)</f>
        <v>83</v>
      </c>
      <c r="BO37" s="410">
        <f>SUM(BO32:BO36)</f>
        <v>0</v>
      </c>
      <c r="BP37" s="88">
        <f>SUM(BP32:BP36)</f>
        <v>0</v>
      </c>
      <c r="BQ37" s="413">
        <f t="shared" si="100"/>
        <v>0</v>
      </c>
      <c r="BR37" s="412">
        <f>SUM(BR32:BR36)</f>
        <v>0</v>
      </c>
      <c r="BS37" s="390">
        <f t="shared" si="101"/>
        <v>0</v>
      </c>
      <c r="BT37" s="200">
        <f>SUM(BT32:BT36)</f>
        <v>77</v>
      </c>
      <c r="BU37" s="410">
        <f>SUM(BU32:BU36)</f>
        <v>0</v>
      </c>
      <c r="BV37" s="88">
        <f>SUM(BV32:BV36)</f>
        <v>0</v>
      </c>
      <c r="BW37" s="413">
        <f t="shared" si="102"/>
        <v>0</v>
      </c>
      <c r="BX37" s="412">
        <f>SUM(BX32:BX36)</f>
        <v>0</v>
      </c>
      <c r="BY37" s="390">
        <f t="shared" si="103"/>
        <v>0</v>
      </c>
      <c r="BZ37" s="200">
        <f ca="1">SUM(BZ32:BZ36)</f>
        <v>487</v>
      </c>
      <c r="CA37" s="258">
        <f ca="1">SUM(CA32:CA36)</f>
        <v>488</v>
      </c>
      <c r="CB37" s="132">
        <f t="shared" ca="1" si="104"/>
        <v>1.0020533880903491</v>
      </c>
      <c r="CC37" s="278">
        <f>SUM(CC32:CC36)</f>
        <v>455</v>
      </c>
      <c r="CD37" s="132">
        <f ca="1">CC37/CA37</f>
        <v>0.93237704918032782</v>
      </c>
      <c r="CE37" s="278">
        <f>SUM(CE32:CE36)</f>
        <v>104</v>
      </c>
      <c r="CF37" s="131">
        <f t="shared" ca="1" si="105"/>
        <v>0.2135523613963039</v>
      </c>
      <c r="CG37" s="200">
        <f ca="1">SUM(CG32:CG36)</f>
        <v>934</v>
      </c>
      <c r="CH37" s="258">
        <f ca="1">SUM(CH32:CH36)</f>
        <v>488</v>
      </c>
      <c r="CI37" s="132">
        <f t="shared" ca="1" si="106"/>
        <v>0.5224839400428265</v>
      </c>
      <c r="CJ37" s="278">
        <f>SUM(CJ32:CJ36)</f>
        <v>455</v>
      </c>
      <c r="CK37" s="132">
        <f t="shared" ca="1" si="107"/>
        <v>0.93237704918032782</v>
      </c>
      <c r="CL37" s="258">
        <f>J37+P37+V37+AB37+AH37+AN37+AT37+AZ37+BF37+BL37+BR37+BX37</f>
        <v>104</v>
      </c>
      <c r="CM37" s="131">
        <f t="shared" ca="1" si="108"/>
        <v>0.11134903640256959</v>
      </c>
      <c r="CN37" s="200">
        <f ca="1">SUM(CN28:CN37)</f>
        <v>162</v>
      </c>
      <c r="CO37" s="258">
        <f ca="1">SUM(CO28:CO37)</f>
        <v>82</v>
      </c>
      <c r="CP37" s="132">
        <f t="shared" ca="1" si="109"/>
        <v>0.50617283950617287</v>
      </c>
      <c r="CQ37" s="278" t="e">
        <f ca="1">SUM(CQ28:CQ37)</f>
        <v>#VALUE!</v>
      </c>
      <c r="CR37" s="132" t="e">
        <f t="shared" ca="1" si="110"/>
        <v>#VALUE!</v>
      </c>
      <c r="CS37" s="258">
        <f t="shared" si="111"/>
        <v>0</v>
      </c>
      <c r="CT37" s="131">
        <f t="shared" ca="1" si="112"/>
        <v>0</v>
      </c>
      <c r="CU37" s="200">
        <f t="shared" ca="1" si="78"/>
        <v>487</v>
      </c>
      <c r="CV37" s="258">
        <f t="shared" ca="1" si="78"/>
        <v>488</v>
      </c>
      <c r="CW37" s="132">
        <f t="shared" ca="1" si="113"/>
        <v>1.0020533880903491</v>
      </c>
      <c r="CX37" s="258">
        <f t="shared" si="114"/>
        <v>455</v>
      </c>
      <c r="CY37" s="132">
        <f t="shared" ca="1" si="115"/>
        <v>0.93237704918032782</v>
      </c>
      <c r="CZ37" s="258">
        <f t="shared" si="116"/>
        <v>104</v>
      </c>
      <c r="DA37" s="275">
        <f t="shared" ca="1" si="117"/>
        <v>0.2135523613963039</v>
      </c>
      <c r="DB37" s="200">
        <f ca="1">IFERROR(SUM(DB28:DB37),0)</f>
        <v>0</v>
      </c>
      <c r="DC37" s="200">
        <f ca="1">IFERROR(SUM(DC28:DC37),0)</f>
        <v>0</v>
      </c>
      <c r="DD37" s="132">
        <f t="shared" ca="1" si="118"/>
        <v>0</v>
      </c>
      <c r="DE37" s="258">
        <f ca="1">IFERROR(SUM(DE28:DE37),0)</f>
        <v>0</v>
      </c>
      <c r="DF37" s="132" t="str">
        <f t="shared" ca="1" si="119"/>
        <v>N.D.</v>
      </c>
      <c r="DG37" s="258">
        <f ca="1">IFERROR(SUM(DG28:DG37),0)</f>
        <v>0</v>
      </c>
      <c r="DH37" s="275">
        <f t="shared" ca="1" si="120"/>
        <v>0</v>
      </c>
      <c r="DI37" s="510">
        <v>0</v>
      </c>
      <c r="DJ37" s="28"/>
      <c r="DK37" s="200">
        <f t="shared" ca="1" si="121"/>
        <v>487</v>
      </c>
      <c r="DL37" s="258">
        <f t="shared" ca="1" si="79"/>
        <v>488</v>
      </c>
      <c r="DM37" s="132">
        <f t="shared" ca="1" si="122"/>
        <v>1.0020533880903491</v>
      </c>
      <c r="DN37" s="278">
        <f t="shared" si="123"/>
        <v>455</v>
      </c>
      <c r="DO37" s="132">
        <f t="shared" ca="1" si="124"/>
        <v>0.93237704918032782</v>
      </c>
      <c r="DP37" s="258">
        <f t="shared" si="125"/>
        <v>104</v>
      </c>
      <c r="DQ37" s="275">
        <f t="shared" ca="1" si="126"/>
        <v>0.2135523613963039</v>
      </c>
      <c r="DR37"/>
      <c r="DS37" s="4">
        <f ca="1"/>
        <v>109</v>
      </c>
      <c r="DT37" s="4">
        <f ca="1"/>
        <v>101</v>
      </c>
      <c r="DU37" s="508">
        <f ca="1"/>
        <v>1.0049999999999999</v>
      </c>
      <c r="DW37" s="508">
        <f ca="1"/>
        <v>0.91025641025641024</v>
      </c>
      <c r="DX37" s="4">
        <v>29</v>
      </c>
      <c r="DY37" s="508">
        <f ca="1"/>
        <v>0.29059829059829062</v>
      </c>
    </row>
    <row r="38" spans="1:129" s="4" customFormat="1" ht="15" customHeight="1" x14ac:dyDescent="0.35">
      <c r="A38" s="4">
        <f>_xlfn.XLOOKUP(B38,'WHOLESALE BMW 2026'!$B$7:$B$67,'WHOLESALE BMW 2026'!$A$7:$A$67)</f>
        <v>6</v>
      </c>
      <c r="B38" s="8">
        <v>100348</v>
      </c>
      <c r="C38" s="369" t="s">
        <v>56</v>
      </c>
      <c r="D38" s="125"/>
      <c r="E38" s="309" t="s">
        <v>105</v>
      </c>
      <c r="F38" s="21">
        <f ca="1">SUMIF('UC BMW 2026'!B36:B112,'UC BMW 2026'!B36,'UC BMW 2026'!F36:F103)</f>
        <v>25</v>
      </c>
      <c r="G38" s="24">
        <f ca="1">SUMIF('UC BMW 2026'!$B$5:$B$77,'UC BMW 2026'!B36,'UC BMW 2026'!$G$5:$G$72)</f>
        <v>22</v>
      </c>
      <c r="H38" s="24">
        <f>IFERROR(VLOOKUP(B38,[2]BPS!$B$10:$O$64,3,0),0)-IF(B38=100873,IFERROR(VLOOKUP("Enero",[2]BPS!$B$74:$C$89,2,0),0),0)</f>
        <v>22</v>
      </c>
      <c r="I38" s="281">
        <f t="shared" ca="1" si="80"/>
        <v>1</v>
      </c>
      <c r="J38" s="380">
        <f>IFERROR(VLOOKUP(B38,'[2]RETAIL ORIGEN RMKT'!$B$11:$O$62,3,0),0)</f>
        <v>13</v>
      </c>
      <c r="K38" s="127">
        <f t="shared" ca="1" si="81"/>
        <v>0.52</v>
      </c>
      <c r="L38" s="21">
        <f ca="1">SUMIF('UC BMW 2026'!$B$5:$B$77,'UC BMW 2026'!$B36,'UC BMW 2026'!$H$5:$H$72)</f>
        <v>26</v>
      </c>
      <c r="M38" s="24">
        <f ca="1">SUMIF('UC BMW 2026'!$B$5:$B$77,'UC BMW 2026'!$B36,'UC BMW 2026'!$I$5:$I$72)</f>
        <v>30</v>
      </c>
      <c r="N38" s="24">
        <f>IFERROR(VLOOKUP(B38,[2]BPS!$B$10:$O$64,4,0),0)-IF(B38=100873,IFERROR(VLOOKUP("Febrero",[2]BPS!$B$74:$C$89,2,0),0),0)</f>
        <v>30</v>
      </c>
      <c r="O38" s="281">
        <f t="shared" ca="1" si="82"/>
        <v>1</v>
      </c>
      <c r="P38" s="380">
        <f>IFERROR(VLOOKUP(B38,'[2]RETAIL ORIGEN RMKT'!$B$11:$O$62,4,0),0)</f>
        <v>21</v>
      </c>
      <c r="Q38" s="127">
        <f t="shared" ca="1" si="83"/>
        <v>0.80769230769230771</v>
      </c>
      <c r="R38" s="21">
        <f ca="1">SUMIF('UC BMW 2026'!$B$5:$B$77,'UC BMW 2026'!$B36,'UC BMW 2026'!$J$5:$J$72)</f>
        <v>26</v>
      </c>
      <c r="S38" s="24">
        <f ca="1">SUMIF('UC BMW 2026'!$B$5:$B$77,'UC BMW 2026'!$B36,'UC BMW 2026'!$K$5:$K$72)</f>
        <v>35</v>
      </c>
      <c r="T38" s="24">
        <f>IFERROR(VLOOKUP(B38,[2]BPS!$B$10:$O$64,5,0),0)-IF(B38=100873,IFERROR(VLOOKUP("Marzo",[2]BPS!$B$74:$C$89,2,0),0),0)</f>
        <v>32</v>
      </c>
      <c r="U38" s="281">
        <f t="shared" ca="1" si="84"/>
        <v>0.91428571428571426</v>
      </c>
      <c r="V38" s="380">
        <f>IFERROR(VLOOKUP(B38,'[2]RETAIL ORIGEN RMKT'!$B$11:$O$62,5,0),0)</f>
        <v>24</v>
      </c>
      <c r="W38" s="127">
        <f t="shared" ca="1" si="85"/>
        <v>0.92307692307692313</v>
      </c>
      <c r="X38" s="21">
        <f ca="1">SUMIF('UC BMW 2026'!$B$5:$B$77,'UC BMW 2026'!$B36,'UC BMW 2026'!$L$5:$L$72)</f>
        <v>26</v>
      </c>
      <c r="Y38" s="24">
        <f ca="1">SUMIF('UC BMW 2026'!$B$5:$B$77,'UC BMW 2026'!$B36,'UC BMW 2026'!$M$5:$M$72)</f>
        <v>33</v>
      </c>
      <c r="Z38" s="24">
        <f>IFERROR(VLOOKUP(B38,[2]BPS!$B$10:$O$64,6,0),0)-IF(B38=100873,IFERROR(VLOOKUP("Abril",[2]BPS!$B$74:$C$89,2,0),0),0)</f>
        <v>33</v>
      </c>
      <c r="AA38" s="281">
        <f t="shared" ca="1" si="86"/>
        <v>1</v>
      </c>
      <c r="AB38" s="380">
        <f>IFERROR(VLOOKUP(B38,'[2]RETAIL ORIGEN RMKT'!$B$11:$O$62,6,0),0)</f>
        <v>24</v>
      </c>
      <c r="AC38" s="127">
        <f t="shared" ca="1" si="87"/>
        <v>0.92307692307692313</v>
      </c>
      <c r="AD38" s="21">
        <f ca="1">SUMIF('UC BMW 2026'!$B$5:$B$77,'UC BMW 2026'!$B36,'UC BMW 2026'!$N$5:$N$72)</f>
        <v>26</v>
      </c>
      <c r="AE38" s="24">
        <f ca="1">SUMIF('UC BMW 2026'!$B$5:$B$77,'UC BMW 2026'!$B36,'UC BMW 2026'!$O$5:$O$72)</f>
        <v>26</v>
      </c>
      <c r="AF38" s="24">
        <f>IFERROR(VLOOKUP(B38,[2]BPS!$B$10:$O$64,7,0),0)-IF(B38=100873,IFERROR(VLOOKUP("Mayo",[2]BPS!$B$74:$C$89,2,0),0),0)</f>
        <v>26</v>
      </c>
      <c r="AG38" s="281">
        <f t="shared" ca="1" si="88"/>
        <v>1</v>
      </c>
      <c r="AH38" s="380">
        <f>IFERROR(VLOOKUP(B38,'[2]RETAIL ORIGEN RMKT'!$B$11:$O$62,7,0),0)</f>
        <v>14</v>
      </c>
      <c r="AI38" s="127">
        <f t="shared" ca="1" si="89"/>
        <v>0.53846153846153844</v>
      </c>
      <c r="AJ38" s="21">
        <f ca="1">SUMIF('UC BMW 2026'!$B$5:$B$77,'UC BMW 2026'!$B36,'UC BMW 2026'!$P$5:$P$72)</f>
        <v>26</v>
      </c>
      <c r="AK38" s="24">
        <f ca="1">SUMIF('UC BMW 2026'!$B$5:$B$77,'UC BMW 2026'!$B36,'UC BMW 2026'!$Q$5:$Q$72)</f>
        <v>29</v>
      </c>
      <c r="AL38" s="24">
        <f>IFERROR(VLOOKUP(B38,[2]BPS!$B$10:$O$64,8,0),0)-IF(B38=100873,IFERROR(VLOOKUP("Junio",[2]BPS!$B$74:$C$89,2,0),0),0)</f>
        <v>29</v>
      </c>
      <c r="AM38" s="281">
        <f t="shared" ca="1" si="90"/>
        <v>1</v>
      </c>
      <c r="AN38" s="380">
        <f>IFERROR(VLOOKUP(B38,'[2]RETAIL ORIGEN RMKT'!$B$11:$O$62,8,0),0)</f>
        <v>19</v>
      </c>
      <c r="AO38" s="127">
        <f t="shared" ca="1" si="91"/>
        <v>0.73076923076923073</v>
      </c>
      <c r="AP38" s="21">
        <f ca="1">SUMIF('UC BMW 2026'!$B$5:$B$77,'UC BMW 2026'!$B36,'UC BMW 2026'!$R$5:$R$72)</f>
        <v>0</v>
      </c>
      <c r="AQ38" s="24">
        <f ca="1">SUMIF('UC BMW 2026'!$B$5:$B$77,'UC BMW 2026'!$B36,'UC BMW 2026'!$S$5:$S$72)</f>
        <v>0</v>
      </c>
      <c r="AR38" s="24">
        <f>IFERROR(VLOOKUP(B38,[2]BPS!$B$10:$O$64,9,0),0)-IF(B38=100873,IFERROR(VLOOKUP("Julio",[2]BPS!$B$74:$C$89,2,0),0),0)</f>
        <v>0</v>
      </c>
      <c r="AS38" s="281">
        <f t="shared" ca="1" si="92"/>
        <v>0</v>
      </c>
      <c r="AT38" s="380">
        <f>IFERROR(VLOOKUP(B38,'[2]RETAIL ORIGEN RMKT'!$B$11:$O$62,9,0),0)</f>
        <v>0</v>
      </c>
      <c r="AU38" s="127">
        <f t="shared" ca="1" si="93"/>
        <v>0</v>
      </c>
      <c r="AV38" s="21">
        <f ca="1">SUMIF('UC BMW 2026'!$B$5:$B$77,'UC BMW 2026'!$B36,'UC BMW 2026'!$T$5:$T$72)</f>
        <v>0</v>
      </c>
      <c r="AW38" s="24">
        <f ca="1">SUMIF('UC BMW 2026'!$B$5:$B$77,'UC BMW 2026'!$B36,'UC BMW 2026'!$U$5:$U$72)</f>
        <v>0</v>
      </c>
      <c r="AX38" s="24">
        <f>IFERROR(VLOOKUP(B38,[2]BPS!$B$10:$O$64,10,0),0)-IF(B38=100873,IFERROR(VLOOKUP("Agosto",[2]BPS!$B$74:$C$89,2,0),0),0)</f>
        <v>0</v>
      </c>
      <c r="AY38" s="281">
        <f t="shared" ca="1" si="94"/>
        <v>0</v>
      </c>
      <c r="AZ38" s="380">
        <f>IFERROR(VLOOKUP(B38,'[2]RETAIL ORIGEN RMKT'!$B$11:$O$62,10,0),0)</f>
        <v>0</v>
      </c>
      <c r="BA38" s="127">
        <f t="shared" ca="1" si="95"/>
        <v>0</v>
      </c>
      <c r="BB38" s="21">
        <f ca="1">SUMIF('UC BMW 2026'!$B$5:$B$77,'UC BMW 2026'!$B36,'UC BMW 2026'!$V$5:$V$72)</f>
        <v>0</v>
      </c>
      <c r="BC38" s="24">
        <f>SUMIF('UC BMW 2026'!$B$5:$B$77,'UC BMW 2026'!$B36,'UC BMW 2026'!$W$5:$W$77)</f>
        <v>0</v>
      </c>
      <c r="BD38" s="24">
        <f>IFERROR(VLOOKUP(B38,[2]BPS!$B$10:$O$64,11,0),0)-IF(B38=100873,IFERROR(VLOOKUP("Septiembre",[2]BPS!$B$74:$C$89,2,0),0),0)</f>
        <v>0</v>
      </c>
      <c r="BE38" s="281">
        <f t="shared" si="96"/>
        <v>0</v>
      </c>
      <c r="BF38" s="380">
        <f>IFERROR(VLOOKUP(B38,'[2]RETAIL ORIGEN RMKT'!$B$11:$O$62,11,0),0)</f>
        <v>0</v>
      </c>
      <c r="BG38" s="127">
        <f t="shared" ca="1" si="97"/>
        <v>0</v>
      </c>
      <c r="BH38" s="21">
        <f>SUMIF('UC BMW 2026'!$B$5:$B$77,'UC BMW 2026'!$B36,'UC BMW 2026'!$X$5:$X$77)</f>
        <v>0</v>
      </c>
      <c r="BI38" s="24">
        <f>SUMIF('UC BMW 2026'!$B$5:$B$77,'UC BMW 2026'!$B36,'UC BMW 2026'!$Y$5:$Y$77)</f>
        <v>0</v>
      </c>
      <c r="BJ38" s="24">
        <f>IFERROR(VLOOKUP(B38,[2]BPS!$B$10:$O$64,12,0),0)-IF(B38=100873,IFERROR(VLOOKUP("Octubre",[2]BPS!$B$74:$C$89,2,0),0),0)</f>
        <v>0</v>
      </c>
      <c r="BK38" s="281">
        <f t="shared" si="98"/>
        <v>0</v>
      </c>
      <c r="BL38" s="380">
        <f>IFERROR(VLOOKUP(B38,'[2]RETAIL ORIGEN RMKT'!$B$11:$O$62,12,0),0)</f>
        <v>0</v>
      </c>
      <c r="BM38" s="127">
        <f t="shared" si="99"/>
        <v>0</v>
      </c>
      <c r="BN38" s="21">
        <f>SUMIF('UC BMW 2026'!$B$5:$B$77,'UC BMW 2026'!$B36,'UC BMW 2026'!$Z$5:$Z$77)</f>
        <v>0</v>
      </c>
      <c r="BO38" s="24">
        <f>SUMIF('UC BMW 2026'!$B$5:$B$77,'UC BMW 2026'!$B36,'UC BMW 2026'!$AA$5:$AA$77)</f>
        <v>0</v>
      </c>
      <c r="BP38" s="24">
        <f>IFERROR(VLOOKUP(B38,[2]BPS!$B$10:$O$64,13,0),0)-IF(B38=100873,IFERROR(VLOOKUP("Noviembre",[2]BPS!$B$74:$C$89,2,0),0),0)</f>
        <v>0</v>
      </c>
      <c r="BQ38" s="281">
        <f t="shared" si="100"/>
        <v>0</v>
      </c>
      <c r="BR38" s="380">
        <f>IFERROR(VLOOKUP(B38,'[2]RETAIL ORIGEN RMKT'!$B$11:$O$62,13,0),0)</f>
        <v>0</v>
      </c>
      <c r="BS38" s="127">
        <f t="shared" si="101"/>
        <v>0</v>
      </c>
      <c r="BT38" s="21">
        <f>SUMIF('UC BMW 2026'!$B$5:$B$77,'UC BMW 2026'!$B36,'UC BMW 2026'!$AB$5:$AB$77)</f>
        <v>0</v>
      </c>
      <c r="BU38" s="24">
        <f>SUMIF('UC BMW 2026'!$B$5:$B$77,'UC BMW 2026'!$B36,'UC BMW 2026'!$AC$5:$AC$77)</f>
        <v>0</v>
      </c>
      <c r="BV38" s="24">
        <f>IFERROR(VLOOKUP(B38,[2]BPS!$B$10:$O$64,13,0),0)-IF(B38=100873,IFERROR(VLOOKUP("Diciembre",[2]BPS!$B$74:$C$89,2,0),0),0)</f>
        <v>0</v>
      </c>
      <c r="BW38" s="281">
        <f t="shared" si="102"/>
        <v>0</v>
      </c>
      <c r="BX38" s="380">
        <f>IFERROR(VLOOKUP(B38,'[2]RETAIL ORIGEN RMKT'!$B$11:$O$62,14,0),0)</f>
        <v>0</v>
      </c>
      <c r="BY38" s="127">
        <f t="shared" si="103"/>
        <v>0</v>
      </c>
      <c r="BZ38" s="25">
        <f t="shared" ref="BZ38:CA43" ca="1" si="127">IF($BZ$4="ENERO",F38,IF($BZ$4="FEBRERO",F38+L38,IF($BZ$4="MARZO",F38+L38+R38,IF($BZ$4="ABRIL",F38+L38+R38+X38,IF($BZ$4="MAYO",F38+L38+R38+X38+AD38,IF($BZ$4="JUNIO",F38+L38+R38+X38+AD38+AJ38,IF($BZ$4="JULIO",F38+L38+R38+X38+AD38+AJ38+AP38,IF($BZ$4="AGOSTO",F38+L38+R38+X38+AD38+AJ38+AP38+AV38,IF($BZ$4="SEPTIEMBRE",F38+L38+R38+X38+AD38+AJ38+AP38+AV38+BB38,IF($BZ$4="OCTUBRE",F38+L38+R38+X38+AD38+AJ38+AP38+AV38+BB38+BH38,IF($BZ$4="NOVIEMBRE",F38+L38+R38+X38+AD38+AJ38+AP38+AV38+BB38+BH38+BN38,IF($BZ$4="DICIEMBRE",F38+L38+R38+X38+AD38+AJ38+AP38+AV38+BB38+BH38+BN38+BT38,""))))))))))))</f>
        <v>155</v>
      </c>
      <c r="CA38" s="27">
        <f t="shared" ca="1" si="127"/>
        <v>175</v>
      </c>
      <c r="CB38" s="128">
        <f t="shared" ca="1" si="104"/>
        <v>1.1290322580645162</v>
      </c>
      <c r="CC38" s="293">
        <f t="shared" ref="CC38:CC43" si="128">IFERROR(IF($BZ$4="ENERO",H38,IF($BZ$4="FEBRERO",H38+N38,IF($BZ$4="MARZO",H38+N38+T38,IF($BZ$4="ABRIL",H38+N38+T38+Z38,IF($BZ$4="MAYO",H38+N38+T38+Z38+AF38,IF($BZ$4="JUNIO",H38+N38+T38+Z38+AF38+AL38,IF($BZ$4="JULIO",H38+N38+T38+Z38+AF38+AL38+AR38,IF($BZ$4="AGOSTO",H38+N38+T38+Z38+AF38+AL38+AR38+AX38,IF($BZ$4="SEPTIEMBRE",H38+N38+T38+Z38+AF38+AL38+AR38+AX38+BD38,IF($BZ$4="OCTUBRE",H38+N38+T38+Z38+AF38+AL38+AR38+AX38+BD38+BJ38,IF($BZ$4="NOVIEMBRE",H38+N38+T38+Z38+AF38+AL38+AR38+AX38+BD38+BJ38+BP38,IF($BZ$4="DICIEMBRE",H38+N38+T38+Z38+AF38+AL38+AR38+AX38+BD38+BJ38+BP38+BV38,"")))))))))))),0)</f>
        <v>172</v>
      </c>
      <c r="CD38" s="129">
        <f t="shared" ref="CD38:CD43" ca="1" si="129">IFERROR(IF(CA38=0,"N.D.",CC38/CA38),0)</f>
        <v>0.98285714285714287</v>
      </c>
      <c r="CE38" s="24">
        <f t="shared" ref="CE38:CE43" si="130">IFERROR(IF($BZ$4="ENERO",J38,IF($BZ$4="FEBRERO",J38+P38,IF($BZ$4="MARZO",J38+P38+V38,IF($BZ$4="ABRIL",J38+P38+V38+AB38,IF($BZ$4="MAYO",J38+P38+V38+AB38+AH38,IF($BZ$4="JUNIO",J38+P38+V38+AB38+AH38+AN38,IF($BZ$4="JULIO",J38+P38+V38+AB38+AH38+AN38+AT38,IF($BZ$4="AGOSTO",J38+P38+V38+AB38+AH38+AN38+AT38+AZ38,IF($BZ$4="SEPTIEMBRE",J38+P38+V38+AB38+AH38+AN38+AT38+AZ38+BF38,IF($BZ$4="OCTUBRE",J38+P38+V38+AB38+AH38+AN38+AT38+AZ38+BF38+BL38,IF($BZ$4="NOVIEMBRE",J38+P38+V38+AB38+AH38+AN38+AT38+AZ38+BF38+BL38+BR38,IF($BZ$4="DICIEMBRE",J38+P38+V38+AB38+AH38+AN38+AT38+AZ38+BF38+BL38+BR38+BX38,"")))))))))))),0)</f>
        <v>115</v>
      </c>
      <c r="CF38" s="129">
        <f t="shared" ca="1" si="105"/>
        <v>0.74193548387096775</v>
      </c>
      <c r="CG38" s="25">
        <f t="shared" ref="CG38:CG43" ca="1" si="131">SUM(F38+L38+R38+X38+AD38+AJ38+AP38+AV38+BB38+BH38+BN38+BT38)</f>
        <v>155</v>
      </c>
      <c r="CH38" s="27">
        <f t="shared" ref="CH38:CH43" ca="1" si="132">SUMIFS($F38:$BW38,$F$6:$BW$6,CH$6,$F$2:$BW$2,$BZ$4)</f>
        <v>175</v>
      </c>
      <c r="CI38" s="128">
        <f t="shared" ca="1" si="106"/>
        <v>1.1290322580645162</v>
      </c>
      <c r="CJ38" s="293">
        <f t="shared" ref="CJ38:CJ43" si="133">SUMIFS($F38:$BW38,$F$6:$BW$6,CJ$6,$F$2:$BW$2,$BZ$4)</f>
        <v>172</v>
      </c>
      <c r="CK38" s="129">
        <f t="shared" ca="1" si="107"/>
        <v>0.98285714285714287</v>
      </c>
      <c r="CL38" s="27">
        <f t="shared" ref="CL38:CL43" si="134">IFERROR(J38+P38+V38+AB38+AH38+AN38+AT38+AZ38+BF38+BL38+BR38+BX38,0)</f>
        <v>115</v>
      </c>
      <c r="CM38" s="129">
        <f t="shared" ca="1" si="108"/>
        <v>0.74193548387096775</v>
      </c>
      <c r="CN38" s="25">
        <f t="shared" ref="CN38:CO43" ca="1" si="135">IF($CN$5="Q1",F38+L38+R38,
IF($CN$5="Q2",X38+AD38++AJ38,
IF($CN$5="Q3",AP38+AV38+BB38,
IF($CN$5="Q4",BH38+BN38+BT38,0))))</f>
        <v>77</v>
      </c>
      <c r="CO38" s="27">
        <f t="shared" ca="1" si="135"/>
        <v>87</v>
      </c>
      <c r="CP38" s="128">
        <f t="shared" ca="1" si="109"/>
        <v>1.1298701298701299</v>
      </c>
      <c r="CQ38" s="293">
        <f t="shared" ref="CQ38:CQ43" si="136">IF($CN$5="Q1",H38+N38+T38,
IF($CN$5="Q2",Z38+AF38++AL38,
IF($CN$5="Q3",AR38+AX38+BD38,
IF($CN$5="Q4",BJ38+BP38+BV38,0))))</f>
        <v>84</v>
      </c>
      <c r="CR38" s="129">
        <f t="shared" ca="1" si="110"/>
        <v>0.96551724137931039</v>
      </c>
      <c r="CS38" s="27">
        <f t="shared" si="111"/>
        <v>0</v>
      </c>
      <c r="CT38" s="129">
        <f t="shared" ca="1" si="112"/>
        <v>0</v>
      </c>
      <c r="CU38" s="25">
        <f t="shared" ca="1" si="78"/>
        <v>155</v>
      </c>
      <c r="CV38" s="27">
        <f t="shared" ca="1" si="78"/>
        <v>175</v>
      </c>
      <c r="CW38" s="128">
        <f t="shared" ca="1" si="113"/>
        <v>1.1290322580645162</v>
      </c>
      <c r="CX38" s="27">
        <f t="shared" si="114"/>
        <v>172</v>
      </c>
      <c r="CY38" s="129">
        <f t="shared" ca="1" si="115"/>
        <v>0.98285714285714287</v>
      </c>
      <c r="CZ38" s="27">
        <f t="shared" si="116"/>
        <v>115</v>
      </c>
      <c r="DA38" s="130">
        <f t="shared" ca="1" si="117"/>
        <v>0.74193548387096775</v>
      </c>
      <c r="DB38" s="25">
        <f t="shared" ref="DB38:DC43" ca="1" si="137">IF($DB$5="S 1",F38+L38+R38+X38+AD38++AJ38,
IF($DB$5="S 2",AP38+AV38+BB38+BH38+BN38+BT38,0))</f>
        <v>0</v>
      </c>
      <c r="DC38" s="27">
        <f t="shared" ca="1" si="137"/>
        <v>0</v>
      </c>
      <c r="DD38" s="128">
        <f t="shared" ca="1" si="118"/>
        <v>0</v>
      </c>
      <c r="DE38" s="27">
        <f t="shared" ref="DE38:DE43" si="138">IFERROR(IF($DB$5="S 1",H38+N38+T38+Z38+AF38++AL38,
IF($DB$5="S 2",AR38+AX38+BD38+BJ38+BP38+BV38,0)),0)</f>
        <v>0</v>
      </c>
      <c r="DF38" s="129" t="str">
        <f t="shared" ca="1" si="119"/>
        <v>N.D.</v>
      </c>
      <c r="DG38" s="27">
        <f t="shared" ref="DG38:DG43" si="139">IFERROR(IF($DB$5="S 1",J38+P38+V38+AB38+AH38+AN38,
IF($DB$5="S 2",AT38+AZ38+BF38+BL38+BR38+BX38,0)),0)</f>
        <v>0</v>
      </c>
      <c r="DH38" s="130">
        <f t="shared" ca="1" si="120"/>
        <v>0</v>
      </c>
      <c r="DI38" s="510">
        <v>1</v>
      </c>
      <c r="DJ38" s="369" t="s">
        <v>56</v>
      </c>
      <c r="DK38" s="25">
        <f t="shared" ca="1" si="121"/>
        <v>155</v>
      </c>
      <c r="DL38" s="27">
        <f t="shared" ca="1" si="79"/>
        <v>175</v>
      </c>
      <c r="DM38" s="128">
        <f t="shared" ca="1" si="122"/>
        <v>1.1290322580645162</v>
      </c>
      <c r="DN38" s="293">
        <f t="shared" si="123"/>
        <v>172</v>
      </c>
      <c r="DO38" s="129">
        <f t="shared" ca="1" si="124"/>
        <v>0.98285714285714287</v>
      </c>
      <c r="DP38" s="27">
        <f t="shared" si="125"/>
        <v>115</v>
      </c>
      <c r="DQ38" s="130">
        <f t="shared" ca="1" si="126"/>
        <v>0.74193548387096775</v>
      </c>
      <c r="DR38"/>
      <c r="DS38" s="4">
        <f ca="1"/>
        <v>100</v>
      </c>
      <c r="DT38" s="4">
        <f ca="1"/>
        <v>98</v>
      </c>
      <c r="DU38" s="508">
        <f ca="1"/>
        <v>1.0049999999999999</v>
      </c>
      <c r="DW38" s="508">
        <f ca="1"/>
        <v>0.90697674418604646</v>
      </c>
      <c r="DX38" s="4">
        <v>27</v>
      </c>
      <c r="DY38" s="508">
        <f ca="1"/>
        <v>0.28888888888888886</v>
      </c>
    </row>
    <row r="39" spans="1:129" s="4" customFormat="1" ht="15" customHeight="1" x14ac:dyDescent="0.35">
      <c r="A39" s="4">
        <f>_xlfn.XLOOKUP(B39,'WHOLESALE BMW 2026'!$B$7:$B$67,'WHOLESALE BMW 2026'!$A$7:$A$67)</f>
        <v>6</v>
      </c>
      <c r="B39" s="8">
        <v>100585</v>
      </c>
      <c r="C39" s="369" t="s">
        <v>58</v>
      </c>
      <c r="D39" s="125"/>
      <c r="E39" s="309" t="s">
        <v>87</v>
      </c>
      <c r="F39" s="21">
        <f ca="1">SUMIF('UC BMW 2026'!B37:B113,'UC BMW 2026'!B37,'UC BMW 2026'!F37:F104)</f>
        <v>6</v>
      </c>
      <c r="G39" s="24">
        <f ca="1">SUMIF('UC BMW 2026'!$B$5:$B$77,'UC BMW 2026'!B37,'UC BMW 2026'!$G$5:$G$72)</f>
        <v>6</v>
      </c>
      <c r="H39" s="24">
        <f>IFERROR(VLOOKUP(B39,[2]BPS!$B$10:$O$64,3,0),0)-IF(B39=100873,IFERROR(VLOOKUP("Enero",[2]BPS!$B$74:$C$89,2,0),0),0)</f>
        <v>5</v>
      </c>
      <c r="I39" s="282">
        <f t="shared" ca="1" si="80"/>
        <v>0.83333333333333337</v>
      </c>
      <c r="J39" s="380">
        <f>IFERROR(VLOOKUP(B39,'[2]RETAIL ORIGEN RMKT'!$B$11:$O$62,3,0),0)</f>
        <v>0</v>
      </c>
      <c r="K39" s="127">
        <f t="shared" ca="1" si="81"/>
        <v>0</v>
      </c>
      <c r="L39" s="21">
        <f ca="1">SUMIF('UC BMW 2026'!$B$5:$B$77,'UC BMW 2026'!$B37,'UC BMW 2026'!$H$5:$H$72)</f>
        <v>6</v>
      </c>
      <c r="M39" s="24">
        <f ca="1">SUMIF('UC BMW 2026'!$B$5:$B$77,'UC BMW 2026'!$B37,'UC BMW 2026'!$I$5:$I$72)</f>
        <v>5</v>
      </c>
      <c r="N39" s="24">
        <f>IFERROR(VLOOKUP(B39,[2]BPS!$B$10:$O$64,4,0),0)-IF(B39=100873,IFERROR(VLOOKUP("Febrero",[2]BPS!$B$74:$C$89,2,0),0),0)</f>
        <v>5</v>
      </c>
      <c r="O39" s="282">
        <f t="shared" ca="1" si="82"/>
        <v>1</v>
      </c>
      <c r="P39" s="380">
        <f>IFERROR(VLOOKUP(B39,'[2]RETAIL ORIGEN RMKT'!$B$11:$O$62,4,0),0)</f>
        <v>1</v>
      </c>
      <c r="Q39" s="127">
        <f t="shared" ca="1" si="83"/>
        <v>0.16666666666666666</v>
      </c>
      <c r="R39" s="21">
        <f ca="1">SUMIF('UC BMW 2026'!$B$5:$B$77,'UC BMW 2026'!$B37,'UC BMW 2026'!$J$5:$J$72)</f>
        <v>7</v>
      </c>
      <c r="S39" s="24">
        <f ca="1">SUMIF('UC BMW 2026'!$B$5:$B$77,'UC BMW 2026'!$B37,'UC BMW 2026'!$K$5:$K$72)</f>
        <v>11</v>
      </c>
      <c r="T39" s="24">
        <f>IFERROR(VLOOKUP(B39,[2]BPS!$B$10:$O$64,5,0),0)-IF(B39=100873,IFERROR(VLOOKUP("Marzo",[2]BPS!$B$74:$C$89,2,0),0),0)</f>
        <v>11</v>
      </c>
      <c r="U39" s="282">
        <f t="shared" ca="1" si="84"/>
        <v>1</v>
      </c>
      <c r="V39" s="380">
        <f>IFERROR(VLOOKUP(B39,'[2]RETAIL ORIGEN RMKT'!$B$11:$O$62,5,0),0)</f>
        <v>1</v>
      </c>
      <c r="W39" s="127">
        <f t="shared" ca="1" si="85"/>
        <v>0.14285714285714285</v>
      </c>
      <c r="X39" s="21">
        <f ca="1">SUMIF('UC BMW 2026'!$B$5:$B$77,'UC BMW 2026'!$B37,'UC BMW 2026'!$L$5:$L$72)</f>
        <v>6</v>
      </c>
      <c r="Y39" s="24">
        <f ca="1">SUMIF('UC BMW 2026'!$B$5:$B$77,'UC BMW 2026'!$B37,'UC BMW 2026'!$M$5:$M$72)</f>
        <v>2</v>
      </c>
      <c r="Z39" s="24">
        <f>IFERROR(VLOOKUP(B39,[2]BPS!$B$10:$O$64,6,0),0)-IF(B39=100873,IFERROR(VLOOKUP("Abril",[2]BPS!$B$74:$C$89,2,0),0),0)</f>
        <v>1</v>
      </c>
      <c r="AA39" s="282">
        <f t="shared" ca="1" si="86"/>
        <v>0.5</v>
      </c>
      <c r="AB39" s="380">
        <f>IFERROR(VLOOKUP(B39,'[2]RETAIL ORIGEN RMKT'!$B$11:$O$62,6,0),0)</f>
        <v>1</v>
      </c>
      <c r="AC39" s="127">
        <f t="shared" ca="1" si="87"/>
        <v>0.16666666666666666</v>
      </c>
      <c r="AD39" s="21">
        <f ca="1">SUMIF('UC BMW 2026'!$B$5:$B$77,'UC BMW 2026'!$B37,'UC BMW 2026'!$N$5:$N$72)</f>
        <v>6</v>
      </c>
      <c r="AE39" s="24">
        <f ca="1">SUMIF('UC BMW 2026'!$B$5:$B$77,'UC BMW 2026'!$B37,'UC BMW 2026'!$O$5:$O$72)</f>
        <v>9</v>
      </c>
      <c r="AF39" s="24">
        <f>IFERROR(VLOOKUP(B39,[2]BPS!$B$10:$O$64,7,0),0)-IF(B39=100873,IFERROR(VLOOKUP("Mayo",[2]BPS!$B$74:$C$89,2,0),0),0)</f>
        <v>9</v>
      </c>
      <c r="AG39" s="282">
        <f t="shared" ca="1" si="88"/>
        <v>1</v>
      </c>
      <c r="AH39" s="380">
        <f>IFERROR(VLOOKUP(B39,'[2]RETAIL ORIGEN RMKT'!$B$11:$O$62,7,0),0)</f>
        <v>3</v>
      </c>
      <c r="AI39" s="127">
        <f t="shared" ca="1" si="89"/>
        <v>0.5</v>
      </c>
      <c r="AJ39" s="21">
        <f ca="1">SUMIF('UC BMW 2026'!$B$5:$B$77,'UC BMW 2026'!$B37,'UC BMW 2026'!$P$5:$P$72)</f>
        <v>7</v>
      </c>
      <c r="AK39" s="24">
        <f ca="1">SUMIF('UC BMW 2026'!$B$5:$B$77,'UC BMW 2026'!$B37,'UC BMW 2026'!$Q$5:$Q$72)</f>
        <v>10</v>
      </c>
      <c r="AL39" s="24">
        <f>IFERROR(VLOOKUP(B39,[2]BPS!$B$10:$O$64,8,0),0)-IF(B39=100873,IFERROR(VLOOKUP("Junio",[2]BPS!$B$74:$C$89,2,0),0),0)</f>
        <v>8</v>
      </c>
      <c r="AM39" s="282">
        <f t="shared" ca="1" si="90"/>
        <v>0.8</v>
      </c>
      <c r="AN39" s="380">
        <f>IFERROR(VLOOKUP(B39,'[2]RETAIL ORIGEN RMKT'!$B$11:$O$62,8,0),0)</f>
        <v>3</v>
      </c>
      <c r="AO39" s="127">
        <f t="shared" ca="1" si="91"/>
        <v>0.42857142857142855</v>
      </c>
      <c r="AP39" s="21">
        <f ca="1">SUMIF('UC BMW 2026'!$B$5:$B$77,'UC BMW 2026'!$B37,'UC BMW 2026'!$R$5:$R$72)</f>
        <v>6</v>
      </c>
      <c r="AQ39" s="24">
        <f ca="1">SUMIF('UC BMW 2026'!$B$5:$B$77,'UC BMW 2026'!$B37,'UC BMW 2026'!$S$5:$S$72)</f>
        <v>0</v>
      </c>
      <c r="AR39" s="24">
        <f>IFERROR(VLOOKUP(B39,[2]BPS!$B$10:$O$64,9,0),0)-IF(B39=100873,IFERROR(VLOOKUP("Julio",[2]BPS!$B$74:$C$89,2,0),0),0)</f>
        <v>0</v>
      </c>
      <c r="AS39" s="282">
        <f t="shared" ca="1" si="92"/>
        <v>0</v>
      </c>
      <c r="AT39" s="380">
        <f>IFERROR(VLOOKUP(B39,'[2]RETAIL ORIGEN RMKT'!$B$11:$O$62,9,0),0)</f>
        <v>0</v>
      </c>
      <c r="AU39" s="127">
        <f t="shared" ca="1" si="93"/>
        <v>0</v>
      </c>
      <c r="AV39" s="21">
        <f ca="1">SUMIF('UC BMW 2026'!$B$5:$B$77,'UC BMW 2026'!$B37,'UC BMW 2026'!$T$5:$T$72)</f>
        <v>6</v>
      </c>
      <c r="AW39" s="24">
        <f ca="1">SUMIF('UC BMW 2026'!$B$5:$B$77,'UC BMW 2026'!$B37,'UC BMW 2026'!$U$5:$U$72)</f>
        <v>0</v>
      </c>
      <c r="AX39" s="24">
        <f>IFERROR(VLOOKUP(B39,[2]BPS!$B$10:$O$64,10,0),0)-IF(B39=100873,IFERROR(VLOOKUP("Agosto",[2]BPS!$B$74:$C$89,2,0),0),0)</f>
        <v>0</v>
      </c>
      <c r="AY39" s="282">
        <f t="shared" ca="1" si="94"/>
        <v>0</v>
      </c>
      <c r="AZ39" s="380">
        <f>IFERROR(VLOOKUP(B39,'[2]RETAIL ORIGEN RMKT'!$B$11:$O$62,10,0),0)</f>
        <v>0</v>
      </c>
      <c r="BA39" s="127">
        <f t="shared" ca="1" si="95"/>
        <v>0</v>
      </c>
      <c r="BB39" s="21">
        <f ca="1">SUMIF('UC BMW 2026'!$B$5:$B$77,'UC BMW 2026'!$B37,'UC BMW 2026'!$V$5:$V$72)</f>
        <v>6</v>
      </c>
      <c r="BC39" s="24">
        <f>SUMIF('UC BMW 2026'!$B$5:$B$77,'UC BMW 2026'!$B37,'UC BMW 2026'!$W$5:$W$77)</f>
        <v>0</v>
      </c>
      <c r="BD39" s="24">
        <f>IFERROR(VLOOKUP(B39,[2]BPS!$B$10:$O$64,11,0),0)-IF(B39=100873,IFERROR(VLOOKUP("Septiembre",[2]BPS!$B$74:$C$89,2,0),0),0)</f>
        <v>0</v>
      </c>
      <c r="BE39" s="282">
        <f t="shared" si="96"/>
        <v>0</v>
      </c>
      <c r="BF39" s="380">
        <f>IFERROR(VLOOKUP(B39,'[2]RETAIL ORIGEN RMKT'!$B$11:$O$62,11,0),0)</f>
        <v>0</v>
      </c>
      <c r="BG39" s="127">
        <f t="shared" ca="1" si="97"/>
        <v>0</v>
      </c>
      <c r="BH39" s="21">
        <f>SUMIF('UC BMW 2026'!$B$5:$B$77,'UC BMW 2026'!$B37,'UC BMW 2026'!$X$5:$X$77)</f>
        <v>6</v>
      </c>
      <c r="BI39" s="24">
        <f>SUMIF('UC BMW 2026'!$B$5:$B$77,'UC BMW 2026'!$B37,'UC BMW 2026'!$Y$5:$Y$77)</f>
        <v>0</v>
      </c>
      <c r="BJ39" s="24">
        <f>IFERROR(VLOOKUP(B39,[2]BPS!$B$10:$O$64,12,0),0)-IF(B39=100873,IFERROR(VLOOKUP("Octubre",[2]BPS!$B$74:$C$89,2,0),0),0)</f>
        <v>0</v>
      </c>
      <c r="BK39" s="282">
        <f t="shared" si="98"/>
        <v>0</v>
      </c>
      <c r="BL39" s="380">
        <f>IFERROR(VLOOKUP(B39,'[2]RETAIL ORIGEN RMKT'!$B$11:$O$62,12,0),0)</f>
        <v>0</v>
      </c>
      <c r="BM39" s="127">
        <f t="shared" si="99"/>
        <v>0</v>
      </c>
      <c r="BN39" s="21">
        <f>SUMIF('UC BMW 2026'!$B$5:$B$77,'UC BMW 2026'!$B37,'UC BMW 2026'!$Z$5:$Z$77)</f>
        <v>6</v>
      </c>
      <c r="BO39" s="24">
        <f>SUMIF('UC BMW 2026'!$B$5:$B$77,'UC BMW 2026'!$B37,'UC BMW 2026'!$AA$5:$AA$77)</f>
        <v>0</v>
      </c>
      <c r="BP39" s="24">
        <f>IFERROR(VLOOKUP(B39,[2]BPS!$B$10:$O$64,13,0),0)-IF(B39=100873,IFERROR(VLOOKUP("Noviembre",[2]BPS!$B$74:$C$89,2,0),0),0)</f>
        <v>0</v>
      </c>
      <c r="BQ39" s="282">
        <f t="shared" si="100"/>
        <v>0</v>
      </c>
      <c r="BR39" s="380">
        <f>IFERROR(VLOOKUP(B39,'[2]RETAIL ORIGEN RMKT'!$B$11:$O$62,13,0),0)</f>
        <v>0</v>
      </c>
      <c r="BS39" s="127">
        <f t="shared" si="101"/>
        <v>0</v>
      </c>
      <c r="BT39" s="21">
        <f>SUMIF('UC BMW 2026'!$B$5:$B$77,'UC BMW 2026'!$B37,'UC BMW 2026'!$AB$5:$AB$77)</f>
        <v>8</v>
      </c>
      <c r="BU39" s="24">
        <f>SUMIF('UC BMW 2026'!$B$5:$B$77,'UC BMW 2026'!$B37,'UC BMW 2026'!$AC$5:$AC$77)</f>
        <v>0</v>
      </c>
      <c r="BV39" s="24">
        <f>IFERROR(VLOOKUP(B39,[2]BPS!$B$10:$O$64,13,0),0)-IF(B39=100873,IFERROR(VLOOKUP("Diciembre",[2]BPS!$B$74:$C$89,2,0),0),0)</f>
        <v>0</v>
      </c>
      <c r="BW39" s="282">
        <f t="shared" si="102"/>
        <v>0</v>
      </c>
      <c r="BX39" s="380">
        <f>IFERROR(VLOOKUP(B39,'[2]RETAIL ORIGEN RMKT'!$B$11:$O$62,14,0),0)</f>
        <v>0</v>
      </c>
      <c r="BY39" s="127">
        <f t="shared" si="103"/>
        <v>0</v>
      </c>
      <c r="BZ39" s="25">
        <f t="shared" ca="1" si="127"/>
        <v>38</v>
      </c>
      <c r="CA39" s="27">
        <f t="shared" ca="1" si="127"/>
        <v>43</v>
      </c>
      <c r="CB39" s="287">
        <f t="shared" ca="1" si="104"/>
        <v>1.131578947368421</v>
      </c>
      <c r="CC39" s="294">
        <f t="shared" si="128"/>
        <v>39</v>
      </c>
      <c r="CD39" s="129">
        <f t="shared" ca="1" si="129"/>
        <v>0.90697674418604646</v>
      </c>
      <c r="CE39" s="24">
        <f t="shared" si="130"/>
        <v>9</v>
      </c>
      <c r="CF39" s="129">
        <f t="shared" ca="1" si="105"/>
        <v>0.23684210526315788</v>
      </c>
      <c r="CG39" s="25">
        <f t="shared" ca="1" si="131"/>
        <v>76</v>
      </c>
      <c r="CH39" s="27">
        <f t="shared" ca="1" si="132"/>
        <v>43</v>
      </c>
      <c r="CI39" s="287">
        <f t="shared" ca="1" si="106"/>
        <v>0.56578947368421051</v>
      </c>
      <c r="CJ39" s="294">
        <f t="shared" si="133"/>
        <v>39</v>
      </c>
      <c r="CK39" s="129">
        <f t="shared" ca="1" si="107"/>
        <v>0.90697674418604646</v>
      </c>
      <c r="CL39" s="27">
        <f t="shared" si="134"/>
        <v>9</v>
      </c>
      <c r="CM39" s="129">
        <f t="shared" ca="1" si="108"/>
        <v>0.11842105263157894</v>
      </c>
      <c r="CN39" s="25">
        <f t="shared" ca="1" si="135"/>
        <v>19</v>
      </c>
      <c r="CO39" s="27">
        <f t="shared" ca="1" si="135"/>
        <v>22</v>
      </c>
      <c r="CP39" s="287">
        <f t="shared" ca="1" si="109"/>
        <v>1.1578947368421053</v>
      </c>
      <c r="CQ39" s="294">
        <f t="shared" si="136"/>
        <v>21</v>
      </c>
      <c r="CR39" s="129">
        <f t="shared" ca="1" si="110"/>
        <v>0.95454545454545459</v>
      </c>
      <c r="CS39" s="27">
        <f t="shared" si="111"/>
        <v>0</v>
      </c>
      <c r="CT39" s="129">
        <f t="shared" ca="1" si="112"/>
        <v>0</v>
      </c>
      <c r="CU39" s="25">
        <f t="shared" ca="1" si="78"/>
        <v>38</v>
      </c>
      <c r="CV39" s="27">
        <f t="shared" ca="1" si="78"/>
        <v>43</v>
      </c>
      <c r="CW39" s="287">
        <f t="shared" ca="1" si="113"/>
        <v>1.131578947368421</v>
      </c>
      <c r="CX39" s="27">
        <f t="shared" si="114"/>
        <v>39</v>
      </c>
      <c r="CY39" s="129">
        <f t="shared" ca="1" si="115"/>
        <v>0.90697674418604646</v>
      </c>
      <c r="CZ39" s="27">
        <f t="shared" si="116"/>
        <v>9</v>
      </c>
      <c r="DA39" s="130">
        <f t="shared" ca="1" si="117"/>
        <v>0.23684210526315788</v>
      </c>
      <c r="DB39" s="25">
        <f t="shared" ca="1" si="137"/>
        <v>38</v>
      </c>
      <c r="DC39" s="27">
        <f t="shared" ca="1" si="137"/>
        <v>0</v>
      </c>
      <c r="DD39" s="287">
        <f t="shared" ca="1" si="118"/>
        <v>0</v>
      </c>
      <c r="DE39" s="27">
        <f t="shared" si="138"/>
        <v>0</v>
      </c>
      <c r="DF39" s="129" t="str">
        <f t="shared" ca="1" si="119"/>
        <v>N.D.</v>
      </c>
      <c r="DG39" s="27">
        <f t="shared" si="139"/>
        <v>0</v>
      </c>
      <c r="DH39" s="130">
        <f t="shared" ca="1" si="120"/>
        <v>0</v>
      </c>
      <c r="DI39" s="510">
        <v>1</v>
      </c>
      <c r="DJ39" s="369" t="s">
        <v>58</v>
      </c>
      <c r="DK39" s="25">
        <f t="shared" ca="1" si="121"/>
        <v>38</v>
      </c>
      <c r="DL39" s="27">
        <f t="shared" ca="1" si="79"/>
        <v>43</v>
      </c>
      <c r="DM39" s="287">
        <f t="shared" ca="1" si="122"/>
        <v>1.131578947368421</v>
      </c>
      <c r="DN39" s="294">
        <f t="shared" si="123"/>
        <v>39</v>
      </c>
      <c r="DO39" s="129">
        <f t="shared" ca="1" si="124"/>
        <v>0.90697674418604646</v>
      </c>
      <c r="DP39" s="27">
        <f t="shared" si="125"/>
        <v>9</v>
      </c>
      <c r="DQ39" s="130">
        <f t="shared" ca="1" si="126"/>
        <v>0.23684210526315788</v>
      </c>
      <c r="DR39"/>
      <c r="DS39" s="4">
        <f ca="1"/>
        <v>100</v>
      </c>
      <c r="DT39" s="4">
        <f ca="1"/>
        <v>96</v>
      </c>
      <c r="DU39" s="508">
        <f ca="1"/>
        <v>1</v>
      </c>
      <c r="DW39" s="508">
        <f ca="1"/>
        <v>0.90361445783132532</v>
      </c>
      <c r="DX39" s="4">
        <v>27</v>
      </c>
      <c r="DY39" s="508">
        <f ca="1"/>
        <v>0.27272727272727271</v>
      </c>
    </row>
    <row r="40" spans="1:129" s="4" customFormat="1" ht="15" customHeight="1" x14ac:dyDescent="0.35">
      <c r="A40" s="4">
        <f>_xlfn.XLOOKUP(B40,'WHOLESALE BMW 2026'!$B$7:$B$67,'WHOLESALE BMW 2026'!$A$7:$A$67)</f>
        <v>6</v>
      </c>
      <c r="B40" s="8">
        <v>100597</v>
      </c>
      <c r="C40" s="369" t="s">
        <v>53</v>
      </c>
      <c r="D40" s="125"/>
      <c r="E40" s="309" t="s">
        <v>105</v>
      </c>
      <c r="F40" s="21">
        <f ca="1">SUMIF('UC BMW 2026'!B38:B114,'UC BMW 2026'!B38,'UC BMW 2026'!F38:F105)</f>
        <v>6</v>
      </c>
      <c r="G40" s="24">
        <f ca="1">SUMIF('UC BMW 2026'!$B$5:$B$77,'UC BMW 2026'!B38,'UC BMW 2026'!$G$5:$G$72)</f>
        <v>7</v>
      </c>
      <c r="H40" s="24">
        <f>IFERROR(VLOOKUP(B40,[2]BPS!$B$10:$O$64,3,0),0)-IF(B40=100873,IFERROR(VLOOKUP("Enero",[2]BPS!$B$74:$C$89,2,0),0),0)</f>
        <v>7</v>
      </c>
      <c r="I40" s="282">
        <f t="shared" ca="1" si="80"/>
        <v>1</v>
      </c>
      <c r="J40" s="380">
        <f>IFERROR(VLOOKUP(B40,'[2]RETAIL ORIGEN RMKT'!$B$11:$O$62,3,0),0)</f>
        <v>4</v>
      </c>
      <c r="K40" s="127">
        <f t="shared" ca="1" si="81"/>
        <v>0.66666666666666663</v>
      </c>
      <c r="L40" s="21">
        <f ca="1">SUMIF('UC BMW 2026'!$B$5:$B$77,'UC BMW 2026'!$B38,'UC BMW 2026'!$H$5:$H$72)</f>
        <v>6</v>
      </c>
      <c r="M40" s="24">
        <f ca="1">SUMIF('UC BMW 2026'!$B$5:$B$77,'UC BMW 2026'!$B38,'UC BMW 2026'!$I$5:$I$72)</f>
        <v>7</v>
      </c>
      <c r="N40" s="24">
        <f>IFERROR(VLOOKUP(B40,[2]BPS!$B$10:$O$64,4,0),0)-IF(B40=100873,IFERROR(VLOOKUP("Febrero",[2]BPS!$B$74:$C$89,2,0),0),0)</f>
        <v>7</v>
      </c>
      <c r="O40" s="282">
        <f t="shared" ca="1" si="82"/>
        <v>1</v>
      </c>
      <c r="P40" s="380">
        <f>IFERROR(VLOOKUP(B40,'[2]RETAIL ORIGEN RMKT'!$B$11:$O$62,4,0),0)</f>
        <v>3</v>
      </c>
      <c r="Q40" s="127">
        <f t="shared" ca="1" si="83"/>
        <v>0.5</v>
      </c>
      <c r="R40" s="21">
        <f ca="1">SUMIF('UC BMW 2026'!$B$5:$B$77,'UC BMW 2026'!$B38,'UC BMW 2026'!$J$5:$J$72)</f>
        <v>6</v>
      </c>
      <c r="S40" s="24">
        <f ca="1">SUMIF('UC BMW 2026'!$B$5:$B$77,'UC BMW 2026'!$B38,'UC BMW 2026'!$K$5:$K$72)</f>
        <v>6</v>
      </c>
      <c r="T40" s="24">
        <f>IFERROR(VLOOKUP(B40,[2]BPS!$B$10:$O$64,5,0),0)-IF(B40=100873,IFERROR(VLOOKUP("Marzo",[2]BPS!$B$74:$C$89,2,0),0),0)</f>
        <v>5</v>
      </c>
      <c r="U40" s="282">
        <f t="shared" ca="1" si="84"/>
        <v>0.83333333333333337</v>
      </c>
      <c r="V40" s="380">
        <f>IFERROR(VLOOKUP(B40,'[2]RETAIL ORIGEN RMKT'!$B$11:$O$62,5,0),0)</f>
        <v>3</v>
      </c>
      <c r="W40" s="127">
        <f t="shared" ca="1" si="85"/>
        <v>0.5</v>
      </c>
      <c r="X40" s="21">
        <f ca="1">SUMIF('UC BMW 2026'!$B$5:$B$77,'UC BMW 2026'!$B38,'UC BMW 2026'!$L$5:$L$72)</f>
        <v>6</v>
      </c>
      <c r="Y40" s="24">
        <f ca="1">SUMIF('UC BMW 2026'!$B$5:$B$77,'UC BMW 2026'!$B38,'UC BMW 2026'!$M$5:$M$72)</f>
        <v>8</v>
      </c>
      <c r="Z40" s="24">
        <f>IFERROR(VLOOKUP(B40,[2]BPS!$B$10:$O$64,6,0),0)-IF(B40=100873,IFERROR(VLOOKUP("Abril",[2]BPS!$B$74:$C$89,2,0),0),0)</f>
        <v>5</v>
      </c>
      <c r="AA40" s="282">
        <f t="shared" ca="1" si="86"/>
        <v>0.625</v>
      </c>
      <c r="AB40" s="380">
        <f>IFERROR(VLOOKUP(B40,'[2]RETAIL ORIGEN RMKT'!$B$11:$O$62,6,0),0)</f>
        <v>4</v>
      </c>
      <c r="AC40" s="127">
        <f t="shared" ca="1" si="87"/>
        <v>0.66666666666666663</v>
      </c>
      <c r="AD40" s="21">
        <f ca="1">SUMIF('UC BMW 2026'!$B$5:$B$77,'UC BMW 2026'!$B38,'UC BMW 2026'!$N$5:$N$72)</f>
        <v>6</v>
      </c>
      <c r="AE40" s="24">
        <f ca="1">SUMIF('UC BMW 2026'!$B$5:$B$77,'UC BMW 2026'!$B38,'UC BMW 2026'!$O$5:$O$72)</f>
        <v>3</v>
      </c>
      <c r="AF40" s="24">
        <f>IFERROR(VLOOKUP(B40,[2]BPS!$B$10:$O$64,7,0),0)-IF(B40=100873,IFERROR(VLOOKUP("Mayo",[2]BPS!$B$74:$C$89,2,0),0),0)</f>
        <v>3</v>
      </c>
      <c r="AG40" s="282">
        <f t="shared" ca="1" si="88"/>
        <v>1</v>
      </c>
      <c r="AH40" s="380">
        <f>IFERROR(VLOOKUP(B40,'[2]RETAIL ORIGEN RMKT'!$B$11:$O$62,7,0),0)</f>
        <v>2</v>
      </c>
      <c r="AI40" s="127">
        <f t="shared" ca="1" si="89"/>
        <v>0.33333333333333331</v>
      </c>
      <c r="AJ40" s="21">
        <f ca="1">SUMIF('UC BMW 2026'!$B$5:$B$77,'UC BMW 2026'!$B38,'UC BMW 2026'!$P$5:$P$72)</f>
        <v>7</v>
      </c>
      <c r="AK40" s="24">
        <f ca="1">SUMIF('UC BMW 2026'!$B$5:$B$77,'UC BMW 2026'!$B38,'UC BMW 2026'!$Q$5:$Q$72)</f>
        <v>7</v>
      </c>
      <c r="AL40" s="24">
        <f>IFERROR(VLOOKUP(B40,[2]BPS!$B$10:$O$64,8,0),0)-IF(B40=100873,IFERROR(VLOOKUP("Junio",[2]BPS!$B$74:$C$89,2,0),0),0)</f>
        <v>7</v>
      </c>
      <c r="AM40" s="282">
        <f t="shared" ca="1" si="90"/>
        <v>1</v>
      </c>
      <c r="AN40" s="380">
        <f>IFERROR(VLOOKUP(B40,'[2]RETAIL ORIGEN RMKT'!$B$11:$O$62,8,0),0)</f>
        <v>1</v>
      </c>
      <c r="AO40" s="127">
        <f t="shared" ca="1" si="91"/>
        <v>0.14285714285714285</v>
      </c>
      <c r="AP40" s="21">
        <f ca="1">SUMIF('UC BMW 2026'!$B$5:$B$77,'UC BMW 2026'!$B38,'UC BMW 2026'!$R$5:$R$72)</f>
        <v>6</v>
      </c>
      <c r="AQ40" s="24">
        <f ca="1">SUMIF('UC BMW 2026'!$B$5:$B$77,'UC BMW 2026'!$B38,'UC BMW 2026'!$S$5:$S$72)</f>
        <v>0</v>
      </c>
      <c r="AR40" s="24">
        <f>IFERROR(VLOOKUP(B40,[2]BPS!$B$10:$O$64,9,0),0)-IF(B40=100873,IFERROR(VLOOKUP("Julio",[2]BPS!$B$74:$C$89,2,0),0),0)</f>
        <v>0</v>
      </c>
      <c r="AS40" s="282">
        <f t="shared" ca="1" si="92"/>
        <v>0</v>
      </c>
      <c r="AT40" s="380">
        <f>IFERROR(VLOOKUP(B40,'[2]RETAIL ORIGEN RMKT'!$B$11:$O$62,9,0),0)</f>
        <v>0</v>
      </c>
      <c r="AU40" s="127">
        <f t="shared" ca="1" si="93"/>
        <v>0</v>
      </c>
      <c r="AV40" s="21">
        <f ca="1">SUMIF('UC BMW 2026'!$B$5:$B$77,'UC BMW 2026'!$B38,'UC BMW 2026'!$T$5:$T$72)</f>
        <v>6</v>
      </c>
      <c r="AW40" s="24">
        <f ca="1">SUMIF('UC BMW 2026'!$B$5:$B$77,'UC BMW 2026'!$B38,'UC BMW 2026'!$U$5:$U$72)</f>
        <v>0</v>
      </c>
      <c r="AX40" s="24">
        <f>IFERROR(VLOOKUP(B40,[2]BPS!$B$10:$O$64,10,0),0)-IF(B40=100873,IFERROR(VLOOKUP("Agosto",[2]BPS!$B$74:$C$89,2,0),0),0)</f>
        <v>0</v>
      </c>
      <c r="AY40" s="282">
        <f t="shared" ca="1" si="94"/>
        <v>0</v>
      </c>
      <c r="AZ40" s="380">
        <f>IFERROR(VLOOKUP(B40,'[2]RETAIL ORIGEN RMKT'!$B$11:$O$62,10,0),0)</f>
        <v>0</v>
      </c>
      <c r="BA40" s="127">
        <f t="shared" ca="1" si="95"/>
        <v>0</v>
      </c>
      <c r="BB40" s="21">
        <f ca="1">SUMIF('UC BMW 2026'!$B$5:$B$77,'UC BMW 2026'!$B38,'UC BMW 2026'!$V$5:$V$72)</f>
        <v>6</v>
      </c>
      <c r="BC40" s="24">
        <f>SUMIF('UC BMW 2026'!$B$5:$B$77,'UC BMW 2026'!$B38,'UC BMW 2026'!$W$5:$W$77)</f>
        <v>0</v>
      </c>
      <c r="BD40" s="24">
        <f>IFERROR(VLOOKUP(B40,[2]BPS!$B$10:$O$64,11,0),0)-IF(B40=100873,IFERROR(VLOOKUP("Septiembre",[2]BPS!$B$74:$C$89,2,0),0),0)</f>
        <v>0</v>
      </c>
      <c r="BE40" s="282">
        <f t="shared" si="96"/>
        <v>0</v>
      </c>
      <c r="BF40" s="380">
        <f>IFERROR(VLOOKUP(B40,'[2]RETAIL ORIGEN RMKT'!$B$11:$O$62,11,0),0)</f>
        <v>0</v>
      </c>
      <c r="BG40" s="127">
        <f t="shared" ca="1" si="97"/>
        <v>0</v>
      </c>
      <c r="BH40" s="21">
        <f>SUMIF('UC BMW 2026'!$B$5:$B$77,'UC BMW 2026'!$B38,'UC BMW 2026'!$X$5:$X$77)</f>
        <v>6</v>
      </c>
      <c r="BI40" s="24">
        <f>SUMIF('UC BMW 2026'!$B$5:$B$77,'UC BMW 2026'!$B38,'UC BMW 2026'!$Y$5:$Y$77)</f>
        <v>0</v>
      </c>
      <c r="BJ40" s="24">
        <f>IFERROR(VLOOKUP(B40,[2]BPS!$B$10:$O$64,12,0),0)-IF(B40=100873,IFERROR(VLOOKUP("Octubre",[2]BPS!$B$74:$C$89,2,0),0),0)</f>
        <v>0</v>
      </c>
      <c r="BK40" s="282">
        <f t="shared" si="98"/>
        <v>0</v>
      </c>
      <c r="BL40" s="380">
        <f>IFERROR(VLOOKUP(B40,'[2]RETAIL ORIGEN RMKT'!$B$11:$O$62,12,0),0)</f>
        <v>0</v>
      </c>
      <c r="BM40" s="127">
        <f t="shared" si="99"/>
        <v>0</v>
      </c>
      <c r="BN40" s="21">
        <f>SUMIF('UC BMW 2026'!$B$5:$B$77,'UC BMW 2026'!$B38,'UC BMW 2026'!$Z$5:$Z$77)</f>
        <v>6</v>
      </c>
      <c r="BO40" s="24">
        <f>SUMIF('UC BMW 2026'!$B$5:$B$77,'UC BMW 2026'!$B38,'UC BMW 2026'!$AA$5:$AA$77)</f>
        <v>0</v>
      </c>
      <c r="BP40" s="24">
        <f>IFERROR(VLOOKUP(B40,[2]BPS!$B$10:$O$64,13,0),0)-IF(B40=100873,IFERROR(VLOOKUP("Noviembre",[2]BPS!$B$74:$C$89,2,0),0),0)</f>
        <v>0</v>
      </c>
      <c r="BQ40" s="282">
        <f t="shared" si="100"/>
        <v>0</v>
      </c>
      <c r="BR40" s="380">
        <f>IFERROR(VLOOKUP(B40,'[2]RETAIL ORIGEN RMKT'!$B$11:$O$62,13,0),0)</f>
        <v>0</v>
      </c>
      <c r="BS40" s="127">
        <f t="shared" si="101"/>
        <v>0</v>
      </c>
      <c r="BT40" s="21">
        <f>SUMIF('UC BMW 2026'!$B$5:$B$77,'UC BMW 2026'!$B38,'UC BMW 2026'!$AB$5:$AB$77)</f>
        <v>7</v>
      </c>
      <c r="BU40" s="24">
        <f>SUMIF('UC BMW 2026'!$B$5:$B$77,'UC BMW 2026'!$B38,'UC BMW 2026'!$AC$5:$AC$77)</f>
        <v>0</v>
      </c>
      <c r="BV40" s="24">
        <f>IFERROR(VLOOKUP(B40,[2]BPS!$B$10:$O$64,13,0),0)-IF(B40=100873,IFERROR(VLOOKUP("Diciembre",[2]BPS!$B$74:$C$89,2,0),0),0)</f>
        <v>0</v>
      </c>
      <c r="BW40" s="282">
        <f t="shared" si="102"/>
        <v>0</v>
      </c>
      <c r="BX40" s="380">
        <f>IFERROR(VLOOKUP(B40,'[2]RETAIL ORIGEN RMKT'!$B$11:$O$62,14,0),0)</f>
        <v>0</v>
      </c>
      <c r="BY40" s="127">
        <f t="shared" si="103"/>
        <v>0</v>
      </c>
      <c r="BZ40" s="25">
        <f t="shared" ca="1" si="127"/>
        <v>37</v>
      </c>
      <c r="CA40" s="27">
        <f t="shared" ca="1" si="127"/>
        <v>38</v>
      </c>
      <c r="CB40" s="287">
        <f t="shared" ca="1" si="104"/>
        <v>1.027027027027027</v>
      </c>
      <c r="CC40" s="294">
        <f t="shared" si="128"/>
        <v>34</v>
      </c>
      <c r="CD40" s="129">
        <f t="shared" ca="1" si="129"/>
        <v>0.89473684210526316</v>
      </c>
      <c r="CE40" s="24">
        <f t="shared" si="130"/>
        <v>17</v>
      </c>
      <c r="CF40" s="129">
        <f t="shared" ca="1" si="105"/>
        <v>0.45945945945945948</v>
      </c>
      <c r="CG40" s="25">
        <f t="shared" ca="1" si="131"/>
        <v>74</v>
      </c>
      <c r="CH40" s="27">
        <f t="shared" ca="1" si="132"/>
        <v>38</v>
      </c>
      <c r="CI40" s="287">
        <f t="shared" ca="1" si="106"/>
        <v>0.51351351351351349</v>
      </c>
      <c r="CJ40" s="294">
        <f t="shared" si="133"/>
        <v>34</v>
      </c>
      <c r="CK40" s="129">
        <f t="shared" ca="1" si="107"/>
        <v>0.89473684210526316</v>
      </c>
      <c r="CL40" s="27">
        <f t="shared" si="134"/>
        <v>17</v>
      </c>
      <c r="CM40" s="129">
        <f t="shared" ca="1" si="108"/>
        <v>0.22972972972972974</v>
      </c>
      <c r="CN40" s="25">
        <f t="shared" ca="1" si="135"/>
        <v>18</v>
      </c>
      <c r="CO40" s="27">
        <f t="shared" ca="1" si="135"/>
        <v>20</v>
      </c>
      <c r="CP40" s="287">
        <f t="shared" ca="1" si="109"/>
        <v>1.1111111111111112</v>
      </c>
      <c r="CQ40" s="294">
        <f t="shared" si="136"/>
        <v>19</v>
      </c>
      <c r="CR40" s="129">
        <f t="shared" ca="1" si="110"/>
        <v>0.95</v>
      </c>
      <c r="CS40" s="27">
        <f t="shared" si="111"/>
        <v>0</v>
      </c>
      <c r="CT40" s="129">
        <f t="shared" ca="1" si="112"/>
        <v>0</v>
      </c>
      <c r="CU40" s="25">
        <f t="shared" ca="1" si="78"/>
        <v>37</v>
      </c>
      <c r="CV40" s="27">
        <f t="shared" ca="1" si="78"/>
        <v>38</v>
      </c>
      <c r="CW40" s="287">
        <f t="shared" ca="1" si="113"/>
        <v>1.027027027027027</v>
      </c>
      <c r="CX40" s="27">
        <f t="shared" si="114"/>
        <v>34</v>
      </c>
      <c r="CY40" s="129">
        <f t="shared" ca="1" si="115"/>
        <v>0.89473684210526316</v>
      </c>
      <c r="CZ40" s="27">
        <f t="shared" si="116"/>
        <v>17</v>
      </c>
      <c r="DA40" s="130">
        <f t="shared" ca="1" si="117"/>
        <v>0.45945945945945948</v>
      </c>
      <c r="DB40" s="25">
        <f t="shared" ca="1" si="137"/>
        <v>37</v>
      </c>
      <c r="DC40" s="27">
        <f t="shared" ca="1" si="137"/>
        <v>0</v>
      </c>
      <c r="DD40" s="287">
        <f t="shared" ca="1" si="118"/>
        <v>0</v>
      </c>
      <c r="DE40" s="27">
        <f t="shared" si="138"/>
        <v>0</v>
      </c>
      <c r="DF40" s="129" t="str">
        <f t="shared" ca="1" si="119"/>
        <v>N.D.</v>
      </c>
      <c r="DG40" s="27">
        <f t="shared" si="139"/>
        <v>0</v>
      </c>
      <c r="DH40" s="130">
        <f t="shared" ca="1" si="120"/>
        <v>0</v>
      </c>
      <c r="DI40" s="510">
        <v>1</v>
      </c>
      <c r="DJ40" s="369" t="s">
        <v>53</v>
      </c>
      <c r="DK40" s="25">
        <f t="shared" ca="1" si="121"/>
        <v>37</v>
      </c>
      <c r="DL40" s="27">
        <f t="shared" ca="1" si="79"/>
        <v>38</v>
      </c>
      <c r="DM40" s="287">
        <f t="shared" ca="1" si="122"/>
        <v>1.027027027027027</v>
      </c>
      <c r="DN40" s="294">
        <f t="shared" si="123"/>
        <v>34</v>
      </c>
      <c r="DO40" s="129">
        <f t="shared" ca="1" si="124"/>
        <v>0.89473684210526316</v>
      </c>
      <c r="DP40" s="27">
        <f t="shared" si="125"/>
        <v>17</v>
      </c>
      <c r="DQ40" s="130">
        <f t="shared" ca="1" si="126"/>
        <v>0.45945945945945948</v>
      </c>
      <c r="DR40"/>
      <c r="DS40" s="4">
        <f ca="1"/>
        <v>97</v>
      </c>
      <c r="DT40" s="4">
        <f ca="1"/>
        <v>96</v>
      </c>
      <c r="DU40" s="508">
        <f ca="1"/>
        <v>1</v>
      </c>
      <c r="DW40" s="508">
        <f ca="1"/>
        <v>0.90322580645161288</v>
      </c>
      <c r="DX40" s="4">
        <v>26</v>
      </c>
      <c r="DY40" s="508">
        <f ca="1"/>
        <v>0.26605504587155965</v>
      </c>
    </row>
    <row r="41" spans="1:129" s="4" customFormat="1" ht="15" customHeight="1" x14ac:dyDescent="0.35">
      <c r="A41" s="4">
        <f>_xlfn.XLOOKUP(B41,'WHOLESALE BMW 2026'!$B$7:$B$67,'WHOLESALE BMW 2026'!$A$7:$A$67)</f>
        <v>6</v>
      </c>
      <c r="B41" s="8">
        <v>100727</v>
      </c>
      <c r="C41" s="369" t="s">
        <v>21</v>
      </c>
      <c r="D41" s="125"/>
      <c r="E41" s="309" t="s">
        <v>93</v>
      </c>
      <c r="F41" s="21">
        <f ca="1">SUMIF('UC BMW 2026'!B39:B115,'UC BMW 2026'!B39,'UC BMW 2026'!F39:F106)</f>
        <v>10</v>
      </c>
      <c r="G41" s="24">
        <f ca="1">SUMIF('UC BMW 2026'!$B$5:$B$77,'UC BMW 2026'!B39,'UC BMW 2026'!$G$5:$G$72)</f>
        <v>15</v>
      </c>
      <c r="H41" s="24">
        <f>IFERROR(VLOOKUP(B41,[2]BPS!$B$10:$O$64,3,0),0)-IF(B41=100873,IFERROR(VLOOKUP("Enero",[2]BPS!$B$74:$C$89,2,0),0),0)</f>
        <v>15</v>
      </c>
      <c r="I41" s="285">
        <f t="shared" ca="1" si="80"/>
        <v>1</v>
      </c>
      <c r="J41" s="380">
        <f>IFERROR(VLOOKUP(B41,'[2]RETAIL ORIGEN RMKT'!$B$11:$O$62,3,0),0)</f>
        <v>2</v>
      </c>
      <c r="K41" s="127">
        <f t="shared" ca="1" si="81"/>
        <v>0.2</v>
      </c>
      <c r="L41" s="21">
        <f ca="1">SUMIF('UC BMW 2026'!$B$5:$B$77,'UC BMW 2026'!$B39,'UC BMW 2026'!$H$5:$H$72)</f>
        <v>11</v>
      </c>
      <c r="M41" s="24">
        <f ca="1">SUMIF('UC BMW 2026'!$B$5:$B$77,'UC BMW 2026'!$B39,'UC BMW 2026'!$I$5:$I$72)</f>
        <v>20</v>
      </c>
      <c r="N41" s="24">
        <f>IFERROR(VLOOKUP(B41,[2]BPS!$B$10:$O$64,4,0),0)-IF(B41=100873,IFERROR(VLOOKUP("Febrero",[2]BPS!$B$74:$C$89,2,0),0),0)</f>
        <v>20</v>
      </c>
      <c r="O41" s="285">
        <f t="shared" ca="1" si="82"/>
        <v>1</v>
      </c>
      <c r="P41" s="380">
        <f>IFERROR(VLOOKUP(B41,'[2]RETAIL ORIGEN RMKT'!$B$11:$O$62,4,0),0)</f>
        <v>9</v>
      </c>
      <c r="Q41" s="127">
        <f t="shared" ca="1" si="83"/>
        <v>0.81818181818181823</v>
      </c>
      <c r="R41" s="21">
        <f ca="1">SUMIF('UC BMW 2026'!$B$5:$B$77,'UC BMW 2026'!$B39,'UC BMW 2026'!$J$5:$J$72)</f>
        <v>12</v>
      </c>
      <c r="S41" s="24">
        <f ca="1">SUMIF('UC BMW 2026'!$B$5:$B$77,'UC BMW 2026'!$B39,'UC BMW 2026'!$K$5:$K$72)</f>
        <v>5</v>
      </c>
      <c r="T41" s="24">
        <f>IFERROR(VLOOKUP(B41,[2]BPS!$B$10:$O$64,5,0),0)-IF(B41=100873,IFERROR(VLOOKUP("Marzo",[2]BPS!$B$74:$C$89,2,0),0),0)</f>
        <v>5</v>
      </c>
      <c r="U41" s="285">
        <f t="shared" ca="1" si="84"/>
        <v>1</v>
      </c>
      <c r="V41" s="380">
        <f>IFERROR(VLOOKUP(B41,'[2]RETAIL ORIGEN RMKT'!$B$11:$O$62,5,0),0)</f>
        <v>2</v>
      </c>
      <c r="W41" s="127">
        <f t="shared" ca="1" si="85"/>
        <v>0.16666666666666666</v>
      </c>
      <c r="X41" s="21">
        <f ca="1">SUMIF('UC BMW 2026'!$B$5:$B$77,'UC BMW 2026'!$B39,'UC BMW 2026'!$L$5:$L$72)</f>
        <v>12</v>
      </c>
      <c r="Y41" s="24">
        <f ca="1">SUMIF('UC BMW 2026'!$B$5:$B$77,'UC BMW 2026'!$B39,'UC BMW 2026'!$M$5:$M$72)</f>
        <v>10</v>
      </c>
      <c r="Z41" s="24">
        <f>IFERROR(VLOOKUP(B41,[2]BPS!$B$10:$O$64,6,0),0)-IF(B41=100873,IFERROR(VLOOKUP("Abril",[2]BPS!$B$74:$C$89,2,0),0),0)</f>
        <v>9</v>
      </c>
      <c r="AA41" s="285">
        <f t="shared" ca="1" si="86"/>
        <v>0.9</v>
      </c>
      <c r="AB41" s="380">
        <f>IFERROR(VLOOKUP(B41,'[2]RETAIL ORIGEN RMKT'!$B$11:$O$62,6,0),0)</f>
        <v>1</v>
      </c>
      <c r="AC41" s="127">
        <f t="shared" ca="1" si="87"/>
        <v>8.3333333333333329E-2</v>
      </c>
      <c r="AD41" s="21">
        <f ca="1">SUMIF('UC BMW 2026'!$B$5:$B$77,'UC BMW 2026'!$B39,'UC BMW 2026'!$N$5:$N$72)</f>
        <v>12</v>
      </c>
      <c r="AE41" s="24">
        <f ca="1">SUMIF('UC BMW 2026'!$B$5:$B$77,'UC BMW 2026'!$B39,'UC BMW 2026'!$O$5:$O$72)</f>
        <v>7</v>
      </c>
      <c r="AF41" s="24">
        <f>IFERROR(VLOOKUP(B41,[2]BPS!$B$10:$O$64,7,0),0)-IF(B41=100873,IFERROR(VLOOKUP("Mayo",[2]BPS!$B$74:$C$89,2,0),0),0)</f>
        <v>2</v>
      </c>
      <c r="AG41" s="285">
        <f t="shared" ca="1" si="88"/>
        <v>0.2857142857142857</v>
      </c>
      <c r="AH41" s="380">
        <f>IFERROR(VLOOKUP(B41,'[2]RETAIL ORIGEN RMKT'!$B$11:$O$62,7,0),0)</f>
        <v>0</v>
      </c>
      <c r="AI41" s="127">
        <f t="shared" ca="1" si="89"/>
        <v>0</v>
      </c>
      <c r="AJ41" s="21">
        <f ca="1">SUMIF('UC BMW 2026'!$B$5:$B$77,'UC BMW 2026'!$B39,'UC BMW 2026'!$P$5:$P$72)</f>
        <v>13</v>
      </c>
      <c r="AK41" s="24">
        <f ca="1">SUMIF('UC BMW 2026'!$B$5:$B$77,'UC BMW 2026'!$B39,'UC BMW 2026'!$Q$5:$Q$72)</f>
        <v>21</v>
      </c>
      <c r="AL41" s="24">
        <f>IFERROR(VLOOKUP(B41,[2]BPS!$B$10:$O$64,8,0),0)-IF(B41=100873,IFERROR(VLOOKUP("Junio",[2]BPS!$B$74:$C$89,2,0),0),0)</f>
        <v>20</v>
      </c>
      <c r="AM41" s="285">
        <f t="shared" ca="1" si="90"/>
        <v>0.95238095238095233</v>
      </c>
      <c r="AN41" s="380">
        <f>IFERROR(VLOOKUP(B41,'[2]RETAIL ORIGEN RMKT'!$B$11:$O$62,8,0),0)</f>
        <v>4</v>
      </c>
      <c r="AO41" s="127">
        <f t="shared" ca="1" si="91"/>
        <v>0.30769230769230771</v>
      </c>
      <c r="AP41" s="21">
        <f ca="1">SUMIF('UC BMW 2026'!$B$5:$B$77,'UC BMW 2026'!$B39,'UC BMW 2026'!$R$5:$R$72)</f>
        <v>0</v>
      </c>
      <c r="AQ41" s="24">
        <f ca="1">SUMIF('UC BMW 2026'!$B$5:$B$77,'UC BMW 2026'!$B39,'UC BMW 2026'!$S$5:$S$72)</f>
        <v>0</v>
      </c>
      <c r="AR41" s="24">
        <f>IFERROR(VLOOKUP(B41,[2]BPS!$B$10:$O$64,9,0),0)-IF(B41=100873,IFERROR(VLOOKUP("Julio",[2]BPS!$B$74:$C$89,2,0),0),0)</f>
        <v>0</v>
      </c>
      <c r="AS41" s="285">
        <f t="shared" ca="1" si="92"/>
        <v>0</v>
      </c>
      <c r="AT41" s="380">
        <f>IFERROR(VLOOKUP(B41,'[2]RETAIL ORIGEN RMKT'!$B$11:$O$62,9,0),0)</f>
        <v>0</v>
      </c>
      <c r="AU41" s="127">
        <f t="shared" ca="1" si="93"/>
        <v>0</v>
      </c>
      <c r="AV41" s="21">
        <f ca="1">SUMIF('UC BMW 2026'!$B$5:$B$77,'UC BMW 2026'!$B39,'UC BMW 2026'!$T$5:$T$72)</f>
        <v>0</v>
      </c>
      <c r="AW41" s="24">
        <f ca="1">SUMIF('UC BMW 2026'!$B$5:$B$77,'UC BMW 2026'!$B39,'UC BMW 2026'!$U$5:$U$72)</f>
        <v>0</v>
      </c>
      <c r="AX41" s="24">
        <f>IFERROR(VLOOKUP(B41,[2]BPS!$B$10:$O$64,10,0),0)-IF(B41=100873,IFERROR(VLOOKUP("Agosto",[2]BPS!$B$74:$C$89,2,0),0),0)</f>
        <v>0</v>
      </c>
      <c r="AY41" s="285">
        <f t="shared" ca="1" si="94"/>
        <v>0</v>
      </c>
      <c r="AZ41" s="380">
        <f>IFERROR(VLOOKUP(B41,'[2]RETAIL ORIGEN RMKT'!$B$11:$O$62,10,0),0)</f>
        <v>0</v>
      </c>
      <c r="BA41" s="127">
        <f t="shared" ca="1" si="95"/>
        <v>0</v>
      </c>
      <c r="BB41" s="21">
        <f ca="1">SUMIF('UC BMW 2026'!$B$5:$B$77,'UC BMW 2026'!$B39,'UC BMW 2026'!$V$5:$V$72)</f>
        <v>0</v>
      </c>
      <c r="BC41" s="24">
        <f>SUMIF('UC BMW 2026'!$B$5:$B$77,'UC BMW 2026'!$B39,'UC BMW 2026'!$W$5:$W$77)</f>
        <v>0</v>
      </c>
      <c r="BD41" s="24">
        <f>IFERROR(VLOOKUP(B41,[2]BPS!$B$10:$O$64,11,0),0)-IF(B41=100873,IFERROR(VLOOKUP("Septiembre",[2]BPS!$B$74:$C$89,2,0),0),0)</f>
        <v>0</v>
      </c>
      <c r="BE41" s="285">
        <f t="shared" si="96"/>
        <v>0</v>
      </c>
      <c r="BF41" s="380">
        <f>IFERROR(VLOOKUP(B41,'[2]RETAIL ORIGEN RMKT'!$B$11:$O$62,11,0),0)</f>
        <v>0</v>
      </c>
      <c r="BG41" s="127">
        <f t="shared" ca="1" si="97"/>
        <v>0</v>
      </c>
      <c r="BH41" s="21">
        <f>SUMIF('UC BMW 2026'!$B$5:$B$77,'UC BMW 2026'!$B39,'UC BMW 2026'!$X$5:$X$77)</f>
        <v>0</v>
      </c>
      <c r="BI41" s="24">
        <f>SUMIF('UC BMW 2026'!$B$5:$B$77,'UC BMW 2026'!$B39,'UC BMW 2026'!$Y$5:$Y$77)</f>
        <v>0</v>
      </c>
      <c r="BJ41" s="24">
        <f>IFERROR(VLOOKUP(B41,[2]BPS!$B$10:$O$64,12,0),0)-IF(B41=100873,IFERROR(VLOOKUP("Octubre",[2]BPS!$B$74:$C$89,2,0),0),0)</f>
        <v>0</v>
      </c>
      <c r="BK41" s="285">
        <f t="shared" si="98"/>
        <v>0</v>
      </c>
      <c r="BL41" s="380">
        <f>IFERROR(VLOOKUP(B41,'[2]RETAIL ORIGEN RMKT'!$B$11:$O$62,12,0),0)</f>
        <v>0</v>
      </c>
      <c r="BM41" s="127">
        <f t="shared" si="99"/>
        <v>0</v>
      </c>
      <c r="BN41" s="21">
        <f>SUMIF('UC BMW 2026'!$B$5:$B$77,'UC BMW 2026'!$B39,'UC BMW 2026'!$Z$5:$Z$77)</f>
        <v>0</v>
      </c>
      <c r="BO41" s="24">
        <f>SUMIF('UC BMW 2026'!$B$5:$B$77,'UC BMW 2026'!$B39,'UC BMW 2026'!$AA$5:$AA$77)</f>
        <v>0</v>
      </c>
      <c r="BP41" s="24">
        <f>IFERROR(VLOOKUP(B41,[2]BPS!$B$10:$O$64,13,0),0)-IF(B41=100873,IFERROR(VLOOKUP("Noviembre",[2]BPS!$B$74:$C$89,2,0),0),0)</f>
        <v>0</v>
      </c>
      <c r="BQ41" s="285">
        <f t="shared" si="100"/>
        <v>0</v>
      </c>
      <c r="BR41" s="380">
        <f>IFERROR(VLOOKUP(B41,'[2]RETAIL ORIGEN RMKT'!$B$11:$O$62,13,0),0)</f>
        <v>0</v>
      </c>
      <c r="BS41" s="127">
        <f t="shared" si="101"/>
        <v>0</v>
      </c>
      <c r="BT41" s="21">
        <f>SUMIF('UC BMW 2026'!$B$5:$B$77,'UC BMW 2026'!$B39,'UC BMW 2026'!$AB$5:$AB$77)</f>
        <v>0</v>
      </c>
      <c r="BU41" s="24">
        <f>SUMIF('UC BMW 2026'!$B$5:$B$77,'UC BMW 2026'!$B39,'UC BMW 2026'!$AC$5:$AC$77)</f>
        <v>0</v>
      </c>
      <c r="BV41" s="24">
        <f>IFERROR(VLOOKUP(B41,[2]BPS!$B$10:$O$64,13,0),0)-IF(B41=100873,IFERROR(VLOOKUP("Diciembre",[2]BPS!$B$74:$C$89,2,0),0),0)</f>
        <v>0</v>
      </c>
      <c r="BW41" s="285">
        <f t="shared" si="102"/>
        <v>0</v>
      </c>
      <c r="BX41" s="380">
        <f>IFERROR(VLOOKUP(B41,'[2]RETAIL ORIGEN RMKT'!$B$11:$O$62,14,0),0)</f>
        <v>0</v>
      </c>
      <c r="BY41" s="127">
        <f t="shared" si="103"/>
        <v>0</v>
      </c>
      <c r="BZ41" s="25">
        <f t="shared" ca="1" si="127"/>
        <v>70</v>
      </c>
      <c r="CA41" s="27">
        <f t="shared" ca="1" si="127"/>
        <v>78</v>
      </c>
      <c r="CB41" s="287">
        <f t="shared" ca="1" si="104"/>
        <v>1.1142857142857143</v>
      </c>
      <c r="CC41" s="291">
        <f t="shared" si="128"/>
        <v>71</v>
      </c>
      <c r="CD41" s="287">
        <f t="shared" ca="1" si="129"/>
        <v>0.91025641025641024</v>
      </c>
      <c r="CE41" s="24">
        <f t="shared" si="130"/>
        <v>18</v>
      </c>
      <c r="CF41" s="129">
        <f t="shared" ca="1" si="105"/>
        <v>0.25714285714285712</v>
      </c>
      <c r="CG41" s="25">
        <f t="shared" ca="1" si="131"/>
        <v>70</v>
      </c>
      <c r="CH41" s="27">
        <f t="shared" ca="1" si="132"/>
        <v>78</v>
      </c>
      <c r="CI41" s="287">
        <f t="shared" ca="1" si="106"/>
        <v>1.1142857142857143</v>
      </c>
      <c r="CJ41" s="291">
        <f t="shared" si="133"/>
        <v>71</v>
      </c>
      <c r="CK41" s="287">
        <f t="shared" ca="1" si="107"/>
        <v>0.91025641025641024</v>
      </c>
      <c r="CL41" s="27">
        <f t="shared" si="134"/>
        <v>18</v>
      </c>
      <c r="CM41" s="129">
        <f t="shared" ca="1" si="108"/>
        <v>0.25714285714285712</v>
      </c>
      <c r="CN41" s="25">
        <f t="shared" ca="1" si="135"/>
        <v>33</v>
      </c>
      <c r="CO41" s="27">
        <f t="shared" ca="1" si="135"/>
        <v>40</v>
      </c>
      <c r="CP41" s="287">
        <f t="shared" ca="1" si="109"/>
        <v>1.2121212121212122</v>
      </c>
      <c r="CQ41" s="291">
        <f t="shared" si="136"/>
        <v>40</v>
      </c>
      <c r="CR41" s="287">
        <f t="shared" ca="1" si="110"/>
        <v>1</v>
      </c>
      <c r="CS41" s="27">
        <f t="shared" si="111"/>
        <v>0</v>
      </c>
      <c r="CT41" s="129">
        <f t="shared" ca="1" si="112"/>
        <v>0</v>
      </c>
      <c r="CU41" s="25">
        <f t="shared" ca="1" si="78"/>
        <v>70</v>
      </c>
      <c r="CV41" s="27">
        <f t="shared" ca="1" si="78"/>
        <v>78</v>
      </c>
      <c r="CW41" s="287">
        <f t="shared" ca="1" si="113"/>
        <v>1.1142857142857143</v>
      </c>
      <c r="CX41" s="27">
        <f t="shared" si="114"/>
        <v>71</v>
      </c>
      <c r="CY41" s="287">
        <f t="shared" ca="1" si="115"/>
        <v>0.91025641025641024</v>
      </c>
      <c r="CZ41" s="27">
        <f t="shared" si="116"/>
        <v>18</v>
      </c>
      <c r="DA41" s="130">
        <f t="shared" ca="1" si="117"/>
        <v>0.25714285714285712</v>
      </c>
      <c r="DB41" s="25">
        <f t="shared" ca="1" si="137"/>
        <v>0</v>
      </c>
      <c r="DC41" s="27">
        <f t="shared" ca="1" si="137"/>
        <v>0</v>
      </c>
      <c r="DD41" s="287">
        <f t="shared" ca="1" si="118"/>
        <v>0</v>
      </c>
      <c r="DE41" s="27">
        <f t="shared" si="138"/>
        <v>0</v>
      </c>
      <c r="DF41" s="287" t="str">
        <f t="shared" ca="1" si="119"/>
        <v>N.D.</v>
      </c>
      <c r="DG41" s="27">
        <f t="shared" si="139"/>
        <v>0</v>
      </c>
      <c r="DH41" s="130">
        <f t="shared" ca="1" si="120"/>
        <v>0</v>
      </c>
      <c r="DI41" s="510">
        <v>1</v>
      </c>
      <c r="DJ41" s="369" t="s">
        <v>21</v>
      </c>
      <c r="DK41" s="25">
        <f t="shared" ca="1" si="121"/>
        <v>70</v>
      </c>
      <c r="DL41" s="27">
        <f t="shared" ca="1" si="79"/>
        <v>78</v>
      </c>
      <c r="DM41" s="287">
        <f t="shared" ca="1" si="122"/>
        <v>1.1142857142857143</v>
      </c>
      <c r="DN41" s="291">
        <f t="shared" si="123"/>
        <v>71</v>
      </c>
      <c r="DO41" s="287">
        <f t="shared" ca="1" si="124"/>
        <v>0.91025641025641024</v>
      </c>
      <c r="DP41" s="27">
        <f t="shared" si="125"/>
        <v>18</v>
      </c>
      <c r="DQ41" s="130">
        <f t="shared" ca="1" si="126"/>
        <v>0.25714285714285712</v>
      </c>
      <c r="DR41"/>
      <c r="DS41" s="4">
        <f ca="1"/>
        <v>95</v>
      </c>
      <c r="DT41" s="4">
        <f ca="1"/>
        <v>91</v>
      </c>
      <c r="DU41" s="508">
        <f ca="1"/>
        <v>0.9363636363636364</v>
      </c>
      <c r="DW41" s="508">
        <f ca="1"/>
        <v>0.90295358649789026</v>
      </c>
      <c r="DX41" s="4">
        <v>25</v>
      </c>
      <c r="DY41" s="508">
        <f ca="1"/>
        <v>0.26368159203980102</v>
      </c>
    </row>
    <row r="42" spans="1:129" s="4" customFormat="1" ht="15" customHeight="1" x14ac:dyDescent="0.35">
      <c r="A42" s="4">
        <f>_xlfn.XLOOKUP(B42,'WHOLESALE BMW 2026'!$B$7:$B$67,'WHOLESALE BMW 2026'!$A$7:$A$67)</f>
        <v>6</v>
      </c>
      <c r="B42" s="8">
        <v>100728</v>
      </c>
      <c r="C42" s="369" t="s">
        <v>24</v>
      </c>
      <c r="D42" s="125"/>
      <c r="E42" s="309" t="s">
        <v>94</v>
      </c>
      <c r="F42" s="21">
        <f ca="1">SUMIF('UC BMW 2026'!B40:B116,'UC BMW 2026'!B40,'UC BMW 2026'!F40:F107)</f>
        <v>30</v>
      </c>
      <c r="G42" s="24">
        <f ca="1">SUMIF('UC BMW 2026'!$B$5:$B$77,'UC BMW 2026'!B40,'UC BMW 2026'!$G$5:$G$72)</f>
        <v>24</v>
      </c>
      <c r="H42" s="24">
        <f>IFERROR(VLOOKUP(B42,[2]BPS!$B$10:$O$64,3,0),0)-IF(B42=100873,IFERROR(VLOOKUP("Enero",[2]BPS!$B$74:$C$89,2,0),0),0)</f>
        <v>23</v>
      </c>
      <c r="I42" s="285">
        <f t="shared" ca="1" si="80"/>
        <v>0.95833333333333337</v>
      </c>
      <c r="J42" s="380">
        <f>IFERROR(VLOOKUP(B42,'[2]RETAIL ORIGEN RMKT'!$B$11:$O$62,3,0),0)</f>
        <v>12</v>
      </c>
      <c r="K42" s="127">
        <f t="shared" ca="1" si="81"/>
        <v>0.4</v>
      </c>
      <c r="L42" s="21">
        <f ca="1">SUMIF('UC BMW 2026'!$B$5:$B$77,'UC BMW 2026'!$B40,'UC BMW 2026'!$H$5:$H$72)</f>
        <v>31</v>
      </c>
      <c r="M42" s="24">
        <f ca="1">SUMIF('UC BMW 2026'!$B$5:$B$77,'UC BMW 2026'!$B40,'UC BMW 2026'!$I$5:$I$72)</f>
        <v>27</v>
      </c>
      <c r="N42" s="24">
        <f>IFERROR(VLOOKUP(B42,[2]BPS!$B$10:$O$64,4,0),0)-IF(B42=100873,IFERROR(VLOOKUP("Febrero",[2]BPS!$B$74:$C$89,2,0),0),0)</f>
        <v>26</v>
      </c>
      <c r="O42" s="285">
        <f t="shared" ca="1" si="82"/>
        <v>0.96296296296296291</v>
      </c>
      <c r="P42" s="380">
        <f>IFERROR(VLOOKUP(B42,'[2]RETAIL ORIGEN RMKT'!$B$11:$O$62,4,0),0)</f>
        <v>17</v>
      </c>
      <c r="Q42" s="127">
        <f t="shared" ca="1" si="83"/>
        <v>0.54838709677419351</v>
      </c>
      <c r="R42" s="21">
        <f ca="1">SUMIF('UC BMW 2026'!$B$5:$B$77,'UC BMW 2026'!$B40,'UC BMW 2026'!$J$5:$J$72)</f>
        <v>31</v>
      </c>
      <c r="S42" s="24">
        <f ca="1">SUMIF('UC BMW 2026'!$B$5:$B$77,'UC BMW 2026'!$B40,'UC BMW 2026'!$K$5:$K$72)</f>
        <v>33</v>
      </c>
      <c r="T42" s="24">
        <f>IFERROR(VLOOKUP(B42,[2]BPS!$B$10:$O$64,5,0),0)-IF(B42=100873,IFERROR(VLOOKUP("Marzo",[2]BPS!$B$74:$C$89,2,0),0),0)</f>
        <v>33</v>
      </c>
      <c r="U42" s="285">
        <f t="shared" ca="1" si="84"/>
        <v>1</v>
      </c>
      <c r="V42" s="380">
        <f>IFERROR(VLOOKUP(B42,'[2]RETAIL ORIGEN RMKT'!$B$11:$O$62,5,0),0)</f>
        <v>16</v>
      </c>
      <c r="W42" s="127">
        <f t="shared" ca="1" si="85"/>
        <v>0.5161290322580645</v>
      </c>
      <c r="X42" s="21">
        <f ca="1">SUMIF('UC BMW 2026'!$B$5:$B$77,'UC BMW 2026'!$B40,'UC BMW 2026'!$L$5:$L$72)</f>
        <v>31</v>
      </c>
      <c r="Y42" s="24">
        <f ca="1">SUMIF('UC BMW 2026'!$B$5:$B$77,'UC BMW 2026'!$B40,'UC BMW 2026'!$M$5:$M$72)</f>
        <v>45</v>
      </c>
      <c r="Z42" s="24">
        <f>IFERROR(VLOOKUP(B42,[2]BPS!$B$10:$O$64,6,0),0)-IF(B42=100873,IFERROR(VLOOKUP("Abril",[2]BPS!$B$74:$C$89,2,0),0),0)</f>
        <v>45</v>
      </c>
      <c r="AA42" s="285">
        <f t="shared" ca="1" si="86"/>
        <v>1</v>
      </c>
      <c r="AB42" s="380">
        <f>IFERROR(VLOOKUP(B42,'[2]RETAIL ORIGEN RMKT'!$B$11:$O$62,6,0),0)</f>
        <v>19</v>
      </c>
      <c r="AC42" s="127">
        <f t="shared" ca="1" si="87"/>
        <v>0.61290322580645162</v>
      </c>
      <c r="AD42" s="21">
        <f ca="1">SUMIF('UC BMW 2026'!$B$5:$B$77,'UC BMW 2026'!$B40,'UC BMW 2026'!$N$5:$N$72)</f>
        <v>31</v>
      </c>
      <c r="AE42" s="24">
        <f ca="1">SUMIF('UC BMW 2026'!$B$5:$B$77,'UC BMW 2026'!$B40,'UC BMW 2026'!$O$5:$O$72)</f>
        <v>23</v>
      </c>
      <c r="AF42" s="24">
        <f>IFERROR(VLOOKUP(B42,[2]BPS!$B$10:$O$64,7,0),0)-IF(B42=100873,IFERROR(VLOOKUP("Mayo",[2]BPS!$B$74:$C$89,2,0),0),0)</f>
        <v>23</v>
      </c>
      <c r="AG42" s="285">
        <f t="shared" ca="1" si="88"/>
        <v>1</v>
      </c>
      <c r="AH42" s="380">
        <f>IFERROR(VLOOKUP(B42,'[2]RETAIL ORIGEN RMKT'!$B$11:$O$62,7,0),0)</f>
        <v>8</v>
      </c>
      <c r="AI42" s="127">
        <f t="shared" ca="1" si="89"/>
        <v>0.25806451612903225</v>
      </c>
      <c r="AJ42" s="21">
        <f ca="1">SUMIF('UC BMW 2026'!$B$5:$B$77,'UC BMW 2026'!$B40,'UC BMW 2026'!$P$5:$P$72)</f>
        <v>31</v>
      </c>
      <c r="AK42" s="24">
        <f ca="1">SUMIF('UC BMW 2026'!$B$5:$B$77,'UC BMW 2026'!$B40,'UC BMW 2026'!$Q$5:$Q$72)</f>
        <v>60</v>
      </c>
      <c r="AL42" s="24">
        <f>IFERROR(VLOOKUP(B42,[2]BPS!$B$10:$O$64,8,0),0)-IF(B42=100873,IFERROR(VLOOKUP("Junio",[2]BPS!$B$74:$C$89,2,0),0),0)</f>
        <v>58</v>
      </c>
      <c r="AM42" s="285">
        <f t="shared" ca="1" si="90"/>
        <v>0.96666666666666667</v>
      </c>
      <c r="AN42" s="380">
        <f>IFERROR(VLOOKUP(B42,'[2]RETAIL ORIGEN RMKT'!$B$11:$O$62,8,0),0)</f>
        <v>31</v>
      </c>
      <c r="AO42" s="127">
        <f t="shared" ca="1" si="91"/>
        <v>1</v>
      </c>
      <c r="AP42" s="21">
        <f ca="1">SUMIF('UC BMW 2026'!$B$5:$B$77,'UC BMW 2026'!$B40,'UC BMW 2026'!$R$5:$R$72)</f>
        <v>32</v>
      </c>
      <c r="AQ42" s="24">
        <f ca="1">SUMIF('UC BMW 2026'!$B$5:$B$77,'UC BMW 2026'!$B40,'UC BMW 2026'!$S$5:$S$72)</f>
        <v>0</v>
      </c>
      <c r="AR42" s="24">
        <f>IFERROR(VLOOKUP(B42,[2]BPS!$B$10:$O$64,9,0),0)-IF(B42=100873,IFERROR(VLOOKUP("Julio",[2]BPS!$B$74:$C$89,2,0),0),0)</f>
        <v>0</v>
      </c>
      <c r="AS42" s="285">
        <f t="shared" ca="1" si="92"/>
        <v>0</v>
      </c>
      <c r="AT42" s="380">
        <f>IFERROR(VLOOKUP(B42,'[2]RETAIL ORIGEN RMKT'!$B$11:$O$62,9,0),0)</f>
        <v>0</v>
      </c>
      <c r="AU42" s="127">
        <f t="shared" ca="1" si="93"/>
        <v>0</v>
      </c>
      <c r="AV42" s="21">
        <f ca="1">SUMIF('UC BMW 2026'!$B$5:$B$77,'UC BMW 2026'!$B40,'UC BMW 2026'!$T$5:$T$72)</f>
        <v>32</v>
      </c>
      <c r="AW42" s="24">
        <f ca="1">SUMIF('UC BMW 2026'!$B$5:$B$77,'UC BMW 2026'!$B40,'UC BMW 2026'!$U$5:$U$72)</f>
        <v>0</v>
      </c>
      <c r="AX42" s="24">
        <f>IFERROR(VLOOKUP(B42,[2]BPS!$B$10:$O$64,10,0),0)-IF(B42=100873,IFERROR(VLOOKUP("Agosto",[2]BPS!$B$74:$C$89,2,0),0),0)</f>
        <v>0</v>
      </c>
      <c r="AY42" s="285">
        <f t="shared" ca="1" si="94"/>
        <v>0</v>
      </c>
      <c r="AZ42" s="380">
        <f>IFERROR(VLOOKUP(B42,'[2]RETAIL ORIGEN RMKT'!$B$11:$O$62,10,0),0)</f>
        <v>0</v>
      </c>
      <c r="BA42" s="127">
        <f t="shared" ca="1" si="95"/>
        <v>0</v>
      </c>
      <c r="BB42" s="21">
        <f ca="1">SUMIF('UC BMW 2026'!$B$5:$B$77,'UC BMW 2026'!$B40,'UC BMW 2026'!$V$5:$V$72)</f>
        <v>32</v>
      </c>
      <c r="BC42" s="24">
        <f>SUMIF('UC BMW 2026'!$B$5:$B$77,'UC BMW 2026'!$B40,'UC BMW 2026'!$W$5:$W$77)</f>
        <v>0</v>
      </c>
      <c r="BD42" s="24">
        <f>IFERROR(VLOOKUP(B42,[2]BPS!$B$10:$O$64,11,0),0)-IF(B42=100873,IFERROR(VLOOKUP("Septiembre",[2]BPS!$B$74:$C$89,2,0),0),0)</f>
        <v>0</v>
      </c>
      <c r="BE42" s="285">
        <f t="shared" si="96"/>
        <v>0</v>
      </c>
      <c r="BF42" s="380">
        <f>IFERROR(VLOOKUP(B42,'[2]RETAIL ORIGEN RMKT'!$B$11:$O$62,11,0),0)</f>
        <v>0</v>
      </c>
      <c r="BG42" s="127">
        <f t="shared" ca="1" si="97"/>
        <v>0</v>
      </c>
      <c r="BH42" s="21">
        <f>SUMIF('UC BMW 2026'!$B$5:$B$77,'UC BMW 2026'!$B40,'UC BMW 2026'!$X$5:$X$77)</f>
        <v>32</v>
      </c>
      <c r="BI42" s="24">
        <f>SUMIF('UC BMW 2026'!$B$5:$B$77,'UC BMW 2026'!$B40,'UC BMW 2026'!$Y$5:$Y$77)</f>
        <v>0</v>
      </c>
      <c r="BJ42" s="24">
        <f>IFERROR(VLOOKUP(B42,[2]BPS!$B$10:$O$64,12,0),0)-IF(B42=100873,IFERROR(VLOOKUP("Octubre",[2]BPS!$B$74:$C$89,2,0),0),0)</f>
        <v>0</v>
      </c>
      <c r="BK42" s="285">
        <f t="shared" si="98"/>
        <v>0</v>
      </c>
      <c r="BL42" s="380">
        <f>IFERROR(VLOOKUP(B42,'[2]RETAIL ORIGEN RMKT'!$B$11:$O$62,12,0),0)</f>
        <v>0</v>
      </c>
      <c r="BM42" s="127">
        <f t="shared" si="99"/>
        <v>0</v>
      </c>
      <c r="BN42" s="21">
        <f>SUMIF('UC BMW 2026'!$B$5:$B$77,'UC BMW 2026'!$B40,'UC BMW 2026'!$Z$5:$Z$77)</f>
        <v>32</v>
      </c>
      <c r="BO42" s="24">
        <f>SUMIF('UC BMW 2026'!$B$5:$B$77,'UC BMW 2026'!$B40,'UC BMW 2026'!$AA$5:$AA$77)</f>
        <v>0</v>
      </c>
      <c r="BP42" s="24">
        <f>IFERROR(VLOOKUP(B42,[2]BPS!$B$10:$O$64,13,0),0)-IF(B42=100873,IFERROR(VLOOKUP("Noviembre",[2]BPS!$B$74:$C$89,2,0),0),0)</f>
        <v>0</v>
      </c>
      <c r="BQ42" s="285">
        <f t="shared" si="100"/>
        <v>0</v>
      </c>
      <c r="BR42" s="380">
        <f>IFERROR(VLOOKUP(B42,'[2]RETAIL ORIGEN RMKT'!$B$11:$O$62,13,0),0)</f>
        <v>0</v>
      </c>
      <c r="BS42" s="127">
        <f t="shared" si="101"/>
        <v>0</v>
      </c>
      <c r="BT42" s="21">
        <f>SUMIF('UC BMW 2026'!$B$5:$B$77,'UC BMW 2026'!$B40,'UC BMW 2026'!$AB$5:$AB$77)</f>
        <v>30</v>
      </c>
      <c r="BU42" s="24">
        <f>SUMIF('UC BMW 2026'!$B$5:$B$77,'UC BMW 2026'!$B40,'UC BMW 2026'!$AC$5:$AC$77)</f>
        <v>0</v>
      </c>
      <c r="BV42" s="24">
        <f>IFERROR(VLOOKUP(B42,[2]BPS!$B$10:$O$64,13,0),0)-IF(B42=100873,IFERROR(VLOOKUP("Diciembre",[2]BPS!$B$74:$C$89,2,0),0),0)</f>
        <v>0</v>
      </c>
      <c r="BW42" s="285">
        <f t="shared" si="102"/>
        <v>0</v>
      </c>
      <c r="BX42" s="380">
        <f>IFERROR(VLOOKUP(B42,'[2]RETAIL ORIGEN RMKT'!$B$11:$O$62,14,0),0)</f>
        <v>0</v>
      </c>
      <c r="BY42" s="127">
        <f t="shared" si="103"/>
        <v>0</v>
      </c>
      <c r="BZ42" s="25">
        <f t="shared" ca="1" si="127"/>
        <v>185</v>
      </c>
      <c r="CA42" s="27">
        <f t="shared" ca="1" si="127"/>
        <v>212</v>
      </c>
      <c r="CB42" s="287">
        <f t="shared" ca="1" si="104"/>
        <v>1.145945945945946</v>
      </c>
      <c r="CC42" s="291">
        <f t="shared" si="128"/>
        <v>208</v>
      </c>
      <c r="CD42" s="287">
        <f t="shared" ca="1" si="129"/>
        <v>0.98113207547169812</v>
      </c>
      <c r="CE42" s="24">
        <f t="shared" si="130"/>
        <v>103</v>
      </c>
      <c r="CF42" s="129">
        <f t="shared" ca="1" si="105"/>
        <v>0.55675675675675673</v>
      </c>
      <c r="CG42" s="25">
        <f t="shared" ca="1" si="131"/>
        <v>375</v>
      </c>
      <c r="CH42" s="27">
        <f t="shared" ca="1" si="132"/>
        <v>212</v>
      </c>
      <c r="CI42" s="287">
        <f t="shared" ca="1" si="106"/>
        <v>0.56533333333333335</v>
      </c>
      <c r="CJ42" s="291">
        <f t="shared" si="133"/>
        <v>208</v>
      </c>
      <c r="CK42" s="287">
        <f t="shared" ca="1" si="107"/>
        <v>0.98113207547169812</v>
      </c>
      <c r="CL42" s="27">
        <f t="shared" si="134"/>
        <v>103</v>
      </c>
      <c r="CM42" s="129">
        <f t="shared" ca="1" si="108"/>
        <v>0.27466666666666667</v>
      </c>
      <c r="CN42" s="25">
        <f t="shared" ca="1" si="135"/>
        <v>92</v>
      </c>
      <c r="CO42" s="27">
        <f t="shared" ca="1" si="135"/>
        <v>84</v>
      </c>
      <c r="CP42" s="287">
        <f t="shared" ca="1" si="109"/>
        <v>0.91304347826086951</v>
      </c>
      <c r="CQ42" s="291">
        <f t="shared" si="136"/>
        <v>82</v>
      </c>
      <c r="CR42" s="287">
        <f t="shared" ca="1" si="110"/>
        <v>0.97619047619047616</v>
      </c>
      <c r="CS42" s="27">
        <f t="shared" si="111"/>
        <v>0</v>
      </c>
      <c r="CT42" s="129">
        <f t="shared" ca="1" si="112"/>
        <v>0</v>
      </c>
      <c r="CU42" s="25">
        <f t="shared" ca="1" si="78"/>
        <v>185</v>
      </c>
      <c r="CV42" s="27">
        <f t="shared" ca="1" si="78"/>
        <v>212</v>
      </c>
      <c r="CW42" s="287">
        <f t="shared" ca="1" si="113"/>
        <v>1.145945945945946</v>
      </c>
      <c r="CX42" s="27">
        <f t="shared" si="114"/>
        <v>208</v>
      </c>
      <c r="CY42" s="287">
        <f t="shared" ca="1" si="115"/>
        <v>0.98113207547169812</v>
      </c>
      <c r="CZ42" s="27">
        <f t="shared" si="116"/>
        <v>103</v>
      </c>
      <c r="DA42" s="130">
        <f t="shared" ca="1" si="117"/>
        <v>0.55675675675675673</v>
      </c>
      <c r="DB42" s="25">
        <f t="shared" ca="1" si="137"/>
        <v>190</v>
      </c>
      <c r="DC42" s="27">
        <f t="shared" ca="1" si="137"/>
        <v>0</v>
      </c>
      <c r="DD42" s="287">
        <f t="shared" ca="1" si="118"/>
        <v>0</v>
      </c>
      <c r="DE42" s="27">
        <f t="shared" si="138"/>
        <v>0</v>
      </c>
      <c r="DF42" s="287" t="str">
        <f t="shared" ca="1" si="119"/>
        <v>N.D.</v>
      </c>
      <c r="DG42" s="27">
        <f t="shared" si="139"/>
        <v>0</v>
      </c>
      <c r="DH42" s="130">
        <f t="shared" ca="1" si="120"/>
        <v>0</v>
      </c>
      <c r="DI42" s="510">
        <v>1</v>
      </c>
      <c r="DJ42" s="369" t="s">
        <v>24</v>
      </c>
      <c r="DK42" s="25">
        <f t="shared" ca="1" si="121"/>
        <v>185</v>
      </c>
      <c r="DL42" s="27">
        <f t="shared" ca="1" si="79"/>
        <v>212</v>
      </c>
      <c r="DM42" s="287">
        <f t="shared" ca="1" si="122"/>
        <v>1.145945945945946</v>
      </c>
      <c r="DN42" s="291">
        <f t="shared" si="123"/>
        <v>208</v>
      </c>
      <c r="DO42" s="287">
        <f t="shared" ca="1" si="124"/>
        <v>0.98113207547169812</v>
      </c>
      <c r="DP42" s="27">
        <f t="shared" si="125"/>
        <v>103</v>
      </c>
      <c r="DQ42" s="130">
        <f t="shared" ca="1" si="126"/>
        <v>0.55675675675675673</v>
      </c>
      <c r="DR42"/>
      <c r="DS42" s="4">
        <f ca="1"/>
        <v>90</v>
      </c>
      <c r="DT42" s="4">
        <f ca="1"/>
        <v>83</v>
      </c>
      <c r="DU42" s="508">
        <f ca="1"/>
        <v>0.92222222222222228</v>
      </c>
      <c r="DW42" s="508">
        <f ca="1"/>
        <v>0.89473684210526316</v>
      </c>
      <c r="DX42" s="4">
        <v>21</v>
      </c>
      <c r="DY42" s="508">
        <f ca="1"/>
        <v>0.25714285714285712</v>
      </c>
    </row>
    <row r="43" spans="1:129" s="4" customFormat="1" ht="15" customHeight="1" thickBot="1" x14ac:dyDescent="0.4">
      <c r="A43" s="4">
        <f>_xlfn.XLOOKUP(B43,'WHOLESALE BMW 2026'!$B$7:$B$67,'WHOLESALE BMW 2026'!$A$7:$A$67)</f>
        <v>6</v>
      </c>
      <c r="B43" s="8">
        <v>100817</v>
      </c>
      <c r="C43" s="369" t="s">
        <v>69</v>
      </c>
      <c r="D43" s="125"/>
      <c r="E43" s="309" t="s">
        <v>94</v>
      </c>
      <c r="F43" s="21">
        <f ca="1">SUMIF('UC BMW 2026'!B41:B117,'UC BMW 2026'!B41,'UC BMW 2026'!F41:F108)</f>
        <v>30</v>
      </c>
      <c r="G43" s="24">
        <f ca="1">SUMIF('UC BMW 2026'!$B$5:$B$77,'UC BMW 2026'!B41,'UC BMW 2026'!$G$5:$G$72)</f>
        <v>30</v>
      </c>
      <c r="H43" s="24">
        <f>IFERROR(VLOOKUP(B43,[2]BPS!$B$10:$O$64,3,0),0)-IF(B43=100873,IFERROR(VLOOKUP("Enero",[2]BPS!$B$74:$C$89,2,0),0),0)</f>
        <v>30</v>
      </c>
      <c r="I43" s="285">
        <f t="shared" ca="1" si="80"/>
        <v>1</v>
      </c>
      <c r="J43" s="380">
        <f>IFERROR(VLOOKUP(B43,'[2]RETAIL ORIGEN RMKT'!$B$11:$O$62,3,0),0)</f>
        <v>11</v>
      </c>
      <c r="K43" s="127">
        <f t="shared" ca="1" si="81"/>
        <v>0.36666666666666664</v>
      </c>
      <c r="L43" s="21">
        <f ca="1">SUMIF('UC BMW 2026'!$B$5:$B$77,'UC BMW 2026'!$B41,'UC BMW 2026'!$H$5:$H$72)</f>
        <v>30</v>
      </c>
      <c r="M43" s="24">
        <f ca="1">SUMIF('UC BMW 2026'!$B$5:$B$77,'UC BMW 2026'!$B41,'UC BMW 2026'!$I$5:$I$72)</f>
        <v>22</v>
      </c>
      <c r="N43" s="24">
        <f>IFERROR(VLOOKUP(B43,[2]BPS!$B$10:$O$64,4,0),0)-IF(B43=100873,IFERROR(VLOOKUP("Febrero",[2]BPS!$B$74:$C$89,2,0),0),0)</f>
        <v>22</v>
      </c>
      <c r="O43" s="285">
        <f t="shared" ca="1" si="82"/>
        <v>1</v>
      </c>
      <c r="P43" s="380">
        <f>IFERROR(VLOOKUP(B43,'[2]RETAIL ORIGEN RMKT'!$B$11:$O$62,4,0),0)</f>
        <v>8</v>
      </c>
      <c r="Q43" s="127">
        <f t="shared" ca="1" si="83"/>
        <v>0.26666666666666666</v>
      </c>
      <c r="R43" s="21">
        <f ca="1">SUMIF('UC BMW 2026'!$B$5:$B$77,'UC BMW 2026'!$B41,'UC BMW 2026'!$J$5:$J$72)</f>
        <v>30</v>
      </c>
      <c r="S43" s="24">
        <f ca="1">SUMIF('UC BMW 2026'!$B$5:$B$77,'UC BMW 2026'!$B41,'UC BMW 2026'!$K$5:$K$72)</f>
        <v>38</v>
      </c>
      <c r="T43" s="24">
        <f>IFERROR(VLOOKUP(B43,[2]BPS!$B$10:$O$64,5,0),0)-IF(B43=100873,IFERROR(VLOOKUP("Marzo",[2]BPS!$B$74:$C$89,2,0),0),0)</f>
        <v>36</v>
      </c>
      <c r="U43" s="285">
        <f t="shared" ca="1" si="84"/>
        <v>0.94736842105263153</v>
      </c>
      <c r="V43" s="380">
        <f>IFERROR(VLOOKUP(B43,'[2]RETAIL ORIGEN RMKT'!$B$11:$O$62,5,0),0)</f>
        <v>14</v>
      </c>
      <c r="W43" s="127">
        <f t="shared" ca="1" si="85"/>
        <v>0.46666666666666667</v>
      </c>
      <c r="X43" s="21">
        <f ca="1">SUMIF('UC BMW 2026'!$B$5:$B$77,'UC BMW 2026'!$B41,'UC BMW 2026'!$L$5:$L$72)</f>
        <v>30</v>
      </c>
      <c r="Y43" s="24">
        <f ca="1">SUMIF('UC BMW 2026'!$B$5:$B$77,'UC BMW 2026'!$B41,'UC BMW 2026'!$M$5:$M$72)</f>
        <v>42</v>
      </c>
      <c r="Z43" s="24">
        <f>IFERROR(VLOOKUP(B43,[2]BPS!$B$10:$O$64,6,0),0)-IF(B43=100873,IFERROR(VLOOKUP("Abril",[2]BPS!$B$74:$C$89,2,0),0),0)</f>
        <v>41</v>
      </c>
      <c r="AA43" s="285">
        <f t="shared" ca="1" si="86"/>
        <v>0.97619047619047616</v>
      </c>
      <c r="AB43" s="380">
        <f>IFERROR(VLOOKUP(B43,'[2]RETAIL ORIGEN RMKT'!$B$11:$O$62,6,0),0)</f>
        <v>15</v>
      </c>
      <c r="AC43" s="127">
        <f t="shared" ca="1" si="87"/>
        <v>0.5</v>
      </c>
      <c r="AD43" s="21">
        <f ca="1">SUMIF('UC BMW 2026'!$B$5:$B$77,'UC BMW 2026'!$B41,'UC BMW 2026'!$N$5:$N$72)</f>
        <v>30</v>
      </c>
      <c r="AE43" s="24">
        <f ca="1">SUMIF('UC BMW 2026'!$B$5:$B$77,'UC BMW 2026'!$B41,'UC BMW 2026'!$O$5:$O$72)</f>
        <v>39</v>
      </c>
      <c r="AF43" s="24">
        <f>IFERROR(VLOOKUP(B43,[2]BPS!$B$10:$O$64,7,0),0)-IF(B43=100873,IFERROR(VLOOKUP("Mayo",[2]BPS!$B$74:$C$89,2,0),0),0)</f>
        <v>39</v>
      </c>
      <c r="AG43" s="285">
        <f t="shared" ca="1" si="88"/>
        <v>1</v>
      </c>
      <c r="AH43" s="380">
        <f>IFERROR(VLOOKUP(B43,'[2]RETAIL ORIGEN RMKT'!$B$11:$O$62,7,0),0)</f>
        <v>14</v>
      </c>
      <c r="AI43" s="127">
        <f t="shared" ca="1" si="89"/>
        <v>0.46666666666666667</v>
      </c>
      <c r="AJ43" s="21">
        <f ca="1">SUMIF('UC BMW 2026'!$B$5:$B$77,'UC BMW 2026'!$B41,'UC BMW 2026'!$P$5:$P$72)</f>
        <v>30</v>
      </c>
      <c r="AK43" s="24">
        <f ca="1">SUMIF('UC BMW 2026'!$B$5:$B$77,'UC BMW 2026'!$B41,'UC BMW 2026'!$Q$5:$Q$72)</f>
        <v>47</v>
      </c>
      <c r="AL43" s="24">
        <f>IFERROR(VLOOKUP(B43,[2]BPS!$B$10:$O$64,8,0),0)-IF(B43=100873,IFERROR(VLOOKUP("Junio",[2]BPS!$B$74:$C$89,2,0),0),0)</f>
        <v>46</v>
      </c>
      <c r="AM43" s="285">
        <f t="shared" ca="1" si="90"/>
        <v>0.97872340425531912</v>
      </c>
      <c r="AN43" s="380">
        <f>IFERROR(VLOOKUP(B43,'[2]RETAIL ORIGEN RMKT'!$B$11:$O$62,8,0),0)</f>
        <v>26</v>
      </c>
      <c r="AO43" s="127">
        <f t="shared" ca="1" si="91"/>
        <v>0.8666666666666667</v>
      </c>
      <c r="AP43" s="21">
        <f ca="1">SUMIF('UC BMW 2026'!$B$5:$B$77,'UC BMW 2026'!$B41,'UC BMW 2026'!$R$5:$R$72)</f>
        <v>33</v>
      </c>
      <c r="AQ43" s="24">
        <f ca="1">SUMIF('UC BMW 2026'!$B$5:$B$77,'UC BMW 2026'!$B41,'UC BMW 2026'!$S$5:$S$72)</f>
        <v>0</v>
      </c>
      <c r="AR43" s="24">
        <f>IFERROR(VLOOKUP(B43,[2]BPS!$B$10:$O$64,9,0),0)-IF(B43=100873,IFERROR(VLOOKUP("Julio",[2]BPS!$B$74:$C$89,2,0),0),0)</f>
        <v>0</v>
      </c>
      <c r="AS43" s="285">
        <f t="shared" ca="1" si="92"/>
        <v>0</v>
      </c>
      <c r="AT43" s="380">
        <f>IFERROR(VLOOKUP(B43,'[2]RETAIL ORIGEN RMKT'!$B$11:$O$62,9,0),0)</f>
        <v>0</v>
      </c>
      <c r="AU43" s="127">
        <f t="shared" ca="1" si="93"/>
        <v>0</v>
      </c>
      <c r="AV43" s="21">
        <f ca="1">SUMIF('UC BMW 2026'!$B$5:$B$77,'UC BMW 2026'!$B41,'UC BMW 2026'!$T$5:$T$72)</f>
        <v>33</v>
      </c>
      <c r="AW43" s="24">
        <f ca="1">SUMIF('UC BMW 2026'!$B$5:$B$77,'UC BMW 2026'!$B41,'UC BMW 2026'!$U$5:$U$72)</f>
        <v>0</v>
      </c>
      <c r="AX43" s="24">
        <f>IFERROR(VLOOKUP(B43,[2]BPS!$B$10:$O$64,10,0),0)-IF(B43=100873,IFERROR(VLOOKUP("Agosto",[2]BPS!$B$74:$C$89,2,0),0),0)</f>
        <v>0</v>
      </c>
      <c r="AY43" s="285">
        <f t="shared" ca="1" si="94"/>
        <v>0</v>
      </c>
      <c r="AZ43" s="380">
        <f>IFERROR(VLOOKUP(B43,'[2]RETAIL ORIGEN RMKT'!$B$11:$O$62,10,0),0)</f>
        <v>0</v>
      </c>
      <c r="BA43" s="127">
        <f t="shared" ca="1" si="95"/>
        <v>0</v>
      </c>
      <c r="BB43" s="21">
        <f ca="1">SUMIF('UC BMW 2026'!$B$5:$B$77,'UC BMW 2026'!$B41,'UC BMW 2026'!$V$5:$V$72)</f>
        <v>33</v>
      </c>
      <c r="BC43" s="24">
        <f>SUMIF('UC BMW 2026'!$B$5:$B$77,'UC BMW 2026'!$B41,'UC BMW 2026'!$W$5:$W$77)</f>
        <v>0</v>
      </c>
      <c r="BD43" s="24">
        <f>IFERROR(VLOOKUP(B43,[2]BPS!$B$10:$O$64,11,0),0)-IF(B43=100873,IFERROR(VLOOKUP("Septiembre",[2]BPS!$B$74:$C$89,2,0),0),0)</f>
        <v>0</v>
      </c>
      <c r="BE43" s="285">
        <f t="shared" si="96"/>
        <v>0</v>
      </c>
      <c r="BF43" s="380">
        <f>IFERROR(VLOOKUP(B43,'[2]RETAIL ORIGEN RMKT'!$B$11:$O$62,11,0),0)</f>
        <v>0</v>
      </c>
      <c r="BG43" s="127">
        <f t="shared" ca="1" si="97"/>
        <v>0</v>
      </c>
      <c r="BH43" s="21">
        <f>SUMIF('UC BMW 2026'!$B$5:$B$77,'UC BMW 2026'!$B41,'UC BMW 2026'!$X$5:$X$77)</f>
        <v>33</v>
      </c>
      <c r="BI43" s="24">
        <f>SUMIF('UC BMW 2026'!$B$5:$B$77,'UC BMW 2026'!$B41,'UC BMW 2026'!$Y$5:$Y$77)</f>
        <v>0</v>
      </c>
      <c r="BJ43" s="24">
        <f>IFERROR(VLOOKUP(B43,[2]BPS!$B$10:$O$64,12,0),0)-IF(B43=100873,IFERROR(VLOOKUP("Octubre",[2]BPS!$B$74:$C$89,2,0),0),0)</f>
        <v>0</v>
      </c>
      <c r="BK43" s="285">
        <f t="shared" si="98"/>
        <v>0</v>
      </c>
      <c r="BL43" s="380">
        <f>IFERROR(VLOOKUP(B43,'[2]RETAIL ORIGEN RMKT'!$B$11:$O$62,12,0),0)</f>
        <v>0</v>
      </c>
      <c r="BM43" s="127">
        <f t="shared" si="99"/>
        <v>0</v>
      </c>
      <c r="BN43" s="21">
        <f>SUMIF('UC BMW 2026'!$B$5:$B$77,'UC BMW 2026'!$B41,'UC BMW 2026'!$Z$5:$Z$77)</f>
        <v>33</v>
      </c>
      <c r="BO43" s="24">
        <f>SUMIF('UC BMW 2026'!$B$5:$B$77,'UC BMW 2026'!$B41,'UC BMW 2026'!$AA$5:$AA$77)</f>
        <v>0</v>
      </c>
      <c r="BP43" s="24">
        <f>IFERROR(VLOOKUP(B43,[2]BPS!$B$10:$O$64,13,0),0)-IF(B43=100873,IFERROR(VLOOKUP("Noviembre",[2]BPS!$B$74:$C$89,2,0),0),0)</f>
        <v>0</v>
      </c>
      <c r="BQ43" s="285">
        <f t="shared" si="100"/>
        <v>0</v>
      </c>
      <c r="BR43" s="380">
        <f>IFERROR(VLOOKUP(B43,'[2]RETAIL ORIGEN RMKT'!$B$11:$O$62,13,0),0)</f>
        <v>0</v>
      </c>
      <c r="BS43" s="127">
        <f t="shared" si="101"/>
        <v>0</v>
      </c>
      <c r="BT43" s="21">
        <f>SUMIF('UC BMW 2026'!$B$5:$B$77,'UC BMW 2026'!$B41,'UC BMW 2026'!$AB$5:$AB$77)</f>
        <v>35</v>
      </c>
      <c r="BU43" s="24">
        <f>SUMIF('UC BMW 2026'!$B$5:$B$77,'UC BMW 2026'!$B41,'UC BMW 2026'!$AC$5:$AC$77)</f>
        <v>0</v>
      </c>
      <c r="BV43" s="24">
        <f>IFERROR(VLOOKUP(B43,[2]BPS!$B$10:$O$64,13,0),0)-IF(B43=100873,IFERROR(VLOOKUP("Diciembre",[2]BPS!$B$74:$C$89,2,0),0),0)</f>
        <v>0</v>
      </c>
      <c r="BW43" s="285">
        <f t="shared" si="102"/>
        <v>0</v>
      </c>
      <c r="BX43" s="380">
        <f>IFERROR(VLOOKUP(B43,'[2]RETAIL ORIGEN RMKT'!$B$11:$O$62,14,0),0)</f>
        <v>0</v>
      </c>
      <c r="BY43" s="127">
        <f t="shared" si="103"/>
        <v>0</v>
      </c>
      <c r="BZ43" s="25">
        <f t="shared" ca="1" si="127"/>
        <v>180</v>
      </c>
      <c r="CA43" s="27">
        <f t="shared" ca="1" si="127"/>
        <v>218</v>
      </c>
      <c r="CB43" s="287">
        <f t="shared" ca="1" si="104"/>
        <v>1.211111111111111</v>
      </c>
      <c r="CC43" s="291">
        <f t="shared" si="128"/>
        <v>214</v>
      </c>
      <c r="CD43" s="287">
        <f t="shared" ca="1" si="129"/>
        <v>0.98165137614678899</v>
      </c>
      <c r="CE43" s="24">
        <f t="shared" si="130"/>
        <v>88</v>
      </c>
      <c r="CF43" s="129">
        <f t="shared" ca="1" si="105"/>
        <v>0.48888888888888887</v>
      </c>
      <c r="CG43" s="25">
        <f t="shared" ca="1" si="131"/>
        <v>380</v>
      </c>
      <c r="CH43" s="27">
        <f t="shared" ca="1" si="132"/>
        <v>218</v>
      </c>
      <c r="CI43" s="287">
        <f t="shared" ca="1" si="106"/>
        <v>0.5736842105263158</v>
      </c>
      <c r="CJ43" s="291">
        <f t="shared" si="133"/>
        <v>214</v>
      </c>
      <c r="CK43" s="287">
        <f t="shared" ca="1" si="107"/>
        <v>0.98165137614678899</v>
      </c>
      <c r="CL43" s="27">
        <f t="shared" si="134"/>
        <v>88</v>
      </c>
      <c r="CM43" s="129">
        <f t="shared" ca="1" si="108"/>
        <v>0.23157894736842105</v>
      </c>
      <c r="CN43" s="25">
        <f t="shared" ca="1" si="135"/>
        <v>90</v>
      </c>
      <c r="CO43" s="27">
        <f t="shared" ca="1" si="135"/>
        <v>90</v>
      </c>
      <c r="CP43" s="287">
        <f t="shared" ca="1" si="109"/>
        <v>1</v>
      </c>
      <c r="CQ43" s="291">
        <f t="shared" si="136"/>
        <v>88</v>
      </c>
      <c r="CR43" s="287">
        <f t="shared" ca="1" si="110"/>
        <v>0.97777777777777775</v>
      </c>
      <c r="CS43" s="27">
        <f t="shared" si="111"/>
        <v>0</v>
      </c>
      <c r="CT43" s="129">
        <f t="shared" ca="1" si="112"/>
        <v>0</v>
      </c>
      <c r="CU43" s="25">
        <f t="shared" ca="1" si="78"/>
        <v>180</v>
      </c>
      <c r="CV43" s="27">
        <f t="shared" ca="1" si="78"/>
        <v>218</v>
      </c>
      <c r="CW43" s="287">
        <f t="shared" ca="1" si="113"/>
        <v>1.211111111111111</v>
      </c>
      <c r="CX43" s="27">
        <f t="shared" si="114"/>
        <v>214</v>
      </c>
      <c r="CY43" s="287">
        <f t="shared" ca="1" si="115"/>
        <v>0.98165137614678899</v>
      </c>
      <c r="CZ43" s="27">
        <f t="shared" si="116"/>
        <v>88</v>
      </c>
      <c r="DA43" s="130">
        <f t="shared" ca="1" si="117"/>
        <v>0.48888888888888887</v>
      </c>
      <c r="DB43" s="25">
        <f t="shared" ca="1" si="137"/>
        <v>200</v>
      </c>
      <c r="DC43" s="27">
        <f t="shared" ca="1" si="137"/>
        <v>0</v>
      </c>
      <c r="DD43" s="287">
        <f t="shared" ca="1" si="118"/>
        <v>0</v>
      </c>
      <c r="DE43" s="27">
        <f t="shared" si="138"/>
        <v>0</v>
      </c>
      <c r="DF43" s="287" t="str">
        <f t="shared" ca="1" si="119"/>
        <v>N.D.</v>
      </c>
      <c r="DG43" s="27">
        <f t="shared" si="139"/>
        <v>0</v>
      </c>
      <c r="DH43" s="130">
        <f t="shared" ca="1" si="120"/>
        <v>0</v>
      </c>
      <c r="DI43" s="510">
        <v>1</v>
      </c>
      <c r="DJ43" s="369" t="s">
        <v>69</v>
      </c>
      <c r="DK43" s="25">
        <f t="shared" ca="1" si="121"/>
        <v>180</v>
      </c>
      <c r="DL43" s="27">
        <f t="shared" ca="1" si="79"/>
        <v>218</v>
      </c>
      <c r="DM43" s="287">
        <f t="shared" ca="1" si="122"/>
        <v>1.211111111111111</v>
      </c>
      <c r="DN43" s="291">
        <f t="shared" si="123"/>
        <v>214</v>
      </c>
      <c r="DO43" s="287">
        <f t="shared" ca="1" si="124"/>
        <v>0.98165137614678899</v>
      </c>
      <c r="DP43" s="27">
        <f t="shared" si="125"/>
        <v>88</v>
      </c>
      <c r="DQ43" s="130">
        <f t="shared" ca="1" si="126"/>
        <v>0.48888888888888887</v>
      </c>
      <c r="DR43"/>
      <c r="DS43" s="4">
        <f ca="1"/>
        <v>75</v>
      </c>
      <c r="DT43" s="4">
        <f ca="1"/>
        <v>78</v>
      </c>
      <c r="DU43" s="509">
        <f ca="1"/>
        <v>0.90370370370370368</v>
      </c>
      <c r="DW43" s="508">
        <f ca="1"/>
        <v>0.88888888888888884</v>
      </c>
      <c r="DX43" s="4">
        <v>19</v>
      </c>
      <c r="DY43" s="508">
        <f ca="1"/>
        <v>0.23684210526315788</v>
      </c>
    </row>
    <row r="44" spans="1:129" s="4" customFormat="1" ht="15" customHeight="1" thickBot="1" x14ac:dyDescent="0.4">
      <c r="A44" s="4">
        <f>_xlfn.XLOOKUP(B44,'WHOLESALE BMW 2026'!$B$7:$B$67,'WHOLESALE BMW 2026'!$A$7:$A$67)</f>
        <v>0</v>
      </c>
      <c r="B44" s="7" t="s">
        <v>268</v>
      </c>
      <c r="C44" s="28"/>
      <c r="D44" s="125"/>
      <c r="E44" s="7"/>
      <c r="F44" s="200">
        <f ca="1">SUM(F38:F43)</f>
        <v>107</v>
      </c>
      <c r="G44" s="200">
        <f ca="1">SUM(G38:G43)</f>
        <v>104</v>
      </c>
      <c r="H44" s="200">
        <f>SUM(H38:H43)</f>
        <v>102</v>
      </c>
      <c r="I44" s="413">
        <f t="shared" ca="1" si="80"/>
        <v>0.98076923076923073</v>
      </c>
      <c r="J44" s="200">
        <f>SUM(J38:J43)</f>
        <v>42</v>
      </c>
      <c r="K44" s="390">
        <f t="shared" ca="1" si="81"/>
        <v>0.3925233644859813</v>
      </c>
      <c r="L44" s="200">
        <f ca="1">SUM(L38:L43)</f>
        <v>110</v>
      </c>
      <c r="M44" s="200">
        <f ca="1">SUM(M38:M43)</f>
        <v>111</v>
      </c>
      <c r="N44" s="200">
        <f>SUM(N38:N43)</f>
        <v>110</v>
      </c>
      <c r="O44" s="413">
        <f t="shared" ca="1" si="82"/>
        <v>0.99099099099099097</v>
      </c>
      <c r="P44" s="200">
        <f>SUM(P38:P43)</f>
        <v>59</v>
      </c>
      <c r="Q44" s="390">
        <f t="shared" ca="1" si="83"/>
        <v>0.53636363636363638</v>
      </c>
      <c r="R44" s="200">
        <f ca="1">SUM(R38:R43)</f>
        <v>112</v>
      </c>
      <c r="S44" s="200">
        <f ca="1">SUM(S38:S43)</f>
        <v>128</v>
      </c>
      <c r="T44" s="200">
        <f>SUM(T38:T43)</f>
        <v>122</v>
      </c>
      <c r="U44" s="413">
        <f t="shared" ca="1" si="84"/>
        <v>0.953125</v>
      </c>
      <c r="V44" s="200">
        <f>SUM(V38:V43)</f>
        <v>60</v>
      </c>
      <c r="W44" s="390">
        <f t="shared" ca="1" si="85"/>
        <v>0.5357142857142857</v>
      </c>
      <c r="X44" s="200">
        <f ca="1">SUM(X38:X43)</f>
        <v>111</v>
      </c>
      <c r="Y44" s="200">
        <f ca="1">SUM(Y38:Y43)</f>
        <v>140</v>
      </c>
      <c r="Z44" s="200">
        <f>SUM(Z38:Z43)</f>
        <v>134</v>
      </c>
      <c r="AA44" s="413">
        <f t="shared" ca="1" si="86"/>
        <v>0.95714285714285718</v>
      </c>
      <c r="AB44" s="200">
        <f>SUM(AB38:AB43)</f>
        <v>64</v>
      </c>
      <c r="AC44" s="390">
        <f t="shared" ca="1" si="87"/>
        <v>0.57657657657657657</v>
      </c>
      <c r="AD44" s="200">
        <f ca="1">SUM(AD38:AD43)</f>
        <v>111</v>
      </c>
      <c r="AE44" s="200">
        <f ca="1">SUM(AE38:AE43)</f>
        <v>107</v>
      </c>
      <c r="AF44" s="200">
        <f>SUM(AF38:AF43)</f>
        <v>102</v>
      </c>
      <c r="AG44" s="413">
        <f t="shared" ca="1" si="88"/>
        <v>0.95327102803738317</v>
      </c>
      <c r="AH44" s="200">
        <f>SUM(AH38:AH43)</f>
        <v>41</v>
      </c>
      <c r="AI44" s="390">
        <f t="shared" ca="1" si="89"/>
        <v>0.36936936936936937</v>
      </c>
      <c r="AJ44" s="200">
        <f ca="1">SUM(AJ38:AJ43)</f>
        <v>114</v>
      </c>
      <c r="AK44" s="200">
        <f ca="1">SUM(AK38:AK43)</f>
        <v>174</v>
      </c>
      <c r="AL44" s="200">
        <f>SUM(AL38:AL43)</f>
        <v>168</v>
      </c>
      <c r="AM44" s="413">
        <f t="shared" ca="1" si="90"/>
        <v>0.96551724137931039</v>
      </c>
      <c r="AN44" s="200">
        <f>SUM(AN38:AN43)</f>
        <v>84</v>
      </c>
      <c r="AO44" s="390">
        <f t="shared" ca="1" si="91"/>
        <v>0.73684210526315785</v>
      </c>
      <c r="AP44" s="200">
        <f ca="1">SUM(AP38:AP43)</f>
        <v>77</v>
      </c>
      <c r="AQ44" s="200">
        <f ca="1">SUM(AQ38:AQ43)</f>
        <v>0</v>
      </c>
      <c r="AR44" s="200">
        <f>SUM(AR38:AR43)</f>
        <v>0</v>
      </c>
      <c r="AS44" s="413">
        <f t="shared" ca="1" si="92"/>
        <v>0</v>
      </c>
      <c r="AT44" s="200">
        <f>SUM(AT38:AT43)</f>
        <v>0</v>
      </c>
      <c r="AU44" s="390">
        <f t="shared" ca="1" si="93"/>
        <v>0</v>
      </c>
      <c r="AV44" s="200">
        <f ca="1">SUM(AV38:AV43)</f>
        <v>77</v>
      </c>
      <c r="AW44" s="200">
        <f ca="1">SUM(AW38:AW43)</f>
        <v>0</v>
      </c>
      <c r="AX44" s="200">
        <f>SUM(AX38:AX43)</f>
        <v>0</v>
      </c>
      <c r="AY44" s="413">
        <f t="shared" ca="1" si="94"/>
        <v>0</v>
      </c>
      <c r="AZ44" s="200">
        <f>SUM(AZ38:AZ43)</f>
        <v>0</v>
      </c>
      <c r="BA44" s="390">
        <f t="shared" ca="1" si="95"/>
        <v>0</v>
      </c>
      <c r="BB44" s="200">
        <f ca="1">SUM(BB38:BB43)</f>
        <v>77</v>
      </c>
      <c r="BC44" s="200">
        <f>SUM(BC38:BC43)</f>
        <v>0</v>
      </c>
      <c r="BD44" s="200">
        <f>SUM(BD38:BD43)</f>
        <v>0</v>
      </c>
      <c r="BE44" s="413">
        <f t="shared" si="96"/>
        <v>0</v>
      </c>
      <c r="BF44" s="200">
        <f>SUM(BF38:BF43)</f>
        <v>0</v>
      </c>
      <c r="BG44" s="390">
        <f t="shared" ca="1" si="97"/>
        <v>0</v>
      </c>
      <c r="BH44" s="200">
        <f>SUM(BH38:BH43)</f>
        <v>77</v>
      </c>
      <c r="BI44" s="200">
        <f>SUM(BI38:BI43)</f>
        <v>0</v>
      </c>
      <c r="BJ44" s="200">
        <f>SUM(BJ38:BJ43)</f>
        <v>0</v>
      </c>
      <c r="BK44" s="413">
        <f t="shared" si="98"/>
        <v>0</v>
      </c>
      <c r="BL44" s="200">
        <f>SUM(BL38:BL43)</f>
        <v>0</v>
      </c>
      <c r="BM44" s="390">
        <f t="shared" si="99"/>
        <v>0</v>
      </c>
      <c r="BN44" s="200">
        <f>SUM(BN38:BN43)</f>
        <v>77</v>
      </c>
      <c r="BO44" s="200">
        <f>SUM(BO38:BO43)</f>
        <v>0</v>
      </c>
      <c r="BP44" s="200">
        <f>SUM(BP38:BP43)</f>
        <v>0</v>
      </c>
      <c r="BQ44" s="413">
        <f t="shared" si="100"/>
        <v>0</v>
      </c>
      <c r="BR44" s="200">
        <f>SUM(BR38:BR43)</f>
        <v>0</v>
      </c>
      <c r="BS44" s="390">
        <f t="shared" si="101"/>
        <v>0</v>
      </c>
      <c r="BT44" s="200">
        <f>SUM(BT38:BT43)</f>
        <v>80</v>
      </c>
      <c r="BU44" s="200">
        <f>SUM(BU38:BU43)</f>
        <v>0</v>
      </c>
      <c r="BV44" s="200">
        <f>SUM(BV38:BV43)</f>
        <v>0</v>
      </c>
      <c r="BW44" s="413">
        <f t="shared" si="102"/>
        <v>0</v>
      </c>
      <c r="BX44" s="200">
        <f>SUM(BX38:BX43)</f>
        <v>0</v>
      </c>
      <c r="BY44" s="390">
        <f t="shared" si="103"/>
        <v>0</v>
      </c>
      <c r="BZ44" s="200">
        <f ca="1">SUM(BZ38:BZ43)</f>
        <v>665</v>
      </c>
      <c r="CA44" s="200">
        <f ca="1">SUM(CA38:CA43)</f>
        <v>764</v>
      </c>
      <c r="CB44" s="132">
        <f t="shared" ca="1" si="104"/>
        <v>1.1488721804511277</v>
      </c>
      <c r="CC44" s="200">
        <f>SUM(CC38:CC43)</f>
        <v>738</v>
      </c>
      <c r="CD44" s="132">
        <f ca="1">CC44/CA44</f>
        <v>0.96596858638743455</v>
      </c>
      <c r="CE44" s="200">
        <f>SUM(CE38:CE43)</f>
        <v>350</v>
      </c>
      <c r="CF44" s="131">
        <f t="shared" ca="1" si="105"/>
        <v>0.52631578947368418</v>
      </c>
      <c r="CG44" s="200">
        <f ca="1">SUM(CG38:CG43)</f>
        <v>1130</v>
      </c>
      <c r="CH44" s="200">
        <f ca="1">SUM(CH38:CH43)</f>
        <v>764</v>
      </c>
      <c r="CI44" s="132">
        <f t="shared" ca="1" si="106"/>
        <v>0.67610619469026545</v>
      </c>
      <c r="CJ44" s="200">
        <f>SUM(CJ38:CJ43)</f>
        <v>738</v>
      </c>
      <c r="CK44" s="132">
        <f t="shared" ca="1" si="107"/>
        <v>0.96596858638743455</v>
      </c>
      <c r="CL44" s="258">
        <f>J44+P44+V44+AB44+AH44+AN44+AT44+AZ44+BF44+BL44+BR44+BX44</f>
        <v>350</v>
      </c>
      <c r="CM44" s="131">
        <f t="shared" ca="1" si="108"/>
        <v>0.30973451327433627</v>
      </c>
      <c r="CN44" s="200">
        <f ca="1">SUM(CN35:CN44)</f>
        <v>162</v>
      </c>
      <c r="CO44" s="258">
        <f ca="1">SUM(CO35:CO44)</f>
        <v>82</v>
      </c>
      <c r="CP44" s="132">
        <f t="shared" ca="1" si="109"/>
        <v>0.50617283950617287</v>
      </c>
      <c r="CQ44" s="278" t="e">
        <f ca="1">SUM(CQ35:CQ44)</f>
        <v>#VALUE!</v>
      </c>
      <c r="CR44" s="132" t="e">
        <f t="shared" ca="1" si="110"/>
        <v>#VALUE!</v>
      </c>
      <c r="CS44" s="258">
        <f t="shared" si="111"/>
        <v>0</v>
      </c>
      <c r="CT44" s="131">
        <f t="shared" ca="1" si="112"/>
        <v>0</v>
      </c>
      <c r="CU44" s="200">
        <f t="shared" ca="1" si="78"/>
        <v>665</v>
      </c>
      <c r="CV44" s="258">
        <f t="shared" ca="1" si="78"/>
        <v>764</v>
      </c>
      <c r="CW44" s="132">
        <f t="shared" ca="1" si="113"/>
        <v>1.1488721804511277</v>
      </c>
      <c r="CX44" s="258">
        <f t="shared" si="114"/>
        <v>738</v>
      </c>
      <c r="CY44" s="132">
        <f t="shared" ca="1" si="115"/>
        <v>0.96596858638743455</v>
      </c>
      <c r="CZ44" s="258">
        <f t="shared" si="116"/>
        <v>350</v>
      </c>
      <c r="DA44" s="275">
        <f t="shared" ca="1" si="117"/>
        <v>0.52631578947368418</v>
      </c>
      <c r="DB44" s="200">
        <f ca="1">IFERROR(SUM(DB35:DB44),0)</f>
        <v>0</v>
      </c>
      <c r="DC44" s="200">
        <f ca="1">IFERROR(SUM(DC35:DC44),0)</f>
        <v>0</v>
      </c>
      <c r="DD44" s="132">
        <f t="shared" ca="1" si="118"/>
        <v>0</v>
      </c>
      <c r="DE44" s="258">
        <f ca="1">IFERROR(SUM(DE35:DE44),0)</f>
        <v>0</v>
      </c>
      <c r="DF44" s="132" t="str">
        <f t="shared" ca="1" si="119"/>
        <v>N.D.</v>
      </c>
      <c r="DG44" s="258">
        <f ca="1">IFERROR(SUM(DG35:DG44),0)</f>
        <v>0</v>
      </c>
      <c r="DH44" s="275">
        <f t="shared" ca="1" si="120"/>
        <v>0</v>
      </c>
      <c r="DI44" s="510">
        <v>0</v>
      </c>
      <c r="DJ44" s="28"/>
      <c r="DK44" s="200">
        <f t="shared" ca="1" si="121"/>
        <v>665</v>
      </c>
      <c r="DL44" s="258">
        <f t="shared" ca="1" si="79"/>
        <v>764</v>
      </c>
      <c r="DM44" s="132">
        <f t="shared" ca="1" si="122"/>
        <v>1.1488721804511277</v>
      </c>
      <c r="DN44" s="278">
        <f t="shared" si="123"/>
        <v>738</v>
      </c>
      <c r="DO44" s="132">
        <f t="shared" ca="1" si="124"/>
        <v>0.96596858638743455</v>
      </c>
      <c r="DP44" s="258">
        <f t="shared" si="125"/>
        <v>350</v>
      </c>
      <c r="DQ44" s="275">
        <f t="shared" ca="1" si="126"/>
        <v>0.52631578947368418</v>
      </c>
      <c r="DR44"/>
      <c r="DS44" s="4">
        <f ca="1"/>
        <v>70</v>
      </c>
      <c r="DT44" s="4">
        <f ca="1"/>
        <v>67</v>
      </c>
      <c r="DU44" s="508">
        <f ca="1"/>
        <v>0.8990825688073395</v>
      </c>
      <c r="DW44" s="508">
        <f ca="1"/>
        <v>0.8867924528301887</v>
      </c>
      <c r="DX44" s="4">
        <v>18</v>
      </c>
      <c r="DY44" s="508">
        <f ca="1"/>
        <v>0.23529411764705882</v>
      </c>
    </row>
    <row r="45" spans="1:129" s="4" customFormat="1" ht="15" customHeight="1" x14ac:dyDescent="0.35">
      <c r="A45" s="4">
        <f>_xlfn.XLOOKUP(B45,'WHOLESALE BMW 2026'!$B$7:$B$67,'WHOLESALE BMW 2026'!$A$7:$A$67)</f>
        <v>7</v>
      </c>
      <c r="B45" s="8">
        <v>100909</v>
      </c>
      <c r="C45" s="369" t="s">
        <v>255</v>
      </c>
      <c r="D45" s="125"/>
      <c r="E45" s="309" t="s">
        <v>254</v>
      </c>
      <c r="F45" s="21">
        <f ca="1">SUMIF('UC BMW 2026'!B43:B119,'UC BMW 2026'!B43,'UC BMW 2026'!F43:F110)</f>
        <v>28</v>
      </c>
      <c r="G45" s="24">
        <f ca="1">SUMIF('UC BMW 2026'!$B$5:$B$77,'UC BMW 2026'!B43,'UC BMW 2026'!$G$5:$G$72)</f>
        <v>18</v>
      </c>
      <c r="H45" s="24">
        <f>IFERROR(VLOOKUP(B45,[2]BPS!$B$10:$O$64,3,0),0)-IF(B45=100873,IFERROR(VLOOKUP("Enero",[2]BPS!$B$74:$C$89,2,0),0),0)</f>
        <v>13</v>
      </c>
      <c r="I45" s="284">
        <f ca="1">IFERROR(H45/G45,0)</f>
        <v>0.72222222222222221</v>
      </c>
      <c r="J45" s="380">
        <f>IFERROR(VLOOKUP(B45,'[2]RETAIL ORIGEN RMKT'!$B$11:$O$62,3,0),0)</f>
        <v>2</v>
      </c>
      <c r="K45" s="274">
        <f ca="1">IFERROR(J45/F45,0)</f>
        <v>7.1428571428571425E-2</v>
      </c>
      <c r="L45" s="21">
        <f ca="1">SUMIF('UC BMW 2026'!$B$5:$B$77,'UC BMW 2026'!$B43,'UC BMW 2026'!$H$5:$H$72)</f>
        <v>28</v>
      </c>
      <c r="M45" s="24">
        <f ca="1">SUMIF('UC BMW 2026'!$B$5:$B$77,'UC BMW 2026'!$B43,'UC BMW 2026'!$I$5:$I$72)</f>
        <v>16</v>
      </c>
      <c r="N45" s="24">
        <f>IFERROR(VLOOKUP(B45,[2]BPS!$B$10:$O$64,4,0),0)-IF(B45=100873,IFERROR(VLOOKUP("Febrero",[2]BPS!$B$74:$C$89,2,0),0),0)</f>
        <v>15</v>
      </c>
      <c r="O45" s="284">
        <f t="shared" ref="O45:O53" ca="1" si="140">IFERROR(N45/M45,0)</f>
        <v>0.9375</v>
      </c>
      <c r="P45" s="380">
        <f>IFERROR(VLOOKUP(B45,'[2]RETAIL ORIGEN RMKT'!$B$11:$O$62,4,0),0)</f>
        <v>0</v>
      </c>
      <c r="Q45" s="274">
        <f ca="1">IFERROR(P45/L45,0)</f>
        <v>0</v>
      </c>
      <c r="R45" s="21">
        <f ca="1">SUMIF('UC BMW 2026'!$B$5:$B$77,'UC BMW 2026'!$B43,'UC BMW 2026'!$J$5:$J$72)</f>
        <v>28</v>
      </c>
      <c r="S45" s="24">
        <f ca="1">SUMIF('UC BMW 2026'!$B$5:$B$77,'UC BMW 2026'!$B43,'UC BMW 2026'!$K$5:$K$72)</f>
        <v>25</v>
      </c>
      <c r="T45" s="24">
        <f>IFERROR(VLOOKUP(B45,[2]BPS!$B$10:$O$64,5,0),0)-IF(B45=100873,IFERROR(VLOOKUP("Marzo",[2]BPS!$B$74:$C$89,2,0),0),0)</f>
        <v>21</v>
      </c>
      <c r="U45" s="284">
        <f ca="1">IFERROR(T45/S45,0)</f>
        <v>0.84</v>
      </c>
      <c r="V45" s="380">
        <f>IFERROR(VLOOKUP(B45,'[2]RETAIL ORIGEN RMKT'!$B$11:$O$62,5,0),0)</f>
        <v>4</v>
      </c>
      <c r="W45" s="274">
        <f ca="1">IFERROR(V45/R45,0)</f>
        <v>0.14285714285714285</v>
      </c>
      <c r="X45" s="21">
        <f ca="1">SUMIF('UC BMW 2026'!$B$5:$B$77,'UC BMW 2026'!$B43,'UC BMW 2026'!$L$5:$L$72)</f>
        <v>28</v>
      </c>
      <c r="Y45" s="24">
        <f ca="1">SUMIF('UC BMW 2026'!$B$5:$B$77,'UC BMW 2026'!$B43,'UC BMW 2026'!$M$5:$M$72)</f>
        <v>19</v>
      </c>
      <c r="Z45" s="24">
        <f>IFERROR(VLOOKUP(B45,[2]BPS!$B$10:$O$64,6,0),0)-IF(B45=100873,IFERROR(VLOOKUP("Abril",[2]BPS!$B$74:$C$89,2,0),0),0)</f>
        <v>17</v>
      </c>
      <c r="AA45" s="284">
        <f ca="1">IFERROR(Z45/Y45,0)</f>
        <v>0.89473684210526316</v>
      </c>
      <c r="AB45" s="380">
        <f>IFERROR(VLOOKUP(B45,'[2]RETAIL ORIGEN RMKT'!$B$11:$O$62,6,0),0)</f>
        <v>6</v>
      </c>
      <c r="AC45" s="274">
        <f ca="1">IFERROR(AB45/X45,0)</f>
        <v>0.21428571428571427</v>
      </c>
      <c r="AD45" s="21">
        <f ca="1">SUMIF('UC BMW 2026'!$B$5:$B$77,'UC BMW 2026'!$B43,'UC BMW 2026'!$N$5:$N$72)</f>
        <v>28</v>
      </c>
      <c r="AE45" s="24">
        <f ca="1">SUMIF('UC BMW 2026'!$B$5:$B$77,'UC BMW 2026'!$B43,'UC BMW 2026'!$O$5:$O$72)</f>
        <v>25</v>
      </c>
      <c r="AF45" s="24">
        <f>IFERROR(VLOOKUP(B45,[2]BPS!$B$10:$O$64,7,0),0)-IF(B45=100873,IFERROR(VLOOKUP("Mayo",[2]BPS!$B$74:$C$89,2,0),0),0)</f>
        <v>16</v>
      </c>
      <c r="AG45" s="284">
        <f ca="1">IFERROR(AF45/AE45,0)</f>
        <v>0.64</v>
      </c>
      <c r="AH45" s="380">
        <f>IFERROR(VLOOKUP(B45,'[2]RETAIL ORIGEN RMKT'!$B$11:$O$62,7,0),0)</f>
        <v>7</v>
      </c>
      <c r="AI45" s="274">
        <f ca="1">IFERROR(AH45/AD45,0)</f>
        <v>0.25</v>
      </c>
      <c r="AJ45" s="21">
        <f ca="1">SUMIF('UC BMW 2026'!$B$5:$B$77,'UC BMW 2026'!$B43,'UC BMW 2026'!$P$5:$P$72)</f>
        <v>28</v>
      </c>
      <c r="AK45" s="24">
        <f ca="1">SUMIF('UC BMW 2026'!$B$5:$B$77,'UC BMW 2026'!$B43,'UC BMW 2026'!$Q$5:$Q$72)</f>
        <v>19</v>
      </c>
      <c r="AL45" s="24">
        <f>IFERROR(VLOOKUP(B45,[2]BPS!$B$10:$O$64,8,0),0)-IF(B45=100873,IFERROR(VLOOKUP("Junio",[2]BPS!$B$74:$C$89,2,0),0),0)</f>
        <v>14</v>
      </c>
      <c r="AM45" s="284">
        <f ca="1">IFERROR(AL45/AK45,0)</f>
        <v>0.73684210526315785</v>
      </c>
      <c r="AN45" s="380">
        <f>IFERROR(VLOOKUP(B45,'[2]RETAIL ORIGEN RMKT'!$B$11:$O$62,8,0),0)</f>
        <v>6</v>
      </c>
      <c r="AO45" s="274">
        <f ca="1">IFERROR(AN45/AJ45,0)</f>
        <v>0.21428571428571427</v>
      </c>
      <c r="AP45" s="21">
        <f ca="1">SUMIF('UC BMW 2026'!$B$5:$B$77,'UC BMW 2026'!$B43,'UC BMW 2026'!$R$5:$R$72)</f>
        <v>0</v>
      </c>
      <c r="AQ45" s="24">
        <f ca="1">SUMIF('UC BMW 2026'!$B$5:$B$77,'UC BMW 2026'!$B43,'UC BMW 2026'!$S$5:$S$72)</f>
        <v>0</v>
      </c>
      <c r="AR45" s="24">
        <f>IFERROR(VLOOKUP(B45,[2]BPS!$B$10:$O$64,9,0),0)-IF(B45=100873,IFERROR(VLOOKUP("Julio",[2]BPS!$B$74:$C$89,2,0),0),0)</f>
        <v>0</v>
      </c>
      <c r="AS45" s="284">
        <f ca="1">IFERROR(AR45/AQ45,0)</f>
        <v>0</v>
      </c>
      <c r="AT45" s="380">
        <f>IFERROR(VLOOKUP(B45,'[2]RETAIL ORIGEN RMKT'!$B$11:$O$62,9,0),0)</f>
        <v>0</v>
      </c>
      <c r="AU45" s="274">
        <f ca="1">IFERROR(AT45/AP45,0)</f>
        <v>0</v>
      </c>
      <c r="AV45" s="21">
        <f ca="1">SUMIF('UC BMW 2026'!$B$5:$B$77,'UC BMW 2026'!$B43,'UC BMW 2026'!$T$5:$T$72)</f>
        <v>0</v>
      </c>
      <c r="AW45" s="24">
        <f ca="1">SUMIF('UC BMW 2026'!$B$5:$B$77,'UC BMW 2026'!$B43,'UC BMW 2026'!$U$5:$U$72)</f>
        <v>0</v>
      </c>
      <c r="AX45" s="24">
        <f>IFERROR(VLOOKUP(B45,[2]BPS!$B$10:$O$64,10,0),0)-IF(B45=100873,IFERROR(VLOOKUP("Agosto",[2]BPS!$B$74:$C$89,2,0),0),0)</f>
        <v>0</v>
      </c>
      <c r="AY45" s="284">
        <f ca="1">IFERROR(AX45/AW45,0)</f>
        <v>0</v>
      </c>
      <c r="AZ45" s="380">
        <f>IFERROR(VLOOKUP(B45,'[2]RETAIL ORIGEN RMKT'!$B$11:$O$62,10,0),0)</f>
        <v>0</v>
      </c>
      <c r="BA45" s="274">
        <f ca="1">IFERROR(AZ45/AV45,0)</f>
        <v>0</v>
      </c>
      <c r="BB45" s="21">
        <f ca="1">SUMIF('UC BMW 2026'!$B$5:$B$77,'UC BMW 2026'!$B43,'UC BMW 2026'!$V$5:$V$72)</f>
        <v>0</v>
      </c>
      <c r="BC45" s="24">
        <f>SUMIF('UC BMW 2026'!$B$5:$B$77,'UC BMW 2026'!$B43,'UC BMW 2026'!$W$5:$W$77)</f>
        <v>0</v>
      </c>
      <c r="BD45" s="24">
        <f>IFERROR(VLOOKUP(B45,[2]BPS!$B$10:$O$64,11,0),0)-IF(B45=100873,IFERROR(VLOOKUP("Septiembre",[2]BPS!$B$74:$C$89,2,0),0),0)</f>
        <v>0</v>
      </c>
      <c r="BE45" s="284">
        <f>IFERROR(BD45/BC45,0)</f>
        <v>0</v>
      </c>
      <c r="BF45" s="380">
        <f>IFERROR(VLOOKUP(B45,'[2]RETAIL ORIGEN RMKT'!$B$11:$O$62,11,0),0)</f>
        <v>0</v>
      </c>
      <c r="BG45" s="274">
        <f ca="1">IFERROR(BF45/BB45,0)</f>
        <v>0</v>
      </c>
      <c r="BH45" s="21">
        <f>SUMIF('UC BMW 2026'!$B$5:$B$77,'UC BMW 2026'!$B43,'UC BMW 2026'!$X$5:$X$77)</f>
        <v>0</v>
      </c>
      <c r="BI45" s="24">
        <f>SUMIF('UC BMW 2026'!$B$5:$B$77,'UC BMW 2026'!$B43,'UC BMW 2026'!$Y$5:$Y$77)</f>
        <v>0</v>
      </c>
      <c r="BJ45" s="24">
        <f>IFERROR(VLOOKUP(B45,[2]BPS!$B$10:$O$64,12,0),0)-IF(B45=100873,IFERROR(VLOOKUP("Octubre",[2]BPS!$B$74:$C$89,2,0),0),0)</f>
        <v>0</v>
      </c>
      <c r="BK45" s="284">
        <f>IFERROR(BJ45/BI45,0)</f>
        <v>0</v>
      </c>
      <c r="BL45" s="380">
        <f>IFERROR(VLOOKUP(B45,'[2]RETAIL ORIGEN RMKT'!$B$11:$O$62,12,0),0)</f>
        <v>0</v>
      </c>
      <c r="BM45" s="274">
        <f>IFERROR(BL45/BH45,0)</f>
        <v>0</v>
      </c>
      <c r="BN45" s="21">
        <f>SUMIF('UC BMW 2026'!$B$5:$B$77,'UC BMW 2026'!$B43,'UC BMW 2026'!$Z$5:$Z$77)</f>
        <v>0</v>
      </c>
      <c r="BO45" s="24">
        <f>SUMIF('UC BMW 2026'!$B$5:$B$77,'UC BMW 2026'!$B43,'UC BMW 2026'!$AA$5:$AA$77)</f>
        <v>0</v>
      </c>
      <c r="BP45" s="24">
        <f>IFERROR(VLOOKUP(B45,[2]BPS!$B$10:$O$64,13,0),0)-IF(B45=100873,IFERROR(VLOOKUP("Noviembre",[2]BPS!$B$74:$C$89,2,0),0),0)</f>
        <v>0</v>
      </c>
      <c r="BQ45" s="284">
        <f>IFERROR(BP45/BO45,0)</f>
        <v>0</v>
      </c>
      <c r="BR45" s="380">
        <f>IFERROR(VLOOKUP(B45,'[2]RETAIL ORIGEN RMKT'!$B$11:$O$62,13,0),0)</f>
        <v>0</v>
      </c>
      <c r="BS45" s="274">
        <f>IFERROR(BR45/BN45,0)</f>
        <v>0</v>
      </c>
      <c r="BT45" s="21">
        <f>SUMIF('UC BMW 2026'!$B$5:$B$77,'UC BMW 2026'!$B43,'UC BMW 2026'!$AB$5:$AB$77)</f>
        <v>0</v>
      </c>
      <c r="BU45" s="24">
        <f>SUMIF('UC BMW 2026'!$B$5:$B$77,'UC BMW 2026'!$B43,'UC BMW 2026'!$AC$5:$AC$77)</f>
        <v>0</v>
      </c>
      <c r="BV45" s="24">
        <f>IFERROR(VLOOKUP(B45,[2]BPS!$B$10:$O$64,13,0),0)-IF(B45=100873,IFERROR(VLOOKUP("Diciembre",[2]BPS!$B$74:$C$89,2,0),0),0)</f>
        <v>0</v>
      </c>
      <c r="BW45" s="284">
        <f>IFERROR(BV45/BU45,0)</f>
        <v>0</v>
      </c>
      <c r="BX45" s="380">
        <f>IFERROR(VLOOKUP(B45,'[2]RETAIL ORIGEN RMKT'!$B$11:$O$62,14,0),0)</f>
        <v>0</v>
      </c>
      <c r="BY45" s="274">
        <f>IFERROR(BX45/BT45,0)</f>
        <v>0</v>
      </c>
      <c r="BZ45" s="25">
        <f t="shared" ref="BZ45:CA47" ca="1" si="141">IF($BZ$4="ENERO",F45,IF($BZ$4="FEBRERO",F45+L45,IF($BZ$4="MARZO",F45+L45+R45,IF($BZ$4="ABRIL",F45+L45+R45+X45,IF($BZ$4="MAYO",F45+L45+R45+X45+AD45,IF($BZ$4="JUNIO",F45+L45+R45+X45+AD45+AJ45,IF($BZ$4="JULIO",F45+L45+R45+X45+AD45+AJ45+AP45,IF($BZ$4="AGOSTO",F45+L45+R45+X45+AD45+AJ45+AP45+AV45,IF($BZ$4="SEPTIEMBRE",F45+L45+R45+X45+AD45+AJ45+AP45+AV45+BB45,IF($BZ$4="OCTUBRE",F45+L45+R45+X45+AD45+AJ45+AP45+AV45+BB45+BH45,IF($BZ$4="NOVIEMBRE",F45+L45+R45+X45+AD45+AJ45+AP45+AV45+BB45+BH45+BN45,IF($BZ$4="DICIEMBRE",F45+L45+R45+X45+AD45+AJ45+AP45+AV45+BB45+BH45+BN45+BT45,""))))))))))))</f>
        <v>168</v>
      </c>
      <c r="CA45" s="27">
        <f t="shared" ca="1" si="141"/>
        <v>122</v>
      </c>
      <c r="CB45" s="289">
        <f ca="1">IFERROR((CA45/BZ45),0)</f>
        <v>0.72619047619047616</v>
      </c>
      <c r="CC45" s="151">
        <f>IFERROR(IF($BZ$4="ENERO",H45,IF($BZ$4="FEBRERO",H45+N45,IF($BZ$4="MARZO",H45+N45+T45,IF($BZ$4="ABRIL",H45+N45+T45+Z45,IF($BZ$4="MAYO",H45+N45+T45+Z45+AF45,IF($BZ$4="JUNIO",H45+N45+T45+Z45+AF45+AL45,IF($BZ$4="JULIO",H45+N45+T45+Z45+AF45+AL45+AR45,IF($BZ$4="AGOSTO",H45+N45+T45+Z45+AF45+AL45+AR45+AX45,IF($BZ$4="SEPTIEMBRE",H45+N45+T45+Z45+AF45+AL45+AR45+AX45+BD45,IF($BZ$4="OCTUBRE",H45+N45+T45+Z45+AF45+AL45+AR45+AX45+BD45+BJ45,IF($BZ$4="NOVIEMBRE",H45+N45+T45+Z45+AF45+AL45+AR45+AX45+BD45+BJ45+BP45,IF($BZ$4="DICIEMBRE",H45+N45+T45+Z45+AF45+AL45+AR45+AX45+BD45+BJ45+BP45+BV45,"")))))))))))),0)</f>
        <v>96</v>
      </c>
      <c r="CD45" s="281">
        <f ca="1">IFERROR(IF(CA45=0,"N.D.",CC45/CA45),0)</f>
        <v>0.78688524590163933</v>
      </c>
      <c r="CE45" s="24">
        <f>IFERROR(IF($BZ$4="ENERO",J45,IF($BZ$4="FEBRERO",J45+P45,IF($BZ$4="MARZO",J45+P45+V45,IF($BZ$4="ABRIL",J45+P45+V45+AB45,IF($BZ$4="MAYO",J45+P45+V45+AB45+AH45,IF($BZ$4="JUNIO",J45+P45+V45+AB45+AH45+AN45,IF($BZ$4="JULIO",J45+P45+V45+AB45+AH45+AN45+AT45,IF($BZ$4="AGOSTO",J45+P45+V45+AB45+AH45+AN45+AT45+AZ45,IF($BZ$4="SEPTIEMBRE",J45+P45+V45+AB45+AH45+AN45+AT45+AZ45+BF45,IF($BZ$4="OCTUBRE",J45+P45+V45+AB45+AH45+AN45+AT45+AZ45+BF45+BL45,IF($BZ$4="NOVIEMBRE",J45+P45+V45+AB45+AH45+AN45+AT45+AZ45+BF45+BL45+BR45,IF($BZ$4="DICIEMBRE",J45+P45+V45+AB45+AH45+AN45+AT45+AZ45+BF45+BL45+BR45+BX45,"")))))))))))),0)</f>
        <v>25</v>
      </c>
      <c r="CF45" s="186">
        <f ca="1">IFERROR(CE45/BZ45,0)</f>
        <v>0.14880952380952381</v>
      </c>
      <c r="CG45" s="25">
        <f ca="1">SUM(F45+L45+R45+X45+AD45+AJ45+AP45+AV45+BB45+BH45+BN45+BT45)</f>
        <v>168</v>
      </c>
      <c r="CH45" s="27">
        <f ca="1">SUMIFS($F45:$BW45,$F$6:$BW$6,CH$6,$F$2:$BW$2,$BZ$4)</f>
        <v>122</v>
      </c>
      <c r="CI45" s="289">
        <f ca="1">IFERROR((CH45/CG45),0)</f>
        <v>0.72619047619047616</v>
      </c>
      <c r="CJ45" s="151">
        <f>SUMIFS($F45:$BW45,$F$6:$BW$6,CJ$6,$F$2:$BW$2,$BZ$4)</f>
        <v>96</v>
      </c>
      <c r="CK45" s="281">
        <f ca="1">IF(CH45=0,"N.D.",CJ45/CH45)</f>
        <v>0.78688524590163933</v>
      </c>
      <c r="CL45" s="27">
        <f>IFERROR(J45+P45+V45+AB45+AH45+AN45+AT45+AZ45+BF45+BL45+BR45+BX45,0)</f>
        <v>25</v>
      </c>
      <c r="CM45" s="186">
        <f ca="1">IFERROR(CL45/CG45,0)</f>
        <v>0.14880952380952381</v>
      </c>
      <c r="CN45" s="25">
        <f t="shared" ref="CN45:CO47" ca="1" si="142">IF($CN$5="Q1",F45+L45+R45,
IF($CN$5="Q2",X45+AD45++AJ45,
IF($CN$5="Q3",AP45+AV45+BB45,
IF($CN$5="Q4",BH45+BN45+BT45,0))))</f>
        <v>84</v>
      </c>
      <c r="CO45" s="27">
        <f t="shared" ca="1" si="142"/>
        <v>59</v>
      </c>
      <c r="CP45" s="289">
        <f ca="1">IFERROR((CO45/CN45),0)</f>
        <v>0.70238095238095233</v>
      </c>
      <c r="CQ45" s="151">
        <f>IF($CN$5="Q1",H45+N45+T45,
IF($CN$5="Q2",Z45+AF45++AL45,
IF($CN$5="Q3",AR45+AX45+BD45,
IF($CN$5="Q4",BJ45+BP45+BV45,0))))</f>
        <v>49</v>
      </c>
      <c r="CR45" s="281">
        <f ca="1">IF(CO45=0,"N.D.",CQ45/CO45)</f>
        <v>0.83050847457627119</v>
      </c>
      <c r="CS45" s="27">
        <f>IF($CZ$5="Q1",J45+P45+V45,
IF($CZ$5="Q2",AB45+AH45+AN45,
IF($CZ$5="Q3",AT45+AZ45+BF45,
IF($CZ$5="Q4",BL45+BR45+BX45,0))))</f>
        <v>0</v>
      </c>
      <c r="CT45" s="186">
        <f ca="1">IFERROR(CS45/CN45,0)</f>
        <v>0</v>
      </c>
      <c r="CU45" s="25">
        <f t="shared" ref="CU45:CV47" ca="1" si="143">IF($CU$5="S 1",F45+L45+R45+X45+AD45++AJ45,
IF($CU$5="S 2",AP45+AV45+BB45+BH45+BN45+BT45,0))</f>
        <v>168</v>
      </c>
      <c r="CV45" s="27">
        <f t="shared" ca="1" si="143"/>
        <v>122</v>
      </c>
      <c r="CW45" s="289">
        <f ca="1">IFERROR((CV45/CU45),0)</f>
        <v>0.72619047619047616</v>
      </c>
      <c r="CX45" s="27">
        <f t="shared" ref="CX45:CX53" si="144">IFERROR(IF($CU$5="S 1",H45+N45+T45+Z45+AF45++AL45,
IF($CU$5="S 2",AR45+AX45+BD45+BJ45+BP45+BV45,0)),0)</f>
        <v>96</v>
      </c>
      <c r="CY45" s="281">
        <f ca="1">IF(CV45=0,"N.D.",CX45/CV45)</f>
        <v>0.78688524590163933</v>
      </c>
      <c r="CZ45" s="27">
        <f>IFERROR(IF($CU$5="S 1",J45+P45+V45+AB45+AH45+AN45,
IF($CU$5="S 2",AT45+AZ45+BF45+BL45+BR45+BX45,0)),0)</f>
        <v>25</v>
      </c>
      <c r="DA45" s="187">
        <f ca="1">IFERROR(CZ45/CU45,0)</f>
        <v>0.14880952380952381</v>
      </c>
      <c r="DB45" s="25">
        <f t="shared" ref="DB45:DC47" ca="1" si="145">IF($DB$5="S 1",F45+L45+R45+X45+AD45++AJ45,
IF($DB$5="S 2",AP45+AV45+BB45+BH45+BN45+BT45,0))</f>
        <v>0</v>
      </c>
      <c r="DC45" s="27">
        <f t="shared" ca="1" si="145"/>
        <v>0</v>
      </c>
      <c r="DD45" s="289">
        <f ca="1">IFERROR((DC45/DB45),0)</f>
        <v>0</v>
      </c>
      <c r="DE45" s="27">
        <f>IFERROR(IF($DB$5="S 1",H45+N45+T45+Z45+AF45++AL45,
IF($DB$5="S 2",AR45+AX45+BD45+BJ45+BP45+BV45,0)),0)</f>
        <v>0</v>
      </c>
      <c r="DF45" s="281" t="str">
        <f ca="1">IF(DC45=0,"N.D.",DE45/DC45)</f>
        <v>N.D.</v>
      </c>
      <c r="DG45" s="27">
        <f>IFERROR(IF($DB$5="S 1",J45+P45+V45+AB45+AH45+AN45,
IF($DB$5="S 2",AT45+AZ45+BF45+BL45+BR45+BX45,0)),0)</f>
        <v>0</v>
      </c>
      <c r="DH45" s="187">
        <f ca="1">IFERROR(DG45/DB45,0)</f>
        <v>0</v>
      </c>
      <c r="DI45" s="510">
        <v>1</v>
      </c>
      <c r="DJ45" s="369" t="s">
        <v>14</v>
      </c>
      <c r="DK45" s="25">
        <f t="shared" ref="DK45:DL47" ca="1" si="146">IF($BZ$4="ENERO",F45,IF($BZ$4="FEBRERO",F45+L45,IF($BZ$4="MARZO",F45+L45+R45,IF($BZ$4="ABRIL",F45+L45+R45+X45,IF($BZ$4="MAYO",F45+L45+R45+X45+AD45,IF($BZ$4="JUNIO",F45+L45+R45+X45+AD45+AJ45,IF($BZ$4="JULIO",F45+L45+R45+X45+AD45+AJ45+AP45,IF($BZ$4="AGOSTO",F45+L45+R45+X45+AD45+AJ45+AP45+AV45,IF($BZ$4="SEPTIEMBRE",F45+L45+R45+X45+AD45+AJ45+AP45+AV45+BB45,IF($BZ$4="OCTUBRE",F45+L45+R45+X45+AD45+AJ45+AP45+AV45+BB45+BH45,IF($BZ$4="NOVIEMBRE",F45+L45+R45+X45+AD45+AJ45+AP45+AV45+BB45+BH45+BN45,IF($BZ$4="DICIEMBRE",F45+L45+R45+X45+AD45+AJ45+AP45+AV45+BB45+BH45+BN45+BT45,""))))))))))))</f>
        <v>168</v>
      </c>
      <c r="DL45" s="27">
        <f t="shared" ca="1" si="146"/>
        <v>122</v>
      </c>
      <c r="DM45" s="289">
        <f ca="1">IFERROR((CA45/BZ45),0)</f>
        <v>0.72619047619047616</v>
      </c>
      <c r="DN45" s="151">
        <f t="shared" ref="DN45:DN53" si="147">IFERROR(IF($BZ$4="ENERO",H45,IF($BZ$4="FEBRERO",H45+N45,IF($BZ$4="MARZO",H45+N45+T45,IF($BZ$4="ABRIL",H45+N45+T45+Z45,IF($BZ$4="MAYO",H45+N45+T45+Z45+AF45,IF($BZ$4="JUNIO",H45+N45+T45+Z45+AF45+AL45,IF($BZ$4="JULIO",H45+N45+T45+Z45+AF45+AL45+AR45,IF($BZ$4="AGOSTO",H45+N45+T45+Z45+AF45+AL45+AR45+AX45,IF($BZ$4="SEPTIEMBRE",H45+N45+T45+Z45+AF45+AL45+AR45+AX45+BD45,IF($BZ$4="OCTUBRE",H45+N45+T45+Z45+AF45+AL45+AR45+AX45+BD45+BJ45,IF($BZ$4="NOVIEMBRE",H45+N45+T45+Z45+AF45+AL45+AR45+AX45+BD45+BJ45+BP45,IF($BZ$4="DICIEMBRE",H45+N45+T45+Z45+AF45+AL45+AR45+AX45+BD45+BJ45+BP45+BV45,"")))))))))))),0)</f>
        <v>96</v>
      </c>
      <c r="DO45" s="281">
        <f ca="1">IFERROR(IF(CA45=0,"N.D.",CC45/CA45),0)</f>
        <v>0.78688524590163933</v>
      </c>
      <c r="DP45" s="27">
        <f>IFERROR(J45+P45+V45+AB45+AH45+AN45+AT45+AZ45+BF45+BL45+BR45+BX45,0)</f>
        <v>25</v>
      </c>
      <c r="DQ45" s="187">
        <f ca="1">IFERROR(CE45/BZ45,0)</f>
        <v>0.14880952380952381</v>
      </c>
      <c r="DR45"/>
      <c r="DS45" s="4">
        <f ca="1"/>
        <v>70</v>
      </c>
      <c r="DT45" s="4">
        <f ca="1"/>
        <v>62</v>
      </c>
      <c r="DU45" s="508">
        <f ca="1"/>
        <v>0.89333333333333331</v>
      </c>
      <c r="DW45" s="508">
        <f ca="1"/>
        <v>0.87869822485207105</v>
      </c>
      <c r="DX45" s="4">
        <v>18</v>
      </c>
      <c r="DY45" s="508">
        <f ca="1"/>
        <v>0.23404255319148937</v>
      </c>
    </row>
    <row r="46" spans="1:129" s="4" customFormat="1" ht="15" customHeight="1" x14ac:dyDescent="0.35">
      <c r="A46" s="4">
        <f>_xlfn.XLOOKUP(B46,'WHOLESALE BMW 2026'!$B$7:$B$67,'WHOLESALE BMW 2026'!$A$7:$A$67)</f>
        <v>7</v>
      </c>
      <c r="B46" s="8">
        <v>100572</v>
      </c>
      <c r="C46" s="369" t="s">
        <v>55</v>
      </c>
      <c r="D46" s="125"/>
      <c r="E46" s="309" t="s">
        <v>274</v>
      </c>
      <c r="F46" s="21">
        <f ca="1">SUMIF('UC BMW 2026'!B44:B120,'UC BMW 2026'!B44,'UC BMW 2026'!F44:F111)</f>
        <v>67</v>
      </c>
      <c r="G46" s="24">
        <f ca="1">SUMIF('UC BMW 2026'!$B$5:$B$77,'UC BMW 2026'!B44,'UC BMW 2026'!$G$5:$G$72)</f>
        <v>47</v>
      </c>
      <c r="H46" s="24">
        <f>IFERROR(VLOOKUP(B46,[2]BPS!$B$10:$O$64,3,0),0)-IF(B46=100873,IFERROR(VLOOKUP("Enero",[2]BPS!$B$74:$C$89,2,0),0),0)</f>
        <v>40</v>
      </c>
      <c r="I46" s="285">
        <f t="shared" ref="I46:I60" ca="1" si="148">IFERROR(H46/G46,0)</f>
        <v>0.85106382978723405</v>
      </c>
      <c r="J46" s="380">
        <f>IFERROR(VLOOKUP(B46,'[2]RETAIL ORIGEN RMKT'!$B$11:$O$62,3,0),0)</f>
        <v>14</v>
      </c>
      <c r="K46" s="127">
        <f t="shared" ref="K46:K60" ca="1" si="149">IFERROR(J46/F46,0)</f>
        <v>0.20895522388059701</v>
      </c>
      <c r="L46" s="21">
        <f ca="1">SUMIF('UC BMW 2026'!$B$5:$B$77,'UC BMW 2026'!$B44,'UC BMW 2026'!$H$5:$H$72)</f>
        <v>67</v>
      </c>
      <c r="M46" s="24">
        <f ca="1">SUMIF('UC BMW 2026'!$B$5:$B$77,'UC BMW 2026'!$B44,'UC BMW 2026'!$I$5:$I$72)</f>
        <v>49</v>
      </c>
      <c r="N46" s="24">
        <f>IFERROR(VLOOKUP(B46,[2]BPS!$B$10:$O$64,4,0),0)-IF(B46=100873,IFERROR(VLOOKUP("Febrero",[2]BPS!$B$74:$C$89,2,0),0),0)</f>
        <v>41</v>
      </c>
      <c r="O46" s="285">
        <f t="shared" ca="1" si="140"/>
        <v>0.83673469387755106</v>
      </c>
      <c r="P46" s="380">
        <f>IFERROR(VLOOKUP(B46,'[2]RETAIL ORIGEN RMKT'!$B$11:$O$62,4,0),0)</f>
        <v>20</v>
      </c>
      <c r="Q46" s="127">
        <f ca="1">IFERROR(P46/L46,0)</f>
        <v>0.29850746268656714</v>
      </c>
      <c r="R46" s="21">
        <f ca="1">SUMIF('UC BMW 2026'!$B$5:$B$77,'UC BMW 2026'!$B44,'UC BMW 2026'!$J$5:$J$72)</f>
        <v>67</v>
      </c>
      <c r="S46" s="24">
        <f ca="1">SUMIF('UC BMW 2026'!$B$5:$B$77,'UC BMW 2026'!$B44,'UC BMW 2026'!$K$5:$K$72)</f>
        <v>47</v>
      </c>
      <c r="T46" s="24">
        <f>IFERROR(VLOOKUP(B46,[2]BPS!$B$10:$O$64,5,0),0)-IF(B46=100873,IFERROR(VLOOKUP("Marzo",[2]BPS!$B$74:$C$89,2,0),0),0)</f>
        <v>30</v>
      </c>
      <c r="U46" s="285">
        <f ca="1">IFERROR(T46/S46,0)</f>
        <v>0.63829787234042556</v>
      </c>
      <c r="V46" s="380">
        <f>IFERROR(VLOOKUP(B46,'[2]RETAIL ORIGEN RMKT'!$B$11:$O$62,5,0),0)</f>
        <v>21</v>
      </c>
      <c r="W46" s="127">
        <f ca="1">IFERROR(V46/R46,0)</f>
        <v>0.31343283582089554</v>
      </c>
      <c r="X46" s="21">
        <f ca="1">SUMIF('UC BMW 2026'!$B$5:$B$77,'UC BMW 2026'!$B44,'UC BMW 2026'!$L$5:$L$72)</f>
        <v>67</v>
      </c>
      <c r="Y46" s="24">
        <f ca="1">SUMIF('UC BMW 2026'!$B$5:$B$77,'UC BMW 2026'!$B44,'UC BMW 2026'!$M$5:$M$72)</f>
        <v>30</v>
      </c>
      <c r="Z46" s="24">
        <f>IFERROR(VLOOKUP(B46,[2]BPS!$B$10:$O$64,6,0),0)-IF(B46=100873,IFERROR(VLOOKUP("Abril",[2]BPS!$B$74:$C$89,2,0),0),0)</f>
        <v>25</v>
      </c>
      <c r="AA46" s="285">
        <f ca="1">IFERROR(Z46/Y46,0)</f>
        <v>0.83333333333333337</v>
      </c>
      <c r="AB46" s="380">
        <f>IFERROR(VLOOKUP(B46,'[2]RETAIL ORIGEN RMKT'!$B$11:$O$62,6,0),0)</f>
        <v>9</v>
      </c>
      <c r="AC46" s="127">
        <f ca="1">IFERROR(AB46/X46,0)</f>
        <v>0.13432835820895522</v>
      </c>
      <c r="AD46" s="21">
        <f ca="1">SUMIF('UC BMW 2026'!$B$5:$B$77,'UC BMW 2026'!$B44,'UC BMW 2026'!$N$5:$N$72)</f>
        <v>67</v>
      </c>
      <c r="AE46" s="24">
        <f ca="1">SUMIF('UC BMW 2026'!$B$5:$B$77,'UC BMW 2026'!$B44,'UC BMW 2026'!$O$5:$O$72)</f>
        <v>43</v>
      </c>
      <c r="AF46" s="24">
        <f>IFERROR(VLOOKUP(B46,[2]BPS!$B$10:$O$64,7,0),0)-IF(B46=100873,IFERROR(VLOOKUP("Mayo",[2]BPS!$B$74:$C$89,2,0),0),0)</f>
        <v>39</v>
      </c>
      <c r="AG46" s="285">
        <f ca="1">IFERROR(AF46/AE46,0)</f>
        <v>0.90697674418604646</v>
      </c>
      <c r="AH46" s="380">
        <f>IFERROR(VLOOKUP(B46,'[2]RETAIL ORIGEN RMKT'!$B$11:$O$62,7,0),0)</f>
        <v>15</v>
      </c>
      <c r="AI46" s="127">
        <f ca="1">IFERROR(AH46/AD46,0)</f>
        <v>0.22388059701492538</v>
      </c>
      <c r="AJ46" s="21">
        <f ca="1">SUMIF('UC BMW 2026'!$B$5:$B$77,'UC BMW 2026'!$B44,'UC BMW 2026'!$P$5:$P$72)</f>
        <v>67</v>
      </c>
      <c r="AK46" s="24">
        <f ca="1">SUMIF('UC BMW 2026'!$B$5:$B$77,'UC BMW 2026'!$B44,'UC BMW 2026'!$Q$5:$Q$72)</f>
        <v>52</v>
      </c>
      <c r="AL46" s="24">
        <f>IFERROR(VLOOKUP(B46,[2]BPS!$B$10:$O$64,8,0),0)-IF(B46=100873,IFERROR(VLOOKUP("Junio",[2]BPS!$B$74:$C$89,2,0),0),0)</f>
        <v>47</v>
      </c>
      <c r="AM46" s="285">
        <f ca="1">IFERROR(AL46/AK46,0)</f>
        <v>0.90384615384615385</v>
      </c>
      <c r="AN46" s="380">
        <f>IFERROR(VLOOKUP(B46,'[2]RETAIL ORIGEN RMKT'!$B$11:$O$62,8,0),0)</f>
        <v>27</v>
      </c>
      <c r="AO46" s="127">
        <f ca="1">IFERROR(AN46/AJ46,0)</f>
        <v>0.40298507462686567</v>
      </c>
      <c r="AP46" s="21">
        <f ca="1">SUMIF('UC BMW 2026'!$B$5:$B$77,'UC BMW 2026'!$B44,'UC BMW 2026'!$R$5:$R$72)</f>
        <v>0</v>
      </c>
      <c r="AQ46" s="24">
        <f ca="1">SUMIF('UC BMW 2026'!$B$5:$B$77,'UC BMW 2026'!$B44,'UC BMW 2026'!$S$5:$S$72)</f>
        <v>0</v>
      </c>
      <c r="AR46" s="24">
        <f>IFERROR(VLOOKUP(B46,[2]BPS!$B$10:$O$64,9,0),0)-IF(B46=100873,IFERROR(VLOOKUP("Julio",[2]BPS!$B$74:$C$89,2,0),0),0)</f>
        <v>0</v>
      </c>
      <c r="AS46" s="285">
        <f ca="1">IFERROR(AR46/AQ46,0)</f>
        <v>0</v>
      </c>
      <c r="AT46" s="380">
        <f>IFERROR(VLOOKUP(B46,'[2]RETAIL ORIGEN RMKT'!$B$11:$O$62,9,0),0)</f>
        <v>0</v>
      </c>
      <c r="AU46" s="127">
        <f ca="1">IFERROR(AT46/AP46,0)</f>
        <v>0</v>
      </c>
      <c r="AV46" s="21">
        <f ca="1">SUMIF('UC BMW 2026'!$B$5:$B$77,'UC BMW 2026'!$B44,'UC BMW 2026'!$T$5:$T$72)</f>
        <v>0</v>
      </c>
      <c r="AW46" s="24">
        <f ca="1">SUMIF('UC BMW 2026'!$B$5:$B$77,'UC BMW 2026'!$B44,'UC BMW 2026'!$U$5:$U$72)</f>
        <v>0</v>
      </c>
      <c r="AX46" s="24">
        <f>IFERROR(VLOOKUP(B46,[2]BPS!$B$10:$O$64,10,0),0)-IF(B46=100873,IFERROR(VLOOKUP("Agosto",[2]BPS!$B$74:$C$89,2,0),0),0)</f>
        <v>0</v>
      </c>
      <c r="AY46" s="285">
        <f ca="1">IFERROR(AX46/AW46,0)</f>
        <v>0</v>
      </c>
      <c r="AZ46" s="380">
        <f>IFERROR(VLOOKUP(B46,'[2]RETAIL ORIGEN RMKT'!$B$11:$O$62,10,0),0)</f>
        <v>0</v>
      </c>
      <c r="BA46" s="127">
        <f ca="1">IFERROR(AZ46/AV46,0)</f>
        <v>0</v>
      </c>
      <c r="BB46" s="21">
        <f ca="1">SUMIF('UC BMW 2026'!$B$5:$B$77,'UC BMW 2026'!$B44,'UC BMW 2026'!$V$5:$V$72)</f>
        <v>0</v>
      </c>
      <c r="BC46" s="24">
        <f>SUMIF('UC BMW 2026'!$B$5:$B$77,'UC BMW 2026'!$B44,'UC BMW 2026'!$W$5:$W$77)</f>
        <v>0</v>
      </c>
      <c r="BD46" s="24">
        <f>IFERROR(VLOOKUP(B46,[2]BPS!$B$10:$O$64,11,0),0)-IF(B46=100873,IFERROR(VLOOKUP("Septiembre",[2]BPS!$B$74:$C$89,2,0),0),0)</f>
        <v>0</v>
      </c>
      <c r="BE46" s="285">
        <f>IFERROR(BD46/BC46,0)</f>
        <v>0</v>
      </c>
      <c r="BF46" s="380">
        <f>IFERROR(VLOOKUP(B46,'[2]RETAIL ORIGEN RMKT'!$B$11:$O$62,11,0),0)</f>
        <v>0</v>
      </c>
      <c r="BG46" s="127">
        <f ca="1">IFERROR(BF46/BB46,0)</f>
        <v>0</v>
      </c>
      <c r="BH46" s="21">
        <f>SUMIF('UC BMW 2026'!$B$5:$B$77,'UC BMW 2026'!$B44,'UC BMW 2026'!$X$5:$X$77)</f>
        <v>0</v>
      </c>
      <c r="BI46" s="24">
        <f>SUMIF('UC BMW 2026'!$B$5:$B$77,'UC BMW 2026'!$B44,'UC BMW 2026'!$Y$5:$Y$77)</f>
        <v>0</v>
      </c>
      <c r="BJ46" s="24">
        <f>IFERROR(VLOOKUP(B46,[2]BPS!$B$10:$O$64,12,0),0)-IF(B46=100873,IFERROR(VLOOKUP("Octubre",[2]BPS!$B$74:$C$89,2,0),0),0)</f>
        <v>0</v>
      </c>
      <c r="BK46" s="285">
        <f>IFERROR(BJ46/BI46,0)</f>
        <v>0</v>
      </c>
      <c r="BL46" s="380">
        <f>IFERROR(VLOOKUP(B46,'[2]RETAIL ORIGEN RMKT'!$B$11:$O$62,12,0),0)</f>
        <v>0</v>
      </c>
      <c r="BM46" s="127">
        <f>IFERROR(BL46/BH46,0)</f>
        <v>0</v>
      </c>
      <c r="BN46" s="21">
        <f>SUMIF('UC BMW 2026'!$B$5:$B$77,'UC BMW 2026'!$B44,'UC BMW 2026'!$Z$5:$Z$77)</f>
        <v>0</v>
      </c>
      <c r="BO46" s="24">
        <f>SUMIF('UC BMW 2026'!$B$5:$B$77,'UC BMW 2026'!$B44,'UC BMW 2026'!$AA$5:$AA$77)</f>
        <v>0</v>
      </c>
      <c r="BP46" s="24">
        <f>IFERROR(VLOOKUP(B46,[2]BPS!$B$10:$O$64,13,0),0)-IF(B46=100873,IFERROR(VLOOKUP("Noviembre",[2]BPS!$B$74:$C$89,2,0),0),0)</f>
        <v>0</v>
      </c>
      <c r="BQ46" s="285">
        <f>IFERROR(BP46/BO46,0)</f>
        <v>0</v>
      </c>
      <c r="BR46" s="380">
        <f>IFERROR(VLOOKUP(B46,'[2]RETAIL ORIGEN RMKT'!$B$11:$O$62,13,0),0)</f>
        <v>0</v>
      </c>
      <c r="BS46" s="127">
        <f>IFERROR(BR46/BN46,0)</f>
        <v>0</v>
      </c>
      <c r="BT46" s="21">
        <f>SUMIF('UC BMW 2026'!$B$5:$B$77,'UC BMW 2026'!$B44,'UC BMW 2026'!$AB$5:$AB$77)</f>
        <v>0</v>
      </c>
      <c r="BU46" s="24">
        <f>SUMIF('UC BMW 2026'!$B$5:$B$77,'UC BMW 2026'!$B44,'UC BMW 2026'!$AC$5:$AC$77)</f>
        <v>0</v>
      </c>
      <c r="BV46" s="24">
        <f>IFERROR(VLOOKUP(B46,[2]BPS!$B$10:$O$64,13,0),0)-IF(B46=100873,IFERROR(VLOOKUP("Diciembre",[2]BPS!$B$74:$C$89,2,0),0),0)</f>
        <v>0</v>
      </c>
      <c r="BW46" s="285">
        <f>IFERROR(BV46/BU46,0)</f>
        <v>0</v>
      </c>
      <c r="BX46" s="380">
        <f>IFERROR(VLOOKUP(B46,'[2]RETAIL ORIGEN RMKT'!$B$11:$O$62,14,0),0)</f>
        <v>0</v>
      </c>
      <c r="BY46" s="127">
        <f>IFERROR(BX46/BT46,0)</f>
        <v>0</v>
      </c>
      <c r="BZ46" s="25">
        <f t="shared" ca="1" si="141"/>
        <v>402</v>
      </c>
      <c r="CA46" s="27">
        <f t="shared" ca="1" si="141"/>
        <v>268</v>
      </c>
      <c r="CB46" s="287">
        <f ca="1">IFERROR((CA46/BZ46),0)</f>
        <v>0.66666666666666663</v>
      </c>
      <c r="CC46" s="291">
        <f>IFERROR(IF($BZ$4="ENERO",H46,IF($BZ$4="FEBRERO",H46+N46,IF($BZ$4="MARZO",H46+N46+T46,IF($BZ$4="ABRIL",H46+N46+T46+Z46,IF($BZ$4="MAYO",H46+N46+T46+Z46+AF46,IF($BZ$4="JUNIO",H46+N46+T46+Z46+AF46+AL46,IF($BZ$4="JULIO",H46+N46+T46+Z46+AF46+AL46+AR46,IF($BZ$4="AGOSTO",H46+N46+T46+Z46+AF46+AL46+AR46+AX46,IF($BZ$4="SEPTIEMBRE",H46+N46+T46+Z46+AF46+AL46+AR46+AX46+BD46,IF($BZ$4="OCTUBRE",H46+N46+T46+Z46+AF46+AL46+AR46+AX46+BD46+BJ46,IF($BZ$4="NOVIEMBRE",H46+N46+T46+Z46+AF46+AL46+AR46+AX46+BD46+BJ46+BP46,IF($BZ$4="DICIEMBRE",H46+N46+T46+Z46+AF46+AL46+AR46+AX46+BD46+BJ46+BP46+BV46,"")))))))))))),0)</f>
        <v>222</v>
      </c>
      <c r="CD46" s="287">
        <f ca="1">IFERROR(IF(CA46=0,"N.D.",CC46/CA46),0)</f>
        <v>0.82835820895522383</v>
      </c>
      <c r="CE46" s="24">
        <f>IFERROR(IF($BZ$4="ENERO",J46,IF($BZ$4="FEBRERO",J46+P46,IF($BZ$4="MARZO",J46+P46+V46,IF($BZ$4="ABRIL",J46+P46+V46+AB46,IF($BZ$4="MAYO",J46+P46+V46+AB46+AH46,IF($BZ$4="JUNIO",J46+P46+V46+AB46+AH46+AN46,IF($BZ$4="JULIO",J46+P46+V46+AB46+AH46+AN46+AT46,IF($BZ$4="AGOSTO",J46+P46+V46+AB46+AH46+AN46+AT46+AZ46,IF($BZ$4="SEPTIEMBRE",J46+P46+V46+AB46+AH46+AN46+AT46+AZ46+BF46,IF($BZ$4="OCTUBRE",J46+P46+V46+AB46+AH46+AN46+AT46+AZ46+BF46+BL46,IF($BZ$4="NOVIEMBRE",J46+P46+V46+AB46+AH46+AN46+AT46+AZ46+BF46+BL46+BR46,IF($BZ$4="DICIEMBRE",J46+P46+V46+AB46+AH46+AN46+AT46+AZ46+BF46+BL46+BR46+BX46,"")))))))))))),0)</f>
        <v>106</v>
      </c>
      <c r="CF46" s="129">
        <f ca="1">IFERROR(CE46/BZ46,0)</f>
        <v>0.26368159203980102</v>
      </c>
      <c r="CG46" s="25">
        <f ca="1">SUM(F46+L46+R46+X46+AD46+AJ46+AP46+AV46+BB46+BH46+BN46+BT46)</f>
        <v>402</v>
      </c>
      <c r="CH46" s="27">
        <f ca="1">SUMIFS($F46:$BW46,$F$6:$BW$6,CH$6,$F$2:$BW$2,$BZ$4)</f>
        <v>268</v>
      </c>
      <c r="CI46" s="287">
        <f ca="1">IFERROR((CH46/CG46),0)</f>
        <v>0.66666666666666663</v>
      </c>
      <c r="CJ46" s="291">
        <f>SUMIFS($F46:$BW46,$F$6:$BW$6,CJ$6,$F$2:$BW$2,$BZ$4)</f>
        <v>222</v>
      </c>
      <c r="CK46" s="287">
        <f ca="1">IF(CH46=0,"N.D.",CJ46/CH46)</f>
        <v>0.82835820895522383</v>
      </c>
      <c r="CL46" s="27">
        <f>IFERROR(J46+P46+V46+AB46+AH46+AN46+AT46+AZ46+BF46+BL46+BR46+BX46,0)</f>
        <v>106</v>
      </c>
      <c r="CM46" s="129">
        <f ca="1">IFERROR(CL46/CG46,0)</f>
        <v>0.26368159203980102</v>
      </c>
      <c r="CN46" s="25">
        <f t="shared" ca="1" si="142"/>
        <v>201</v>
      </c>
      <c r="CO46" s="27">
        <f t="shared" ca="1" si="142"/>
        <v>143</v>
      </c>
      <c r="CP46" s="287">
        <f ca="1">IFERROR((CO46/CN46),0)</f>
        <v>0.71144278606965172</v>
      </c>
      <c r="CQ46" s="291">
        <f>IF($CN$5="Q1",H46+N46+T46,
IF($CN$5="Q2",Z46+AF46++AL46,
IF($CN$5="Q3",AR46+AX46+BD46,
IF($CN$5="Q4",BJ46+BP46+BV46,0))))</f>
        <v>111</v>
      </c>
      <c r="CR46" s="287">
        <f ca="1">IF(CO46=0,"N.D.",CQ46/CO46)</f>
        <v>0.77622377622377625</v>
      </c>
      <c r="CS46" s="27">
        <f>IF($CZ$5="Q1",J46+P46+V46,
IF($CZ$5="Q2",AB46+AH46+AN46,
IF($CZ$5="Q3",AT46+AZ46+BF46,
IF($CZ$5="Q4",BL46+BR46+BX46,0))))</f>
        <v>0</v>
      </c>
      <c r="CT46" s="129">
        <f ca="1">IFERROR(CS46/CN46,0)</f>
        <v>0</v>
      </c>
      <c r="CU46" s="25">
        <f t="shared" ca="1" si="143"/>
        <v>402</v>
      </c>
      <c r="CV46" s="27">
        <f t="shared" ca="1" si="143"/>
        <v>268</v>
      </c>
      <c r="CW46" s="287">
        <f ca="1">IFERROR((CV46/CU46),0)</f>
        <v>0.66666666666666663</v>
      </c>
      <c r="CX46" s="27">
        <f t="shared" si="144"/>
        <v>222</v>
      </c>
      <c r="CY46" s="287">
        <f ca="1">IF(CV46=0,"N.D.",CX46/CV46)</f>
        <v>0.82835820895522383</v>
      </c>
      <c r="CZ46" s="27">
        <f>IFERROR(IF($CU$5="S 1",J46+P46+V46+AB46+AH46+AN46,
IF($CU$5="S 2",AT46+AZ46+BF46+BL46+BR46+BX46,0)),0)</f>
        <v>106</v>
      </c>
      <c r="DA46" s="130">
        <f ca="1">IFERROR(CZ46/CU46,0)</f>
        <v>0.26368159203980102</v>
      </c>
      <c r="DB46" s="25">
        <f t="shared" ca="1" si="145"/>
        <v>0</v>
      </c>
      <c r="DC46" s="27">
        <f t="shared" ca="1" si="145"/>
        <v>0</v>
      </c>
      <c r="DD46" s="287">
        <f ca="1">IFERROR((DC46/DB46),0)</f>
        <v>0</v>
      </c>
      <c r="DE46" s="27">
        <f>IFERROR(IF($DB$5="S 1",H46+N46+T46+Z46+AF46++AL46,
IF($DB$5="S 2",AR46+AX46+BD46+BJ46+BP46+BV46,0)),0)</f>
        <v>0</v>
      </c>
      <c r="DF46" s="287" t="str">
        <f ca="1">IF(DC46=0,"N.D.",DE46/DC46)</f>
        <v>N.D.</v>
      </c>
      <c r="DG46" s="27">
        <f>IFERROR(IF($DB$5="S 1",J46+P46+V46+AB46+AH46+AN46,
IF($DB$5="S 2",AT46+AZ46+BF46+BL46+BR46+BX46,0)),0)</f>
        <v>0</v>
      </c>
      <c r="DH46" s="130">
        <f ca="1">IFERROR(DG46/DB46,0)</f>
        <v>0</v>
      </c>
      <c r="DI46" s="510">
        <v>1</v>
      </c>
      <c r="DJ46" s="369" t="s">
        <v>55</v>
      </c>
      <c r="DK46" s="25">
        <f t="shared" ca="1" si="146"/>
        <v>402</v>
      </c>
      <c r="DL46" s="27">
        <f t="shared" ca="1" si="146"/>
        <v>268</v>
      </c>
      <c r="DM46" s="287">
        <f ca="1">IFERROR((CA46/BZ46),0)</f>
        <v>0.66666666666666663</v>
      </c>
      <c r="DN46" s="291">
        <f t="shared" si="147"/>
        <v>222</v>
      </c>
      <c r="DO46" s="287">
        <f ca="1">IFERROR(IF(CA46=0,"N.D.",CC46/CA46),0)</f>
        <v>0.82835820895522383</v>
      </c>
      <c r="DP46" s="27">
        <f>IFERROR(J46+P46+V46+AB46+AH46+AN46+AT46+AZ46+BF46+BL46+BR46+BX46,0)</f>
        <v>106</v>
      </c>
      <c r="DQ46" s="130">
        <f ca="1">IFERROR(CE46/BZ46,0)</f>
        <v>0.26368159203980102</v>
      </c>
      <c r="DR46"/>
      <c r="DS46" s="4">
        <f ca="1"/>
        <v>68</v>
      </c>
      <c r="DT46" s="4">
        <f ca="1"/>
        <v>55</v>
      </c>
      <c r="DU46" s="508">
        <f ca="1"/>
        <v>0.88709677419354838</v>
      </c>
      <c r="DW46" s="508">
        <f ca="1"/>
        <v>0.87272727272727268</v>
      </c>
      <c r="DX46" s="4">
        <v>17</v>
      </c>
      <c r="DY46" s="508">
        <f ca="1"/>
        <v>0.21249999999999999</v>
      </c>
    </row>
    <row r="47" spans="1:129" s="4" customFormat="1" ht="15" customHeight="1" thickBot="1" x14ac:dyDescent="0.4">
      <c r="A47" s="4">
        <f>_xlfn.XLOOKUP(B47,'WHOLESALE BMW 2026'!$B$7:$B$67,'WHOLESALE BMW 2026'!$A$7:$A$67)</f>
        <v>7</v>
      </c>
      <c r="B47" s="8">
        <v>100584</v>
      </c>
      <c r="C47" s="369" t="s">
        <v>8</v>
      </c>
      <c r="D47" s="125"/>
      <c r="E47" s="309" t="s">
        <v>92</v>
      </c>
      <c r="F47" s="21">
        <f ca="1">SUMIF('UC BMW 2026'!B45:B121,'UC BMW 2026'!B45,'UC BMW 2026'!F45:F112)</f>
        <v>16</v>
      </c>
      <c r="G47" s="24">
        <f ca="1">SUMIF('UC BMW 2026'!$B$5:$B$77,'UC BMW 2026'!B45,'UC BMW 2026'!$G$5:$G$72)</f>
        <v>14</v>
      </c>
      <c r="H47" s="24">
        <f>IFERROR(VLOOKUP(B47,[2]BPS!$B$10:$O$64,3,0),0)-IF(B47=100873,IFERROR(VLOOKUP("Enero",[2]BPS!$B$74:$C$89,2,0),0),0)</f>
        <v>11</v>
      </c>
      <c r="I47" s="285">
        <f t="shared" ca="1" si="148"/>
        <v>0.7857142857142857</v>
      </c>
      <c r="J47" s="380">
        <f>IFERROR(VLOOKUP(B47,'[2]RETAIL ORIGEN RMKT'!$B$11:$O$62,3,0),0)</f>
        <v>4</v>
      </c>
      <c r="K47" s="127">
        <f t="shared" ca="1" si="149"/>
        <v>0.25</v>
      </c>
      <c r="L47" s="21">
        <f ca="1">SUMIF('UC BMW 2026'!$B$5:$B$77,'UC BMW 2026'!$B45,'UC BMW 2026'!$H$5:$H$72)</f>
        <v>16</v>
      </c>
      <c r="M47" s="24">
        <f ca="1">SUMIF('UC BMW 2026'!$B$5:$B$77,'UC BMW 2026'!$B45,'UC BMW 2026'!$I$5:$I$72)</f>
        <v>12</v>
      </c>
      <c r="N47" s="24">
        <f>IFERROR(VLOOKUP(B47,[2]BPS!$B$10:$O$64,4,0),0)-IF(B47=100873,IFERROR(VLOOKUP("Febrero",[2]BPS!$B$74:$C$89,2,0),0),0)</f>
        <v>12</v>
      </c>
      <c r="O47" s="285">
        <f t="shared" ca="1" si="140"/>
        <v>1</v>
      </c>
      <c r="P47" s="380">
        <f>IFERROR(VLOOKUP(B47,'[2]RETAIL ORIGEN RMKT'!$B$11:$O$62,4,0),0)</f>
        <v>3</v>
      </c>
      <c r="Q47" s="127">
        <f ca="1">IFERROR(P47/L47,0)</f>
        <v>0.1875</v>
      </c>
      <c r="R47" s="21">
        <f ca="1">SUMIF('UC BMW 2026'!$B$5:$B$77,'UC BMW 2026'!$B45,'UC BMW 2026'!$J$5:$J$72)</f>
        <v>16</v>
      </c>
      <c r="S47" s="24">
        <f ca="1">SUMIF('UC BMW 2026'!$B$5:$B$77,'UC BMW 2026'!$B45,'UC BMW 2026'!$K$5:$K$72)</f>
        <v>9</v>
      </c>
      <c r="T47" s="24">
        <f>IFERROR(VLOOKUP(B47,[2]BPS!$B$10:$O$64,5,0),0)-IF(B47=100873,IFERROR(VLOOKUP("Marzo",[2]BPS!$B$74:$C$89,2,0),0),0)</f>
        <v>8</v>
      </c>
      <c r="U47" s="285">
        <f ca="1">IFERROR(T47/S47,0)</f>
        <v>0.88888888888888884</v>
      </c>
      <c r="V47" s="380">
        <f>IFERROR(VLOOKUP(B47,'[2]RETAIL ORIGEN RMKT'!$B$11:$O$62,5,0),0)</f>
        <v>1</v>
      </c>
      <c r="W47" s="127">
        <f ca="1">IFERROR(V47/R47,0)</f>
        <v>6.25E-2</v>
      </c>
      <c r="X47" s="21">
        <f ca="1">SUMIF('UC BMW 2026'!$B$5:$B$77,'UC BMW 2026'!$B45,'UC BMW 2026'!$L$5:$L$72)</f>
        <v>16</v>
      </c>
      <c r="Y47" s="24">
        <f ca="1">SUMIF('UC BMW 2026'!$B$5:$B$77,'UC BMW 2026'!$B45,'UC BMW 2026'!$M$5:$M$72)</f>
        <v>16</v>
      </c>
      <c r="Z47" s="24">
        <f>IFERROR(VLOOKUP(B47,[2]BPS!$B$10:$O$64,6,0),0)-IF(B47=100873,IFERROR(VLOOKUP("Abril",[2]BPS!$B$74:$C$89,2,0),0),0)</f>
        <v>12</v>
      </c>
      <c r="AA47" s="285">
        <f ca="1">IFERROR(Z47/Y47,0)</f>
        <v>0.75</v>
      </c>
      <c r="AB47" s="380">
        <f>IFERROR(VLOOKUP(B47,'[2]RETAIL ORIGEN RMKT'!$B$11:$O$62,6,0),0)</f>
        <v>3</v>
      </c>
      <c r="AC47" s="127">
        <f ca="1">IFERROR(AB47/X47,0)</f>
        <v>0.1875</v>
      </c>
      <c r="AD47" s="21">
        <f ca="1">SUMIF('UC BMW 2026'!$B$5:$B$77,'UC BMW 2026'!$B45,'UC BMW 2026'!$N$5:$N$72)</f>
        <v>16</v>
      </c>
      <c r="AE47" s="24">
        <f ca="1">SUMIF('UC BMW 2026'!$B$5:$B$77,'UC BMW 2026'!$B45,'UC BMW 2026'!$O$5:$O$72)</f>
        <v>21</v>
      </c>
      <c r="AF47" s="24">
        <f>IFERROR(VLOOKUP(B47,[2]BPS!$B$10:$O$64,7,0),0)-IF(B47=100873,IFERROR(VLOOKUP("Mayo",[2]BPS!$B$74:$C$89,2,0),0),0)</f>
        <v>18</v>
      </c>
      <c r="AG47" s="285">
        <f ca="1">IFERROR(AF47/AE47,0)</f>
        <v>0.8571428571428571</v>
      </c>
      <c r="AH47" s="380">
        <f>IFERROR(VLOOKUP(B47,'[2]RETAIL ORIGEN RMKT'!$B$11:$O$62,7,0),0)</f>
        <v>7</v>
      </c>
      <c r="AI47" s="127">
        <f ca="1">IFERROR(AH47/AD47,0)</f>
        <v>0.4375</v>
      </c>
      <c r="AJ47" s="21">
        <f ca="1">SUMIF('UC BMW 2026'!$B$5:$B$77,'UC BMW 2026'!$B45,'UC BMW 2026'!$P$5:$P$72)</f>
        <v>17</v>
      </c>
      <c r="AK47" s="24">
        <f ca="1">SUMIF('UC BMW 2026'!$B$5:$B$77,'UC BMW 2026'!$B45,'UC BMW 2026'!$Q$5:$Q$72)</f>
        <v>43</v>
      </c>
      <c r="AL47" s="24">
        <f>IFERROR(VLOOKUP(B47,[2]BPS!$B$10:$O$64,8,0),0)-IF(B47=100873,IFERROR(VLOOKUP("Junio",[2]BPS!$B$74:$C$89,2,0),0),0)</f>
        <v>37</v>
      </c>
      <c r="AM47" s="285">
        <f ca="1">IFERROR(AL47/AK47,0)</f>
        <v>0.86046511627906974</v>
      </c>
      <c r="AN47" s="380">
        <f>IFERROR(VLOOKUP(B47,'[2]RETAIL ORIGEN RMKT'!$B$11:$O$62,8,0),0)</f>
        <v>11</v>
      </c>
      <c r="AO47" s="127">
        <f ca="1">IFERROR(AN47/AJ47,0)</f>
        <v>0.6470588235294118</v>
      </c>
      <c r="AP47" s="21">
        <f ca="1">SUMIF('UC BMW 2026'!$B$5:$B$77,'UC BMW 2026'!$B45,'UC BMW 2026'!$R$5:$R$72)</f>
        <v>0</v>
      </c>
      <c r="AQ47" s="24">
        <f ca="1">SUMIF('UC BMW 2026'!$B$5:$B$77,'UC BMW 2026'!$B45,'UC BMW 2026'!$S$5:$S$72)</f>
        <v>0</v>
      </c>
      <c r="AR47" s="24">
        <f>IFERROR(VLOOKUP(B47,[2]BPS!$B$10:$O$64,9,0),0)-IF(B47=100873,IFERROR(VLOOKUP("Julio",[2]BPS!$B$74:$C$89,2,0),0),0)</f>
        <v>0</v>
      </c>
      <c r="AS47" s="285">
        <f ca="1">IFERROR(AR47/AQ47,0)</f>
        <v>0</v>
      </c>
      <c r="AT47" s="380">
        <f>IFERROR(VLOOKUP(B47,'[2]RETAIL ORIGEN RMKT'!$B$11:$O$62,9,0),0)</f>
        <v>0</v>
      </c>
      <c r="AU47" s="127">
        <f ca="1">IFERROR(AT47/AP47,0)</f>
        <v>0</v>
      </c>
      <c r="AV47" s="21">
        <f ca="1">SUMIF('UC BMW 2026'!$B$5:$B$77,'UC BMW 2026'!$B45,'UC BMW 2026'!$T$5:$T$72)</f>
        <v>0</v>
      </c>
      <c r="AW47" s="24">
        <f ca="1">SUMIF('UC BMW 2026'!$B$5:$B$77,'UC BMW 2026'!$B45,'UC BMW 2026'!$U$5:$U$72)</f>
        <v>0</v>
      </c>
      <c r="AX47" s="24">
        <f>IFERROR(VLOOKUP(B47,[2]BPS!$B$10:$O$64,10,0),0)-IF(B47=100873,IFERROR(VLOOKUP("Agosto",[2]BPS!$B$74:$C$89,2,0),0),0)</f>
        <v>0</v>
      </c>
      <c r="AY47" s="285">
        <f ca="1">IFERROR(AX47/AW47,0)</f>
        <v>0</v>
      </c>
      <c r="AZ47" s="380">
        <f>IFERROR(VLOOKUP(B47,'[2]RETAIL ORIGEN RMKT'!$B$11:$O$62,10,0),0)</f>
        <v>0</v>
      </c>
      <c r="BA47" s="127">
        <f ca="1">IFERROR(AZ47/AV47,0)</f>
        <v>0</v>
      </c>
      <c r="BB47" s="21">
        <f ca="1">SUMIF('UC BMW 2026'!$B$5:$B$77,'UC BMW 2026'!$B45,'UC BMW 2026'!$V$5:$V$72)</f>
        <v>0</v>
      </c>
      <c r="BC47" s="24">
        <f>SUMIF('UC BMW 2026'!$B$5:$B$77,'UC BMW 2026'!$B45,'UC BMW 2026'!$W$5:$W$77)</f>
        <v>0</v>
      </c>
      <c r="BD47" s="24">
        <f>IFERROR(VLOOKUP(B47,[2]BPS!$B$10:$O$64,11,0),0)-IF(B47=100873,IFERROR(VLOOKUP("Septiembre",[2]BPS!$B$74:$C$89,2,0),0),0)</f>
        <v>0</v>
      </c>
      <c r="BE47" s="285">
        <f>IFERROR(BD47/BC47,0)</f>
        <v>0</v>
      </c>
      <c r="BF47" s="380">
        <f>IFERROR(VLOOKUP(B47,'[2]RETAIL ORIGEN RMKT'!$B$11:$O$62,11,0),0)</f>
        <v>0</v>
      </c>
      <c r="BG47" s="127">
        <f ca="1">IFERROR(BF47/BB47,0)</f>
        <v>0</v>
      </c>
      <c r="BH47" s="21">
        <f>SUMIF('UC BMW 2026'!$B$5:$B$77,'UC BMW 2026'!$B45,'UC BMW 2026'!$X$5:$X$77)</f>
        <v>0</v>
      </c>
      <c r="BI47" s="24">
        <f>SUMIF('UC BMW 2026'!$B$5:$B$77,'UC BMW 2026'!$B45,'UC BMW 2026'!$Y$5:$Y$77)</f>
        <v>0</v>
      </c>
      <c r="BJ47" s="24">
        <f>IFERROR(VLOOKUP(B47,[2]BPS!$B$10:$O$64,12,0),0)-IF(B47=100873,IFERROR(VLOOKUP("Octubre",[2]BPS!$B$74:$C$89,2,0),0),0)</f>
        <v>0</v>
      </c>
      <c r="BK47" s="285">
        <f>IFERROR(BJ47/BI47,0)</f>
        <v>0</v>
      </c>
      <c r="BL47" s="380">
        <f>IFERROR(VLOOKUP(B47,'[2]RETAIL ORIGEN RMKT'!$B$11:$O$62,12,0),0)</f>
        <v>0</v>
      </c>
      <c r="BM47" s="127">
        <f>IFERROR(BL47/BH47,0)</f>
        <v>0</v>
      </c>
      <c r="BN47" s="21">
        <f>SUMIF('UC BMW 2026'!$B$5:$B$77,'UC BMW 2026'!$B45,'UC BMW 2026'!$Z$5:$Z$77)</f>
        <v>0</v>
      </c>
      <c r="BO47" s="24">
        <f>SUMIF('UC BMW 2026'!$B$5:$B$77,'UC BMW 2026'!$B45,'UC BMW 2026'!$AA$5:$AA$77)</f>
        <v>0</v>
      </c>
      <c r="BP47" s="24">
        <f>IFERROR(VLOOKUP(B47,[2]BPS!$B$10:$O$64,13,0),0)-IF(B47=100873,IFERROR(VLOOKUP("Noviembre",[2]BPS!$B$74:$C$89,2,0),0),0)</f>
        <v>0</v>
      </c>
      <c r="BQ47" s="285">
        <f>IFERROR(BP47/BO47,0)</f>
        <v>0</v>
      </c>
      <c r="BR47" s="380">
        <f>IFERROR(VLOOKUP(B47,'[2]RETAIL ORIGEN RMKT'!$B$11:$O$62,13,0),0)</f>
        <v>0</v>
      </c>
      <c r="BS47" s="127">
        <f>IFERROR(BR47/BN47,0)</f>
        <v>0</v>
      </c>
      <c r="BT47" s="21">
        <f>SUMIF('UC BMW 2026'!$B$5:$B$77,'UC BMW 2026'!$B45,'UC BMW 2026'!$AB$5:$AB$77)</f>
        <v>0</v>
      </c>
      <c r="BU47" s="24">
        <f>SUMIF('UC BMW 2026'!$B$5:$B$77,'UC BMW 2026'!$B45,'UC BMW 2026'!$AC$5:$AC$77)</f>
        <v>0</v>
      </c>
      <c r="BV47" s="24">
        <f>IFERROR(VLOOKUP(B47,[2]BPS!$B$10:$O$64,13,0),0)-IF(B47=100873,IFERROR(VLOOKUP("Diciembre",[2]BPS!$B$74:$C$89,2,0),0),0)</f>
        <v>0</v>
      </c>
      <c r="BW47" s="285">
        <f>IFERROR(BV47/BU47,0)</f>
        <v>0</v>
      </c>
      <c r="BX47" s="380">
        <f>IFERROR(VLOOKUP(B47,'[2]RETAIL ORIGEN RMKT'!$B$11:$O$62,14,0),0)</f>
        <v>0</v>
      </c>
      <c r="BY47" s="127">
        <f>IFERROR(BX47/BT47,0)</f>
        <v>0</v>
      </c>
      <c r="BZ47" s="25">
        <f t="shared" ca="1" si="141"/>
        <v>97</v>
      </c>
      <c r="CA47" s="27">
        <f t="shared" ca="1" si="141"/>
        <v>115</v>
      </c>
      <c r="CB47" s="287">
        <f ca="1">IFERROR((CA47/BZ47),0)</f>
        <v>1.1855670103092784</v>
      </c>
      <c r="CC47" s="291">
        <f>IFERROR(IF($BZ$4="ENERO",H47,IF($BZ$4="FEBRERO",H47+N47,IF($BZ$4="MARZO",H47+N47+T47,IF($BZ$4="ABRIL",H47+N47+T47+Z47,IF($BZ$4="MAYO",H47+N47+T47+Z47+AF47,IF($BZ$4="JUNIO",H47+N47+T47+Z47+AF47+AL47,IF($BZ$4="JULIO",H47+N47+T47+Z47+AF47+AL47+AR47,IF($BZ$4="AGOSTO",H47+N47+T47+Z47+AF47+AL47+AR47+AX47,IF($BZ$4="SEPTIEMBRE",H47+N47+T47+Z47+AF47+AL47+AR47+AX47+BD47,IF($BZ$4="OCTUBRE",H47+N47+T47+Z47+AF47+AL47+AR47+AX47+BD47+BJ47,IF($BZ$4="NOVIEMBRE",H47+N47+T47+Z47+AF47+AL47+AR47+AX47+BD47+BJ47+BP47,IF($BZ$4="DICIEMBRE",H47+N47+T47+Z47+AF47+AL47+AR47+AX47+BD47+BJ47+BP47+BV47,"")))))))))))),0)</f>
        <v>98</v>
      </c>
      <c r="CD47" s="287">
        <f ca="1">IFERROR(IF(CA47=0,"N.D.",CC47/CA47),0)</f>
        <v>0.85217391304347823</v>
      </c>
      <c r="CE47" s="24">
        <f>IFERROR(IF($BZ$4="ENERO",J47,IF($BZ$4="FEBRERO",J47+P47,IF($BZ$4="MARZO",J47+P47+V47,IF($BZ$4="ABRIL",J47+P47+V47+AB47,IF($BZ$4="MAYO",J47+P47+V47+AB47+AH47,IF($BZ$4="JUNIO",J47+P47+V47+AB47+AH47+AN47,IF($BZ$4="JULIO",J47+P47+V47+AB47+AH47+AN47+AT47,IF($BZ$4="AGOSTO",J47+P47+V47+AB47+AH47+AN47+AT47+AZ47,IF($BZ$4="SEPTIEMBRE",J47+P47+V47+AB47+AH47+AN47+AT47+AZ47+BF47,IF($BZ$4="OCTUBRE",J47+P47+V47+AB47+AH47+AN47+AT47+AZ47+BF47+BL47,IF($BZ$4="NOVIEMBRE",J47+P47+V47+AB47+AH47+AN47+AT47+AZ47+BF47+BL47+BR47,IF($BZ$4="DICIEMBRE",J47+P47+V47+AB47+AH47+AN47+AT47+AZ47+BF47+BL47+BR47+BX47,"")))))))))))),0)</f>
        <v>29</v>
      </c>
      <c r="CF47" s="129">
        <f ca="1">IFERROR(CE47/BZ47,0)</f>
        <v>0.29896907216494845</v>
      </c>
      <c r="CG47" s="25">
        <f ca="1">SUM(F47+L47+R47+X47+AD47+AJ47+AP47+AV47+BB47+BH47+BN47+BT47)</f>
        <v>97</v>
      </c>
      <c r="CH47" s="27">
        <f ca="1">SUMIFS($F47:$BW47,$F$6:$BW$6,CH$6,$F$2:$BW$2,$BZ$4)</f>
        <v>115</v>
      </c>
      <c r="CI47" s="287">
        <f ca="1">IFERROR((CH47/CG47),0)</f>
        <v>1.1855670103092784</v>
      </c>
      <c r="CJ47" s="291">
        <f>SUMIFS($F47:$BW47,$F$6:$BW$6,CJ$6,$F$2:$BW$2,$BZ$4)</f>
        <v>98</v>
      </c>
      <c r="CK47" s="287">
        <f ca="1">IF(CH47=0,"N.D.",CJ47/CH47)</f>
        <v>0.85217391304347823</v>
      </c>
      <c r="CL47" s="27">
        <f>IFERROR(J47+P47+V47+AB47+AH47+AN47+AT47+AZ47+BF47+BL47+BR47+BX47,0)</f>
        <v>29</v>
      </c>
      <c r="CM47" s="129">
        <f ca="1">IFERROR(CL47/CG47,0)</f>
        <v>0.29896907216494845</v>
      </c>
      <c r="CN47" s="25">
        <f t="shared" ca="1" si="142"/>
        <v>48</v>
      </c>
      <c r="CO47" s="27">
        <f t="shared" ca="1" si="142"/>
        <v>35</v>
      </c>
      <c r="CP47" s="287">
        <f ca="1">IFERROR((CO47/CN47),0)</f>
        <v>0.72916666666666663</v>
      </c>
      <c r="CQ47" s="291">
        <f>IF($CN$5="Q1",H47+N47+T47,
IF($CN$5="Q2",Z47+AF47++AL47,
IF($CN$5="Q3",AR47+AX47+BD47,
IF($CN$5="Q4",BJ47+BP47+BV47,0))))</f>
        <v>31</v>
      </c>
      <c r="CR47" s="287">
        <f ca="1">IF(CO47=0,"N.D.",CQ47/CO47)</f>
        <v>0.88571428571428568</v>
      </c>
      <c r="CS47" s="27">
        <f>IF($CZ$5="Q1",J47+P47+V47,
IF($CZ$5="Q2",AB47+AH47+AN47,
IF($CZ$5="Q3",AT47+AZ47+BF47,
IF($CZ$5="Q4",BL47+BR47+BX47,0))))</f>
        <v>0</v>
      </c>
      <c r="CT47" s="129">
        <f ca="1">IFERROR(CS47/CN47,0)</f>
        <v>0</v>
      </c>
      <c r="CU47" s="25">
        <f t="shared" ca="1" si="143"/>
        <v>97</v>
      </c>
      <c r="CV47" s="27">
        <f t="shared" ca="1" si="143"/>
        <v>115</v>
      </c>
      <c r="CW47" s="287">
        <f ca="1">IFERROR((CV47/CU47),0)</f>
        <v>1.1855670103092784</v>
      </c>
      <c r="CX47" s="27">
        <f t="shared" si="144"/>
        <v>98</v>
      </c>
      <c r="CY47" s="287">
        <f ca="1">IF(CV47=0,"N.D.",CX47/CV47)</f>
        <v>0.85217391304347823</v>
      </c>
      <c r="CZ47" s="27">
        <f>IFERROR(IF($CU$5="S 1",J47+P47+V47+AB47+AH47+AN47,
IF($CU$5="S 2",AT47+AZ47+BF47+BL47+BR47+BX47,0)),0)</f>
        <v>29</v>
      </c>
      <c r="DA47" s="130">
        <f ca="1">IFERROR(CZ47/CU47,0)</f>
        <v>0.29896907216494845</v>
      </c>
      <c r="DB47" s="25">
        <f t="shared" ca="1" si="145"/>
        <v>0</v>
      </c>
      <c r="DC47" s="27">
        <f t="shared" ca="1" si="145"/>
        <v>0</v>
      </c>
      <c r="DD47" s="287">
        <f ca="1">IFERROR((DC47/DB47),0)</f>
        <v>0</v>
      </c>
      <c r="DE47" s="27">
        <f>IFERROR(IF($DB$5="S 1",H47+N47+T47+Z47+AF47++AL47,
IF($DB$5="S 2",AR47+AX47+BD47+BJ47+BP47+BV47,0)),0)</f>
        <v>0</v>
      </c>
      <c r="DF47" s="287" t="str">
        <f ca="1">IF(DC47=0,"N.D.",DE47/DC47)</f>
        <v>N.D.</v>
      </c>
      <c r="DG47" s="27">
        <f>IFERROR(IF($DB$5="S 1",J47+P47+V47+AB47+AH47+AN47,
IF($DB$5="S 2",AT47+AZ47+BF47+BL47+BR47+BX47,0)),0)</f>
        <v>0</v>
      </c>
      <c r="DH47" s="130">
        <f ca="1">IFERROR(DG47/DB47,0)</f>
        <v>0</v>
      </c>
      <c r="DI47" s="510">
        <v>1</v>
      </c>
      <c r="DJ47" s="369" t="s">
        <v>8</v>
      </c>
      <c r="DK47" s="25">
        <f t="shared" ca="1" si="146"/>
        <v>97</v>
      </c>
      <c r="DL47" s="27">
        <f t="shared" ca="1" si="146"/>
        <v>115</v>
      </c>
      <c r="DM47" s="287">
        <f ca="1">IFERROR((CA47/BZ47),0)</f>
        <v>1.1855670103092784</v>
      </c>
      <c r="DN47" s="291">
        <f t="shared" si="147"/>
        <v>98</v>
      </c>
      <c r="DO47" s="287">
        <f ca="1">IFERROR(IF(CA47=0,"N.D.",CC47/CA47),0)</f>
        <v>0.85217391304347823</v>
      </c>
      <c r="DP47" s="27">
        <f>IFERROR(J47+P47+V47+AB47+AH47+AN47+AT47+AZ47+BF47+BL47+BR47+BX47,0)</f>
        <v>29</v>
      </c>
      <c r="DQ47" s="130">
        <f ca="1">IFERROR(CE47/BZ47,0)</f>
        <v>0.29896907216494845</v>
      </c>
      <c r="DR47"/>
      <c r="DS47" s="4">
        <f ca="1"/>
        <v>62</v>
      </c>
      <c r="DT47" s="4">
        <f ca="1"/>
        <v>54</v>
      </c>
      <c r="DU47" s="508">
        <f ca="1"/>
        <v>0.83478260869565213</v>
      </c>
      <c r="DW47" s="508">
        <f ca="1"/>
        <v>0.86896551724137927</v>
      </c>
      <c r="DX47" s="4">
        <v>16</v>
      </c>
      <c r="DY47" s="508">
        <f ca="1"/>
        <v>0.2</v>
      </c>
    </row>
    <row r="48" spans="1:129" s="4" customFormat="1" ht="15" customHeight="1" thickBot="1" x14ac:dyDescent="0.4">
      <c r="A48" s="4">
        <f>_xlfn.XLOOKUP(B48,'WHOLESALE BMW 2026'!$B$7:$B$67,'WHOLESALE BMW 2026'!$A$7:$A$67)</f>
        <v>0</v>
      </c>
      <c r="B48" s="7" t="s">
        <v>269</v>
      </c>
      <c r="C48" s="28"/>
      <c r="D48" s="125"/>
      <c r="E48" s="7"/>
      <c r="F48" s="200">
        <f ca="1">SUM(F45:F47)</f>
        <v>111</v>
      </c>
      <c r="G48" s="200">
        <f ca="1">SUM(G45:G47)</f>
        <v>79</v>
      </c>
      <c r="H48" s="200">
        <f>SUM(H45:H47)</f>
        <v>64</v>
      </c>
      <c r="I48" s="413">
        <f t="shared" ca="1" si="148"/>
        <v>0.810126582278481</v>
      </c>
      <c r="J48" s="200">
        <f>SUM(J45:J47)</f>
        <v>20</v>
      </c>
      <c r="K48" s="133">
        <f t="shared" ca="1" si="149"/>
        <v>0.18018018018018017</v>
      </c>
      <c r="L48" s="200">
        <f ca="1">SUM(L45:L47)</f>
        <v>111</v>
      </c>
      <c r="M48" s="200">
        <f ca="1">SUM(M45:M47)</f>
        <v>77</v>
      </c>
      <c r="N48" s="200">
        <f>SUM(N45:N47)</f>
        <v>68</v>
      </c>
      <c r="O48" s="413">
        <f t="shared" ca="1" si="140"/>
        <v>0.88311688311688308</v>
      </c>
      <c r="P48" s="200">
        <f>SUM(P45:P47)</f>
        <v>23</v>
      </c>
      <c r="Q48" s="133">
        <f ca="1">IFERROR(P48/L48,0)</f>
        <v>0.2072072072072072</v>
      </c>
      <c r="R48" s="200">
        <f ca="1">SUM(R45:R47)</f>
        <v>111</v>
      </c>
      <c r="S48" s="200">
        <f ca="1">SUM(S45:S47)</f>
        <v>81</v>
      </c>
      <c r="T48" s="200">
        <f>SUM(T45:T47)</f>
        <v>59</v>
      </c>
      <c r="U48" s="413">
        <f ca="1">IFERROR(T48/S48,0)</f>
        <v>0.72839506172839508</v>
      </c>
      <c r="V48" s="200">
        <f>SUM(V45:V47)</f>
        <v>26</v>
      </c>
      <c r="W48" s="133">
        <f ca="1">IFERROR(V48/R48,0)</f>
        <v>0.23423423423423423</v>
      </c>
      <c r="X48" s="200">
        <f ca="1">SUM(X45:X47)</f>
        <v>111</v>
      </c>
      <c r="Y48" s="200">
        <f ca="1">SUM(Y45:Y47)</f>
        <v>65</v>
      </c>
      <c r="Z48" s="200">
        <f>SUM(Z45:Z47)</f>
        <v>54</v>
      </c>
      <c r="AA48" s="413">
        <f ca="1">IFERROR(Z48/Y48,0)</f>
        <v>0.83076923076923082</v>
      </c>
      <c r="AB48" s="200">
        <f>SUM(AB45:AB47)</f>
        <v>18</v>
      </c>
      <c r="AC48" s="133">
        <f ca="1">IFERROR(AB48/X48,0)</f>
        <v>0.16216216216216217</v>
      </c>
      <c r="AD48" s="200">
        <f ca="1">SUM(AD45:AD47)</f>
        <v>111</v>
      </c>
      <c r="AE48" s="200">
        <f ca="1">SUM(AE45:AE47)</f>
        <v>89</v>
      </c>
      <c r="AF48" s="200">
        <f>SUM(AF45:AF47)</f>
        <v>73</v>
      </c>
      <c r="AG48" s="413">
        <f ca="1">IFERROR(AF48/AE48,0)</f>
        <v>0.8202247191011236</v>
      </c>
      <c r="AH48" s="200">
        <f>SUM(AH45:AH47)</f>
        <v>29</v>
      </c>
      <c r="AI48" s="133">
        <f ca="1">IFERROR(AH48/AD48,0)</f>
        <v>0.26126126126126126</v>
      </c>
      <c r="AJ48" s="200">
        <f ca="1">SUM(AJ45:AJ47)</f>
        <v>112</v>
      </c>
      <c r="AK48" s="200">
        <f ca="1">SUM(AK45:AK47)</f>
        <v>114</v>
      </c>
      <c r="AL48" s="200">
        <f>SUM(AL45:AL47)</f>
        <v>98</v>
      </c>
      <c r="AM48" s="413">
        <f ca="1">IFERROR(AL48/AK48,0)</f>
        <v>0.85964912280701755</v>
      </c>
      <c r="AN48" s="200">
        <f>SUM(AN45:AN47)</f>
        <v>44</v>
      </c>
      <c r="AO48" s="133">
        <f ca="1">IFERROR(AN48/AJ48,0)</f>
        <v>0.39285714285714285</v>
      </c>
      <c r="AP48" s="200">
        <f ca="1">SUM(AP45:AP47)</f>
        <v>0</v>
      </c>
      <c r="AQ48" s="200">
        <f ca="1">SUM(AQ45:AQ47)</f>
        <v>0</v>
      </c>
      <c r="AR48" s="200">
        <f>SUM(AR45:AR47)</f>
        <v>0</v>
      </c>
      <c r="AS48" s="413">
        <f ca="1">IFERROR(AR48/AQ48,0)</f>
        <v>0</v>
      </c>
      <c r="AT48" s="200">
        <f>SUM(AT45:AT47)</f>
        <v>0</v>
      </c>
      <c r="AU48" s="133">
        <f ca="1">IFERROR(AT48/AP48,0)</f>
        <v>0</v>
      </c>
      <c r="AV48" s="200">
        <f ca="1">SUM(AV45:AV47)</f>
        <v>0</v>
      </c>
      <c r="AW48" s="200">
        <f ca="1">SUM(AW45:AW47)</f>
        <v>0</v>
      </c>
      <c r="AX48" s="200">
        <f>SUM(AX45:AX47)</f>
        <v>0</v>
      </c>
      <c r="AY48" s="413">
        <f ca="1">IFERROR(AX48/AW48,0)</f>
        <v>0</v>
      </c>
      <c r="AZ48" s="200">
        <f>SUM(AZ45:AZ47)</f>
        <v>0</v>
      </c>
      <c r="BA48" s="133">
        <f ca="1">IFERROR(AZ48/AV48,0)</f>
        <v>0</v>
      </c>
      <c r="BB48" s="200">
        <f ca="1">SUM(BB45:BB47)</f>
        <v>0</v>
      </c>
      <c r="BC48" s="200">
        <f>SUM(BC45:BC47)</f>
        <v>0</v>
      </c>
      <c r="BD48" s="200">
        <f>SUM(BD45:BD47)</f>
        <v>0</v>
      </c>
      <c r="BE48" s="413">
        <f>IFERROR(BD48/BC48,0)</f>
        <v>0</v>
      </c>
      <c r="BF48" s="200">
        <f>SUM(BF45:BF47)</f>
        <v>0</v>
      </c>
      <c r="BG48" s="133">
        <f ca="1">IFERROR(BF48/BB48,0)</f>
        <v>0</v>
      </c>
      <c r="BH48" s="200">
        <f>SUM(BH45:BH47)</f>
        <v>0</v>
      </c>
      <c r="BI48" s="200">
        <f>SUM(BI45:BI47)</f>
        <v>0</v>
      </c>
      <c r="BJ48" s="200">
        <f>SUM(BJ45:BJ47)</f>
        <v>0</v>
      </c>
      <c r="BK48" s="413">
        <f>IFERROR(BJ48/BI48,0)</f>
        <v>0</v>
      </c>
      <c r="BL48" s="200">
        <f>SUM(BL45:BL47)</f>
        <v>0</v>
      </c>
      <c r="BM48" s="133">
        <f>IFERROR(BL48/BH48,0)</f>
        <v>0</v>
      </c>
      <c r="BN48" s="200">
        <f>SUM(BN45:BN47)</f>
        <v>0</v>
      </c>
      <c r="BO48" s="200">
        <f>SUM(BO45:BO47)</f>
        <v>0</v>
      </c>
      <c r="BP48" s="200">
        <f>SUM(BP45:BP47)</f>
        <v>0</v>
      </c>
      <c r="BQ48" s="413">
        <f>IFERROR(BP48/BO48,0)</f>
        <v>0</v>
      </c>
      <c r="BR48" s="200">
        <f>SUM(BR45:BR47)</f>
        <v>0</v>
      </c>
      <c r="BS48" s="133">
        <f>IFERROR(BR48/BN48,0)</f>
        <v>0</v>
      </c>
      <c r="BT48" s="200">
        <f>SUM(BT45:BT47)</f>
        <v>0</v>
      </c>
      <c r="BU48" s="200">
        <f>SUM(BU45:BU47)</f>
        <v>0</v>
      </c>
      <c r="BV48" s="200">
        <f>SUM(BV45:BV47)</f>
        <v>0</v>
      </c>
      <c r="BW48" s="413">
        <f>IFERROR(BV48/BU48,0)</f>
        <v>0</v>
      </c>
      <c r="BX48" s="200">
        <f>SUM(BX45:BX47)</f>
        <v>0</v>
      </c>
      <c r="BY48" s="133">
        <f>IFERROR(BX48/BT48,0)</f>
        <v>0</v>
      </c>
      <c r="BZ48" s="342">
        <f ca="1">SUM(BZ45:BZ47)</f>
        <v>667</v>
      </c>
      <c r="CA48" s="342">
        <f ca="1">SUM(CA45:CA47)</f>
        <v>505</v>
      </c>
      <c r="CB48" s="132">
        <f ca="1">IFERROR((CA48/BZ48),0)</f>
        <v>0.7571214392803598</v>
      </c>
      <c r="CC48" s="342">
        <f>SUM(CC45:CC47)</f>
        <v>416</v>
      </c>
      <c r="CD48" s="275">
        <f ca="1">CC48/CA48</f>
        <v>0.82376237623762372</v>
      </c>
      <c r="CE48" s="278">
        <f>SUM(CE45:CE47)</f>
        <v>160</v>
      </c>
      <c r="CF48" s="275">
        <f ca="1">IFERROR(CE48/BZ48,0)</f>
        <v>0.23988005997001499</v>
      </c>
      <c r="CG48" s="342">
        <f ca="1">SUM(CG45:CG47)</f>
        <v>667</v>
      </c>
      <c r="CH48" s="342">
        <f ca="1">SUM(CH45:CH47)</f>
        <v>505</v>
      </c>
      <c r="CI48" s="132">
        <f ca="1">IFERROR((CH48/CG48),0)</f>
        <v>0.7571214392803598</v>
      </c>
      <c r="CJ48" s="342">
        <f>SUM(CJ45:CJ47)</f>
        <v>416</v>
      </c>
      <c r="CK48" s="275">
        <f ca="1">IF(CH48=0,"N.D.",CJ48/CH48)</f>
        <v>0.82376237623762372</v>
      </c>
      <c r="CL48" s="342">
        <f>SUM(CL45:CL47)</f>
        <v>160</v>
      </c>
      <c r="CM48" s="275">
        <f ca="1">IFERROR(CL48/CG48,0)</f>
        <v>0.23988005997001499</v>
      </c>
      <c r="CN48" s="200">
        <f ca="1">SUM(CN38:CN50)</f>
        <v>252</v>
      </c>
      <c r="CO48" s="258">
        <f ca="1">SUM(CO38:CO50)</f>
        <v>107</v>
      </c>
      <c r="CP48" s="132">
        <f ca="1">IFERROR((CO48/CN48),0)</f>
        <v>0.42460317460317459</v>
      </c>
      <c r="CQ48" s="342" t="e">
        <f ca="1">SUM(CQ38:CQ50)</f>
        <v>#VALUE!</v>
      </c>
      <c r="CR48" s="275">
        <f ca="1">IF(CO48=0,"N.D.",CQ48/CO48)</f>
        <v>0.98130841121495327</v>
      </c>
      <c r="CS48" s="258">
        <f>IF($CZ$5="Q1",J48+P48+V48,
IF($CZ$5="Q2",AB48+AH48+AN48,
IF($CZ$5="Q3",AT48+AZ48+BF48,
IF($CZ$5="Q4",BL48+BR48+BX48,0))))</f>
        <v>0</v>
      </c>
      <c r="CT48" s="275">
        <f ca="1">IFERROR(CS48/CN48,0)</f>
        <v>0</v>
      </c>
      <c r="CU48" s="200">
        <f t="shared" ca="1" si="78"/>
        <v>667</v>
      </c>
      <c r="CV48" s="258">
        <f t="shared" ca="1" si="78"/>
        <v>505</v>
      </c>
      <c r="CW48" s="132">
        <f ca="1">IFERROR((CV48/CU48),0)</f>
        <v>0.7571214392803598</v>
      </c>
      <c r="CX48" s="258">
        <f t="shared" si="144"/>
        <v>416</v>
      </c>
      <c r="CY48" s="275">
        <f ca="1">IF(CV48=0,"N.D.",CX48/CV48)</f>
        <v>0.82376237623762372</v>
      </c>
      <c r="CZ48" s="258">
        <f>IFERROR(IF($CU$5="S 1",J48+P48+V48+AB48+AH48+AN48,
IF($CU$5="S 2",AT48+AZ48+BF48+BL48+BR48+BX48,0)),0)</f>
        <v>160</v>
      </c>
      <c r="DA48" s="275">
        <f ca="1">IFERROR(CZ48/CU48,0)</f>
        <v>0.23988005997001499</v>
      </c>
      <c r="DB48" s="200">
        <f ca="1">IFERROR(SUM(DB38:DB50),0)</f>
        <v>0</v>
      </c>
      <c r="DC48" s="200">
        <f ca="1">IFERROR(SUM(DC38:DC50),0)</f>
        <v>0</v>
      </c>
      <c r="DD48" s="132">
        <f ca="1">IFERROR((DC48/DB48),0)</f>
        <v>0</v>
      </c>
      <c r="DE48" s="258">
        <f ca="1">IFERROR(SUM(DE38:DE50),0)</f>
        <v>0</v>
      </c>
      <c r="DF48" s="275" t="str">
        <f ca="1">IF(DC48=0,"N.D.",DE48/DC48)</f>
        <v>N.D.</v>
      </c>
      <c r="DG48" s="258">
        <f ca="1">IFERROR(SUM(DG38:DG50),0)</f>
        <v>0</v>
      </c>
      <c r="DH48" s="275">
        <f ca="1">IFERROR(DG48/DB48,0)</f>
        <v>0</v>
      </c>
      <c r="DI48" s="510">
        <v>0</v>
      </c>
      <c r="DJ48" s="28"/>
      <c r="DK48" s="200">
        <f ca="1">IF($BZ$4="ENERO",F48,IF($BZ$4="FEBRERO",F48+L48,IF($BZ$4="MARZO",F48+L48+R48,IF($BZ$4="ABRIL",F48+L48+R48+X48,IF($BZ$4="MAYO",F48+L48+R48+X48+AD48,IF($BZ$4="JUNIO",F48+L48+R48+X48+AD48+AJ48,IF($BZ$4="JULIO",F48+L48+R48+X48+AD48+AJ48+AP48,IF($BZ$4="AGOSTO",F48+L48+R48+X48+AD48+AJ48+AP48+AV48,IF($BZ$4="SEPTIEMBRE",F48+L48+R48+X48+AD48+AJ48+AP48+AV48+BB48,IF($BZ$4="OCTUBRE",F48+L48+R48+X48+AD48+AJ48+AP48+AV48+BB48+BH48,IF($BZ$4="NOVIEMBRE",F48+L48+R48+X48+AD48+AJ48+AP48+AV48+BB48+BH48+BN48,IF($BZ$4="DICIEMBRE",F48+L48+R48+X48+AD48+AJ48+AP48+AV48+BB48+BH48+BN48+BT48,""))))))))))))</f>
        <v>667</v>
      </c>
      <c r="DL48" s="258">
        <f t="shared" ca="1" si="79"/>
        <v>505</v>
      </c>
      <c r="DM48" s="132">
        <f ca="1">IFERROR((CA48/BZ48),0)</f>
        <v>0.7571214392803598</v>
      </c>
      <c r="DN48" s="342">
        <f t="shared" si="147"/>
        <v>416</v>
      </c>
      <c r="DO48" s="275">
        <f ca="1">IFERROR(IF(CA48=0,"N.D.",CC48/CA48),0)</f>
        <v>0.82376237623762372</v>
      </c>
      <c r="DP48" s="258">
        <f>IFERROR(J48+P48+V48+AB48+AH48+AN48+AT48+AZ48+BF48+BL48+BR48+BX48,0)</f>
        <v>160</v>
      </c>
      <c r="DQ48" s="275">
        <f ca="1">IFERROR(CE48/BZ48,0)</f>
        <v>0.23988005997001499</v>
      </c>
      <c r="DR48"/>
      <c r="DS48" s="4">
        <f ca="1"/>
        <v>60</v>
      </c>
      <c r="DT48" s="4">
        <f ca="1"/>
        <v>48</v>
      </c>
      <c r="DU48" s="508">
        <f ca="1"/>
        <v>0.79411764705882348</v>
      </c>
      <c r="DW48" s="508">
        <f ca="1"/>
        <v>0.86407766990291257</v>
      </c>
      <c r="DX48" s="4">
        <v>15</v>
      </c>
      <c r="DY48" s="508">
        <f ca="1"/>
        <v>0.19285714285714287</v>
      </c>
    </row>
    <row r="49" spans="1:129" s="4" customFormat="1" ht="15" customHeight="1" x14ac:dyDescent="0.35">
      <c r="A49" s="4">
        <f>_xlfn.XLOOKUP(B49,'WHOLESALE BMW 2026'!$B$7:$B$67,'WHOLESALE BMW 2026'!$A$7:$A$67)</f>
        <v>8</v>
      </c>
      <c r="B49" s="8">
        <v>100765</v>
      </c>
      <c r="C49" s="369" t="s">
        <v>60</v>
      </c>
      <c r="D49" s="125"/>
      <c r="E49" s="309" t="s">
        <v>90</v>
      </c>
      <c r="F49" s="21">
        <f ca="1">SUMIF('UC BMW 2026'!B47:B123,'UC BMW 2026'!B47,'UC BMW 2026'!F47:F114)</f>
        <v>4</v>
      </c>
      <c r="G49" s="24">
        <f ca="1">SUMIF('UC BMW 2026'!$B$5:$B$77,'UC BMW 2026'!B47,'UC BMW 2026'!$G$5:$G$72)</f>
        <v>3</v>
      </c>
      <c r="H49" s="24">
        <f>IFERROR(VLOOKUP(B49,[2]BPS!$B$10:$O$64,3,0),0)-IF(B49=100873,IFERROR(VLOOKUP("Enero",[2]BPS!$B$74:$C$89,2,0),0),0)</f>
        <v>3</v>
      </c>
      <c r="I49" s="285">
        <f t="shared" ca="1" si="148"/>
        <v>1</v>
      </c>
      <c r="J49" s="380">
        <f>IFERROR(VLOOKUP(B49,'[2]RETAIL ORIGEN RMKT'!$B$11:$O$62,3,0),0)</f>
        <v>1</v>
      </c>
      <c r="K49" s="127">
        <f t="shared" ca="1" si="149"/>
        <v>0.25</v>
      </c>
      <c r="L49" s="21">
        <f ca="1">SUMIF('UC BMW 2026'!$B$5:$B$77,'UC BMW 2026'!$B47,'UC BMW 2026'!$H$5:$H$72)</f>
        <v>4</v>
      </c>
      <c r="M49" s="24">
        <f ca="1">SUMIF('UC BMW 2026'!$B$5:$B$77,'UC BMW 2026'!$B47,'UC BMW 2026'!$I$5:$I$72)</f>
        <v>5</v>
      </c>
      <c r="N49" s="24">
        <f>IFERROR(VLOOKUP(B49,[2]BPS!$B$10:$O$64,4,0),0)-IF(B49=100873,IFERROR(VLOOKUP("Febrero",[2]BPS!$B$74:$C$89,2,0),0),0)</f>
        <v>5</v>
      </c>
      <c r="O49" s="285">
        <f t="shared" ca="1" si="140"/>
        <v>1</v>
      </c>
      <c r="P49" s="380">
        <f>IFERROR(VLOOKUP(B49,'[2]RETAIL ORIGEN RMKT'!$B$11:$O$62,4,0),0)</f>
        <v>3</v>
      </c>
      <c r="Q49" s="127">
        <f t="shared" ref="Q49:Q54" ca="1" si="150">IFERROR(P49/L49,0)</f>
        <v>0.75</v>
      </c>
      <c r="R49" s="21">
        <f ca="1">SUMIF('UC BMW 2026'!$B$5:$B$77,'UC BMW 2026'!$B47,'UC BMW 2026'!$J$5:$J$72)</f>
        <v>5</v>
      </c>
      <c r="S49" s="24">
        <f ca="1">SUMIF('UC BMW 2026'!$B$5:$B$77,'UC BMW 2026'!$B47,'UC BMW 2026'!$K$5:$K$72)</f>
        <v>4</v>
      </c>
      <c r="T49" s="24">
        <f>IFERROR(VLOOKUP(B49,[2]BPS!$B$10:$O$64,5,0),0)-IF(B49=100873,IFERROR(VLOOKUP("Marzo",[2]BPS!$B$74:$C$89,2,0),0),0)</f>
        <v>4</v>
      </c>
      <c r="U49" s="285">
        <f t="shared" ref="U49:U55" ca="1" si="151">IFERROR(T49/S49,0)</f>
        <v>1</v>
      </c>
      <c r="V49" s="380">
        <f>IFERROR(VLOOKUP(B49,'[2]RETAIL ORIGEN RMKT'!$B$11:$O$62,5,0),0)</f>
        <v>2</v>
      </c>
      <c r="W49" s="127">
        <f t="shared" ref="W49:W55" ca="1" si="152">IFERROR(V49/R49,0)</f>
        <v>0.4</v>
      </c>
      <c r="X49" s="21">
        <f ca="1">SUMIF('UC BMW 2026'!$B$5:$B$77,'UC BMW 2026'!$B47,'UC BMW 2026'!$L$5:$L$72)</f>
        <v>4</v>
      </c>
      <c r="Y49" s="24">
        <f ca="1">SUMIF('UC BMW 2026'!$B$5:$B$77,'UC BMW 2026'!$B47,'UC BMW 2026'!$M$5:$M$72)</f>
        <v>4</v>
      </c>
      <c r="Z49" s="24">
        <f>IFERROR(VLOOKUP(B49,[2]BPS!$B$10:$O$64,6,0),0)-IF(B49=100873,IFERROR(VLOOKUP("Abril",[2]BPS!$B$74:$C$89,2,0),0),0)</f>
        <v>4</v>
      </c>
      <c r="AA49" s="285">
        <f t="shared" ref="AA49:AA55" ca="1" si="153">IFERROR(Z49/Y49,0)</f>
        <v>1</v>
      </c>
      <c r="AB49" s="380">
        <f>IFERROR(VLOOKUP(B49,'[2]RETAIL ORIGEN RMKT'!$B$11:$O$62,6,0),0)</f>
        <v>1</v>
      </c>
      <c r="AC49" s="127">
        <f t="shared" ref="AC49:AC55" ca="1" si="154">IFERROR(AB49/X49,0)</f>
        <v>0.25</v>
      </c>
      <c r="AD49" s="21">
        <f ca="1">SUMIF('UC BMW 2026'!$B$5:$B$77,'UC BMW 2026'!$B47,'UC BMW 2026'!$N$5:$N$72)</f>
        <v>5</v>
      </c>
      <c r="AE49" s="24">
        <f ca="1">SUMIF('UC BMW 2026'!$B$5:$B$77,'UC BMW 2026'!$B47,'UC BMW 2026'!$O$5:$O$72)</f>
        <v>7</v>
      </c>
      <c r="AF49" s="24">
        <f>IFERROR(VLOOKUP(B49,[2]BPS!$B$10:$O$64,7,0),0)-IF(B49=100873,IFERROR(VLOOKUP("Mayo",[2]BPS!$B$74:$C$89,2,0),0),0)</f>
        <v>7</v>
      </c>
      <c r="AG49" s="285">
        <f t="shared" ref="AG49:AG55" ca="1" si="155">IFERROR(AF49/AE49,0)</f>
        <v>1</v>
      </c>
      <c r="AH49" s="380">
        <f>IFERROR(VLOOKUP(B49,'[2]RETAIL ORIGEN RMKT'!$B$11:$O$62,7,0),0)</f>
        <v>1</v>
      </c>
      <c r="AI49" s="127">
        <f t="shared" ref="AI49:AI55" ca="1" si="156">IFERROR(AH49/AD49,0)</f>
        <v>0.2</v>
      </c>
      <c r="AJ49" s="21">
        <f ca="1">SUMIF('UC BMW 2026'!$B$5:$B$77,'UC BMW 2026'!$B47,'UC BMW 2026'!$P$5:$P$72)</f>
        <v>5</v>
      </c>
      <c r="AK49" s="24">
        <f ca="1">SUMIF('UC BMW 2026'!$B$5:$B$77,'UC BMW 2026'!$B47,'UC BMW 2026'!$Q$5:$Q$72)</f>
        <v>6</v>
      </c>
      <c r="AL49" s="24">
        <f>IFERROR(VLOOKUP(B49,[2]BPS!$B$10:$O$64,8,0),0)-IF(B49=100873,IFERROR(VLOOKUP("Junio",[2]BPS!$B$74:$C$89,2,0),0),0)</f>
        <v>6</v>
      </c>
      <c r="AM49" s="285">
        <f t="shared" ref="AM49:AM55" ca="1" si="157">IFERROR(AL49/AK49,0)</f>
        <v>1</v>
      </c>
      <c r="AN49" s="380">
        <f>IFERROR(VLOOKUP(B49,'[2]RETAIL ORIGEN RMKT'!$B$11:$O$62,8,0),0)</f>
        <v>1</v>
      </c>
      <c r="AO49" s="127">
        <f t="shared" ref="AO49:AO55" ca="1" si="158">IFERROR(AN49/AJ49,0)</f>
        <v>0.2</v>
      </c>
      <c r="AP49" s="21">
        <f ca="1">SUMIF('UC BMW 2026'!$B$5:$B$77,'UC BMW 2026'!$B47,'UC BMW 2026'!$R$5:$R$72)</f>
        <v>0</v>
      </c>
      <c r="AQ49" s="24">
        <f ca="1">SUMIF('UC BMW 2026'!$B$5:$B$77,'UC BMW 2026'!$B47,'UC BMW 2026'!$S$5:$S$72)</f>
        <v>0</v>
      </c>
      <c r="AR49" s="24">
        <f>IFERROR(VLOOKUP(B49,[2]BPS!$B$10:$O$64,9,0),0)-IF(B49=100873,IFERROR(VLOOKUP("Julio",[2]BPS!$B$74:$C$89,2,0),0),0)</f>
        <v>0</v>
      </c>
      <c r="AS49" s="285">
        <f t="shared" ref="AS49:AS55" ca="1" si="159">IFERROR(AR49/AQ49,0)</f>
        <v>0</v>
      </c>
      <c r="AT49" s="380">
        <f>IFERROR(VLOOKUP(B49,'[2]RETAIL ORIGEN RMKT'!$B$11:$O$62,9,0),0)</f>
        <v>0</v>
      </c>
      <c r="AU49" s="127">
        <f t="shared" ref="AU49:AU55" ca="1" si="160">IFERROR(AT49/AP49,0)</f>
        <v>0</v>
      </c>
      <c r="AV49" s="21">
        <f ca="1">SUMIF('UC BMW 2026'!$B$5:$B$77,'UC BMW 2026'!$B47,'UC BMW 2026'!$T$5:$T$72)</f>
        <v>0</v>
      </c>
      <c r="AW49" s="24">
        <f ca="1">SUMIF('UC BMW 2026'!$B$5:$B$77,'UC BMW 2026'!$B47,'UC BMW 2026'!$U$5:$U$72)</f>
        <v>0</v>
      </c>
      <c r="AX49" s="24">
        <f>IFERROR(VLOOKUP(B49,[2]BPS!$B$10:$O$64,10,0),0)-IF(B49=100873,IFERROR(VLOOKUP("Agosto",[2]BPS!$B$74:$C$89,2,0),0),0)</f>
        <v>0</v>
      </c>
      <c r="AY49" s="285">
        <f t="shared" ref="AY49:AY55" ca="1" si="161">IFERROR(AX49/AW49,0)</f>
        <v>0</v>
      </c>
      <c r="AZ49" s="380">
        <f>IFERROR(VLOOKUP(B49,'[2]RETAIL ORIGEN RMKT'!$B$11:$O$62,10,0),0)</f>
        <v>0</v>
      </c>
      <c r="BA49" s="127">
        <f t="shared" ref="BA49:BA55" ca="1" si="162">IFERROR(AZ49/AV49,0)</f>
        <v>0</v>
      </c>
      <c r="BB49" s="21">
        <f ca="1">SUMIF('UC BMW 2026'!$B$5:$B$77,'UC BMW 2026'!$B47,'UC BMW 2026'!$V$5:$V$72)</f>
        <v>0</v>
      </c>
      <c r="BC49" s="24">
        <f>SUMIF('UC BMW 2026'!$B$5:$B$77,'UC BMW 2026'!$B47,'UC BMW 2026'!$W$5:$W$77)</f>
        <v>0</v>
      </c>
      <c r="BD49" s="24">
        <f>IFERROR(VLOOKUP(B49,[2]BPS!$B$10:$O$64,11,0),0)-IF(B49=100873,IFERROR(VLOOKUP("Septiembre",[2]BPS!$B$74:$C$89,2,0),0),0)</f>
        <v>0</v>
      </c>
      <c r="BE49" s="285">
        <f t="shared" ref="BE49:BE55" si="163">IFERROR(BD49/BC49,0)</f>
        <v>0</v>
      </c>
      <c r="BF49" s="380">
        <f>IFERROR(VLOOKUP(B49,'[2]RETAIL ORIGEN RMKT'!$B$11:$O$62,11,0),0)</f>
        <v>0</v>
      </c>
      <c r="BG49" s="127">
        <f t="shared" ref="BG49:BG55" ca="1" si="164">IFERROR(BF49/BB49,0)</f>
        <v>0</v>
      </c>
      <c r="BH49" s="21">
        <f>SUMIF('UC BMW 2026'!$B$5:$B$77,'UC BMW 2026'!$B47,'UC BMW 2026'!$X$5:$X$77)</f>
        <v>0</v>
      </c>
      <c r="BI49" s="24">
        <f>SUMIF('UC BMW 2026'!$B$5:$B$77,'UC BMW 2026'!$B47,'UC BMW 2026'!$Y$5:$Y$77)</f>
        <v>0</v>
      </c>
      <c r="BJ49" s="24">
        <f>IFERROR(VLOOKUP(B49,[2]BPS!$B$10:$O$64,12,0),0)-IF(B49=100873,IFERROR(VLOOKUP("Octubre",[2]BPS!$B$74:$C$89,2,0),0),0)</f>
        <v>0</v>
      </c>
      <c r="BK49" s="285">
        <f t="shared" ref="BK49:BK55" si="165">IFERROR(BJ49/BI49,0)</f>
        <v>0</v>
      </c>
      <c r="BL49" s="380">
        <f>IFERROR(VLOOKUP(B49,'[2]RETAIL ORIGEN RMKT'!$B$11:$O$62,12,0),0)</f>
        <v>0</v>
      </c>
      <c r="BM49" s="127">
        <f t="shared" ref="BM49:BM55" si="166">IFERROR(BL49/BH49,0)</f>
        <v>0</v>
      </c>
      <c r="BN49" s="21">
        <f>SUMIF('UC BMW 2026'!$B$5:$B$77,'UC BMW 2026'!$B47,'UC BMW 2026'!$Z$5:$Z$77)</f>
        <v>0</v>
      </c>
      <c r="BO49" s="24">
        <f>SUMIF('UC BMW 2026'!$B$5:$B$77,'UC BMW 2026'!$B47,'UC BMW 2026'!$AA$5:$AA$77)</f>
        <v>0</v>
      </c>
      <c r="BP49" s="24">
        <f>IFERROR(VLOOKUP(B49,[2]BPS!$B$10:$O$64,13,0),0)-IF(B49=100873,IFERROR(VLOOKUP("Noviembre",[2]BPS!$B$74:$C$89,2,0),0),0)</f>
        <v>0</v>
      </c>
      <c r="BQ49" s="285">
        <f t="shared" ref="BQ49:BQ55" si="167">IFERROR(BP49/BO49,0)</f>
        <v>0</v>
      </c>
      <c r="BR49" s="380">
        <f>IFERROR(VLOOKUP(B49,'[2]RETAIL ORIGEN RMKT'!$B$11:$O$62,13,0),0)</f>
        <v>0</v>
      </c>
      <c r="BS49" s="127">
        <f t="shared" ref="BS49:BS55" si="168">IFERROR(BR49/BN49,0)</f>
        <v>0</v>
      </c>
      <c r="BT49" s="21">
        <f>SUMIF('UC BMW 2026'!$B$5:$B$77,'UC BMW 2026'!$B47,'UC BMW 2026'!$AB$5:$AB$77)</f>
        <v>0</v>
      </c>
      <c r="BU49" s="24">
        <f>SUMIF('UC BMW 2026'!$B$5:$B$77,'UC BMW 2026'!$B47,'UC BMW 2026'!$AC$5:$AC$77)</f>
        <v>0</v>
      </c>
      <c r="BV49" s="24">
        <f>IFERROR(VLOOKUP(B49,[2]BPS!$B$10:$O$64,13,0),0)-IF(B49=100873,IFERROR(VLOOKUP("Diciembre",[2]BPS!$B$74:$C$89,2,0),0),0)</f>
        <v>0</v>
      </c>
      <c r="BW49" s="285">
        <f t="shared" ref="BW49:BW55" si="169">IFERROR(BV49/BU49,0)</f>
        <v>0</v>
      </c>
      <c r="BX49" s="380">
        <f>IFERROR(VLOOKUP(B49,'[2]RETAIL ORIGEN RMKT'!$B$11:$O$62,14,0),0)</f>
        <v>0</v>
      </c>
      <c r="BY49" s="127">
        <f t="shared" ref="BY49:BY55" si="170">IFERROR(BX49/BT49,0)</f>
        <v>0</v>
      </c>
      <c r="BZ49" s="25">
        <f ca="1">IF($BZ$4="ENERO",F49,IF($BZ$4="FEBRERO",F49+L49,IF($BZ$4="MARZO",F49+L49+R49,IF($BZ$4="ABRIL",F49+L49+R49+X49,IF($BZ$4="MAYO",F49+L49+R49+X49+AD49,IF($BZ$4="JUNIO",F49+L49+R49+X49+AD49+AJ49,IF($BZ$4="JULIO",F49+L49+R49+X49+AD49+AJ49+AP49,IF($BZ$4="AGOSTO",F49+L49+R49+X49+AD49+AJ49+AP49+AV49,IF($BZ$4="SEPTIEMBRE",F49+L49+R49+X49+AD49+AJ49+AP49+AV49+BB49,IF($BZ$4="OCTUBRE",F49+L49+R49+X49+AD49+AJ49+AP49+AV49+BB49+BH49,IF($BZ$4="NOVIEMBRE",F49+L49+R49+X49+AD49+AJ49+AP49+AV49+BB49+BH49+BN49,IF($BZ$4="DICIEMBRE",F49+L49+R49+X49+AD49+AJ49+AP49+AV49+BB49+BH49+BN49+BT49,""))))))))))))</f>
        <v>27</v>
      </c>
      <c r="CA49" s="27">
        <f ca="1">IF($BZ$4="ENERO",G49,IF($BZ$4="FEBRERO",G49+M49,IF($BZ$4="MARZO",G49+M49+S49,IF($BZ$4="ABRIL",G49+M49+S49+Y49,IF($BZ$4="MAYO",G49+M49+S49+Y49+AE49,IF($BZ$4="JUNIO",G49+M49+S49+Y49+AE49+AK49,IF($BZ$4="JULIO",G49+M49+S49+Y49+AE49+AK49+AQ49,IF($BZ$4="AGOSTO",G49+M49+S49+Y49+AE49+AK49+AQ49+AW49,IF($BZ$4="SEPTIEMBRE",G49+M49+S49+Y49+AE49+AK49+AQ49+AW49+BC49,IF($BZ$4="OCTUBRE",G49+M49+S49+Y49+AE49+AK49+AQ49+AW49+BC49+BI49,IF($BZ$4="NOVIEMBRE",G49+M49+S49+Y49+AE49+AK49+AQ49+AW49+BC49+BI49+BO49,IF($BZ$4="DICIEMBRE",G49+M49+S49+Y49+AE49+AK49+AQ49+AW49+BC49+BI49+BO49+BU49,""))))))))))))</f>
        <v>29</v>
      </c>
      <c r="CB49" s="287">
        <f t="shared" ref="CB49:CB54" ca="1" si="171">IFERROR((CA49/BZ49),0)</f>
        <v>1.0740740740740742</v>
      </c>
      <c r="CC49" s="291">
        <f>IFERROR(IF($BZ$4="ENERO",H49,IF($BZ$4="FEBRERO",H49+N49,IF($BZ$4="MARZO",H49+N49+T49,IF($BZ$4="ABRIL",H49+N49+T49+Z49,IF($BZ$4="MAYO",H49+N49+T49+Z49+AF49,IF($BZ$4="JUNIO",H49+N49+T49+Z49+AF49+AL49,IF($BZ$4="JULIO",H49+N49+T49+Z49+AF49+AL49+AR49,IF($BZ$4="AGOSTO",H49+N49+T49+Z49+AF49+AL49+AR49+AX49,IF($BZ$4="SEPTIEMBRE",H49+N49+T49+Z49+AF49+AL49+AR49+AX49+BD49,IF($BZ$4="OCTUBRE",H49+N49+T49+Z49+AF49+AL49+AR49+AX49+BD49+BJ49,IF($BZ$4="NOVIEMBRE",H49+N49+T49+Z49+AF49+AL49+AR49+AX49+BD49+BJ49+BP49,IF($BZ$4="DICIEMBRE",H49+N49+T49+Z49+AF49+AL49+AR49+AX49+BD49+BJ49+BP49+BV49,"")))))))))))),0)</f>
        <v>29</v>
      </c>
      <c r="CD49" s="287">
        <f t="shared" ref="CD49:CD54" ca="1" si="172">IFERROR(IF(CA49=0,"N.D.",CC49/CA49),0)</f>
        <v>1</v>
      </c>
      <c r="CE49" s="24">
        <f t="shared" ref="CE49:CE54" si="173">IFERROR(IF($BZ$4="ENERO",J49,IF($BZ$4="FEBRERO",J49+P49,IF($BZ$4="MARZO",J49+P49+V49,IF($BZ$4="ABRIL",J49+P49+V49+AB49,IF($BZ$4="MAYO",J49+P49+V49+AB49+AH49,IF($BZ$4="JUNIO",J49+P49+V49+AB49+AH49+AN49,IF($BZ$4="JULIO",J49+P49+V49+AB49+AH49+AN49+AT49,IF($BZ$4="AGOSTO",J49+P49+V49+AB49+AH49+AN49+AT49+AZ49,IF($BZ$4="SEPTIEMBRE",J49+P49+V49+AB49+AH49+AN49+AT49+AZ49+BF49,IF($BZ$4="OCTUBRE",J49+P49+V49+AB49+AH49+AN49+AT49+AZ49+BF49+BL49,IF($BZ$4="NOVIEMBRE",J49+P49+V49+AB49+AH49+AN49+AT49+AZ49+BF49+BL49+BR49,IF($BZ$4="DICIEMBRE",J49+P49+V49+AB49+AH49+AN49+AT49+AZ49+BF49+BL49+BR49+BX49,"")))))))))))),0)</f>
        <v>9</v>
      </c>
      <c r="CF49" s="129">
        <f t="shared" ref="CF49:CF54" ca="1" si="174">IFERROR(CE49/BZ49,0)</f>
        <v>0.33333333333333331</v>
      </c>
      <c r="CG49" s="25">
        <f t="shared" ref="CG49:CG54" ca="1" si="175">SUM(F49+L49+R49+X49+AD49+AJ49+AP49+AV49+BB49+BH49+BN49+BT49)</f>
        <v>27</v>
      </c>
      <c r="CH49" s="27">
        <f t="shared" ref="CH49:CH54" ca="1" si="176">SUMIFS($F49:$BW49,$F$6:$BW$6,CH$6,$F$2:$BW$2,$BZ$4)</f>
        <v>29</v>
      </c>
      <c r="CI49" s="287">
        <f t="shared" ref="CI49:CI54" ca="1" si="177">IFERROR((CH49/CG49),0)</f>
        <v>1.0740740740740742</v>
      </c>
      <c r="CJ49" s="291">
        <f t="shared" ref="CJ49:CJ54" si="178">SUMIFS($F49:$BW49,$F$6:$BW$6,CJ$6,$F$2:$BW$2,$BZ$4)</f>
        <v>29</v>
      </c>
      <c r="CK49" s="287">
        <f t="shared" ref="CK49:CK54" ca="1" si="179">IF(CH49=0,"N.D.",CJ49/CH49)</f>
        <v>1</v>
      </c>
      <c r="CL49" s="27">
        <f t="shared" ref="CL49:CL54" si="180">IFERROR(J49+P49+V49+AB49+AH49+AN49+AT49+AZ49+BF49+BL49+BR49+BX49,0)</f>
        <v>9</v>
      </c>
      <c r="CM49" s="129">
        <f t="shared" ref="CM49:CM54" ca="1" si="181">IFERROR(CL49/CG49,0)</f>
        <v>0.33333333333333331</v>
      </c>
      <c r="CN49" s="25">
        <f ca="1">IF($CN$5="Q1",F49+L49+R49,
IF($CN$5="Q2",X49+AD49++AJ49,
IF($CN$5="Q3",AP49+AV49+BB49,
IF($CN$5="Q4",BH49+BN49+BT49,0))))</f>
        <v>13</v>
      </c>
      <c r="CO49" s="27">
        <f ca="1">IF($CN$5="Q1",G49+M49+S49,
IF($CN$5="Q2",Y49+AE49++AK49,
IF($CN$5="Q3",AQ49+AW49+BC49,
IF($CN$5="Q4",BI49+BO49+BU49,0))))</f>
        <v>12</v>
      </c>
      <c r="CP49" s="287">
        <f t="shared" ref="CP49:CP54" ca="1" si="182">IFERROR((CO49/CN49),0)</f>
        <v>0.92307692307692313</v>
      </c>
      <c r="CQ49" s="291">
        <f>IF($CN$5="Q1",H49+N49+T49,
IF($CN$5="Q2",Z49+AF49++AL49,
IF($CN$5="Q3",AR49+AX49+BD49,
IF($CN$5="Q4",BJ49+BP49+BV49,0))))</f>
        <v>12</v>
      </c>
      <c r="CR49" s="287">
        <f t="shared" ref="CR49:CR54" ca="1" si="183">IF(CO49=0,"N.D.",CQ49/CO49)</f>
        <v>1</v>
      </c>
      <c r="CS49" s="27">
        <f t="shared" ref="CS49:CS54" si="184">IF($CZ$5="Q1",J49+P49+V49,
IF($CZ$5="Q2",AB49+AH49+AN49,
IF($CZ$5="Q3",AT49+AZ49+BF49,
IF($CZ$5="Q4",BL49+BR49+BX49,0))))</f>
        <v>0</v>
      </c>
      <c r="CT49" s="129">
        <f t="shared" ref="CT49:CT54" ca="1" si="185">IFERROR(CS49/CN49,0)</f>
        <v>0</v>
      </c>
      <c r="CU49" s="25">
        <f t="shared" ref="CU49:CV54" ca="1" si="186">IF($CU$5="S 1",F49+L49+R49+X49+AD49++AJ49,
IF($CU$5="S 2",AP49+AV49+BB49+BH49+BN49+BT49,0))</f>
        <v>27</v>
      </c>
      <c r="CV49" s="27">
        <f t="shared" ca="1" si="186"/>
        <v>29</v>
      </c>
      <c r="CW49" s="287">
        <f t="shared" ref="CW49:CW54" ca="1" si="187">IFERROR((CV49/CU49),0)</f>
        <v>1.0740740740740742</v>
      </c>
      <c r="CX49" s="27">
        <f t="shared" si="144"/>
        <v>29</v>
      </c>
      <c r="CY49" s="287">
        <f t="shared" ref="CY49:CY54" ca="1" si="188">IF(CV49=0,"N.D.",CX49/CV49)</f>
        <v>1</v>
      </c>
      <c r="CZ49" s="27">
        <f t="shared" ref="CZ49:CZ54" si="189">IFERROR(IF($CU$5="S 1",J49+P49+V49+AB49+AH49+AN49,
IF($CU$5="S 2",AT49+AZ49+BF49+BL49+BR49+BX49,0)),0)</f>
        <v>9</v>
      </c>
      <c r="DA49" s="130">
        <f t="shared" ref="DA49:DA54" ca="1" si="190">IFERROR(CZ49/CU49,0)</f>
        <v>0.33333333333333331</v>
      </c>
      <c r="DB49" s="25">
        <f ca="1">IF($DB$5="S 1",F49+L49+R49+X49+AD49++AJ49,
IF($DB$5="S 2",AP49+AV49+BB49+BH49+BN49+BT49,0))</f>
        <v>0</v>
      </c>
      <c r="DC49" s="27">
        <f ca="1">IF($DB$5="S 1",G49+M49+S49+Y49+AE49++AK49,
IF($DB$5="S 2",AQ49+AW49+BC49+BI49+BO49+BU49,0))</f>
        <v>0</v>
      </c>
      <c r="DD49" s="287">
        <f t="shared" ref="DD49:DD54" ca="1" si="191">IFERROR((DC49/DB49),0)</f>
        <v>0</v>
      </c>
      <c r="DE49" s="27">
        <f>IFERROR(IF($DB$5="S 1",H49+N49+T49+Z49+AF49++AL49,
IF($DB$5="S 2",AR49+AX49+BD49+BJ49+BP49+BV49,0)),0)</f>
        <v>0</v>
      </c>
      <c r="DF49" s="287" t="str">
        <f t="shared" ref="DF49:DF54" ca="1" si="192">IF(DC49=0,"N.D.",DE49/DC49)</f>
        <v>N.D.</v>
      </c>
      <c r="DG49" s="27">
        <f t="shared" ref="DG49:DG54" si="193">IFERROR(IF($DB$5="S 1",J49+P49+V49+AB49+AH49+AN49,
IF($DB$5="S 2",AT49+AZ49+BF49+BL49+BR49+BX49,0)),0)</f>
        <v>0</v>
      </c>
      <c r="DH49" s="130">
        <f t="shared" ref="DH49:DH54" ca="1" si="194">IFERROR(DG49/DB49,0)</f>
        <v>0</v>
      </c>
      <c r="DI49" s="510">
        <v>1</v>
      </c>
      <c r="DJ49" s="369" t="s">
        <v>60</v>
      </c>
      <c r="DK49" s="25">
        <f t="shared" ref="DK49:DL54" ca="1" si="195">IF($BZ$4="ENERO",F49,IF($BZ$4="FEBRERO",F49+L49,IF($BZ$4="MARZO",F49+L49+R49,IF($BZ$4="ABRIL",F49+L49+R49+X49,IF($BZ$4="MAYO",F49+L49+R49+X49+AD49,IF($BZ$4="JUNIO",F49+L49+R49+X49+AD49+AJ49,IF($BZ$4="JULIO",F49+L49+R49+X49+AD49+AJ49+AP49,IF($BZ$4="AGOSTO",F49+L49+R49+X49+AD49+AJ49+AP49+AV49,IF($BZ$4="SEPTIEMBRE",F49+L49+R49+X49+AD49+AJ49+AP49+AV49+BB49,IF($BZ$4="OCTUBRE",F49+L49+R49+X49+AD49+AJ49+AP49+AV49+BB49+BH49,IF($BZ$4="NOVIEMBRE",F49+L49+R49+X49+AD49+AJ49+AP49+AV49+BB49+BH49+BN49,IF($BZ$4="DICIEMBRE",F49+L49+R49+X49+AD49+AJ49+AP49+AV49+BB49+BH49+BN49+BT49,""))))))))))))</f>
        <v>27</v>
      </c>
      <c r="DL49" s="27">
        <f t="shared" ca="1" si="195"/>
        <v>29</v>
      </c>
      <c r="DM49" s="287">
        <f t="shared" ref="DM49:DM54" ca="1" si="196">IFERROR((CA49/BZ49),0)</f>
        <v>1.0740740740740742</v>
      </c>
      <c r="DN49" s="291">
        <f t="shared" si="147"/>
        <v>29</v>
      </c>
      <c r="DO49" s="287">
        <f t="shared" ref="DO49:DO54" ca="1" si="197">IFERROR(IF(CA49=0,"N.D.",CC49/CA49),0)</f>
        <v>1</v>
      </c>
      <c r="DP49" s="27">
        <f t="shared" ref="DP49:DP54" si="198">IFERROR(J49+P49+V49+AB49+AH49+AN49+AT49+AZ49+BF49+BL49+BR49+BX49,0)</f>
        <v>9</v>
      </c>
      <c r="DQ49" s="130">
        <f t="shared" ref="DQ49:DQ54" ca="1" si="199">IFERROR(CE49/BZ49,0)</f>
        <v>0.33333333333333331</v>
      </c>
      <c r="DR49"/>
      <c r="DS49" s="4">
        <f ca="1"/>
        <v>60</v>
      </c>
      <c r="DT49" s="4">
        <f ca="1"/>
        <v>46</v>
      </c>
      <c r="DU49" s="508">
        <f ca="1"/>
        <v>0.79166666666666663</v>
      </c>
      <c r="DW49" s="508">
        <f ca="1"/>
        <v>0.85217391304347823</v>
      </c>
      <c r="DX49" s="4">
        <v>13</v>
      </c>
      <c r="DY49" s="508">
        <f ca="1"/>
        <v>0.15</v>
      </c>
    </row>
    <row r="50" spans="1:129" s="4" customFormat="1" ht="15" customHeight="1" x14ac:dyDescent="0.35">
      <c r="A50" s="4">
        <f>_xlfn.XLOOKUP(B50,'WHOLESALE BMW 2026'!$B$7:$B$67,'WHOLESALE BMW 2026'!$A$7:$A$67)</f>
        <v>8</v>
      </c>
      <c r="B50" s="8">
        <v>100002</v>
      </c>
      <c r="C50" s="369" t="s">
        <v>61</v>
      </c>
      <c r="D50" s="125"/>
      <c r="E50" s="309" t="s">
        <v>96</v>
      </c>
      <c r="F50" s="21">
        <f ca="1">SUMIF('UC BMW 2026'!B48:B124,'UC BMW 2026'!B48,'UC BMW 2026'!F48:F115)</f>
        <v>19</v>
      </c>
      <c r="G50" s="24">
        <f ca="1">SUMIF('UC BMW 2026'!$B$5:$B$77,'UC BMW 2026'!B48,'UC BMW 2026'!$G$5:$G$72)</f>
        <v>18</v>
      </c>
      <c r="H50" s="24">
        <f>IFERROR(VLOOKUP(B50,[2]BPS!$B$10:$O$64,3,0),0)-IF(B50=100873,IFERROR(VLOOKUP("Enero",[2]BPS!$B$74:$C$89,2,0),0),0)</f>
        <v>16</v>
      </c>
      <c r="I50" s="282">
        <f t="shared" ca="1" si="148"/>
        <v>0.88888888888888884</v>
      </c>
      <c r="J50" s="380">
        <f>IFERROR(VLOOKUP(B50,'[2]RETAIL ORIGEN RMKT'!$B$11:$O$62,3,0),0)</f>
        <v>7</v>
      </c>
      <c r="K50" s="127">
        <f t="shared" ca="1" si="149"/>
        <v>0.36842105263157893</v>
      </c>
      <c r="L50" s="21">
        <f ca="1">SUMIF('UC BMW 2026'!$B$5:$B$77,'UC BMW 2026'!$B48,'UC BMW 2026'!$H$5:$H$72)</f>
        <v>19</v>
      </c>
      <c r="M50" s="24">
        <f ca="1">SUMIF('UC BMW 2026'!$B$5:$B$77,'UC BMW 2026'!$B48,'UC BMW 2026'!$I$5:$I$72)</f>
        <v>16</v>
      </c>
      <c r="N50" s="24">
        <f>IFERROR(VLOOKUP(B50,[2]BPS!$B$10:$O$64,4,0),0)-IF(B50=100873,IFERROR(VLOOKUP("Febrero",[2]BPS!$B$74:$C$89,2,0),0),0)</f>
        <v>16</v>
      </c>
      <c r="O50" s="282">
        <f t="shared" ca="1" si="140"/>
        <v>1</v>
      </c>
      <c r="P50" s="380">
        <f>IFERROR(VLOOKUP(B50,'[2]RETAIL ORIGEN RMKT'!$B$11:$O$62,4,0),0)</f>
        <v>4</v>
      </c>
      <c r="Q50" s="127">
        <f t="shared" ca="1" si="150"/>
        <v>0.21052631578947367</v>
      </c>
      <c r="R50" s="21">
        <f ca="1">SUMIF('UC BMW 2026'!$B$5:$B$77,'UC BMW 2026'!$B48,'UC BMW 2026'!$J$5:$J$72)</f>
        <v>19</v>
      </c>
      <c r="S50" s="24">
        <f ca="1">SUMIF('UC BMW 2026'!$B$5:$B$77,'UC BMW 2026'!$B48,'UC BMW 2026'!$K$5:$K$72)</f>
        <v>17</v>
      </c>
      <c r="T50" s="24">
        <f>IFERROR(VLOOKUP(B50,[2]BPS!$B$10:$O$64,5,0),0)-IF(B50=100873,IFERROR(VLOOKUP("Marzo",[2]BPS!$B$74:$C$89,2,0),0),0)</f>
        <v>17</v>
      </c>
      <c r="U50" s="282">
        <f t="shared" ca="1" si="151"/>
        <v>1</v>
      </c>
      <c r="V50" s="380">
        <f>IFERROR(VLOOKUP(B50,'[2]RETAIL ORIGEN RMKT'!$B$11:$O$62,5,0),0)</f>
        <v>5</v>
      </c>
      <c r="W50" s="127">
        <f t="shared" ca="1" si="152"/>
        <v>0.26315789473684209</v>
      </c>
      <c r="X50" s="21">
        <f ca="1">SUMIF('UC BMW 2026'!$B$5:$B$77,'UC BMW 2026'!$B48,'UC BMW 2026'!$L$5:$L$72)</f>
        <v>19</v>
      </c>
      <c r="Y50" s="24">
        <f ca="1">SUMIF('UC BMW 2026'!$B$5:$B$77,'UC BMW 2026'!$B48,'UC BMW 2026'!$M$5:$M$72)</f>
        <v>16</v>
      </c>
      <c r="Z50" s="24">
        <f>IFERROR(VLOOKUP(B50,[2]BPS!$B$10:$O$64,6,0),0)-IF(B50=100873,IFERROR(VLOOKUP("Abril",[2]BPS!$B$74:$C$89,2,0),0),0)</f>
        <v>16</v>
      </c>
      <c r="AA50" s="282">
        <f t="shared" ca="1" si="153"/>
        <v>1</v>
      </c>
      <c r="AB50" s="380">
        <f>IFERROR(VLOOKUP(B50,'[2]RETAIL ORIGEN RMKT'!$B$11:$O$62,6,0),0)</f>
        <v>8</v>
      </c>
      <c r="AC50" s="127">
        <f t="shared" ca="1" si="154"/>
        <v>0.42105263157894735</v>
      </c>
      <c r="AD50" s="21">
        <f ca="1">SUMIF('UC BMW 2026'!$B$5:$B$77,'UC BMW 2026'!$B48,'UC BMW 2026'!$N$5:$N$72)</f>
        <v>19</v>
      </c>
      <c r="AE50" s="24">
        <f ca="1">SUMIF('UC BMW 2026'!$B$5:$B$77,'UC BMW 2026'!$B48,'UC BMW 2026'!$O$5:$O$72)</f>
        <v>12</v>
      </c>
      <c r="AF50" s="24">
        <f>IFERROR(VLOOKUP(B50,[2]BPS!$B$10:$O$64,7,0),0)-IF(B50=100873,IFERROR(VLOOKUP("Mayo",[2]BPS!$B$74:$C$89,2,0),0),0)</f>
        <v>12</v>
      </c>
      <c r="AG50" s="282">
        <f t="shared" ca="1" si="155"/>
        <v>1</v>
      </c>
      <c r="AH50" s="380">
        <f>IFERROR(VLOOKUP(B50,'[2]RETAIL ORIGEN RMKT'!$B$11:$O$62,7,0),0)</f>
        <v>4</v>
      </c>
      <c r="AI50" s="127">
        <f t="shared" ca="1" si="156"/>
        <v>0.21052631578947367</v>
      </c>
      <c r="AJ50" s="21">
        <f ca="1">SUMIF('UC BMW 2026'!$B$5:$B$77,'UC BMW 2026'!$B48,'UC BMW 2026'!$P$5:$P$72)</f>
        <v>20</v>
      </c>
      <c r="AK50" s="24">
        <f ca="1">SUMIF('UC BMW 2026'!$B$5:$B$77,'UC BMW 2026'!$B48,'UC BMW 2026'!$Q$5:$Q$72)</f>
        <v>17</v>
      </c>
      <c r="AL50" s="24">
        <f>IFERROR(VLOOKUP(B50,[2]BPS!$B$10:$O$64,8,0),0)-IF(B50=100873,IFERROR(VLOOKUP("Junio",[2]BPS!$B$74:$C$89,2,0),0),0)</f>
        <v>17</v>
      </c>
      <c r="AM50" s="282">
        <f t="shared" ca="1" si="157"/>
        <v>1</v>
      </c>
      <c r="AN50" s="380">
        <f>IFERROR(VLOOKUP(B50,'[2]RETAIL ORIGEN RMKT'!$B$11:$O$62,8,0),0)</f>
        <v>8</v>
      </c>
      <c r="AO50" s="127">
        <f t="shared" ca="1" si="158"/>
        <v>0.4</v>
      </c>
      <c r="AP50" s="21">
        <f ca="1">SUMIF('UC BMW 2026'!$B$5:$B$77,'UC BMW 2026'!$B48,'UC BMW 2026'!$R$5:$R$72)</f>
        <v>0</v>
      </c>
      <c r="AQ50" s="24">
        <f ca="1">SUMIF('UC BMW 2026'!$B$5:$B$77,'UC BMW 2026'!$B48,'UC BMW 2026'!$S$5:$S$72)</f>
        <v>0</v>
      </c>
      <c r="AR50" s="24">
        <f>IFERROR(VLOOKUP(B50,[2]BPS!$B$10:$O$64,9,0),0)-IF(B50=100873,IFERROR(VLOOKUP("Julio",[2]BPS!$B$74:$C$89,2,0),0),0)</f>
        <v>0</v>
      </c>
      <c r="AS50" s="282">
        <f t="shared" ca="1" si="159"/>
        <v>0</v>
      </c>
      <c r="AT50" s="380">
        <f>IFERROR(VLOOKUP(B50,'[2]RETAIL ORIGEN RMKT'!$B$11:$O$62,9,0),0)</f>
        <v>0</v>
      </c>
      <c r="AU50" s="127">
        <f t="shared" ca="1" si="160"/>
        <v>0</v>
      </c>
      <c r="AV50" s="21">
        <f ca="1">SUMIF('UC BMW 2026'!$B$5:$B$77,'UC BMW 2026'!$B48,'UC BMW 2026'!$T$5:$T$72)</f>
        <v>0</v>
      </c>
      <c r="AW50" s="24">
        <f ca="1">SUMIF('UC BMW 2026'!$B$5:$B$77,'UC BMW 2026'!$B48,'UC BMW 2026'!$U$5:$U$72)</f>
        <v>0</v>
      </c>
      <c r="AX50" s="24">
        <f>IFERROR(VLOOKUP(B50,[2]BPS!$B$10:$O$64,10,0),0)-IF(B50=100873,IFERROR(VLOOKUP("Agosto",[2]BPS!$B$74:$C$89,2,0),0),0)</f>
        <v>0</v>
      </c>
      <c r="AY50" s="282">
        <f t="shared" ca="1" si="161"/>
        <v>0</v>
      </c>
      <c r="AZ50" s="380">
        <f>IFERROR(VLOOKUP(B50,'[2]RETAIL ORIGEN RMKT'!$B$11:$O$62,10,0),0)</f>
        <v>0</v>
      </c>
      <c r="BA50" s="127">
        <f t="shared" ca="1" si="162"/>
        <v>0</v>
      </c>
      <c r="BB50" s="21">
        <f ca="1">SUMIF('UC BMW 2026'!$B$5:$B$77,'UC BMW 2026'!$B48,'UC BMW 2026'!$V$5:$V$72)</f>
        <v>0</v>
      </c>
      <c r="BC50" s="24">
        <f>SUMIF('UC BMW 2026'!$B$5:$B$77,'UC BMW 2026'!$B48,'UC BMW 2026'!$W$5:$W$77)</f>
        <v>0</v>
      </c>
      <c r="BD50" s="24">
        <f>IFERROR(VLOOKUP(B50,[2]BPS!$B$10:$O$64,11,0),0)-IF(B50=100873,IFERROR(VLOOKUP("Septiembre",[2]BPS!$B$74:$C$89,2,0),0),0)</f>
        <v>0</v>
      </c>
      <c r="BE50" s="282">
        <f t="shared" si="163"/>
        <v>0</v>
      </c>
      <c r="BF50" s="380">
        <f>IFERROR(VLOOKUP(B50,'[2]RETAIL ORIGEN RMKT'!$B$11:$O$62,11,0),0)</f>
        <v>0</v>
      </c>
      <c r="BG50" s="127">
        <f t="shared" ca="1" si="164"/>
        <v>0</v>
      </c>
      <c r="BH50" s="21">
        <f>SUMIF('UC BMW 2026'!$B$5:$B$77,'UC BMW 2026'!$B48,'UC BMW 2026'!$X$5:$X$77)</f>
        <v>0</v>
      </c>
      <c r="BI50" s="24">
        <f>SUMIF('UC BMW 2026'!$B$5:$B$77,'UC BMW 2026'!$B48,'UC BMW 2026'!$Y$5:$Y$77)</f>
        <v>0</v>
      </c>
      <c r="BJ50" s="24">
        <f>IFERROR(VLOOKUP(B50,[2]BPS!$B$10:$O$64,12,0),0)-IF(B50=100873,IFERROR(VLOOKUP("Octubre",[2]BPS!$B$74:$C$89,2,0),0),0)</f>
        <v>0</v>
      </c>
      <c r="BK50" s="282">
        <f t="shared" si="165"/>
        <v>0</v>
      </c>
      <c r="BL50" s="380">
        <f>IFERROR(VLOOKUP(B50,'[2]RETAIL ORIGEN RMKT'!$B$11:$O$62,12,0),0)</f>
        <v>0</v>
      </c>
      <c r="BM50" s="127">
        <f t="shared" si="166"/>
        <v>0</v>
      </c>
      <c r="BN50" s="21">
        <f>SUMIF('UC BMW 2026'!$B$5:$B$77,'UC BMW 2026'!$B48,'UC BMW 2026'!$Z$5:$Z$77)</f>
        <v>0</v>
      </c>
      <c r="BO50" s="24">
        <f>SUMIF('UC BMW 2026'!$B$5:$B$77,'UC BMW 2026'!$B48,'UC BMW 2026'!$AA$5:$AA$77)</f>
        <v>0</v>
      </c>
      <c r="BP50" s="24">
        <f>IFERROR(VLOOKUP(B50,[2]BPS!$B$10:$O$64,13,0),0)-IF(B50=100873,IFERROR(VLOOKUP("Noviembre",[2]BPS!$B$74:$C$89,2,0),0),0)</f>
        <v>0</v>
      </c>
      <c r="BQ50" s="282">
        <f t="shared" si="167"/>
        <v>0</v>
      </c>
      <c r="BR50" s="380">
        <f>IFERROR(VLOOKUP(B50,'[2]RETAIL ORIGEN RMKT'!$B$11:$O$62,13,0),0)</f>
        <v>0</v>
      </c>
      <c r="BS50" s="127">
        <f t="shared" si="168"/>
        <v>0</v>
      </c>
      <c r="BT50" s="21">
        <f>SUMIF('UC BMW 2026'!$B$5:$B$77,'UC BMW 2026'!$B48,'UC BMW 2026'!$AB$5:$AB$77)</f>
        <v>0</v>
      </c>
      <c r="BU50" s="24">
        <f>SUMIF('UC BMW 2026'!$B$5:$B$77,'UC BMW 2026'!$B48,'UC BMW 2026'!$AC$5:$AC$77)</f>
        <v>0</v>
      </c>
      <c r="BV50" s="24">
        <f>IFERROR(VLOOKUP(B50,[2]BPS!$B$10:$O$64,13,0),0)-IF(B50=100873,IFERROR(VLOOKUP("Diciembre",[2]BPS!$B$74:$C$89,2,0),0),0)</f>
        <v>0</v>
      </c>
      <c r="BW50" s="282">
        <f t="shared" si="169"/>
        <v>0</v>
      </c>
      <c r="BX50" s="380">
        <f>IFERROR(VLOOKUP(B50,'[2]RETAIL ORIGEN RMKT'!$B$11:$O$62,14,0),0)</f>
        <v>0</v>
      </c>
      <c r="BY50" s="127">
        <f t="shared" si="170"/>
        <v>0</v>
      </c>
      <c r="BZ50" s="25">
        <f t="shared" ref="BZ50:CA54" ca="1" si="200">IF($BZ$4="ENERO",F50,IF($BZ$4="FEBRERO",F50+L50,IF($BZ$4="MARZO",F50+L50+R50,IF($BZ$4="ABRIL",F50+L50+R50+X50,IF($BZ$4="MAYO",F50+L50+R50+X50+AD50,IF($BZ$4="JUNIO",F50+L50+R50+X50+AD50+AJ50,IF($BZ$4="JULIO",F50+L50+R50+X50+AD50+AJ50+AP50,IF($BZ$4="AGOSTO",F50+L50+R50+X50+AD50+AJ50+AP50+AV50,IF($BZ$4="SEPTIEMBRE",F50+L50+R50+X50+AD50+AJ50+AP50+AV50+BB50,IF($BZ$4="OCTUBRE",F50+L50+R50+X50+AD50+AJ50+AP50+AV50+BB50+BH50,IF($BZ$4="NOVIEMBRE",F50+L50+R50+X50+AD50+AJ50+AP50+AV50+BB50+BH50+BN50,IF($BZ$4="DICIEMBRE",F50+L50+R50+X50+AD50+AJ50+AP50+AV50+BB50+BH50+BN50+BT50,""))))))))))))</f>
        <v>115</v>
      </c>
      <c r="CA50" s="27">
        <f t="shared" ca="1" si="200"/>
        <v>96</v>
      </c>
      <c r="CB50" s="287">
        <f t="shared" ca="1" si="171"/>
        <v>0.83478260869565213</v>
      </c>
      <c r="CC50" s="294">
        <f>IFERROR(IF($BZ$4="ENERO",H50,IF($BZ$4="FEBRERO",H50+N50,IF($BZ$4="MARZO",H50+N50+T50,IF($BZ$4="ABRIL",H50+N50+T50+Z50,IF($BZ$4="MAYO",H50+N50+T50+Z50+AF50,IF($BZ$4="JUNIO",H50+N50+T50+Z50+AF50+AL50,IF($BZ$4="JULIO",H50+N50+T50+Z50+AF50+AL50+AR50,IF($BZ$4="AGOSTO",H50+N50+T50+Z50+AF50+AL50+AR50+AX50,IF($BZ$4="SEPTIEMBRE",H50+N50+T50+Z50+AF50+AL50+AR50+AX50+BD50,IF($BZ$4="OCTUBRE",H50+N50+T50+Z50+AF50+AL50+AR50+AX50+BD50+BJ50,IF($BZ$4="NOVIEMBRE",H50+N50+T50+Z50+AF50+AL50+AR50+AX50+BD50+BJ50+BP50,IF($BZ$4="DICIEMBRE",H50+N50+T50+Z50+AF50+AL50+AR50+AX50+BD50+BJ50+BP50+BV50,"")))))))))))),0)</f>
        <v>94</v>
      </c>
      <c r="CD50" s="287">
        <f t="shared" ca="1" si="172"/>
        <v>0.97916666666666663</v>
      </c>
      <c r="CE50" s="24">
        <f t="shared" si="173"/>
        <v>36</v>
      </c>
      <c r="CF50" s="129">
        <f t="shared" ca="1" si="174"/>
        <v>0.31304347826086959</v>
      </c>
      <c r="CG50" s="25">
        <f t="shared" ca="1" si="175"/>
        <v>115</v>
      </c>
      <c r="CH50" s="27">
        <f t="shared" ca="1" si="176"/>
        <v>96</v>
      </c>
      <c r="CI50" s="287">
        <f t="shared" ca="1" si="177"/>
        <v>0.83478260869565213</v>
      </c>
      <c r="CJ50" s="294">
        <f t="shared" si="178"/>
        <v>94</v>
      </c>
      <c r="CK50" s="287">
        <f t="shared" ca="1" si="179"/>
        <v>0.97916666666666663</v>
      </c>
      <c r="CL50" s="27">
        <f t="shared" si="180"/>
        <v>36</v>
      </c>
      <c r="CM50" s="129">
        <f t="shared" ca="1" si="181"/>
        <v>0.31304347826086959</v>
      </c>
      <c r="CN50" s="25">
        <f t="shared" ref="CN50:CO54" ca="1" si="201">IF($CN$5="Q1",F50+L50+R50,
IF($CN$5="Q2",X50+AD50++AJ50,
IF($CN$5="Q3",AP50+AV50+BB50,
IF($CN$5="Q4",BH50+BN50+BT50,0))))</f>
        <v>57</v>
      </c>
      <c r="CO50" s="27">
        <f t="shared" ca="1" si="201"/>
        <v>51</v>
      </c>
      <c r="CP50" s="287">
        <f t="shared" ca="1" si="182"/>
        <v>0.89473684210526316</v>
      </c>
      <c r="CQ50" s="294">
        <f>IF($CN$5="Q1",H50+N50+T50,
IF($CN$5="Q2",Z50+AF50++AL50,
IF($CN$5="Q3",AR50+AX50+BD50,
IF($CN$5="Q4",BJ50+BP50+BV50,0))))</f>
        <v>49</v>
      </c>
      <c r="CR50" s="287">
        <f t="shared" ca="1" si="183"/>
        <v>0.96078431372549022</v>
      </c>
      <c r="CS50" s="27">
        <f t="shared" si="184"/>
        <v>0</v>
      </c>
      <c r="CT50" s="129">
        <f t="shared" ca="1" si="185"/>
        <v>0</v>
      </c>
      <c r="CU50" s="25">
        <f t="shared" ca="1" si="186"/>
        <v>115</v>
      </c>
      <c r="CV50" s="27">
        <f t="shared" ca="1" si="186"/>
        <v>96</v>
      </c>
      <c r="CW50" s="287">
        <f t="shared" ca="1" si="187"/>
        <v>0.83478260869565213</v>
      </c>
      <c r="CX50" s="27">
        <f t="shared" si="144"/>
        <v>94</v>
      </c>
      <c r="CY50" s="287">
        <f t="shared" ca="1" si="188"/>
        <v>0.97916666666666663</v>
      </c>
      <c r="CZ50" s="27">
        <f t="shared" si="189"/>
        <v>36</v>
      </c>
      <c r="DA50" s="130">
        <f t="shared" ca="1" si="190"/>
        <v>0.31304347826086959</v>
      </c>
      <c r="DB50" s="25">
        <f t="shared" ref="DB50:DC54" ca="1" si="202">IF($DB$5="S 1",F50+L50+R50+X50+AD50++AJ50,
IF($DB$5="S 2",AP50+AV50+BB50+BH50+BN50+BT50,0))</f>
        <v>0</v>
      </c>
      <c r="DC50" s="27">
        <f t="shared" ca="1" si="202"/>
        <v>0</v>
      </c>
      <c r="DD50" s="287">
        <f t="shared" ca="1" si="191"/>
        <v>0</v>
      </c>
      <c r="DE50" s="27">
        <f>IFERROR(IF($DB$5="S 1",H50+N50+T50+Z50+AF50++AL50,
IF($DB$5="S 2",AR50+AX50+BD50+BJ50+BP50+BV50,0)),0)</f>
        <v>0</v>
      </c>
      <c r="DF50" s="287" t="str">
        <f t="shared" ca="1" si="192"/>
        <v>N.D.</v>
      </c>
      <c r="DG50" s="27">
        <f t="shared" si="193"/>
        <v>0</v>
      </c>
      <c r="DH50" s="130">
        <f t="shared" ca="1" si="194"/>
        <v>0</v>
      </c>
      <c r="DI50" s="510">
        <v>1</v>
      </c>
      <c r="DJ50" s="369" t="s">
        <v>61</v>
      </c>
      <c r="DK50" s="25">
        <f t="shared" ca="1" si="195"/>
        <v>115</v>
      </c>
      <c r="DL50" s="27">
        <f t="shared" ca="1" si="195"/>
        <v>96</v>
      </c>
      <c r="DM50" s="287">
        <f t="shared" ca="1" si="196"/>
        <v>0.83478260869565213</v>
      </c>
      <c r="DN50" s="294">
        <f t="shared" si="147"/>
        <v>94</v>
      </c>
      <c r="DO50" s="287">
        <f t="shared" ca="1" si="197"/>
        <v>0.97916666666666663</v>
      </c>
      <c r="DP50" s="27">
        <f t="shared" si="198"/>
        <v>36</v>
      </c>
      <c r="DQ50" s="130">
        <f t="shared" ca="1" si="199"/>
        <v>0.31304347826086959</v>
      </c>
      <c r="DR50"/>
      <c r="DS50" s="4">
        <f ca="1"/>
        <v>60</v>
      </c>
      <c r="DT50" s="4">
        <f ca="1"/>
        <v>45</v>
      </c>
      <c r="DU50" s="508">
        <f ca="1"/>
        <v>0.76190476190476186</v>
      </c>
      <c r="DW50" s="508">
        <f ca="1"/>
        <v>0.82835820895522383</v>
      </c>
      <c r="DX50" s="4">
        <v>9</v>
      </c>
      <c r="DY50" s="508">
        <f ca="1"/>
        <v>0.14880952380952381</v>
      </c>
    </row>
    <row r="51" spans="1:129" s="4" customFormat="1" ht="15" customHeight="1" x14ac:dyDescent="0.35">
      <c r="A51" s="4">
        <f>_xlfn.XLOOKUP(B51,'WHOLESALE BMW 2026'!$B$7:$B$67,'WHOLESALE BMW 2026'!$A$7:$A$67)</f>
        <v>8</v>
      </c>
      <c r="B51" s="8">
        <v>100062</v>
      </c>
      <c r="C51" s="369" t="s">
        <v>62</v>
      </c>
      <c r="D51" s="125"/>
      <c r="E51" s="309" t="s">
        <v>97</v>
      </c>
      <c r="F51" s="21">
        <f ca="1">SUMIF('UC BMW 2026'!B49:B125,'UC BMW 2026'!B49,'UC BMW 2026'!F49:F116)</f>
        <v>39</v>
      </c>
      <c r="G51" s="24">
        <f ca="1">SUMIF('UC BMW 2026'!$B$5:$B$77,'UC BMW 2026'!B49,'UC BMW 2026'!$G$5:$G$72)</f>
        <v>19</v>
      </c>
      <c r="H51" s="24">
        <f>IFERROR(VLOOKUP(B51,[2]BPS!$B$10:$O$64,3,0),0)-IF(B51=100873,IFERROR(VLOOKUP("Enero",[2]BPS!$B$74:$C$89,2,0),0),0)</f>
        <v>19</v>
      </c>
      <c r="I51" s="282">
        <f t="shared" ca="1" si="148"/>
        <v>1</v>
      </c>
      <c r="J51" s="380">
        <f>IFERROR(VLOOKUP(B51,'[2]RETAIL ORIGEN RMKT'!$B$11:$O$62,3,0),0)</f>
        <v>0</v>
      </c>
      <c r="K51" s="127">
        <f t="shared" ca="1" si="149"/>
        <v>0</v>
      </c>
      <c r="L51" s="21">
        <f ca="1">SUMIF('UC BMW 2026'!$B$5:$B$77,'UC BMW 2026'!$B49,'UC BMW 2026'!$H$5:$H$72)</f>
        <v>39</v>
      </c>
      <c r="M51" s="24">
        <f ca="1">SUMIF('UC BMW 2026'!$B$5:$B$77,'UC BMW 2026'!$B49,'UC BMW 2026'!$I$5:$I$72)</f>
        <v>26</v>
      </c>
      <c r="N51" s="24">
        <f>IFERROR(VLOOKUP(B51,[2]BPS!$B$10:$O$64,4,0),0)-IF(B51=100873,IFERROR(VLOOKUP("Febrero",[2]BPS!$B$74:$C$89,2,0),0),0)</f>
        <v>21</v>
      </c>
      <c r="O51" s="282">
        <f t="shared" ca="1" si="140"/>
        <v>0.80769230769230771</v>
      </c>
      <c r="P51" s="380">
        <f>IFERROR(VLOOKUP(B51,'[2]RETAIL ORIGEN RMKT'!$B$11:$O$62,4,0),0)</f>
        <v>5</v>
      </c>
      <c r="Q51" s="127">
        <f t="shared" ca="1" si="150"/>
        <v>0.12820512820512819</v>
      </c>
      <c r="R51" s="21">
        <f ca="1">SUMIF('UC BMW 2026'!$B$5:$B$77,'UC BMW 2026'!$B49,'UC BMW 2026'!$J$5:$J$72)</f>
        <v>39</v>
      </c>
      <c r="S51" s="24">
        <f ca="1">SUMIF('UC BMW 2026'!$B$5:$B$77,'UC BMW 2026'!$B49,'UC BMW 2026'!$K$5:$K$72)</f>
        <v>41</v>
      </c>
      <c r="T51" s="24">
        <f>IFERROR(VLOOKUP(B51,[2]BPS!$B$10:$O$64,5,0),0)-IF(B51=100873,IFERROR(VLOOKUP("Marzo",[2]BPS!$B$74:$C$89,2,0),0),0)</f>
        <v>34</v>
      </c>
      <c r="U51" s="282">
        <f t="shared" ca="1" si="151"/>
        <v>0.82926829268292679</v>
      </c>
      <c r="V51" s="380">
        <f>IFERROR(VLOOKUP(B51,'[2]RETAIL ORIGEN RMKT'!$B$11:$O$62,5,0),0)</f>
        <v>14</v>
      </c>
      <c r="W51" s="127">
        <f t="shared" ca="1" si="152"/>
        <v>0.35897435897435898</v>
      </c>
      <c r="X51" s="21">
        <f ca="1">SUMIF('UC BMW 2026'!$B$5:$B$77,'UC BMW 2026'!$B49,'UC BMW 2026'!$L$5:$L$72)</f>
        <v>39</v>
      </c>
      <c r="Y51" s="24">
        <f ca="1">SUMIF('UC BMW 2026'!$B$5:$B$77,'UC BMW 2026'!$B49,'UC BMW 2026'!$M$5:$M$72)</f>
        <v>30</v>
      </c>
      <c r="Z51" s="24">
        <f>IFERROR(VLOOKUP(B51,[2]BPS!$B$10:$O$64,6,0),0)-IF(B51=100873,IFERROR(VLOOKUP("Abril",[2]BPS!$B$74:$C$89,2,0),0),0)</f>
        <v>30</v>
      </c>
      <c r="AA51" s="282">
        <f t="shared" ca="1" si="153"/>
        <v>1</v>
      </c>
      <c r="AB51" s="380">
        <f>IFERROR(VLOOKUP(B51,'[2]RETAIL ORIGEN RMKT'!$B$11:$O$62,6,0),0)</f>
        <v>10</v>
      </c>
      <c r="AC51" s="127">
        <f t="shared" ca="1" si="154"/>
        <v>0.25641025641025639</v>
      </c>
      <c r="AD51" s="21">
        <f ca="1">SUMIF('UC BMW 2026'!$B$5:$B$77,'UC BMW 2026'!$B49,'UC BMW 2026'!$N$5:$N$72)</f>
        <v>39</v>
      </c>
      <c r="AE51" s="24">
        <f ca="1">SUMIF('UC BMW 2026'!$B$5:$B$77,'UC BMW 2026'!$B49,'UC BMW 2026'!$O$5:$O$72)</f>
        <v>37</v>
      </c>
      <c r="AF51" s="24">
        <f>IFERROR(VLOOKUP(B51,[2]BPS!$B$10:$O$64,7,0),0)-IF(B51=100873,IFERROR(VLOOKUP("Mayo",[2]BPS!$B$74:$C$89,2,0),0),0)</f>
        <v>34</v>
      </c>
      <c r="AG51" s="282">
        <f t="shared" ca="1" si="155"/>
        <v>0.91891891891891897</v>
      </c>
      <c r="AH51" s="380">
        <f>IFERROR(VLOOKUP(B51,'[2]RETAIL ORIGEN RMKT'!$B$11:$O$62,7,0),0)</f>
        <v>10</v>
      </c>
      <c r="AI51" s="127">
        <f t="shared" ca="1" si="156"/>
        <v>0.25641025641025639</v>
      </c>
      <c r="AJ51" s="21">
        <f ca="1">SUMIF('UC BMW 2026'!$B$5:$B$77,'UC BMW 2026'!$B49,'UC BMW 2026'!$P$5:$P$72)</f>
        <v>39</v>
      </c>
      <c r="AK51" s="24">
        <f ca="1">SUMIF('UC BMW 2026'!$B$5:$B$77,'UC BMW 2026'!$B49,'UC BMW 2026'!$Q$5:$Q$72)</f>
        <v>84</v>
      </c>
      <c r="AL51" s="24">
        <f>IFERROR(VLOOKUP(B51,[2]BPS!$B$10:$O$64,8,0),0)-IF(B51=100873,IFERROR(VLOOKUP("Junio",[2]BPS!$B$74:$C$89,2,0),0),0)</f>
        <v>76</v>
      </c>
      <c r="AM51" s="282">
        <f t="shared" ca="1" si="157"/>
        <v>0.90476190476190477</v>
      </c>
      <c r="AN51" s="380">
        <f>IFERROR(VLOOKUP(B51,'[2]RETAIL ORIGEN RMKT'!$B$11:$O$62,8,0),0)</f>
        <v>29</v>
      </c>
      <c r="AO51" s="127">
        <f t="shared" ca="1" si="158"/>
        <v>0.74358974358974361</v>
      </c>
      <c r="AP51" s="21">
        <f ca="1">SUMIF('UC BMW 2026'!$B$5:$B$77,'UC BMW 2026'!$B49,'UC BMW 2026'!$R$5:$R$72)</f>
        <v>0</v>
      </c>
      <c r="AQ51" s="24">
        <f ca="1">SUMIF('UC BMW 2026'!$B$5:$B$77,'UC BMW 2026'!$B49,'UC BMW 2026'!$S$5:$S$72)</f>
        <v>0</v>
      </c>
      <c r="AR51" s="24">
        <f>IFERROR(VLOOKUP(B51,[2]BPS!$B$10:$O$64,9,0),0)-IF(B51=100873,IFERROR(VLOOKUP("Julio",[2]BPS!$B$74:$C$89,2,0),0),0)</f>
        <v>0</v>
      </c>
      <c r="AS51" s="282">
        <f t="shared" ca="1" si="159"/>
        <v>0</v>
      </c>
      <c r="AT51" s="380">
        <f>IFERROR(VLOOKUP(B51,'[2]RETAIL ORIGEN RMKT'!$B$11:$O$62,9,0),0)</f>
        <v>0</v>
      </c>
      <c r="AU51" s="127">
        <f t="shared" ca="1" si="160"/>
        <v>0</v>
      </c>
      <c r="AV51" s="21">
        <f ca="1">SUMIF('UC BMW 2026'!$B$5:$B$77,'UC BMW 2026'!$B49,'UC BMW 2026'!$T$5:$T$72)</f>
        <v>0</v>
      </c>
      <c r="AW51" s="24">
        <f ca="1">SUMIF('UC BMW 2026'!$B$5:$B$77,'UC BMW 2026'!$B49,'UC BMW 2026'!$U$5:$U$72)</f>
        <v>0</v>
      </c>
      <c r="AX51" s="24">
        <f>IFERROR(VLOOKUP(B51,[2]BPS!$B$10:$O$64,10,0),0)-IF(B51=100873,IFERROR(VLOOKUP("Agosto",[2]BPS!$B$74:$C$89,2,0),0),0)</f>
        <v>0</v>
      </c>
      <c r="AY51" s="282">
        <f t="shared" ca="1" si="161"/>
        <v>0</v>
      </c>
      <c r="AZ51" s="380">
        <f>IFERROR(VLOOKUP(B51,'[2]RETAIL ORIGEN RMKT'!$B$11:$O$62,10,0),0)</f>
        <v>0</v>
      </c>
      <c r="BA51" s="127">
        <f t="shared" ca="1" si="162"/>
        <v>0</v>
      </c>
      <c r="BB51" s="21">
        <f ca="1">SUMIF('UC BMW 2026'!$B$5:$B$77,'UC BMW 2026'!$B49,'UC BMW 2026'!$V$5:$V$72)</f>
        <v>0</v>
      </c>
      <c r="BC51" s="24">
        <f>SUMIF('UC BMW 2026'!$B$5:$B$77,'UC BMW 2026'!$B49,'UC BMW 2026'!$W$5:$W$77)</f>
        <v>0</v>
      </c>
      <c r="BD51" s="24">
        <f>IFERROR(VLOOKUP(B51,[2]BPS!$B$10:$O$64,11,0),0)-IF(B51=100873,IFERROR(VLOOKUP("Septiembre",[2]BPS!$B$74:$C$89,2,0),0),0)</f>
        <v>0</v>
      </c>
      <c r="BE51" s="282">
        <f t="shared" si="163"/>
        <v>0</v>
      </c>
      <c r="BF51" s="380">
        <f>IFERROR(VLOOKUP(B51,'[2]RETAIL ORIGEN RMKT'!$B$11:$O$62,11,0),0)</f>
        <v>0</v>
      </c>
      <c r="BG51" s="127">
        <f t="shared" ca="1" si="164"/>
        <v>0</v>
      </c>
      <c r="BH51" s="21">
        <f>SUMIF('UC BMW 2026'!$B$5:$B$77,'UC BMW 2026'!$B49,'UC BMW 2026'!$X$5:$X$77)</f>
        <v>0</v>
      </c>
      <c r="BI51" s="24">
        <f>SUMIF('UC BMW 2026'!$B$5:$B$77,'UC BMW 2026'!$B49,'UC BMW 2026'!$Y$5:$Y$77)</f>
        <v>0</v>
      </c>
      <c r="BJ51" s="24">
        <f>IFERROR(VLOOKUP(B51,[2]BPS!$B$10:$O$64,12,0),0)-IF(B51=100873,IFERROR(VLOOKUP("Octubre",[2]BPS!$B$74:$C$89,2,0),0),0)</f>
        <v>0</v>
      </c>
      <c r="BK51" s="282">
        <f t="shared" si="165"/>
        <v>0</v>
      </c>
      <c r="BL51" s="380">
        <f>IFERROR(VLOOKUP(B51,'[2]RETAIL ORIGEN RMKT'!$B$11:$O$62,12,0),0)</f>
        <v>0</v>
      </c>
      <c r="BM51" s="127">
        <f t="shared" si="166"/>
        <v>0</v>
      </c>
      <c r="BN51" s="21">
        <f>SUMIF('UC BMW 2026'!$B$5:$B$77,'UC BMW 2026'!$B49,'UC BMW 2026'!$Z$5:$Z$77)</f>
        <v>0</v>
      </c>
      <c r="BO51" s="24">
        <f>SUMIF('UC BMW 2026'!$B$5:$B$77,'UC BMW 2026'!$B49,'UC BMW 2026'!$AA$5:$AA$77)</f>
        <v>0</v>
      </c>
      <c r="BP51" s="24">
        <f>IFERROR(VLOOKUP(B51,[2]BPS!$B$10:$O$64,13,0),0)-IF(B51=100873,IFERROR(VLOOKUP("Noviembre",[2]BPS!$B$74:$C$89,2,0),0),0)</f>
        <v>0</v>
      </c>
      <c r="BQ51" s="282">
        <f t="shared" si="167"/>
        <v>0</v>
      </c>
      <c r="BR51" s="380">
        <f>IFERROR(VLOOKUP(B51,'[2]RETAIL ORIGEN RMKT'!$B$11:$O$62,13,0),0)</f>
        <v>0</v>
      </c>
      <c r="BS51" s="127">
        <f t="shared" si="168"/>
        <v>0</v>
      </c>
      <c r="BT51" s="21">
        <f>SUMIF('UC BMW 2026'!$B$5:$B$77,'UC BMW 2026'!$B49,'UC BMW 2026'!$AB$5:$AB$77)</f>
        <v>0</v>
      </c>
      <c r="BU51" s="24">
        <f>SUMIF('UC BMW 2026'!$B$5:$B$77,'UC BMW 2026'!$B49,'UC BMW 2026'!$AC$5:$AC$77)</f>
        <v>0</v>
      </c>
      <c r="BV51" s="24">
        <f>IFERROR(VLOOKUP(B51,[2]BPS!$B$10:$O$64,13,0),0)-IF(B51=100873,IFERROR(VLOOKUP("Diciembre",[2]BPS!$B$74:$C$89,2,0),0),0)</f>
        <v>0</v>
      </c>
      <c r="BW51" s="282">
        <f t="shared" si="169"/>
        <v>0</v>
      </c>
      <c r="BX51" s="380">
        <f>IFERROR(VLOOKUP(B51,'[2]RETAIL ORIGEN RMKT'!$B$11:$O$62,14,0),0)</f>
        <v>0</v>
      </c>
      <c r="BY51" s="127">
        <f t="shared" si="170"/>
        <v>0</v>
      </c>
      <c r="BZ51" s="25">
        <f t="shared" ca="1" si="200"/>
        <v>234</v>
      </c>
      <c r="CA51" s="27">
        <f t="shared" ca="1" si="200"/>
        <v>237</v>
      </c>
      <c r="CB51" s="287">
        <f t="shared" ca="1" si="171"/>
        <v>1.0128205128205128</v>
      </c>
      <c r="CC51" s="294">
        <f>IFERROR(IF($BZ$4="ENERO",H51,IF($BZ$4="FEBRERO",H51+N51,IF($BZ$4="MARZO",H51+N51+T51,IF($BZ$4="ABRIL",H51+N51+T51+Z51,IF($BZ$4="MAYO",H51+N51+T51+Z51+AF51,IF($BZ$4="JUNIO",H51+N51+T51+Z51+AF51+AL51,IF($BZ$4="JULIO",H51+N51+T51+Z51+AF51+AL51+AR51,IF($BZ$4="AGOSTO",H51+N51+T51+Z51+AF51+AL51+AR51+AX51,IF($BZ$4="SEPTIEMBRE",H51+N51+T51+Z51+AF51+AL51+AR51+AX51+BD51,IF($BZ$4="OCTUBRE",H51+N51+T51+Z51+AF51+AL51+AR51+AX51+BD51+BJ51,IF($BZ$4="NOVIEMBRE",H51+N51+T51+Z51+AF51+AL51+AR51+AX51+BD51+BJ51+BP51,IF($BZ$4="DICIEMBRE",H51+N51+T51+Z51+AF51+AL51+AR51+AX51+BD51+BJ51+BP51+BV51,"")))))))))))),0)</f>
        <v>214</v>
      </c>
      <c r="CD51" s="287">
        <f t="shared" ca="1" si="172"/>
        <v>0.90295358649789026</v>
      </c>
      <c r="CE51" s="24">
        <f t="shared" si="173"/>
        <v>68</v>
      </c>
      <c r="CF51" s="129">
        <f t="shared" ca="1" si="174"/>
        <v>0.29059829059829062</v>
      </c>
      <c r="CG51" s="25">
        <f t="shared" ca="1" si="175"/>
        <v>234</v>
      </c>
      <c r="CH51" s="27">
        <f t="shared" ca="1" si="176"/>
        <v>237</v>
      </c>
      <c r="CI51" s="287">
        <f t="shared" ca="1" si="177"/>
        <v>1.0128205128205128</v>
      </c>
      <c r="CJ51" s="294">
        <f t="shared" si="178"/>
        <v>214</v>
      </c>
      <c r="CK51" s="287">
        <f t="shared" ca="1" si="179"/>
        <v>0.90295358649789026</v>
      </c>
      <c r="CL51" s="27">
        <f t="shared" si="180"/>
        <v>68</v>
      </c>
      <c r="CM51" s="129">
        <f t="shared" ca="1" si="181"/>
        <v>0.29059829059829062</v>
      </c>
      <c r="CN51" s="25">
        <f t="shared" ca="1" si="201"/>
        <v>117</v>
      </c>
      <c r="CO51" s="27">
        <f t="shared" ca="1" si="201"/>
        <v>86</v>
      </c>
      <c r="CP51" s="287">
        <f t="shared" ca="1" si="182"/>
        <v>0.7350427350427351</v>
      </c>
      <c r="CQ51" s="294">
        <f>IF($CN$5="Q1",H51+N51+T51,
IF($CN$5="Q2",Z51+AF51++AL51,
IF($CN$5="Q3",AR51+AX51+BD51,
IF($CN$5="Q4",BJ51+BP51+BV51,0))))</f>
        <v>74</v>
      </c>
      <c r="CR51" s="287">
        <f t="shared" ca="1" si="183"/>
        <v>0.86046511627906974</v>
      </c>
      <c r="CS51" s="27">
        <f t="shared" si="184"/>
        <v>0</v>
      </c>
      <c r="CT51" s="129">
        <f t="shared" ca="1" si="185"/>
        <v>0</v>
      </c>
      <c r="CU51" s="25">
        <f t="shared" ca="1" si="186"/>
        <v>234</v>
      </c>
      <c r="CV51" s="27">
        <f t="shared" ca="1" si="186"/>
        <v>237</v>
      </c>
      <c r="CW51" s="287">
        <f t="shared" ca="1" si="187"/>
        <v>1.0128205128205128</v>
      </c>
      <c r="CX51" s="27">
        <f t="shared" si="144"/>
        <v>214</v>
      </c>
      <c r="CY51" s="287">
        <f t="shared" ca="1" si="188"/>
        <v>0.90295358649789026</v>
      </c>
      <c r="CZ51" s="27">
        <f t="shared" si="189"/>
        <v>68</v>
      </c>
      <c r="DA51" s="130">
        <f t="shared" ca="1" si="190"/>
        <v>0.29059829059829062</v>
      </c>
      <c r="DB51" s="25">
        <f t="shared" ca="1" si="202"/>
        <v>0</v>
      </c>
      <c r="DC51" s="27">
        <f t="shared" ca="1" si="202"/>
        <v>0</v>
      </c>
      <c r="DD51" s="287">
        <f t="shared" ca="1" si="191"/>
        <v>0</v>
      </c>
      <c r="DE51" s="27">
        <f>IFERROR(IF($DB$5="S 1",H51+N51+T51+Z51+AF51++AL51,
IF($DB$5="S 2",AR51+AX51+BD51+BJ51+BP51+BV51,0)),0)</f>
        <v>0</v>
      </c>
      <c r="DF51" s="287" t="str">
        <f t="shared" ca="1" si="192"/>
        <v>N.D.</v>
      </c>
      <c r="DG51" s="27">
        <f t="shared" si="193"/>
        <v>0</v>
      </c>
      <c r="DH51" s="130">
        <f t="shared" ca="1" si="194"/>
        <v>0</v>
      </c>
      <c r="DI51" s="510">
        <v>1</v>
      </c>
      <c r="DJ51" s="369" t="s">
        <v>62</v>
      </c>
      <c r="DK51" s="25">
        <f t="shared" ca="1" si="195"/>
        <v>234</v>
      </c>
      <c r="DL51" s="27">
        <f t="shared" ca="1" si="195"/>
        <v>237</v>
      </c>
      <c r="DM51" s="287">
        <f t="shared" ca="1" si="196"/>
        <v>1.0128205128205128</v>
      </c>
      <c r="DN51" s="294">
        <f t="shared" si="147"/>
        <v>214</v>
      </c>
      <c r="DO51" s="287">
        <f t="shared" ca="1" si="197"/>
        <v>0.90295358649789026</v>
      </c>
      <c r="DP51" s="27">
        <f t="shared" si="198"/>
        <v>68</v>
      </c>
      <c r="DQ51" s="130">
        <f t="shared" ca="1" si="199"/>
        <v>0.29059829059829062</v>
      </c>
      <c r="DR51"/>
      <c r="DS51" s="4">
        <f ca="1"/>
        <v>45</v>
      </c>
      <c r="DT51" s="4">
        <f ca="1"/>
        <v>43</v>
      </c>
      <c r="DU51" s="508">
        <f ca="1"/>
        <v>0.72619047619047616</v>
      </c>
      <c r="DW51" s="508">
        <f ca="1"/>
        <v>0.81094527363184077</v>
      </c>
      <c r="DX51" s="4">
        <v>9</v>
      </c>
      <c r="DY51" s="508">
        <f ca="1"/>
        <v>0.12903225806451613</v>
      </c>
    </row>
    <row r="52" spans="1:129" s="4" customFormat="1" ht="15" customHeight="1" x14ac:dyDescent="0.35">
      <c r="A52" s="4">
        <f>_xlfn.XLOOKUP(B52,'WHOLESALE BMW 2026'!$B$7:$B$67,'WHOLESALE BMW 2026'!$A$7:$A$67)</f>
        <v>8</v>
      </c>
      <c r="B52" s="8">
        <v>100206</v>
      </c>
      <c r="C52" s="369" t="s">
        <v>63</v>
      </c>
      <c r="D52" s="125"/>
      <c r="E52" s="309" t="s">
        <v>97</v>
      </c>
      <c r="F52" s="21">
        <f ca="1">SUMIF('UC BMW 2026'!B50:B126,'UC BMW 2026'!B50,'UC BMW 2026'!F50:F117)</f>
        <v>25</v>
      </c>
      <c r="G52" s="24">
        <f ca="1">SUMIF('UC BMW 2026'!$B$5:$B$77,'UC BMW 2026'!B50,'UC BMW 2026'!$G$5:$G$72)</f>
        <v>22</v>
      </c>
      <c r="H52" s="24">
        <f>IFERROR(VLOOKUP(B52,[2]BPS!$B$10:$O$64,3,0),0)-IF(B52=100873,IFERROR(VLOOKUP("Enero",[2]BPS!$B$74:$C$89,2,0),0),0)</f>
        <v>21</v>
      </c>
      <c r="I52" s="282">
        <f t="shared" ca="1" si="148"/>
        <v>0.95454545454545459</v>
      </c>
      <c r="J52" s="380">
        <f>IFERROR(VLOOKUP(B52,'[2]RETAIL ORIGEN RMKT'!$B$11:$O$62,3,0),0)</f>
        <v>5</v>
      </c>
      <c r="K52" s="127">
        <f t="shared" ca="1" si="149"/>
        <v>0.2</v>
      </c>
      <c r="L52" s="21">
        <f ca="1">SUMIF('UC BMW 2026'!$B$5:$B$77,'UC BMW 2026'!$B50,'UC BMW 2026'!$H$5:$H$72)</f>
        <v>25</v>
      </c>
      <c r="M52" s="24">
        <f ca="1">SUMIF('UC BMW 2026'!$B$5:$B$77,'UC BMW 2026'!$B50,'UC BMW 2026'!$I$5:$I$72)</f>
        <v>37</v>
      </c>
      <c r="N52" s="24">
        <f>IFERROR(VLOOKUP(B52,[2]BPS!$B$10:$O$64,4,0),0)-IF(B52=100873,IFERROR(VLOOKUP("Febrero",[2]BPS!$B$74:$C$89,2,0),0),0)</f>
        <v>35</v>
      </c>
      <c r="O52" s="282">
        <f t="shared" ca="1" si="140"/>
        <v>0.94594594594594594</v>
      </c>
      <c r="P52" s="380">
        <f>IFERROR(VLOOKUP(B52,'[2]RETAIL ORIGEN RMKT'!$B$11:$O$62,4,0),0)</f>
        <v>14</v>
      </c>
      <c r="Q52" s="127">
        <f t="shared" ca="1" si="150"/>
        <v>0.56000000000000005</v>
      </c>
      <c r="R52" s="21">
        <f ca="1">SUMIF('UC BMW 2026'!$B$5:$B$77,'UC BMW 2026'!$B50,'UC BMW 2026'!$J$5:$J$72)</f>
        <v>25</v>
      </c>
      <c r="S52" s="24">
        <f ca="1">SUMIF('UC BMW 2026'!$B$5:$B$77,'UC BMW 2026'!$B50,'UC BMW 2026'!$K$5:$K$72)</f>
        <v>32</v>
      </c>
      <c r="T52" s="24">
        <f>IFERROR(VLOOKUP(B52,[2]BPS!$B$10:$O$64,5,0),0)-IF(B52=100873,IFERROR(VLOOKUP("Marzo",[2]BPS!$B$74:$C$89,2,0),0),0)</f>
        <v>29</v>
      </c>
      <c r="U52" s="282">
        <f t="shared" ca="1" si="151"/>
        <v>0.90625</v>
      </c>
      <c r="V52" s="380">
        <f>IFERROR(VLOOKUP(B52,'[2]RETAIL ORIGEN RMKT'!$B$11:$O$62,5,0),0)</f>
        <v>13</v>
      </c>
      <c r="W52" s="127">
        <f t="shared" ca="1" si="152"/>
        <v>0.52</v>
      </c>
      <c r="X52" s="21">
        <f ca="1">SUMIF('UC BMW 2026'!$B$5:$B$77,'UC BMW 2026'!$B50,'UC BMW 2026'!$L$5:$L$72)</f>
        <v>25</v>
      </c>
      <c r="Y52" s="24">
        <f ca="1">SUMIF('UC BMW 2026'!$B$5:$B$77,'UC BMW 2026'!$B50,'UC BMW 2026'!$M$5:$M$72)</f>
        <v>31</v>
      </c>
      <c r="Z52" s="24">
        <f>IFERROR(VLOOKUP(B52,[2]BPS!$B$10:$O$64,6,0),0)-IF(B52=100873,IFERROR(VLOOKUP("Abril",[2]BPS!$B$74:$C$89,2,0),0),0)</f>
        <v>28</v>
      </c>
      <c r="AA52" s="282">
        <f t="shared" ca="1" si="153"/>
        <v>0.90322580645161288</v>
      </c>
      <c r="AB52" s="380">
        <f>IFERROR(VLOOKUP(B52,'[2]RETAIL ORIGEN RMKT'!$B$11:$O$62,6,0),0)</f>
        <v>11</v>
      </c>
      <c r="AC52" s="127">
        <f t="shared" ca="1" si="154"/>
        <v>0.44</v>
      </c>
      <c r="AD52" s="21">
        <f ca="1">SUMIF('UC BMW 2026'!$B$5:$B$77,'UC BMW 2026'!$B50,'UC BMW 2026'!$N$5:$N$72)</f>
        <v>25</v>
      </c>
      <c r="AE52" s="24">
        <f ca="1">SUMIF('UC BMW 2026'!$B$5:$B$77,'UC BMW 2026'!$B50,'UC BMW 2026'!$O$5:$O$72)</f>
        <v>24</v>
      </c>
      <c r="AF52" s="24">
        <f>IFERROR(VLOOKUP(B52,[2]BPS!$B$10:$O$64,7,0),0)-IF(B52=100873,IFERROR(VLOOKUP("Mayo",[2]BPS!$B$74:$C$89,2,0),0),0)</f>
        <v>24</v>
      </c>
      <c r="AG52" s="282">
        <f t="shared" ca="1" si="155"/>
        <v>1</v>
      </c>
      <c r="AH52" s="380">
        <f>IFERROR(VLOOKUP(B52,'[2]RETAIL ORIGEN RMKT'!$B$11:$O$62,7,0),0)</f>
        <v>12</v>
      </c>
      <c r="AI52" s="127">
        <f t="shared" ca="1" si="156"/>
        <v>0.48</v>
      </c>
      <c r="AJ52" s="21">
        <f ca="1">SUMIF('UC BMW 2026'!$B$5:$B$77,'UC BMW 2026'!$B50,'UC BMW 2026'!$P$5:$P$72)</f>
        <v>25</v>
      </c>
      <c r="AK52" s="24">
        <f ca="1">SUMIF('UC BMW 2026'!$B$5:$B$77,'UC BMW 2026'!$B50,'UC BMW 2026'!$Q$5:$Q$72)</f>
        <v>31</v>
      </c>
      <c r="AL52" s="24">
        <f>IFERROR(VLOOKUP(B52,[2]BPS!$B$10:$O$64,8,0),0)-IF(B52=100873,IFERROR(VLOOKUP("Junio",[2]BPS!$B$74:$C$89,2,0),0),0)</f>
        <v>28</v>
      </c>
      <c r="AM52" s="282">
        <f t="shared" ca="1" si="157"/>
        <v>0.90322580645161288</v>
      </c>
      <c r="AN52" s="380">
        <f>IFERROR(VLOOKUP(B52,'[2]RETAIL ORIGEN RMKT'!$B$11:$O$62,8,0),0)</f>
        <v>9</v>
      </c>
      <c r="AO52" s="127">
        <f t="shared" ca="1" si="158"/>
        <v>0.36</v>
      </c>
      <c r="AP52" s="21">
        <f ca="1">SUMIF('UC BMW 2026'!$B$5:$B$77,'UC BMW 2026'!$B50,'UC BMW 2026'!$R$5:$R$72)</f>
        <v>0</v>
      </c>
      <c r="AQ52" s="24">
        <f ca="1">SUMIF('UC BMW 2026'!$B$5:$B$77,'UC BMW 2026'!$B50,'UC BMW 2026'!$S$5:$S$72)</f>
        <v>0</v>
      </c>
      <c r="AR52" s="24">
        <f>IFERROR(VLOOKUP(B52,[2]BPS!$B$10:$O$64,9,0),0)-IF(B52=100873,IFERROR(VLOOKUP("Julio",[2]BPS!$B$74:$C$89,2,0),0),0)</f>
        <v>0</v>
      </c>
      <c r="AS52" s="282">
        <f t="shared" ca="1" si="159"/>
        <v>0</v>
      </c>
      <c r="AT52" s="380">
        <f>IFERROR(VLOOKUP(B52,'[2]RETAIL ORIGEN RMKT'!$B$11:$O$62,9,0),0)</f>
        <v>0</v>
      </c>
      <c r="AU52" s="127">
        <f t="shared" ca="1" si="160"/>
        <v>0</v>
      </c>
      <c r="AV52" s="21">
        <f ca="1">SUMIF('UC BMW 2026'!$B$5:$B$77,'UC BMW 2026'!$B50,'UC BMW 2026'!$T$5:$T$72)</f>
        <v>0</v>
      </c>
      <c r="AW52" s="24">
        <f ca="1">SUMIF('UC BMW 2026'!$B$5:$B$77,'UC BMW 2026'!$B50,'UC BMW 2026'!$U$5:$U$72)</f>
        <v>0</v>
      </c>
      <c r="AX52" s="24">
        <f>IFERROR(VLOOKUP(B52,[2]BPS!$B$10:$O$64,10,0),0)-IF(B52=100873,IFERROR(VLOOKUP("Agosto",[2]BPS!$B$74:$C$89,2,0),0),0)</f>
        <v>0</v>
      </c>
      <c r="AY52" s="282">
        <f t="shared" ca="1" si="161"/>
        <v>0</v>
      </c>
      <c r="AZ52" s="380">
        <f>IFERROR(VLOOKUP(B52,'[2]RETAIL ORIGEN RMKT'!$B$11:$O$62,10,0),0)</f>
        <v>0</v>
      </c>
      <c r="BA52" s="127">
        <f t="shared" ca="1" si="162"/>
        <v>0</v>
      </c>
      <c r="BB52" s="21">
        <f ca="1">SUMIF('UC BMW 2026'!$B$5:$B$77,'UC BMW 2026'!$B50,'UC BMW 2026'!$V$5:$V$72)</f>
        <v>0</v>
      </c>
      <c r="BC52" s="24">
        <f>SUMIF('UC BMW 2026'!$B$5:$B$77,'UC BMW 2026'!$B50,'UC BMW 2026'!$W$5:$W$77)</f>
        <v>0</v>
      </c>
      <c r="BD52" s="24">
        <f>IFERROR(VLOOKUP(B52,[2]BPS!$B$10:$O$64,11,0),0)-IF(B52=100873,IFERROR(VLOOKUP("Septiembre",[2]BPS!$B$74:$C$89,2,0),0),0)</f>
        <v>0</v>
      </c>
      <c r="BE52" s="282">
        <f t="shared" si="163"/>
        <v>0</v>
      </c>
      <c r="BF52" s="380">
        <f>IFERROR(VLOOKUP(B52,'[2]RETAIL ORIGEN RMKT'!$B$11:$O$62,11,0),0)</f>
        <v>0</v>
      </c>
      <c r="BG52" s="127">
        <f t="shared" ca="1" si="164"/>
        <v>0</v>
      </c>
      <c r="BH52" s="21">
        <f>SUMIF('UC BMW 2026'!$B$5:$B$77,'UC BMW 2026'!$B50,'UC BMW 2026'!$X$5:$X$77)</f>
        <v>0</v>
      </c>
      <c r="BI52" s="24">
        <f>SUMIF('UC BMW 2026'!$B$5:$B$77,'UC BMW 2026'!$B50,'UC BMW 2026'!$Y$5:$Y$77)</f>
        <v>0</v>
      </c>
      <c r="BJ52" s="24">
        <f>IFERROR(VLOOKUP(B52,[2]BPS!$B$10:$O$64,12,0),0)-IF(B52=100873,IFERROR(VLOOKUP("Octubre",[2]BPS!$B$74:$C$89,2,0),0),0)</f>
        <v>0</v>
      </c>
      <c r="BK52" s="282">
        <f t="shared" si="165"/>
        <v>0</v>
      </c>
      <c r="BL52" s="380">
        <f>IFERROR(VLOOKUP(B52,'[2]RETAIL ORIGEN RMKT'!$B$11:$O$62,12,0),0)</f>
        <v>0</v>
      </c>
      <c r="BM52" s="127">
        <f t="shared" si="166"/>
        <v>0</v>
      </c>
      <c r="BN52" s="21">
        <f>SUMIF('UC BMW 2026'!$B$5:$B$77,'UC BMW 2026'!$B50,'UC BMW 2026'!$Z$5:$Z$77)</f>
        <v>0</v>
      </c>
      <c r="BO52" s="24">
        <f>SUMIF('UC BMW 2026'!$B$5:$B$77,'UC BMW 2026'!$B50,'UC BMW 2026'!$AA$5:$AA$77)</f>
        <v>0</v>
      </c>
      <c r="BP52" s="24">
        <f>IFERROR(VLOOKUP(B52,[2]BPS!$B$10:$O$64,13,0),0)-IF(B52=100873,IFERROR(VLOOKUP("Noviembre",[2]BPS!$B$74:$C$89,2,0),0),0)</f>
        <v>0</v>
      </c>
      <c r="BQ52" s="282">
        <f t="shared" si="167"/>
        <v>0</v>
      </c>
      <c r="BR52" s="380">
        <f>IFERROR(VLOOKUP(B52,'[2]RETAIL ORIGEN RMKT'!$B$11:$O$62,13,0),0)</f>
        <v>0</v>
      </c>
      <c r="BS52" s="127">
        <f t="shared" si="168"/>
        <v>0</v>
      </c>
      <c r="BT52" s="21">
        <f>SUMIF('UC BMW 2026'!$B$5:$B$77,'UC BMW 2026'!$B50,'UC BMW 2026'!$AB$5:$AB$77)</f>
        <v>0</v>
      </c>
      <c r="BU52" s="24">
        <f>SUMIF('UC BMW 2026'!$B$5:$B$77,'UC BMW 2026'!$B50,'UC BMW 2026'!$AC$5:$AC$77)</f>
        <v>0</v>
      </c>
      <c r="BV52" s="24">
        <f>IFERROR(VLOOKUP(B52,[2]BPS!$B$10:$O$64,13,0),0)-IF(B52=100873,IFERROR(VLOOKUP("Diciembre",[2]BPS!$B$74:$C$89,2,0),0),0)</f>
        <v>0</v>
      </c>
      <c r="BW52" s="282">
        <f t="shared" si="169"/>
        <v>0</v>
      </c>
      <c r="BX52" s="380">
        <f>IFERROR(VLOOKUP(B52,'[2]RETAIL ORIGEN RMKT'!$B$11:$O$62,14,0),0)</f>
        <v>0</v>
      </c>
      <c r="BY52" s="127">
        <f t="shared" si="170"/>
        <v>0</v>
      </c>
      <c r="BZ52" s="25">
        <f t="shared" ca="1" si="200"/>
        <v>150</v>
      </c>
      <c r="CA52" s="27">
        <f t="shared" ca="1" si="200"/>
        <v>177</v>
      </c>
      <c r="CB52" s="287">
        <f t="shared" ca="1" si="171"/>
        <v>1.18</v>
      </c>
      <c r="CC52" s="294">
        <f>IFERROR(IF($BZ$4="ENERO",H52,IF($BZ$4="FEBRERO",H52+N52,IF($BZ$4="MARZO",H52+N52+T52,IF($BZ$4="ABRIL",H52+N52+T52+Z52,IF($BZ$4="MAYO",H52+N52+T52+Z52+AF52,IF($BZ$4="JUNIO",H52+N52+T52+Z52+AF52+AL52,IF($BZ$4="JULIO",H52+N52+T52+Z52+AF52+AL52+AR52,IF($BZ$4="AGOSTO",H52+N52+T52+Z52+AF52+AL52+AR52+AX52,IF($BZ$4="SEPTIEMBRE",H52+N52+T52+Z52+AF52+AL52+AR52+AX52+BD52,IF($BZ$4="OCTUBRE",H52+N52+T52+Z52+AF52+AL52+AR52+AX52+BD52+BJ52,IF($BZ$4="NOVIEMBRE",H52+N52+T52+Z52+AF52+AL52+AR52+AX52+BD52+BJ52+BP52,IF($BZ$4="DICIEMBRE",H52+N52+T52+Z52+AF52+AL52+AR52+AX52+BD52+BJ52+BP52+BV52,"")))))))))))),0)</f>
        <v>165</v>
      </c>
      <c r="CD52" s="287">
        <f t="shared" ca="1" si="172"/>
        <v>0.93220338983050843</v>
      </c>
      <c r="CE52" s="24">
        <f t="shared" si="173"/>
        <v>64</v>
      </c>
      <c r="CF52" s="129">
        <f t="shared" ca="1" si="174"/>
        <v>0.42666666666666669</v>
      </c>
      <c r="CG52" s="25">
        <f t="shared" ca="1" si="175"/>
        <v>150</v>
      </c>
      <c r="CH52" s="27">
        <f t="shared" ca="1" si="176"/>
        <v>177</v>
      </c>
      <c r="CI52" s="287">
        <f t="shared" ca="1" si="177"/>
        <v>1.18</v>
      </c>
      <c r="CJ52" s="294">
        <f t="shared" si="178"/>
        <v>165</v>
      </c>
      <c r="CK52" s="287">
        <f t="shared" ca="1" si="179"/>
        <v>0.93220338983050843</v>
      </c>
      <c r="CL52" s="27">
        <f t="shared" si="180"/>
        <v>64</v>
      </c>
      <c r="CM52" s="129">
        <f t="shared" ca="1" si="181"/>
        <v>0.42666666666666669</v>
      </c>
      <c r="CN52" s="25">
        <f t="shared" ca="1" si="201"/>
        <v>75</v>
      </c>
      <c r="CO52" s="27">
        <f t="shared" ca="1" si="201"/>
        <v>91</v>
      </c>
      <c r="CP52" s="287">
        <f t="shared" ca="1" si="182"/>
        <v>1.2133333333333334</v>
      </c>
      <c r="CQ52" s="294">
        <f>IF($CN$5="Q1",H52+N52+T52,
IF($CN$5="Q2",Z52+AF52++AL52,
IF($CN$5="Q3",AR52+AX52+BD52,
IF($CN$5="Q4",BJ52+BP52+BV52,0))))</f>
        <v>85</v>
      </c>
      <c r="CR52" s="287">
        <f t="shared" ca="1" si="183"/>
        <v>0.93406593406593408</v>
      </c>
      <c r="CS52" s="27">
        <f t="shared" si="184"/>
        <v>0</v>
      </c>
      <c r="CT52" s="129">
        <f t="shared" ca="1" si="185"/>
        <v>0</v>
      </c>
      <c r="CU52" s="25">
        <f t="shared" ca="1" si="186"/>
        <v>150</v>
      </c>
      <c r="CV52" s="27">
        <f t="shared" ca="1" si="186"/>
        <v>177</v>
      </c>
      <c r="CW52" s="287">
        <f t="shared" ca="1" si="187"/>
        <v>1.18</v>
      </c>
      <c r="CX52" s="27">
        <f t="shared" si="144"/>
        <v>165</v>
      </c>
      <c r="CY52" s="287">
        <f t="shared" ca="1" si="188"/>
        <v>0.93220338983050843</v>
      </c>
      <c r="CZ52" s="27">
        <f t="shared" si="189"/>
        <v>64</v>
      </c>
      <c r="DA52" s="130">
        <f t="shared" ca="1" si="190"/>
        <v>0.42666666666666669</v>
      </c>
      <c r="DB52" s="25">
        <f t="shared" ca="1" si="202"/>
        <v>0</v>
      </c>
      <c r="DC52" s="27">
        <f t="shared" ca="1" si="202"/>
        <v>0</v>
      </c>
      <c r="DD52" s="287">
        <f t="shared" ca="1" si="191"/>
        <v>0</v>
      </c>
      <c r="DE52" s="27">
        <f>IFERROR(IF($DB$5="S 1",H52+N52+T52+Z52+AF52++AL52,
IF($DB$5="S 2",AR52+AX52+BD52+BJ52+BP52+BV52,0)),0)</f>
        <v>0</v>
      </c>
      <c r="DF52" s="287" t="str">
        <f t="shared" ca="1" si="192"/>
        <v>N.D.</v>
      </c>
      <c r="DG52" s="27">
        <f t="shared" si="193"/>
        <v>0</v>
      </c>
      <c r="DH52" s="130">
        <f t="shared" ca="1" si="194"/>
        <v>0</v>
      </c>
      <c r="DI52" s="510">
        <v>1</v>
      </c>
      <c r="DJ52" s="369" t="s">
        <v>63</v>
      </c>
      <c r="DK52" s="25">
        <f t="shared" ca="1" si="195"/>
        <v>150</v>
      </c>
      <c r="DL52" s="27">
        <f t="shared" ca="1" si="195"/>
        <v>177</v>
      </c>
      <c r="DM52" s="287">
        <f t="shared" ca="1" si="196"/>
        <v>1.18</v>
      </c>
      <c r="DN52" s="294">
        <f t="shared" si="147"/>
        <v>165</v>
      </c>
      <c r="DO52" s="287">
        <f t="shared" ca="1" si="197"/>
        <v>0.93220338983050843</v>
      </c>
      <c r="DP52" s="27">
        <f t="shared" si="198"/>
        <v>64</v>
      </c>
      <c r="DQ52" s="130">
        <f t="shared" ca="1" si="199"/>
        <v>0.42666666666666669</v>
      </c>
      <c r="DR52"/>
      <c r="DS52" s="4">
        <f ca="1"/>
        <v>45</v>
      </c>
      <c r="DT52" s="4">
        <f ca="1"/>
        <v>43</v>
      </c>
      <c r="DU52" s="508">
        <f ca="1"/>
        <v>0.71666666666666667</v>
      </c>
      <c r="DW52" s="508">
        <f ca="1"/>
        <v>0.79166666666666663</v>
      </c>
      <c r="DX52" s="4">
        <v>8</v>
      </c>
      <c r="DY52" s="508">
        <f ca="1"/>
        <v>0.12682926829268293</v>
      </c>
    </row>
    <row r="53" spans="1:129" s="4" customFormat="1" ht="15" customHeight="1" x14ac:dyDescent="0.35">
      <c r="A53" s="4">
        <f>_xlfn.XLOOKUP(B53,'WHOLESALE BMW 2026'!$B$7:$B$67,'WHOLESALE BMW 2026'!$A$7:$A$67)</f>
        <v>8</v>
      </c>
      <c r="B53" s="9">
        <v>100394</v>
      </c>
      <c r="C53" s="374" t="s">
        <v>64</v>
      </c>
      <c r="D53" s="125"/>
      <c r="E53" s="309" t="s">
        <v>96</v>
      </c>
      <c r="F53" s="21">
        <f ca="1">SUMIF('UC BMW 2026'!B51:B127,'UC BMW 2026'!B51,'UC BMW 2026'!F51:F118)</f>
        <v>10</v>
      </c>
      <c r="G53" s="24">
        <f ca="1">SUMIF('UC BMW 2026'!$B$5:$B$77,'UC BMW 2026'!B51,'UC BMW 2026'!$G$5:$G$72)</f>
        <v>4</v>
      </c>
      <c r="H53" s="24">
        <f>IFERROR(VLOOKUP(B53,[2]BPS!$B$10:$O$64,3,0),0)-IF(B53=100873,IFERROR(VLOOKUP("Enero",[2]BPS!$B$74:$C$89,2,0),0),0)</f>
        <v>4</v>
      </c>
      <c r="I53" s="282">
        <f t="shared" ca="1" si="148"/>
        <v>1</v>
      </c>
      <c r="J53" s="380">
        <f>IFERROR(VLOOKUP(B53,'[2]RETAIL ORIGEN RMKT'!$B$11:$O$62,3,0),0)</f>
        <v>2</v>
      </c>
      <c r="K53" s="127">
        <f t="shared" ca="1" si="149"/>
        <v>0.2</v>
      </c>
      <c r="L53" s="21">
        <f ca="1">SUMIF('UC BMW 2026'!$B$5:$B$77,'UC BMW 2026'!$B51,'UC BMW 2026'!$H$5:$H$72)</f>
        <v>10</v>
      </c>
      <c r="M53" s="24">
        <f ca="1">SUMIF('UC BMW 2026'!$B$5:$B$77,'UC BMW 2026'!$B51,'UC BMW 2026'!$I$5:$I$72)</f>
        <v>10</v>
      </c>
      <c r="N53" s="24">
        <f>IFERROR(VLOOKUP(B53,[2]BPS!$B$10:$O$64,4,0),0)-IF(B53=100873,IFERROR(VLOOKUP("Febrero",[2]BPS!$B$74:$C$89,2,0),0),0)</f>
        <v>10</v>
      </c>
      <c r="O53" s="282">
        <f t="shared" ca="1" si="140"/>
        <v>1</v>
      </c>
      <c r="P53" s="380">
        <f>IFERROR(VLOOKUP(B53,'[2]RETAIL ORIGEN RMKT'!$B$11:$O$62,4,0),0)</f>
        <v>5</v>
      </c>
      <c r="Q53" s="127">
        <f t="shared" ca="1" si="150"/>
        <v>0.5</v>
      </c>
      <c r="R53" s="21">
        <f ca="1">SUMIF('UC BMW 2026'!$B$5:$B$77,'UC BMW 2026'!$B51,'UC BMW 2026'!$J$5:$J$72)</f>
        <v>10</v>
      </c>
      <c r="S53" s="24">
        <f ca="1">SUMIF('UC BMW 2026'!$B$5:$B$77,'UC BMW 2026'!$B51,'UC BMW 2026'!$K$5:$K$72)</f>
        <v>5</v>
      </c>
      <c r="T53" s="24">
        <f>IFERROR(VLOOKUP(B53,[2]BPS!$B$10:$O$64,5,0),0)-IF(B53=100873,IFERROR(VLOOKUP("Marzo",[2]BPS!$B$74:$C$89,2,0),0),0)</f>
        <v>4</v>
      </c>
      <c r="U53" s="282">
        <f t="shared" ca="1" si="151"/>
        <v>0.8</v>
      </c>
      <c r="V53" s="380">
        <f>IFERROR(VLOOKUP(B53,'[2]RETAIL ORIGEN RMKT'!$B$11:$O$62,5,0),0)</f>
        <v>2</v>
      </c>
      <c r="W53" s="127">
        <f t="shared" ca="1" si="152"/>
        <v>0.2</v>
      </c>
      <c r="X53" s="21">
        <f ca="1">SUMIF('UC BMW 2026'!$B$5:$B$77,'UC BMW 2026'!$B51,'UC BMW 2026'!$L$5:$L$72)</f>
        <v>10</v>
      </c>
      <c r="Y53" s="24">
        <f ca="1">SUMIF('UC BMW 2026'!$B$5:$B$77,'UC BMW 2026'!$B51,'UC BMW 2026'!$M$5:$M$72)</f>
        <v>12</v>
      </c>
      <c r="Z53" s="24">
        <f>IFERROR(VLOOKUP(B53,[2]BPS!$B$10:$O$64,6,0),0)-IF(B53=100873,IFERROR(VLOOKUP("Abril",[2]BPS!$B$74:$C$89,2,0),0),0)</f>
        <v>12</v>
      </c>
      <c r="AA53" s="282">
        <f t="shared" ca="1" si="153"/>
        <v>1</v>
      </c>
      <c r="AB53" s="380">
        <f>IFERROR(VLOOKUP(B53,'[2]RETAIL ORIGEN RMKT'!$B$11:$O$62,6,0),0)</f>
        <v>4</v>
      </c>
      <c r="AC53" s="127">
        <f t="shared" ca="1" si="154"/>
        <v>0.4</v>
      </c>
      <c r="AD53" s="21">
        <f ca="1">SUMIF('UC BMW 2026'!$B$5:$B$77,'UC BMW 2026'!$B51,'UC BMW 2026'!$N$5:$N$72)</f>
        <v>10</v>
      </c>
      <c r="AE53" s="24">
        <f ca="1">SUMIF('UC BMW 2026'!$B$5:$B$77,'UC BMW 2026'!$B51,'UC BMW 2026'!$O$5:$O$72)</f>
        <v>3</v>
      </c>
      <c r="AF53" s="24">
        <f>IFERROR(VLOOKUP(B53,[2]BPS!$B$10:$O$64,7,0),0)-IF(B53=100873,IFERROR(VLOOKUP("Mayo",[2]BPS!$B$74:$C$89,2,0),0),0)</f>
        <v>3</v>
      </c>
      <c r="AG53" s="282">
        <f t="shared" ca="1" si="155"/>
        <v>1</v>
      </c>
      <c r="AH53" s="380">
        <f>IFERROR(VLOOKUP(B53,'[2]RETAIL ORIGEN RMKT'!$B$11:$O$62,7,0),0)</f>
        <v>2</v>
      </c>
      <c r="AI53" s="127">
        <f t="shared" ca="1" si="156"/>
        <v>0.2</v>
      </c>
      <c r="AJ53" s="21">
        <f ca="1">SUMIF('UC BMW 2026'!$B$5:$B$77,'UC BMW 2026'!$B51,'UC BMW 2026'!$P$5:$P$72)</f>
        <v>10</v>
      </c>
      <c r="AK53" s="24">
        <f ca="1">SUMIF('UC BMW 2026'!$B$5:$B$77,'UC BMW 2026'!$B51,'UC BMW 2026'!$Q$5:$Q$72)</f>
        <v>9</v>
      </c>
      <c r="AL53" s="24">
        <f>IFERROR(VLOOKUP(B53,[2]BPS!$B$10:$O$64,8,0),0)-IF(B53=100873,IFERROR(VLOOKUP("Junio",[2]BPS!$B$74:$C$89,2,0),0),0)</f>
        <v>9</v>
      </c>
      <c r="AM53" s="282">
        <f t="shared" ca="1" si="157"/>
        <v>1</v>
      </c>
      <c r="AN53" s="380">
        <f>IFERROR(VLOOKUP(B53,'[2]RETAIL ORIGEN RMKT'!$B$11:$O$62,8,0),0)</f>
        <v>6</v>
      </c>
      <c r="AO53" s="127">
        <f t="shared" ca="1" si="158"/>
        <v>0.6</v>
      </c>
      <c r="AP53" s="21">
        <f ca="1">SUMIF('UC BMW 2026'!$B$5:$B$77,'UC BMW 2026'!$B51,'UC BMW 2026'!$R$5:$R$72)</f>
        <v>0</v>
      </c>
      <c r="AQ53" s="24">
        <f ca="1">SUMIF('UC BMW 2026'!$B$5:$B$77,'UC BMW 2026'!$B51,'UC BMW 2026'!$S$5:$S$72)</f>
        <v>0</v>
      </c>
      <c r="AR53" s="24">
        <f>IFERROR(VLOOKUP(B53,[2]BPS!$B$10:$O$64,9,0),0)-IF(B53=100873,IFERROR(VLOOKUP("Julio",[2]BPS!$B$74:$C$89,2,0),0),0)</f>
        <v>0</v>
      </c>
      <c r="AS53" s="282">
        <f t="shared" ca="1" si="159"/>
        <v>0</v>
      </c>
      <c r="AT53" s="380">
        <f>IFERROR(VLOOKUP(B53,'[2]RETAIL ORIGEN RMKT'!$B$11:$O$62,9,0),0)</f>
        <v>0</v>
      </c>
      <c r="AU53" s="127">
        <f t="shared" ca="1" si="160"/>
        <v>0</v>
      </c>
      <c r="AV53" s="21">
        <f ca="1">SUMIF('UC BMW 2026'!$B$5:$B$77,'UC BMW 2026'!$B51,'UC BMW 2026'!$T$5:$T$72)</f>
        <v>0</v>
      </c>
      <c r="AW53" s="24">
        <f ca="1">SUMIF('UC BMW 2026'!$B$5:$B$77,'UC BMW 2026'!$B51,'UC BMW 2026'!$U$5:$U$72)</f>
        <v>0</v>
      </c>
      <c r="AX53" s="24">
        <f>IFERROR(VLOOKUP(B53,[2]BPS!$B$10:$O$64,10,0),0)-IF(B53=100873,IFERROR(VLOOKUP("Agosto",[2]BPS!$B$74:$C$89,2,0),0),0)</f>
        <v>0</v>
      </c>
      <c r="AY53" s="282">
        <f t="shared" ca="1" si="161"/>
        <v>0</v>
      </c>
      <c r="AZ53" s="380">
        <f>IFERROR(VLOOKUP(B53,'[2]RETAIL ORIGEN RMKT'!$B$11:$O$62,10,0),0)</f>
        <v>0</v>
      </c>
      <c r="BA53" s="127">
        <f t="shared" ca="1" si="162"/>
        <v>0</v>
      </c>
      <c r="BB53" s="21">
        <f ca="1">SUMIF('UC BMW 2026'!$B$5:$B$77,'UC BMW 2026'!$B51,'UC BMW 2026'!$V$5:$V$72)</f>
        <v>0</v>
      </c>
      <c r="BC53" s="24">
        <f>SUMIF('UC BMW 2026'!$B$5:$B$77,'UC BMW 2026'!$B51,'UC BMW 2026'!$W$5:$W$77)</f>
        <v>0</v>
      </c>
      <c r="BD53" s="24">
        <f>IFERROR(VLOOKUP(B53,[2]BPS!$B$10:$O$64,11,0),0)-IF(B53=100873,IFERROR(VLOOKUP("Septiembre",[2]BPS!$B$74:$C$89,2,0),0),0)</f>
        <v>0</v>
      </c>
      <c r="BE53" s="282">
        <f t="shared" si="163"/>
        <v>0</v>
      </c>
      <c r="BF53" s="380">
        <f>IFERROR(VLOOKUP(B53,'[2]RETAIL ORIGEN RMKT'!$B$11:$O$62,11,0),0)</f>
        <v>0</v>
      </c>
      <c r="BG53" s="127">
        <f t="shared" ca="1" si="164"/>
        <v>0</v>
      </c>
      <c r="BH53" s="21">
        <f>SUMIF('UC BMW 2026'!$B$5:$B$77,'UC BMW 2026'!$B51,'UC BMW 2026'!$X$5:$X$77)</f>
        <v>0</v>
      </c>
      <c r="BI53" s="24">
        <f>SUMIF('UC BMW 2026'!$B$5:$B$77,'UC BMW 2026'!$B51,'UC BMW 2026'!$Y$5:$Y$77)</f>
        <v>0</v>
      </c>
      <c r="BJ53" s="24">
        <f>IFERROR(VLOOKUP(B53,[2]BPS!$B$10:$O$64,12,0),0)-IF(B53=100873,IFERROR(VLOOKUP("Octubre",[2]BPS!$B$74:$C$89,2,0),0),0)</f>
        <v>0</v>
      </c>
      <c r="BK53" s="282">
        <f t="shared" si="165"/>
        <v>0</v>
      </c>
      <c r="BL53" s="380">
        <f>IFERROR(VLOOKUP(B53,'[2]RETAIL ORIGEN RMKT'!$B$11:$O$62,12,0),0)</f>
        <v>0</v>
      </c>
      <c r="BM53" s="127">
        <f t="shared" si="166"/>
        <v>0</v>
      </c>
      <c r="BN53" s="21">
        <f>SUMIF('UC BMW 2026'!$B$5:$B$77,'UC BMW 2026'!$B51,'UC BMW 2026'!$Z$5:$Z$77)</f>
        <v>0</v>
      </c>
      <c r="BO53" s="24">
        <f>SUMIF('UC BMW 2026'!$B$5:$B$77,'UC BMW 2026'!$B51,'UC BMW 2026'!$AA$5:$AA$77)</f>
        <v>0</v>
      </c>
      <c r="BP53" s="24">
        <f>IFERROR(VLOOKUP(B53,[2]BPS!$B$10:$O$64,13,0),0)-IF(B53=100873,IFERROR(VLOOKUP("Noviembre",[2]BPS!$B$74:$C$89,2,0),0),0)</f>
        <v>0</v>
      </c>
      <c r="BQ53" s="282">
        <f t="shared" si="167"/>
        <v>0</v>
      </c>
      <c r="BR53" s="380">
        <f>IFERROR(VLOOKUP(B53,'[2]RETAIL ORIGEN RMKT'!$B$11:$O$62,13,0),0)</f>
        <v>0</v>
      </c>
      <c r="BS53" s="127">
        <f t="shared" si="168"/>
        <v>0</v>
      </c>
      <c r="BT53" s="21">
        <f>SUMIF('UC BMW 2026'!$B$5:$B$77,'UC BMW 2026'!$B51,'UC BMW 2026'!$AB$5:$AB$77)</f>
        <v>0</v>
      </c>
      <c r="BU53" s="24">
        <f>SUMIF('UC BMW 2026'!$B$5:$B$77,'UC BMW 2026'!$B51,'UC BMW 2026'!$AC$5:$AC$77)</f>
        <v>0</v>
      </c>
      <c r="BV53" s="24">
        <f>IFERROR(VLOOKUP(B53,[2]BPS!$B$10:$O$64,13,0),0)-IF(B53=100873,IFERROR(VLOOKUP("Diciembre",[2]BPS!$B$74:$C$89,2,0),0),0)</f>
        <v>0</v>
      </c>
      <c r="BW53" s="282">
        <f t="shared" si="169"/>
        <v>0</v>
      </c>
      <c r="BX53" s="380">
        <f>IFERROR(VLOOKUP(B53,'[2]RETAIL ORIGEN RMKT'!$B$11:$O$62,14,0),0)</f>
        <v>0</v>
      </c>
      <c r="BY53" s="127">
        <f t="shared" si="170"/>
        <v>0</v>
      </c>
      <c r="BZ53" s="25">
        <f t="shared" ca="1" si="200"/>
        <v>60</v>
      </c>
      <c r="CA53" s="27">
        <f t="shared" ca="1" si="200"/>
        <v>43</v>
      </c>
      <c r="CB53" s="287">
        <f t="shared" ca="1" si="171"/>
        <v>0.71666666666666667</v>
      </c>
      <c r="CC53" s="294">
        <f>IFERROR(IF($BZ$4="ENERO",H53,IF($BZ$4="FEBRERO",H53+N53,IF($BZ$4="MARZO",H53+N53+T53,IF($BZ$4="ABRIL",H53+N53+T53+Z53,IF($BZ$4="MAYO",H53+N53+T53+Z53+AF53,IF($BZ$4="JUNIO",H53+N53+T53+Z53+AF53+AL53,IF($BZ$4="JULIO",H53+N53+T53+Z53+AF53+AL53+AR53,IF($BZ$4="AGOSTO",H53+N53+T53+Z53+AF53+AL53+AR53+AX53,IF($BZ$4="SEPTIEMBRE",H53+N53+T53+Z53+AF53+AL53+AR53+AX53+BD53,IF($BZ$4="OCTUBRE",H53+N53+T53+Z53+AF53+AL53+AR53+AX53+BD53+BJ53,IF($BZ$4="NOVIEMBRE",H53+N53+T53+Z53+AF53+AL53+AR53+AX53+BD53+BJ53+BP53,IF($BZ$4="DICIEMBRE",H53+N53+T53+Z53+AF53+AL53+AR53+AX53+BD53+BJ53+BP53+BV53,"")))))))))))),0)</f>
        <v>42</v>
      </c>
      <c r="CD53" s="287">
        <f t="shared" ca="1" si="172"/>
        <v>0.97674418604651159</v>
      </c>
      <c r="CE53" s="24">
        <f t="shared" si="173"/>
        <v>21</v>
      </c>
      <c r="CF53" s="129">
        <f t="shared" ca="1" si="174"/>
        <v>0.35</v>
      </c>
      <c r="CG53" s="25">
        <f t="shared" ca="1" si="175"/>
        <v>60</v>
      </c>
      <c r="CH53" s="27">
        <f t="shared" ca="1" si="176"/>
        <v>43</v>
      </c>
      <c r="CI53" s="287">
        <f t="shared" ca="1" si="177"/>
        <v>0.71666666666666667</v>
      </c>
      <c r="CJ53" s="294">
        <f t="shared" si="178"/>
        <v>42</v>
      </c>
      <c r="CK53" s="287">
        <f t="shared" ca="1" si="179"/>
        <v>0.97674418604651159</v>
      </c>
      <c r="CL53" s="27">
        <f t="shared" si="180"/>
        <v>21</v>
      </c>
      <c r="CM53" s="129">
        <f t="shared" ca="1" si="181"/>
        <v>0.35</v>
      </c>
      <c r="CN53" s="25">
        <f t="shared" ca="1" si="201"/>
        <v>30</v>
      </c>
      <c r="CO53" s="27">
        <f t="shared" ca="1" si="201"/>
        <v>19</v>
      </c>
      <c r="CP53" s="287">
        <f t="shared" ca="1" si="182"/>
        <v>0.6333333333333333</v>
      </c>
      <c r="CQ53" s="294">
        <f>IF($CN$5="Q1",H53+N53+T53,
IF($CN$5="Q2",Z53+AF53++AL53,
IF($CN$5="Q3",AR53+AX53+BD53,
IF($CN$5="Q4",BJ53+BP53+BV53,0))))</f>
        <v>18</v>
      </c>
      <c r="CR53" s="287">
        <f t="shared" ca="1" si="183"/>
        <v>0.94736842105263153</v>
      </c>
      <c r="CS53" s="27">
        <f t="shared" si="184"/>
        <v>0</v>
      </c>
      <c r="CT53" s="129">
        <f t="shared" ca="1" si="185"/>
        <v>0</v>
      </c>
      <c r="CU53" s="25">
        <f t="shared" ca="1" si="186"/>
        <v>60</v>
      </c>
      <c r="CV53" s="27">
        <f t="shared" ca="1" si="186"/>
        <v>43</v>
      </c>
      <c r="CW53" s="287">
        <f t="shared" ca="1" si="187"/>
        <v>0.71666666666666667</v>
      </c>
      <c r="CX53" s="27">
        <f t="shared" si="144"/>
        <v>42</v>
      </c>
      <c r="CY53" s="287">
        <f t="shared" ca="1" si="188"/>
        <v>0.97674418604651159</v>
      </c>
      <c r="CZ53" s="27">
        <f t="shared" si="189"/>
        <v>21</v>
      </c>
      <c r="DA53" s="130">
        <f t="shared" ca="1" si="190"/>
        <v>0.35</v>
      </c>
      <c r="DB53" s="25">
        <f t="shared" ca="1" si="202"/>
        <v>0</v>
      </c>
      <c r="DC53" s="27">
        <f t="shared" ca="1" si="202"/>
        <v>0</v>
      </c>
      <c r="DD53" s="287">
        <f t="shared" ca="1" si="191"/>
        <v>0</v>
      </c>
      <c r="DE53" s="27">
        <f>IFERROR(IF($DB$5="S 1",H53+N53+T53+Z53+AF53++AL53,
IF($DB$5="S 2",AR53+AX53+BD53+BJ53+BP53+BV53,0)),0)</f>
        <v>0</v>
      </c>
      <c r="DF53" s="287" t="str">
        <f t="shared" ca="1" si="192"/>
        <v>N.D.</v>
      </c>
      <c r="DG53" s="27">
        <f t="shared" si="193"/>
        <v>0</v>
      </c>
      <c r="DH53" s="130">
        <f t="shared" ca="1" si="194"/>
        <v>0</v>
      </c>
      <c r="DI53" s="510">
        <v>1</v>
      </c>
      <c r="DJ53" s="374" t="s">
        <v>64</v>
      </c>
      <c r="DK53" s="25">
        <f t="shared" ca="1" si="195"/>
        <v>60</v>
      </c>
      <c r="DL53" s="27">
        <f t="shared" ca="1" si="195"/>
        <v>43</v>
      </c>
      <c r="DM53" s="287">
        <f t="shared" ca="1" si="196"/>
        <v>0.71666666666666667</v>
      </c>
      <c r="DN53" s="294">
        <f t="shared" si="147"/>
        <v>42</v>
      </c>
      <c r="DO53" s="287">
        <f t="shared" ca="1" si="197"/>
        <v>0.97674418604651159</v>
      </c>
      <c r="DP53" s="27">
        <f t="shared" si="198"/>
        <v>21</v>
      </c>
      <c r="DQ53" s="130">
        <f t="shared" ca="1" si="199"/>
        <v>0.35</v>
      </c>
      <c r="DR53"/>
      <c r="DS53" s="4">
        <f ca="1"/>
        <v>42</v>
      </c>
      <c r="DT53" s="4">
        <f ca="1"/>
        <v>38</v>
      </c>
      <c r="DU53" s="508">
        <f ca="1"/>
        <v>0.68125000000000002</v>
      </c>
      <c r="DW53" s="508">
        <f ca="1"/>
        <v>0.78688524590163933</v>
      </c>
      <c r="DX53" s="4">
        <v>7</v>
      </c>
      <c r="DY53" s="508">
        <f ca="1"/>
        <v>9.3333333333333338E-2</v>
      </c>
    </row>
    <row r="54" spans="1:129" s="4" customFormat="1" ht="15" customHeight="1" thickBot="1" x14ac:dyDescent="0.4">
      <c r="A54" s="4">
        <f>_xlfn.XLOOKUP(B54,'WHOLESALE BMW 2026'!$B$7:$B$67,'WHOLESALE BMW 2026'!$A$7:$A$67)</f>
        <v>8</v>
      </c>
      <c r="B54" s="9">
        <v>100468</v>
      </c>
      <c r="C54" s="374" t="s">
        <v>65</v>
      </c>
      <c r="D54" s="125"/>
      <c r="E54" s="309" t="s">
        <v>97</v>
      </c>
      <c r="F54" s="21">
        <f ca="1">SUMIF('UC BMW 2026'!B52:B128,'UC BMW 2026'!B52,'UC BMW 2026'!F52:F119)</f>
        <v>28</v>
      </c>
      <c r="G54" s="24">
        <f ca="1">SUMIF('UC BMW 2026'!$B$5:$B$77,'UC BMW 2026'!B52,'UC BMW 2026'!$G$5:$G$72)</f>
        <v>33</v>
      </c>
      <c r="H54" s="24">
        <f>IFERROR(VLOOKUP(B54,[2]BPS!$B$10:$O$64,3,0),0)-IF(B54=100873,IFERROR(VLOOKUP("Enero",[2]BPS!$B$74:$C$89,2,0),0),0)</f>
        <v>26</v>
      </c>
      <c r="I54" s="282">
        <f t="shared" ca="1" si="148"/>
        <v>0.78787878787878785</v>
      </c>
      <c r="J54" s="380">
        <f>IFERROR(VLOOKUP(B54,'[2]RETAIL ORIGEN RMKT'!$B$11:$O$62,3,0),0)</f>
        <v>6</v>
      </c>
      <c r="K54" s="127">
        <f t="shared" ca="1" si="149"/>
        <v>0.21428571428571427</v>
      </c>
      <c r="L54" s="21">
        <f ca="1">SUMIF('UC BMW 2026'!$B$5:$B$77,'UC BMW 2026'!$B52,'UC BMW 2026'!$H$5:$H$72)</f>
        <v>28</v>
      </c>
      <c r="M54" s="24">
        <f ca="1">SUMIF('UC BMW 2026'!$B$5:$B$77,'UC BMW 2026'!$B52,'UC BMW 2026'!$I$5:$I$72)</f>
        <v>32</v>
      </c>
      <c r="N54" s="24">
        <f>IFERROR(VLOOKUP(B54,[2]BPS!$B$10:$O$64,4,0),0)-IF(B54=100873,IFERROR(VLOOKUP("Febrero",[2]BPS!$B$74:$C$89,2,0),0),0)</f>
        <v>30</v>
      </c>
      <c r="O54" s="282">
        <f ca="1">IFERROR(N56/M54,0)</f>
        <v>0.84375</v>
      </c>
      <c r="P54" s="380">
        <f>IFERROR(VLOOKUP(B54,'[2]RETAIL ORIGEN RMKT'!$B$11:$O$62,4,0),0)</f>
        <v>10</v>
      </c>
      <c r="Q54" s="127">
        <f t="shared" ca="1" si="150"/>
        <v>0.35714285714285715</v>
      </c>
      <c r="R54" s="21">
        <f ca="1">SUMIF('UC BMW 2026'!$B$5:$B$77,'UC BMW 2026'!$B52,'UC BMW 2026'!$J$5:$J$72)</f>
        <v>29</v>
      </c>
      <c r="S54" s="24">
        <f ca="1">SUMIF('UC BMW 2026'!$B$5:$B$77,'UC BMW 2026'!$B52,'UC BMW 2026'!$K$5:$K$72)</f>
        <v>39</v>
      </c>
      <c r="T54" s="24">
        <f>IFERROR(VLOOKUP(B54,[2]BPS!$B$10:$O$64,5,0),0)-IF(B54=100873,IFERROR(VLOOKUP("Marzo",[2]BPS!$B$74:$C$89,2,0),0),0)</f>
        <v>33</v>
      </c>
      <c r="U54" s="282">
        <f t="shared" ca="1" si="151"/>
        <v>0.84615384615384615</v>
      </c>
      <c r="V54" s="380">
        <f>IFERROR(VLOOKUP(B54,'[2]RETAIL ORIGEN RMKT'!$B$11:$O$62,5,0),0)</f>
        <v>20</v>
      </c>
      <c r="W54" s="127">
        <f t="shared" ca="1" si="152"/>
        <v>0.68965517241379315</v>
      </c>
      <c r="X54" s="21">
        <f ca="1">SUMIF('UC BMW 2026'!$B$5:$B$77,'UC BMW 2026'!$B52,'UC BMW 2026'!$L$5:$L$72)</f>
        <v>28</v>
      </c>
      <c r="Y54" s="24">
        <f ca="1">SUMIF('UC BMW 2026'!$B$5:$B$77,'UC BMW 2026'!$B52,'UC BMW 2026'!$M$5:$M$72)</f>
        <v>35</v>
      </c>
      <c r="Z54" s="24">
        <f>IFERROR(VLOOKUP(B54,[2]BPS!$B$10:$O$64,6,0),0)-IF(B54=100873,IFERROR(VLOOKUP("Abril",[2]BPS!$B$74:$C$89,2,0),0),0)</f>
        <v>34</v>
      </c>
      <c r="AA54" s="282">
        <f t="shared" ca="1" si="153"/>
        <v>0.97142857142857142</v>
      </c>
      <c r="AB54" s="380">
        <f>IFERROR(VLOOKUP(B54,'[2]RETAIL ORIGEN RMKT'!$B$11:$O$62,6,0),0)</f>
        <v>19</v>
      </c>
      <c r="AC54" s="127">
        <f t="shared" ca="1" si="154"/>
        <v>0.6785714285714286</v>
      </c>
      <c r="AD54" s="21">
        <f ca="1">SUMIF('UC BMW 2026'!$B$5:$B$77,'UC BMW 2026'!$B52,'UC BMW 2026'!$N$5:$N$72)</f>
        <v>29</v>
      </c>
      <c r="AE54" s="24">
        <f ca="1">SUMIF('UC BMW 2026'!$B$5:$B$77,'UC BMW 2026'!$B52,'UC BMW 2026'!$O$5:$O$72)</f>
        <v>37</v>
      </c>
      <c r="AF54" s="24">
        <f>IFERROR(VLOOKUP(B54,[2]BPS!$B$10:$O$64,7,0),0)-IF(B54=100873,IFERROR(VLOOKUP("Mayo",[2]BPS!$B$74:$C$89,2,0),0),0)</f>
        <v>34</v>
      </c>
      <c r="AG54" s="282">
        <f t="shared" ca="1" si="155"/>
        <v>0.91891891891891897</v>
      </c>
      <c r="AH54" s="380">
        <f>IFERROR(VLOOKUP(B54,'[2]RETAIL ORIGEN RMKT'!$B$11:$O$62,7,0),0)</f>
        <v>12</v>
      </c>
      <c r="AI54" s="127">
        <f t="shared" ca="1" si="156"/>
        <v>0.41379310344827586</v>
      </c>
      <c r="AJ54" s="21">
        <f ca="1">SUMIF('UC BMW 2026'!$B$5:$B$77,'UC BMW 2026'!$B52,'UC BMW 2026'!$P$5:$P$72)</f>
        <v>29</v>
      </c>
      <c r="AK54" s="24">
        <f ca="1">SUMIF('UC BMW 2026'!$B$5:$B$77,'UC BMW 2026'!$B52,'UC BMW 2026'!$Q$5:$Q$72)</f>
        <v>36</v>
      </c>
      <c r="AL54" s="24">
        <f>IFERROR(VLOOKUP(B54,[2]BPS!$B$10:$O$64,8,0),0)-IF(B54=100873,IFERROR(VLOOKUP("Junio",[2]BPS!$B$74:$C$89,2,0),0),0)</f>
        <v>34</v>
      </c>
      <c r="AM54" s="282">
        <f t="shared" ca="1" si="157"/>
        <v>0.94444444444444442</v>
      </c>
      <c r="AN54" s="380">
        <f>IFERROR(VLOOKUP(B54,'[2]RETAIL ORIGEN RMKT'!$B$11:$O$62,8,0),0)</f>
        <v>12</v>
      </c>
      <c r="AO54" s="127">
        <f t="shared" ca="1" si="158"/>
        <v>0.41379310344827586</v>
      </c>
      <c r="AP54" s="21">
        <f ca="1">SUMIF('UC BMW 2026'!$B$5:$B$77,'UC BMW 2026'!$B52,'UC BMW 2026'!$R$5:$R$72)</f>
        <v>0</v>
      </c>
      <c r="AQ54" s="24">
        <f ca="1">SUMIF('UC BMW 2026'!$B$5:$B$77,'UC BMW 2026'!$B52,'UC BMW 2026'!$S$5:$S$72)</f>
        <v>0</v>
      </c>
      <c r="AR54" s="24">
        <f>IFERROR(VLOOKUP(B54,[2]BPS!$B$10:$O$64,9,0),0)-IF(B54=100873,IFERROR(VLOOKUP("Julio",[2]BPS!$B$74:$C$89,2,0),0),0)</f>
        <v>0</v>
      </c>
      <c r="AS54" s="282">
        <f t="shared" ca="1" si="159"/>
        <v>0</v>
      </c>
      <c r="AT54" s="380">
        <f>IFERROR(VLOOKUP(B54,'[2]RETAIL ORIGEN RMKT'!$B$11:$O$62,9,0),0)</f>
        <v>0</v>
      </c>
      <c r="AU54" s="127">
        <f t="shared" ca="1" si="160"/>
        <v>0</v>
      </c>
      <c r="AV54" s="21">
        <f ca="1">SUMIF('UC BMW 2026'!$B$5:$B$77,'UC BMW 2026'!$B52,'UC BMW 2026'!$T$5:$T$72)</f>
        <v>0</v>
      </c>
      <c r="AW54" s="24">
        <f ca="1">SUMIF('UC BMW 2026'!$B$5:$B$77,'UC BMW 2026'!$B52,'UC BMW 2026'!$U$5:$U$72)</f>
        <v>0</v>
      </c>
      <c r="AX54" s="24">
        <f>IFERROR(VLOOKUP(B54,[2]BPS!$B$10:$O$64,10,0),0)-IF(B54=100873,IFERROR(VLOOKUP("Agosto",[2]BPS!$B$74:$C$89,2,0),0),0)</f>
        <v>0</v>
      </c>
      <c r="AY54" s="282">
        <f t="shared" ca="1" si="161"/>
        <v>0</v>
      </c>
      <c r="AZ54" s="380">
        <f>IFERROR(VLOOKUP(B54,'[2]RETAIL ORIGEN RMKT'!$B$11:$O$62,10,0),0)</f>
        <v>0</v>
      </c>
      <c r="BA54" s="127">
        <f t="shared" ca="1" si="162"/>
        <v>0</v>
      </c>
      <c r="BB54" s="21">
        <f ca="1">SUMIF('UC BMW 2026'!$B$5:$B$77,'UC BMW 2026'!$B52,'UC BMW 2026'!$V$5:$V$72)</f>
        <v>0</v>
      </c>
      <c r="BC54" s="24">
        <f>SUMIF('UC BMW 2026'!$B$5:$B$77,'UC BMW 2026'!$B52,'UC BMW 2026'!$W$5:$W$77)</f>
        <v>0</v>
      </c>
      <c r="BD54" s="24">
        <f>IFERROR(VLOOKUP(B54,[2]BPS!$B$10:$O$64,11,0),0)-IF(B54=100873,IFERROR(VLOOKUP("Septiembre",[2]BPS!$B$74:$C$89,2,0),0),0)</f>
        <v>0</v>
      </c>
      <c r="BE54" s="282">
        <f t="shared" si="163"/>
        <v>0</v>
      </c>
      <c r="BF54" s="380">
        <f>IFERROR(VLOOKUP(B54,'[2]RETAIL ORIGEN RMKT'!$B$11:$O$62,11,0),0)</f>
        <v>0</v>
      </c>
      <c r="BG54" s="127">
        <f t="shared" ca="1" si="164"/>
        <v>0</v>
      </c>
      <c r="BH54" s="21">
        <f>SUMIF('UC BMW 2026'!$B$5:$B$77,'UC BMW 2026'!$B52,'UC BMW 2026'!$X$5:$X$77)</f>
        <v>0</v>
      </c>
      <c r="BI54" s="24">
        <f>SUMIF('UC BMW 2026'!$B$5:$B$77,'UC BMW 2026'!$B52,'UC BMW 2026'!$Y$5:$Y$77)</f>
        <v>0</v>
      </c>
      <c r="BJ54" s="24">
        <f>IFERROR(VLOOKUP(B54,[2]BPS!$B$10:$O$64,12,0),0)-IF(B54=100873,IFERROR(VLOOKUP("Octubre",[2]BPS!$B$74:$C$89,2,0),0),0)</f>
        <v>0</v>
      </c>
      <c r="BK54" s="282">
        <f t="shared" si="165"/>
        <v>0</v>
      </c>
      <c r="BL54" s="380">
        <f>IFERROR(VLOOKUP(B54,'[2]RETAIL ORIGEN RMKT'!$B$11:$O$62,12,0),0)</f>
        <v>0</v>
      </c>
      <c r="BM54" s="127">
        <f t="shared" si="166"/>
        <v>0</v>
      </c>
      <c r="BN54" s="21">
        <f>SUMIF('UC BMW 2026'!$B$5:$B$77,'UC BMW 2026'!$B52,'UC BMW 2026'!$Z$5:$Z$77)</f>
        <v>0</v>
      </c>
      <c r="BO54" s="24">
        <f>SUMIF('UC BMW 2026'!$B$5:$B$77,'UC BMW 2026'!$B52,'UC BMW 2026'!$AA$5:$AA$77)</f>
        <v>0</v>
      </c>
      <c r="BP54" s="24">
        <f>IFERROR(VLOOKUP(B54,[2]BPS!$B$10:$O$64,13,0),0)-IF(B54=100873,IFERROR(VLOOKUP("Noviembre",[2]BPS!$B$74:$C$89,2,0),0),0)</f>
        <v>0</v>
      </c>
      <c r="BQ54" s="282">
        <f t="shared" si="167"/>
        <v>0</v>
      </c>
      <c r="BR54" s="380">
        <f>IFERROR(VLOOKUP(B54,'[2]RETAIL ORIGEN RMKT'!$B$11:$O$62,13,0),0)</f>
        <v>0</v>
      </c>
      <c r="BS54" s="127">
        <f t="shared" si="168"/>
        <v>0</v>
      </c>
      <c r="BT54" s="21">
        <f>SUMIF('UC BMW 2026'!$B$5:$B$77,'UC BMW 2026'!$B52,'UC BMW 2026'!$AB$5:$AB$77)</f>
        <v>0</v>
      </c>
      <c r="BU54" s="24">
        <f>SUMIF('UC BMW 2026'!$B$5:$B$77,'UC BMW 2026'!$B52,'UC BMW 2026'!$AC$5:$AC$77)</f>
        <v>0</v>
      </c>
      <c r="BV54" s="24">
        <f>IFERROR(VLOOKUP(B54,[2]BPS!$B$10:$O$64,13,0),0)-IF(B54=100873,IFERROR(VLOOKUP("Diciembre",[2]BPS!$B$74:$C$89,2,0),0),0)</f>
        <v>0</v>
      </c>
      <c r="BW54" s="282">
        <f t="shared" si="169"/>
        <v>0</v>
      </c>
      <c r="BX54" s="380">
        <f>IFERROR(VLOOKUP(B54,'[2]RETAIL ORIGEN RMKT'!$B$11:$O$62,14,0),0)</f>
        <v>0</v>
      </c>
      <c r="BY54" s="127">
        <f t="shared" si="170"/>
        <v>0</v>
      </c>
      <c r="BZ54" s="25">
        <f t="shared" ca="1" si="200"/>
        <v>171</v>
      </c>
      <c r="CA54" s="27">
        <f t="shared" ca="1" si="200"/>
        <v>212</v>
      </c>
      <c r="CB54" s="287">
        <f t="shared" ca="1" si="171"/>
        <v>1.239766081871345</v>
      </c>
      <c r="CC54" s="294">
        <f>IFERROR(IF($BZ$4="ENERO",H54,IF($BZ$4="FEBRERO",H54+N56,IF($BZ$4="MARZO",H54+N56+T54,IF($BZ$4="ABRIL",H54+N56+T54+Z54,IF($BZ$4="MAYO",H54+N56+T54+Z54+AF54,IF($BZ$4="JUNIO",H54+N56+T54+Z54+AF54+AL54,IF($BZ$4="JULIO",H54+N56+T54+Z54+AF54+AL54+AR54,IF($BZ$4="AGOSTO",H54+N56+T54+Z54+AF54+AL54+AR54+AX54,IF($BZ$4="SEPTIEMBRE",H54+N56+T54+Z54+AF54+AL54+AR54+AX54+BD54,IF($BZ$4="OCTUBRE",H54+N56+T54+Z54+AF54+AL54+AR54+AX54+BD54+BJ54,IF($BZ$4="NOVIEMBRE",H54+N56+T54+Z54+AF54+AL54+AR54+AX54+BD54+BJ54+BP54,IF($BZ$4="DICIEMBRE",H54+N56+T54+Z54+AF54+AL54+AR54+AX54+BD54+BJ54+BP54+BV54,"")))))))))))),0)</f>
        <v>188</v>
      </c>
      <c r="CD54" s="287">
        <f t="shared" ca="1" si="172"/>
        <v>0.8867924528301887</v>
      </c>
      <c r="CE54" s="24">
        <f t="shared" si="173"/>
        <v>79</v>
      </c>
      <c r="CF54" s="129">
        <f t="shared" ca="1" si="174"/>
        <v>0.46198830409356723</v>
      </c>
      <c r="CG54" s="25">
        <f t="shared" ca="1" si="175"/>
        <v>171</v>
      </c>
      <c r="CH54" s="27">
        <f t="shared" ca="1" si="176"/>
        <v>212</v>
      </c>
      <c r="CI54" s="287">
        <f t="shared" ca="1" si="177"/>
        <v>1.239766081871345</v>
      </c>
      <c r="CJ54" s="294">
        <f t="shared" si="178"/>
        <v>191</v>
      </c>
      <c r="CK54" s="287">
        <f t="shared" ca="1" si="179"/>
        <v>0.90094339622641506</v>
      </c>
      <c r="CL54" s="27">
        <f t="shared" si="180"/>
        <v>79</v>
      </c>
      <c r="CM54" s="129">
        <f t="shared" ca="1" si="181"/>
        <v>0.46198830409356723</v>
      </c>
      <c r="CN54" s="25">
        <f t="shared" ca="1" si="201"/>
        <v>85</v>
      </c>
      <c r="CO54" s="27">
        <f t="shared" ca="1" si="201"/>
        <v>104</v>
      </c>
      <c r="CP54" s="287">
        <f t="shared" ca="1" si="182"/>
        <v>1.223529411764706</v>
      </c>
      <c r="CQ54" s="294">
        <f>IF($CN$5="Q1",H54+N56+T54,
IF($CN$5="Q2",Z54+AF54++AL54,
IF($CN$5="Q3",AR54+AX54+BD54,
IF($CN$5="Q4",BJ54+BP54+BV54,0))))</f>
        <v>86</v>
      </c>
      <c r="CR54" s="287">
        <f t="shared" ca="1" si="183"/>
        <v>0.82692307692307687</v>
      </c>
      <c r="CS54" s="27">
        <f t="shared" si="184"/>
        <v>0</v>
      </c>
      <c r="CT54" s="129">
        <f t="shared" ca="1" si="185"/>
        <v>0</v>
      </c>
      <c r="CU54" s="25">
        <f t="shared" ca="1" si="186"/>
        <v>171</v>
      </c>
      <c r="CV54" s="27">
        <f t="shared" ca="1" si="186"/>
        <v>212</v>
      </c>
      <c r="CW54" s="287">
        <f t="shared" ca="1" si="187"/>
        <v>1.239766081871345</v>
      </c>
      <c r="CX54" s="27">
        <f>IFERROR(IF($CU$5="S 1",H54+N56+T54+Z54+AF54++AL54,
IF($CU$5="S 2",AR54+AX54+BD54+BJ54+BP54+BV54,0)),0)</f>
        <v>188</v>
      </c>
      <c r="CY54" s="287">
        <f t="shared" ca="1" si="188"/>
        <v>0.8867924528301887</v>
      </c>
      <c r="CZ54" s="27">
        <f t="shared" si="189"/>
        <v>79</v>
      </c>
      <c r="DA54" s="130">
        <f t="shared" ca="1" si="190"/>
        <v>0.46198830409356723</v>
      </c>
      <c r="DB54" s="25">
        <f t="shared" ca="1" si="202"/>
        <v>0</v>
      </c>
      <c r="DC54" s="27">
        <f t="shared" ca="1" si="202"/>
        <v>0</v>
      </c>
      <c r="DD54" s="287">
        <f t="shared" ca="1" si="191"/>
        <v>0</v>
      </c>
      <c r="DE54" s="27">
        <f>IFERROR(IF($DB$5="S 1",H54+N56+T54+Z54+AF54++AL54,
IF($DB$5="S 2",AR54+AX54+BD54+BJ54+BP54+BV54,0)),0)</f>
        <v>0</v>
      </c>
      <c r="DF54" s="287" t="str">
        <f t="shared" ca="1" si="192"/>
        <v>N.D.</v>
      </c>
      <c r="DG54" s="27">
        <f t="shared" si="193"/>
        <v>0</v>
      </c>
      <c r="DH54" s="130">
        <f t="shared" ca="1" si="194"/>
        <v>0</v>
      </c>
      <c r="DI54" s="510">
        <v>1</v>
      </c>
      <c r="DJ54" s="374" t="s">
        <v>65</v>
      </c>
      <c r="DK54" s="25">
        <f t="shared" ca="1" si="195"/>
        <v>171</v>
      </c>
      <c r="DL54" s="27">
        <f t="shared" ca="1" si="195"/>
        <v>212</v>
      </c>
      <c r="DM54" s="287">
        <f t="shared" ca="1" si="196"/>
        <v>1.239766081871345</v>
      </c>
      <c r="DN54" s="294">
        <f>IFERROR(IF($BZ$4="ENERO",H54,IF($BZ$4="FEBRERO",H54+N56,IF($BZ$4="MARZO",H54+N56+T54,IF($BZ$4="ABRIL",H54+N56+T54+Z54,IF($BZ$4="MAYO",H54+N56+T54+Z54+AF54,IF($BZ$4="JUNIO",H54+N56+T54+Z54+AF54+AL54,IF($BZ$4="JULIO",H54+N56+T54+Z54+AF54+AL54+AR54,IF($BZ$4="AGOSTO",H54+N56+T54+Z54+AF54+AL54+AR54+AX54,IF($BZ$4="SEPTIEMBRE",H54+N56+T54+Z54+AF54+AL54+AR54+AX54+BD54,IF($BZ$4="OCTUBRE",H54+N56+T54+Z54+AF54+AL54+AR54+AX54+BD54+BJ54,IF($BZ$4="NOVIEMBRE",H54+N56+T54+Z54+AF54+AL54+AR54+AX54+BD54+BJ54+BP54,IF($BZ$4="DICIEMBRE",H54+N56+T54+Z54+AF54+AL54+AR54+AX54+BD54+BJ54+BP54+BV54,"")))))))))))),0)</f>
        <v>188</v>
      </c>
      <c r="DO54" s="287">
        <f t="shared" ca="1" si="197"/>
        <v>0.8867924528301887</v>
      </c>
      <c r="DP54" s="27">
        <f t="shared" si="198"/>
        <v>79</v>
      </c>
      <c r="DQ54" s="130">
        <f t="shared" ca="1" si="199"/>
        <v>0.46198830409356723</v>
      </c>
      <c r="DR54"/>
      <c r="DS54" s="4">
        <f ca="1"/>
        <v>42</v>
      </c>
      <c r="DT54" s="4">
        <f ca="1"/>
        <v>32</v>
      </c>
      <c r="DU54" s="508">
        <f ca="1"/>
        <v>0.66666666666666663</v>
      </c>
      <c r="DW54" s="508">
        <f ca="1"/>
        <v>0.78021978021978022</v>
      </c>
      <c r="DX54" s="4">
        <v>2</v>
      </c>
      <c r="DY54" s="508">
        <f ca="1"/>
        <v>8.3333333333333329E-2</v>
      </c>
    </row>
    <row r="55" spans="1:129" s="4" customFormat="1" ht="15" customHeight="1" thickBot="1" x14ac:dyDescent="0.4">
      <c r="A55" s="4">
        <f>_xlfn.XLOOKUP(B55,'WHOLESALE BMW 2026'!$B$7:$B$67,'WHOLESALE BMW 2026'!$A$7:$A$67)</f>
        <v>0</v>
      </c>
      <c r="B55" s="7" t="s">
        <v>270</v>
      </c>
      <c r="C55" s="28"/>
      <c r="D55" s="125"/>
      <c r="E55" s="7"/>
      <c r="F55" s="200">
        <f ca="1">SUM(F49:F54)</f>
        <v>125</v>
      </c>
      <c r="G55" s="410">
        <f ca="1">SUM(G49:G54)</f>
        <v>99</v>
      </c>
      <c r="H55" s="88">
        <f>SUM(H49:H54)</f>
        <v>89</v>
      </c>
      <c r="I55" s="413">
        <f t="shared" ca="1" si="148"/>
        <v>0.89898989898989901</v>
      </c>
      <c r="J55" s="414">
        <f>SUM(J49:J54)</f>
        <v>21</v>
      </c>
      <c r="K55" s="133">
        <f t="shared" ca="1" si="149"/>
        <v>0.16800000000000001</v>
      </c>
      <c r="L55" s="200">
        <f ca="1">SUM(L49:L54)</f>
        <v>125</v>
      </c>
      <c r="M55" s="410">
        <f ca="1">SUM(M49:M54)</f>
        <v>126</v>
      </c>
      <c r="N55" s="88">
        <f>SUM(N49:N54)</f>
        <v>117</v>
      </c>
      <c r="O55" s="413">
        <f t="shared" ref="O55:O70" ca="1" si="203">IFERROR(N55/M55,0)</f>
        <v>0.9285714285714286</v>
      </c>
      <c r="P55" s="414">
        <f>SUM(P49:P54)</f>
        <v>41</v>
      </c>
      <c r="Q55" s="133">
        <f t="shared" ref="Q55:Q70" ca="1" si="204">IFERROR(P55/L55,0)</f>
        <v>0.32800000000000001</v>
      </c>
      <c r="R55" s="200">
        <f ca="1">SUM(R49:R54)</f>
        <v>127</v>
      </c>
      <c r="S55" s="410">
        <f ca="1">SUM(S49:S54)</f>
        <v>138</v>
      </c>
      <c r="T55" s="88">
        <f>SUM(T49:T54)</f>
        <v>121</v>
      </c>
      <c r="U55" s="413">
        <f t="shared" ca="1" si="151"/>
        <v>0.87681159420289856</v>
      </c>
      <c r="V55" s="414">
        <f>SUM(V49:V54)</f>
        <v>56</v>
      </c>
      <c r="W55" s="133">
        <f t="shared" ca="1" si="152"/>
        <v>0.44094488188976377</v>
      </c>
      <c r="X55" s="200">
        <f ca="1">SUM(X49:X54)</f>
        <v>125</v>
      </c>
      <c r="Y55" s="410">
        <f ca="1">SUM(Y49:Y54)</f>
        <v>128</v>
      </c>
      <c r="Z55" s="88">
        <f>SUM(Z49:Z54)</f>
        <v>124</v>
      </c>
      <c r="AA55" s="413">
        <f t="shared" ca="1" si="153"/>
        <v>0.96875</v>
      </c>
      <c r="AB55" s="414">
        <f>SUM(AB49:AB54)</f>
        <v>53</v>
      </c>
      <c r="AC55" s="133">
        <f t="shared" ca="1" si="154"/>
        <v>0.42399999999999999</v>
      </c>
      <c r="AD55" s="200">
        <f ca="1">SUM(AD49:AD54)</f>
        <v>127</v>
      </c>
      <c r="AE55" s="410">
        <f ca="1">SUM(AE49:AE54)</f>
        <v>120</v>
      </c>
      <c r="AF55" s="88">
        <f>SUM(AF49:AF54)</f>
        <v>114</v>
      </c>
      <c r="AG55" s="413">
        <f t="shared" ca="1" si="155"/>
        <v>0.95</v>
      </c>
      <c r="AH55" s="414">
        <f>SUM(AH49:AH54)</f>
        <v>41</v>
      </c>
      <c r="AI55" s="133">
        <f t="shared" ca="1" si="156"/>
        <v>0.32283464566929132</v>
      </c>
      <c r="AJ55" s="200">
        <f ca="1">SUM(AJ49:AJ54)</f>
        <v>128</v>
      </c>
      <c r="AK55" s="410">
        <f ca="1">SUM(AK49:AK54)</f>
        <v>183</v>
      </c>
      <c r="AL55" s="88">
        <f>SUM(AL49:AL54)</f>
        <v>170</v>
      </c>
      <c r="AM55" s="413">
        <f t="shared" ca="1" si="157"/>
        <v>0.92896174863387981</v>
      </c>
      <c r="AN55" s="414">
        <f>SUM(AN49:AN54)</f>
        <v>65</v>
      </c>
      <c r="AO55" s="133">
        <f t="shared" ca="1" si="158"/>
        <v>0.5078125</v>
      </c>
      <c r="AP55" s="200">
        <f ca="1">SUM(AP49:AP54)</f>
        <v>0</v>
      </c>
      <c r="AQ55" s="410">
        <f ca="1">SUM(AQ49:AQ54)</f>
        <v>0</v>
      </c>
      <c r="AR55" s="88">
        <f>SUM(AR49:AR54)</f>
        <v>0</v>
      </c>
      <c r="AS55" s="413">
        <f t="shared" ca="1" si="159"/>
        <v>0</v>
      </c>
      <c r="AT55" s="414">
        <f>SUM(AT49:AT54)</f>
        <v>0</v>
      </c>
      <c r="AU55" s="133">
        <f t="shared" ca="1" si="160"/>
        <v>0</v>
      </c>
      <c r="AV55" s="200">
        <f ca="1">SUM(AV49:AV54)</f>
        <v>0</v>
      </c>
      <c r="AW55" s="410">
        <f ca="1">SUM(AW49:AW54)</f>
        <v>0</v>
      </c>
      <c r="AX55" s="88">
        <f>SUM(AX49:AX54)</f>
        <v>0</v>
      </c>
      <c r="AY55" s="413">
        <f t="shared" ca="1" si="161"/>
        <v>0</v>
      </c>
      <c r="AZ55" s="414">
        <f>SUM(AZ49:AZ54)</f>
        <v>0</v>
      </c>
      <c r="BA55" s="133">
        <f t="shared" ca="1" si="162"/>
        <v>0</v>
      </c>
      <c r="BB55" s="200">
        <f ca="1">SUM(BB49:BB54)</f>
        <v>0</v>
      </c>
      <c r="BC55" s="410">
        <f>SUM(BC49:BC54)</f>
        <v>0</v>
      </c>
      <c r="BD55" s="88">
        <f>SUM(BD49:BD54)</f>
        <v>0</v>
      </c>
      <c r="BE55" s="413">
        <f t="shared" si="163"/>
        <v>0</v>
      </c>
      <c r="BF55" s="414">
        <f>SUM(BF49:BF54)</f>
        <v>0</v>
      </c>
      <c r="BG55" s="133">
        <f t="shared" ca="1" si="164"/>
        <v>0</v>
      </c>
      <c r="BH55" s="200">
        <f>SUM(BH49:BH54)</f>
        <v>0</v>
      </c>
      <c r="BI55" s="410">
        <f>SUM(BI49:BI54)</f>
        <v>0</v>
      </c>
      <c r="BJ55" s="88">
        <f>SUM(BJ49:BJ54)</f>
        <v>0</v>
      </c>
      <c r="BK55" s="413">
        <f t="shared" si="165"/>
        <v>0</v>
      </c>
      <c r="BL55" s="414">
        <f>SUM(BL49:BL54)</f>
        <v>0</v>
      </c>
      <c r="BM55" s="133">
        <f t="shared" si="166"/>
        <v>0</v>
      </c>
      <c r="BN55" s="200">
        <f>SUM(BN49:BN54)</f>
        <v>0</v>
      </c>
      <c r="BO55" s="410">
        <f>SUM(BO49:BO54)</f>
        <v>0</v>
      </c>
      <c r="BP55" s="88">
        <f>SUM(BP49:BP54)</f>
        <v>0</v>
      </c>
      <c r="BQ55" s="413">
        <f t="shared" si="167"/>
        <v>0</v>
      </c>
      <c r="BR55" s="414">
        <f>SUM(BR49:BR54)</f>
        <v>0</v>
      </c>
      <c r="BS55" s="133">
        <f t="shared" si="168"/>
        <v>0</v>
      </c>
      <c r="BT55" s="200">
        <f>SUM(BT49:BT54)</f>
        <v>0</v>
      </c>
      <c r="BU55" s="410">
        <f>SUM(BU49:BU54)</f>
        <v>0</v>
      </c>
      <c r="BV55" s="88">
        <f>SUM(BV49:BV54)</f>
        <v>0</v>
      </c>
      <c r="BW55" s="413">
        <f t="shared" si="169"/>
        <v>0</v>
      </c>
      <c r="BX55" s="414">
        <f>SUM(BX49:BX54)</f>
        <v>0</v>
      </c>
      <c r="BY55" s="133">
        <f t="shared" si="170"/>
        <v>0</v>
      </c>
      <c r="BZ55" s="200">
        <f ca="1">SUM(BZ49:BZ54)</f>
        <v>757</v>
      </c>
      <c r="CA55" s="258">
        <f ca="1">SUM(CA49:CA54)</f>
        <v>794</v>
      </c>
      <c r="CB55" s="132">
        <f t="shared" ref="CB55:CB70" ca="1" si="205">IFERROR((CA55/BZ55),0)</f>
        <v>1.0488771466314399</v>
      </c>
      <c r="CC55" s="278">
        <f>SUM(CC49:CC54)</f>
        <v>732</v>
      </c>
      <c r="CD55" s="132">
        <f ca="1">CC55/CA55</f>
        <v>0.92191435768261965</v>
      </c>
      <c r="CE55" s="278">
        <f>SUM(CE49:CE54)</f>
        <v>277</v>
      </c>
      <c r="CF55" s="275">
        <f t="shared" ref="CF55:CF70" ca="1" si="206">IFERROR(CE55/BZ55,0)</f>
        <v>0.36591809775429324</v>
      </c>
      <c r="CG55" s="200">
        <f ca="1">SUM(CG49:CG54)</f>
        <v>757</v>
      </c>
      <c r="CH55" s="258">
        <f ca="1">SUM(CH49:CH54)</f>
        <v>794</v>
      </c>
      <c r="CI55" s="132">
        <f t="shared" ref="CI55:CI70" ca="1" si="207">IFERROR((CH55/CG55),0)</f>
        <v>1.0488771466314399</v>
      </c>
      <c r="CJ55" s="278">
        <f>SUM(CJ49:CJ54)</f>
        <v>735</v>
      </c>
      <c r="CK55" s="132">
        <f ca="1">IF(CH55=0,"N.D.",CJ55/CH55)</f>
        <v>0.9256926952141058</v>
      </c>
      <c r="CL55" s="258">
        <f>J55+P55+V55+AB55+AH55+AN55+AT55+AZ55+BF55+BL55+BR55+BX55</f>
        <v>277</v>
      </c>
      <c r="CM55" s="275">
        <f t="shared" ref="CM55:CM70" ca="1" si="208">IFERROR(CL55/CG55,0)</f>
        <v>0.36591809775429324</v>
      </c>
      <c r="CN55" s="200">
        <f ca="1">SUM(CN49:CN54)</f>
        <v>377</v>
      </c>
      <c r="CO55" s="258">
        <f ca="1">SUM(CO49:CO54)</f>
        <v>363</v>
      </c>
      <c r="CP55" s="132">
        <f t="shared" ref="CP55:CP68" ca="1" si="209">IFERROR((CO55/CN55),0)</f>
        <v>0.96286472148541113</v>
      </c>
      <c r="CQ55" s="278">
        <f>SUM(CQ49:CQ54)</f>
        <v>324</v>
      </c>
      <c r="CR55" s="132">
        <f t="shared" ref="CR55:CR68" ca="1" si="210">IF(CO55=0,"N.D.",CQ55/CO55)</f>
        <v>0.8925619834710744</v>
      </c>
      <c r="CS55" s="258">
        <f t="shared" ref="CS55:CS68" si="211">IF($CZ$5="Q1",J55+P55+V55,
IF($CZ$5="Q2",AB55+AH55+AN55,
IF($CZ$5="Q3",AT55+AZ55+BF55,
IF($CZ$5="Q4",BL55+BR55+BX55,0))))</f>
        <v>0</v>
      </c>
      <c r="CT55" s="275">
        <f t="shared" ref="CT55:CT68" ca="1" si="212">IFERROR(CS55/CN55,0)</f>
        <v>0</v>
      </c>
      <c r="CU55" s="200">
        <f t="shared" ca="1" si="78"/>
        <v>757</v>
      </c>
      <c r="CV55" s="258">
        <f t="shared" ca="1" si="78"/>
        <v>794</v>
      </c>
      <c r="CW55" s="132">
        <f t="shared" ref="CW55:CW70" ca="1" si="213">IFERROR((CV55/CU55),0)</f>
        <v>1.0488771466314399</v>
      </c>
      <c r="CX55" s="258">
        <f>IFERROR(IF($CU$5="S 1",H55+N55+T55+Z55+AF55++AL55,
IF($CU$5="S 2",AR55+AX55+BD55+BJ55+BP55+BV55,0)),0)</f>
        <v>735</v>
      </c>
      <c r="CY55" s="132">
        <f t="shared" ref="CY55:CY70" ca="1" si="214">IF(CV55=0,"N.D.",CX55/CV55)</f>
        <v>0.9256926952141058</v>
      </c>
      <c r="CZ55" s="258">
        <f t="shared" ref="CZ55:CZ67" si="215">IFERROR(IF($CU$5="S 1",J55+P55+V55+AB55+AH55+AN55,
IF($CU$5="S 2",AT55+AZ55+BF55+BL55+BR55+BX55,0)),0)</f>
        <v>277</v>
      </c>
      <c r="DA55" s="275">
        <f t="shared" ref="DA55:DA70" ca="1" si="216">IFERROR(CZ55/CU55,0)</f>
        <v>0.36591809775429324</v>
      </c>
      <c r="DB55" s="258">
        <f ca="1">IFERROR(SUM(DB49:DB54),0)</f>
        <v>0</v>
      </c>
      <c r="DC55" s="258">
        <f ca="1">IFERROR(SUM(DC49:DC54),0)</f>
        <v>0</v>
      </c>
      <c r="DD55" s="132">
        <f t="shared" ref="DD55:DD68" ca="1" si="217">IFERROR((DC55/DB55),0)</f>
        <v>0</v>
      </c>
      <c r="DE55" s="258">
        <f>IFERROR(SUM(DE49:DE54),0)</f>
        <v>0</v>
      </c>
      <c r="DF55" s="132" t="str">
        <f t="shared" ref="DF55:DF68" ca="1" si="218">IF(DC55=0,"N.D.",DE55/DC55)</f>
        <v>N.D.</v>
      </c>
      <c r="DG55" s="258">
        <f>IFERROR(SUM(DG49:DG54),0)</f>
        <v>0</v>
      </c>
      <c r="DH55" s="275">
        <f t="shared" ref="DH55:DH68" ca="1" si="219">IFERROR(DG55/DB55,0)</f>
        <v>0</v>
      </c>
      <c r="DI55" s="510">
        <v>0</v>
      </c>
      <c r="DJ55" s="28"/>
      <c r="DK55" s="200">
        <f ca="1">IF($BZ$4="ENERO",F55,IF($BZ$4="FEBRERO",F55+L55,IF($BZ$4="MARZO",F55+L55+R55,IF($BZ$4="ABRIL",F55+L55+R55+X55,IF($BZ$4="MAYO",F55+L55+R55+X55+AD55,IF($BZ$4="JUNIO",F55+L55+R55+X55+AD55+AJ55,IF($BZ$4="JULIO",F55+L55+R55+X55+AD55+AJ55+AP55,IF($BZ$4="AGOSTO",F55+L55+R55+X55+AD55+AJ55+AP55+AV55,IF($BZ$4="SEPTIEMBRE",F55+L55+R55+X55+AD55+AJ55+AP55+AV55+BB55,IF($BZ$4="OCTUBRE",F55+L55+R55+X55+AD55+AJ55+AP55+AV55+BB55+BH55,IF($BZ$4="NOVIEMBRE",F55+L55+R55+X55+AD55+AJ55+AP55+AV55+BB55+BH55+BN55,IF($BZ$4="DICIEMBRE",F55+L55+R55+X55+AD55+AJ55+AP55+AV55+BB55+BH55+BN55+BT55,""))))))))))))</f>
        <v>757</v>
      </c>
      <c r="DL55" s="258">
        <f t="shared" ca="1" si="79"/>
        <v>794</v>
      </c>
      <c r="DM55" s="132">
        <f t="shared" ref="DM55:DM68" ca="1" si="220">IFERROR((CA55/BZ55),0)</f>
        <v>1.0488771466314399</v>
      </c>
      <c r="DN55" s="278">
        <f>IFERROR(IF($BZ$4="ENERO",H55,IF($BZ$4="FEBRERO",H55+N55,IF($BZ$4="MARZO",H55+N55+T55,IF($BZ$4="ABRIL",H55+N55+T55+Z55,IF($BZ$4="MAYO",H55+N55+T55+Z55+AF55,IF($BZ$4="JUNIO",H55+N55+T55+Z55+AF55+AL55,IF($BZ$4="JULIO",H55+N55+T55+Z55+AF55+AL55+AR55,IF($BZ$4="AGOSTO",H55+N55+T55+Z55+AF55+AL55+AR55+AX55,IF($BZ$4="SEPTIEMBRE",H55+N55+T55+Z55+AF55+AL55+AR55+AX55+BD55,IF($BZ$4="OCTUBRE",H55+N55+T55+Z55+AF55+AL55+AR55+AX55+BD55+BJ55,IF($BZ$4="NOVIEMBRE",H55+N55+T55+Z55+AF55+AL55+AR55+AX55+BD55+BJ55+BP55,IF($BZ$4="DICIEMBRE",H55+N55+T55+Z55+AF55+AL55+AR55+AX55+BD55+BJ55+BP55+BV55,"")))))))))))),0)</f>
        <v>735</v>
      </c>
      <c r="DO55" s="132">
        <f t="shared" ref="DO55:DO68" ca="1" si="221">IFERROR(IF(CA55=0,"N.D.",CC55/CA55),0)</f>
        <v>0.92191435768261965</v>
      </c>
      <c r="DP55" s="258">
        <f t="shared" ref="DP55:DP68" si="222">IFERROR(J55+P55+V55+AB55+AH55+AN55+AT55+AZ55+BF55+BL55+BR55+BX55,0)</f>
        <v>277</v>
      </c>
      <c r="DQ55" s="275">
        <f t="shared" ref="DQ55:DQ68" ca="1" si="223">IFERROR(CE55/BZ55,0)</f>
        <v>0.36591809775429324</v>
      </c>
      <c r="DR55"/>
      <c r="DS55" s="4">
        <f ca="1"/>
        <v>38</v>
      </c>
      <c r="DT55" s="4">
        <f ca="1"/>
        <v>29</v>
      </c>
      <c r="DU55" s="508">
        <f ca="1"/>
        <v>0.55555555555555558</v>
      </c>
      <c r="DW55" s="508">
        <f ca="1"/>
        <v>0.69230769230769229</v>
      </c>
      <c r="DX55" s="4">
        <v>1</v>
      </c>
      <c r="DY55" s="508">
        <f ca="1"/>
        <v>1.6666666666666666E-2</v>
      </c>
    </row>
    <row r="56" spans="1:129" s="4" customFormat="1" ht="15" customHeight="1" x14ac:dyDescent="0.35">
      <c r="A56" s="4">
        <f>_xlfn.XLOOKUP(B56,'WHOLESALE BMW 2026'!$B$7:$B$67,'WHOLESALE BMW 2026'!$A$7:$A$67)</f>
        <v>9</v>
      </c>
      <c r="B56" s="8">
        <v>100734</v>
      </c>
      <c r="C56" s="369" t="s">
        <v>59</v>
      </c>
      <c r="D56" s="125"/>
      <c r="E56" s="309" t="s">
        <v>95</v>
      </c>
      <c r="F56" s="21">
        <f ca="1">SUMIF('UC BMW 2026'!B54:B130,'UC BMW 2026'!B54,'UC BMW 2026'!F54:F121)</f>
        <v>33</v>
      </c>
      <c r="G56" s="24">
        <f ca="1">SUMIF('UC BMW 2026'!$B$5:$B$77,'UC BMW 2026'!B54,'UC BMW 2026'!$G$5:$G$72)</f>
        <v>23</v>
      </c>
      <c r="H56" s="24">
        <f>IFERROR(VLOOKUP(B56,[2]BPS!$B$10:$O$64,3,0),0)-IF(B56=100873,IFERROR(VLOOKUP("Enero",[2]BPS!$B$74:$C$89,2,0),0),0)</f>
        <v>23</v>
      </c>
      <c r="I56" s="285">
        <f t="shared" ca="1" si="148"/>
        <v>1</v>
      </c>
      <c r="J56" s="380">
        <f>IFERROR(VLOOKUP(B56,'[2]RETAIL ORIGEN RMKT'!$B$11:$O$62,3,0),0)</f>
        <v>4</v>
      </c>
      <c r="K56" s="127">
        <f t="shared" ca="1" si="149"/>
        <v>0.12121212121212122</v>
      </c>
      <c r="L56" s="21">
        <f ca="1">SUMIF('UC BMW 2026'!$B$5:$B$77,'UC BMW 2026'!$B54,'UC BMW 2026'!$H$5:$H$72)</f>
        <v>33</v>
      </c>
      <c r="M56" s="24">
        <f ca="1">SUMIF('UC BMW 2026'!$B$5:$B$77,'UC BMW 2026'!$B54,'UC BMW 2026'!$I$5:$I$72)</f>
        <v>35</v>
      </c>
      <c r="N56" s="24">
        <f>IFERROR(VLOOKUP(B56,[2]BPS!$B$10:$O$64,4,0),0)-IF(B56=100873,IFERROR(VLOOKUP("Febrero",[2]BPS!$B$74:$C$89,2,0),0),0)</f>
        <v>27</v>
      </c>
      <c r="O56" s="285">
        <f t="shared" ca="1" si="203"/>
        <v>0.77142857142857146</v>
      </c>
      <c r="P56" s="380">
        <f>IFERROR(VLOOKUP(B56,'[2]RETAIL ORIGEN RMKT'!$B$11:$O$62,4,0),0)</f>
        <v>12</v>
      </c>
      <c r="Q56" s="127">
        <f t="shared" ca="1" si="204"/>
        <v>0.36363636363636365</v>
      </c>
      <c r="R56" s="21">
        <f ca="1">SUMIF('UC BMW 2026'!$B$5:$B$77,'UC BMW 2026'!$B54,'UC BMW 2026'!$J$5:$J$72)</f>
        <v>34</v>
      </c>
      <c r="S56" s="24">
        <f ca="1">SUMIF('UC BMW 2026'!$B$5:$B$77,'UC BMW 2026'!$B54,'UC BMW 2026'!$K$5:$K$72)</f>
        <v>39</v>
      </c>
      <c r="T56" s="24">
        <f>IFERROR(VLOOKUP(B56,[2]BPS!$B$10:$O$64,5,0),0)-IF(B56=100873,IFERROR(VLOOKUP("Marzo",[2]BPS!$B$74:$C$89,2,0),0),0)</f>
        <v>24</v>
      </c>
      <c r="U56" s="285">
        <f t="shared" ref="U56:U70" ca="1" si="224">IFERROR(T56/S56,0)</f>
        <v>0.61538461538461542</v>
      </c>
      <c r="V56" s="380">
        <f>IFERROR(VLOOKUP(B56,'[2]RETAIL ORIGEN RMKT'!$B$11:$O$62,5,0),0)</f>
        <v>18</v>
      </c>
      <c r="W56" s="127">
        <f t="shared" ref="W56:W70" ca="1" si="225">IFERROR(V56/R56,0)</f>
        <v>0.52941176470588236</v>
      </c>
      <c r="X56" s="21">
        <f ca="1">SUMIF('UC BMW 2026'!$B$5:$B$77,'UC BMW 2026'!$B54,'UC BMW 2026'!$L$5:$L$72)</f>
        <v>33</v>
      </c>
      <c r="Y56" s="24">
        <f ca="1">SUMIF('UC BMW 2026'!$B$5:$B$77,'UC BMW 2026'!$B54,'UC BMW 2026'!$M$5:$M$72)</f>
        <v>23</v>
      </c>
      <c r="Z56" s="24">
        <f>IFERROR(VLOOKUP(B56,[2]BPS!$B$10:$O$64,6,0),0)-IF(B56=100873,IFERROR(VLOOKUP("Abril",[2]BPS!$B$74:$C$89,2,0),0),0)</f>
        <v>20</v>
      </c>
      <c r="AA56" s="285">
        <f t="shared" ref="AA56:AA70" ca="1" si="226">IFERROR(Z56/Y56,0)</f>
        <v>0.86956521739130432</v>
      </c>
      <c r="AB56" s="380">
        <f>IFERROR(VLOOKUP(B56,'[2]RETAIL ORIGEN RMKT'!$B$11:$O$62,6,0),0)</f>
        <v>6</v>
      </c>
      <c r="AC56" s="127">
        <f t="shared" ref="AC56:AC70" ca="1" si="227">IFERROR(AB56/X56,0)</f>
        <v>0.18181818181818182</v>
      </c>
      <c r="AD56" s="21">
        <f ca="1">SUMIF('UC BMW 2026'!$B$5:$B$77,'UC BMW 2026'!$B54,'UC BMW 2026'!$N$5:$N$72)</f>
        <v>33</v>
      </c>
      <c r="AE56" s="24">
        <f ca="1">SUMIF('UC BMW 2026'!$B$5:$B$77,'UC BMW 2026'!$B54,'UC BMW 2026'!$O$5:$O$72)</f>
        <v>32</v>
      </c>
      <c r="AF56" s="24">
        <f>IFERROR(VLOOKUP(B56,[2]BPS!$B$10:$O$64,7,0),0)-IF(B56=100873,IFERROR(VLOOKUP("Mayo",[2]BPS!$B$74:$C$89,2,0),0),0)</f>
        <v>25</v>
      </c>
      <c r="AG56" s="285">
        <f t="shared" ref="AG56:AG70" ca="1" si="228">IFERROR(AF56/AE56,0)</f>
        <v>0.78125</v>
      </c>
      <c r="AH56" s="380">
        <f>IFERROR(VLOOKUP(B56,'[2]RETAIL ORIGEN RMKT'!$B$11:$O$62,7,0),0)</f>
        <v>10</v>
      </c>
      <c r="AI56" s="127">
        <f t="shared" ref="AI56:AI70" ca="1" si="229">IFERROR(AH56/AD56,0)</f>
        <v>0.30303030303030304</v>
      </c>
      <c r="AJ56" s="21">
        <f ca="1">SUMIF('UC BMW 2026'!$B$5:$B$77,'UC BMW 2026'!$B54,'UC BMW 2026'!$P$5:$P$72)</f>
        <v>34</v>
      </c>
      <c r="AK56" s="24">
        <f ca="1">SUMIF('UC BMW 2026'!$B$5:$B$77,'UC BMW 2026'!$B54,'UC BMW 2026'!$Q$5:$Q$72)</f>
        <v>49</v>
      </c>
      <c r="AL56" s="24">
        <f>IFERROR(VLOOKUP(B56,[2]BPS!$B$10:$O$64,8,0),0)-IF(B56=100873,IFERROR(VLOOKUP("Junio",[2]BPS!$B$74:$C$89,2,0),0),0)</f>
        <v>44</v>
      </c>
      <c r="AM56" s="285">
        <f t="shared" ref="AM56:AM70" ca="1" si="230">IFERROR(AL56/AK56,0)</f>
        <v>0.89795918367346939</v>
      </c>
      <c r="AN56" s="380">
        <f>IFERROR(VLOOKUP(B56,'[2]RETAIL ORIGEN RMKT'!$B$11:$O$62,8,0),0)</f>
        <v>17</v>
      </c>
      <c r="AO56" s="127">
        <f t="shared" ref="AO56:AO70" ca="1" si="231">IFERROR(AN56/AJ56,0)</f>
        <v>0.5</v>
      </c>
      <c r="AP56" s="21">
        <f ca="1">SUMIF('UC BMW 2026'!$B$5:$B$77,'UC BMW 2026'!$B54,'UC BMW 2026'!$R$5:$R$72)</f>
        <v>0</v>
      </c>
      <c r="AQ56" s="24">
        <f ca="1">SUMIF('UC BMW 2026'!$B$5:$B$77,'UC BMW 2026'!$B54,'UC BMW 2026'!$S$5:$S$72)</f>
        <v>0</v>
      </c>
      <c r="AR56" s="24">
        <f>IFERROR(VLOOKUP(B56,[2]BPS!$B$10:$O$64,9,0),0)-IF(B56=100873,IFERROR(VLOOKUP("Julio",[2]BPS!$B$74:$C$89,2,0),0),0)</f>
        <v>0</v>
      </c>
      <c r="AS56" s="285">
        <f t="shared" ref="AS56:AS70" ca="1" si="232">IFERROR(AR56/AQ56,0)</f>
        <v>0</v>
      </c>
      <c r="AT56" s="380">
        <f>IFERROR(VLOOKUP(B56,'[2]RETAIL ORIGEN RMKT'!$B$11:$O$62,9,0),0)</f>
        <v>0</v>
      </c>
      <c r="AU56" s="127">
        <f t="shared" ref="AU56:AU70" ca="1" si="233">IFERROR(AT56/AP56,0)</f>
        <v>0</v>
      </c>
      <c r="AV56" s="21">
        <f ca="1">SUMIF('UC BMW 2026'!$B$5:$B$77,'UC BMW 2026'!$B54,'UC BMW 2026'!$T$5:$T$72)</f>
        <v>0</v>
      </c>
      <c r="AW56" s="24">
        <f ca="1">SUMIF('UC BMW 2026'!$B$5:$B$77,'UC BMW 2026'!$B54,'UC BMW 2026'!$U$5:$U$72)</f>
        <v>0</v>
      </c>
      <c r="AX56" s="24">
        <f>IFERROR(VLOOKUP(B56,[2]BPS!$B$10:$O$64,10,0),0)-IF(B56=100873,IFERROR(VLOOKUP("Agosto",[2]BPS!$B$74:$C$89,2,0),0),0)</f>
        <v>0</v>
      </c>
      <c r="AY56" s="285">
        <f t="shared" ref="AY56:AY70" ca="1" si="234">IFERROR(AX56/AW56,0)</f>
        <v>0</v>
      </c>
      <c r="AZ56" s="380">
        <f>IFERROR(VLOOKUP(B56,'[2]RETAIL ORIGEN RMKT'!$B$11:$O$62,10,0),0)</f>
        <v>0</v>
      </c>
      <c r="BA56" s="127">
        <f t="shared" ref="BA56:BA70" ca="1" si="235">IFERROR(AZ56/AV56,0)</f>
        <v>0</v>
      </c>
      <c r="BB56" s="21">
        <f ca="1">SUMIF('UC BMW 2026'!$B$5:$B$77,'UC BMW 2026'!$B54,'UC BMW 2026'!$V$5:$V$72)</f>
        <v>0</v>
      </c>
      <c r="BC56" s="24">
        <f>SUMIF('UC BMW 2026'!$B$5:$B$77,'UC BMW 2026'!$B54,'UC BMW 2026'!$W$5:$W$77)</f>
        <v>0</v>
      </c>
      <c r="BD56" s="24">
        <f>IFERROR(VLOOKUP(B56,[2]BPS!$B$10:$O$64,11,0),0)-IF(B56=100873,IFERROR(VLOOKUP("Septiembre",[2]BPS!$B$74:$C$89,2,0),0),0)</f>
        <v>0</v>
      </c>
      <c r="BE56" s="285">
        <f t="shared" ref="BE56:BE70" si="236">IFERROR(BD56/BC56,0)</f>
        <v>0</v>
      </c>
      <c r="BF56" s="380">
        <f>IFERROR(VLOOKUP(B56,'[2]RETAIL ORIGEN RMKT'!$B$11:$O$62,11,0),0)</f>
        <v>0</v>
      </c>
      <c r="BG56" s="127">
        <f t="shared" ref="BG56:BG70" ca="1" si="237">IFERROR(BF56/BB56,0)</f>
        <v>0</v>
      </c>
      <c r="BH56" s="21">
        <f>SUMIF('UC BMW 2026'!$B$5:$B$77,'UC BMW 2026'!$B54,'UC BMW 2026'!$X$5:$X$77)</f>
        <v>0</v>
      </c>
      <c r="BI56" s="24">
        <f>SUMIF('UC BMW 2026'!$B$5:$B$77,'UC BMW 2026'!$B54,'UC BMW 2026'!$Y$5:$Y$77)</f>
        <v>0</v>
      </c>
      <c r="BJ56" s="24">
        <f>IFERROR(VLOOKUP(B56,[2]BPS!$B$10:$O$64,12,0),0)-IF(B56=100873,IFERROR(VLOOKUP("Octubre",[2]BPS!$B$74:$C$89,2,0),0),0)</f>
        <v>0</v>
      </c>
      <c r="BK56" s="285">
        <f t="shared" ref="BK56:BK70" si="238">IFERROR(BJ56/BI56,0)</f>
        <v>0</v>
      </c>
      <c r="BL56" s="380">
        <f>IFERROR(VLOOKUP(B56,'[2]RETAIL ORIGEN RMKT'!$B$11:$O$62,12,0),0)</f>
        <v>0</v>
      </c>
      <c r="BM56" s="127">
        <f t="shared" ref="BM56:BM70" si="239">IFERROR(BL56/BH56,0)</f>
        <v>0</v>
      </c>
      <c r="BN56" s="21">
        <f>SUMIF('UC BMW 2026'!$B$5:$B$77,'UC BMW 2026'!$B54,'UC BMW 2026'!$Z$5:$Z$77)</f>
        <v>0</v>
      </c>
      <c r="BO56" s="24">
        <f>SUMIF('UC BMW 2026'!$B$5:$B$77,'UC BMW 2026'!$B54,'UC BMW 2026'!$AA$5:$AA$77)</f>
        <v>0</v>
      </c>
      <c r="BP56" s="24">
        <f>IFERROR(VLOOKUP(B56,[2]BPS!$B$10:$O$64,13,0),0)-IF(B56=100873,IFERROR(VLOOKUP("Noviembre",[2]BPS!$B$74:$C$89,2,0),0),0)</f>
        <v>0</v>
      </c>
      <c r="BQ56" s="285">
        <f t="shared" ref="BQ56:BQ70" si="240">IFERROR(BP56/BO56,0)</f>
        <v>0</v>
      </c>
      <c r="BR56" s="380">
        <f>IFERROR(VLOOKUP(B56,'[2]RETAIL ORIGEN RMKT'!$B$11:$O$62,13,0),0)</f>
        <v>0</v>
      </c>
      <c r="BS56" s="127">
        <f t="shared" ref="BS56:BS70" si="241">IFERROR(BR56/BN56,0)</f>
        <v>0</v>
      </c>
      <c r="BT56" s="21">
        <f>SUMIF('UC BMW 2026'!$B$5:$B$77,'UC BMW 2026'!$B54,'UC BMW 2026'!$AB$5:$AB$77)</f>
        <v>0</v>
      </c>
      <c r="BU56" s="24">
        <f>SUMIF('UC BMW 2026'!$B$5:$B$77,'UC BMW 2026'!$B54,'UC BMW 2026'!$AC$5:$AC$77)</f>
        <v>0</v>
      </c>
      <c r="BV56" s="24">
        <f>IFERROR(VLOOKUP(B56,[2]BPS!$B$10:$O$64,13,0),0)-IF(B56=100873,IFERROR(VLOOKUP("Diciembre",[2]BPS!$B$74:$C$89,2,0),0),0)</f>
        <v>0</v>
      </c>
      <c r="BW56" s="285">
        <f t="shared" ref="BW56:BW70" si="242">IFERROR(BV56/BU56,0)</f>
        <v>0</v>
      </c>
      <c r="BX56" s="380">
        <f>IFERROR(VLOOKUP(B56,'[2]RETAIL ORIGEN RMKT'!$B$11:$O$62,14,0),0)</f>
        <v>0</v>
      </c>
      <c r="BY56" s="127">
        <f t="shared" ref="BY56:BY70" si="243">IFERROR(BX56/BT56,0)</f>
        <v>0</v>
      </c>
      <c r="BZ56" s="25">
        <f t="shared" ref="BZ56:CA60" ca="1" si="244">IF($BZ$4="ENERO",F56,IF($BZ$4="FEBRERO",F56+L56,IF($BZ$4="MARZO",F56+L56+R56,IF($BZ$4="ABRIL",F56+L56+R56+X56,IF($BZ$4="MAYO",F56+L56+R56+X56+AD56,IF($BZ$4="JUNIO",F56+L56+R56+X56+AD56+AJ56,IF($BZ$4="JULIO",F56+L56+R56+X56+AD56+AJ56+AP56,IF($BZ$4="AGOSTO",F56+L56+R56+X56+AD56+AJ56+AP56+AV56,IF($BZ$4="SEPTIEMBRE",F56+L56+R56+X56+AD56+AJ56+AP56+AV56+BB56,IF($BZ$4="OCTUBRE",F56+L56+R56+X56+AD56+AJ56+AP56+AV56+BB56+BH56,IF($BZ$4="NOVIEMBRE",F56+L56+R56+X56+AD56+AJ56+AP56+AV56+BB56+BH56+BN56,IF($BZ$4="DICIEMBRE",F56+L56+R56+X56+AD56+AJ56+AP56+AV56+BB56+BH56+BN56+BT56,""))))))))))))</f>
        <v>200</v>
      </c>
      <c r="CA56" s="27">
        <f t="shared" ca="1" si="244"/>
        <v>201</v>
      </c>
      <c r="CB56" s="287">
        <f t="shared" ca="1" si="205"/>
        <v>1.0049999999999999</v>
      </c>
      <c r="CC56" s="294">
        <f>IFERROR(IF($BZ$4="ENERO",H56,IF($BZ$4="FEBRERO",H56+N56,IF($BZ$4="MARZO",H56+N56+T56,IF($BZ$4="ABRIL",H56+N56+T56+Z56,IF($BZ$4="MAYO",H56+N56+T56+Z56+AF56,IF($BZ$4="JUNIO",H56+N56+T56+Z56+AF56+AL56,IF($BZ$4="JULIO",H56+N56+T56+Z56+AF56+AL56+AR56,IF($BZ$4="AGOSTO",H56+N56+T56+Z56+AF56+AL56+AR56+AX56,IF($BZ$4="SEPTIEMBRE",H56+N56+T56+Z56+AF56+AL56+AR56+AX56+BD56,IF($BZ$4="OCTUBRE",H56+N56+T56+Z56+AF56+AL56+AR56+AX56+BD56+BJ56,IF($BZ$4="NOVIEMBRE",H56+N56+T56+Z56+AF56+AL56+AR56+AX56+BD56+BJ56+BP56,IF($BZ$4="DICIEMBRE",H56+N56+T56+Z56+AF56+AL56+AR56+AX56+BD56+BJ56+BP56+BV56,"")))))))))))),0)</f>
        <v>163</v>
      </c>
      <c r="CD56" s="287">
        <f ca="1">IFERROR(IF(CA56=0,"N.D.",CC56/CA56),0)</f>
        <v>0.81094527363184077</v>
      </c>
      <c r="CE56" s="24">
        <f>IFERROR(IF($BZ$4="ENERO",J56,IF($BZ$4="FEBRERO",J56+P56,IF($BZ$4="MARZO",J56+P56+V56,IF($BZ$4="ABRIL",J56+P56+V56+AB56,IF($BZ$4="MAYO",J56+P56+V56+AB56+AH56,IF($BZ$4="JUNIO",J56+P56+V56+AB56+AH56+AN56,IF($BZ$4="JULIO",J56+P56+V56+AB56+AH56+AN56+AT56,IF($BZ$4="AGOSTO",J56+P56+V56+AB56+AH56+AN56+AT56+AZ56,IF($BZ$4="SEPTIEMBRE",J56+P56+V56+AB56+AH56+AN56+AT56+AZ56+BF56,IF($BZ$4="OCTUBRE",J56+P56+V56+AB56+AH56+AN56+AT56+AZ56+BF56+BL56,IF($BZ$4="NOVIEMBRE",J56+P56+V56+AB56+AH56+AN56+AT56+AZ56+BF56+BL56+BR56,IF($BZ$4="DICIEMBRE",J56+P56+V56+AB56+AH56+AN56+AT56+AZ56+BF56+BL56+BR56+BX56,"")))))))))))),0)</f>
        <v>67</v>
      </c>
      <c r="CF56" s="129">
        <f t="shared" ca="1" si="206"/>
        <v>0.33500000000000002</v>
      </c>
      <c r="CG56" s="25">
        <f ca="1">SUM(F56+L56+R56+X56+AD56+AJ56+AP56+AV56+BB56+BH56+BN56+BT56)</f>
        <v>200</v>
      </c>
      <c r="CH56" s="27">
        <f ca="1">SUMIFS($F56:$BW56,$F$6:$BW$6,CH$6,$F$2:$BW$2,$BZ$4)</f>
        <v>201</v>
      </c>
      <c r="CI56" s="287">
        <f t="shared" ca="1" si="207"/>
        <v>1.0049999999999999</v>
      </c>
      <c r="CJ56" s="291">
        <f>SUMIFS($F56:$BW56,$F$6:$BW$6,CJ$6,$F$2:$BW$2,$BZ$4)</f>
        <v>163</v>
      </c>
      <c r="CK56" s="287">
        <f t="shared" ref="CK56:CK61" ca="1" si="245">IF(CH56=0,"N.D.",CJ56/CH56)</f>
        <v>0.81094527363184077</v>
      </c>
      <c r="CL56" s="27">
        <f>IFERROR(J56+P56+V56+AB56+AH56+AN56+AT56+AZ56+BF56+BL56+BR56+BX56,0)</f>
        <v>67</v>
      </c>
      <c r="CM56" s="129">
        <f t="shared" ca="1" si="208"/>
        <v>0.33500000000000002</v>
      </c>
      <c r="CN56" s="25">
        <f t="shared" ref="CN56:CO60" ca="1" si="246">IF($CN$5="Q1",F56+L56+R56,
IF($CN$5="Q2",X56+AD56++AJ56,
IF($CN$5="Q3",AP56+AV56+BB56,
IF($CN$5="Q4",BH56+BN56+BT56,0))))</f>
        <v>100</v>
      </c>
      <c r="CO56" s="27">
        <f t="shared" ca="1" si="246"/>
        <v>97</v>
      </c>
      <c r="CP56" s="287">
        <f t="shared" ca="1" si="209"/>
        <v>0.97</v>
      </c>
      <c r="CQ56" s="291" t="e">
        <f>IF($CN$5="Q1",H56+#REF!+T56,
IF($CN$5="Q2",Z56+AF56++AL56,
IF($CN$5="Q3",AR56+AX56+BD56,
IF($CN$5="Q4",BJ56+BP56+BV56,0))))</f>
        <v>#REF!</v>
      </c>
      <c r="CR56" s="287" t="e">
        <f t="shared" ca="1" si="210"/>
        <v>#REF!</v>
      </c>
      <c r="CS56" s="27">
        <f t="shared" si="211"/>
        <v>0</v>
      </c>
      <c r="CT56" s="129">
        <f t="shared" ca="1" si="212"/>
        <v>0</v>
      </c>
      <c r="CU56" s="25">
        <f t="shared" ref="CU56:CV60" ca="1" si="247">IF($CU$5="S 1",F56+L56+R56+X56+AD56++AJ56,
IF($CU$5="S 2",AP56+AV56+BB56+BH56+BN56+BT56,0))</f>
        <v>200</v>
      </c>
      <c r="CV56" s="27">
        <f t="shared" ca="1" si="247"/>
        <v>201</v>
      </c>
      <c r="CW56" s="287">
        <f t="shared" ca="1" si="213"/>
        <v>1.0049999999999999</v>
      </c>
      <c r="CX56" s="27">
        <f>IFERROR(IF($CU$5="S 1",H56+#REF!+T56+Z56+AF56++AL56,
IF($CU$5="S 2",AR56+AX56+BD56+BJ56+BP56+BV56,0)),0)</f>
        <v>0</v>
      </c>
      <c r="CY56" s="287">
        <f t="shared" ca="1" si="214"/>
        <v>0</v>
      </c>
      <c r="CZ56" s="27">
        <f t="shared" si="215"/>
        <v>67</v>
      </c>
      <c r="DA56" s="130">
        <f t="shared" ca="1" si="216"/>
        <v>0.33500000000000002</v>
      </c>
      <c r="DB56" s="25">
        <f t="shared" ref="DB56:DC60" ca="1" si="248">IF($DB$5="S 1",F56+L56+R56+X56+AD56++AJ56,
IF($DB$5="S 2",AP56+AV56+BB56+BH56+BN56+BT56,0))</f>
        <v>0</v>
      </c>
      <c r="DC56" s="27">
        <f t="shared" ca="1" si="248"/>
        <v>0</v>
      </c>
      <c r="DD56" s="287">
        <f t="shared" ca="1" si="217"/>
        <v>0</v>
      </c>
      <c r="DE56" s="27">
        <f>IFERROR(IF($DB$5="S 1",H56+#REF!+T56+Z56+AF56++AL56,
IF($DB$5="S 2",AR56+AX56+BD56+BJ56+BP56+BV56,0)),0)</f>
        <v>0</v>
      </c>
      <c r="DF56" s="287" t="str">
        <f t="shared" ca="1" si="218"/>
        <v>N.D.</v>
      </c>
      <c r="DG56" s="27">
        <f>IFERROR(IF($DB$5="S 1",J56+P56+V56+AB56+AH56+AN56,
IF($DB$5="S 2",AT56+AZ56+BF56+BL56+BR56+BX56,0)),0)</f>
        <v>0</v>
      </c>
      <c r="DH56" s="130">
        <f t="shared" ca="1" si="219"/>
        <v>0</v>
      </c>
      <c r="DI56" s="510">
        <v>1</v>
      </c>
      <c r="DJ56" s="369" t="s">
        <v>59</v>
      </c>
      <c r="DK56" s="25">
        <f t="shared" ref="DK56:DL60" ca="1" si="249">IF($BZ$4="ENERO",F56,IF($BZ$4="FEBRERO",F56+L56,IF($BZ$4="MARZO",F56+L56+R56,IF($BZ$4="ABRIL",F56+L56+R56+X56,IF($BZ$4="MAYO",F56+L56+R56+X56+AD56,IF($BZ$4="JUNIO",F56+L56+R56+X56+AD56+AJ56,IF($BZ$4="JULIO",F56+L56+R56+X56+AD56+AJ56+AP56,IF($BZ$4="AGOSTO",F56+L56+R56+X56+AD56+AJ56+AP56+AV56,IF($BZ$4="SEPTIEMBRE",F56+L56+R56+X56+AD56+AJ56+AP56+AV56+BB56,IF($BZ$4="OCTUBRE",F56+L56+R56+X56+AD56+AJ56+AP56+AV56+BB56+BH56,IF($BZ$4="NOVIEMBRE",F56+L56+R56+X56+AD56+AJ56+AP56+AV56+BB56+BH56+BN56,IF($BZ$4="DICIEMBRE",F56+L56+R56+X56+AD56+AJ56+AP56+AV56+BB56+BH56+BN56+BT56,""))))))))))))</f>
        <v>200</v>
      </c>
      <c r="DL56" s="27">
        <f t="shared" ca="1" si="249"/>
        <v>201</v>
      </c>
      <c r="DM56" s="287">
        <f t="shared" ca="1" si="220"/>
        <v>1.0049999999999999</v>
      </c>
      <c r="DN56" s="291">
        <f>IFERROR(IF($BZ$4="ENERO",H56,IF($BZ$4="FEBRERO",H56+#REF!,IF($BZ$4="MARZO",H56+#REF!+T56,IF($BZ$4="ABRIL",H56+#REF!+T56+Z56,IF($BZ$4="MAYO",H56+#REF!+T56+Z56+AF56,IF($BZ$4="JUNIO",H56+#REF!+T56+Z56+AF56+AL56,IF($BZ$4="JULIO",H56+#REF!+T56+Z56+AF56+AL56+AR56,IF($BZ$4="AGOSTO",H56+#REF!+T56+Z56+AF56+AL56+AR56+AX56,IF($BZ$4="SEPTIEMBRE",H56+#REF!+T56+Z56+AF56+AL56+AR56+AX56+BD56,IF($BZ$4="OCTUBRE",H56+#REF!+T56+Z56+AF56+AL56+AR56+AX56+BD56+BJ56,IF($BZ$4="NOVIEMBRE",H56+#REF!+T56+Z56+AF56+AL56+AR56+AX56+BD56+BJ56+BP56,IF($BZ$4="DICIEMBRE",H56+#REF!+T56+Z56+AF56+AL56+AR56+AX56+BD56+BJ56+BP56+BV56,"")))))))))))),0)</f>
        <v>0</v>
      </c>
      <c r="DO56" s="287">
        <f t="shared" ca="1" si="221"/>
        <v>0.81094527363184077</v>
      </c>
      <c r="DP56" s="27">
        <f t="shared" si="222"/>
        <v>67</v>
      </c>
      <c r="DQ56" s="130">
        <f t="shared" ca="1" si="223"/>
        <v>0.33500000000000002</v>
      </c>
      <c r="DR56"/>
      <c r="DS56" s="4">
        <f ca="1"/>
        <v>37</v>
      </c>
      <c r="DT56" s="4">
        <f ca="1"/>
        <v>26</v>
      </c>
      <c r="DU56" s="508">
        <f ca="1"/>
        <v>0.53658536585365857</v>
      </c>
      <c r="DW56" s="508">
        <f ca="1"/>
        <v>0.68</v>
      </c>
      <c r="DX56" s="4">
        <v>0</v>
      </c>
      <c r="DY56" s="508">
        <f ca="1"/>
        <v>0</v>
      </c>
    </row>
    <row r="57" spans="1:129" s="4" customFormat="1" ht="15" customHeight="1" x14ac:dyDescent="0.35">
      <c r="A57" s="4">
        <f>_xlfn.XLOOKUP(B57,'WHOLESALE BMW 2026'!$B$7:$B$67,'WHOLESALE BMW 2026'!$A$7:$A$67)</f>
        <v>9</v>
      </c>
      <c r="B57" s="8">
        <v>100311</v>
      </c>
      <c r="C57" s="369" t="s">
        <v>12</v>
      </c>
      <c r="D57" s="125"/>
      <c r="E57" s="309" t="s">
        <v>201</v>
      </c>
      <c r="F57" s="21">
        <f ca="1">SUMIF('UC BMW 2026'!B55:B131,'UC BMW 2026'!B55,'UC BMW 2026'!F55:F122)</f>
        <v>26</v>
      </c>
      <c r="G57" s="24">
        <f ca="1">SUMIF('UC BMW 2026'!$B$5:$B$77,'UC BMW 2026'!B55,'UC BMW 2026'!$G$5:$G$72)</f>
        <v>15</v>
      </c>
      <c r="H57" s="24">
        <f>IFERROR(VLOOKUP(B57,[2]BPS!$B$10:$O$64,3,0),0)-IF(B57=100873,IFERROR(VLOOKUP("Enero",[2]BPS!$B$74:$C$89,2,0),0),0)</f>
        <v>13</v>
      </c>
      <c r="I57" s="282">
        <f t="shared" ca="1" si="148"/>
        <v>0.8666666666666667</v>
      </c>
      <c r="J57" s="380">
        <f>IFERROR(VLOOKUP(B57,'[2]RETAIL ORIGEN RMKT'!$B$11:$O$62,3,0),0)</f>
        <v>7</v>
      </c>
      <c r="K57" s="127">
        <f t="shared" ca="1" si="149"/>
        <v>0.26923076923076922</v>
      </c>
      <c r="L57" s="21">
        <f ca="1">SUMIF('UC BMW 2026'!$B$5:$B$77,'UC BMW 2026'!$B55,'UC BMW 2026'!$H$5:$H$72)</f>
        <v>26</v>
      </c>
      <c r="M57" s="24">
        <f ca="1">SUMIF('UC BMW 2026'!$B$5:$B$77,'UC BMW 2026'!$B55,'UC BMW 2026'!$I$5:$I$72)</f>
        <v>16</v>
      </c>
      <c r="N57" s="24">
        <f>IFERROR(VLOOKUP(B57,[2]BPS!$B$10:$O$64,4,0),0)-IF(B57=100873,IFERROR(VLOOKUP("Febrero",[2]BPS!$B$74:$C$89,2,0),0),0)</f>
        <v>16</v>
      </c>
      <c r="O57" s="282">
        <f t="shared" ca="1" si="203"/>
        <v>1</v>
      </c>
      <c r="P57" s="380">
        <f>IFERROR(VLOOKUP(B57,'[2]RETAIL ORIGEN RMKT'!$B$11:$O$62,4,0),0)</f>
        <v>10</v>
      </c>
      <c r="Q57" s="127">
        <f t="shared" ca="1" si="204"/>
        <v>0.38461538461538464</v>
      </c>
      <c r="R57" s="21">
        <f ca="1">SUMIF('UC BMW 2026'!$B$5:$B$77,'UC BMW 2026'!$B55,'UC BMW 2026'!$J$5:$J$72)</f>
        <v>26</v>
      </c>
      <c r="S57" s="24">
        <f ca="1">SUMIF('UC BMW 2026'!$B$5:$B$77,'UC BMW 2026'!$B55,'UC BMW 2026'!$K$5:$K$72)</f>
        <v>24</v>
      </c>
      <c r="T57" s="24">
        <f>IFERROR(VLOOKUP(B57,[2]BPS!$B$10:$O$64,5,0),0)-IF(B57=100873,IFERROR(VLOOKUP("Marzo",[2]BPS!$B$74:$C$89,2,0),0),0)</f>
        <v>22</v>
      </c>
      <c r="U57" s="282">
        <f t="shared" ca="1" si="224"/>
        <v>0.91666666666666663</v>
      </c>
      <c r="V57" s="380">
        <f>IFERROR(VLOOKUP(B57,'[2]RETAIL ORIGEN RMKT'!$B$11:$O$62,5,0),0)</f>
        <v>6</v>
      </c>
      <c r="W57" s="127">
        <f t="shared" ca="1" si="225"/>
        <v>0.23076923076923078</v>
      </c>
      <c r="X57" s="21">
        <f ca="1">SUMIF('UC BMW 2026'!$B$5:$B$77,'UC BMW 2026'!$B55,'UC BMW 2026'!$L$5:$L$72)</f>
        <v>27</v>
      </c>
      <c r="Y57" s="24">
        <f ca="1">SUMIF('UC BMW 2026'!$B$5:$B$77,'UC BMW 2026'!$B55,'UC BMW 2026'!$M$5:$M$72)</f>
        <v>13</v>
      </c>
      <c r="Z57" s="24">
        <f>IFERROR(VLOOKUP(B57,[2]BPS!$B$10:$O$64,6,0),0)-IF(B57=100873,IFERROR(VLOOKUP("Abril",[2]BPS!$B$74:$C$89,2,0),0),0)</f>
        <v>13</v>
      </c>
      <c r="AA57" s="282">
        <f t="shared" ca="1" si="226"/>
        <v>1</v>
      </c>
      <c r="AB57" s="380">
        <f>IFERROR(VLOOKUP(B57,'[2]RETAIL ORIGEN RMKT'!$B$11:$O$62,6,0),0)</f>
        <v>5</v>
      </c>
      <c r="AC57" s="127">
        <f t="shared" ca="1" si="227"/>
        <v>0.18518518518518517</v>
      </c>
      <c r="AD57" s="21">
        <f ca="1">SUMIF('UC BMW 2026'!$B$5:$B$77,'UC BMW 2026'!$B55,'UC BMW 2026'!$N$5:$N$72)</f>
        <v>27</v>
      </c>
      <c r="AE57" s="24">
        <f ca="1">SUMIF('UC BMW 2026'!$B$5:$B$77,'UC BMW 2026'!$B55,'UC BMW 2026'!$O$5:$O$72)</f>
        <v>25</v>
      </c>
      <c r="AF57" s="24">
        <f>IFERROR(VLOOKUP(B57,[2]BPS!$B$10:$O$64,7,0),0)-IF(B57=100873,IFERROR(VLOOKUP("Mayo",[2]BPS!$B$74:$C$89,2,0),0),0)</f>
        <v>24</v>
      </c>
      <c r="AG57" s="282">
        <f t="shared" ca="1" si="228"/>
        <v>0.96</v>
      </c>
      <c r="AH57" s="380">
        <f>IFERROR(VLOOKUP(B57,'[2]RETAIL ORIGEN RMKT'!$B$11:$O$62,7,0),0)</f>
        <v>6</v>
      </c>
      <c r="AI57" s="127">
        <f t="shared" ca="1" si="229"/>
        <v>0.22222222222222221</v>
      </c>
      <c r="AJ57" s="21">
        <f ca="1">SUMIF('UC BMW 2026'!$B$5:$B$77,'UC BMW 2026'!$B55,'UC BMW 2026'!$P$5:$P$72)</f>
        <v>28</v>
      </c>
      <c r="AK57" s="24">
        <f ca="1">SUMIF('UC BMW 2026'!$B$5:$B$77,'UC BMW 2026'!$B55,'UC BMW 2026'!$Q$5:$Q$72)</f>
        <v>16</v>
      </c>
      <c r="AL57" s="24">
        <f>IFERROR(VLOOKUP(B57,[2]BPS!$B$10:$O$64,8,0),0)-IF(B57=100873,IFERROR(VLOOKUP("Junio",[2]BPS!$B$74:$C$89,2,0),0),0)</f>
        <v>13</v>
      </c>
      <c r="AM57" s="282">
        <f t="shared" ca="1" si="230"/>
        <v>0.8125</v>
      </c>
      <c r="AN57" s="380">
        <f>IFERROR(VLOOKUP(B57,'[2]RETAIL ORIGEN RMKT'!$B$11:$O$62,8,0),0)</f>
        <v>0</v>
      </c>
      <c r="AO57" s="127">
        <f t="shared" ca="1" si="231"/>
        <v>0</v>
      </c>
      <c r="AP57" s="21">
        <f ca="1">SUMIF('UC BMW 2026'!$B$5:$B$77,'UC BMW 2026'!$B55,'UC BMW 2026'!$R$5:$R$72)</f>
        <v>26</v>
      </c>
      <c r="AQ57" s="24">
        <f ca="1">SUMIF('UC BMW 2026'!$B$5:$B$77,'UC BMW 2026'!$B55,'UC BMW 2026'!$S$5:$S$72)</f>
        <v>0</v>
      </c>
      <c r="AR57" s="24">
        <f>IFERROR(VLOOKUP(B57,[2]BPS!$B$10:$O$64,9,0),0)-IF(B57=100873,IFERROR(VLOOKUP("Julio",[2]BPS!$B$74:$C$89,2,0),0),0)</f>
        <v>0</v>
      </c>
      <c r="AS57" s="282">
        <f t="shared" ca="1" si="232"/>
        <v>0</v>
      </c>
      <c r="AT57" s="380">
        <f>IFERROR(VLOOKUP(B57,'[2]RETAIL ORIGEN RMKT'!$B$11:$O$62,9,0),0)</f>
        <v>0</v>
      </c>
      <c r="AU57" s="127">
        <f t="shared" ca="1" si="233"/>
        <v>0</v>
      </c>
      <c r="AV57" s="21">
        <f ca="1">SUMIF('UC BMW 2026'!$B$5:$B$77,'UC BMW 2026'!$B55,'UC BMW 2026'!$T$5:$T$72)</f>
        <v>23</v>
      </c>
      <c r="AW57" s="24">
        <f ca="1">SUMIF('UC BMW 2026'!$B$5:$B$77,'UC BMW 2026'!$B55,'UC BMW 2026'!$U$5:$U$72)</f>
        <v>0</v>
      </c>
      <c r="AX57" s="24">
        <f>IFERROR(VLOOKUP(B57,[2]BPS!$B$10:$O$64,10,0),0)-IF(B57=100873,IFERROR(VLOOKUP("Agosto",[2]BPS!$B$74:$C$89,2,0),0),0)</f>
        <v>0</v>
      </c>
      <c r="AY57" s="282">
        <f t="shared" ca="1" si="234"/>
        <v>0</v>
      </c>
      <c r="AZ57" s="380">
        <f>IFERROR(VLOOKUP(B57,'[2]RETAIL ORIGEN RMKT'!$B$11:$O$62,10,0),0)</f>
        <v>0</v>
      </c>
      <c r="BA57" s="127">
        <f t="shared" ca="1" si="235"/>
        <v>0</v>
      </c>
      <c r="BB57" s="21">
        <f ca="1">SUMIF('UC BMW 2026'!$B$5:$B$77,'UC BMW 2026'!$B55,'UC BMW 2026'!$V$5:$V$72)</f>
        <v>26</v>
      </c>
      <c r="BC57" s="24">
        <f>SUMIF('UC BMW 2026'!$B$5:$B$77,'UC BMW 2026'!$B55,'UC BMW 2026'!$W$5:$W$77)</f>
        <v>0</v>
      </c>
      <c r="BD57" s="24">
        <f>IFERROR(VLOOKUP(B57,[2]BPS!$B$10:$O$64,11,0),0)-IF(B57=100873,IFERROR(VLOOKUP("Septiembre",[2]BPS!$B$74:$C$89,2,0),0),0)</f>
        <v>0</v>
      </c>
      <c r="BE57" s="282">
        <f t="shared" si="236"/>
        <v>0</v>
      </c>
      <c r="BF57" s="380">
        <f>IFERROR(VLOOKUP(B57,'[2]RETAIL ORIGEN RMKT'!$B$11:$O$62,11,0),0)</f>
        <v>0</v>
      </c>
      <c r="BG57" s="127">
        <f t="shared" ca="1" si="237"/>
        <v>0</v>
      </c>
      <c r="BH57" s="21">
        <f>SUMIF('UC BMW 2026'!$B$5:$B$77,'UC BMW 2026'!$B55,'UC BMW 2026'!$X$5:$X$77)</f>
        <v>30</v>
      </c>
      <c r="BI57" s="24">
        <f>SUMIF('UC BMW 2026'!$B$5:$B$77,'UC BMW 2026'!$B55,'UC BMW 2026'!$Y$5:$Y$77)</f>
        <v>0</v>
      </c>
      <c r="BJ57" s="24">
        <f>IFERROR(VLOOKUP(B57,[2]BPS!$B$10:$O$64,12,0),0)-IF(B57=100873,IFERROR(VLOOKUP("Octubre",[2]BPS!$B$74:$C$89,2,0),0),0)</f>
        <v>0</v>
      </c>
      <c r="BK57" s="282">
        <f t="shared" si="238"/>
        <v>0</v>
      </c>
      <c r="BL57" s="380">
        <f>IFERROR(VLOOKUP(B57,'[2]RETAIL ORIGEN RMKT'!$B$11:$O$62,12,0),0)</f>
        <v>0</v>
      </c>
      <c r="BM57" s="127">
        <f t="shared" si="239"/>
        <v>0</v>
      </c>
      <c r="BN57" s="21">
        <f>SUMIF('UC BMW 2026'!$B$5:$B$77,'UC BMW 2026'!$B55,'UC BMW 2026'!$Z$5:$Z$77)</f>
        <v>30</v>
      </c>
      <c r="BO57" s="24">
        <f>SUMIF('UC BMW 2026'!$B$5:$B$77,'UC BMW 2026'!$B55,'UC BMW 2026'!$AA$5:$AA$77)</f>
        <v>0</v>
      </c>
      <c r="BP57" s="24">
        <f>IFERROR(VLOOKUP(B57,[2]BPS!$B$10:$O$64,13,0),0)-IF(B57=100873,IFERROR(VLOOKUP("Noviembre",[2]BPS!$B$74:$C$89,2,0),0),0)</f>
        <v>0</v>
      </c>
      <c r="BQ57" s="282">
        <f t="shared" si="240"/>
        <v>0</v>
      </c>
      <c r="BR57" s="380">
        <f>IFERROR(VLOOKUP(B57,'[2]RETAIL ORIGEN RMKT'!$B$11:$O$62,13,0),0)</f>
        <v>0</v>
      </c>
      <c r="BS57" s="127">
        <f t="shared" si="241"/>
        <v>0</v>
      </c>
      <c r="BT57" s="21">
        <f>SUMIF('UC BMW 2026'!$B$5:$B$77,'UC BMW 2026'!$B55,'UC BMW 2026'!$AB$5:$AB$77)</f>
        <v>25</v>
      </c>
      <c r="BU57" s="24">
        <f>SUMIF('UC BMW 2026'!$B$5:$B$77,'UC BMW 2026'!$B55,'UC BMW 2026'!$AC$5:$AC$77)</f>
        <v>0</v>
      </c>
      <c r="BV57" s="24">
        <f>IFERROR(VLOOKUP(B57,[2]BPS!$B$10:$O$64,13,0),0)-IF(B57=100873,IFERROR(VLOOKUP("Diciembre",[2]BPS!$B$74:$C$89,2,0),0),0)</f>
        <v>0</v>
      </c>
      <c r="BW57" s="282">
        <f t="shared" si="242"/>
        <v>0</v>
      </c>
      <c r="BX57" s="380">
        <f>IFERROR(VLOOKUP(B57,'[2]RETAIL ORIGEN RMKT'!$B$11:$O$62,14,0),0)</f>
        <v>0</v>
      </c>
      <c r="BY57" s="127">
        <f t="shared" si="243"/>
        <v>0</v>
      </c>
      <c r="BZ57" s="25">
        <f t="shared" ca="1" si="244"/>
        <v>160</v>
      </c>
      <c r="CA57" s="27">
        <f t="shared" ca="1" si="244"/>
        <v>109</v>
      </c>
      <c r="CB57" s="287">
        <f t="shared" ca="1" si="205"/>
        <v>0.68125000000000002</v>
      </c>
      <c r="CC57" s="294">
        <f>IFERROR(IF($BZ$4="ENERO",H57,IF($BZ$4="FEBRERO",H57+N57,IF($BZ$4="MARZO",H57+N57+T57,IF($BZ$4="ABRIL",H57+N57+T57+Z57,IF($BZ$4="MAYO",H57+N57+T57+Z57+AF57,IF($BZ$4="JUNIO",H57+N57+T57+Z57+AF57+AL57,IF($BZ$4="JULIO",H57+N57+T57+Z57+AF57+AL57+AR57,IF($BZ$4="AGOSTO",H57+N57+T57+Z57+AF57+AL57+AR57+AX57,IF($BZ$4="SEPTIEMBRE",H57+N57+T57+Z57+AF57+AL57+AR57+AX57+BD57,IF($BZ$4="OCTUBRE",H57+N57+T57+Z57+AF57+AL57+AR57+AX57+BD57+BJ57,IF($BZ$4="NOVIEMBRE",H57+N57+T57+Z57+AF57+AL57+AR57+AX57+BD57+BJ57+BP57,IF($BZ$4="DICIEMBRE",H57+N57+T57+Z57+AF57+AL57+AR57+AX57+BD57+BJ57+BP57+BV57,"")))))))))))),0)</f>
        <v>101</v>
      </c>
      <c r="CD57" s="287">
        <f ca="1">IFERROR(IF(CA57=0,"N.D.",CC57/CA57),0)</f>
        <v>0.92660550458715596</v>
      </c>
      <c r="CE57" s="24">
        <f>IFERROR(IF($BZ$4="ENERO",J57,IF($BZ$4="FEBRERO",J57+P57,IF($BZ$4="MARZO",J57+P57+V57,IF($BZ$4="ABRIL",J57+P57+V57+AB57,IF($BZ$4="MAYO",J57+P57+V57+AB57+AH57,IF($BZ$4="JUNIO",J57+P57+V57+AB57+AH57+AN57,IF($BZ$4="JULIO",J57+P57+V57+AB57+AH57+AN57+AT57,IF($BZ$4="AGOSTO",J57+P57+V57+AB57+AH57+AN57+AT57+AZ57,IF($BZ$4="SEPTIEMBRE",J57+P57+V57+AB57+AH57+AN57+AT57+AZ57+BF57,IF($BZ$4="OCTUBRE",J57+P57+V57+AB57+AH57+AN57+AT57+AZ57+BF57+BL57,IF($BZ$4="NOVIEMBRE",J57+P57+V57+AB57+AH57+AN57+AT57+AZ57+BF57+BL57+BR57,IF($BZ$4="DICIEMBRE",J57+P57+V57+AB57+AH57+AN57+AT57+AZ57+BF57+BL57+BR57+BX57,"")))))))))))),0)</f>
        <v>34</v>
      </c>
      <c r="CF57" s="129">
        <f t="shared" ca="1" si="206"/>
        <v>0.21249999999999999</v>
      </c>
      <c r="CG57" s="25">
        <f ca="1">SUM(F57+L57+R57+X57+AD57+AJ57+AP57+AV57+BB57+BH57+BN57+BT57)</f>
        <v>320</v>
      </c>
      <c r="CH57" s="27">
        <f ca="1">SUMIFS($F57:$BW57,$F$6:$BW$6,CH$6,$F$2:$BW$2,$BZ$4)</f>
        <v>109</v>
      </c>
      <c r="CI57" s="287">
        <f t="shared" ca="1" si="207"/>
        <v>0.34062500000000001</v>
      </c>
      <c r="CJ57" s="294">
        <f>SUMIFS($F57:$BW57,$F$6:$BW$6,CJ$6,$F$2:$BW$2,$BZ$4)</f>
        <v>101</v>
      </c>
      <c r="CK57" s="287">
        <f t="shared" ca="1" si="245"/>
        <v>0.92660550458715596</v>
      </c>
      <c r="CL57" s="27">
        <f>IFERROR(J57+P57+V57+AB57+AH57+AN57+AT57+AZ57+BF57+BL57+BR57+BX57,0)</f>
        <v>34</v>
      </c>
      <c r="CM57" s="129">
        <f t="shared" ca="1" si="208"/>
        <v>0.10625</v>
      </c>
      <c r="CN57" s="25">
        <f t="shared" ca="1" si="246"/>
        <v>78</v>
      </c>
      <c r="CO57" s="27">
        <f t="shared" ca="1" si="246"/>
        <v>55</v>
      </c>
      <c r="CP57" s="287">
        <f t="shared" ca="1" si="209"/>
        <v>0.70512820512820518</v>
      </c>
      <c r="CQ57" s="294">
        <f>IF($CN$5="Q1",H57+N57+T57,
IF($CN$5="Q2",Z57+AF57++AL57,
IF($CN$5="Q3",AR57+AX57+BD57,
IF($CN$5="Q4",BJ57+BP57+BV57,0))))</f>
        <v>51</v>
      </c>
      <c r="CR57" s="287">
        <f t="shared" ca="1" si="210"/>
        <v>0.92727272727272725</v>
      </c>
      <c r="CS57" s="27">
        <f t="shared" si="211"/>
        <v>0</v>
      </c>
      <c r="CT57" s="129">
        <f t="shared" ca="1" si="212"/>
        <v>0</v>
      </c>
      <c r="CU57" s="25">
        <f t="shared" ca="1" si="247"/>
        <v>160</v>
      </c>
      <c r="CV57" s="27">
        <f t="shared" ca="1" si="247"/>
        <v>109</v>
      </c>
      <c r="CW57" s="287">
        <f t="shared" ca="1" si="213"/>
        <v>0.68125000000000002</v>
      </c>
      <c r="CX57" s="27">
        <f t="shared" ref="CX57:CX67" si="250">IFERROR(IF($CU$5="S 1",H57+N57+T57+Z57+AF57++AL57,
IF($CU$5="S 2",AR57+AX57+BD57+BJ57+BP57+BV57,0)),0)</f>
        <v>101</v>
      </c>
      <c r="CY57" s="287">
        <f t="shared" ca="1" si="214"/>
        <v>0.92660550458715596</v>
      </c>
      <c r="CZ57" s="27">
        <f t="shared" si="215"/>
        <v>34</v>
      </c>
      <c r="DA57" s="130">
        <f t="shared" ca="1" si="216"/>
        <v>0.21249999999999999</v>
      </c>
      <c r="DB57" s="25">
        <f t="shared" ca="1" si="248"/>
        <v>160</v>
      </c>
      <c r="DC57" s="27">
        <f t="shared" ca="1" si="248"/>
        <v>0</v>
      </c>
      <c r="DD57" s="287">
        <f t="shared" ca="1" si="217"/>
        <v>0</v>
      </c>
      <c r="DE57" s="27">
        <f>IFERROR(IF($DB$5="S 1",H57+N57+T57+Z57+AF57++AL57,
IF($DB$5="S 2",AR57+AX57+BD57+BJ57+BP57+BV57,0)),0)</f>
        <v>0</v>
      </c>
      <c r="DF57" s="287" t="str">
        <f t="shared" ca="1" si="218"/>
        <v>N.D.</v>
      </c>
      <c r="DG57" s="27">
        <f>IFERROR(IF($DB$5="S 1",J57+P57+V57+AB57+AH57+AN57,
IF($DB$5="S 2",AT57+AZ57+BF57+BL57+BR57+BX57,0)),0)</f>
        <v>0</v>
      </c>
      <c r="DH57" s="130">
        <f t="shared" ca="1" si="219"/>
        <v>0</v>
      </c>
      <c r="DI57" s="510">
        <v>1</v>
      </c>
      <c r="DJ57" s="369" t="s">
        <v>12</v>
      </c>
      <c r="DK57" s="25">
        <f t="shared" ca="1" si="249"/>
        <v>160</v>
      </c>
      <c r="DL57" s="27">
        <f t="shared" ca="1" si="249"/>
        <v>109</v>
      </c>
      <c r="DM57" s="287">
        <f t="shared" ca="1" si="220"/>
        <v>0.68125000000000002</v>
      </c>
      <c r="DN57" s="294">
        <f t="shared" ref="DN57:DN68" si="251">IFERROR(IF($BZ$4="ENERO",H57,IF($BZ$4="FEBRERO",H57+N57,IF($BZ$4="MARZO",H57+N57+T57,IF($BZ$4="ABRIL",H57+N57+T57+Z57,IF($BZ$4="MAYO",H57+N57+T57+Z57+AF57,IF($BZ$4="JUNIO",H57+N57+T57+Z57+AF57+AL57,IF($BZ$4="JULIO",H57+N57+T57+Z57+AF57+AL57+AR57,IF($BZ$4="AGOSTO",H57+N57+T57+Z57+AF57+AL57+AR57+AX57,IF($BZ$4="SEPTIEMBRE",H57+N57+T57+Z57+AF57+AL57+AR57+AX57+BD57,IF($BZ$4="OCTUBRE",H57+N57+T57+Z57+AF57+AL57+AR57+AX57+BD57+BJ57,IF($BZ$4="NOVIEMBRE",H57+N57+T57+Z57+AF57+AL57+AR57+AX57+BD57+BJ57+BP57,IF($BZ$4="DICIEMBRE",H57+N57+T57+Z57+AF57+AL57+AR57+AX57+BD57+BJ57+BP57+BV57,"")))))))))))),0)</f>
        <v>101</v>
      </c>
      <c r="DO57" s="287">
        <f t="shared" ca="1" si="221"/>
        <v>0.92660550458715596</v>
      </c>
      <c r="DP57" s="27">
        <f t="shared" si="222"/>
        <v>34</v>
      </c>
      <c r="DQ57" s="130">
        <f t="shared" ca="1" si="223"/>
        <v>0.21249999999999999</v>
      </c>
      <c r="DR57"/>
      <c r="DS57" s="4">
        <f ca="1"/>
        <v>36</v>
      </c>
      <c r="DT57" s="4">
        <f ca="1"/>
        <v>25</v>
      </c>
      <c r="DU57" s="508">
        <f ca="1"/>
        <v>0.48</v>
      </c>
      <c r="DW57" s="508">
        <f ca="1"/>
        <v>0.65625</v>
      </c>
      <c r="DX57" s="4">
        <v>0</v>
      </c>
      <c r="DY57" s="508">
        <f ca="1"/>
        <v>0</v>
      </c>
    </row>
    <row r="58" spans="1:129" s="14" customFormat="1" ht="15" customHeight="1" x14ac:dyDescent="0.35">
      <c r="A58" s="4">
        <f>_xlfn.XLOOKUP(B58,'WHOLESALE BMW 2026'!$B$7:$B$67,'WHOLESALE BMW 2026'!$A$7:$A$67)</f>
        <v>9</v>
      </c>
      <c r="B58" s="13">
        <v>100393</v>
      </c>
      <c r="C58" s="374" t="s">
        <v>75</v>
      </c>
      <c r="D58" s="125"/>
      <c r="E58" s="309" t="s">
        <v>201</v>
      </c>
      <c r="F58" s="21">
        <f ca="1">SUMIF('UC BMW 2026'!B56:B132,'UC BMW 2026'!B56,'UC BMW 2026'!F56:F123)</f>
        <v>34</v>
      </c>
      <c r="G58" s="24">
        <f ca="1">SUMIF('UC BMW 2026'!$B$5:$B$77,'UC BMW 2026'!B56,'UC BMW 2026'!$G$5:$G$72)</f>
        <v>23</v>
      </c>
      <c r="H58" s="24">
        <f>IFERROR(VLOOKUP(B58,[2]BPS!$B$10:$O$64,3,0),0)-IF(B58=100873,IFERROR(VLOOKUP("Enero",[2]BPS!$B$74:$C$89,2,0),0),0)</f>
        <v>22</v>
      </c>
      <c r="I58" s="282">
        <f t="shared" ca="1" si="148"/>
        <v>0.95652173913043481</v>
      </c>
      <c r="J58" s="380">
        <f>IFERROR(VLOOKUP(B58,'[2]RETAIL ORIGEN RMKT'!$B$11:$O$62,3,0),0)</f>
        <v>7</v>
      </c>
      <c r="K58" s="127">
        <f t="shared" ca="1" si="149"/>
        <v>0.20588235294117646</v>
      </c>
      <c r="L58" s="21">
        <f ca="1">SUMIF('UC BMW 2026'!$B$5:$B$77,'UC BMW 2026'!$B56,'UC BMW 2026'!$H$5:$H$72)</f>
        <v>34</v>
      </c>
      <c r="M58" s="24">
        <f ca="1">SUMIF('UC BMW 2026'!$B$5:$B$77,'UC BMW 2026'!$B56,'UC BMW 2026'!$I$5:$I$72)</f>
        <v>15</v>
      </c>
      <c r="N58" s="24">
        <f>IFERROR(VLOOKUP(B58,[2]BPS!$B$10:$O$64,4,0),0)-IF(B58=100873,IFERROR(VLOOKUP("Febrero",[2]BPS!$B$74:$C$89,2,0),0),0)</f>
        <v>15</v>
      </c>
      <c r="O58" s="282">
        <f t="shared" ca="1" si="203"/>
        <v>1</v>
      </c>
      <c r="P58" s="380">
        <f>IFERROR(VLOOKUP(B58,'[2]RETAIL ORIGEN RMKT'!$B$11:$O$62,4,0),0)</f>
        <v>5</v>
      </c>
      <c r="Q58" s="127">
        <f t="shared" ca="1" si="204"/>
        <v>0.14705882352941177</v>
      </c>
      <c r="R58" s="21">
        <f ca="1">SUMIF('UC BMW 2026'!$B$5:$B$77,'UC BMW 2026'!$B56,'UC BMW 2026'!$J$5:$J$72)</f>
        <v>34</v>
      </c>
      <c r="S58" s="24">
        <f ca="1">SUMIF('UC BMW 2026'!$B$5:$B$77,'UC BMW 2026'!$B56,'UC BMW 2026'!$K$5:$K$72)</f>
        <v>21</v>
      </c>
      <c r="T58" s="24">
        <f>IFERROR(VLOOKUP(B58,[2]BPS!$B$10:$O$64,5,0),0)-IF(B58=100873,IFERROR(VLOOKUP("Marzo",[2]BPS!$B$74:$C$89,2,0),0),0)</f>
        <v>19</v>
      </c>
      <c r="U58" s="282">
        <f t="shared" ca="1" si="224"/>
        <v>0.90476190476190477</v>
      </c>
      <c r="V58" s="380">
        <f>IFERROR(VLOOKUP(B58,'[2]RETAIL ORIGEN RMKT'!$B$11:$O$62,5,0),0)</f>
        <v>3</v>
      </c>
      <c r="W58" s="127">
        <f t="shared" ca="1" si="225"/>
        <v>8.8235294117647065E-2</v>
      </c>
      <c r="X58" s="21">
        <f ca="1">SUMIF('UC BMW 2026'!$B$5:$B$77,'UC BMW 2026'!$B56,'UC BMW 2026'!$L$5:$L$72)</f>
        <v>34</v>
      </c>
      <c r="Y58" s="24">
        <f ca="1">SUMIF('UC BMW 2026'!$B$5:$B$77,'UC BMW 2026'!$B56,'UC BMW 2026'!$M$5:$M$72)</f>
        <v>19</v>
      </c>
      <c r="Z58" s="24">
        <f>IFERROR(VLOOKUP(B58,[2]BPS!$B$10:$O$64,6,0),0)-IF(B58=100873,IFERROR(VLOOKUP("Abril",[2]BPS!$B$74:$C$89,2,0),0),0)</f>
        <v>19</v>
      </c>
      <c r="AA58" s="282">
        <f t="shared" ca="1" si="226"/>
        <v>1</v>
      </c>
      <c r="AB58" s="380">
        <f>IFERROR(VLOOKUP(B58,'[2]RETAIL ORIGEN RMKT'!$B$11:$O$62,6,0),0)</f>
        <v>4</v>
      </c>
      <c r="AC58" s="127">
        <f t="shared" ca="1" si="227"/>
        <v>0.11764705882352941</v>
      </c>
      <c r="AD58" s="21">
        <f ca="1">SUMIF('UC BMW 2026'!$B$5:$B$77,'UC BMW 2026'!$B56,'UC BMW 2026'!$N$5:$N$72)</f>
        <v>34</v>
      </c>
      <c r="AE58" s="24">
        <f ca="1">SUMIF('UC BMW 2026'!$B$5:$B$77,'UC BMW 2026'!$B56,'UC BMW 2026'!$O$5:$O$72)</f>
        <v>18</v>
      </c>
      <c r="AF58" s="24">
        <f>IFERROR(VLOOKUP(B58,[2]BPS!$B$10:$O$64,7,0),0)-IF(B58=100873,IFERROR(VLOOKUP("Mayo",[2]BPS!$B$74:$C$89,2,0),0),0)</f>
        <v>16</v>
      </c>
      <c r="AG58" s="282">
        <f t="shared" ca="1" si="228"/>
        <v>0.88888888888888884</v>
      </c>
      <c r="AH58" s="380">
        <f>IFERROR(VLOOKUP(B58,'[2]RETAIL ORIGEN RMKT'!$B$11:$O$62,7,0),0)</f>
        <v>4</v>
      </c>
      <c r="AI58" s="127">
        <f t="shared" ca="1" si="229"/>
        <v>0.11764705882352941</v>
      </c>
      <c r="AJ58" s="21">
        <f ca="1">SUMIF('UC BMW 2026'!$B$5:$B$77,'UC BMW 2026'!$B56,'UC BMW 2026'!$P$5:$P$72)</f>
        <v>35</v>
      </c>
      <c r="AK58" s="24">
        <f ca="1">SUMIF('UC BMW 2026'!$B$5:$B$77,'UC BMW 2026'!$B56,'UC BMW 2026'!$Q$5:$Q$72)</f>
        <v>14</v>
      </c>
      <c r="AL58" s="24">
        <f>IFERROR(VLOOKUP(B58,[2]BPS!$B$10:$O$64,8,0),0)-IF(B58=100873,IFERROR(VLOOKUP("Junio",[2]BPS!$B$74:$C$89,2,0),0),0)</f>
        <v>14</v>
      </c>
      <c r="AM58" s="282">
        <f t="shared" ca="1" si="230"/>
        <v>1</v>
      </c>
      <c r="AN58" s="380">
        <f>IFERROR(VLOOKUP(B58,'[2]RETAIL ORIGEN RMKT'!$B$11:$O$62,8,0),0)</f>
        <v>3</v>
      </c>
      <c r="AO58" s="127">
        <f t="shared" ca="1" si="231"/>
        <v>8.5714285714285715E-2</v>
      </c>
      <c r="AP58" s="21">
        <f ca="1">SUMIF('UC BMW 2026'!$B$5:$B$77,'UC BMW 2026'!$B56,'UC BMW 2026'!$R$5:$R$72)</f>
        <v>0</v>
      </c>
      <c r="AQ58" s="24">
        <f ca="1">SUMIF('UC BMW 2026'!$B$5:$B$77,'UC BMW 2026'!$B56,'UC BMW 2026'!$S$5:$S$72)</f>
        <v>0</v>
      </c>
      <c r="AR58" s="24">
        <f>IFERROR(VLOOKUP(B58,[2]BPS!$B$10:$O$64,9,0),0)-IF(B58=100873,IFERROR(VLOOKUP("Julio",[2]BPS!$B$74:$C$89,2,0),0),0)</f>
        <v>0</v>
      </c>
      <c r="AS58" s="282">
        <f t="shared" ca="1" si="232"/>
        <v>0</v>
      </c>
      <c r="AT58" s="380">
        <f>IFERROR(VLOOKUP(B58,'[2]RETAIL ORIGEN RMKT'!$B$11:$O$62,9,0),0)</f>
        <v>0</v>
      </c>
      <c r="AU58" s="127">
        <f t="shared" ca="1" si="233"/>
        <v>0</v>
      </c>
      <c r="AV58" s="21">
        <f ca="1">SUMIF('UC BMW 2026'!$B$5:$B$77,'UC BMW 2026'!$B56,'UC BMW 2026'!$T$5:$T$72)</f>
        <v>0</v>
      </c>
      <c r="AW58" s="24">
        <f ca="1">SUMIF('UC BMW 2026'!$B$5:$B$77,'UC BMW 2026'!$B56,'UC BMW 2026'!$U$5:$U$72)</f>
        <v>0</v>
      </c>
      <c r="AX58" s="24">
        <f>IFERROR(VLOOKUP(B58,[2]BPS!$B$10:$O$64,10,0),0)-IF(B58=100873,IFERROR(VLOOKUP("Agosto",[2]BPS!$B$74:$C$89,2,0),0),0)</f>
        <v>0</v>
      </c>
      <c r="AY58" s="282">
        <f t="shared" ca="1" si="234"/>
        <v>0</v>
      </c>
      <c r="AZ58" s="380">
        <f>IFERROR(VLOOKUP(B58,'[2]RETAIL ORIGEN RMKT'!$B$11:$O$62,10,0),0)</f>
        <v>0</v>
      </c>
      <c r="BA58" s="127">
        <f t="shared" ca="1" si="235"/>
        <v>0</v>
      </c>
      <c r="BB58" s="21">
        <f ca="1">SUMIF('UC BMW 2026'!$B$5:$B$77,'UC BMW 2026'!$B56,'UC BMW 2026'!$V$5:$V$72)</f>
        <v>0</v>
      </c>
      <c r="BC58" s="24">
        <f>SUMIF('UC BMW 2026'!$B$5:$B$77,'UC BMW 2026'!$B56,'UC BMW 2026'!$W$5:$W$77)</f>
        <v>0</v>
      </c>
      <c r="BD58" s="24">
        <f>IFERROR(VLOOKUP(B58,[2]BPS!$B$10:$O$64,11,0),0)-IF(B58=100873,IFERROR(VLOOKUP("Septiembre",[2]BPS!$B$74:$C$89,2,0),0),0)</f>
        <v>0</v>
      </c>
      <c r="BE58" s="282">
        <f t="shared" si="236"/>
        <v>0</v>
      </c>
      <c r="BF58" s="380">
        <f>IFERROR(VLOOKUP(B58,'[2]RETAIL ORIGEN RMKT'!$B$11:$O$62,11,0),0)</f>
        <v>0</v>
      </c>
      <c r="BG58" s="127">
        <f t="shared" ca="1" si="237"/>
        <v>0</v>
      </c>
      <c r="BH58" s="21">
        <f>SUMIF('UC BMW 2026'!$B$5:$B$77,'UC BMW 2026'!$B56,'UC BMW 2026'!$X$5:$X$77)</f>
        <v>0</v>
      </c>
      <c r="BI58" s="24">
        <f>SUMIF('UC BMW 2026'!$B$5:$B$77,'UC BMW 2026'!$B56,'UC BMW 2026'!$Y$5:$Y$77)</f>
        <v>0</v>
      </c>
      <c r="BJ58" s="24">
        <f>IFERROR(VLOOKUP(B58,[2]BPS!$B$10:$O$64,12,0),0)-IF(B58=100873,IFERROR(VLOOKUP("Octubre",[2]BPS!$B$74:$C$89,2,0),0),0)</f>
        <v>0</v>
      </c>
      <c r="BK58" s="282">
        <f t="shared" si="238"/>
        <v>0</v>
      </c>
      <c r="BL58" s="380">
        <f>IFERROR(VLOOKUP(B58,'[2]RETAIL ORIGEN RMKT'!$B$11:$O$62,12,0),0)</f>
        <v>0</v>
      </c>
      <c r="BM58" s="127">
        <f t="shared" si="239"/>
        <v>0</v>
      </c>
      <c r="BN58" s="21">
        <f>SUMIF('UC BMW 2026'!$B$5:$B$77,'UC BMW 2026'!$B56,'UC BMW 2026'!$Z$5:$Z$77)</f>
        <v>0</v>
      </c>
      <c r="BO58" s="24">
        <f>SUMIF('UC BMW 2026'!$B$5:$B$77,'UC BMW 2026'!$B56,'UC BMW 2026'!$AA$5:$AA$77)</f>
        <v>0</v>
      </c>
      <c r="BP58" s="24">
        <f>IFERROR(VLOOKUP(B58,[2]BPS!$B$10:$O$64,13,0),0)-IF(B58=100873,IFERROR(VLOOKUP("Noviembre",[2]BPS!$B$74:$C$89,2,0),0),0)</f>
        <v>0</v>
      </c>
      <c r="BQ58" s="282">
        <f t="shared" si="240"/>
        <v>0</v>
      </c>
      <c r="BR58" s="380">
        <f>IFERROR(VLOOKUP(B58,'[2]RETAIL ORIGEN RMKT'!$B$11:$O$62,13,0),0)</f>
        <v>0</v>
      </c>
      <c r="BS58" s="127">
        <f t="shared" si="241"/>
        <v>0</v>
      </c>
      <c r="BT58" s="21">
        <f>SUMIF('UC BMW 2026'!$B$5:$B$77,'UC BMW 2026'!$B56,'UC BMW 2026'!$AB$5:$AB$77)</f>
        <v>0</v>
      </c>
      <c r="BU58" s="24">
        <f>SUMIF('UC BMW 2026'!$B$5:$B$77,'UC BMW 2026'!$B56,'UC BMW 2026'!$AC$5:$AC$77)</f>
        <v>0</v>
      </c>
      <c r="BV58" s="24">
        <f>IFERROR(VLOOKUP(B58,[2]BPS!$B$10:$O$64,13,0),0)-IF(B58=100873,IFERROR(VLOOKUP("Diciembre",[2]BPS!$B$74:$C$89,2,0),0),0)</f>
        <v>0</v>
      </c>
      <c r="BW58" s="282">
        <f t="shared" si="242"/>
        <v>0</v>
      </c>
      <c r="BX58" s="380">
        <f>IFERROR(VLOOKUP(B58,'[2]RETAIL ORIGEN RMKT'!$B$11:$O$62,14,0),0)</f>
        <v>0</v>
      </c>
      <c r="BY58" s="127">
        <f t="shared" si="243"/>
        <v>0</v>
      </c>
      <c r="BZ58" s="25">
        <f t="shared" ca="1" si="244"/>
        <v>205</v>
      </c>
      <c r="CA58" s="27">
        <f t="shared" ca="1" si="244"/>
        <v>110</v>
      </c>
      <c r="CB58" s="287">
        <f t="shared" ca="1" si="205"/>
        <v>0.53658536585365857</v>
      </c>
      <c r="CC58" s="294">
        <f>IFERROR(IF($BZ$4="ENERO",H58,IF($BZ$4="FEBRERO",H58+N58,IF($BZ$4="MARZO",H58+N58+T58,IF($BZ$4="ABRIL",H58+N58+T58+Z58,IF($BZ$4="MAYO",H58+N58+T58+Z58+AF58,IF($BZ$4="JUNIO",H58+N58+T58+Z58+AF58+AL58,IF($BZ$4="JULIO",H58+N58+T58+Z58+AF58+AL58+AR58,IF($BZ$4="AGOSTO",H58+N58+T58+Z58+AF58+AL58+AR58+AX58,IF($BZ$4="SEPTIEMBRE",H58+N58+T58+Z58+AF58+AL58+AR58+AX58+BD58,IF($BZ$4="OCTUBRE",H58+N58+T58+Z58+AF58+AL58+AR58+AX58+BD58+BJ58,IF($BZ$4="NOVIEMBRE",H58+N58+T58+Z58+AF58+AL58+AR58+AX58+BD58+BJ58+BP58,IF($BZ$4="DICIEMBRE",H58+N58+T58+Z58+AF58+AL58+AR58+AX58+BD58+BJ58+BP58+BV58,"")))))))))))),0)</f>
        <v>105</v>
      </c>
      <c r="CD58" s="287">
        <f ca="1">IFERROR(IF(CA58=0,"N.D.",CC58/CA58),0)</f>
        <v>0.95454545454545459</v>
      </c>
      <c r="CE58" s="24">
        <f>IFERROR(IF($BZ$4="ENERO",J58,IF($BZ$4="FEBRERO",J58+P58,IF($BZ$4="MARZO",J58+P58+V58,IF($BZ$4="ABRIL",J58+P58+V58+AB58,IF($BZ$4="MAYO",J58+P58+V58+AB58+AH58,IF($BZ$4="JUNIO",J58+P58+V58+AB58+AH58+AN58,IF($BZ$4="JULIO",J58+P58+V58+AB58+AH58+AN58+AT58,IF($BZ$4="AGOSTO",J58+P58+V58+AB58+AH58+AN58+AT58+AZ58,IF($BZ$4="SEPTIEMBRE",J58+P58+V58+AB58+AH58+AN58+AT58+AZ58+BF58,IF($BZ$4="OCTUBRE",J58+P58+V58+AB58+AH58+AN58+AT58+AZ58+BF58+BL58,IF($BZ$4="NOVIEMBRE",J58+P58+V58+AB58+AH58+AN58+AT58+AZ58+BF58+BL58+BR58,IF($BZ$4="DICIEMBRE",J58+P58+V58+AB58+AH58+AN58+AT58+AZ58+BF58+BL58+BR58+BX58,"")))))))))))),0)</f>
        <v>26</v>
      </c>
      <c r="CF58" s="129">
        <f t="shared" ca="1" si="206"/>
        <v>0.12682926829268293</v>
      </c>
      <c r="CG58" s="25">
        <f ca="1">SUM(F58+L58+R58+X58+AD58+AJ58+AP58+AV58+BB58+BH58+BN58+BT58)</f>
        <v>205</v>
      </c>
      <c r="CH58" s="27">
        <f ca="1">SUMIFS($F58:$BW58,$F$6:$BW$6,CH$6,$F$2:$BW$2,$BZ$4)</f>
        <v>110</v>
      </c>
      <c r="CI58" s="287">
        <f t="shared" ca="1" si="207"/>
        <v>0.53658536585365857</v>
      </c>
      <c r="CJ58" s="294">
        <f>SUMIFS($F58:$BW58,$F$6:$BW$6,CJ$6,$F$2:$BW$2,$BZ$4)</f>
        <v>105</v>
      </c>
      <c r="CK58" s="287">
        <f t="shared" ca="1" si="245"/>
        <v>0.95454545454545459</v>
      </c>
      <c r="CL58" s="27">
        <f>IFERROR(J58+P58+V58+AB58+AH58+AN58+AT58+AZ58+BF58+BL58+BR58+BX58,0)</f>
        <v>26</v>
      </c>
      <c r="CM58" s="129">
        <f t="shared" ca="1" si="208"/>
        <v>0.12682926829268293</v>
      </c>
      <c r="CN58" s="25">
        <f t="shared" ca="1" si="246"/>
        <v>102</v>
      </c>
      <c r="CO58" s="27">
        <f t="shared" ca="1" si="246"/>
        <v>59</v>
      </c>
      <c r="CP58" s="287">
        <f t="shared" ca="1" si="209"/>
        <v>0.57843137254901966</v>
      </c>
      <c r="CQ58" s="294">
        <f>IF($CN$5="Q1",H58+N58+T58,
IF($CN$5="Q2",Z58+AF58++AL58,
IF($CN$5="Q3",AR58+AX58+BD58,
IF($CN$5="Q4",BJ58+BP58+BV58,0))))</f>
        <v>56</v>
      </c>
      <c r="CR58" s="287">
        <f t="shared" ca="1" si="210"/>
        <v>0.94915254237288138</v>
      </c>
      <c r="CS58" s="27">
        <f t="shared" si="211"/>
        <v>0</v>
      </c>
      <c r="CT58" s="129">
        <f t="shared" ca="1" si="212"/>
        <v>0</v>
      </c>
      <c r="CU58" s="25">
        <f t="shared" ca="1" si="247"/>
        <v>205</v>
      </c>
      <c r="CV58" s="27">
        <f t="shared" ca="1" si="247"/>
        <v>110</v>
      </c>
      <c r="CW58" s="287">
        <f t="shared" ca="1" si="213"/>
        <v>0.53658536585365857</v>
      </c>
      <c r="CX58" s="27">
        <f t="shared" si="250"/>
        <v>105</v>
      </c>
      <c r="CY58" s="287">
        <f t="shared" ca="1" si="214"/>
        <v>0.95454545454545459</v>
      </c>
      <c r="CZ58" s="27">
        <f t="shared" si="215"/>
        <v>26</v>
      </c>
      <c r="DA58" s="130">
        <f t="shared" ca="1" si="216"/>
        <v>0.12682926829268293</v>
      </c>
      <c r="DB58" s="25">
        <f t="shared" ca="1" si="248"/>
        <v>0</v>
      </c>
      <c r="DC58" s="27">
        <f t="shared" ca="1" si="248"/>
        <v>0</v>
      </c>
      <c r="DD58" s="287">
        <f t="shared" ca="1" si="217"/>
        <v>0</v>
      </c>
      <c r="DE58" s="27">
        <f>IFERROR(IF($DB$5="S 1",H58+N58+T58+Z58+AF58++AL58,
IF($DB$5="S 2",AR58+AX58+BD58+BJ58+BP58+BV58,0)),0)</f>
        <v>0</v>
      </c>
      <c r="DF58" s="287" t="str">
        <f t="shared" ca="1" si="218"/>
        <v>N.D.</v>
      </c>
      <c r="DG58" s="27">
        <f>IFERROR(IF($DB$5="S 1",J58+P58+V58+AB58+AH58+AN58,
IF($DB$5="S 2",AT58+AZ58+BF58+BL58+BR58+BX58,0)),0)</f>
        <v>0</v>
      </c>
      <c r="DH58" s="130">
        <f t="shared" ca="1" si="219"/>
        <v>0</v>
      </c>
      <c r="DI58" s="510">
        <v>1</v>
      </c>
      <c r="DJ58" s="374" t="s">
        <v>75</v>
      </c>
      <c r="DK58" s="25">
        <f t="shared" ca="1" si="249"/>
        <v>205</v>
      </c>
      <c r="DL58" s="27">
        <f t="shared" ca="1" si="249"/>
        <v>110</v>
      </c>
      <c r="DM58" s="287">
        <f t="shared" ca="1" si="220"/>
        <v>0.53658536585365857</v>
      </c>
      <c r="DN58" s="294">
        <f t="shared" si="251"/>
        <v>105</v>
      </c>
      <c r="DO58" s="287">
        <f t="shared" ca="1" si="221"/>
        <v>0.95454545454545459</v>
      </c>
      <c r="DP58" s="27">
        <f t="shared" si="222"/>
        <v>26</v>
      </c>
      <c r="DQ58" s="130">
        <f t="shared" ca="1" si="223"/>
        <v>0.12682926829268293</v>
      </c>
      <c r="DR58"/>
      <c r="DS58" s="14">
        <f ca="1"/>
        <v>27</v>
      </c>
      <c r="DT58" s="14">
        <f ca="1"/>
        <v>19</v>
      </c>
      <c r="DU58" s="508">
        <f ca="1"/>
        <v>0.43333333333333335</v>
      </c>
      <c r="DW58" s="509">
        <f ca="1"/>
        <v>0.60416666666666663</v>
      </c>
      <c r="DX58" s="14">
        <v>0</v>
      </c>
      <c r="DY58" s="509">
        <f ca="1"/>
        <v>0</v>
      </c>
    </row>
    <row r="59" spans="1:129" s="4" customFormat="1" ht="15" customHeight="1" x14ac:dyDescent="0.35">
      <c r="A59" s="4">
        <f>_xlfn.XLOOKUP(B59,'WHOLESALE BMW 2026'!$B$7:$B$67,'WHOLESALE BMW 2026'!$A$7:$A$67)</f>
        <v>9</v>
      </c>
      <c r="B59" s="8">
        <v>100586</v>
      </c>
      <c r="C59" s="369" t="s">
        <v>67</v>
      </c>
      <c r="D59" s="125"/>
      <c r="E59" s="309" t="s">
        <v>98</v>
      </c>
      <c r="F59" s="21">
        <f ca="1">SUMIF('UC BMW 2026'!B57:B133,'UC BMW 2026'!B57,'UC BMW 2026'!F57:F124)</f>
        <v>39</v>
      </c>
      <c r="G59" s="24">
        <f ca="1">SUMIF('UC BMW 2026'!$B$5:$B$77,'UC BMW 2026'!B57,'UC BMW 2026'!$G$5:$G$72)</f>
        <v>38</v>
      </c>
      <c r="H59" s="24">
        <f>IFERROR(VLOOKUP(B59,[2]BPS!$B$10:$O$64,3,0),0)-IF(B59=100873,IFERROR(VLOOKUP("Enero",[2]BPS!$B$74:$C$89,2,0),0),0)</f>
        <v>35</v>
      </c>
      <c r="I59" s="285">
        <f t="shared" ca="1" si="148"/>
        <v>0.92105263157894735</v>
      </c>
      <c r="J59" s="380">
        <f>IFERROR(VLOOKUP(B59,'[2]RETAIL ORIGEN RMKT'!$B$11:$O$62,3,0),0)</f>
        <v>4</v>
      </c>
      <c r="K59" s="127">
        <f t="shared" ca="1" si="149"/>
        <v>0.10256410256410256</v>
      </c>
      <c r="L59" s="21">
        <f ca="1">SUMIF('UC BMW 2026'!$B$5:$B$77,'UC BMW 2026'!$B57,'UC BMW 2026'!$H$5:$H$72)</f>
        <v>39</v>
      </c>
      <c r="M59" s="24">
        <f ca="1">SUMIF('UC BMW 2026'!$B$5:$B$77,'UC BMW 2026'!$B57,'UC BMW 2026'!$I$5:$I$72)</f>
        <v>56</v>
      </c>
      <c r="N59" s="24">
        <f>IFERROR(VLOOKUP(B59,[2]BPS!$B$10:$O$64,4,0),0)-IF(B59=100873,IFERROR(VLOOKUP("Febrero",[2]BPS!$B$74:$C$89,2,0),0),0)</f>
        <v>53</v>
      </c>
      <c r="O59" s="285">
        <f t="shared" ca="1" si="203"/>
        <v>0.9464285714285714</v>
      </c>
      <c r="P59" s="380">
        <f>IFERROR(VLOOKUP(B59,'[2]RETAIL ORIGEN RMKT'!$B$11:$O$62,4,0),0)</f>
        <v>5</v>
      </c>
      <c r="Q59" s="127">
        <f t="shared" ca="1" si="204"/>
        <v>0.12820512820512819</v>
      </c>
      <c r="R59" s="21">
        <f ca="1">SUMIF('UC BMW 2026'!$B$5:$B$77,'UC BMW 2026'!$B57,'UC BMW 2026'!$J$5:$J$72)</f>
        <v>39</v>
      </c>
      <c r="S59" s="24">
        <f ca="1">SUMIF('UC BMW 2026'!$B$5:$B$77,'UC BMW 2026'!$B57,'UC BMW 2026'!$K$5:$K$72)</f>
        <v>54</v>
      </c>
      <c r="T59" s="24">
        <f>IFERROR(VLOOKUP(B59,[2]BPS!$B$10:$O$64,5,0),0)-IF(B59=100873,IFERROR(VLOOKUP("Marzo",[2]BPS!$B$74:$C$89,2,0),0),0)</f>
        <v>45</v>
      </c>
      <c r="U59" s="285">
        <f t="shared" ca="1" si="224"/>
        <v>0.83333333333333337</v>
      </c>
      <c r="V59" s="380">
        <f>IFERROR(VLOOKUP(B59,'[2]RETAIL ORIGEN RMKT'!$B$11:$O$62,5,0),0)</f>
        <v>8</v>
      </c>
      <c r="W59" s="127">
        <f t="shared" ca="1" si="225"/>
        <v>0.20512820512820512</v>
      </c>
      <c r="X59" s="21">
        <f ca="1">SUMIF('UC BMW 2026'!$B$5:$B$77,'UC BMW 2026'!$B57,'UC BMW 2026'!$L$5:$L$72)</f>
        <v>39</v>
      </c>
      <c r="Y59" s="24">
        <f ca="1">SUMIF('UC BMW 2026'!$B$5:$B$77,'UC BMW 2026'!$B57,'UC BMW 2026'!$M$5:$M$72)</f>
        <v>42</v>
      </c>
      <c r="Z59" s="24">
        <f>IFERROR(VLOOKUP(B59,[2]BPS!$B$10:$O$64,6,0),0)-IF(B59=100873,IFERROR(VLOOKUP("Abril",[2]BPS!$B$74:$C$89,2,0),0),0)</f>
        <v>34</v>
      </c>
      <c r="AA59" s="285">
        <f t="shared" ca="1" si="226"/>
        <v>0.80952380952380953</v>
      </c>
      <c r="AB59" s="380">
        <f>IFERROR(VLOOKUP(B59,'[2]RETAIL ORIGEN RMKT'!$B$11:$O$62,6,0),0)</f>
        <v>16</v>
      </c>
      <c r="AC59" s="127">
        <f t="shared" ca="1" si="227"/>
        <v>0.41025641025641024</v>
      </c>
      <c r="AD59" s="21">
        <f ca="1">SUMIF('UC BMW 2026'!$B$5:$B$77,'UC BMW 2026'!$B57,'UC BMW 2026'!$N$5:$N$72)</f>
        <v>39</v>
      </c>
      <c r="AE59" s="24">
        <f ca="1">SUMIF('UC BMW 2026'!$B$5:$B$77,'UC BMW 2026'!$B57,'UC BMW 2026'!$O$5:$O$72)</f>
        <v>55</v>
      </c>
      <c r="AF59" s="24">
        <f>IFERROR(VLOOKUP(B59,[2]BPS!$B$10:$O$64,7,0),0)-IF(B59=100873,IFERROR(VLOOKUP("Mayo",[2]BPS!$B$74:$C$89,2,0),0),0)</f>
        <v>43</v>
      </c>
      <c r="AG59" s="285">
        <f t="shared" ca="1" si="228"/>
        <v>0.78181818181818186</v>
      </c>
      <c r="AH59" s="380">
        <f>IFERROR(VLOOKUP(B59,'[2]RETAIL ORIGEN RMKT'!$B$11:$O$62,7,0),0)</f>
        <v>15</v>
      </c>
      <c r="AI59" s="127">
        <f t="shared" ca="1" si="229"/>
        <v>0.38461538461538464</v>
      </c>
      <c r="AJ59" s="21">
        <f ca="1">SUMIF('UC BMW 2026'!$B$5:$B$77,'UC BMW 2026'!$B57,'UC BMW 2026'!$P$5:$P$72)</f>
        <v>40</v>
      </c>
      <c r="AK59" s="24">
        <f ca="1">SUMIF('UC BMW 2026'!$B$5:$B$77,'UC BMW 2026'!$B57,'UC BMW 2026'!$Q$5:$Q$72)</f>
        <v>45</v>
      </c>
      <c r="AL59" s="24">
        <f>IFERROR(VLOOKUP(B59,[2]BPS!$B$10:$O$64,8,0),0)-IF(B59=100873,IFERROR(VLOOKUP("Junio",[2]BPS!$B$74:$C$89,2,0),0),0)</f>
        <v>42</v>
      </c>
      <c r="AM59" s="285">
        <f t="shared" ca="1" si="230"/>
        <v>0.93333333333333335</v>
      </c>
      <c r="AN59" s="380">
        <f>IFERROR(VLOOKUP(B59,'[2]RETAIL ORIGEN RMKT'!$B$11:$O$62,8,0),0)</f>
        <v>7</v>
      </c>
      <c r="AO59" s="127">
        <f t="shared" ca="1" si="231"/>
        <v>0.17499999999999999</v>
      </c>
      <c r="AP59" s="21">
        <f ca="1">SUMIF('UC BMW 2026'!$B$5:$B$77,'UC BMW 2026'!$B57,'UC BMW 2026'!$R$5:$R$72)</f>
        <v>0</v>
      </c>
      <c r="AQ59" s="24">
        <f ca="1">SUMIF('UC BMW 2026'!$B$5:$B$77,'UC BMW 2026'!$B57,'UC BMW 2026'!$S$5:$S$72)</f>
        <v>0</v>
      </c>
      <c r="AR59" s="24">
        <f>IFERROR(VLOOKUP(B59,[2]BPS!$B$10:$O$64,9,0),0)-IF(B59=100873,IFERROR(VLOOKUP("Julio",[2]BPS!$B$74:$C$89,2,0),0),0)</f>
        <v>0</v>
      </c>
      <c r="AS59" s="285">
        <f t="shared" ca="1" si="232"/>
        <v>0</v>
      </c>
      <c r="AT59" s="380">
        <f>IFERROR(VLOOKUP(B59,'[2]RETAIL ORIGEN RMKT'!$B$11:$O$62,9,0),0)</f>
        <v>0</v>
      </c>
      <c r="AU59" s="127">
        <f t="shared" ca="1" si="233"/>
        <v>0</v>
      </c>
      <c r="AV59" s="21">
        <f ca="1">SUMIF('UC BMW 2026'!$B$5:$B$77,'UC BMW 2026'!$B57,'UC BMW 2026'!$T$5:$T$72)</f>
        <v>0</v>
      </c>
      <c r="AW59" s="24">
        <f ca="1">SUMIF('UC BMW 2026'!$B$5:$B$77,'UC BMW 2026'!$B57,'UC BMW 2026'!$U$5:$U$72)</f>
        <v>0</v>
      </c>
      <c r="AX59" s="24">
        <f>IFERROR(VLOOKUP(B59,[2]BPS!$B$10:$O$64,10,0),0)-IF(B59=100873,IFERROR(VLOOKUP("Agosto",[2]BPS!$B$74:$C$89,2,0),0),0)</f>
        <v>0</v>
      </c>
      <c r="AY59" s="285">
        <f t="shared" ca="1" si="234"/>
        <v>0</v>
      </c>
      <c r="AZ59" s="380">
        <f>IFERROR(VLOOKUP(B59,'[2]RETAIL ORIGEN RMKT'!$B$11:$O$62,10,0),0)</f>
        <v>0</v>
      </c>
      <c r="BA59" s="127">
        <f t="shared" ca="1" si="235"/>
        <v>0</v>
      </c>
      <c r="BB59" s="21">
        <f ca="1">SUMIF('UC BMW 2026'!$B$5:$B$77,'UC BMW 2026'!$B57,'UC BMW 2026'!$V$5:$V$72)</f>
        <v>0</v>
      </c>
      <c r="BC59" s="24">
        <f>SUMIF('UC BMW 2026'!$B$5:$B$77,'UC BMW 2026'!$B57,'UC BMW 2026'!$W$5:$W$77)</f>
        <v>0</v>
      </c>
      <c r="BD59" s="24">
        <f>IFERROR(VLOOKUP(B59,[2]BPS!$B$10:$O$64,11,0),0)-IF(B59=100873,IFERROR(VLOOKUP("Septiembre",[2]BPS!$B$74:$C$89,2,0),0),0)</f>
        <v>0</v>
      </c>
      <c r="BE59" s="285">
        <f t="shared" si="236"/>
        <v>0</v>
      </c>
      <c r="BF59" s="380">
        <f>IFERROR(VLOOKUP(B59,'[2]RETAIL ORIGEN RMKT'!$B$11:$O$62,11,0),0)</f>
        <v>0</v>
      </c>
      <c r="BG59" s="127">
        <f t="shared" ca="1" si="237"/>
        <v>0</v>
      </c>
      <c r="BH59" s="21">
        <f>SUMIF('UC BMW 2026'!$B$5:$B$77,'UC BMW 2026'!$B57,'UC BMW 2026'!$X$5:$X$77)</f>
        <v>0</v>
      </c>
      <c r="BI59" s="24">
        <f>SUMIF('UC BMW 2026'!$B$5:$B$77,'UC BMW 2026'!$B57,'UC BMW 2026'!$Y$5:$Y$77)</f>
        <v>0</v>
      </c>
      <c r="BJ59" s="24">
        <f>IFERROR(VLOOKUP(B59,[2]BPS!$B$10:$O$64,12,0),0)-IF(B59=100873,IFERROR(VLOOKUP("Octubre",[2]BPS!$B$74:$C$89,2,0),0),0)</f>
        <v>0</v>
      </c>
      <c r="BK59" s="285">
        <f t="shared" si="238"/>
        <v>0</v>
      </c>
      <c r="BL59" s="380">
        <f>IFERROR(VLOOKUP(B59,'[2]RETAIL ORIGEN RMKT'!$B$11:$O$62,12,0),0)</f>
        <v>0</v>
      </c>
      <c r="BM59" s="127">
        <f t="shared" si="239"/>
        <v>0</v>
      </c>
      <c r="BN59" s="21">
        <f>SUMIF('UC BMW 2026'!$B$5:$B$77,'UC BMW 2026'!$B57,'UC BMW 2026'!$Z$5:$Z$77)</f>
        <v>0</v>
      </c>
      <c r="BO59" s="24">
        <f>SUMIF('UC BMW 2026'!$B$5:$B$77,'UC BMW 2026'!$B57,'UC BMW 2026'!$AA$5:$AA$77)</f>
        <v>0</v>
      </c>
      <c r="BP59" s="24">
        <f>IFERROR(VLOOKUP(B59,[2]BPS!$B$10:$O$64,13,0),0)-IF(B59=100873,IFERROR(VLOOKUP("Noviembre",[2]BPS!$B$74:$C$89,2,0),0),0)</f>
        <v>0</v>
      </c>
      <c r="BQ59" s="285">
        <f t="shared" si="240"/>
        <v>0</v>
      </c>
      <c r="BR59" s="380">
        <f>IFERROR(VLOOKUP(B59,'[2]RETAIL ORIGEN RMKT'!$B$11:$O$62,13,0),0)</f>
        <v>0</v>
      </c>
      <c r="BS59" s="127">
        <f t="shared" si="241"/>
        <v>0</v>
      </c>
      <c r="BT59" s="21">
        <f>SUMIF('UC BMW 2026'!$B$5:$B$77,'UC BMW 2026'!$B57,'UC BMW 2026'!$AB$5:$AB$77)</f>
        <v>0</v>
      </c>
      <c r="BU59" s="24">
        <f>SUMIF('UC BMW 2026'!$B$5:$B$77,'UC BMW 2026'!$B57,'UC BMW 2026'!$AC$5:$AC$77)</f>
        <v>0</v>
      </c>
      <c r="BV59" s="24">
        <f>IFERROR(VLOOKUP(B59,[2]BPS!$B$10:$O$64,13,0),0)-IF(B59=100873,IFERROR(VLOOKUP("Diciembre",[2]BPS!$B$74:$C$89,2,0),0),0)</f>
        <v>0</v>
      </c>
      <c r="BW59" s="285">
        <f t="shared" si="242"/>
        <v>0</v>
      </c>
      <c r="BX59" s="380">
        <f>IFERROR(VLOOKUP(B59,'[2]RETAIL ORIGEN RMKT'!$B$11:$O$62,14,0),0)</f>
        <v>0</v>
      </c>
      <c r="BY59" s="127">
        <f t="shared" si="243"/>
        <v>0</v>
      </c>
      <c r="BZ59" s="25">
        <f t="shared" ca="1" si="244"/>
        <v>235</v>
      </c>
      <c r="CA59" s="27">
        <f t="shared" ca="1" si="244"/>
        <v>290</v>
      </c>
      <c r="CB59" s="287">
        <f t="shared" ca="1" si="205"/>
        <v>1.2340425531914894</v>
      </c>
      <c r="CC59" s="291">
        <f>IFERROR(IF($BZ$4="ENERO",H59,IF($BZ$4="FEBRERO",H59+N59,IF($BZ$4="MARZO",H59+N59+T59,IF($BZ$4="ABRIL",H59+N59+T59+Z59,IF($BZ$4="MAYO",H59+N59+T59+Z59+AF59,IF($BZ$4="JUNIO",H59+N59+T59+Z59+AF59+AL59,IF($BZ$4="JULIO",H59+N59+T59+Z59+AF59+AL59+AR59,IF($BZ$4="AGOSTO",H59+N59+T59+Z59+AF59+AL59+AR59+AX59,IF($BZ$4="SEPTIEMBRE",H59+N59+T59+Z59+AF59+AL59+AR59+AX59+BD59,IF($BZ$4="OCTUBRE",H59+N59+T59+Z59+AF59+AL59+AR59+AX59+BD59+BJ59,IF($BZ$4="NOVIEMBRE",H59+N59+T59+Z59+AF59+AL59+AR59+AX59+BD59+BJ59+BP59,IF($BZ$4="DICIEMBRE",H59+N59+T59+Z59+AF59+AL59+AR59+AX59+BD59+BJ59+BP59+BV59,"")))))))))))),0)</f>
        <v>252</v>
      </c>
      <c r="CD59" s="287">
        <f ca="1">IFERROR(IF(CA59=0,"N.D.",CC59/CA59),0)</f>
        <v>0.86896551724137927</v>
      </c>
      <c r="CE59" s="24">
        <f>IFERROR(IF($BZ$4="ENERO",J59,IF($BZ$4="FEBRERO",J59+P59,IF($BZ$4="MARZO",J59+P59+V59,IF($BZ$4="ABRIL",J59+P59+V59+AB59,IF($BZ$4="MAYO",J59+P59+V59+AB59+AH59,IF($BZ$4="JUNIO",J59+P59+V59+AB59+AH59+AN59,IF($BZ$4="JULIO",J59+P59+V59+AB59+AH59+AN59+AT59,IF($BZ$4="AGOSTO",J59+P59+V59+AB59+AH59+AN59+AT59+AZ59,IF($BZ$4="SEPTIEMBRE",J59+P59+V59+AB59+AH59+AN59+AT59+AZ59+BF59,IF($BZ$4="OCTUBRE",J59+P59+V59+AB59+AH59+AN59+AT59+AZ59+BF59+BL59,IF($BZ$4="NOVIEMBRE",J59+P59+V59+AB59+AH59+AN59+AT59+AZ59+BF59+BL59+BR59,IF($BZ$4="DICIEMBRE",J59+P59+V59+AB59+AH59+AN59+AT59+AZ59+BF59+BL59+BR59+BX59,"")))))))))))),0)</f>
        <v>55</v>
      </c>
      <c r="CF59" s="129">
        <f t="shared" ca="1" si="206"/>
        <v>0.23404255319148937</v>
      </c>
      <c r="CG59" s="25">
        <f ca="1">SUM(F59+L59+R59+X59+AD59+AJ59+AP59+AV59+BB59+BH59+BN59+BT59)</f>
        <v>235</v>
      </c>
      <c r="CH59" s="27">
        <f ca="1">SUMIFS($F59:$BW59,$F$6:$BW$6,CH$6,$F$2:$BW$2,$BZ$4)</f>
        <v>290</v>
      </c>
      <c r="CI59" s="287">
        <f t="shared" ca="1" si="207"/>
        <v>1.2340425531914894</v>
      </c>
      <c r="CJ59" s="291">
        <f>SUMIFS($F59:$BW59,$F$6:$BW$6,CJ$6,$F$2:$BW$2,$BZ$4)</f>
        <v>252</v>
      </c>
      <c r="CK59" s="287">
        <f t="shared" ca="1" si="245"/>
        <v>0.86896551724137927</v>
      </c>
      <c r="CL59" s="27">
        <f>IFERROR(J59+P59+V59+AB59+AH59+AN59+AT59+AZ59+BF59+BL59+BR59+BX59,0)</f>
        <v>55</v>
      </c>
      <c r="CM59" s="129">
        <f t="shared" ca="1" si="208"/>
        <v>0.23404255319148937</v>
      </c>
      <c r="CN59" s="25">
        <f t="shared" ca="1" si="246"/>
        <v>117</v>
      </c>
      <c r="CO59" s="27">
        <f t="shared" ca="1" si="246"/>
        <v>148</v>
      </c>
      <c r="CP59" s="287">
        <f t="shared" ca="1" si="209"/>
        <v>1.2649572649572649</v>
      </c>
      <c r="CQ59" s="291">
        <f>IF($CN$5="Q1",H59+N59+T59,
IF($CN$5="Q2",Z59+AF59++AL59,
IF($CN$5="Q3",AR59+AX59+BD59,
IF($CN$5="Q4",BJ59+BP59+BV59,0))))</f>
        <v>133</v>
      </c>
      <c r="CR59" s="287">
        <f t="shared" ca="1" si="210"/>
        <v>0.89864864864864868</v>
      </c>
      <c r="CS59" s="27">
        <f t="shared" si="211"/>
        <v>0</v>
      </c>
      <c r="CT59" s="129">
        <f t="shared" ca="1" si="212"/>
        <v>0</v>
      </c>
      <c r="CU59" s="25">
        <f t="shared" ca="1" si="247"/>
        <v>235</v>
      </c>
      <c r="CV59" s="27">
        <f t="shared" ca="1" si="247"/>
        <v>290</v>
      </c>
      <c r="CW59" s="287">
        <f t="shared" ca="1" si="213"/>
        <v>1.2340425531914894</v>
      </c>
      <c r="CX59" s="27">
        <f t="shared" si="250"/>
        <v>252</v>
      </c>
      <c r="CY59" s="287">
        <f t="shared" ca="1" si="214"/>
        <v>0.86896551724137927</v>
      </c>
      <c r="CZ59" s="27">
        <f t="shared" si="215"/>
        <v>55</v>
      </c>
      <c r="DA59" s="130">
        <f t="shared" ca="1" si="216"/>
        <v>0.23404255319148937</v>
      </c>
      <c r="DB59" s="25">
        <f t="shared" ca="1" si="248"/>
        <v>0</v>
      </c>
      <c r="DC59" s="27">
        <f t="shared" ca="1" si="248"/>
        <v>0</v>
      </c>
      <c r="DD59" s="287">
        <f t="shared" ca="1" si="217"/>
        <v>0</v>
      </c>
      <c r="DE59" s="27">
        <f>IFERROR(IF($DB$5="S 1",H59+N59+T59+Z59+AF59++AL59,
IF($DB$5="S 2",AR59+AX59+BD59+BJ59+BP59+BV59,0)),0)</f>
        <v>0</v>
      </c>
      <c r="DF59" s="287" t="str">
        <f t="shared" ca="1" si="218"/>
        <v>N.D.</v>
      </c>
      <c r="DG59" s="27">
        <f>IFERROR(IF($DB$5="S 1",J59+P59+V59+AB59+AH59+AN59,
IF($DB$5="S 2",AT59+AZ59+BF59+BL59+BR59+BX59,0)),0)</f>
        <v>0</v>
      </c>
      <c r="DH59" s="130">
        <f t="shared" ca="1" si="219"/>
        <v>0</v>
      </c>
      <c r="DI59" s="510">
        <v>1</v>
      </c>
      <c r="DJ59" s="369" t="s">
        <v>67</v>
      </c>
      <c r="DK59" s="25">
        <f t="shared" ca="1" si="249"/>
        <v>235</v>
      </c>
      <c r="DL59" s="27">
        <f t="shared" ca="1" si="249"/>
        <v>290</v>
      </c>
      <c r="DM59" s="287">
        <f t="shared" ca="1" si="220"/>
        <v>1.2340425531914894</v>
      </c>
      <c r="DN59" s="291">
        <f t="shared" si="251"/>
        <v>252</v>
      </c>
      <c r="DO59" s="287">
        <f t="shared" ca="1" si="221"/>
        <v>0.86896551724137927</v>
      </c>
      <c r="DP59" s="27">
        <f t="shared" si="222"/>
        <v>55</v>
      </c>
      <c r="DQ59" s="130">
        <f t="shared" ca="1" si="223"/>
        <v>0.23404255319148937</v>
      </c>
      <c r="DR59"/>
      <c r="DS59" s="508">
        <f ca="1"/>
        <v>24</v>
      </c>
      <c r="DT59" s="4">
        <f ca="1"/>
        <v>8</v>
      </c>
      <c r="DU59" s="508">
        <f ca="1"/>
        <v>0.22222222222222221</v>
      </c>
      <c r="DW59" s="4">
        <f ca="1"/>
        <v>0</v>
      </c>
      <c r="DX59" s="4">
        <v>0</v>
      </c>
      <c r="DY59" s="4">
        <f ca="1"/>
        <v>0</v>
      </c>
    </row>
    <row r="60" spans="1:129" s="4" customFormat="1" ht="15" customHeight="1" thickBot="1" x14ac:dyDescent="0.4">
      <c r="A60" s="4">
        <f>_xlfn.XLOOKUP(B60,'WHOLESALE BMW 2026'!$B$7:$B$67,'WHOLESALE BMW 2026'!$A$7:$A$67)</f>
        <v>9</v>
      </c>
      <c r="B60" s="36">
        <v>100813</v>
      </c>
      <c r="C60" s="375" t="s">
        <v>68</v>
      </c>
      <c r="D60" s="125"/>
      <c r="E60" s="309" t="s">
        <v>98</v>
      </c>
      <c r="F60" s="21">
        <f ca="1">SUMIF('UC BMW 2026'!B58:B134,'UC BMW 2026'!B58,'UC BMW 2026'!F58:F125)</f>
        <v>22</v>
      </c>
      <c r="G60" s="24">
        <f ca="1">SUMIF('UC BMW 2026'!$B$5:$B$77,'UC BMW 2026'!B58,'UC BMW 2026'!$G$5:$G$72)</f>
        <v>37</v>
      </c>
      <c r="H60" s="24">
        <f>IFERROR(VLOOKUP(B60,[2]BPS!$B$10:$O$64,3,0),0)-IF(B60=100873,IFERROR(VLOOKUP("Enero",[2]BPS!$B$74:$C$89,2,0),0),0)</f>
        <v>37</v>
      </c>
      <c r="I60" s="285">
        <f t="shared" ca="1" si="148"/>
        <v>1</v>
      </c>
      <c r="J60" s="380">
        <f>IFERROR(VLOOKUP(B60,'[2]RETAIL ORIGEN RMKT'!$B$11:$O$62,3,0),0)</f>
        <v>11</v>
      </c>
      <c r="K60" s="127">
        <f t="shared" ca="1" si="149"/>
        <v>0.5</v>
      </c>
      <c r="L60" s="21">
        <f ca="1">SUMIF('UC BMW 2026'!$B$5:$B$77,'UC BMW 2026'!$B58,'UC BMW 2026'!$H$5:$H$72)</f>
        <v>22</v>
      </c>
      <c r="M60" s="24">
        <f ca="1">SUMIF('UC BMW 2026'!$B$5:$B$77,'UC BMW 2026'!$B58,'UC BMW 2026'!$I$5:$I$72)</f>
        <v>42</v>
      </c>
      <c r="N60" s="24">
        <f>IFERROR(VLOOKUP(B60,[2]BPS!$B$10:$O$64,4,0),0)-IF(B60=100873,IFERROR(VLOOKUP("Febrero",[2]BPS!$B$74:$C$89,2,0),0),0)</f>
        <v>42</v>
      </c>
      <c r="O60" s="285">
        <f t="shared" ca="1" si="203"/>
        <v>1</v>
      </c>
      <c r="P60" s="380">
        <f>IFERROR(VLOOKUP(B60,'[2]RETAIL ORIGEN RMKT'!$B$11:$O$62,4,0),0)</f>
        <v>11</v>
      </c>
      <c r="Q60" s="127">
        <f t="shared" ca="1" si="204"/>
        <v>0.5</v>
      </c>
      <c r="R60" s="21">
        <f ca="1">SUMIF('UC BMW 2026'!$B$5:$B$77,'UC BMW 2026'!$B58,'UC BMW 2026'!$J$5:$J$72)</f>
        <v>22</v>
      </c>
      <c r="S60" s="24">
        <f ca="1">SUMIF('UC BMW 2026'!$B$5:$B$77,'UC BMW 2026'!$B58,'UC BMW 2026'!$K$5:$K$72)</f>
        <v>38</v>
      </c>
      <c r="T60" s="24">
        <f>IFERROR(VLOOKUP(B60,[2]BPS!$B$10:$O$64,5,0),0)-IF(B60=100873,IFERROR(VLOOKUP("Marzo",[2]BPS!$B$74:$C$89,2,0),0),0)</f>
        <v>37</v>
      </c>
      <c r="U60" s="285">
        <f t="shared" ca="1" si="224"/>
        <v>0.97368421052631582</v>
      </c>
      <c r="V60" s="380">
        <f>IFERROR(VLOOKUP(B60,'[2]RETAIL ORIGEN RMKT'!$B$11:$O$62,5,0),0)</f>
        <v>7</v>
      </c>
      <c r="W60" s="127">
        <f t="shared" ca="1" si="225"/>
        <v>0.31818181818181818</v>
      </c>
      <c r="X60" s="21">
        <f ca="1">SUMIF('UC BMW 2026'!$B$5:$B$77,'UC BMW 2026'!$B58,'UC BMW 2026'!$L$5:$L$72)</f>
        <v>23</v>
      </c>
      <c r="Y60" s="24">
        <f ca="1">SUMIF('UC BMW 2026'!$B$5:$B$77,'UC BMW 2026'!$B58,'UC BMW 2026'!$M$5:$M$72)</f>
        <v>37</v>
      </c>
      <c r="Z60" s="24">
        <f>IFERROR(VLOOKUP(B60,[2]BPS!$B$10:$O$64,6,0),0)-IF(B60=100873,IFERROR(VLOOKUP("Abril",[2]BPS!$B$74:$C$89,2,0),0),0)</f>
        <v>37</v>
      </c>
      <c r="AA60" s="285">
        <f t="shared" ca="1" si="226"/>
        <v>1</v>
      </c>
      <c r="AB60" s="380">
        <f>IFERROR(VLOOKUP(B60,'[2]RETAIL ORIGEN RMKT'!$B$11:$O$62,6,0),0)</f>
        <v>10</v>
      </c>
      <c r="AC60" s="127">
        <f t="shared" ca="1" si="227"/>
        <v>0.43478260869565216</v>
      </c>
      <c r="AD60" s="21">
        <f ca="1">SUMIF('UC BMW 2026'!$B$5:$B$77,'UC BMW 2026'!$B58,'UC BMW 2026'!$N$5:$N$72)</f>
        <v>23</v>
      </c>
      <c r="AE60" s="24">
        <f ca="1">SUMIF('UC BMW 2026'!$B$5:$B$77,'UC BMW 2026'!$B58,'UC BMW 2026'!$O$5:$O$72)</f>
        <v>25</v>
      </c>
      <c r="AF60" s="24">
        <f>IFERROR(VLOOKUP(B60,[2]BPS!$B$10:$O$64,7,0),0)-IF(B60=100873,IFERROR(VLOOKUP("Mayo",[2]BPS!$B$74:$C$89,2,0),0),0)</f>
        <v>25</v>
      </c>
      <c r="AG60" s="285">
        <f t="shared" ca="1" si="228"/>
        <v>1</v>
      </c>
      <c r="AH60" s="380">
        <f>IFERROR(VLOOKUP(B60,'[2]RETAIL ORIGEN RMKT'!$B$11:$O$62,7,0),0)</f>
        <v>7</v>
      </c>
      <c r="AI60" s="127">
        <f t="shared" ca="1" si="229"/>
        <v>0.30434782608695654</v>
      </c>
      <c r="AJ60" s="21">
        <f ca="1">SUMIF('UC BMW 2026'!$B$5:$B$77,'UC BMW 2026'!$B58,'UC BMW 2026'!$P$5:$P$72)</f>
        <v>23</v>
      </c>
      <c r="AK60" s="24">
        <f ca="1">SUMIF('UC BMW 2026'!$B$5:$B$77,'UC BMW 2026'!$B58,'UC BMW 2026'!$Q$5:$Q$72)</f>
        <v>39</v>
      </c>
      <c r="AL60" s="24">
        <f>IFERROR(VLOOKUP(B60,[2]BPS!$B$10:$O$64,8,0),0)-IF(B60=100873,IFERROR(VLOOKUP("Junio",[2]BPS!$B$74:$C$89,2,0),0),0)</f>
        <v>39</v>
      </c>
      <c r="AM60" s="285">
        <f t="shared" ca="1" si="230"/>
        <v>1</v>
      </c>
      <c r="AN60" s="380">
        <f>IFERROR(VLOOKUP(B60,'[2]RETAIL ORIGEN RMKT'!$B$11:$O$62,8,0),0)</f>
        <v>14</v>
      </c>
      <c r="AO60" s="127">
        <f t="shared" ca="1" si="231"/>
        <v>0.60869565217391308</v>
      </c>
      <c r="AP60" s="21">
        <f ca="1">SUMIF('UC BMW 2026'!$B$5:$B$77,'UC BMW 2026'!$B58,'UC BMW 2026'!$R$5:$R$72)</f>
        <v>0</v>
      </c>
      <c r="AQ60" s="24">
        <f ca="1">SUMIF('UC BMW 2026'!$B$5:$B$77,'UC BMW 2026'!$B58,'UC BMW 2026'!$S$5:$S$72)</f>
        <v>0</v>
      </c>
      <c r="AR60" s="24">
        <f>IFERROR(VLOOKUP(B60,[2]BPS!$B$10:$O$64,9,0),0)-IF(B60=100873,IFERROR(VLOOKUP("Julio",[2]BPS!$B$74:$C$89,2,0),0),0)</f>
        <v>0</v>
      </c>
      <c r="AS60" s="285">
        <f t="shared" ca="1" si="232"/>
        <v>0</v>
      </c>
      <c r="AT60" s="380">
        <f>IFERROR(VLOOKUP(B60,'[2]RETAIL ORIGEN RMKT'!$B$11:$O$62,9,0),0)</f>
        <v>0</v>
      </c>
      <c r="AU60" s="127">
        <f t="shared" ca="1" si="233"/>
        <v>0</v>
      </c>
      <c r="AV60" s="21">
        <f ca="1">SUMIF('UC BMW 2026'!$B$5:$B$77,'UC BMW 2026'!$B58,'UC BMW 2026'!$T$5:$T$72)</f>
        <v>0</v>
      </c>
      <c r="AW60" s="24">
        <f ca="1">SUMIF('UC BMW 2026'!$B$5:$B$77,'UC BMW 2026'!$B58,'UC BMW 2026'!$U$5:$U$72)</f>
        <v>0</v>
      </c>
      <c r="AX60" s="24">
        <f>IFERROR(VLOOKUP(B60,[2]BPS!$B$10:$O$64,10,0),0)-IF(B60=100873,IFERROR(VLOOKUP("Agosto",[2]BPS!$B$74:$C$89,2,0),0),0)</f>
        <v>0</v>
      </c>
      <c r="AY60" s="285">
        <f t="shared" ca="1" si="234"/>
        <v>0</v>
      </c>
      <c r="AZ60" s="380">
        <f>IFERROR(VLOOKUP(B60,'[2]RETAIL ORIGEN RMKT'!$B$11:$O$62,10,0),0)</f>
        <v>0</v>
      </c>
      <c r="BA60" s="127">
        <f t="shared" ca="1" si="235"/>
        <v>0</v>
      </c>
      <c r="BB60" s="21">
        <f ca="1">SUMIF('UC BMW 2026'!$B$5:$B$77,'UC BMW 2026'!$B58,'UC BMW 2026'!$V$5:$V$72)</f>
        <v>0</v>
      </c>
      <c r="BC60" s="24">
        <f>SUMIF('UC BMW 2026'!$B$5:$B$77,'UC BMW 2026'!$B58,'UC BMW 2026'!$W$5:$W$77)</f>
        <v>0</v>
      </c>
      <c r="BD60" s="24">
        <f>IFERROR(VLOOKUP(B60,[2]BPS!$B$10:$O$64,11,0),0)-IF(B60=100873,IFERROR(VLOOKUP("Septiembre",[2]BPS!$B$74:$C$89,2,0),0),0)</f>
        <v>0</v>
      </c>
      <c r="BE60" s="285">
        <f t="shared" si="236"/>
        <v>0</v>
      </c>
      <c r="BF60" s="380">
        <f>IFERROR(VLOOKUP(B60,'[2]RETAIL ORIGEN RMKT'!$B$11:$O$62,11,0),0)</f>
        <v>0</v>
      </c>
      <c r="BG60" s="127">
        <f t="shared" ca="1" si="237"/>
        <v>0</v>
      </c>
      <c r="BH60" s="21">
        <f>SUMIF('UC BMW 2026'!$B$5:$B$77,'UC BMW 2026'!$B58,'UC BMW 2026'!$X$5:$X$77)</f>
        <v>0</v>
      </c>
      <c r="BI60" s="24">
        <f>SUMIF('UC BMW 2026'!$B$5:$B$77,'UC BMW 2026'!$B58,'UC BMW 2026'!$Y$5:$Y$77)</f>
        <v>0</v>
      </c>
      <c r="BJ60" s="24">
        <f>IFERROR(VLOOKUP(B60,[2]BPS!$B$10:$O$64,12,0),0)-IF(B60=100873,IFERROR(VLOOKUP("Octubre",[2]BPS!$B$74:$C$89,2,0),0),0)</f>
        <v>0</v>
      </c>
      <c r="BK60" s="285">
        <f t="shared" si="238"/>
        <v>0</v>
      </c>
      <c r="BL60" s="380">
        <f>IFERROR(VLOOKUP(B60,'[2]RETAIL ORIGEN RMKT'!$B$11:$O$62,12,0),0)</f>
        <v>0</v>
      </c>
      <c r="BM60" s="127">
        <f t="shared" si="239"/>
        <v>0</v>
      </c>
      <c r="BN60" s="21">
        <f>SUMIF('UC BMW 2026'!$B$5:$B$77,'UC BMW 2026'!$B58,'UC BMW 2026'!$Z$5:$Z$77)</f>
        <v>0</v>
      </c>
      <c r="BO60" s="24">
        <f>SUMIF('UC BMW 2026'!$B$5:$B$77,'UC BMW 2026'!$B58,'UC BMW 2026'!$AA$5:$AA$77)</f>
        <v>0</v>
      </c>
      <c r="BP60" s="24">
        <f>IFERROR(VLOOKUP(B60,[2]BPS!$B$10:$O$64,13,0),0)-IF(B60=100873,IFERROR(VLOOKUP("Noviembre",[2]BPS!$B$74:$C$89,2,0),0),0)</f>
        <v>0</v>
      </c>
      <c r="BQ60" s="285">
        <f t="shared" si="240"/>
        <v>0</v>
      </c>
      <c r="BR60" s="380">
        <f>IFERROR(VLOOKUP(B60,'[2]RETAIL ORIGEN RMKT'!$B$11:$O$62,13,0),0)</f>
        <v>0</v>
      </c>
      <c r="BS60" s="127">
        <f t="shared" si="241"/>
        <v>0</v>
      </c>
      <c r="BT60" s="21">
        <f>SUMIF('UC BMW 2026'!$B$5:$B$77,'UC BMW 2026'!$B58,'UC BMW 2026'!$AB$5:$AB$77)</f>
        <v>0</v>
      </c>
      <c r="BU60" s="24">
        <f>SUMIF('UC BMW 2026'!$B$5:$B$77,'UC BMW 2026'!$B58,'UC BMW 2026'!$AC$5:$AC$77)</f>
        <v>0</v>
      </c>
      <c r="BV60" s="24">
        <f>IFERROR(VLOOKUP(B60,[2]BPS!$B$10:$O$64,13,0),0)-IF(B60=100873,IFERROR(VLOOKUP("Diciembre",[2]BPS!$B$74:$C$89,2,0),0),0)</f>
        <v>0</v>
      </c>
      <c r="BW60" s="285">
        <f t="shared" si="242"/>
        <v>0</v>
      </c>
      <c r="BX60" s="380">
        <f>IFERROR(VLOOKUP(B60,'[2]RETAIL ORIGEN RMKT'!$B$11:$O$62,14,0),0)</f>
        <v>0</v>
      </c>
      <c r="BY60" s="127">
        <f t="shared" si="243"/>
        <v>0</v>
      </c>
      <c r="BZ60" s="25">
        <f t="shared" ca="1" si="244"/>
        <v>135</v>
      </c>
      <c r="CA60" s="27">
        <f t="shared" ca="1" si="244"/>
        <v>218</v>
      </c>
      <c r="CB60" s="287">
        <f t="shared" ca="1" si="205"/>
        <v>1.6148148148148149</v>
      </c>
      <c r="CC60" s="291">
        <f>IFERROR(IF($BZ$4="ENERO",H60,IF($BZ$4="FEBRERO",H60+N60,IF($BZ$4="MARZO",H60+N60+T60,IF($BZ$4="ABRIL",H60+N60+T60+Z60,IF($BZ$4="MAYO",H60+N60+T60+Z60+AF60,IF($BZ$4="JUNIO",H60+N60+T60+Z60+AF60+AL60,IF($BZ$4="JULIO",H60+N60+T60+Z60+AF60+AL60+AR60,IF($BZ$4="AGOSTO",H60+N60+T60+Z60+AF60+AL60+AR60+AX60,IF($BZ$4="SEPTIEMBRE",H60+N60+T60+Z60+AF60+AL60+AR60+AX60+BD60,IF($BZ$4="OCTUBRE",H60+N60+T60+Z60+AF60+AL60+AR60+AX60+BD60+BJ60,IF($BZ$4="NOVIEMBRE",H60+N60+T60+Z60+AF60+AL60+AR60+AX60+BD60+BJ60+BP60,IF($BZ$4="DICIEMBRE",H60+N60+T60+Z60+AF60+AL60+AR60+AX60+BD60+BJ60+BP60+BV60,"")))))))))))),0)</f>
        <v>217</v>
      </c>
      <c r="CD60" s="287">
        <f ca="1">IFERROR(IF(CA60=0,"N.D.",CC60/CA60),0)</f>
        <v>0.99541284403669728</v>
      </c>
      <c r="CE60" s="24">
        <f>IFERROR(IF($BZ$4="ENERO",J60,IF($BZ$4="FEBRERO",J60+P60,IF($BZ$4="MARZO",J60+P60+V60,IF($BZ$4="ABRIL",J60+P60+V60+AB60,IF($BZ$4="MAYO",J60+P60+V60+AB60+AH60,IF($BZ$4="JUNIO",J60+P60+V60+AB60+AH60+AN60,IF($BZ$4="JULIO",J60+P60+V60+AB60+AH60+AN60+AT60,IF($BZ$4="AGOSTO",J60+P60+V60+AB60+AH60+AN60+AT60+AZ60,IF($BZ$4="SEPTIEMBRE",J60+P60+V60+AB60+AH60+AN60+AT60+AZ60+BF60,IF($BZ$4="OCTUBRE",J60+P60+V60+AB60+AH60+AN60+AT60+AZ60+BF60+BL60,IF($BZ$4="NOVIEMBRE",J60+P60+V60+AB60+AH60+AN60+AT60+AZ60+BF60+BL60+BR60,IF($BZ$4="DICIEMBRE",J60+P60+V60+AB60+AH60+AN60+AT60+AZ60+BF60+BL60+BR60+BX60,"")))))))))))),0)</f>
        <v>60</v>
      </c>
      <c r="CF60" s="129">
        <f t="shared" ca="1" si="206"/>
        <v>0.44444444444444442</v>
      </c>
      <c r="CG60" s="25">
        <f ca="1">SUM(F60+L60+R60+X60+AD60+AJ60+AP60+AV60+BB60+BH60+BN60+BT60)</f>
        <v>135</v>
      </c>
      <c r="CH60" s="27">
        <f ca="1">SUMIFS($F60:$BW60,$F$6:$BW$6,CH$6,$F$2:$BW$2,$BZ$4)</f>
        <v>218</v>
      </c>
      <c r="CI60" s="287">
        <f t="shared" ca="1" si="207"/>
        <v>1.6148148148148149</v>
      </c>
      <c r="CJ60" s="291">
        <f>SUMIFS($F60:$BW60,$F$6:$BW$6,CJ$6,$F$2:$BW$2,$BZ$4)</f>
        <v>217</v>
      </c>
      <c r="CK60" s="287">
        <f t="shared" ca="1" si="245"/>
        <v>0.99541284403669728</v>
      </c>
      <c r="CL60" s="27">
        <f>IFERROR(J60+P60+V60+AB60+AH60+AN60+AT60+AZ60+BF60+BL60+BR60+BX60,0)</f>
        <v>60</v>
      </c>
      <c r="CM60" s="129">
        <f t="shared" ca="1" si="208"/>
        <v>0.44444444444444442</v>
      </c>
      <c r="CN60" s="25">
        <f t="shared" ca="1" si="246"/>
        <v>66</v>
      </c>
      <c r="CO60" s="27">
        <f t="shared" ca="1" si="246"/>
        <v>117</v>
      </c>
      <c r="CP60" s="287">
        <f t="shared" ca="1" si="209"/>
        <v>1.7727272727272727</v>
      </c>
      <c r="CQ60" s="291">
        <f>IF($CN$5="Q1",H60+N60+T60,
IF($CN$5="Q2",Z60+AF60++AL60,
IF($CN$5="Q3",AR60+AX60+BD60,
IF($CN$5="Q4",BJ60+BP60+BV60,0))))</f>
        <v>116</v>
      </c>
      <c r="CR60" s="287">
        <f t="shared" ca="1" si="210"/>
        <v>0.99145299145299148</v>
      </c>
      <c r="CS60" s="27">
        <f t="shared" si="211"/>
        <v>0</v>
      </c>
      <c r="CT60" s="129">
        <f t="shared" ca="1" si="212"/>
        <v>0</v>
      </c>
      <c r="CU60" s="25">
        <f t="shared" ca="1" si="247"/>
        <v>135</v>
      </c>
      <c r="CV60" s="27">
        <f t="shared" ca="1" si="247"/>
        <v>218</v>
      </c>
      <c r="CW60" s="287">
        <f t="shared" ca="1" si="213"/>
        <v>1.6148148148148149</v>
      </c>
      <c r="CX60" s="27">
        <f t="shared" si="250"/>
        <v>217</v>
      </c>
      <c r="CY60" s="287">
        <f t="shared" ca="1" si="214"/>
        <v>0.99541284403669728</v>
      </c>
      <c r="CZ60" s="27">
        <f t="shared" si="215"/>
        <v>60</v>
      </c>
      <c r="DA60" s="130">
        <f t="shared" ca="1" si="216"/>
        <v>0.44444444444444442</v>
      </c>
      <c r="DB60" s="25">
        <f t="shared" ca="1" si="248"/>
        <v>0</v>
      </c>
      <c r="DC60" s="27">
        <f t="shared" ca="1" si="248"/>
        <v>0</v>
      </c>
      <c r="DD60" s="287">
        <f t="shared" ca="1" si="217"/>
        <v>0</v>
      </c>
      <c r="DE60" s="27">
        <f>IFERROR(IF($DB$5="S 1",H60+N60+T60+Z60+AF60++AL60,
IF($DB$5="S 2",AR60+AX60+BD60+BJ60+BP60+BV60,0)),0)</f>
        <v>0</v>
      </c>
      <c r="DF60" s="287" t="str">
        <f t="shared" ca="1" si="218"/>
        <v>N.D.</v>
      </c>
      <c r="DG60" s="27">
        <f>IFERROR(IF($DB$5="S 1",J60+P60+V60+AB60+AH60+AN60,
IF($DB$5="S 2",AT60+AZ60+BF60+BL60+BR60+BX60,0)),0)</f>
        <v>0</v>
      </c>
      <c r="DH60" s="130">
        <f t="shared" ca="1" si="219"/>
        <v>0</v>
      </c>
      <c r="DI60" s="510">
        <v>1</v>
      </c>
      <c r="DJ60" s="375" t="s">
        <v>68</v>
      </c>
      <c r="DK60" s="25">
        <f t="shared" ca="1" si="249"/>
        <v>135</v>
      </c>
      <c r="DL60" s="27">
        <f t="shared" ca="1" si="249"/>
        <v>218</v>
      </c>
      <c r="DM60" s="287">
        <f t="shared" ca="1" si="220"/>
        <v>1.6148148148148149</v>
      </c>
      <c r="DN60" s="291">
        <f t="shared" si="251"/>
        <v>217</v>
      </c>
      <c r="DO60" s="287">
        <f t="shared" ca="1" si="221"/>
        <v>0.99541284403669728</v>
      </c>
      <c r="DP60" s="27">
        <f t="shared" si="222"/>
        <v>60</v>
      </c>
      <c r="DQ60" s="130">
        <f t="shared" ca="1" si="223"/>
        <v>0.44444444444444442</v>
      </c>
      <c r="DR60"/>
      <c r="DS60" s="508"/>
    </row>
    <row r="61" spans="1:129" s="4" customFormat="1" ht="15" customHeight="1" thickBot="1" x14ac:dyDescent="0.4">
      <c r="A61" s="4">
        <f>_xlfn.XLOOKUP(B61,'WHOLESALE BMW 2026'!$B$7:$B$67,'WHOLESALE BMW 2026'!$A$7:$A$67)</f>
        <v>0</v>
      </c>
      <c r="B61" s="7" t="s">
        <v>271</v>
      </c>
      <c r="C61" s="28"/>
      <c r="D61" s="125"/>
      <c r="E61" s="7"/>
      <c r="F61" s="200">
        <f ca="1">SUM(F56:F60)</f>
        <v>154</v>
      </c>
      <c r="G61" s="410">
        <f ca="1">SUM(G56:G60)</f>
        <v>136</v>
      </c>
      <c r="H61" s="88">
        <f>SUM(H56:H60)</f>
        <v>130</v>
      </c>
      <c r="I61" s="413">
        <f t="shared" ref="I61:I70" ca="1" si="252">IFERROR(H61/G61,0)</f>
        <v>0.95588235294117652</v>
      </c>
      <c r="J61" s="414">
        <f>SUM(J56:J60)</f>
        <v>33</v>
      </c>
      <c r="K61" s="133">
        <f t="shared" ref="K61:K70" ca="1" si="253">IFERROR(J61/F61,0)</f>
        <v>0.21428571428571427</v>
      </c>
      <c r="L61" s="200">
        <f ca="1">SUM(L56:L60)</f>
        <v>154</v>
      </c>
      <c r="M61" s="410">
        <f ca="1">SUM(M56:M60)</f>
        <v>164</v>
      </c>
      <c r="N61" s="88">
        <f>SUM(N56:N60)</f>
        <v>153</v>
      </c>
      <c r="O61" s="413">
        <f t="shared" ca="1" si="203"/>
        <v>0.93292682926829273</v>
      </c>
      <c r="P61" s="414">
        <f>SUM(P56:P60)</f>
        <v>43</v>
      </c>
      <c r="Q61" s="133">
        <f t="shared" ca="1" si="204"/>
        <v>0.2792207792207792</v>
      </c>
      <c r="R61" s="200">
        <f ca="1">SUM(R56:R60)</f>
        <v>155</v>
      </c>
      <c r="S61" s="410">
        <f ca="1">SUM(S56:S60)</f>
        <v>176</v>
      </c>
      <c r="T61" s="88">
        <f>SUM(T56:T60)</f>
        <v>147</v>
      </c>
      <c r="U61" s="413">
        <f t="shared" ca="1" si="224"/>
        <v>0.83522727272727271</v>
      </c>
      <c r="V61" s="414">
        <f>SUM(V56:V60)</f>
        <v>42</v>
      </c>
      <c r="W61" s="133">
        <f t="shared" ca="1" si="225"/>
        <v>0.2709677419354839</v>
      </c>
      <c r="X61" s="200">
        <f ca="1">SUM(X56:X60)</f>
        <v>156</v>
      </c>
      <c r="Y61" s="410">
        <f ca="1">SUM(Y56:Y60)</f>
        <v>134</v>
      </c>
      <c r="Z61" s="88">
        <f>SUM(Z56:Z60)</f>
        <v>123</v>
      </c>
      <c r="AA61" s="413">
        <f t="shared" ca="1" si="226"/>
        <v>0.91791044776119401</v>
      </c>
      <c r="AB61" s="414">
        <f>SUM(AB56:AB60)</f>
        <v>41</v>
      </c>
      <c r="AC61" s="133">
        <f t="shared" ca="1" si="227"/>
        <v>0.26282051282051283</v>
      </c>
      <c r="AD61" s="200">
        <f ca="1">SUM(AD56:AD60)</f>
        <v>156</v>
      </c>
      <c r="AE61" s="410">
        <f ca="1">SUM(AE56:AE60)</f>
        <v>155</v>
      </c>
      <c r="AF61" s="88">
        <f>SUM(AF56:AF60)</f>
        <v>133</v>
      </c>
      <c r="AG61" s="413">
        <f t="shared" ca="1" si="228"/>
        <v>0.85806451612903223</v>
      </c>
      <c r="AH61" s="414">
        <f>SUM(AH56:AH60)</f>
        <v>42</v>
      </c>
      <c r="AI61" s="133">
        <f t="shared" ca="1" si="229"/>
        <v>0.26923076923076922</v>
      </c>
      <c r="AJ61" s="200">
        <f ca="1">SUM(AJ56:AJ60)</f>
        <v>160</v>
      </c>
      <c r="AK61" s="410">
        <f ca="1">SUM(AK56:AK60)</f>
        <v>163</v>
      </c>
      <c r="AL61" s="88">
        <f>SUM(AL56:AL60)</f>
        <v>152</v>
      </c>
      <c r="AM61" s="413">
        <f t="shared" ca="1" si="230"/>
        <v>0.93251533742331283</v>
      </c>
      <c r="AN61" s="414">
        <f>SUM(AN56:AN60)</f>
        <v>41</v>
      </c>
      <c r="AO61" s="133">
        <f t="shared" ca="1" si="231"/>
        <v>0.25624999999999998</v>
      </c>
      <c r="AP61" s="200">
        <f ca="1">SUM(AP56:AP60)</f>
        <v>26</v>
      </c>
      <c r="AQ61" s="410">
        <f ca="1">SUM(AQ56:AQ60)</f>
        <v>0</v>
      </c>
      <c r="AR61" s="88">
        <f>SUM(AR56:AR60)</f>
        <v>0</v>
      </c>
      <c r="AS61" s="413">
        <f t="shared" ca="1" si="232"/>
        <v>0</v>
      </c>
      <c r="AT61" s="414">
        <f>SUM(AT56:AT60)</f>
        <v>0</v>
      </c>
      <c r="AU61" s="133">
        <f t="shared" ca="1" si="233"/>
        <v>0</v>
      </c>
      <c r="AV61" s="200">
        <f ca="1">SUM(AV56:AV60)</f>
        <v>23</v>
      </c>
      <c r="AW61" s="410">
        <f ca="1">SUM(AW56:AW60)</f>
        <v>0</v>
      </c>
      <c r="AX61" s="88">
        <f>SUM(AX56:AX60)</f>
        <v>0</v>
      </c>
      <c r="AY61" s="413">
        <f t="shared" ca="1" si="234"/>
        <v>0</v>
      </c>
      <c r="AZ61" s="414">
        <f>SUM(AZ56:AZ60)</f>
        <v>0</v>
      </c>
      <c r="BA61" s="133">
        <f t="shared" ca="1" si="235"/>
        <v>0</v>
      </c>
      <c r="BB61" s="200">
        <f ca="1">SUM(BB56:BB60)</f>
        <v>26</v>
      </c>
      <c r="BC61" s="410">
        <f>SUM(BC56:BC60)</f>
        <v>0</v>
      </c>
      <c r="BD61" s="88">
        <f>SUM(BD56:BD60)</f>
        <v>0</v>
      </c>
      <c r="BE61" s="413">
        <f t="shared" si="236"/>
        <v>0</v>
      </c>
      <c r="BF61" s="414">
        <f>SUM(BF56:BF60)</f>
        <v>0</v>
      </c>
      <c r="BG61" s="133">
        <f t="shared" ca="1" si="237"/>
        <v>0</v>
      </c>
      <c r="BH61" s="200">
        <f>SUM(BH56:BH60)</f>
        <v>30</v>
      </c>
      <c r="BI61" s="410">
        <f>SUM(BI56:BI60)</f>
        <v>0</v>
      </c>
      <c r="BJ61" s="88">
        <f>SUM(BJ56:BJ60)</f>
        <v>0</v>
      </c>
      <c r="BK61" s="413">
        <f t="shared" si="238"/>
        <v>0</v>
      </c>
      <c r="BL61" s="414">
        <f>SUM(BL56:BL60)</f>
        <v>0</v>
      </c>
      <c r="BM61" s="133">
        <f t="shared" si="239"/>
        <v>0</v>
      </c>
      <c r="BN61" s="200">
        <f>SUM(BN56:BN60)</f>
        <v>30</v>
      </c>
      <c r="BO61" s="410">
        <f>SUM(BO56:BO60)</f>
        <v>0</v>
      </c>
      <c r="BP61" s="88">
        <f>SUM(BP56:BP60)</f>
        <v>0</v>
      </c>
      <c r="BQ61" s="413">
        <f t="shared" si="240"/>
        <v>0</v>
      </c>
      <c r="BR61" s="414">
        <f>SUM(BR56:BR60)</f>
        <v>0</v>
      </c>
      <c r="BS61" s="133">
        <f t="shared" si="241"/>
        <v>0</v>
      </c>
      <c r="BT61" s="200">
        <f>SUM(BT56:BT60)</f>
        <v>25</v>
      </c>
      <c r="BU61" s="410">
        <f>SUM(BU56:BU60)</f>
        <v>0</v>
      </c>
      <c r="BV61" s="88">
        <f>SUM(BV56:BV60)</f>
        <v>0</v>
      </c>
      <c r="BW61" s="413">
        <f t="shared" si="242"/>
        <v>0</v>
      </c>
      <c r="BX61" s="414">
        <f>SUM(BX56:BX60)</f>
        <v>0</v>
      </c>
      <c r="BY61" s="133">
        <f t="shared" si="243"/>
        <v>0</v>
      </c>
      <c r="BZ61" s="200">
        <f ca="1">SUM(BZ56:BZ60)</f>
        <v>935</v>
      </c>
      <c r="CA61" s="200">
        <f ca="1">SUM(CA56:CA60)</f>
        <v>928</v>
      </c>
      <c r="CB61" s="132">
        <f t="shared" ca="1" si="205"/>
        <v>0.99251336898395726</v>
      </c>
      <c r="CC61" s="200">
        <f>SUM(CC56:CC60)</f>
        <v>838</v>
      </c>
      <c r="CD61" s="132">
        <f ca="1">CC61/CA61</f>
        <v>0.90301724137931039</v>
      </c>
      <c r="CE61" s="200">
        <f>SUM(CE56:CE60)</f>
        <v>242</v>
      </c>
      <c r="CF61" s="275">
        <f t="shared" ca="1" si="206"/>
        <v>0.25882352941176473</v>
      </c>
      <c r="CG61" s="200">
        <f ca="1">SUM(CG56:CG60)</f>
        <v>1095</v>
      </c>
      <c r="CH61" s="200">
        <f ca="1">SUM(CH56:CH60)</f>
        <v>928</v>
      </c>
      <c r="CI61" s="132">
        <f t="shared" ca="1" si="207"/>
        <v>0.84748858447488584</v>
      </c>
      <c r="CJ61" s="278">
        <f>SUM(CJ56:CJ60)</f>
        <v>838</v>
      </c>
      <c r="CK61" s="132">
        <f t="shared" ca="1" si="245"/>
        <v>0.90301724137931039</v>
      </c>
      <c r="CL61" s="200">
        <f>SUM(CL56:CL60)</f>
        <v>242</v>
      </c>
      <c r="CM61" s="275">
        <f t="shared" ca="1" si="208"/>
        <v>0.22100456621004566</v>
      </c>
      <c r="CN61" s="200">
        <f ca="1">SUM(CN50:CN60)</f>
        <v>1204</v>
      </c>
      <c r="CO61" s="258">
        <f ca="1">SUM(CO50:CO60)</f>
        <v>1190</v>
      </c>
      <c r="CP61" s="132">
        <f t="shared" ca="1" si="209"/>
        <v>0.98837209302325579</v>
      </c>
      <c r="CQ61" s="278" t="e">
        <f>SUM(CQ50:CQ60)</f>
        <v>#REF!</v>
      </c>
      <c r="CR61" s="132" t="e">
        <f t="shared" ca="1" si="210"/>
        <v>#REF!</v>
      </c>
      <c r="CS61" s="258">
        <f t="shared" si="211"/>
        <v>0</v>
      </c>
      <c r="CT61" s="275">
        <f t="shared" ca="1" si="212"/>
        <v>0</v>
      </c>
      <c r="CU61" s="200">
        <f t="shared" ca="1" si="78"/>
        <v>935</v>
      </c>
      <c r="CV61" s="258">
        <f t="shared" ca="1" si="78"/>
        <v>928</v>
      </c>
      <c r="CW61" s="132">
        <f t="shared" ca="1" si="213"/>
        <v>0.99251336898395726</v>
      </c>
      <c r="CX61" s="258">
        <f t="shared" si="250"/>
        <v>838</v>
      </c>
      <c r="CY61" s="132">
        <f t="shared" ca="1" si="214"/>
        <v>0.90301724137931039</v>
      </c>
      <c r="CZ61" s="258">
        <f t="shared" si="215"/>
        <v>242</v>
      </c>
      <c r="DA61" s="275">
        <f t="shared" ca="1" si="216"/>
        <v>0.25882352941176473</v>
      </c>
      <c r="DB61" s="200">
        <f ca="1">IFERROR(SUM(DB50:DB60),0)</f>
        <v>160</v>
      </c>
      <c r="DC61" s="200">
        <f ca="1">IFERROR(SUM(DC50:DC60),0)</f>
        <v>0</v>
      </c>
      <c r="DD61" s="132">
        <f t="shared" ca="1" si="217"/>
        <v>0</v>
      </c>
      <c r="DE61" s="258">
        <f>IFERROR(SUM(DE50:DE60),0)</f>
        <v>0</v>
      </c>
      <c r="DF61" s="132" t="str">
        <f t="shared" ca="1" si="218"/>
        <v>N.D.</v>
      </c>
      <c r="DG61" s="258">
        <f>IFERROR(SUM(DG50:DG60),0)</f>
        <v>0</v>
      </c>
      <c r="DH61" s="275">
        <f t="shared" ca="1" si="219"/>
        <v>0</v>
      </c>
      <c r="DI61" s="510">
        <v>0</v>
      </c>
      <c r="DJ61" s="28"/>
      <c r="DK61" s="200">
        <f t="shared" ref="DK61:DK68" ca="1" si="254">IF($BZ$4="ENERO",F61,IF($BZ$4="FEBRERO",F61+L61,IF($BZ$4="MARZO",F61+L61+R61,IF($BZ$4="ABRIL",F61+L61+R61+X61,IF($BZ$4="MAYO",F61+L61+R61+X61+AD61,IF($BZ$4="JUNIO",F61+L61+R61+X61+AD61+AJ61,IF($BZ$4="JULIO",F61+L61+R61+X61+AD61+AJ61+AP61,IF($BZ$4="AGOSTO",F61+L61+R61+X61+AD61+AJ61+AP61+AV61,IF($BZ$4="SEPTIEMBRE",F61+L61+R61+X61+AD61+AJ61+AP61+AV61+BB61,IF($BZ$4="OCTUBRE",F61+L61+R61+X61+AD61+AJ61+AP61+AV61+BB61+BH61,IF($BZ$4="NOVIEMBRE",F61+L61+R61+X61+AD61+AJ61+AP61+AV61+BB61+BH61+BN61,IF($BZ$4="DICIEMBRE",F61+L61+R61+X61+AD61+AJ61+AP61+AV61+BB61+BH61+BN61+BT61,""))))))))))))</f>
        <v>935</v>
      </c>
      <c r="DL61" s="258">
        <f t="shared" ca="1" si="79"/>
        <v>928</v>
      </c>
      <c r="DM61" s="132">
        <f t="shared" ca="1" si="220"/>
        <v>0.99251336898395726</v>
      </c>
      <c r="DN61" s="278">
        <f t="shared" si="251"/>
        <v>838</v>
      </c>
      <c r="DO61" s="132">
        <f t="shared" ca="1" si="221"/>
        <v>0.90301724137931039</v>
      </c>
      <c r="DP61" s="258">
        <f t="shared" si="222"/>
        <v>242</v>
      </c>
      <c r="DQ61" s="275">
        <f t="shared" ca="1" si="223"/>
        <v>0.25882352941176473</v>
      </c>
      <c r="DR61"/>
      <c r="DU61" s="508"/>
      <c r="DW61" s="508"/>
      <c r="DY61" s="508"/>
    </row>
    <row r="62" spans="1:129" s="4" customFormat="1" ht="15" customHeight="1" x14ac:dyDescent="0.35">
      <c r="A62" s="4">
        <f>_xlfn.XLOOKUP(B62,'WHOLESALE BMW 2026'!$B$7:$B$67,'WHOLESALE BMW 2026'!$A$7:$A$67)</f>
        <v>10</v>
      </c>
      <c r="B62" s="8">
        <v>100344</v>
      </c>
      <c r="C62" s="369" t="s">
        <v>25</v>
      </c>
      <c r="D62" s="125"/>
      <c r="E62" s="309" t="s">
        <v>202</v>
      </c>
      <c r="F62" s="21">
        <f ca="1">SUMIF('UC BMW 2026'!B60:B136,'UC BMW 2026'!B60,'UC BMW 2026'!F60:F127)</f>
        <v>33</v>
      </c>
      <c r="G62" s="24">
        <f ca="1">SUMIF('UC BMW 2026'!$B$5:$B$77,'UC BMW 2026'!B60,'UC BMW 2026'!$G$5:$G$72)</f>
        <v>37</v>
      </c>
      <c r="H62" s="24">
        <f>IFERROR(VLOOKUP(B62,[2]BPS!$B$10:$O$64,3,0),0)-IF(B62=100873,IFERROR(VLOOKUP("Enero",[2]BPS!$B$74:$C$89,2,0),0),0)</f>
        <v>37</v>
      </c>
      <c r="I62" s="284">
        <f t="shared" ca="1" si="252"/>
        <v>1</v>
      </c>
      <c r="J62" s="380">
        <f>IFERROR(VLOOKUP(B62,'[2]RETAIL ORIGEN RMKT'!$B$11:$O$62,3,0),0)</f>
        <v>17</v>
      </c>
      <c r="K62" s="274">
        <f t="shared" ca="1" si="253"/>
        <v>0.51515151515151514</v>
      </c>
      <c r="L62" s="21">
        <f ca="1">SUMIF('UC BMW 2026'!$B$5:$B$77,'UC BMW 2026'!$B60,'UC BMW 2026'!$H$5:$H$72)</f>
        <v>33</v>
      </c>
      <c r="M62" s="24">
        <f ca="1">SUMIF('UC BMW 2026'!$B$5:$B$77,'UC BMW 2026'!$B60,'UC BMW 2026'!$I$5:$I$72)</f>
        <v>33</v>
      </c>
      <c r="N62" s="24">
        <f>IFERROR(VLOOKUP(B62,[2]BPS!$B$10:$O$64,4,0),0)-IF(B62=100873,IFERROR(VLOOKUP("Febrero",[2]BPS!$B$74:$C$89,2,0),0),0)</f>
        <v>33</v>
      </c>
      <c r="O62" s="284">
        <f t="shared" ca="1" si="203"/>
        <v>1</v>
      </c>
      <c r="P62" s="380">
        <f>IFERROR(VLOOKUP(B62,'[2]RETAIL ORIGEN RMKT'!$B$11:$O$62,4,0),0)</f>
        <v>15</v>
      </c>
      <c r="Q62" s="274">
        <f t="shared" ca="1" si="204"/>
        <v>0.45454545454545453</v>
      </c>
      <c r="R62" s="21">
        <f ca="1">SUMIF('UC BMW 2026'!$B$5:$B$77,'UC BMW 2026'!$B60,'UC BMW 2026'!$J$5:$J$72)</f>
        <v>33</v>
      </c>
      <c r="S62" s="24">
        <f ca="1">SUMIF('UC BMW 2026'!$B$5:$B$77,'UC BMW 2026'!$B60,'UC BMW 2026'!$K$5:$K$72)</f>
        <v>39</v>
      </c>
      <c r="T62" s="24">
        <f>IFERROR(VLOOKUP(B62,[2]BPS!$B$10:$O$64,5,0),0)-IF(B62=100873,IFERROR(VLOOKUP("Marzo",[2]BPS!$B$74:$C$89,2,0),0),0)</f>
        <v>37</v>
      </c>
      <c r="U62" s="284">
        <f t="shared" ca="1" si="224"/>
        <v>0.94871794871794868</v>
      </c>
      <c r="V62" s="380">
        <f>IFERROR(VLOOKUP(B62,'[2]RETAIL ORIGEN RMKT'!$B$11:$O$62,5,0),0)</f>
        <v>19</v>
      </c>
      <c r="W62" s="274">
        <f t="shared" ca="1" si="225"/>
        <v>0.5757575757575758</v>
      </c>
      <c r="X62" s="21">
        <f ca="1">SUMIF('UC BMW 2026'!$B$5:$B$77,'UC BMW 2026'!$B60,'UC BMW 2026'!$L$5:$L$72)</f>
        <v>33</v>
      </c>
      <c r="Y62" s="24">
        <f ca="1">SUMIF('UC BMW 2026'!$B$5:$B$77,'UC BMW 2026'!$B60,'UC BMW 2026'!$M$5:$M$72)</f>
        <v>33</v>
      </c>
      <c r="Z62" s="24">
        <f>IFERROR(VLOOKUP(B62,[2]BPS!$B$10:$O$64,6,0),0)-IF(B62=100873,IFERROR(VLOOKUP("Abril",[2]BPS!$B$74:$C$89,2,0),0),0)</f>
        <v>32</v>
      </c>
      <c r="AA62" s="284">
        <f t="shared" ca="1" si="226"/>
        <v>0.96969696969696972</v>
      </c>
      <c r="AB62" s="380">
        <f>IFERROR(VLOOKUP(B62,'[2]RETAIL ORIGEN RMKT'!$B$11:$O$62,6,0),0)</f>
        <v>18</v>
      </c>
      <c r="AC62" s="274">
        <f t="shared" ca="1" si="227"/>
        <v>0.54545454545454541</v>
      </c>
      <c r="AD62" s="21">
        <f ca="1">SUMIF('UC BMW 2026'!$B$5:$B$77,'UC BMW 2026'!$B60,'UC BMW 2026'!$N$5:$N$72)</f>
        <v>34</v>
      </c>
      <c r="AE62" s="24">
        <f ca="1">SUMIF('UC BMW 2026'!$B$5:$B$77,'UC BMW 2026'!$B60,'UC BMW 2026'!$O$5:$O$72)</f>
        <v>29</v>
      </c>
      <c r="AF62" s="24">
        <f>IFERROR(VLOOKUP(B62,[2]BPS!$B$10:$O$64,7,0),0)-IF(B62=100873,IFERROR(VLOOKUP("Mayo",[2]BPS!$B$74:$C$89,2,0),0),0)</f>
        <v>28</v>
      </c>
      <c r="AG62" s="284">
        <f t="shared" ca="1" si="228"/>
        <v>0.96551724137931039</v>
      </c>
      <c r="AH62" s="380">
        <f>IFERROR(VLOOKUP(B62,'[2]RETAIL ORIGEN RMKT'!$B$11:$O$62,7,0),0)</f>
        <v>13</v>
      </c>
      <c r="AI62" s="274">
        <f t="shared" ca="1" si="229"/>
        <v>0.38235294117647056</v>
      </c>
      <c r="AJ62" s="21">
        <f ca="1">SUMIF('UC BMW 2026'!$B$5:$B$77,'UC BMW 2026'!$B60,'UC BMW 2026'!$P$5:$P$72)</f>
        <v>34</v>
      </c>
      <c r="AK62" s="24">
        <f ca="1">SUMIF('UC BMW 2026'!$B$5:$B$77,'UC BMW 2026'!$B60,'UC BMW 2026'!$Q$5:$Q$72)</f>
        <v>30</v>
      </c>
      <c r="AL62" s="24">
        <f>IFERROR(VLOOKUP(B62,[2]BPS!$B$10:$O$64,8,0),0)-IF(B62=100873,IFERROR(VLOOKUP("Junio",[2]BPS!$B$74:$C$89,2,0),0),0)</f>
        <v>30</v>
      </c>
      <c r="AM62" s="284">
        <f t="shared" ca="1" si="230"/>
        <v>1</v>
      </c>
      <c r="AN62" s="380">
        <f>IFERROR(VLOOKUP(B62,'[2]RETAIL ORIGEN RMKT'!$B$11:$O$62,8,0),0)</f>
        <v>14</v>
      </c>
      <c r="AO62" s="274">
        <f t="shared" ca="1" si="231"/>
        <v>0.41176470588235292</v>
      </c>
      <c r="AP62" s="21">
        <f ca="1">SUMIF('UC BMW 2026'!$B$5:$B$77,'UC BMW 2026'!$B60,'UC BMW 2026'!$R$5:$R$72)</f>
        <v>0</v>
      </c>
      <c r="AQ62" s="24">
        <f ca="1">SUMIF('UC BMW 2026'!$B$5:$B$77,'UC BMW 2026'!$B60,'UC BMW 2026'!$S$5:$S$72)</f>
        <v>0</v>
      </c>
      <c r="AR62" s="24">
        <f>IFERROR(VLOOKUP(B62,[2]BPS!$B$10:$O$64,9,0),0)-IF(B62=100873,IFERROR(VLOOKUP("Julio",[2]BPS!$B$74:$C$89,2,0),0),0)</f>
        <v>0</v>
      </c>
      <c r="AS62" s="284">
        <f t="shared" ca="1" si="232"/>
        <v>0</v>
      </c>
      <c r="AT62" s="380">
        <f>IFERROR(VLOOKUP(B62,'[2]RETAIL ORIGEN RMKT'!$B$11:$O$62,9,0),0)</f>
        <v>0</v>
      </c>
      <c r="AU62" s="274">
        <f t="shared" ca="1" si="233"/>
        <v>0</v>
      </c>
      <c r="AV62" s="21">
        <f ca="1">SUMIF('UC BMW 2026'!$B$5:$B$77,'UC BMW 2026'!$B60,'UC BMW 2026'!$T$5:$T$72)</f>
        <v>0</v>
      </c>
      <c r="AW62" s="24">
        <f ca="1">SUMIF('UC BMW 2026'!$B$5:$B$77,'UC BMW 2026'!$B60,'UC BMW 2026'!$U$5:$U$72)</f>
        <v>0</v>
      </c>
      <c r="AX62" s="24">
        <f>IFERROR(VLOOKUP(B62,[2]BPS!$B$10:$O$64,10,0),0)-IF(B62=100873,IFERROR(VLOOKUP("Agosto",[2]BPS!$B$74:$C$89,2,0),0),0)</f>
        <v>0</v>
      </c>
      <c r="AY62" s="284">
        <f t="shared" ca="1" si="234"/>
        <v>0</v>
      </c>
      <c r="AZ62" s="380">
        <f>IFERROR(VLOOKUP(B62,'[2]RETAIL ORIGEN RMKT'!$B$11:$O$62,10,0),0)</f>
        <v>0</v>
      </c>
      <c r="BA62" s="274">
        <f t="shared" ca="1" si="235"/>
        <v>0</v>
      </c>
      <c r="BB62" s="21">
        <f ca="1">SUMIF('UC BMW 2026'!$B$5:$B$77,'UC BMW 2026'!$B60,'UC BMW 2026'!$V$5:$V$72)</f>
        <v>0</v>
      </c>
      <c r="BC62" s="24">
        <f>SUMIF('UC BMW 2026'!$B$5:$B$77,'UC BMW 2026'!$B60,'UC BMW 2026'!$W$5:$W$77)</f>
        <v>0</v>
      </c>
      <c r="BD62" s="24">
        <f>IFERROR(VLOOKUP(B62,[2]BPS!$B$10:$O$64,11,0),0)-IF(B62=100873,IFERROR(VLOOKUP("Septiembre",[2]BPS!$B$74:$C$89,2,0),0),0)</f>
        <v>0</v>
      </c>
      <c r="BE62" s="284">
        <f t="shared" si="236"/>
        <v>0</v>
      </c>
      <c r="BF62" s="380">
        <f>IFERROR(VLOOKUP(B62,'[2]RETAIL ORIGEN RMKT'!$B$11:$O$62,11,0),0)</f>
        <v>0</v>
      </c>
      <c r="BG62" s="274">
        <f t="shared" ca="1" si="237"/>
        <v>0</v>
      </c>
      <c r="BH62" s="21">
        <f>SUMIF('UC BMW 2026'!$B$5:$B$77,'UC BMW 2026'!$B60,'UC BMW 2026'!$X$5:$X$77)</f>
        <v>0</v>
      </c>
      <c r="BI62" s="24">
        <f>SUMIF('UC BMW 2026'!$B$5:$B$77,'UC BMW 2026'!$B60,'UC BMW 2026'!$Y$5:$Y$77)</f>
        <v>0</v>
      </c>
      <c r="BJ62" s="24">
        <f>IFERROR(VLOOKUP(B62,[2]BPS!$B$10:$O$64,12,0),0)-IF(B62=100873,IFERROR(VLOOKUP("Octubre",[2]BPS!$B$74:$C$89,2,0),0),0)</f>
        <v>0</v>
      </c>
      <c r="BK62" s="284">
        <f t="shared" si="238"/>
        <v>0</v>
      </c>
      <c r="BL62" s="380">
        <f>IFERROR(VLOOKUP(B62,'[2]RETAIL ORIGEN RMKT'!$B$11:$O$62,12,0),0)</f>
        <v>0</v>
      </c>
      <c r="BM62" s="274">
        <f t="shared" si="239"/>
        <v>0</v>
      </c>
      <c r="BN62" s="21">
        <f>SUMIF('UC BMW 2026'!$B$5:$B$77,'UC BMW 2026'!$B60,'UC BMW 2026'!$Z$5:$Z$77)</f>
        <v>0</v>
      </c>
      <c r="BO62" s="24">
        <f>SUMIF('UC BMW 2026'!$B$5:$B$77,'UC BMW 2026'!$B60,'UC BMW 2026'!$AA$5:$AA$77)</f>
        <v>0</v>
      </c>
      <c r="BP62" s="24">
        <f>IFERROR(VLOOKUP(B62,[2]BPS!$B$10:$O$64,13,0),0)-IF(B62=100873,IFERROR(VLOOKUP("Noviembre",[2]BPS!$B$74:$C$89,2,0),0),0)</f>
        <v>0</v>
      </c>
      <c r="BQ62" s="284">
        <f t="shared" si="240"/>
        <v>0</v>
      </c>
      <c r="BR62" s="380">
        <f>IFERROR(VLOOKUP(B62,'[2]RETAIL ORIGEN RMKT'!$B$11:$O$62,13,0),0)</f>
        <v>0</v>
      </c>
      <c r="BS62" s="274">
        <f t="shared" si="241"/>
        <v>0</v>
      </c>
      <c r="BT62" s="21">
        <f>SUMIF('UC BMW 2026'!$B$5:$B$77,'UC BMW 2026'!$B60,'UC BMW 2026'!$AB$5:$AB$77)</f>
        <v>0</v>
      </c>
      <c r="BU62" s="24">
        <f>SUMIF('UC BMW 2026'!$B$5:$B$77,'UC BMW 2026'!$B60,'UC BMW 2026'!$AC$5:$AC$77)</f>
        <v>0</v>
      </c>
      <c r="BV62" s="24">
        <f>IFERROR(VLOOKUP(B62,[2]BPS!$B$10:$O$64,13,0),0)-IF(B62=100873,IFERROR(VLOOKUP("Diciembre",[2]BPS!$B$74:$C$89,2,0),0),0)</f>
        <v>0</v>
      </c>
      <c r="BW62" s="284">
        <f t="shared" si="242"/>
        <v>0</v>
      </c>
      <c r="BX62" s="380">
        <f>IFERROR(VLOOKUP(B62,'[2]RETAIL ORIGEN RMKT'!$B$11:$O$62,14,0),0)</f>
        <v>0</v>
      </c>
      <c r="BY62" s="274">
        <f t="shared" si="243"/>
        <v>0</v>
      </c>
      <c r="BZ62" s="25">
        <f t="shared" ref="BZ62:CA67" ca="1" si="255">IF($BZ$4="ENERO",F62,IF($BZ$4="FEBRERO",F62+L62,IF($BZ$4="MARZO",F62+L62+R62,IF($BZ$4="ABRIL",F62+L62+R62+X62,IF($BZ$4="MAYO",F62+L62+R62+X62+AD62,IF($BZ$4="JUNIO",F62+L62+R62+X62+AD62+AJ62,IF($BZ$4="JULIO",F62+L62+R62+X62+AD62+AJ62+AP62,IF($BZ$4="AGOSTO",F62+L62+R62+X62+AD62+AJ62+AP62+AV62,IF($BZ$4="SEPTIEMBRE",F62+L62+R62+X62+AD62+AJ62+AP62+AV62+BB62,IF($BZ$4="OCTUBRE",F62+L62+R62+X62+AD62+AJ62+AP62+AV62+BB62+BH62,IF($BZ$4="NOVIEMBRE",F62+L62+R62+X62+AD62+AJ62+AP62+AV62+BB62+BH62+BN62,IF($BZ$4="DICIEMBRE",F62+L62+R62+X62+AD62+AJ62+AP62+AV62+BB62+BH62+BN62+BT62,""))))))))))))</f>
        <v>200</v>
      </c>
      <c r="CA62" s="27">
        <f t="shared" ca="1" si="255"/>
        <v>201</v>
      </c>
      <c r="CB62" s="289">
        <f t="shared" ca="1" si="205"/>
        <v>1.0049999999999999</v>
      </c>
      <c r="CC62" s="290">
        <f t="shared" ref="CC62:CC67" si="256">IFERROR(IF($BZ$4="ENERO",H62,IF($BZ$4="FEBRERO",H62+N62,IF($BZ$4="MARZO",H62+N62+T62,IF($BZ$4="ABRIL",H62+N62+T62+Z62,IF($BZ$4="MAYO",H62+N62+T62+Z62+AF62,IF($BZ$4="JUNIO",H62+N62+T62+Z62+AF62+AL62,IF($BZ$4="JULIO",H62+N62+T62+Z62+AF62+AL62+AR62,IF($BZ$4="AGOSTO",H62+N62+T62+Z62+AF62+AL62+AR62+AX62,IF($BZ$4="SEPTIEMBRE",H62+N62+T62+Z62+AF62+AL62+AR62+AX62+BD62,IF($BZ$4="OCTUBRE",H62+N62+T62+Z62+AF62+AL62+AR62+AX62+BD62+BJ62,IF($BZ$4="NOVIEMBRE",H62+N62+T62+Z62+AF62+AL62+AR62+AX62+BD62+BJ62+BP62,IF($BZ$4="DICIEMBRE",H62+N62+T62+Z62+AF62+AL62+AR62+AX62+BD62+BJ62+BP62+BV62,"")))))))))))),0)</f>
        <v>197</v>
      </c>
      <c r="CD62" s="289">
        <f t="shared" ref="CD62:CD67" ca="1" si="257">IFERROR(IF(CA62=0,"N.D.",CC62/CA62),0)</f>
        <v>0.98009950248756217</v>
      </c>
      <c r="CE62" s="24">
        <f t="shared" ref="CE62:CE67" si="258">IFERROR(IF($BZ$4="ENERO",J62,IF($BZ$4="FEBRERO",J62+P62,IF($BZ$4="MARZO",J62+P62+V62,IF($BZ$4="ABRIL",J62+P62+V62+AB62,IF($BZ$4="MAYO",J62+P62+V62+AB62+AH62,IF($BZ$4="JUNIO",J62+P62+V62+AB62+AH62+AN62,IF($BZ$4="JULIO",J62+P62+V62+AB62+AH62+AN62+AT62,IF($BZ$4="AGOSTO",J62+P62+V62+AB62+AH62+AN62+AT62+AZ62,IF($BZ$4="SEPTIEMBRE",J62+P62+V62+AB62+AH62+AN62+AT62+AZ62+BF62,IF($BZ$4="OCTUBRE",J62+P62+V62+AB62+AH62+AN62+AT62+AZ62+BF62+BL62,IF($BZ$4="NOVIEMBRE",J62+P62+V62+AB62+AH62+AN62+AT62+AZ62+BF62+BL62+BR62,IF($BZ$4="DICIEMBRE",J62+P62+V62+AB62+AH62+AN62+AT62+AZ62+BF62+BL62+BR62+BX62,"")))))))))))),0)</f>
        <v>96</v>
      </c>
      <c r="CF62" s="186">
        <f t="shared" ca="1" si="206"/>
        <v>0.48</v>
      </c>
      <c r="CG62" s="25">
        <f t="shared" ref="CG62:CG67" ca="1" si="259">SUM(F62+L62+R62+X62+AD62+AJ62+AP62+AV62+BB62+BH62+BN62+BT62)</f>
        <v>200</v>
      </c>
      <c r="CH62" s="27">
        <f t="shared" ref="CH62:CH69" ca="1" si="260">SUMIFS($F62:$BW62,$F$6:$BW$6,CH$6,$F$2:$BW$2,$BZ$4)</f>
        <v>201</v>
      </c>
      <c r="CI62" s="289">
        <f t="shared" ca="1" si="207"/>
        <v>1.0049999999999999</v>
      </c>
      <c r="CJ62" s="290">
        <f t="shared" ref="CJ62:CJ69" si="261">SUMIFS($F62:$BW62,$F$6:$BW$6,CJ$6,$F$2:$BW$2,$BZ$4)</f>
        <v>197</v>
      </c>
      <c r="CK62" s="289">
        <f t="shared" ref="CK62:CK70" ca="1" si="262">IF(CH62=0,"N.D.",CJ62/CH62)</f>
        <v>0.98009950248756217</v>
      </c>
      <c r="CL62" s="27">
        <f t="shared" ref="CL62:CL67" si="263">IFERROR(J62+P62+V62+AB62+AH62+AN62+AT62+AZ62+BF62+BL62+BR62+BX62,0)</f>
        <v>96</v>
      </c>
      <c r="CM62" s="186">
        <f t="shared" ca="1" si="208"/>
        <v>0.48</v>
      </c>
      <c r="CN62" s="25">
        <f t="shared" ref="CN62:CO67" ca="1" si="264">IF($CN$5="Q1",F62+L62+R62,
IF($CN$5="Q2",X62+AD62++AJ62,
IF($CN$5="Q3",AP62+AV62+BB62,
IF($CN$5="Q4",BH62+BN62+BT62,0))))</f>
        <v>99</v>
      </c>
      <c r="CO62" s="27">
        <f t="shared" ca="1" si="264"/>
        <v>109</v>
      </c>
      <c r="CP62" s="289">
        <f t="shared" ca="1" si="209"/>
        <v>1.101010101010101</v>
      </c>
      <c r="CQ62" s="290">
        <f t="shared" ref="CQ62:CQ67" si="265">IF($CN$5="Q1",H62+N62+T62,
IF($CN$5="Q2",Z62+AF62++AL62,
IF($CN$5="Q3",AR62+AX62+BD62,
IF($CN$5="Q4",BJ62+BP62+BV62,0))))</f>
        <v>107</v>
      </c>
      <c r="CR62" s="289">
        <f t="shared" ca="1" si="210"/>
        <v>0.98165137614678899</v>
      </c>
      <c r="CS62" s="27">
        <f t="shared" si="211"/>
        <v>0</v>
      </c>
      <c r="CT62" s="186">
        <f t="shared" ca="1" si="212"/>
        <v>0</v>
      </c>
      <c r="CU62" s="25">
        <f t="shared" ca="1" si="78"/>
        <v>200</v>
      </c>
      <c r="CV62" s="27">
        <f t="shared" ca="1" si="78"/>
        <v>201</v>
      </c>
      <c r="CW62" s="289">
        <f t="shared" ca="1" si="213"/>
        <v>1.0049999999999999</v>
      </c>
      <c r="CX62" s="27">
        <f t="shared" si="250"/>
        <v>197</v>
      </c>
      <c r="CY62" s="289">
        <f t="shared" ca="1" si="214"/>
        <v>0.98009950248756217</v>
      </c>
      <c r="CZ62" s="27">
        <f t="shared" si="215"/>
        <v>96</v>
      </c>
      <c r="DA62" s="187">
        <f t="shared" ca="1" si="216"/>
        <v>0.48</v>
      </c>
      <c r="DB62" s="25">
        <f t="shared" ref="DB62:DC67" ca="1" si="266">IF($DB$5="S 1",F62+L62+R62+X62+AD62++AJ62,
IF($DB$5="S 2",AP62+AV62+BB62+BH62+BN62+BT62,0))</f>
        <v>0</v>
      </c>
      <c r="DC62" s="27">
        <f t="shared" ca="1" si="266"/>
        <v>0</v>
      </c>
      <c r="DD62" s="289">
        <f t="shared" ca="1" si="217"/>
        <v>0</v>
      </c>
      <c r="DE62" s="27">
        <f t="shared" ref="DE62:DE67" si="267">IFERROR(IF($DB$5="S 1",H62+N62+T62+Z62+AF62++AL62,
IF($DB$5="S 2",AR62+AX62+BD62+BJ62+BP62+BV62,0)),0)</f>
        <v>0</v>
      </c>
      <c r="DF62" s="289" t="str">
        <f t="shared" ca="1" si="218"/>
        <v>N.D.</v>
      </c>
      <c r="DG62" s="27">
        <f t="shared" ref="DG62:DG67" si="268">IFERROR(IF($DB$5="S 1",J62+P62+V62+AB62+AH62+AN62,
IF($DB$5="S 2",AT62+AZ62+BF62+BL62+BR62+BX62,0)),0)</f>
        <v>0</v>
      </c>
      <c r="DH62" s="187">
        <f t="shared" ca="1" si="219"/>
        <v>0</v>
      </c>
      <c r="DI62" s="510">
        <v>1</v>
      </c>
      <c r="DJ62" s="369" t="s">
        <v>25</v>
      </c>
      <c r="DK62" s="25">
        <f t="shared" ca="1" si="254"/>
        <v>200</v>
      </c>
      <c r="DL62" s="27">
        <f t="shared" ca="1" si="79"/>
        <v>201</v>
      </c>
      <c r="DM62" s="289">
        <f t="shared" ca="1" si="220"/>
        <v>1.0049999999999999</v>
      </c>
      <c r="DN62" s="290">
        <f t="shared" si="251"/>
        <v>197</v>
      </c>
      <c r="DO62" s="289">
        <f t="shared" ca="1" si="221"/>
        <v>0.98009950248756217</v>
      </c>
      <c r="DP62" s="27">
        <f t="shared" si="222"/>
        <v>96</v>
      </c>
      <c r="DQ62" s="187">
        <f t="shared" ca="1" si="223"/>
        <v>0.48</v>
      </c>
      <c r="DR62"/>
      <c r="DU62" s="508"/>
      <c r="DW62" s="508"/>
      <c r="DY62" s="508"/>
    </row>
    <row r="63" spans="1:129" s="4" customFormat="1" ht="15" customHeight="1" x14ac:dyDescent="0.35">
      <c r="A63" s="4">
        <f>_xlfn.XLOOKUP(B63,'WHOLESALE BMW 2026'!$B$7:$B$67,'WHOLESALE BMW 2026'!$A$7:$A$67)</f>
        <v>10</v>
      </c>
      <c r="B63" s="8">
        <v>100422</v>
      </c>
      <c r="C63" s="369" t="s">
        <v>20</v>
      </c>
      <c r="D63" s="125"/>
      <c r="E63" s="309" t="s">
        <v>202</v>
      </c>
      <c r="F63" s="21">
        <f ca="1">SUMIF('UC BMW 2026'!B61:B137,'UC BMW 2026'!B61,'UC BMW 2026'!F61:F128)</f>
        <v>15</v>
      </c>
      <c r="G63" s="24">
        <f ca="1">SUMIF('UC BMW 2026'!$B$5:$B$77,'UC BMW 2026'!B61,'UC BMW 2026'!$G$5:$G$72)</f>
        <v>8</v>
      </c>
      <c r="H63" s="24">
        <f>IFERROR(VLOOKUP(B63,[2]BPS!$B$10:$O$64,3,0),0)-IF(B63=100873,IFERROR(VLOOKUP("Enero",[2]BPS!$B$74:$C$89,2,0),0),0)</f>
        <v>7</v>
      </c>
      <c r="I63" s="285">
        <f t="shared" ca="1" si="252"/>
        <v>0.875</v>
      </c>
      <c r="J63" s="380">
        <f>IFERROR(VLOOKUP(B63,'[2]RETAIL ORIGEN RMKT'!$B$11:$O$62,3,0),0)</f>
        <v>5</v>
      </c>
      <c r="K63" s="127">
        <f t="shared" ca="1" si="253"/>
        <v>0.33333333333333331</v>
      </c>
      <c r="L63" s="21">
        <f ca="1">SUMIF('UC BMW 2026'!$B$5:$B$77,'UC BMW 2026'!$B61,'UC BMW 2026'!$H$5:$H$72)</f>
        <v>15</v>
      </c>
      <c r="M63" s="24">
        <f ca="1">SUMIF('UC BMW 2026'!$B$5:$B$77,'UC BMW 2026'!$B61,'UC BMW 2026'!$I$5:$I$72)</f>
        <v>18</v>
      </c>
      <c r="N63" s="24">
        <f>IFERROR(VLOOKUP(B63,[2]BPS!$B$10:$O$64,4,0),0)-IF(B63=100873,IFERROR(VLOOKUP("Febrero",[2]BPS!$B$74:$C$89,2,0),0),0)</f>
        <v>18</v>
      </c>
      <c r="O63" s="285">
        <f t="shared" ca="1" si="203"/>
        <v>1</v>
      </c>
      <c r="P63" s="380">
        <f>IFERROR(VLOOKUP(B63,'[2]RETAIL ORIGEN RMKT'!$B$11:$O$62,4,0),0)</f>
        <v>12</v>
      </c>
      <c r="Q63" s="127">
        <f t="shared" ca="1" si="204"/>
        <v>0.8</v>
      </c>
      <c r="R63" s="21">
        <f ca="1">SUMIF('UC BMW 2026'!$B$5:$B$77,'UC BMW 2026'!$B61,'UC BMW 2026'!$J$5:$J$72)</f>
        <v>15</v>
      </c>
      <c r="S63" s="24">
        <f ca="1">SUMIF('UC BMW 2026'!$B$5:$B$77,'UC BMW 2026'!$B61,'UC BMW 2026'!$K$5:$K$72)</f>
        <v>14</v>
      </c>
      <c r="T63" s="24">
        <f>IFERROR(VLOOKUP(B63,[2]BPS!$B$10:$O$64,5,0),0)-IF(B63=100873,IFERROR(VLOOKUP("Marzo",[2]BPS!$B$74:$C$89,2,0),0),0)</f>
        <v>10</v>
      </c>
      <c r="U63" s="285">
        <f t="shared" ca="1" si="224"/>
        <v>0.7142857142857143</v>
      </c>
      <c r="V63" s="380">
        <f>IFERROR(VLOOKUP(B63,'[2]RETAIL ORIGEN RMKT'!$B$11:$O$62,5,0),0)</f>
        <v>8</v>
      </c>
      <c r="W63" s="127">
        <f t="shared" ca="1" si="225"/>
        <v>0.53333333333333333</v>
      </c>
      <c r="X63" s="21">
        <f ca="1">SUMIF('UC BMW 2026'!$B$5:$B$77,'UC BMW 2026'!$B61,'UC BMW 2026'!$L$5:$L$72)</f>
        <v>15</v>
      </c>
      <c r="Y63" s="24">
        <f ca="1">SUMIF('UC BMW 2026'!$B$5:$B$77,'UC BMW 2026'!$B61,'UC BMW 2026'!$M$5:$M$72)</f>
        <v>17</v>
      </c>
      <c r="Z63" s="24">
        <f>IFERROR(VLOOKUP(B63,[2]BPS!$B$10:$O$64,6,0),0)-IF(B63=100873,IFERROR(VLOOKUP("Abril",[2]BPS!$B$74:$C$89,2,0),0),0)</f>
        <v>17</v>
      </c>
      <c r="AA63" s="285">
        <f t="shared" ca="1" si="226"/>
        <v>1</v>
      </c>
      <c r="AB63" s="380">
        <f>IFERROR(VLOOKUP(B63,'[2]RETAIL ORIGEN RMKT'!$B$11:$O$62,6,0),0)</f>
        <v>10</v>
      </c>
      <c r="AC63" s="127">
        <f t="shared" ca="1" si="227"/>
        <v>0.66666666666666663</v>
      </c>
      <c r="AD63" s="21">
        <f ca="1">SUMIF('UC BMW 2026'!$B$5:$B$77,'UC BMW 2026'!$B61,'UC BMW 2026'!$N$5:$N$72)</f>
        <v>15</v>
      </c>
      <c r="AE63" s="24">
        <f ca="1">SUMIF('UC BMW 2026'!$B$5:$B$77,'UC BMW 2026'!$B61,'UC BMW 2026'!$O$5:$O$72)</f>
        <v>12</v>
      </c>
      <c r="AF63" s="24">
        <f>IFERROR(VLOOKUP(B63,[2]BPS!$B$10:$O$64,7,0),0)-IF(B63=100873,IFERROR(VLOOKUP("Mayo",[2]BPS!$B$74:$C$89,2,0),0),0)</f>
        <v>9</v>
      </c>
      <c r="AG63" s="285">
        <f t="shared" ca="1" si="228"/>
        <v>0.75</v>
      </c>
      <c r="AH63" s="380">
        <f>IFERROR(VLOOKUP(B63,'[2]RETAIL ORIGEN RMKT'!$B$11:$O$62,7,0),0)</f>
        <v>8</v>
      </c>
      <c r="AI63" s="127">
        <f t="shared" ca="1" si="229"/>
        <v>0.53333333333333333</v>
      </c>
      <c r="AJ63" s="21">
        <f ca="1">SUMIF('UC BMW 2026'!$B$5:$B$77,'UC BMW 2026'!$B61,'UC BMW 2026'!$P$5:$P$72)</f>
        <v>15</v>
      </c>
      <c r="AK63" s="24">
        <f ca="1">SUMIF('UC BMW 2026'!$B$5:$B$77,'UC BMW 2026'!$B61,'UC BMW 2026'!$Q$5:$Q$72)</f>
        <v>14</v>
      </c>
      <c r="AL63" s="24">
        <f>IFERROR(VLOOKUP(B63,[2]BPS!$B$10:$O$64,8,0),0)-IF(B63=100873,IFERROR(VLOOKUP("Junio",[2]BPS!$B$74:$C$89,2,0),0),0)</f>
        <v>14</v>
      </c>
      <c r="AM63" s="285">
        <f t="shared" ca="1" si="230"/>
        <v>1</v>
      </c>
      <c r="AN63" s="380">
        <f>IFERROR(VLOOKUP(B63,'[2]RETAIL ORIGEN RMKT'!$B$11:$O$62,8,0),0)</f>
        <v>8</v>
      </c>
      <c r="AO63" s="127">
        <f t="shared" ca="1" si="231"/>
        <v>0.53333333333333333</v>
      </c>
      <c r="AP63" s="21">
        <f ca="1">SUMIF('UC BMW 2026'!$B$5:$B$77,'UC BMW 2026'!$B61,'UC BMW 2026'!$R$5:$R$72)</f>
        <v>0</v>
      </c>
      <c r="AQ63" s="24">
        <f ca="1">SUMIF('UC BMW 2026'!$B$5:$B$77,'UC BMW 2026'!$B61,'UC BMW 2026'!$S$5:$S$72)</f>
        <v>0</v>
      </c>
      <c r="AR63" s="24">
        <f>IFERROR(VLOOKUP(B63,[2]BPS!$B$10:$O$64,9,0),0)-IF(B63=100873,IFERROR(VLOOKUP("Julio",[2]BPS!$B$74:$C$89,2,0),0),0)</f>
        <v>0</v>
      </c>
      <c r="AS63" s="285">
        <f t="shared" ca="1" si="232"/>
        <v>0</v>
      </c>
      <c r="AT63" s="380">
        <f>IFERROR(VLOOKUP(B63,'[2]RETAIL ORIGEN RMKT'!$B$11:$O$62,9,0),0)</f>
        <v>0</v>
      </c>
      <c r="AU63" s="127">
        <f t="shared" ca="1" si="233"/>
        <v>0</v>
      </c>
      <c r="AV63" s="21">
        <f ca="1">SUMIF('UC BMW 2026'!$B$5:$B$77,'UC BMW 2026'!$B61,'UC BMW 2026'!$T$5:$T$72)</f>
        <v>0</v>
      </c>
      <c r="AW63" s="24">
        <f ca="1">SUMIF('UC BMW 2026'!$B$5:$B$77,'UC BMW 2026'!$B61,'UC BMW 2026'!$U$5:$U$72)</f>
        <v>0</v>
      </c>
      <c r="AX63" s="24">
        <f>IFERROR(VLOOKUP(B63,[2]BPS!$B$10:$O$64,10,0),0)-IF(B63=100873,IFERROR(VLOOKUP("Agosto",[2]BPS!$B$74:$C$89,2,0),0),0)</f>
        <v>0</v>
      </c>
      <c r="AY63" s="285">
        <f t="shared" ca="1" si="234"/>
        <v>0</v>
      </c>
      <c r="AZ63" s="380">
        <f>IFERROR(VLOOKUP(B63,'[2]RETAIL ORIGEN RMKT'!$B$11:$O$62,10,0),0)</f>
        <v>0</v>
      </c>
      <c r="BA63" s="127">
        <f t="shared" ca="1" si="235"/>
        <v>0</v>
      </c>
      <c r="BB63" s="21">
        <f ca="1">SUMIF('UC BMW 2026'!$B$5:$B$77,'UC BMW 2026'!$B61,'UC BMW 2026'!$V$5:$V$72)</f>
        <v>0</v>
      </c>
      <c r="BC63" s="24">
        <f>SUMIF('UC BMW 2026'!$B$5:$B$77,'UC BMW 2026'!$B61,'UC BMW 2026'!$W$5:$W$77)</f>
        <v>0</v>
      </c>
      <c r="BD63" s="24">
        <f>IFERROR(VLOOKUP(B63,[2]BPS!$B$10:$O$64,11,0),0)-IF(B63=100873,IFERROR(VLOOKUP("Septiembre",[2]BPS!$B$74:$C$89,2,0),0),0)</f>
        <v>0</v>
      </c>
      <c r="BE63" s="285">
        <f t="shared" si="236"/>
        <v>0</v>
      </c>
      <c r="BF63" s="380">
        <f>IFERROR(VLOOKUP(B63,'[2]RETAIL ORIGEN RMKT'!$B$11:$O$62,11,0),0)</f>
        <v>0</v>
      </c>
      <c r="BG63" s="127">
        <f t="shared" ca="1" si="237"/>
        <v>0</v>
      </c>
      <c r="BH63" s="21">
        <f>SUMIF('UC BMW 2026'!$B$5:$B$77,'UC BMW 2026'!$B61,'UC BMW 2026'!$X$5:$X$77)</f>
        <v>0</v>
      </c>
      <c r="BI63" s="24">
        <f>SUMIF('UC BMW 2026'!$B$5:$B$77,'UC BMW 2026'!$B61,'UC BMW 2026'!$Y$5:$Y$77)</f>
        <v>0</v>
      </c>
      <c r="BJ63" s="24">
        <f>IFERROR(VLOOKUP(B63,[2]BPS!$B$10:$O$64,12,0),0)-IF(B63=100873,IFERROR(VLOOKUP("Octubre",[2]BPS!$B$74:$C$89,2,0),0),0)</f>
        <v>0</v>
      </c>
      <c r="BK63" s="285">
        <f t="shared" si="238"/>
        <v>0</v>
      </c>
      <c r="BL63" s="380">
        <f>IFERROR(VLOOKUP(B63,'[2]RETAIL ORIGEN RMKT'!$B$11:$O$62,12,0),0)</f>
        <v>0</v>
      </c>
      <c r="BM63" s="127">
        <f t="shared" si="239"/>
        <v>0</v>
      </c>
      <c r="BN63" s="21">
        <f>SUMIF('UC BMW 2026'!$B$5:$B$77,'UC BMW 2026'!$B61,'UC BMW 2026'!$Z$5:$Z$77)</f>
        <v>0</v>
      </c>
      <c r="BO63" s="24">
        <f>SUMIF('UC BMW 2026'!$B$5:$B$77,'UC BMW 2026'!$B61,'UC BMW 2026'!$AA$5:$AA$77)</f>
        <v>0</v>
      </c>
      <c r="BP63" s="24">
        <f>IFERROR(VLOOKUP(B63,[2]BPS!$B$10:$O$64,13,0),0)-IF(B63=100873,IFERROR(VLOOKUP("Noviembre",[2]BPS!$B$74:$C$89,2,0),0),0)</f>
        <v>0</v>
      </c>
      <c r="BQ63" s="285">
        <f t="shared" si="240"/>
        <v>0</v>
      </c>
      <c r="BR63" s="380">
        <f>IFERROR(VLOOKUP(B63,'[2]RETAIL ORIGEN RMKT'!$B$11:$O$62,13,0),0)</f>
        <v>0</v>
      </c>
      <c r="BS63" s="127">
        <f t="shared" si="241"/>
        <v>0</v>
      </c>
      <c r="BT63" s="21">
        <f>SUMIF('UC BMW 2026'!$B$5:$B$77,'UC BMW 2026'!$B61,'UC BMW 2026'!$AB$5:$AB$77)</f>
        <v>0</v>
      </c>
      <c r="BU63" s="24">
        <f>SUMIF('UC BMW 2026'!$B$5:$B$77,'UC BMW 2026'!$B61,'UC BMW 2026'!$AC$5:$AC$77)</f>
        <v>0</v>
      </c>
      <c r="BV63" s="24">
        <f>IFERROR(VLOOKUP(B63,[2]BPS!$B$10:$O$64,13,0),0)-IF(B63=100873,IFERROR(VLOOKUP("Diciembre",[2]BPS!$B$74:$C$89,2,0),0),0)</f>
        <v>0</v>
      </c>
      <c r="BW63" s="285">
        <f t="shared" si="242"/>
        <v>0</v>
      </c>
      <c r="BX63" s="380">
        <f>IFERROR(VLOOKUP(B63,'[2]RETAIL ORIGEN RMKT'!$B$11:$O$62,14,0),0)</f>
        <v>0</v>
      </c>
      <c r="BY63" s="127">
        <f t="shared" si="243"/>
        <v>0</v>
      </c>
      <c r="BZ63" s="25">
        <f t="shared" ca="1" si="255"/>
        <v>90</v>
      </c>
      <c r="CA63" s="27">
        <f t="shared" ca="1" si="255"/>
        <v>83</v>
      </c>
      <c r="CB63" s="287">
        <f t="shared" ca="1" si="205"/>
        <v>0.92222222222222228</v>
      </c>
      <c r="CC63" s="291">
        <f t="shared" si="256"/>
        <v>75</v>
      </c>
      <c r="CD63" s="287">
        <f t="shared" ca="1" si="257"/>
        <v>0.90361445783132532</v>
      </c>
      <c r="CE63" s="24">
        <f t="shared" si="258"/>
        <v>51</v>
      </c>
      <c r="CF63" s="129">
        <f t="shared" ca="1" si="206"/>
        <v>0.56666666666666665</v>
      </c>
      <c r="CG63" s="25">
        <f t="shared" ca="1" si="259"/>
        <v>90</v>
      </c>
      <c r="CH63" s="27">
        <f t="shared" ca="1" si="260"/>
        <v>83</v>
      </c>
      <c r="CI63" s="287">
        <f t="shared" ca="1" si="207"/>
        <v>0.92222222222222228</v>
      </c>
      <c r="CJ63" s="291">
        <f t="shared" si="261"/>
        <v>75</v>
      </c>
      <c r="CK63" s="287">
        <f t="shared" ca="1" si="262"/>
        <v>0.90361445783132532</v>
      </c>
      <c r="CL63" s="27">
        <f t="shared" si="263"/>
        <v>51</v>
      </c>
      <c r="CM63" s="129">
        <f t="shared" ca="1" si="208"/>
        <v>0.56666666666666665</v>
      </c>
      <c r="CN63" s="25">
        <f t="shared" ca="1" si="264"/>
        <v>45</v>
      </c>
      <c r="CO63" s="27">
        <f t="shared" ca="1" si="264"/>
        <v>40</v>
      </c>
      <c r="CP63" s="287">
        <f t="shared" ca="1" si="209"/>
        <v>0.88888888888888884</v>
      </c>
      <c r="CQ63" s="291">
        <f t="shared" si="265"/>
        <v>35</v>
      </c>
      <c r="CR63" s="287">
        <f t="shared" ca="1" si="210"/>
        <v>0.875</v>
      </c>
      <c r="CS63" s="27">
        <f t="shared" si="211"/>
        <v>0</v>
      </c>
      <c r="CT63" s="129">
        <f t="shared" ca="1" si="212"/>
        <v>0</v>
      </c>
      <c r="CU63" s="25">
        <f t="shared" ca="1" si="78"/>
        <v>90</v>
      </c>
      <c r="CV63" s="27">
        <f t="shared" ca="1" si="78"/>
        <v>83</v>
      </c>
      <c r="CW63" s="287">
        <f t="shared" ca="1" si="213"/>
        <v>0.92222222222222228</v>
      </c>
      <c r="CX63" s="27">
        <f t="shared" si="250"/>
        <v>75</v>
      </c>
      <c r="CY63" s="287">
        <f t="shared" ca="1" si="214"/>
        <v>0.90361445783132532</v>
      </c>
      <c r="CZ63" s="27">
        <f t="shared" si="215"/>
        <v>51</v>
      </c>
      <c r="DA63" s="130">
        <f t="shared" ca="1" si="216"/>
        <v>0.56666666666666665</v>
      </c>
      <c r="DB63" s="25">
        <f t="shared" ca="1" si="266"/>
        <v>0</v>
      </c>
      <c r="DC63" s="27">
        <f t="shared" ca="1" si="266"/>
        <v>0</v>
      </c>
      <c r="DD63" s="287">
        <f t="shared" ca="1" si="217"/>
        <v>0</v>
      </c>
      <c r="DE63" s="27">
        <f t="shared" si="267"/>
        <v>0</v>
      </c>
      <c r="DF63" s="287" t="str">
        <f t="shared" ca="1" si="218"/>
        <v>N.D.</v>
      </c>
      <c r="DG63" s="27">
        <f t="shared" si="268"/>
        <v>0</v>
      </c>
      <c r="DH63" s="130">
        <f t="shared" ca="1" si="219"/>
        <v>0</v>
      </c>
      <c r="DI63" s="510">
        <v>1</v>
      </c>
      <c r="DJ63" s="369" t="s">
        <v>20</v>
      </c>
      <c r="DK63" s="25">
        <f t="shared" ca="1" si="254"/>
        <v>90</v>
      </c>
      <c r="DL63" s="27">
        <f t="shared" ca="1" si="79"/>
        <v>83</v>
      </c>
      <c r="DM63" s="287">
        <f t="shared" ca="1" si="220"/>
        <v>0.92222222222222228</v>
      </c>
      <c r="DN63" s="291">
        <f t="shared" si="251"/>
        <v>75</v>
      </c>
      <c r="DO63" s="287">
        <f t="shared" ca="1" si="221"/>
        <v>0.90361445783132532</v>
      </c>
      <c r="DP63" s="27">
        <f t="shared" si="222"/>
        <v>51</v>
      </c>
      <c r="DQ63" s="130">
        <f t="shared" ca="1" si="223"/>
        <v>0.56666666666666665</v>
      </c>
      <c r="DR63"/>
      <c r="DU63" s="508"/>
      <c r="DW63" s="508"/>
      <c r="DY63" s="508"/>
    </row>
    <row r="64" spans="1:129" s="4" customFormat="1" ht="15" customHeight="1" x14ac:dyDescent="0.35">
      <c r="A64" s="4">
        <f>_xlfn.XLOOKUP(B64,'WHOLESALE BMW 2026'!$B$7:$B$67,'WHOLESALE BMW 2026'!$A$7:$A$67)</f>
        <v>10</v>
      </c>
      <c r="B64" s="8">
        <v>100549</v>
      </c>
      <c r="C64" s="369" t="s">
        <v>66</v>
      </c>
      <c r="D64" s="125"/>
      <c r="E64" s="309" t="s">
        <v>202</v>
      </c>
      <c r="F64" s="21">
        <f ca="1">SUMIF('UC BMW 2026'!B62:B138,'UC BMW 2026'!B62,'UC BMW 2026'!F62:F129)</f>
        <v>7</v>
      </c>
      <c r="G64" s="24">
        <f ca="1">SUMIF('UC BMW 2026'!$B$5:$B$77,'UC BMW 2026'!B62,'UC BMW 2026'!$G$5:$G$72)</f>
        <v>7</v>
      </c>
      <c r="H64" s="24">
        <f>IFERROR(VLOOKUP(B64,[2]BPS!$B$10:$O$64,3,0),0)-IF(B64=100873,IFERROR(VLOOKUP("Enero",[2]BPS!$B$74:$C$89,2,0),0),0)</f>
        <v>7</v>
      </c>
      <c r="I64" s="285">
        <f t="shared" ca="1" si="252"/>
        <v>1</v>
      </c>
      <c r="J64" s="380">
        <f>IFERROR(VLOOKUP(B64,'[2]RETAIL ORIGEN RMKT'!$B$11:$O$62,3,0),0)</f>
        <v>2</v>
      </c>
      <c r="K64" s="127">
        <f t="shared" ca="1" si="253"/>
        <v>0.2857142857142857</v>
      </c>
      <c r="L64" s="21">
        <f ca="1">SUMIF('UC BMW 2026'!$B$5:$B$77,'UC BMW 2026'!$B62,'UC BMW 2026'!$H$5:$H$72)</f>
        <v>7</v>
      </c>
      <c r="M64" s="24">
        <f ca="1">SUMIF('UC BMW 2026'!$B$5:$B$77,'UC BMW 2026'!$B62,'UC BMW 2026'!$I$5:$I$72)</f>
        <v>7</v>
      </c>
      <c r="N64" s="24">
        <f>IFERROR(VLOOKUP(B64,[2]BPS!$B$10:$O$64,4,0),0)-IF(B64=100873,IFERROR(VLOOKUP("Febrero",[2]BPS!$B$74:$C$89,2,0),0),0)</f>
        <v>7</v>
      </c>
      <c r="O64" s="285">
        <f t="shared" ca="1" si="203"/>
        <v>1</v>
      </c>
      <c r="P64" s="380">
        <f>IFERROR(VLOOKUP(B64,'[2]RETAIL ORIGEN RMKT'!$B$11:$O$62,4,0),0)</f>
        <v>3</v>
      </c>
      <c r="Q64" s="127">
        <f t="shared" ca="1" si="204"/>
        <v>0.42857142857142855</v>
      </c>
      <c r="R64" s="21">
        <f ca="1">SUMIF('UC BMW 2026'!$B$5:$B$77,'UC BMW 2026'!$B62,'UC BMW 2026'!$J$5:$J$72)</f>
        <v>7</v>
      </c>
      <c r="S64" s="24">
        <f ca="1">SUMIF('UC BMW 2026'!$B$5:$B$77,'UC BMW 2026'!$B62,'UC BMW 2026'!$K$5:$K$72)</f>
        <v>11</v>
      </c>
      <c r="T64" s="24">
        <f>IFERROR(VLOOKUP(B64,[2]BPS!$B$10:$O$64,5,0),0)-IF(B64=100873,IFERROR(VLOOKUP("Marzo",[2]BPS!$B$74:$C$89,2,0),0),0)</f>
        <v>11</v>
      </c>
      <c r="U64" s="285">
        <f t="shared" ca="1" si="224"/>
        <v>1</v>
      </c>
      <c r="V64" s="380">
        <f>IFERROR(VLOOKUP(B64,'[2]RETAIL ORIGEN RMKT'!$B$11:$O$62,5,0),0)</f>
        <v>4</v>
      </c>
      <c r="W64" s="127">
        <f t="shared" ca="1" si="225"/>
        <v>0.5714285714285714</v>
      </c>
      <c r="X64" s="21">
        <f ca="1">SUMIF('UC BMW 2026'!$B$5:$B$77,'UC BMW 2026'!$B62,'UC BMW 2026'!$L$5:$L$72)</f>
        <v>7</v>
      </c>
      <c r="Y64" s="24">
        <f ca="1">SUMIF('UC BMW 2026'!$B$5:$B$77,'UC BMW 2026'!$B62,'UC BMW 2026'!$M$5:$M$72)</f>
        <v>7</v>
      </c>
      <c r="Z64" s="24">
        <f>IFERROR(VLOOKUP(B64,[2]BPS!$B$10:$O$64,6,0),0)-IF(B64=100873,IFERROR(VLOOKUP("Abril",[2]BPS!$B$74:$C$89,2,0),0),0)</f>
        <v>7</v>
      </c>
      <c r="AA64" s="285">
        <f t="shared" ca="1" si="226"/>
        <v>1</v>
      </c>
      <c r="AB64" s="380">
        <f>IFERROR(VLOOKUP(B64,'[2]RETAIL ORIGEN RMKT'!$B$11:$O$62,6,0),0)</f>
        <v>1</v>
      </c>
      <c r="AC64" s="127">
        <f t="shared" ca="1" si="227"/>
        <v>0.14285714285714285</v>
      </c>
      <c r="AD64" s="21">
        <f ca="1">SUMIF('UC BMW 2026'!$B$5:$B$77,'UC BMW 2026'!$B62,'UC BMW 2026'!$N$5:$N$72)</f>
        <v>7</v>
      </c>
      <c r="AE64" s="24">
        <f ca="1">SUMIF('UC BMW 2026'!$B$5:$B$77,'UC BMW 2026'!$B62,'UC BMW 2026'!$O$5:$O$72)</f>
        <v>7</v>
      </c>
      <c r="AF64" s="24">
        <f>IFERROR(VLOOKUP(B64,[2]BPS!$B$10:$O$64,7,0),0)-IF(B64=100873,IFERROR(VLOOKUP("Mayo",[2]BPS!$B$74:$C$89,2,0),0),0)</f>
        <v>6</v>
      </c>
      <c r="AG64" s="285">
        <f t="shared" ca="1" si="228"/>
        <v>0.8571428571428571</v>
      </c>
      <c r="AH64" s="380">
        <f>IFERROR(VLOOKUP(B64,'[2]RETAIL ORIGEN RMKT'!$B$11:$O$62,7,0),0)</f>
        <v>3</v>
      </c>
      <c r="AI64" s="127">
        <f t="shared" ca="1" si="229"/>
        <v>0.42857142857142855</v>
      </c>
      <c r="AJ64" s="21">
        <f ca="1">SUMIF('UC BMW 2026'!$B$5:$B$77,'UC BMW 2026'!$B62,'UC BMW 2026'!$P$5:$P$72)</f>
        <v>7</v>
      </c>
      <c r="AK64" s="24">
        <f ca="1">SUMIF('UC BMW 2026'!$B$5:$B$77,'UC BMW 2026'!$B62,'UC BMW 2026'!$Q$5:$Q$72)</f>
        <v>7</v>
      </c>
      <c r="AL64" s="24">
        <f>IFERROR(VLOOKUP(B64,[2]BPS!$B$10:$O$64,8,0),0)-IF(B64=100873,IFERROR(VLOOKUP("Junio",[2]BPS!$B$74:$C$89,2,0),0),0)</f>
        <v>7</v>
      </c>
      <c r="AM64" s="285">
        <f t="shared" ca="1" si="230"/>
        <v>1</v>
      </c>
      <c r="AN64" s="380">
        <f>IFERROR(VLOOKUP(B64,'[2]RETAIL ORIGEN RMKT'!$B$11:$O$62,8,0),0)</f>
        <v>5</v>
      </c>
      <c r="AO64" s="127">
        <f t="shared" ca="1" si="231"/>
        <v>0.7142857142857143</v>
      </c>
      <c r="AP64" s="21">
        <f ca="1">SUMIF('UC BMW 2026'!$B$5:$B$77,'UC BMW 2026'!$B62,'UC BMW 2026'!$R$5:$R$72)</f>
        <v>0</v>
      </c>
      <c r="AQ64" s="24">
        <f ca="1">SUMIF('UC BMW 2026'!$B$5:$B$77,'UC BMW 2026'!$B62,'UC BMW 2026'!$S$5:$S$72)</f>
        <v>0</v>
      </c>
      <c r="AR64" s="24">
        <f>IFERROR(VLOOKUP(B64,[2]BPS!$B$10:$O$64,9,0),0)-IF(B64=100873,IFERROR(VLOOKUP("Julio",[2]BPS!$B$74:$C$89,2,0),0),0)</f>
        <v>0</v>
      </c>
      <c r="AS64" s="285">
        <f t="shared" ca="1" si="232"/>
        <v>0</v>
      </c>
      <c r="AT64" s="380">
        <f>IFERROR(VLOOKUP(B64,'[2]RETAIL ORIGEN RMKT'!$B$11:$O$62,9,0),0)</f>
        <v>0</v>
      </c>
      <c r="AU64" s="127">
        <f t="shared" ca="1" si="233"/>
        <v>0</v>
      </c>
      <c r="AV64" s="21">
        <f ca="1">SUMIF('UC BMW 2026'!$B$5:$B$77,'UC BMW 2026'!$B62,'UC BMW 2026'!$T$5:$T$72)</f>
        <v>0</v>
      </c>
      <c r="AW64" s="24">
        <f ca="1">SUMIF('UC BMW 2026'!$B$5:$B$77,'UC BMW 2026'!$B62,'UC BMW 2026'!$U$5:$U$72)</f>
        <v>0</v>
      </c>
      <c r="AX64" s="24">
        <f>IFERROR(VLOOKUP(B64,[2]BPS!$B$10:$O$64,10,0),0)-IF(B64=100873,IFERROR(VLOOKUP("Agosto",[2]BPS!$B$74:$C$89,2,0),0),0)</f>
        <v>0</v>
      </c>
      <c r="AY64" s="285">
        <f t="shared" ca="1" si="234"/>
        <v>0</v>
      </c>
      <c r="AZ64" s="380">
        <f>IFERROR(VLOOKUP(B64,'[2]RETAIL ORIGEN RMKT'!$B$11:$O$62,10,0),0)</f>
        <v>0</v>
      </c>
      <c r="BA64" s="127">
        <f t="shared" ca="1" si="235"/>
        <v>0</v>
      </c>
      <c r="BB64" s="21">
        <f ca="1">SUMIF('UC BMW 2026'!$B$5:$B$77,'UC BMW 2026'!$B62,'UC BMW 2026'!$V$5:$V$72)</f>
        <v>0</v>
      </c>
      <c r="BC64" s="24">
        <f>SUMIF('UC BMW 2026'!$B$5:$B$77,'UC BMW 2026'!$B62,'UC BMW 2026'!$W$5:$W$77)</f>
        <v>0</v>
      </c>
      <c r="BD64" s="24">
        <f>IFERROR(VLOOKUP(B64,[2]BPS!$B$10:$O$64,11,0),0)-IF(B64=100873,IFERROR(VLOOKUP("Septiembre",[2]BPS!$B$74:$C$89,2,0),0),0)</f>
        <v>0</v>
      </c>
      <c r="BE64" s="285">
        <f t="shared" si="236"/>
        <v>0</v>
      </c>
      <c r="BF64" s="380">
        <f>IFERROR(VLOOKUP(B64,'[2]RETAIL ORIGEN RMKT'!$B$11:$O$62,11,0),0)</f>
        <v>0</v>
      </c>
      <c r="BG64" s="127">
        <f t="shared" ca="1" si="237"/>
        <v>0</v>
      </c>
      <c r="BH64" s="21">
        <f>SUMIF('UC BMW 2026'!$B$5:$B$77,'UC BMW 2026'!$B62,'UC BMW 2026'!$X$5:$X$77)</f>
        <v>0</v>
      </c>
      <c r="BI64" s="24">
        <f>SUMIF('UC BMW 2026'!$B$5:$B$77,'UC BMW 2026'!$B62,'UC BMW 2026'!$Y$5:$Y$77)</f>
        <v>0</v>
      </c>
      <c r="BJ64" s="24">
        <f>IFERROR(VLOOKUP(B64,[2]BPS!$B$10:$O$64,12,0),0)-IF(B64=100873,IFERROR(VLOOKUP("Octubre",[2]BPS!$B$74:$C$89,2,0),0),0)</f>
        <v>0</v>
      </c>
      <c r="BK64" s="285">
        <f t="shared" si="238"/>
        <v>0</v>
      </c>
      <c r="BL64" s="380">
        <f>IFERROR(VLOOKUP(B64,'[2]RETAIL ORIGEN RMKT'!$B$11:$O$62,12,0),0)</f>
        <v>0</v>
      </c>
      <c r="BM64" s="127">
        <f t="shared" si="239"/>
        <v>0</v>
      </c>
      <c r="BN64" s="21">
        <f>SUMIF('UC BMW 2026'!$B$5:$B$77,'UC BMW 2026'!$B62,'UC BMW 2026'!$Z$5:$Z$77)</f>
        <v>0</v>
      </c>
      <c r="BO64" s="24">
        <f>SUMIF('UC BMW 2026'!$B$5:$B$77,'UC BMW 2026'!$B62,'UC BMW 2026'!$AA$5:$AA$77)</f>
        <v>0</v>
      </c>
      <c r="BP64" s="24">
        <f>IFERROR(VLOOKUP(B64,[2]BPS!$B$10:$O$64,13,0),0)-IF(B64=100873,IFERROR(VLOOKUP("Noviembre",[2]BPS!$B$74:$C$89,2,0),0),0)</f>
        <v>0</v>
      </c>
      <c r="BQ64" s="285">
        <f t="shared" si="240"/>
        <v>0</v>
      </c>
      <c r="BR64" s="380">
        <f>IFERROR(VLOOKUP(B64,'[2]RETAIL ORIGEN RMKT'!$B$11:$O$62,13,0),0)</f>
        <v>0</v>
      </c>
      <c r="BS64" s="127">
        <f t="shared" si="241"/>
        <v>0</v>
      </c>
      <c r="BT64" s="21">
        <f>SUMIF('UC BMW 2026'!$B$5:$B$77,'UC BMW 2026'!$B62,'UC BMW 2026'!$AB$5:$AB$77)</f>
        <v>0</v>
      </c>
      <c r="BU64" s="24">
        <f>SUMIF('UC BMW 2026'!$B$5:$B$77,'UC BMW 2026'!$B62,'UC BMW 2026'!$AC$5:$AC$77)</f>
        <v>0</v>
      </c>
      <c r="BV64" s="24">
        <f>IFERROR(VLOOKUP(B64,[2]BPS!$B$10:$O$64,13,0),0)-IF(B64=100873,IFERROR(VLOOKUP("Diciembre",[2]BPS!$B$74:$C$89,2,0),0),0)</f>
        <v>0</v>
      </c>
      <c r="BW64" s="285">
        <f t="shared" si="242"/>
        <v>0</v>
      </c>
      <c r="BX64" s="380">
        <f>IFERROR(VLOOKUP(B64,'[2]RETAIL ORIGEN RMKT'!$B$11:$O$62,14,0),0)</f>
        <v>0</v>
      </c>
      <c r="BY64" s="127">
        <f t="shared" si="243"/>
        <v>0</v>
      </c>
      <c r="BZ64" s="25">
        <f t="shared" ca="1" si="255"/>
        <v>42</v>
      </c>
      <c r="CA64" s="27">
        <f t="shared" ca="1" si="255"/>
        <v>46</v>
      </c>
      <c r="CB64" s="287">
        <f t="shared" ca="1" si="205"/>
        <v>1.0952380952380953</v>
      </c>
      <c r="CC64" s="291">
        <f t="shared" si="256"/>
        <v>45</v>
      </c>
      <c r="CD64" s="287">
        <f t="shared" ca="1" si="257"/>
        <v>0.97826086956521741</v>
      </c>
      <c r="CE64" s="24">
        <f t="shared" si="258"/>
        <v>18</v>
      </c>
      <c r="CF64" s="129">
        <f t="shared" ca="1" si="206"/>
        <v>0.42857142857142855</v>
      </c>
      <c r="CG64" s="25">
        <f t="shared" ca="1" si="259"/>
        <v>42</v>
      </c>
      <c r="CH64" s="27">
        <f t="shared" ca="1" si="260"/>
        <v>46</v>
      </c>
      <c r="CI64" s="287">
        <f t="shared" ca="1" si="207"/>
        <v>1.0952380952380953</v>
      </c>
      <c r="CJ64" s="291">
        <f t="shared" si="261"/>
        <v>45</v>
      </c>
      <c r="CK64" s="287">
        <f t="shared" ca="1" si="262"/>
        <v>0.97826086956521741</v>
      </c>
      <c r="CL64" s="27">
        <f t="shared" si="263"/>
        <v>18</v>
      </c>
      <c r="CM64" s="129">
        <f t="shared" ca="1" si="208"/>
        <v>0.42857142857142855</v>
      </c>
      <c r="CN64" s="25">
        <f t="shared" ca="1" si="264"/>
        <v>21</v>
      </c>
      <c r="CO64" s="27">
        <f t="shared" ca="1" si="264"/>
        <v>25</v>
      </c>
      <c r="CP64" s="287">
        <f t="shared" ca="1" si="209"/>
        <v>1.1904761904761905</v>
      </c>
      <c r="CQ64" s="291">
        <f t="shared" si="265"/>
        <v>25</v>
      </c>
      <c r="CR64" s="287">
        <f t="shared" ca="1" si="210"/>
        <v>1</v>
      </c>
      <c r="CS64" s="27">
        <f t="shared" si="211"/>
        <v>0</v>
      </c>
      <c r="CT64" s="129">
        <f t="shared" ca="1" si="212"/>
        <v>0</v>
      </c>
      <c r="CU64" s="25">
        <f t="shared" ca="1" si="78"/>
        <v>42</v>
      </c>
      <c r="CV64" s="27">
        <f t="shared" ca="1" si="78"/>
        <v>46</v>
      </c>
      <c r="CW64" s="287">
        <f t="shared" ca="1" si="213"/>
        <v>1.0952380952380953</v>
      </c>
      <c r="CX64" s="27">
        <f t="shared" si="250"/>
        <v>45</v>
      </c>
      <c r="CY64" s="287">
        <f t="shared" ca="1" si="214"/>
        <v>0.97826086956521741</v>
      </c>
      <c r="CZ64" s="27">
        <f t="shared" si="215"/>
        <v>18</v>
      </c>
      <c r="DA64" s="130">
        <f t="shared" ca="1" si="216"/>
        <v>0.42857142857142855</v>
      </c>
      <c r="DB64" s="25">
        <f t="shared" ca="1" si="266"/>
        <v>0</v>
      </c>
      <c r="DC64" s="27">
        <f t="shared" ca="1" si="266"/>
        <v>0</v>
      </c>
      <c r="DD64" s="287">
        <f t="shared" ca="1" si="217"/>
        <v>0</v>
      </c>
      <c r="DE64" s="27">
        <f t="shared" si="267"/>
        <v>0</v>
      </c>
      <c r="DF64" s="287" t="str">
        <f t="shared" ca="1" si="218"/>
        <v>N.D.</v>
      </c>
      <c r="DG64" s="27">
        <f t="shared" si="268"/>
        <v>0</v>
      </c>
      <c r="DH64" s="130">
        <f t="shared" ca="1" si="219"/>
        <v>0</v>
      </c>
      <c r="DI64" s="510">
        <v>1</v>
      </c>
      <c r="DJ64" s="369" t="s">
        <v>66</v>
      </c>
      <c r="DK64" s="25">
        <f t="shared" ca="1" si="254"/>
        <v>42</v>
      </c>
      <c r="DL64" s="27">
        <f t="shared" ca="1" si="79"/>
        <v>46</v>
      </c>
      <c r="DM64" s="287">
        <f t="shared" ca="1" si="220"/>
        <v>1.0952380952380953</v>
      </c>
      <c r="DN64" s="291">
        <f t="shared" si="251"/>
        <v>45</v>
      </c>
      <c r="DO64" s="287">
        <f t="shared" ca="1" si="221"/>
        <v>0.97826086956521741</v>
      </c>
      <c r="DP64" s="27">
        <f t="shared" si="222"/>
        <v>18</v>
      </c>
      <c r="DQ64" s="130">
        <f t="shared" ca="1" si="223"/>
        <v>0.42857142857142855</v>
      </c>
      <c r="DR64"/>
      <c r="DS64" s="508"/>
      <c r="DU64" s="508"/>
    </row>
    <row r="65" spans="1:131" s="4" customFormat="1" ht="15" customHeight="1" x14ac:dyDescent="0.35">
      <c r="A65" s="4">
        <f>_xlfn.XLOOKUP(B65,'WHOLESALE BMW 2026'!$B$7:$B$67,'WHOLESALE BMW 2026'!$A$7:$A$67)</f>
        <v>10</v>
      </c>
      <c r="B65" s="8">
        <v>100589</v>
      </c>
      <c r="C65" s="369" t="s">
        <v>17</v>
      </c>
      <c r="D65" s="125"/>
      <c r="E65" s="309" t="s">
        <v>202</v>
      </c>
      <c r="F65" s="21">
        <f ca="1">SUMIF('UC BMW 2026'!B63:B139,'UC BMW 2026'!B63,'UC BMW 2026'!F63:F130)</f>
        <v>22</v>
      </c>
      <c r="G65" s="24">
        <f ca="1">SUMIF('UC BMW 2026'!$B$5:$B$77,'UC BMW 2026'!B63,'UC BMW 2026'!$G$5:$G$72)</f>
        <v>24</v>
      </c>
      <c r="H65" s="24">
        <f>IFERROR(VLOOKUP(B65,[2]BPS!$B$10:$O$64,3,0),0)-IF(B65=100873,IFERROR(VLOOKUP("Enero",[2]BPS!$B$74:$C$89,2,0),0),0)</f>
        <v>20</v>
      </c>
      <c r="I65" s="285">
        <f t="shared" ca="1" si="252"/>
        <v>0.83333333333333337</v>
      </c>
      <c r="J65" s="380">
        <f>IFERROR(VLOOKUP(B65,'[2]RETAIL ORIGEN RMKT'!$B$11:$O$62,3,0),0)</f>
        <v>14</v>
      </c>
      <c r="K65" s="127">
        <f t="shared" ca="1" si="253"/>
        <v>0.63636363636363635</v>
      </c>
      <c r="L65" s="21">
        <f ca="1">SUMIF('UC BMW 2026'!$B$5:$B$77,'UC BMW 2026'!$B63,'UC BMW 2026'!$H$5:$H$72)</f>
        <v>22</v>
      </c>
      <c r="M65" s="24">
        <f ca="1">SUMIF('UC BMW 2026'!$B$5:$B$77,'UC BMW 2026'!$B63,'UC BMW 2026'!$I$5:$I$72)</f>
        <v>31</v>
      </c>
      <c r="N65" s="24">
        <f>IFERROR(VLOOKUP(B65,[2]BPS!$B$10:$O$64,4,0),0)-IF(B65=100873,IFERROR(VLOOKUP("Febrero",[2]BPS!$B$74:$C$89,2,0),0),0)</f>
        <v>29</v>
      </c>
      <c r="O65" s="285">
        <f t="shared" ca="1" si="203"/>
        <v>0.93548387096774188</v>
      </c>
      <c r="P65" s="380">
        <f>IFERROR(VLOOKUP(B65,'[2]RETAIL ORIGEN RMKT'!$B$11:$O$62,4,0),0)</f>
        <v>20</v>
      </c>
      <c r="Q65" s="127">
        <f t="shared" ca="1" si="204"/>
        <v>0.90909090909090906</v>
      </c>
      <c r="R65" s="21">
        <f ca="1">SUMIF('UC BMW 2026'!$B$5:$B$77,'UC BMW 2026'!$B63,'UC BMW 2026'!$J$5:$J$72)</f>
        <v>22</v>
      </c>
      <c r="S65" s="24">
        <f ca="1">SUMIF('UC BMW 2026'!$B$5:$B$77,'UC BMW 2026'!$B63,'UC BMW 2026'!$K$5:$K$72)</f>
        <v>27</v>
      </c>
      <c r="T65" s="24">
        <f>IFERROR(VLOOKUP(B65,[2]BPS!$B$10:$O$64,5,0),0)-IF(B65=100873,IFERROR(VLOOKUP("Marzo",[2]BPS!$B$74:$C$89,2,0),0),0)</f>
        <v>26</v>
      </c>
      <c r="U65" s="285">
        <f t="shared" ca="1" si="224"/>
        <v>0.96296296296296291</v>
      </c>
      <c r="V65" s="380">
        <f>IFERROR(VLOOKUP(B65,'[2]RETAIL ORIGEN RMKT'!$B$11:$O$62,5,0),0)</f>
        <v>21</v>
      </c>
      <c r="W65" s="127">
        <f t="shared" ca="1" si="225"/>
        <v>0.95454545454545459</v>
      </c>
      <c r="X65" s="21">
        <f ca="1">SUMIF('UC BMW 2026'!$B$5:$B$77,'UC BMW 2026'!$B63,'UC BMW 2026'!$L$5:$L$72)</f>
        <v>23</v>
      </c>
      <c r="Y65" s="24">
        <f ca="1">SUMIF('UC BMW 2026'!$B$5:$B$77,'UC BMW 2026'!$B63,'UC BMW 2026'!$M$5:$M$72)</f>
        <v>22</v>
      </c>
      <c r="Z65" s="24">
        <f>IFERROR(VLOOKUP(B65,[2]BPS!$B$10:$O$64,6,0),0)-IF(B65=100873,IFERROR(VLOOKUP("Abril",[2]BPS!$B$74:$C$89,2,0),0),0)</f>
        <v>22</v>
      </c>
      <c r="AA65" s="285">
        <f t="shared" ca="1" si="226"/>
        <v>1</v>
      </c>
      <c r="AB65" s="380">
        <f>IFERROR(VLOOKUP(B65,'[2]RETAIL ORIGEN RMKT'!$B$11:$O$62,6,0),0)</f>
        <v>18</v>
      </c>
      <c r="AC65" s="127">
        <f t="shared" ca="1" si="227"/>
        <v>0.78260869565217395</v>
      </c>
      <c r="AD65" s="21">
        <f ca="1">SUMIF('UC BMW 2026'!$B$5:$B$77,'UC BMW 2026'!$B63,'UC BMW 2026'!$N$5:$N$72)</f>
        <v>23</v>
      </c>
      <c r="AE65" s="24">
        <f ca="1">SUMIF('UC BMW 2026'!$B$5:$B$77,'UC BMW 2026'!$B63,'UC BMW 2026'!$O$5:$O$72)</f>
        <v>15</v>
      </c>
      <c r="AF65" s="24">
        <f>IFERROR(VLOOKUP(B65,[2]BPS!$B$10:$O$64,7,0),0)-IF(B65=100873,IFERROR(VLOOKUP("Mayo",[2]BPS!$B$74:$C$89,2,0),0),0)</f>
        <v>15</v>
      </c>
      <c r="AG65" s="285">
        <f t="shared" ca="1" si="228"/>
        <v>1</v>
      </c>
      <c r="AH65" s="380">
        <f>IFERROR(VLOOKUP(B65,'[2]RETAIL ORIGEN RMKT'!$B$11:$O$62,7,0),0)</f>
        <v>8</v>
      </c>
      <c r="AI65" s="127">
        <f t="shared" ca="1" si="229"/>
        <v>0.34782608695652173</v>
      </c>
      <c r="AJ65" s="21">
        <f ca="1">SUMIF('UC BMW 2026'!$B$5:$B$77,'UC BMW 2026'!$B63,'UC BMW 2026'!$P$5:$P$72)</f>
        <v>23</v>
      </c>
      <c r="AK65" s="24">
        <f ca="1">SUMIF('UC BMW 2026'!$B$5:$B$77,'UC BMW 2026'!$B63,'UC BMW 2026'!$Q$5:$Q$72)</f>
        <v>16</v>
      </c>
      <c r="AL65" s="24">
        <f>IFERROR(VLOOKUP(B65,[2]BPS!$B$10:$O$64,8,0),0)-IF(B65=100873,IFERROR(VLOOKUP("Junio",[2]BPS!$B$74:$C$89,2,0),0),0)</f>
        <v>16</v>
      </c>
      <c r="AM65" s="285">
        <f t="shared" ca="1" si="230"/>
        <v>1</v>
      </c>
      <c r="AN65" s="380">
        <f>IFERROR(VLOOKUP(B65,'[2]RETAIL ORIGEN RMKT'!$B$11:$O$62,8,0),0)</f>
        <v>9</v>
      </c>
      <c r="AO65" s="127">
        <f t="shared" ca="1" si="231"/>
        <v>0.39130434782608697</v>
      </c>
      <c r="AP65" s="21">
        <f ca="1">SUMIF('UC BMW 2026'!$B$5:$B$77,'UC BMW 2026'!$B63,'UC BMW 2026'!$R$5:$R$72)</f>
        <v>0</v>
      </c>
      <c r="AQ65" s="24">
        <f ca="1">SUMIF('UC BMW 2026'!$B$5:$B$77,'UC BMW 2026'!$B63,'UC BMW 2026'!$S$5:$S$72)</f>
        <v>0</v>
      </c>
      <c r="AR65" s="24">
        <f>IFERROR(VLOOKUP(B65,[2]BPS!$B$10:$O$64,9,0),0)-IF(B65=100873,IFERROR(VLOOKUP("Julio",[2]BPS!$B$74:$C$89,2,0),0),0)</f>
        <v>0</v>
      </c>
      <c r="AS65" s="285">
        <f t="shared" ca="1" si="232"/>
        <v>0</v>
      </c>
      <c r="AT65" s="380">
        <f>IFERROR(VLOOKUP(B65,'[2]RETAIL ORIGEN RMKT'!$B$11:$O$62,9,0),0)</f>
        <v>0</v>
      </c>
      <c r="AU65" s="127">
        <f t="shared" ca="1" si="233"/>
        <v>0</v>
      </c>
      <c r="AV65" s="21">
        <f ca="1">SUMIF('UC BMW 2026'!$B$5:$B$77,'UC BMW 2026'!$B63,'UC BMW 2026'!$T$5:$T$72)</f>
        <v>0</v>
      </c>
      <c r="AW65" s="24">
        <f ca="1">SUMIF('UC BMW 2026'!$B$5:$B$77,'UC BMW 2026'!$B63,'UC BMW 2026'!$U$5:$U$72)</f>
        <v>0</v>
      </c>
      <c r="AX65" s="24">
        <f>IFERROR(VLOOKUP(B65,[2]BPS!$B$10:$O$64,10,0),0)-IF(B65=100873,IFERROR(VLOOKUP("Agosto",[2]BPS!$B$74:$C$89,2,0),0),0)</f>
        <v>0</v>
      </c>
      <c r="AY65" s="285">
        <f t="shared" ca="1" si="234"/>
        <v>0</v>
      </c>
      <c r="AZ65" s="380">
        <f>IFERROR(VLOOKUP(B65,'[2]RETAIL ORIGEN RMKT'!$B$11:$O$62,10,0),0)</f>
        <v>0</v>
      </c>
      <c r="BA65" s="127">
        <f t="shared" ca="1" si="235"/>
        <v>0</v>
      </c>
      <c r="BB65" s="21">
        <f ca="1">SUMIF('UC BMW 2026'!$B$5:$B$77,'UC BMW 2026'!$B63,'UC BMW 2026'!$V$5:$V$72)</f>
        <v>0</v>
      </c>
      <c r="BC65" s="24">
        <f>SUMIF('UC BMW 2026'!$B$5:$B$77,'UC BMW 2026'!$B63,'UC BMW 2026'!$W$5:$W$77)</f>
        <v>0</v>
      </c>
      <c r="BD65" s="24">
        <f>IFERROR(VLOOKUP(B65,[2]BPS!$B$10:$O$64,11,0),0)-IF(B65=100873,IFERROR(VLOOKUP("Septiembre",[2]BPS!$B$74:$C$89,2,0),0),0)</f>
        <v>0</v>
      </c>
      <c r="BE65" s="285">
        <f t="shared" si="236"/>
        <v>0</v>
      </c>
      <c r="BF65" s="380">
        <f>IFERROR(VLOOKUP(B65,'[2]RETAIL ORIGEN RMKT'!$B$11:$O$62,11,0),0)</f>
        <v>0</v>
      </c>
      <c r="BG65" s="127">
        <f t="shared" ca="1" si="237"/>
        <v>0</v>
      </c>
      <c r="BH65" s="21">
        <f>SUMIF('UC BMW 2026'!$B$5:$B$77,'UC BMW 2026'!$B63,'UC BMW 2026'!$X$5:$X$77)</f>
        <v>0</v>
      </c>
      <c r="BI65" s="24">
        <f>SUMIF('UC BMW 2026'!$B$5:$B$77,'UC BMW 2026'!$B63,'UC BMW 2026'!$Y$5:$Y$77)</f>
        <v>0</v>
      </c>
      <c r="BJ65" s="24">
        <f>IFERROR(VLOOKUP(B65,[2]BPS!$B$10:$O$64,12,0),0)-IF(B65=100873,IFERROR(VLOOKUP("Octubre",[2]BPS!$B$74:$C$89,2,0),0),0)</f>
        <v>0</v>
      </c>
      <c r="BK65" s="285">
        <f t="shared" si="238"/>
        <v>0</v>
      </c>
      <c r="BL65" s="380">
        <f>IFERROR(VLOOKUP(B65,'[2]RETAIL ORIGEN RMKT'!$B$11:$O$62,12,0),0)</f>
        <v>0</v>
      </c>
      <c r="BM65" s="127">
        <f t="shared" si="239"/>
        <v>0</v>
      </c>
      <c r="BN65" s="21">
        <f>SUMIF('UC BMW 2026'!$B$5:$B$77,'UC BMW 2026'!$B63,'UC BMW 2026'!$Z$5:$Z$77)</f>
        <v>0</v>
      </c>
      <c r="BO65" s="24">
        <f>SUMIF('UC BMW 2026'!$B$5:$B$77,'UC BMW 2026'!$B63,'UC BMW 2026'!$AA$5:$AA$77)</f>
        <v>0</v>
      </c>
      <c r="BP65" s="24">
        <f>IFERROR(VLOOKUP(B65,[2]BPS!$B$10:$O$64,13,0),0)-IF(B65=100873,IFERROR(VLOOKUP("Noviembre",[2]BPS!$B$74:$C$89,2,0),0),0)</f>
        <v>0</v>
      </c>
      <c r="BQ65" s="285">
        <f t="shared" si="240"/>
        <v>0</v>
      </c>
      <c r="BR65" s="380">
        <f>IFERROR(VLOOKUP(B65,'[2]RETAIL ORIGEN RMKT'!$B$11:$O$62,13,0),0)</f>
        <v>0</v>
      </c>
      <c r="BS65" s="127">
        <f t="shared" si="241"/>
        <v>0</v>
      </c>
      <c r="BT65" s="21">
        <f>SUMIF('UC BMW 2026'!$B$5:$B$77,'UC BMW 2026'!$B63,'UC BMW 2026'!$AB$5:$AB$77)</f>
        <v>0</v>
      </c>
      <c r="BU65" s="24">
        <f>SUMIF('UC BMW 2026'!$B$5:$B$77,'UC BMW 2026'!$B63,'UC BMW 2026'!$AC$5:$AC$77)</f>
        <v>0</v>
      </c>
      <c r="BV65" s="24">
        <f>IFERROR(VLOOKUP(B65,[2]BPS!$B$10:$O$64,13,0),0)-IF(B65=100873,IFERROR(VLOOKUP("Diciembre",[2]BPS!$B$74:$C$89,2,0),0),0)</f>
        <v>0</v>
      </c>
      <c r="BW65" s="285">
        <f t="shared" si="242"/>
        <v>0</v>
      </c>
      <c r="BX65" s="380">
        <f>IFERROR(VLOOKUP(B65,'[2]RETAIL ORIGEN RMKT'!$B$11:$O$62,14,0),0)</f>
        <v>0</v>
      </c>
      <c r="BY65" s="127">
        <f t="shared" si="243"/>
        <v>0</v>
      </c>
      <c r="BZ65" s="25">
        <f t="shared" ca="1" si="255"/>
        <v>135</v>
      </c>
      <c r="CA65" s="27">
        <f t="shared" ca="1" si="255"/>
        <v>135</v>
      </c>
      <c r="CB65" s="287">
        <f t="shared" ca="1" si="205"/>
        <v>1</v>
      </c>
      <c r="CC65" s="291">
        <f t="shared" si="256"/>
        <v>128</v>
      </c>
      <c r="CD65" s="287">
        <f t="shared" ca="1" si="257"/>
        <v>0.94814814814814818</v>
      </c>
      <c r="CE65" s="24">
        <f t="shared" si="258"/>
        <v>90</v>
      </c>
      <c r="CF65" s="129">
        <f t="shared" ca="1" si="206"/>
        <v>0.66666666666666663</v>
      </c>
      <c r="CG65" s="25">
        <f t="shared" ca="1" si="259"/>
        <v>135</v>
      </c>
      <c r="CH65" s="27">
        <f t="shared" ca="1" si="260"/>
        <v>135</v>
      </c>
      <c r="CI65" s="287">
        <f t="shared" ca="1" si="207"/>
        <v>1</v>
      </c>
      <c r="CJ65" s="291">
        <f t="shared" si="261"/>
        <v>128</v>
      </c>
      <c r="CK65" s="287">
        <f t="shared" ca="1" si="262"/>
        <v>0.94814814814814818</v>
      </c>
      <c r="CL65" s="27">
        <f t="shared" si="263"/>
        <v>90</v>
      </c>
      <c r="CM65" s="129">
        <f t="shared" ca="1" si="208"/>
        <v>0.66666666666666663</v>
      </c>
      <c r="CN65" s="25">
        <f t="shared" ca="1" si="264"/>
        <v>66</v>
      </c>
      <c r="CO65" s="27">
        <f t="shared" ca="1" si="264"/>
        <v>82</v>
      </c>
      <c r="CP65" s="287">
        <f t="shared" ca="1" si="209"/>
        <v>1.2424242424242424</v>
      </c>
      <c r="CQ65" s="291">
        <f t="shared" si="265"/>
        <v>75</v>
      </c>
      <c r="CR65" s="287">
        <f t="shared" ca="1" si="210"/>
        <v>0.91463414634146345</v>
      </c>
      <c r="CS65" s="27">
        <f t="shared" si="211"/>
        <v>0</v>
      </c>
      <c r="CT65" s="129">
        <f t="shared" ca="1" si="212"/>
        <v>0</v>
      </c>
      <c r="CU65" s="25">
        <f t="shared" ca="1" si="78"/>
        <v>135</v>
      </c>
      <c r="CV65" s="27">
        <f t="shared" ca="1" si="78"/>
        <v>135</v>
      </c>
      <c r="CW65" s="287">
        <f t="shared" ca="1" si="213"/>
        <v>1</v>
      </c>
      <c r="CX65" s="27">
        <f t="shared" si="250"/>
        <v>128</v>
      </c>
      <c r="CY65" s="287">
        <f t="shared" ca="1" si="214"/>
        <v>0.94814814814814818</v>
      </c>
      <c r="CZ65" s="27">
        <f t="shared" si="215"/>
        <v>90</v>
      </c>
      <c r="DA65" s="130">
        <f t="shared" ca="1" si="216"/>
        <v>0.66666666666666663</v>
      </c>
      <c r="DB65" s="25">
        <f t="shared" ca="1" si="266"/>
        <v>0</v>
      </c>
      <c r="DC65" s="27">
        <f t="shared" ca="1" si="266"/>
        <v>0</v>
      </c>
      <c r="DD65" s="287">
        <f t="shared" ca="1" si="217"/>
        <v>0</v>
      </c>
      <c r="DE65" s="27">
        <f t="shared" si="267"/>
        <v>0</v>
      </c>
      <c r="DF65" s="287" t="str">
        <f t="shared" ca="1" si="218"/>
        <v>N.D.</v>
      </c>
      <c r="DG65" s="27">
        <f t="shared" si="268"/>
        <v>0</v>
      </c>
      <c r="DH65" s="130">
        <f t="shared" ca="1" si="219"/>
        <v>0</v>
      </c>
      <c r="DI65" s="510">
        <v>1</v>
      </c>
      <c r="DJ65" s="369" t="s">
        <v>17</v>
      </c>
      <c r="DK65" s="25">
        <f t="shared" ca="1" si="254"/>
        <v>135</v>
      </c>
      <c r="DL65" s="27">
        <f t="shared" ca="1" si="79"/>
        <v>135</v>
      </c>
      <c r="DM65" s="287">
        <f t="shared" ca="1" si="220"/>
        <v>1</v>
      </c>
      <c r="DN65" s="291">
        <f t="shared" si="251"/>
        <v>128</v>
      </c>
      <c r="DO65" s="287">
        <f t="shared" ca="1" si="221"/>
        <v>0.94814814814814818</v>
      </c>
      <c r="DP65" s="27">
        <f t="shared" si="222"/>
        <v>90</v>
      </c>
      <c r="DQ65" s="130">
        <f t="shared" ca="1" si="223"/>
        <v>0.66666666666666663</v>
      </c>
      <c r="DR65"/>
      <c r="DS65" s="508"/>
    </row>
    <row r="66" spans="1:131" s="4" customFormat="1" ht="15" customHeight="1" x14ac:dyDescent="0.35">
      <c r="A66" s="4">
        <f>_xlfn.XLOOKUP(B66,'WHOLESALE BMW 2026'!$B$7:$B$67,'WHOLESALE BMW 2026'!$A$7:$A$67)</f>
        <v>10</v>
      </c>
      <c r="B66" s="8">
        <v>100819</v>
      </c>
      <c r="C66" s="369" t="s">
        <v>74</v>
      </c>
      <c r="D66" s="125"/>
      <c r="E66" s="309" t="s">
        <v>202</v>
      </c>
      <c r="F66" s="21">
        <f ca="1">SUMIF('UC BMW 2026'!B64:B140,'UC BMW 2026'!B64,'UC BMW 2026'!F64:F131)</f>
        <v>18</v>
      </c>
      <c r="G66" s="24">
        <f ca="1">SUMIF('UC BMW 2026'!$B$5:$B$77,'UC BMW 2026'!B64,'UC BMW 2026'!$G$5:$G$72)</f>
        <v>14</v>
      </c>
      <c r="H66" s="24">
        <f>IFERROR(VLOOKUP(B66,[2]BPS!$B$10:$O$64,3,0),0)-IF(B66=100873,IFERROR(VLOOKUP("Enero",[2]BPS!$B$74:$C$89,2,0),0),0)</f>
        <v>10</v>
      </c>
      <c r="I66" s="285">
        <f t="shared" ca="1" si="252"/>
        <v>0.7142857142857143</v>
      </c>
      <c r="J66" s="380">
        <f>IFERROR(VLOOKUP(B66,'[2]RETAIL ORIGEN RMKT'!$B$11:$O$62,3,0),0)</f>
        <v>10</v>
      </c>
      <c r="K66" s="127">
        <f t="shared" ca="1" si="253"/>
        <v>0.55555555555555558</v>
      </c>
      <c r="L66" s="21">
        <f ca="1">SUMIF('UC BMW 2026'!$B$5:$B$77,'UC BMW 2026'!$B64,'UC BMW 2026'!$H$5:$H$72)</f>
        <v>18</v>
      </c>
      <c r="M66" s="24">
        <f ca="1">SUMIF('UC BMW 2026'!$B$5:$B$77,'UC BMW 2026'!$B64,'UC BMW 2026'!$I$5:$I$72)</f>
        <v>21</v>
      </c>
      <c r="N66" s="24">
        <f>IFERROR(VLOOKUP(B66,[2]BPS!$B$10:$O$64,4,0),0)-IF(B66=100873,IFERROR(VLOOKUP("Febrero",[2]BPS!$B$74:$C$89,2,0),0),0)</f>
        <v>15</v>
      </c>
      <c r="O66" s="285">
        <f t="shared" ca="1" si="203"/>
        <v>0.7142857142857143</v>
      </c>
      <c r="P66" s="380">
        <f>IFERROR(VLOOKUP(B66,'[2]RETAIL ORIGEN RMKT'!$B$11:$O$62,4,0),0)</f>
        <v>18</v>
      </c>
      <c r="Q66" s="127">
        <f t="shared" ca="1" si="204"/>
        <v>1</v>
      </c>
      <c r="R66" s="21">
        <f ca="1">SUMIF('UC BMW 2026'!$B$5:$B$77,'UC BMW 2026'!$B64,'UC BMW 2026'!$J$5:$J$72)</f>
        <v>18</v>
      </c>
      <c r="S66" s="24">
        <f ca="1">SUMIF('UC BMW 2026'!$B$5:$B$77,'UC BMW 2026'!$B64,'UC BMW 2026'!$K$5:$K$72)</f>
        <v>19</v>
      </c>
      <c r="T66" s="24">
        <f>IFERROR(VLOOKUP(B66,[2]BPS!$B$10:$O$64,5,0),0)-IF(B66=100873,IFERROR(VLOOKUP("Marzo",[2]BPS!$B$74:$C$89,2,0),0),0)</f>
        <v>16</v>
      </c>
      <c r="U66" s="285">
        <f t="shared" ca="1" si="224"/>
        <v>0.84210526315789469</v>
      </c>
      <c r="V66" s="380">
        <f>IFERROR(VLOOKUP(B66,'[2]RETAIL ORIGEN RMKT'!$B$11:$O$62,5,0),0)</f>
        <v>16</v>
      </c>
      <c r="W66" s="127">
        <f t="shared" ca="1" si="225"/>
        <v>0.88888888888888884</v>
      </c>
      <c r="X66" s="21">
        <f ca="1">SUMIF('UC BMW 2026'!$B$5:$B$77,'UC BMW 2026'!$B64,'UC BMW 2026'!$L$5:$L$72)</f>
        <v>18</v>
      </c>
      <c r="Y66" s="24">
        <f ca="1">SUMIF('UC BMW 2026'!$B$5:$B$77,'UC BMW 2026'!$B64,'UC BMW 2026'!$M$5:$M$72)</f>
        <v>18</v>
      </c>
      <c r="Z66" s="24">
        <f>IFERROR(VLOOKUP(B66,[2]BPS!$B$10:$O$64,6,0),0)-IF(B66=100873,IFERROR(VLOOKUP("Abril",[2]BPS!$B$74:$C$89,2,0),0),0)</f>
        <v>18</v>
      </c>
      <c r="AA66" s="285">
        <f t="shared" ca="1" si="226"/>
        <v>1</v>
      </c>
      <c r="AB66" s="380">
        <f>IFERROR(VLOOKUP(B66,'[2]RETAIL ORIGEN RMKT'!$B$11:$O$62,6,0),0)</f>
        <v>13</v>
      </c>
      <c r="AC66" s="127">
        <f t="shared" ca="1" si="227"/>
        <v>0.72222222222222221</v>
      </c>
      <c r="AD66" s="21">
        <f ca="1">SUMIF('UC BMW 2026'!$B$5:$B$77,'UC BMW 2026'!$B64,'UC BMW 2026'!$N$5:$N$72)</f>
        <v>19</v>
      </c>
      <c r="AE66" s="24">
        <f ca="1">SUMIF('UC BMW 2026'!$B$5:$B$77,'UC BMW 2026'!$B64,'UC BMW 2026'!$O$5:$O$72)</f>
        <v>15</v>
      </c>
      <c r="AF66" s="24">
        <f>IFERROR(VLOOKUP(B66,[2]BPS!$B$10:$O$64,7,0),0)-IF(B66=100873,IFERROR(VLOOKUP("Mayo",[2]BPS!$B$74:$C$89,2,0),0),0)</f>
        <v>15</v>
      </c>
      <c r="AG66" s="285">
        <f t="shared" ca="1" si="228"/>
        <v>1</v>
      </c>
      <c r="AH66" s="380">
        <f>IFERROR(VLOOKUP(B66,'[2]RETAIL ORIGEN RMKT'!$B$11:$O$62,7,0),0)</f>
        <v>15</v>
      </c>
      <c r="AI66" s="127">
        <f t="shared" ca="1" si="229"/>
        <v>0.78947368421052633</v>
      </c>
      <c r="AJ66" s="21">
        <f ca="1">SUMIF('UC BMW 2026'!$B$5:$B$77,'UC BMW 2026'!$B64,'UC BMW 2026'!$P$5:$P$72)</f>
        <v>19</v>
      </c>
      <c r="AK66" s="24">
        <f ca="1">SUMIF('UC BMW 2026'!$B$5:$B$77,'UC BMW 2026'!$B64,'UC BMW 2026'!$Q$5:$Q$72)</f>
        <v>16</v>
      </c>
      <c r="AL66" s="24">
        <f>IFERROR(VLOOKUP(B66,[2]BPS!$B$10:$O$64,8,0),0)-IF(B66=100873,IFERROR(VLOOKUP("Junio",[2]BPS!$B$74:$C$89,2,0),0),0)</f>
        <v>15</v>
      </c>
      <c r="AM66" s="285">
        <f t="shared" ca="1" si="230"/>
        <v>0.9375</v>
      </c>
      <c r="AN66" s="380">
        <f>IFERROR(VLOOKUP(B66,'[2]RETAIL ORIGEN RMKT'!$B$11:$O$62,8,0),0)</f>
        <v>15</v>
      </c>
      <c r="AO66" s="127">
        <f t="shared" ca="1" si="231"/>
        <v>0.78947368421052633</v>
      </c>
      <c r="AP66" s="21">
        <f ca="1">SUMIF('UC BMW 2026'!$B$5:$B$77,'UC BMW 2026'!$B64,'UC BMW 2026'!$R$5:$R$72)</f>
        <v>0</v>
      </c>
      <c r="AQ66" s="24">
        <f ca="1">SUMIF('UC BMW 2026'!$B$5:$B$77,'UC BMW 2026'!$B64,'UC BMW 2026'!$S$5:$S$72)</f>
        <v>0</v>
      </c>
      <c r="AR66" s="24">
        <f>IFERROR(VLOOKUP(B66,[2]BPS!$B$10:$O$64,9,0),0)-IF(B66=100873,IFERROR(VLOOKUP("Julio",[2]BPS!$B$74:$C$89,2,0),0),0)</f>
        <v>0</v>
      </c>
      <c r="AS66" s="285">
        <f t="shared" ca="1" si="232"/>
        <v>0</v>
      </c>
      <c r="AT66" s="380">
        <f>IFERROR(VLOOKUP(B66,'[2]RETAIL ORIGEN RMKT'!$B$11:$O$62,9,0),0)</f>
        <v>0</v>
      </c>
      <c r="AU66" s="127">
        <f t="shared" ca="1" si="233"/>
        <v>0</v>
      </c>
      <c r="AV66" s="21">
        <f ca="1">SUMIF('UC BMW 2026'!$B$5:$B$77,'UC BMW 2026'!$B64,'UC BMW 2026'!$T$5:$T$72)</f>
        <v>0</v>
      </c>
      <c r="AW66" s="24">
        <f ca="1">SUMIF('UC BMW 2026'!$B$5:$B$77,'UC BMW 2026'!$B64,'UC BMW 2026'!$U$5:$U$72)</f>
        <v>0</v>
      </c>
      <c r="AX66" s="24">
        <f>IFERROR(VLOOKUP(B66,[2]BPS!$B$10:$O$64,10,0),0)-IF(B66=100873,IFERROR(VLOOKUP("Agosto",[2]BPS!$B$74:$C$89,2,0),0),0)</f>
        <v>0</v>
      </c>
      <c r="AY66" s="285">
        <f t="shared" ca="1" si="234"/>
        <v>0</v>
      </c>
      <c r="AZ66" s="380">
        <f>IFERROR(VLOOKUP(B66,'[2]RETAIL ORIGEN RMKT'!$B$11:$O$62,10,0),0)</f>
        <v>0</v>
      </c>
      <c r="BA66" s="127">
        <f t="shared" ca="1" si="235"/>
        <v>0</v>
      </c>
      <c r="BB66" s="21">
        <f ca="1">SUMIF('UC BMW 2026'!$B$5:$B$77,'UC BMW 2026'!$B64,'UC BMW 2026'!$V$5:$V$72)</f>
        <v>0</v>
      </c>
      <c r="BC66" s="24">
        <f>SUMIF('UC BMW 2026'!$B$5:$B$77,'UC BMW 2026'!$B64,'UC BMW 2026'!$W$5:$W$77)</f>
        <v>0</v>
      </c>
      <c r="BD66" s="24">
        <f>IFERROR(VLOOKUP(B66,[2]BPS!$B$10:$O$64,11,0),0)-IF(B66=100873,IFERROR(VLOOKUP("Septiembre",[2]BPS!$B$74:$C$89,2,0),0),0)</f>
        <v>0</v>
      </c>
      <c r="BE66" s="285">
        <f t="shared" si="236"/>
        <v>0</v>
      </c>
      <c r="BF66" s="380">
        <f>IFERROR(VLOOKUP(B66,'[2]RETAIL ORIGEN RMKT'!$B$11:$O$62,11,0),0)</f>
        <v>0</v>
      </c>
      <c r="BG66" s="127">
        <f t="shared" ca="1" si="237"/>
        <v>0</v>
      </c>
      <c r="BH66" s="21">
        <f>SUMIF('UC BMW 2026'!$B$5:$B$77,'UC BMW 2026'!$B64,'UC BMW 2026'!$X$5:$X$77)</f>
        <v>0</v>
      </c>
      <c r="BI66" s="24">
        <f>SUMIF('UC BMW 2026'!$B$5:$B$77,'UC BMW 2026'!$B64,'UC BMW 2026'!$Y$5:$Y$77)</f>
        <v>0</v>
      </c>
      <c r="BJ66" s="24">
        <f>IFERROR(VLOOKUP(B66,[2]BPS!$B$10:$O$64,12,0),0)-IF(B66=100873,IFERROR(VLOOKUP("Octubre",[2]BPS!$B$74:$C$89,2,0),0),0)</f>
        <v>0</v>
      </c>
      <c r="BK66" s="285">
        <f t="shared" si="238"/>
        <v>0</v>
      </c>
      <c r="BL66" s="380">
        <f>IFERROR(VLOOKUP(B66,'[2]RETAIL ORIGEN RMKT'!$B$11:$O$62,12,0),0)</f>
        <v>0</v>
      </c>
      <c r="BM66" s="127">
        <f t="shared" si="239"/>
        <v>0</v>
      </c>
      <c r="BN66" s="21">
        <f>SUMIF('UC BMW 2026'!$B$5:$B$77,'UC BMW 2026'!$B64,'UC BMW 2026'!$Z$5:$Z$77)</f>
        <v>0</v>
      </c>
      <c r="BO66" s="24">
        <f>SUMIF('UC BMW 2026'!$B$5:$B$77,'UC BMW 2026'!$B64,'UC BMW 2026'!$AA$5:$AA$77)</f>
        <v>0</v>
      </c>
      <c r="BP66" s="24">
        <f>IFERROR(VLOOKUP(B66,[2]BPS!$B$10:$O$64,13,0),0)-IF(B66=100873,IFERROR(VLOOKUP("Noviembre",[2]BPS!$B$74:$C$89,2,0),0),0)</f>
        <v>0</v>
      </c>
      <c r="BQ66" s="285">
        <f t="shared" si="240"/>
        <v>0</v>
      </c>
      <c r="BR66" s="380">
        <f>IFERROR(VLOOKUP(B66,'[2]RETAIL ORIGEN RMKT'!$B$11:$O$62,13,0),0)</f>
        <v>0</v>
      </c>
      <c r="BS66" s="127">
        <f t="shared" si="241"/>
        <v>0</v>
      </c>
      <c r="BT66" s="21">
        <f>SUMIF('UC BMW 2026'!$B$5:$B$77,'UC BMW 2026'!$B64,'UC BMW 2026'!$AB$5:$AB$77)</f>
        <v>0</v>
      </c>
      <c r="BU66" s="24">
        <f>SUMIF('UC BMW 2026'!$B$5:$B$77,'UC BMW 2026'!$B64,'UC BMW 2026'!$AC$5:$AC$77)</f>
        <v>0</v>
      </c>
      <c r="BV66" s="24">
        <f>IFERROR(VLOOKUP(B66,[2]BPS!$B$10:$O$64,13,0),0)-IF(B66=100873,IFERROR(VLOOKUP("Diciembre",[2]BPS!$B$74:$C$89,2,0),0),0)</f>
        <v>0</v>
      </c>
      <c r="BW66" s="285">
        <f t="shared" si="242"/>
        <v>0</v>
      </c>
      <c r="BX66" s="380">
        <f>IFERROR(VLOOKUP(B66,'[2]RETAIL ORIGEN RMKT'!$B$11:$O$62,14,0),0)</f>
        <v>0</v>
      </c>
      <c r="BY66" s="127">
        <f t="shared" si="243"/>
        <v>0</v>
      </c>
      <c r="BZ66" s="25">
        <f t="shared" ca="1" si="255"/>
        <v>110</v>
      </c>
      <c r="CA66" s="27">
        <f t="shared" ca="1" si="255"/>
        <v>103</v>
      </c>
      <c r="CB66" s="287">
        <f t="shared" ca="1" si="205"/>
        <v>0.9363636363636364</v>
      </c>
      <c r="CC66" s="291">
        <f t="shared" si="256"/>
        <v>89</v>
      </c>
      <c r="CD66" s="287">
        <f t="shared" ca="1" si="257"/>
        <v>0.86407766990291257</v>
      </c>
      <c r="CE66" s="24">
        <f t="shared" si="258"/>
        <v>87</v>
      </c>
      <c r="CF66" s="129">
        <f t="shared" ca="1" si="206"/>
        <v>0.79090909090909089</v>
      </c>
      <c r="CG66" s="25">
        <f t="shared" ca="1" si="259"/>
        <v>110</v>
      </c>
      <c r="CH66" s="27">
        <f t="shared" ca="1" si="260"/>
        <v>103</v>
      </c>
      <c r="CI66" s="287">
        <f t="shared" ca="1" si="207"/>
        <v>0.9363636363636364</v>
      </c>
      <c r="CJ66" s="291">
        <f t="shared" si="261"/>
        <v>89</v>
      </c>
      <c r="CK66" s="287">
        <f t="shared" ca="1" si="262"/>
        <v>0.86407766990291257</v>
      </c>
      <c r="CL66" s="27">
        <f t="shared" si="263"/>
        <v>87</v>
      </c>
      <c r="CM66" s="129">
        <f t="shared" ca="1" si="208"/>
        <v>0.79090909090909089</v>
      </c>
      <c r="CN66" s="25">
        <f t="shared" ca="1" si="264"/>
        <v>54</v>
      </c>
      <c r="CO66" s="27">
        <f t="shared" ca="1" si="264"/>
        <v>54</v>
      </c>
      <c r="CP66" s="287">
        <f t="shared" ca="1" si="209"/>
        <v>1</v>
      </c>
      <c r="CQ66" s="291">
        <f t="shared" si="265"/>
        <v>41</v>
      </c>
      <c r="CR66" s="287">
        <f t="shared" ca="1" si="210"/>
        <v>0.7592592592592593</v>
      </c>
      <c r="CS66" s="27">
        <f t="shared" si="211"/>
        <v>0</v>
      </c>
      <c r="CT66" s="129">
        <f t="shared" ca="1" si="212"/>
        <v>0</v>
      </c>
      <c r="CU66" s="25">
        <f t="shared" ca="1" si="78"/>
        <v>110</v>
      </c>
      <c r="CV66" s="27">
        <f t="shared" ca="1" si="78"/>
        <v>103</v>
      </c>
      <c r="CW66" s="287">
        <f t="shared" ca="1" si="213"/>
        <v>0.9363636363636364</v>
      </c>
      <c r="CX66" s="27">
        <f t="shared" si="250"/>
        <v>89</v>
      </c>
      <c r="CY66" s="287">
        <f t="shared" ca="1" si="214"/>
        <v>0.86407766990291257</v>
      </c>
      <c r="CZ66" s="27">
        <f t="shared" si="215"/>
        <v>87</v>
      </c>
      <c r="DA66" s="130">
        <f t="shared" ca="1" si="216"/>
        <v>0.79090909090909089</v>
      </c>
      <c r="DB66" s="25">
        <f t="shared" ca="1" si="266"/>
        <v>0</v>
      </c>
      <c r="DC66" s="27">
        <f t="shared" ca="1" si="266"/>
        <v>0</v>
      </c>
      <c r="DD66" s="287">
        <f t="shared" ca="1" si="217"/>
        <v>0</v>
      </c>
      <c r="DE66" s="27">
        <f t="shared" si="267"/>
        <v>0</v>
      </c>
      <c r="DF66" s="287" t="str">
        <f t="shared" ca="1" si="218"/>
        <v>N.D.</v>
      </c>
      <c r="DG66" s="27">
        <f t="shared" si="268"/>
        <v>0</v>
      </c>
      <c r="DH66" s="130">
        <f t="shared" ca="1" si="219"/>
        <v>0</v>
      </c>
      <c r="DI66" s="510">
        <v>1</v>
      </c>
      <c r="DJ66" s="369" t="s">
        <v>74</v>
      </c>
      <c r="DK66" s="25">
        <f t="shared" ca="1" si="254"/>
        <v>110</v>
      </c>
      <c r="DL66" s="27">
        <f t="shared" ca="1" si="79"/>
        <v>103</v>
      </c>
      <c r="DM66" s="287">
        <f t="shared" ca="1" si="220"/>
        <v>0.9363636363636364</v>
      </c>
      <c r="DN66" s="291">
        <f t="shared" si="251"/>
        <v>89</v>
      </c>
      <c r="DO66" s="287">
        <f t="shared" ca="1" si="221"/>
        <v>0.86407766990291257</v>
      </c>
      <c r="DP66" s="27">
        <f t="shared" si="222"/>
        <v>87</v>
      </c>
      <c r="DQ66" s="130">
        <f t="shared" ca="1" si="223"/>
        <v>0.79090909090909089</v>
      </c>
      <c r="DR66"/>
      <c r="DS66" s="508"/>
    </row>
    <row r="67" spans="1:131" s="4" customFormat="1" ht="15" customHeight="1" thickBot="1" x14ac:dyDescent="0.4">
      <c r="A67" s="4">
        <f>_xlfn.XLOOKUP(B67,'WHOLESALE BMW 2026'!$B$7:$B$67,'WHOLESALE BMW 2026'!$A$7:$A$67)</f>
        <v>10</v>
      </c>
      <c r="B67" s="8">
        <v>100881</v>
      </c>
      <c r="C67" s="369" t="s">
        <v>163</v>
      </c>
      <c r="D67" s="125"/>
      <c r="E67" s="309" t="s">
        <v>164</v>
      </c>
      <c r="F67" s="21">
        <f ca="1">SUMIF('UC BMW 2026'!B65:B141,'UC BMW 2026'!B65,'UC BMW 2026'!F65:F132)</f>
        <v>26</v>
      </c>
      <c r="G67" s="24">
        <f ca="1">SUMIF('UC BMW 2026'!$B$5:$B$77,'UC BMW 2026'!B65,'UC BMW 2026'!$G$5:$G$72)</f>
        <v>17</v>
      </c>
      <c r="H67" s="24">
        <f>IFERROR(VLOOKUP(B67,[2]BPS!$B$10:$O$64,3,0),0)-IF(B67=100873,IFERROR(VLOOKUP("Enero",[2]BPS!$B$74:$C$89,2,0),0),0)</f>
        <v>17</v>
      </c>
      <c r="I67" s="286">
        <f t="shared" ca="1" si="252"/>
        <v>1</v>
      </c>
      <c r="J67" s="380">
        <f>IFERROR(VLOOKUP(B67,'[2]RETAIL ORIGEN RMKT'!$B$11:$O$62,3,0),0)</f>
        <v>6</v>
      </c>
      <c r="K67" s="127">
        <f t="shared" ca="1" si="253"/>
        <v>0.23076923076923078</v>
      </c>
      <c r="L67" s="21">
        <f ca="1">SUMIF('UC BMW 2026'!$B$5:$B$77,'UC BMW 2026'!$B65,'UC BMW 2026'!$H$5:$H$72)</f>
        <v>26</v>
      </c>
      <c r="M67" s="24">
        <f ca="1">SUMIF('UC BMW 2026'!$B$5:$B$77,'UC BMW 2026'!$B65,'UC BMW 2026'!$I$5:$I$72)</f>
        <v>19</v>
      </c>
      <c r="N67" s="24">
        <f>IFERROR(VLOOKUP(B67,[2]BPS!$B$10:$O$64,4,0),0)-IF(B67=100873,IFERROR(VLOOKUP("Febrero",[2]BPS!$B$74:$C$89,2,0),0),0)</f>
        <v>19</v>
      </c>
      <c r="O67" s="286">
        <f t="shared" ca="1" si="203"/>
        <v>1</v>
      </c>
      <c r="P67" s="380">
        <f>IFERROR(VLOOKUP(B67,'[2]RETAIL ORIGEN RMKT'!$B$11:$O$62,4,0),0)</f>
        <v>5</v>
      </c>
      <c r="Q67" s="127">
        <f t="shared" ca="1" si="204"/>
        <v>0.19230769230769232</v>
      </c>
      <c r="R67" s="21">
        <f ca="1">SUMIF('UC BMW 2026'!$B$5:$B$77,'UC BMW 2026'!$B65,'UC BMW 2026'!$J$5:$J$72)</f>
        <v>27</v>
      </c>
      <c r="S67" s="24">
        <f ca="1">SUMIF('UC BMW 2026'!$B$5:$B$77,'UC BMW 2026'!$B65,'UC BMW 2026'!$K$5:$K$72)</f>
        <v>32</v>
      </c>
      <c r="T67" s="24">
        <f>IFERROR(VLOOKUP(B67,[2]BPS!$B$10:$O$64,5,0),0)-IF(B67=100873,IFERROR(VLOOKUP("Marzo",[2]BPS!$B$74:$C$89,2,0),0),0)</f>
        <v>31</v>
      </c>
      <c r="U67" s="286">
        <f t="shared" ca="1" si="224"/>
        <v>0.96875</v>
      </c>
      <c r="V67" s="380">
        <f>IFERROR(VLOOKUP(B67,'[2]RETAIL ORIGEN RMKT'!$B$11:$O$62,5,0),0)</f>
        <v>11</v>
      </c>
      <c r="W67" s="127">
        <f t="shared" ca="1" si="225"/>
        <v>0.40740740740740738</v>
      </c>
      <c r="X67" s="21">
        <f ca="1">SUMIF('UC BMW 2026'!$B$5:$B$77,'UC BMW 2026'!$B65,'UC BMW 2026'!$L$5:$L$72)</f>
        <v>27</v>
      </c>
      <c r="Y67" s="24">
        <f ca="1">SUMIF('UC BMW 2026'!$B$5:$B$77,'UC BMW 2026'!$B65,'UC BMW 2026'!$M$5:$M$72)</f>
        <v>37</v>
      </c>
      <c r="Z67" s="24">
        <f>IFERROR(VLOOKUP(B67,[2]BPS!$B$10:$O$64,6,0),0)-IF(B67=100873,IFERROR(VLOOKUP("Abril",[2]BPS!$B$74:$C$89,2,0),0),0)</f>
        <v>37</v>
      </c>
      <c r="AA67" s="286">
        <f t="shared" ca="1" si="226"/>
        <v>1</v>
      </c>
      <c r="AB67" s="380">
        <f>IFERROR(VLOOKUP(B67,'[2]RETAIL ORIGEN RMKT'!$B$11:$O$62,6,0),0)</f>
        <v>8</v>
      </c>
      <c r="AC67" s="127">
        <f t="shared" ca="1" si="227"/>
        <v>0.29629629629629628</v>
      </c>
      <c r="AD67" s="21">
        <f ca="1">SUMIF('UC BMW 2026'!$B$5:$B$77,'UC BMW 2026'!$B65,'UC BMW 2026'!$N$5:$N$72)</f>
        <v>27</v>
      </c>
      <c r="AE67" s="24">
        <f ca="1">SUMIF('UC BMW 2026'!$B$5:$B$77,'UC BMW 2026'!$B65,'UC BMW 2026'!$O$5:$O$72)</f>
        <v>28</v>
      </c>
      <c r="AF67" s="24">
        <f>IFERROR(VLOOKUP(B67,[2]BPS!$B$10:$O$64,7,0),0)-IF(B67=100873,IFERROR(VLOOKUP("Mayo",[2]BPS!$B$74:$C$89,2,0),0),0)</f>
        <v>27</v>
      </c>
      <c r="AG67" s="286">
        <f t="shared" ca="1" si="228"/>
        <v>0.9642857142857143</v>
      </c>
      <c r="AH67" s="380">
        <f>IFERROR(VLOOKUP(B67,'[2]RETAIL ORIGEN RMKT'!$B$11:$O$62,7,0),0)</f>
        <v>9</v>
      </c>
      <c r="AI67" s="127">
        <f t="shared" ca="1" si="229"/>
        <v>0.33333333333333331</v>
      </c>
      <c r="AJ67" s="21">
        <f ca="1">SUMIF('UC BMW 2026'!$B$5:$B$77,'UC BMW 2026'!$B65,'UC BMW 2026'!$P$5:$P$72)</f>
        <v>27</v>
      </c>
      <c r="AK67" s="24">
        <f ca="1">SUMIF('UC BMW 2026'!$B$5:$B$77,'UC BMW 2026'!$B65,'UC BMW 2026'!$Q$5:$Q$72)</f>
        <v>35</v>
      </c>
      <c r="AL67" s="24">
        <f>IFERROR(VLOOKUP(B67,[2]BPS!$B$10:$O$64,8,0),0)-IF(B67=100873,IFERROR(VLOOKUP("Junio",[2]BPS!$B$74:$C$89,2,0),0),0)</f>
        <v>35</v>
      </c>
      <c r="AM67" s="286">
        <f t="shared" ca="1" si="230"/>
        <v>1</v>
      </c>
      <c r="AN67" s="380">
        <f>IFERROR(VLOOKUP(B67,'[2]RETAIL ORIGEN RMKT'!$B$11:$O$62,8,0),0)</f>
        <v>13</v>
      </c>
      <c r="AO67" s="127">
        <f t="shared" ca="1" si="231"/>
        <v>0.48148148148148145</v>
      </c>
      <c r="AP67" s="21">
        <f ca="1">SUMIF('UC BMW 2026'!$B$5:$B$77,'UC BMW 2026'!$B65,'UC BMW 2026'!$R$5:$R$72)</f>
        <v>0</v>
      </c>
      <c r="AQ67" s="24">
        <f ca="1">SUMIF('UC BMW 2026'!$B$5:$B$77,'UC BMW 2026'!$B65,'UC BMW 2026'!$S$5:$S$72)</f>
        <v>0</v>
      </c>
      <c r="AR67" s="24">
        <f>IFERROR(VLOOKUP(B67,[2]BPS!$B$10:$O$64,9,0),0)-IF(B67=100873,IFERROR(VLOOKUP("Julio",[2]BPS!$B$74:$C$89,2,0),0),0)</f>
        <v>0</v>
      </c>
      <c r="AS67" s="286">
        <f t="shared" ca="1" si="232"/>
        <v>0</v>
      </c>
      <c r="AT67" s="380">
        <f>IFERROR(VLOOKUP(B67,'[2]RETAIL ORIGEN RMKT'!$B$11:$O$62,9,0),0)</f>
        <v>0</v>
      </c>
      <c r="AU67" s="127">
        <f t="shared" ca="1" si="233"/>
        <v>0</v>
      </c>
      <c r="AV67" s="21">
        <f ca="1">SUMIF('UC BMW 2026'!$B$5:$B$77,'UC BMW 2026'!$B65,'UC BMW 2026'!$T$5:$T$72)</f>
        <v>0</v>
      </c>
      <c r="AW67" s="24">
        <f ca="1">SUMIF('UC BMW 2026'!$B$5:$B$77,'UC BMW 2026'!$B65,'UC BMW 2026'!$U$5:$U$72)</f>
        <v>0</v>
      </c>
      <c r="AX67" s="24">
        <f>IFERROR(VLOOKUP(B67,[2]BPS!$B$10:$O$64,10,0),0)-IF(B67=100873,IFERROR(VLOOKUP("Agosto",[2]BPS!$B$74:$C$89,2,0),0),0)</f>
        <v>0</v>
      </c>
      <c r="AY67" s="286">
        <f t="shared" ca="1" si="234"/>
        <v>0</v>
      </c>
      <c r="AZ67" s="380">
        <f>IFERROR(VLOOKUP(B67,'[2]RETAIL ORIGEN RMKT'!$B$11:$O$62,10,0),0)</f>
        <v>0</v>
      </c>
      <c r="BA67" s="127">
        <f t="shared" ca="1" si="235"/>
        <v>0</v>
      </c>
      <c r="BB67" s="21">
        <f ca="1">SUMIF('UC BMW 2026'!$B$5:$B$77,'UC BMW 2026'!$B65,'UC BMW 2026'!$V$5:$V$72)</f>
        <v>0</v>
      </c>
      <c r="BC67" s="24">
        <f>SUMIF('UC BMW 2026'!$B$5:$B$77,'UC BMW 2026'!$B65,'UC BMW 2026'!$W$5:$W$77)</f>
        <v>0</v>
      </c>
      <c r="BD67" s="24">
        <f>IFERROR(VLOOKUP(B67,[2]BPS!$B$10:$O$64,11,0),0)-IF(B67=100873,IFERROR(VLOOKUP("Septiembre",[2]BPS!$B$74:$C$89,2,0),0),0)</f>
        <v>0</v>
      </c>
      <c r="BE67" s="286">
        <f t="shared" si="236"/>
        <v>0</v>
      </c>
      <c r="BF67" s="380">
        <f>IFERROR(VLOOKUP(B67,'[2]RETAIL ORIGEN RMKT'!$B$11:$O$62,11,0),0)</f>
        <v>0</v>
      </c>
      <c r="BG67" s="127">
        <f t="shared" ca="1" si="237"/>
        <v>0</v>
      </c>
      <c r="BH67" s="21">
        <f>SUMIF('UC BMW 2026'!$B$5:$B$77,'UC BMW 2026'!$B65,'UC BMW 2026'!$X$5:$X$77)</f>
        <v>0</v>
      </c>
      <c r="BI67" s="24">
        <f>SUMIF('UC BMW 2026'!$B$5:$B$77,'UC BMW 2026'!$B65,'UC BMW 2026'!$Y$5:$Y$77)</f>
        <v>0</v>
      </c>
      <c r="BJ67" s="24">
        <f>IFERROR(VLOOKUP(B67,[2]BPS!$B$10:$O$64,12,0),0)-IF(B67=100873,IFERROR(VLOOKUP("Octubre",[2]BPS!$B$74:$C$89,2,0),0),0)</f>
        <v>0</v>
      </c>
      <c r="BK67" s="286">
        <f t="shared" si="238"/>
        <v>0</v>
      </c>
      <c r="BL67" s="380">
        <f>IFERROR(VLOOKUP(B67,'[2]RETAIL ORIGEN RMKT'!$B$11:$O$62,12,0),0)</f>
        <v>0</v>
      </c>
      <c r="BM67" s="127">
        <f t="shared" si="239"/>
        <v>0</v>
      </c>
      <c r="BN67" s="21">
        <f>SUMIF('UC BMW 2026'!$B$5:$B$77,'UC BMW 2026'!$B65,'UC BMW 2026'!$Z$5:$Z$77)</f>
        <v>0</v>
      </c>
      <c r="BO67" s="24">
        <f>SUMIF('UC BMW 2026'!$B$5:$B$77,'UC BMW 2026'!$B65,'UC BMW 2026'!$AA$5:$AA$77)</f>
        <v>0</v>
      </c>
      <c r="BP67" s="24">
        <f>IFERROR(VLOOKUP(B67,[2]BPS!$B$10:$O$64,13,0),0)-IF(B67=100873,IFERROR(VLOOKUP("Noviembre",[2]BPS!$B$74:$C$89,2,0),0),0)</f>
        <v>0</v>
      </c>
      <c r="BQ67" s="286">
        <f t="shared" si="240"/>
        <v>0</v>
      </c>
      <c r="BR67" s="380">
        <f>IFERROR(VLOOKUP(B67,'[2]RETAIL ORIGEN RMKT'!$B$11:$O$62,13,0),0)</f>
        <v>0</v>
      </c>
      <c r="BS67" s="127">
        <f t="shared" si="241"/>
        <v>0</v>
      </c>
      <c r="BT67" s="21">
        <f>SUMIF('UC BMW 2026'!$B$5:$B$77,'UC BMW 2026'!$B65,'UC BMW 2026'!$AB$5:$AB$77)</f>
        <v>0</v>
      </c>
      <c r="BU67" s="24">
        <f>SUMIF('UC BMW 2026'!$B$5:$B$77,'UC BMW 2026'!$B65,'UC BMW 2026'!$AC$5:$AC$77)</f>
        <v>0</v>
      </c>
      <c r="BV67" s="24">
        <f>IFERROR(VLOOKUP(B67,[2]BPS!$B$10:$O$64,13,0),0)-IF(B67=100873,IFERROR(VLOOKUP("Diciembre",[2]BPS!$B$74:$C$89,2,0),0),0)</f>
        <v>0</v>
      </c>
      <c r="BW67" s="286">
        <f t="shared" si="242"/>
        <v>0</v>
      </c>
      <c r="BX67" s="380">
        <f>IFERROR(VLOOKUP(B67,'[2]RETAIL ORIGEN RMKT'!$B$11:$O$62,14,0),0)</f>
        <v>0</v>
      </c>
      <c r="BY67" s="127">
        <f t="shared" si="243"/>
        <v>0</v>
      </c>
      <c r="BZ67" s="25">
        <f t="shared" ca="1" si="255"/>
        <v>160</v>
      </c>
      <c r="CA67" s="27">
        <f t="shared" ca="1" si="255"/>
        <v>168</v>
      </c>
      <c r="CB67" s="283">
        <f t="shared" ca="1" si="205"/>
        <v>1.05</v>
      </c>
      <c r="CC67" s="291">
        <f t="shared" si="256"/>
        <v>166</v>
      </c>
      <c r="CD67" s="283">
        <f t="shared" ca="1" si="257"/>
        <v>0.98809523809523814</v>
      </c>
      <c r="CE67" s="24">
        <f t="shared" si="258"/>
        <v>52</v>
      </c>
      <c r="CF67" s="129">
        <f t="shared" ca="1" si="206"/>
        <v>0.32500000000000001</v>
      </c>
      <c r="CG67" s="25">
        <f t="shared" ca="1" si="259"/>
        <v>160</v>
      </c>
      <c r="CH67" s="27">
        <f t="shared" ca="1" si="260"/>
        <v>168</v>
      </c>
      <c r="CI67" s="283">
        <f t="shared" ca="1" si="207"/>
        <v>1.05</v>
      </c>
      <c r="CJ67" s="292">
        <f t="shared" si="261"/>
        <v>166</v>
      </c>
      <c r="CK67" s="283">
        <f t="shared" ca="1" si="262"/>
        <v>0.98809523809523814</v>
      </c>
      <c r="CL67" s="27">
        <f t="shared" si="263"/>
        <v>52</v>
      </c>
      <c r="CM67" s="129">
        <f t="shared" ca="1" si="208"/>
        <v>0.32500000000000001</v>
      </c>
      <c r="CN67" s="25">
        <f t="shared" ca="1" si="264"/>
        <v>79</v>
      </c>
      <c r="CO67" s="27">
        <f t="shared" ca="1" si="264"/>
        <v>68</v>
      </c>
      <c r="CP67" s="283">
        <f t="shared" ca="1" si="209"/>
        <v>0.86075949367088611</v>
      </c>
      <c r="CQ67" s="292">
        <f t="shared" si="265"/>
        <v>67</v>
      </c>
      <c r="CR67" s="283">
        <f t="shared" ca="1" si="210"/>
        <v>0.98529411764705888</v>
      </c>
      <c r="CS67" s="27">
        <f t="shared" si="211"/>
        <v>0</v>
      </c>
      <c r="CT67" s="129">
        <f t="shared" ca="1" si="212"/>
        <v>0</v>
      </c>
      <c r="CU67" s="25">
        <f t="shared" ca="1" si="78"/>
        <v>160</v>
      </c>
      <c r="CV67" s="27">
        <f t="shared" ca="1" si="78"/>
        <v>168</v>
      </c>
      <c r="CW67" s="283">
        <f t="shared" ca="1" si="213"/>
        <v>1.05</v>
      </c>
      <c r="CX67" s="27">
        <f t="shared" si="250"/>
        <v>166</v>
      </c>
      <c r="CY67" s="283">
        <f t="shared" ca="1" si="214"/>
        <v>0.98809523809523814</v>
      </c>
      <c r="CZ67" s="27">
        <f t="shared" si="215"/>
        <v>52</v>
      </c>
      <c r="DA67" s="130">
        <f t="shared" ca="1" si="216"/>
        <v>0.32500000000000001</v>
      </c>
      <c r="DB67" s="25">
        <f t="shared" ca="1" si="266"/>
        <v>0</v>
      </c>
      <c r="DC67" s="27">
        <f t="shared" ca="1" si="266"/>
        <v>0</v>
      </c>
      <c r="DD67" s="283">
        <f t="shared" ca="1" si="217"/>
        <v>0</v>
      </c>
      <c r="DE67" s="27">
        <f t="shared" si="267"/>
        <v>0</v>
      </c>
      <c r="DF67" s="283" t="str">
        <f t="shared" ca="1" si="218"/>
        <v>N.D.</v>
      </c>
      <c r="DG67" s="27">
        <f t="shared" si="268"/>
        <v>0</v>
      </c>
      <c r="DH67" s="130">
        <f t="shared" ca="1" si="219"/>
        <v>0</v>
      </c>
      <c r="DI67" s="510">
        <v>1</v>
      </c>
      <c r="DJ67" s="369" t="s">
        <v>163</v>
      </c>
      <c r="DK67" s="25">
        <f t="shared" ca="1" si="254"/>
        <v>160</v>
      </c>
      <c r="DL67" s="27">
        <f t="shared" ca="1" si="79"/>
        <v>168</v>
      </c>
      <c r="DM67" s="283">
        <f t="shared" ca="1" si="220"/>
        <v>1.05</v>
      </c>
      <c r="DN67" s="291">
        <f t="shared" si="251"/>
        <v>166</v>
      </c>
      <c r="DO67" s="283">
        <f t="shared" ca="1" si="221"/>
        <v>0.98809523809523814</v>
      </c>
      <c r="DP67" s="27">
        <f t="shared" si="222"/>
        <v>52</v>
      </c>
      <c r="DQ67" s="130">
        <f t="shared" ca="1" si="223"/>
        <v>0.32500000000000001</v>
      </c>
      <c r="DR67"/>
      <c r="DS67" s="508"/>
    </row>
    <row r="68" spans="1:131" s="4" customFormat="1" ht="15" customHeight="1" thickBot="1" x14ac:dyDescent="0.4">
      <c r="B68" s="7" t="s">
        <v>272</v>
      </c>
      <c r="C68" s="28"/>
      <c r="D68" s="125"/>
      <c r="E68" s="7"/>
      <c r="F68" s="200">
        <f ca="1">SUM(F62:F67)</f>
        <v>121</v>
      </c>
      <c r="G68" s="410">
        <f ca="1">SUM(G62:G67)</f>
        <v>107</v>
      </c>
      <c r="H68" s="88">
        <f>SUM(H62:H67)</f>
        <v>98</v>
      </c>
      <c r="I68" s="413">
        <f t="shared" ca="1" si="252"/>
        <v>0.91588785046728971</v>
      </c>
      <c r="J68" s="414">
        <f>SUM(J62:J67)</f>
        <v>54</v>
      </c>
      <c r="K68" s="133">
        <f t="shared" ca="1" si="253"/>
        <v>0.4462809917355372</v>
      </c>
      <c r="L68" s="200">
        <f ca="1">SUM(L62:L67)</f>
        <v>121</v>
      </c>
      <c r="M68" s="410">
        <f ca="1">SUM(M62:M67)</f>
        <v>129</v>
      </c>
      <c r="N68" s="88">
        <f>SUM(N62:N67)</f>
        <v>121</v>
      </c>
      <c r="O68" s="413">
        <f t="shared" ca="1" si="203"/>
        <v>0.93798449612403101</v>
      </c>
      <c r="P68" s="414">
        <f>SUM(P62:P67)</f>
        <v>73</v>
      </c>
      <c r="Q68" s="133">
        <f t="shared" ca="1" si="204"/>
        <v>0.60330578512396693</v>
      </c>
      <c r="R68" s="200">
        <f ca="1">SUM(R62:R67)</f>
        <v>122</v>
      </c>
      <c r="S68" s="410">
        <f ca="1">SUM(S62:S67)</f>
        <v>142</v>
      </c>
      <c r="T68" s="88">
        <f>SUM(T62:T67)</f>
        <v>131</v>
      </c>
      <c r="U68" s="413">
        <f t="shared" ca="1" si="224"/>
        <v>0.92253521126760563</v>
      </c>
      <c r="V68" s="414">
        <f>SUM(V62:V67)</f>
        <v>79</v>
      </c>
      <c r="W68" s="133">
        <f t="shared" ca="1" si="225"/>
        <v>0.64754098360655743</v>
      </c>
      <c r="X68" s="200">
        <f ca="1">SUM(X62:X67)</f>
        <v>123</v>
      </c>
      <c r="Y68" s="410">
        <f ca="1">SUM(Y62:Y67)</f>
        <v>134</v>
      </c>
      <c r="Z68" s="88">
        <f>SUM(Z62:Z67)</f>
        <v>133</v>
      </c>
      <c r="AA68" s="413">
        <f t="shared" ca="1" si="226"/>
        <v>0.9925373134328358</v>
      </c>
      <c r="AB68" s="414">
        <f>SUM(AB62:AB67)</f>
        <v>68</v>
      </c>
      <c r="AC68" s="133">
        <f t="shared" ca="1" si="227"/>
        <v>0.55284552845528456</v>
      </c>
      <c r="AD68" s="200">
        <f ca="1">SUM(AD62:AD67)</f>
        <v>125</v>
      </c>
      <c r="AE68" s="410">
        <f ca="1">SUM(AE62:AE67)</f>
        <v>106</v>
      </c>
      <c r="AF68" s="88">
        <f>SUM(AF62:AF67)</f>
        <v>100</v>
      </c>
      <c r="AG68" s="413">
        <f t="shared" ca="1" si="228"/>
        <v>0.94339622641509435</v>
      </c>
      <c r="AH68" s="414">
        <f>SUM(AH62:AH67)</f>
        <v>56</v>
      </c>
      <c r="AI68" s="133">
        <f t="shared" ca="1" si="229"/>
        <v>0.44800000000000001</v>
      </c>
      <c r="AJ68" s="200">
        <f ca="1">SUM(AJ62:AJ67)</f>
        <v>125</v>
      </c>
      <c r="AK68" s="410">
        <f ca="1">SUM(AK62:AK67)</f>
        <v>118</v>
      </c>
      <c r="AL68" s="88">
        <f>SUM(AL62:AL67)</f>
        <v>117</v>
      </c>
      <c r="AM68" s="413">
        <f t="shared" ca="1" si="230"/>
        <v>0.99152542372881358</v>
      </c>
      <c r="AN68" s="414">
        <f>SUM(AN62:AN67)</f>
        <v>64</v>
      </c>
      <c r="AO68" s="133">
        <f t="shared" ca="1" si="231"/>
        <v>0.51200000000000001</v>
      </c>
      <c r="AP68" s="200">
        <f ca="1">SUM(AP62:AP67)</f>
        <v>0</v>
      </c>
      <c r="AQ68" s="410">
        <f ca="1">SUM(AQ62:AQ67)</f>
        <v>0</v>
      </c>
      <c r="AR68" s="88">
        <f>SUM(AR62:AR67)</f>
        <v>0</v>
      </c>
      <c r="AS68" s="413">
        <f t="shared" ca="1" si="232"/>
        <v>0</v>
      </c>
      <c r="AT68" s="414">
        <f>SUM(AT62:AT67)</f>
        <v>0</v>
      </c>
      <c r="AU68" s="133">
        <f t="shared" ca="1" si="233"/>
        <v>0</v>
      </c>
      <c r="AV68" s="200">
        <f ca="1">SUM(AV62:AV67)</f>
        <v>0</v>
      </c>
      <c r="AW68" s="410">
        <f ca="1">SUM(AW62:AW67)</f>
        <v>0</v>
      </c>
      <c r="AX68" s="88">
        <f>SUM(AX62:AX67)</f>
        <v>0</v>
      </c>
      <c r="AY68" s="413">
        <f t="shared" ca="1" si="234"/>
        <v>0</v>
      </c>
      <c r="AZ68" s="414">
        <f>SUM(AZ62:AZ67)</f>
        <v>0</v>
      </c>
      <c r="BA68" s="133">
        <f t="shared" ca="1" si="235"/>
        <v>0</v>
      </c>
      <c r="BB68" s="200">
        <f ca="1">SUM(BB62:BB67)</f>
        <v>0</v>
      </c>
      <c r="BC68" s="410">
        <f>SUM(BC62:BC67)</f>
        <v>0</v>
      </c>
      <c r="BD68" s="88">
        <f>SUM(BD62:BD67)</f>
        <v>0</v>
      </c>
      <c r="BE68" s="413">
        <f t="shared" si="236"/>
        <v>0</v>
      </c>
      <c r="BF68" s="414">
        <f>SUM(BF62:BF67)</f>
        <v>0</v>
      </c>
      <c r="BG68" s="133">
        <f t="shared" ca="1" si="237"/>
        <v>0</v>
      </c>
      <c r="BH68" s="200">
        <f>SUM(BH62:BH67)</f>
        <v>0</v>
      </c>
      <c r="BI68" s="410">
        <f>SUM(BI62:BI67)</f>
        <v>0</v>
      </c>
      <c r="BJ68" s="88">
        <f>SUM(BJ62:BJ67)</f>
        <v>0</v>
      </c>
      <c r="BK68" s="413">
        <f t="shared" si="238"/>
        <v>0</v>
      </c>
      <c r="BL68" s="414">
        <f>SUM(BL62:BL67)</f>
        <v>0</v>
      </c>
      <c r="BM68" s="133">
        <f t="shared" si="239"/>
        <v>0</v>
      </c>
      <c r="BN68" s="200">
        <f>SUM(BN62:BN67)</f>
        <v>0</v>
      </c>
      <c r="BO68" s="410">
        <f>SUM(BO62:BO67)</f>
        <v>0</v>
      </c>
      <c r="BP68" s="88">
        <f>SUM(BP62:BP67)</f>
        <v>0</v>
      </c>
      <c r="BQ68" s="413">
        <f t="shared" si="240"/>
        <v>0</v>
      </c>
      <c r="BR68" s="414">
        <f>SUM(BR62:BR67)</f>
        <v>0</v>
      </c>
      <c r="BS68" s="133">
        <f t="shared" si="241"/>
        <v>0</v>
      </c>
      <c r="BT68" s="200">
        <f>SUM(BT62:BT67)</f>
        <v>0</v>
      </c>
      <c r="BU68" s="410">
        <f>SUM(BU62:BU67)</f>
        <v>0</v>
      </c>
      <c r="BV68" s="88">
        <f>SUM(BV62:BV67)</f>
        <v>0</v>
      </c>
      <c r="BW68" s="413">
        <f t="shared" si="242"/>
        <v>0</v>
      </c>
      <c r="BX68" s="414">
        <f>SUM(BX62:BX67)</f>
        <v>0</v>
      </c>
      <c r="BY68" s="133">
        <f t="shared" si="243"/>
        <v>0</v>
      </c>
      <c r="BZ68" s="200">
        <f ca="1">SUM(BZ62:BZ67)</f>
        <v>737</v>
      </c>
      <c r="CA68" s="258">
        <f ca="1">SUM(CA62:CA67)</f>
        <v>736</v>
      </c>
      <c r="CB68" s="132">
        <f t="shared" ca="1" si="205"/>
        <v>0.99864314789687925</v>
      </c>
      <c r="CC68" s="278">
        <f>SUM(CC62:CC67)</f>
        <v>700</v>
      </c>
      <c r="CD68" s="352">
        <f ca="1">IF(CA68=0,"N.D.",CC68/CA68)</f>
        <v>0.95108695652173914</v>
      </c>
      <c r="CE68" s="278">
        <f>SUM(CE62:CE67)</f>
        <v>394</v>
      </c>
      <c r="CF68" s="132">
        <f t="shared" ca="1" si="206"/>
        <v>0.53459972862957938</v>
      </c>
      <c r="CG68" s="200">
        <f ca="1">SUM(CG62:CG67)</f>
        <v>737</v>
      </c>
      <c r="CH68" s="258">
        <f ca="1">SUM(CH62:CH67)</f>
        <v>736</v>
      </c>
      <c r="CI68" s="132">
        <f t="shared" ca="1" si="207"/>
        <v>0.99864314789687925</v>
      </c>
      <c r="CJ68" s="278">
        <f>SUM(CJ62:CJ67)</f>
        <v>700</v>
      </c>
      <c r="CK68" s="352">
        <f t="shared" ca="1" si="262"/>
        <v>0.95108695652173914</v>
      </c>
      <c r="CL68" s="258">
        <f>J68+P68+V68+AB68+AH68+AN68+AT68+AZ68+BF68+BL68+BR68+BX68</f>
        <v>394</v>
      </c>
      <c r="CM68" s="132">
        <f t="shared" ca="1" si="208"/>
        <v>0.53459972862957938</v>
      </c>
      <c r="CN68" s="200">
        <f ca="1">SUM(CN62:CN67)</f>
        <v>364</v>
      </c>
      <c r="CO68" s="258">
        <f ca="1">SUM(CO62:CO67)</f>
        <v>378</v>
      </c>
      <c r="CP68" s="132">
        <f t="shared" ca="1" si="209"/>
        <v>1.0384615384615385</v>
      </c>
      <c r="CQ68" s="278">
        <f>SUM(CQ62:CQ67)</f>
        <v>350</v>
      </c>
      <c r="CR68" s="352">
        <f t="shared" ca="1" si="210"/>
        <v>0.92592592592592593</v>
      </c>
      <c r="CS68" s="258">
        <f t="shared" si="211"/>
        <v>0</v>
      </c>
      <c r="CT68" s="132">
        <f t="shared" ca="1" si="212"/>
        <v>0</v>
      </c>
      <c r="CU68" s="200">
        <f ca="1">SUM(CU62:CU67)</f>
        <v>737</v>
      </c>
      <c r="CV68" s="258">
        <f ca="1">SUM(CV62:CV67)</f>
        <v>736</v>
      </c>
      <c r="CW68" s="132">
        <f t="shared" ca="1" si="213"/>
        <v>0.99864314789687925</v>
      </c>
      <c r="CX68" s="278">
        <f>IF($CU$5="S 1",H68+N68+T68+Z68+AF68++AL68,
IF($CU$5="S 2",AR68+AX68+BD68+BJ68+BP68+BV68,0))</f>
        <v>700</v>
      </c>
      <c r="CY68" s="352">
        <f t="shared" ca="1" si="214"/>
        <v>0.95108695652173914</v>
      </c>
      <c r="CZ68" s="258">
        <f>IF($CU$5="S 1",J68+P68+V68+AB68+AH68+AN68,
IF($CU$5="S 2",AT68+AZ68+BF68+BL68+BR68+BX68,0))</f>
        <v>394</v>
      </c>
      <c r="DA68" s="133">
        <f t="shared" ca="1" si="216"/>
        <v>0.53459972862957938</v>
      </c>
      <c r="DB68" s="200">
        <f ca="1">SUM(DB62:DB67)</f>
        <v>0</v>
      </c>
      <c r="DC68" s="258">
        <f ca="1">SUM(DC62:DC67)</f>
        <v>0</v>
      </c>
      <c r="DD68" s="132">
        <f t="shared" ca="1" si="217"/>
        <v>0</v>
      </c>
      <c r="DE68" s="278">
        <f>IFERROR(SUM(DE62:DE67),0)</f>
        <v>0</v>
      </c>
      <c r="DF68" s="352" t="str">
        <f t="shared" ca="1" si="218"/>
        <v>N.D.</v>
      </c>
      <c r="DG68" s="258">
        <f>IFERROR(SUM(DG62:DG67),0)</f>
        <v>0</v>
      </c>
      <c r="DH68" s="133">
        <f t="shared" ca="1" si="219"/>
        <v>0</v>
      </c>
      <c r="DI68" s="510"/>
      <c r="DJ68" s="2"/>
      <c r="DK68" s="200">
        <f t="shared" ca="1" si="254"/>
        <v>737</v>
      </c>
      <c r="DL68" s="258">
        <f t="shared" ca="1" si="79"/>
        <v>736</v>
      </c>
      <c r="DM68" s="132">
        <f t="shared" ca="1" si="220"/>
        <v>0.99864314789687925</v>
      </c>
      <c r="DN68" s="278">
        <f t="shared" si="251"/>
        <v>700</v>
      </c>
      <c r="DO68" s="352">
        <f t="shared" ca="1" si="221"/>
        <v>0.95108695652173914</v>
      </c>
      <c r="DP68" s="258">
        <f t="shared" si="222"/>
        <v>394</v>
      </c>
      <c r="DQ68" s="133">
        <f t="shared" ca="1" si="223"/>
        <v>0.53459972862957938</v>
      </c>
      <c r="DR68"/>
    </row>
    <row r="69" spans="1:131" s="4" customFormat="1" ht="15" customHeight="1" thickBot="1" x14ac:dyDescent="0.4">
      <c r="B69" s="8">
        <v>12345</v>
      </c>
      <c r="C69" s="369" t="s">
        <v>278</v>
      </c>
      <c r="D69" s="125"/>
      <c r="E69" s="309"/>
      <c r="F69" s="21">
        <f ca="1">SUMIF('UC BMW 2026'!B67:B143,'UC BMW 2026'!B67,'UC BMW 2026'!F67:F134)</f>
        <v>0</v>
      </c>
      <c r="G69" s="24">
        <f ca="1">SUMIF('UC BMW 2026'!$B$5:$B$77,'UC BMW 2026'!B67,'UC BMW 2026'!$G$5:$G$72)</f>
        <v>22</v>
      </c>
      <c r="H69" s="22">
        <f>IFERROR(VLOOKUP("Enero",[2]BPS!$B$74:$C$89,2,0),0)</f>
        <v>22</v>
      </c>
      <c r="I69" s="285">
        <f t="shared" ca="1" si="252"/>
        <v>1</v>
      </c>
      <c r="J69" s="2">
        <f>IFERROR(VLOOKUP("Enero",'[2]RETAIL ORIGEN RMKT'!$B$72:$C$87,2,0),0)</f>
        <v>22</v>
      </c>
      <c r="K69" s="127">
        <f t="shared" ca="1" si="253"/>
        <v>0</v>
      </c>
      <c r="L69" s="21">
        <f ca="1">SUMIF('UC BMW 2026'!$B$5:$B$77,'UC BMW 2026'!$B67,'UC BMW 2026'!$H$5:$H$72)</f>
        <v>0</v>
      </c>
      <c r="M69" s="24">
        <f ca="1">SUMIF('UC BMW 2026'!$B$5:$B$77,'UC BMW 2026'!$B67,'UC BMW 2026'!$I$5:$I$72)</f>
        <v>24</v>
      </c>
      <c r="N69" s="22">
        <f>IFERROR(VLOOKUP("Febrero",[2]BPS!$B$74:$C$89,2,0),0)</f>
        <v>23</v>
      </c>
      <c r="O69" s="285">
        <f t="shared" ca="1" si="203"/>
        <v>0.95833333333333337</v>
      </c>
      <c r="P69" s="380">
        <f>IFERROR(VLOOKUP("Febrero",'[2]RETAIL ORIGEN RMKT'!$B$72:$C$87,2,0),0)</f>
        <v>24</v>
      </c>
      <c r="Q69" s="127">
        <f t="shared" ca="1" si="204"/>
        <v>0</v>
      </c>
      <c r="R69" s="21">
        <f ca="1">SUMIF('UC BMW 2026'!$B$5:$B$77,'UC BMW 2026'!$B67,'UC BMW 2026'!$J$5:$J$72)</f>
        <v>0</v>
      </c>
      <c r="S69" s="24">
        <f ca="1">SUMIF('UC BMW 2026'!$B$5:$B$77,'UC BMW 2026'!$B67,'UC BMW 2026'!$K$5:$K$72)</f>
        <v>27</v>
      </c>
      <c r="T69" s="22">
        <f>IFERROR(VLOOKUP("Marzo",[2]BPS!$B$74:$C$89,2,0),0)</f>
        <v>27</v>
      </c>
      <c r="U69" s="286">
        <f t="shared" ca="1" si="224"/>
        <v>1</v>
      </c>
      <c r="V69" s="380">
        <f>IFERROR(VLOOKUP("Marzo",'[2]RETAIL ORIGEN RMKT'!$B$72:$C$87,2,0),0)</f>
        <v>27</v>
      </c>
      <c r="W69" s="127">
        <f t="shared" ca="1" si="225"/>
        <v>0</v>
      </c>
      <c r="X69" s="21">
        <f ca="1">SUMIF('UC BMW 2026'!$B$5:$B$77,'UC BMW 2026'!$B67,'UC BMW 2026'!$L$5:$L$72)</f>
        <v>0</v>
      </c>
      <c r="Y69" s="24">
        <f ca="1">SUMIF('UC BMW 2026'!$B$5:$B$77,'UC BMW 2026'!$B67,'UC BMW 2026'!$M$5:$M$72)</f>
        <v>26</v>
      </c>
      <c r="Z69" s="22">
        <f>IFERROR(VLOOKUP("Abril",[2]BPS!$B$74:$C$89,2,0),0)</f>
        <v>26</v>
      </c>
      <c r="AA69" s="286">
        <f t="shared" ca="1" si="226"/>
        <v>1</v>
      </c>
      <c r="AB69" s="380">
        <f>IFERROR(VLOOKUP("Abril",'[2]RETAIL ORIGEN RMKT'!$B$72:$C$87,2,0),0)</f>
        <v>26</v>
      </c>
      <c r="AC69" s="127">
        <f t="shared" ca="1" si="227"/>
        <v>0</v>
      </c>
      <c r="AD69" s="21">
        <f ca="1">SUMIF('UC BMW 2026'!$B$5:$B$77,'UC BMW 2026'!$B67,'UC BMW 2026'!$N$5:$N$72)</f>
        <v>0</v>
      </c>
      <c r="AE69" s="24">
        <f ca="1">SUMIF('UC BMW 2026'!$B$5:$B$77,'UC BMW 2026'!$B67,'UC BMW 2026'!$O$5:$O$72)</f>
        <v>21</v>
      </c>
      <c r="AF69" s="22">
        <f>IFERROR(VLOOKUP("Mayo",[2]BPS!$B$74:$C$89,2,0),0)</f>
        <v>20</v>
      </c>
      <c r="AG69" s="286">
        <f t="shared" ca="1" si="228"/>
        <v>0.95238095238095233</v>
      </c>
      <c r="AH69" s="380">
        <f>IFERROR(VLOOKUP("Mayo",'[2]RETAIL ORIGEN RMKT'!$B$72:$C$87,2,0),0)</f>
        <v>21</v>
      </c>
      <c r="AI69" s="127">
        <f t="shared" ca="1" si="229"/>
        <v>0</v>
      </c>
      <c r="AJ69" s="21">
        <f ca="1">SUMIF('UC BMW 2026'!$B$5:$B$77,'UC BMW 2026'!$B67,'UC BMW 2026'!$P$5:$P$72)</f>
        <v>0</v>
      </c>
      <c r="AK69" s="24">
        <f ca="1">SUMIF('UC BMW 2026'!$B$5:$B$77,'UC BMW 2026'!$B67,'UC BMW 2026'!$Q$5:$Q$72)</f>
        <v>19</v>
      </c>
      <c r="AL69" s="22">
        <f>IFERROR(VLOOKUP("Junio",[2]BPS!$B$74:$C$89,2,0),0)</f>
        <v>19</v>
      </c>
      <c r="AM69" s="286">
        <f t="shared" ca="1" si="230"/>
        <v>1</v>
      </c>
      <c r="AN69" s="380">
        <f>IFERROR(VLOOKUP("Junio",'[2]RETAIL ORIGEN RMKT'!$B$72:$C$87,2,0),0)</f>
        <v>19</v>
      </c>
      <c r="AO69" s="127">
        <f t="shared" ca="1" si="231"/>
        <v>0</v>
      </c>
      <c r="AP69" s="21"/>
      <c r="AQ69" s="24"/>
      <c r="AR69" s="22">
        <f>IFERROR(VLOOKUP("Julio",[2]BPS!$B$74:$C$89,2,0),0)</f>
        <v>0</v>
      </c>
      <c r="AS69" s="286">
        <f t="shared" si="232"/>
        <v>0</v>
      </c>
      <c r="AT69" s="380">
        <f>IFERROR(VLOOKUP("Julio",'[2]RETAIL ORIGEN RMKT'!$B$72:$C$87,2,0),0)</f>
        <v>0</v>
      </c>
      <c r="AU69" s="127">
        <f t="shared" si="233"/>
        <v>0</v>
      </c>
      <c r="AV69" s="21"/>
      <c r="AW69" s="24"/>
      <c r="AX69" s="22">
        <f>IFERROR(VLOOKUP("Agosto",[2]BPS!$B$74:$C$89,2,0),0)</f>
        <v>0</v>
      </c>
      <c r="AY69" s="286">
        <f t="shared" si="234"/>
        <v>0</v>
      </c>
      <c r="AZ69" s="380">
        <f>IFERROR(VLOOKUP("Agosto",'[2]RETAIL ORIGEN RMKT'!$B$72:$C$87,2,0),0)</f>
        <v>0</v>
      </c>
      <c r="BA69" s="127">
        <f t="shared" si="235"/>
        <v>0</v>
      </c>
      <c r="BB69" s="21"/>
      <c r="BC69" s="24"/>
      <c r="BD69" s="22">
        <f>IFERROR(VLOOKUP("Septiembre",[2]BPS!$B$74:$C$89,2,0),0)</f>
        <v>0</v>
      </c>
      <c r="BE69" s="286">
        <f t="shared" si="236"/>
        <v>0</v>
      </c>
      <c r="BF69" s="380">
        <f>IFERROR(VLOOKUP("Septiembre",'[2]RETAIL ORIGEN RMKT'!$B$72:$C$87,2,0),0)</f>
        <v>0</v>
      </c>
      <c r="BG69" s="127">
        <f t="shared" si="237"/>
        <v>0</v>
      </c>
      <c r="BH69" s="21"/>
      <c r="BI69" s="24"/>
      <c r="BJ69" s="22">
        <f>IFERROR(VLOOKUP("Octubre",[2]BPS!$B$74:$C$89,2,0),0)</f>
        <v>0</v>
      </c>
      <c r="BK69" s="286">
        <f t="shared" si="238"/>
        <v>0</v>
      </c>
      <c r="BL69" s="380">
        <f>IFERROR(VLOOKUP("Octubre",'[2]RETAIL ORIGEN RMKT'!$B$72:$C$87,2,0),0)</f>
        <v>0</v>
      </c>
      <c r="BM69" s="127">
        <f t="shared" si="239"/>
        <v>0</v>
      </c>
      <c r="BN69" s="21"/>
      <c r="BO69" s="24"/>
      <c r="BP69" s="22">
        <f>IFERROR(VLOOKUP("Noviembre",[2]BPS!$B$74:$C$89,2,0),0)</f>
        <v>0</v>
      </c>
      <c r="BQ69" s="286">
        <f t="shared" si="240"/>
        <v>0</v>
      </c>
      <c r="BR69" s="380">
        <f>IFERROR(VLOOKUP("Noviembre",'[2]RETAIL ORIGEN RMKT'!$B$72:$C$87,2,0),0)</f>
        <v>0</v>
      </c>
      <c r="BS69" s="127">
        <f t="shared" si="241"/>
        <v>0</v>
      </c>
      <c r="BT69" s="21"/>
      <c r="BU69" s="24"/>
      <c r="BV69" s="22">
        <f>IFERROR(VLOOKUP("Diciembre",[2]BPS!$B$74:$C$89,2,0),0)</f>
        <v>0</v>
      </c>
      <c r="BW69" s="286">
        <f t="shared" si="242"/>
        <v>0</v>
      </c>
      <c r="BX69" s="380">
        <f>IFERROR(VLOOKUP("Diciembre",'[2]RETAIL ORIGEN RMKT'!$B$72:$C$87,2,0),0)</f>
        <v>0</v>
      </c>
      <c r="BY69" s="127">
        <f t="shared" si="243"/>
        <v>0</v>
      </c>
      <c r="BZ69" s="25">
        <f ca="1">IF($BZ$4="ENERO",F69,IF($BZ$4="FEBRERO",F69+L69,IF($BZ$4="MARZO",F69+L69+R69,IF($BZ$4="ABRIL",F69+L69+R69+X69,IF($BZ$4="MAYO",F69+L69+R69+X69+AD69,IF($BZ$4="JUNIO",F69+L69+R69+X69+AD69+AJ69,IF($BZ$4="JULIO",F69+L69+R69+X69+AD69+AJ69+AP69,IF($BZ$4="AGOSTO",F69+L69+R69+X69+AD69+AJ69+AP69+AV69,IF($BZ$4="SEPTIEMBRE",F69+L69+R69+X69+AD69+AJ69+AP69+AV69+BB69,IF($BZ$4="OCTUBRE",F69+L69+R69+X69+AD69+AJ69+AP69+AV69+BB69+BH69,IF($BZ$4="NOVIEMBRE",F69+L69+R69+X69+AD69+AJ69+AP69+AV69+BB69+BH69+BN69,IF($BZ$4="DICIEMBRE",F69+L69+R69+X69+AD69+AJ69+AP69+AV69+BB69+BH69+BN69+BT69,""))))))))))))</f>
        <v>0</v>
      </c>
      <c r="CA69" s="27">
        <f ca="1">IF($BZ$4="ENERO",G69,IF($BZ$4="FEBRERO",G69+M69,IF($BZ$4="MARZO",G69+M69+S69,IF($BZ$4="ABRIL",G69+M69+S69+Y69,IF($BZ$4="MAYO",G69+M69+S69+Y69+AE69,IF($BZ$4="JUNIO",G69+M69+S69+Y69+AE69+AK69,IF($BZ$4="JULIO",G69+M69+S69+Y69+AE69+AK69+AQ69,IF($BZ$4="AGOSTO",G69+M69+S69+Y69+AE69+AK69+AQ69+AW69,IF($BZ$4="SEPTIEMBRE",G69+M69+S69+Y69+AE69+AK69+AQ69+AW69+BC69,IF($BZ$4="OCTUBRE",G69+M69+S69+Y69+AE69+AK69+AQ69+AW69+BC69+BI69,IF($BZ$4="NOVIEMBRE",G69+M69+S69+Y69+AE69+AK69+AQ69+AW69+BC69+BI69+BO69,IF($BZ$4="DICIEMBRE",G69+M69+S69+Y69+AE69+AK69+AQ69+AW69+BC69+BI69+BO69+BU69,""))))))))))))</f>
        <v>139</v>
      </c>
      <c r="CB69" s="283">
        <f t="shared" ca="1" si="205"/>
        <v>0</v>
      </c>
      <c r="CC69" s="291">
        <f>IFERROR(IF($BZ$4="ENERO",H69,IF($BZ$4="FEBRERO",H69+N69,IF($BZ$4="MARZO",H69+N69+T69,IF($BZ$4="ABRIL",H69+N69+T69+Z69,IF($BZ$4="MAYO",H69+N69+T69+Z69+AF69,IF($BZ$4="JUNIO",H69+N69+T69+Z69+AF69+AL69,IF($BZ$4="JULIO",H69+N69+T69+Z69+AF69+AL69+AR69,IF($BZ$4="AGOSTO",H69+N69+T69+Z69+AF69+AL69+AR69+AX69,IF($BZ$4="SEPTIEMBRE",H69+N69+T69+Z69+AF69+AL69+AR69+AX69+BD69,IF($BZ$4="OCTUBRE",H69+N69+T69+Z69+AF69+AL69+AR69+AX69+BD69+BJ69,IF($BZ$4="NOVIEMBRE",H69+N69+T69+Z69+AF69+AL69+AR69+AX69+BD69+BJ69+BP69,IF($BZ$4="DICIEMBRE",H69+N69+T69+Z69+AF69+AL69+AR69+AX69+BD69+BJ69+BP69+BV69,"")))))))))))),0)</f>
        <v>137</v>
      </c>
      <c r="CD69" s="283">
        <f ca="1">IFERROR(IF(CA69=0,"N.D.",CC69/CA69),0)</f>
        <v>0.98561151079136688</v>
      </c>
      <c r="CE69" s="24">
        <f>IFERROR(IF($BZ$4="ENERO",J69,IF($BZ$4="FEBRERO",J69+P69,IF($BZ$4="MARZO",J69+P69+V69,IF($BZ$4="ABRIL",J69+P69+V69+AB69,IF($BZ$4="MAYO",J69+P69+V69+AB69+AH69,IF($BZ$4="JUNIO",J69+P69+V69+AB69+AH69+AN69,IF($BZ$4="JULIO",J69+P69+V69+AB69+AH69+AN69+AT69,IF($BZ$4="AGOSTO",J69+P69+V69+AB69+AH69+AN69+AT69+AZ69,IF($BZ$4="SEPTIEMBRE",J69+P69+V69+AB69+AH69+AN69+AT69+AZ69+BF69,IF($BZ$4="OCTUBRE",J69+P69+V69+AB69+AH69+AN69+AT69+AZ69+BF69+BL69,IF($BZ$4="NOVIEMBRE",J69+P69+V69+AB69+AH69+AN69+AT69+AZ69+BF69+BL69+BR69,IF($BZ$4="DICIEMBRE",J69+P69+V69+AB69+AH69+AN69+AT69+AZ69+BF69+BL69+BR69+BX69,"")))))))))))),0)</f>
        <v>139</v>
      </c>
      <c r="CF69" s="129">
        <f t="shared" ca="1" si="206"/>
        <v>0</v>
      </c>
      <c r="CG69" s="25">
        <f ca="1">SUM(F69+L69+R69+X69+AD69+AJ69+AP69+AV69+BB69+BH69+BN69+BT69)</f>
        <v>0</v>
      </c>
      <c r="CH69" s="27">
        <f t="shared" ca="1" si="260"/>
        <v>139</v>
      </c>
      <c r="CI69" s="283">
        <f t="shared" ca="1" si="207"/>
        <v>0</v>
      </c>
      <c r="CJ69" s="292">
        <f t="shared" si="261"/>
        <v>137</v>
      </c>
      <c r="CK69" s="283">
        <f t="shared" ca="1" si="262"/>
        <v>0.98561151079136688</v>
      </c>
      <c r="CL69" s="27">
        <f>IFERROR(J69+P69+V69+AB69+AH69+AN69+AT69+AZ69+BF69+BL69+BR69+BX69,0)</f>
        <v>139</v>
      </c>
      <c r="CM69" s="129">
        <f t="shared" ca="1" si="208"/>
        <v>0</v>
      </c>
      <c r="CN69" s="25"/>
      <c r="CO69" s="27"/>
      <c r="CP69" s="287"/>
      <c r="CQ69" s="291"/>
      <c r="CR69" s="287"/>
      <c r="CS69" s="27"/>
      <c r="CT69" s="129"/>
      <c r="CU69" s="25">
        <f ca="1">IF($CU$5="S 1",F69+L69+R69+X69+AD69++AJ69,
IF($CU$5="S 2",AP69+AV69+BB69+BH69+BN69+BT69,0))</f>
        <v>0</v>
      </c>
      <c r="CV69" s="27">
        <f ca="1">IF($CU$5="S 1",G69+M69+S69+Y69+AE69++AK69,
IF($CU$5="S 2",AQ69+AW69+BC69+BI69+BO69+BU69,0))</f>
        <v>139</v>
      </c>
      <c r="CW69" s="283">
        <f t="shared" ca="1" si="213"/>
        <v>0</v>
      </c>
      <c r="CX69" s="27">
        <f>IFERROR(IF($CU$5="S 1",H69+N69+T69+Z69+AF69++AL69,
IF($CU$5="S 2",AR69+AX69+BD69+BJ69+BP69+BV69,0)),0)</f>
        <v>137</v>
      </c>
      <c r="CY69" s="283">
        <f t="shared" ca="1" si="214"/>
        <v>0.98561151079136688</v>
      </c>
      <c r="CZ69" s="27">
        <f>IFERROR(IF($CU$5="S 1",J69+P69+V69+AB69+AH69+AN69,
IF($CU$5="S 2",AT69+AZ69+BF69+BL69+BR69+BX69,0)),0)</f>
        <v>139</v>
      </c>
      <c r="DA69" s="130">
        <f t="shared" ca="1" si="216"/>
        <v>0</v>
      </c>
      <c r="DB69" s="25"/>
      <c r="DC69" s="27"/>
      <c r="DD69" s="287"/>
      <c r="DE69" s="27"/>
      <c r="DF69" s="287"/>
      <c r="DG69" s="27"/>
      <c r="DH69" s="130"/>
      <c r="DI69" s="510"/>
      <c r="DJ69" s="369"/>
      <c r="DK69" s="25"/>
      <c r="DL69" s="27"/>
      <c r="DM69" s="287"/>
      <c r="DN69" s="291"/>
      <c r="DO69" s="287"/>
      <c r="DP69" s="27"/>
      <c r="DQ69" s="130"/>
      <c r="DR69"/>
      <c r="DS69" s="508"/>
      <c r="DU69" s="508"/>
    </row>
    <row r="70" spans="1:131" s="4" customFormat="1" ht="15" customHeight="1" thickBot="1" x14ac:dyDescent="0.4">
      <c r="B70" s="6" t="s">
        <v>27</v>
      </c>
      <c r="C70" s="37"/>
      <c r="D70" s="125"/>
      <c r="E70" s="38"/>
      <c r="F70" s="39">
        <f ca="1">F11+F17+F23+F31+F37+F44+F48+F55+F61+F68+F69</f>
        <v>1098</v>
      </c>
      <c r="G70" s="39">
        <f ca="1">G11+G17+G23+G31+G37+G44+G48+G55+G61+G68+G69</f>
        <v>917</v>
      </c>
      <c r="H70" s="39">
        <f>H11+H17+H23+H31+H37+H44+H48+H55+H61+H68+H69</f>
        <v>844</v>
      </c>
      <c r="I70" s="135">
        <f t="shared" ca="1" si="252"/>
        <v>0.92039258451472195</v>
      </c>
      <c r="J70" s="39">
        <f>J11+J17+J23+J31+J37+J44+J48+J55+J61+J68+J69</f>
        <v>294</v>
      </c>
      <c r="K70" s="343">
        <f t="shared" ca="1" si="253"/>
        <v>0.26775956284153007</v>
      </c>
      <c r="L70" s="39">
        <f ca="1">L11+L17+L23+L31+L37+L44+L48+L55+L61+L68+L69</f>
        <v>1108</v>
      </c>
      <c r="M70" s="39">
        <f ca="1">M11+M17+M23+M31+M37+M44+M48+M55+M61+M68+M69</f>
        <v>1123</v>
      </c>
      <c r="N70" s="39">
        <f>N11+N17+N23+N31+N37+N44+N48+N55+N61+N68+N69</f>
        <v>1048</v>
      </c>
      <c r="O70" s="135">
        <f t="shared" ca="1" si="203"/>
        <v>0.93321460373998222</v>
      </c>
      <c r="P70" s="39">
        <f>P11+P17+P23+P31+P37+P44+P48+P55+P61+P68+P69</f>
        <v>419</v>
      </c>
      <c r="Q70" s="343">
        <f t="shared" ca="1" si="204"/>
        <v>0.37815884476534295</v>
      </c>
      <c r="R70" s="39">
        <f ca="1">R11+R17+R23+R31+R37+R44+R48+R55+R61+R68+R69</f>
        <v>1135</v>
      </c>
      <c r="S70" s="39">
        <f ca="1">S11+S17+S23+S31+S37+S44+S48+S55+S61+S68+S69</f>
        <v>1254</v>
      </c>
      <c r="T70" s="39">
        <f>T11+T17+T23+T31+T37+T44+T48+T55+T61+T68+T69</f>
        <v>1093</v>
      </c>
      <c r="U70" s="135">
        <f t="shared" ca="1" si="224"/>
        <v>0.87161084529505584</v>
      </c>
      <c r="V70" s="39">
        <f>V11+V17+V23+V31+V37+V44+V48+V55+V61+V68+V69</f>
        <v>458</v>
      </c>
      <c r="W70" s="343">
        <f t="shared" ca="1" si="225"/>
        <v>0.40352422907488988</v>
      </c>
      <c r="X70" s="39">
        <f ca="1">X11+X17+X23+X31+X37+X44+X48+X55+X61+X68+X69</f>
        <v>1132</v>
      </c>
      <c r="Y70" s="39">
        <f ca="1">Y11+Y17+Y23+Y31+Y37+Y44+Y48+Y55+Y61+Y68+Y69</f>
        <v>1103</v>
      </c>
      <c r="Z70" s="39">
        <f>Z11+Z17+Z23+Z31+Z37+Z44+Z48+Z55+Z61+Z68+Z69</f>
        <v>1028</v>
      </c>
      <c r="AA70" s="135">
        <f t="shared" ca="1" si="226"/>
        <v>0.93200362647325474</v>
      </c>
      <c r="AB70" s="39">
        <f>AB11+AB17+AB23+AB31+AB37+AB44+AB48+AB55+AB61+AB68+AB69</f>
        <v>417</v>
      </c>
      <c r="AC70" s="343">
        <f t="shared" ca="1" si="227"/>
        <v>0.36837455830388693</v>
      </c>
      <c r="AD70" s="39">
        <f ca="1">AD11+AD17+AD23+AD31+AD37+AD44+AD48+AD55+AD61+AD68+AD69</f>
        <v>1156</v>
      </c>
      <c r="AE70" s="39">
        <f ca="1">AE11+AE17+AE23+AE31+AE37+AE44+AE48+AE55+AE61+AE68+AE69</f>
        <v>1059</v>
      </c>
      <c r="AF70" s="39">
        <f>AF11+AF17+AF23+AF31+AF37+AF44+AF48+AF55+AF61+AF68+AF69</f>
        <v>959</v>
      </c>
      <c r="AG70" s="135">
        <f t="shared" ca="1" si="228"/>
        <v>0.90557129367327671</v>
      </c>
      <c r="AH70" s="39">
        <f>AH11+AH17+AH23+AH31+AH37+AH44+AH48+AH55+AH61+AH68+AH69</f>
        <v>396</v>
      </c>
      <c r="AI70" s="343">
        <f t="shared" ca="1" si="229"/>
        <v>0.34256055363321797</v>
      </c>
      <c r="AJ70" s="39">
        <f ca="1">AJ11+AJ17+AJ23+AJ31+AJ37+AJ44+AJ48+AJ55+AJ61+AJ68+AJ69</f>
        <v>1169</v>
      </c>
      <c r="AK70" s="39">
        <f ca="1">AK11+AK17+AK23+AK31+AK37+AK44+AK48+AK55+AK61+AK68+AK69</f>
        <v>1457</v>
      </c>
      <c r="AL70" s="39">
        <f>AL11+AL17+AL23+AL31+AL37+AL44+AL48+AL55+AL61+AL68+AL69</f>
        <v>1327</v>
      </c>
      <c r="AM70" s="135">
        <f t="shared" ca="1" si="230"/>
        <v>0.91077556623198352</v>
      </c>
      <c r="AN70" s="39">
        <f>AN11+AN17+AN23+AN31+AN37+AN44+AN48+AN55+AN61+AN68+AN69</f>
        <v>520</v>
      </c>
      <c r="AO70" s="343">
        <f t="shared" ca="1" si="231"/>
        <v>0.44482463644140291</v>
      </c>
      <c r="AP70" s="39">
        <f ca="1">AP11+AP17+AP23+AP31+AP37+AP44+AP48+AP55+AP61+AP68+AP69</f>
        <v>183</v>
      </c>
      <c r="AQ70" s="39">
        <f ca="1">AQ11+AQ17+AQ23+AQ31+AQ37+AQ44+AQ48+AQ55+AQ61+AQ68+AQ69</f>
        <v>0</v>
      </c>
      <c r="AR70" s="39">
        <f>AR11+AR17+AR23+AR31+AR37+AR44+AR48+AR55+AR61+AR68+AR69</f>
        <v>0</v>
      </c>
      <c r="AS70" s="135">
        <f t="shared" ca="1" si="232"/>
        <v>0</v>
      </c>
      <c r="AT70" s="39">
        <f>AT11+AT17+AT23+AT31+AT37+AT44+AT48+AT55+AT61+AT68+AT69</f>
        <v>0</v>
      </c>
      <c r="AU70" s="343">
        <f t="shared" ca="1" si="233"/>
        <v>0</v>
      </c>
      <c r="AV70" s="39">
        <f ca="1">AV11+AV17+AV23+AV31+AV37+AV44+AV48+AV55+AV61+AV68+AV69</f>
        <v>170</v>
      </c>
      <c r="AW70" s="39">
        <f ca="1">AW11+AW17+AW23+AW31+AW37+AW44+AW48+AW55+AW61+AW68+AW69</f>
        <v>0</v>
      </c>
      <c r="AX70" s="39">
        <f>AX11+AX17+AX23+AX31+AX37+AX44+AX48+AX55+AX61+AX68+AX69</f>
        <v>0</v>
      </c>
      <c r="AY70" s="135">
        <f t="shared" ca="1" si="234"/>
        <v>0</v>
      </c>
      <c r="AZ70" s="39">
        <f>AZ11+AZ17+AZ23+AZ31+AZ37+AZ44+AZ48+AZ55+AZ61+AZ68+AZ69</f>
        <v>0</v>
      </c>
      <c r="BA70" s="343">
        <f t="shared" ca="1" si="235"/>
        <v>0</v>
      </c>
      <c r="BB70" s="39">
        <f ca="1">BB11+BB17+BB23+BB31+BB37+BB44+BB48+BB55+BB61+BB68+BB69</f>
        <v>188</v>
      </c>
      <c r="BC70" s="39">
        <f>BC11+BC17+BC23+BC31+BC37+BC44+BC48+BC55+BC61+BC68+BC69</f>
        <v>0</v>
      </c>
      <c r="BD70" s="39">
        <f>BD11+BD17+BD23+BD31+BD37+BD44+BD48+BD55+BD61+BD68+BD69</f>
        <v>0</v>
      </c>
      <c r="BE70" s="135">
        <f t="shared" si="236"/>
        <v>0</v>
      </c>
      <c r="BF70" s="39">
        <f>BF11+BF17+BF23+BF31+BF37+BF44+BF48+BF55+BF61+BF68+BF69</f>
        <v>0</v>
      </c>
      <c r="BG70" s="343">
        <f t="shared" ca="1" si="237"/>
        <v>0</v>
      </c>
      <c r="BH70" s="39">
        <f>BH11+BH17+BH23+BH31+BH37+BH44+BH48+BH55+BH61+BH68+BH69</f>
        <v>202</v>
      </c>
      <c r="BI70" s="39">
        <f>BI11+BI17+BI23+BI31+BI37+BI44+BI48+BI55+BI61+BI68+BI69</f>
        <v>0</v>
      </c>
      <c r="BJ70" s="39">
        <f>BJ11+BJ17+BJ23+BJ31+BJ37+BJ44+BJ48+BJ55+BJ61+BJ68+BJ69</f>
        <v>0</v>
      </c>
      <c r="BK70" s="135">
        <f t="shared" si="238"/>
        <v>0</v>
      </c>
      <c r="BL70" s="39">
        <f>BL11+BL17+BL23+BL31+BL37+BL44+BL48+BL55+BL61+BL68+BL69</f>
        <v>0</v>
      </c>
      <c r="BM70" s="343">
        <f t="shared" si="239"/>
        <v>0</v>
      </c>
      <c r="BN70" s="39">
        <f>BN11+BN17+BN23+BN31+BN37+BN44+BN48+BN55+BN61+BN68+BN69</f>
        <v>201</v>
      </c>
      <c r="BO70" s="39">
        <f>BO11+BO17+BO23+BO31+BO37+BO44+BO48+BO55+BO61+BO68+BO69</f>
        <v>0</v>
      </c>
      <c r="BP70" s="39">
        <f>BP11+BP17+BP23+BP31+BP37+BP44+BP48+BP55+BP61+BP68+BP69</f>
        <v>0</v>
      </c>
      <c r="BQ70" s="135">
        <f t="shared" si="240"/>
        <v>0</v>
      </c>
      <c r="BR70" s="39">
        <f>BR11+BR17+BR23+BR31+BR37+BR44+BR48+BR55+BR61+BR68+BR69</f>
        <v>0</v>
      </c>
      <c r="BS70" s="343">
        <f t="shared" si="241"/>
        <v>0</v>
      </c>
      <c r="BT70" s="39">
        <f>BT11+BT17+BT23+BT31+BT37+BT44+BT48+BT55+BT61+BT68+BT69</f>
        <v>193</v>
      </c>
      <c r="BU70" s="39">
        <f>BU11+BU17+BU23+BU31+BU37+BU44+BU48+BU55+BU61+BU68+BU69</f>
        <v>0</v>
      </c>
      <c r="BV70" s="39">
        <f>BV11+BV17+BV23+BV31+BV37+BV44+BV48+BV55+BV61+BV68+BV69</f>
        <v>0</v>
      </c>
      <c r="BW70" s="135">
        <f t="shared" si="242"/>
        <v>0</v>
      </c>
      <c r="BX70" s="39">
        <f>BX11+BX17+BX23+BX31+BX37+BX44+BX48+BX55+BX61+BX68+BX69</f>
        <v>0</v>
      </c>
      <c r="BY70" s="343">
        <f t="shared" si="243"/>
        <v>0</v>
      </c>
      <c r="BZ70" s="39">
        <f ca="1">IF($BZ$4="ENERO",F70,IF($BZ$4="FEBRERO",F70+L70,IF($BZ$4="MARZO",F70+L70+R70,IF($BZ$4="ABRIL",F70+L70+R70+X70,IF($BZ$4="MAYO",F70+L70+R70+X70+AD70,IF($BZ$4="JUNIO",F70+L70+R70+X70+AD70+AJ70,IF($BZ$4="JULIO",F70+L70+R70+X70+AD70+AJ70+AP70,IF($BZ$4="AGOSTO",F70+L70+R70+X70+AD70+AJ70+AP70+AV70,IF($BZ$4="SEPTIEMBRE",F70+L70+R70+X70+AD70+AJ70+AP70+AV70+BB70,IF($BZ$4="OCTUBRE",F70+L70+R70+X70+AD70+AJ70+AP70+AV70+BB70+BH70,IF($BZ$4="NOVIEMBRE",F70+L70+R70+X70+AD70+AJ70+AP70+AV70+BB70+BH70+BN70,IF($BZ$4="DICIEMBRE",F70+L70+R70+X70+AD70+AJ70+AP70+AV70+BB70+BH70+BN70+BT70,""))))))))))))</f>
        <v>6798</v>
      </c>
      <c r="CA70" s="40">
        <f ca="1">IF($BZ$4="ENERO",G70,IF($BZ$4="FEBRERO",G70+M70,IF($BZ$4="MARZO",G70+M70+S70,IF($BZ$4="ABRIL",G70+M70+S70+Y70,IF($BZ$4="MAYO",G70+M70+S70+Y70+AE70,IF($BZ$4="JUNIO",G70+M70+S70+Y70+AE70+AK70,IF($BZ$4="JULIO",G70+M70+S70+Y70+AE70+AK70+AQ70,IF($BZ$4="AGOSTO",G70+M70+S70+Y70+AE70+AK70+AQ70+AW70,IF($BZ$4="SEPTIEMBRE",G70+M70+S70+Y70+AE70+AK70+AQ70+AW70+BC70,IF($BZ$4="OCTUBRE",G70+M70+S70+Y70+AE70+AK70+AQ70+AW70+BC70+BI70,IF($BZ$4="NOVIEMBRE",G70+M70+S70+Y70+AE70+AK70+AQ70+AW70+BC70+BI70+BO70,IF($BZ$4="DICIEMBRE",G70+M70+S70+Y70+AE70+AK70+AQ70+AW70+BC70+BI70+BO70+BU70,""))))))))))))</f>
        <v>6913</v>
      </c>
      <c r="CB70" s="136">
        <f t="shared" ca="1" si="205"/>
        <v>1.0169167402177111</v>
      </c>
      <c r="CC70" s="138">
        <f>IF($BZ$4="ENERO",H70,IF($BZ$4="FEBRERO",H70+N70,IF($BZ$4="MARZO",H70+N70+T70,IF($BZ$4="ABRIL",H70+N70+T70+Z70,IF($BZ$4="MAYO",H70+N70+T70+Z70+AF70,IF($BZ$4="JUNIO",H70+N70+T70+Z70+AF70+AL70,IF($BZ$4="JULIO",H70+N70+T70+Z70+AF70+AL70+AR70,IF($BZ$4="AGOSTO",H70+N70+T70+Z70+AF70+AL70+AR70+AX70,IF($BZ$4="SEPTIEMBRE",H70+N70+T70+Z70+AF70+AL70+AR70+AX70+BD70,IF($BZ$4="OCTUBRE",H70+N70+T70+Z70+AF70+AL70+AR70+AX70+BD70+BJ70,IF($BZ$4="NOVIEMBRE",H70+N70+T70+Z70+AF70+AL70+AR70+AX70+BD70+BJ70+BP70,IF($BZ$4="DICIEMBRE",H70+N70+T70+Z70+AF70+AL70+AR70+AX70+BD70+BJ70+BP70+BV70,""))))))))))))</f>
        <v>6299</v>
      </c>
      <c r="CD70" s="137">
        <f ca="1">IF(CA70=0,"N.D.",CC70/CA70)</f>
        <v>0.91118183133227248</v>
      </c>
      <c r="CE70" s="138">
        <f>CE68+CE61+CE55+CE48+CE44+CE37+CE31+CE23+CE17+CE11</f>
        <v>2365</v>
      </c>
      <c r="CF70" s="344">
        <f t="shared" ca="1" si="206"/>
        <v>0.34789644012944981</v>
      </c>
      <c r="CG70" s="39">
        <f ca="1">+F70+L70+R70+X70+AD70+AJ70+AP70+AV70+BB70+BH70+BN70+BT70</f>
        <v>7935</v>
      </c>
      <c r="CH70" s="40">
        <f ca="1">IF($BZ$4="ENERO",G70,IF($BZ$4="FEBRERO",G70+M70,IF($BZ$4="MARZO",G70+M70+S70,IF($BZ$4="ABRIL",G70+M70+S70+Y70,IF($BZ$4="MAYO",G70+M70+S70+Y70+AE70,IF($BZ$4="JUNIO",G70+M70+S70+Y70+AE70+AK70,IF($BZ$4="JULIO",G70+M70+S70+Y70+AE70+AK70+AQ70,IF($BZ$4="AGOSTO",G70+M70+S70+Y70+AE70+AK70+AQ70+AW70,IF($BZ$4="SEPTIEMBRE",G70+M70+S70+Y70+AE70+AK70+AQ70+AW70+BC70,IF($BZ$4="OCTUBRE",G70+M70+S70+Y70+AE70+AK70+AQ70+AW70+BC70+BI70,IF($BZ$4="NOVIEMBRE",G70+M70+S70+Y70+AE70+AK70+AQ70+AW70+BC70+BI70+BO70,IF($BZ$4="DICIEMBRE",G70+M70+S70+Y70+AE70+AK70+AQ70+AW70+BC70+BI70+BO70+BU70,""))))))))))))</f>
        <v>6913</v>
      </c>
      <c r="CI70" s="137">
        <f t="shared" ca="1" si="207"/>
        <v>0.87120352867044737</v>
      </c>
      <c r="CJ70" s="39">
        <f>CJ68+CJ61+CJ55+CJ48+CJ37+CJ17</f>
        <v>4146</v>
      </c>
      <c r="CK70" s="137">
        <f t="shared" ca="1" si="262"/>
        <v>0.59973962100390565</v>
      </c>
      <c r="CL70" s="346">
        <f>CL68+CL61+CL55+CL48+CL37+CL17</f>
        <v>1619</v>
      </c>
      <c r="CM70" s="344">
        <f t="shared" ca="1" si="208"/>
        <v>0.20403276622558286</v>
      </c>
      <c r="CN70" s="39">
        <f ca="1">IF($CN$5="Q1",F70+L70+R70,IF($CN$5="Q2",X70+AD70++AJ70,IF($CN$5="Q3",AP70+AV70+BB70,IF($CN$5="Q4",BH70+BN70+BT70,0))))</f>
        <v>3341</v>
      </c>
      <c r="CO70" s="40">
        <f ca="1">IF($CN$5="Q1",G70+M70+S70,IF($CN$5="Q2",Y70+AE70++AK70,IF($CN$5="Q3",AQ70+AW70+BC70,IF($CN$5="Q4",BI70+BO70+BU70,0))))</f>
        <v>3294</v>
      </c>
      <c r="CP70" s="137">
        <f ca="1">IFERROR((CO70/CN70),0)</f>
        <v>0.98593235558216108</v>
      </c>
      <c r="CQ70" s="138" t="e">
        <f>SUM(CQ68,CQ61,CQ55,CQ48,CQ37,CQ17)</f>
        <v>#REF!</v>
      </c>
      <c r="CR70" s="353" t="e">
        <f ca="1">IF(CO70=0,"N.D.",CQ70/CO70)</f>
        <v>#REF!</v>
      </c>
      <c r="CS70" s="138">
        <f>SUM(CS68+CS61+CS55+CS37+CS17)</f>
        <v>0</v>
      </c>
      <c r="CT70" s="344">
        <f ca="1">IFERROR(CS70/CN70,0)</f>
        <v>0</v>
      </c>
      <c r="CU70" s="39">
        <f ca="1">SUM(CU68,CU61,CU55,CU48,CU37,CU17)</f>
        <v>4573</v>
      </c>
      <c r="CV70" s="39">
        <f ca="1">SUM(CV68,CV61,CV55,CV48,CV37,CV17)</f>
        <v>4557</v>
      </c>
      <c r="CW70" s="137">
        <f t="shared" ca="1" si="213"/>
        <v>0.99650120271156795</v>
      </c>
      <c r="CX70" s="39">
        <f>SUM(CX68,CX61,CX55,CX48,CX37,CX17)</f>
        <v>4146</v>
      </c>
      <c r="CY70" s="345">
        <f t="shared" ca="1" si="214"/>
        <v>0.90980908492429224</v>
      </c>
      <c r="CZ70" s="39">
        <f>SUM(CZ68,CZ61,CZ55,CZ48,CZ37,CZ17)</f>
        <v>1619</v>
      </c>
      <c r="DA70" s="345">
        <f t="shared" ca="1" si="216"/>
        <v>0.35403455062322325</v>
      </c>
      <c r="DB70" s="39">
        <f ca="1">SUM(DB68,DB61,DB55,DB48,DB37,DB17)</f>
        <v>0</v>
      </c>
      <c r="DC70" s="39">
        <f ca="1">SUM(DC68,DC61,DC55,DC48,DC37,DC17)</f>
        <v>0</v>
      </c>
      <c r="DD70" s="137">
        <f ca="1">IFERROR((DC70/DB70),0)</f>
        <v>0</v>
      </c>
      <c r="DE70" s="39">
        <f ca="1">SUM(DE68,DE61,DE55,DE48,DE37,DE17)</f>
        <v>0</v>
      </c>
      <c r="DF70" s="345" t="str">
        <f ca="1">IF(DC70=0,"N.D.",DE70/DC70)</f>
        <v>N.D.</v>
      </c>
      <c r="DG70" s="39">
        <f ca="1">SUM(DG68,DG61,DG55,DG48,DG37,DG17)</f>
        <v>0</v>
      </c>
      <c r="DH70" s="345">
        <f ca="1">IFERROR(DG70/DB70,0)</f>
        <v>0</v>
      </c>
      <c r="DJ70" s="2"/>
      <c r="DK70" s="39"/>
      <c r="DL70" s="40"/>
      <c r="DM70" s="136"/>
      <c r="DN70" s="138"/>
      <c r="DO70" s="137"/>
      <c r="DP70" s="346"/>
      <c r="DQ70" s="345"/>
      <c r="DR70"/>
      <c r="EA70" s="507"/>
    </row>
    <row r="71" spans="1:131" s="4" customFormat="1" x14ac:dyDescent="0.35">
      <c r="B71" s="5"/>
      <c r="D71" s="139"/>
      <c r="H71" s="15"/>
      <c r="I71" s="15"/>
      <c r="K71" s="15"/>
      <c r="N71" s="15"/>
      <c r="O71" s="15"/>
      <c r="T71" s="15"/>
      <c r="U71" s="15"/>
      <c r="Z71" s="15"/>
      <c r="AA71" s="15"/>
      <c r="AF71" s="15"/>
      <c r="AG71" s="15"/>
      <c r="AL71" s="15"/>
      <c r="AM71" s="15"/>
      <c r="AR71" s="15"/>
      <c r="AS71" s="15"/>
      <c r="AX71" s="15"/>
      <c r="AY71" s="15"/>
      <c r="BD71" s="15"/>
      <c r="BE71" s="15"/>
      <c r="BJ71" s="15"/>
      <c r="BK71" s="15"/>
      <c r="BP71" s="15"/>
      <c r="BQ71" s="15"/>
      <c r="BV71" s="15"/>
      <c r="BW71" s="15"/>
      <c r="CJ71" s="15"/>
      <c r="CK71" s="15"/>
      <c r="DJ71" s="2"/>
      <c r="DK71" s="2"/>
      <c r="DL71" s="2"/>
      <c r="DM71" s="2"/>
      <c r="DN71" s="2"/>
      <c r="DO71" s="2"/>
      <c r="DP71" s="2"/>
      <c r="DQ71" s="2"/>
      <c r="DR71"/>
    </row>
    <row r="73" spans="1:131" x14ac:dyDescent="0.35">
      <c r="H73" s="2">
        <f>IFERROR(VLOOKUP("Enero",'[2]RETAIL ORIGEN RMKT'!$B$72:$C$87,2,0),0)</f>
        <v>22</v>
      </c>
    </row>
    <row r="80" spans="1:131" x14ac:dyDescent="0.35">
      <c r="F80"/>
      <c r="G80"/>
      <c r="H80"/>
      <c r="I80"/>
      <c r="J80"/>
    </row>
    <row r="81" spans="6:36" ht="15" thickBot="1" x14ac:dyDescent="0.4">
      <c r="F81"/>
      <c r="G81"/>
      <c r="H81"/>
      <c r="I81"/>
      <c r="J81"/>
    </row>
    <row r="82" spans="6:36" ht="14.5" customHeight="1" x14ac:dyDescent="0.35">
      <c r="F82"/>
      <c r="G82" s="618" t="s">
        <v>178</v>
      </c>
      <c r="H82" s="619"/>
      <c r="I82" s="620"/>
      <c r="J82" s="174"/>
      <c r="K82" s="174"/>
      <c r="L82" s="174"/>
      <c r="M82" s="174"/>
      <c r="N82" s="174"/>
      <c r="O82" s="356"/>
      <c r="P82" s="356"/>
      <c r="Q82" s="356"/>
      <c r="R82" s="356"/>
      <c r="S82" s="356"/>
      <c r="T82" s="357"/>
      <c r="W82" s="618" t="s">
        <v>131</v>
      </c>
      <c r="X82" s="619"/>
      <c r="Y82" s="620"/>
      <c r="Z82" s="174"/>
      <c r="AA82" s="174"/>
      <c r="AB82" s="174"/>
      <c r="AC82" s="174"/>
      <c r="AD82" s="174"/>
      <c r="AE82" s="356"/>
      <c r="AF82" s="356"/>
      <c r="AG82" s="356"/>
      <c r="AH82" s="356"/>
      <c r="AI82" s="356"/>
      <c r="AJ82" s="357"/>
    </row>
    <row r="83" spans="6:36" ht="15" thickBot="1" x14ac:dyDescent="0.4">
      <c r="F83"/>
      <c r="G83" s="621"/>
      <c r="H83" s="622"/>
      <c r="I83" s="623"/>
      <c r="J83"/>
      <c r="K83"/>
      <c r="L83"/>
      <c r="M83"/>
      <c r="N83"/>
      <c r="T83" s="358"/>
      <c r="W83" s="621"/>
      <c r="X83" s="622"/>
      <c r="Y83" s="623"/>
      <c r="Z83"/>
      <c r="AA83"/>
      <c r="AB83"/>
      <c r="AC83"/>
      <c r="AD83"/>
      <c r="AJ83" s="358"/>
    </row>
    <row r="84" spans="6:36" x14ac:dyDescent="0.35">
      <c r="F84"/>
      <c r="G84" s="359"/>
      <c r="H84"/>
      <c r="I84"/>
      <c r="J84"/>
      <c r="K84"/>
      <c r="L84"/>
      <c r="M84"/>
      <c r="N84" t="str">
        <f>CONCATENATE("ventas origen remarketing ",
CHOOSE(MATCH(BZ4, {"ENERO";"FEBRERO";"MARZO";"ABRIL";"MAYO";"JUNIO";"JULIO";"AGOSTO";"SEPTIEMBRE";"OCTUBRE";"NOVIEMBRE";"DICIEMBRE"}, 0),
"01", "02", "03", "04", "05", "06", "07", "08", "09", "10", "11", "12"),
".xlsx")</f>
        <v>ventas origen remarketing 06.xlsx</v>
      </c>
      <c r="T84" s="358"/>
      <c r="W84" s="359"/>
      <c r="X84"/>
      <c r="Y84"/>
      <c r="Z84"/>
      <c r="AA84"/>
      <c r="AB84"/>
      <c r="AC84"/>
      <c r="AD84" t="str">
        <f>CONCATENATE("2 - Cierre ventas YTD_",
CHOOSE(MATCH(BZ4,{"Enero";"Febrero";"Marzo";"Abril";"Mayo";"Junio";"Julio";"Agosto";"Septiembre";"Octubre";"Noviembre";"Diciembre"},0),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AJ84" s="358"/>
    </row>
    <row r="85" spans="6:36" x14ac:dyDescent="0.35">
      <c r="F85" s="354"/>
      <c r="G85" s="359" t="s">
        <v>175</v>
      </c>
      <c r="H85" t="str">
        <f>N84</f>
        <v>ventas origen remarketing 06.xlsx</v>
      </c>
      <c r="I85"/>
      <c r="J85"/>
      <c r="K85"/>
      <c r="L85"/>
      <c r="M85">
        <v>2025</v>
      </c>
      <c r="N85" s="360" t="str">
        <f>HYPERLINK(
    "O:\USED CAR &amp; REMARKETING\03-VO\2025\Informe Seguimiento Concesionarios 2025\ESPANHA\" &amp; CHOOSE(MATCH(BZ4,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 H85,
    "Ventas Origen Remarketing " &amp;
    CHOOSE(MATCH(BZ4,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Ventas Origen Remarketing Junio</v>
      </c>
      <c r="T85" s="358"/>
      <c r="V85" s="355"/>
      <c r="W85" s="359" t="s">
        <v>175</v>
      </c>
      <c r="X85" t="str">
        <f>AD84</f>
        <v>2 - Cierre ventas YTD_JUN_2026.xlsx</v>
      </c>
      <c r="Y85"/>
      <c r="Z85"/>
      <c r="AA85"/>
      <c r="AB85"/>
      <c r="AC85">
        <v>2024</v>
      </c>
      <c r="AD85" s="360" t="str">
        <f>HYPERLINK(
    "O:\USED CAR &amp; REMARKETING\03-VO\2025\Informe Seguimiento Concesionarios 2025\ESPANHA\" &amp;
    CHOOSE(MATCH(BZ4, {"Enero";"Febrero";"Marzo";"Abril";"Mayo";"Junio";"Julio";"Agosto";"Septiembre";"Octubre";"Noviembre";"Diciembre"}, 0),
        "1. ENERO\2 - Cierre ventas YTD_ENE_2025.xlsx",
        "2. FEBRERO\2 - Cierre ventas YTD_FEB_2025.xlsx",
        "3. MARZO\2 - Cierre ventas YTD_MAR_2025.xlsx",
        "4. ABRIL\2 - Cierre ventas YTD_ABR_2025.xlsx",
        "5. MAYO\2 - Cierre ventas YTD_MAY_2025.xlsx",
        "6. JUNIO\2 - Cierre ventas YTD_JUN_2025.xlsx",
        "7. JULIO\2 - Cierre ventas YTD_JUL_2025.xlsx",
        "8. AGOSTO\2 - Cierre ventas YTD_AGO_2025.xlsx",
        "9. SEPTIEMBRE\2 - Cierre ventas YTD_SEP_2025.xlsx",
        "10. OCTUBRE\2 - Cierre ventas YTD_OCT_2025.xlsx",
        "11. NOVIEMBRE\2 - Cierre ventas YTD_NOV_2025.xlsx",
        "12. DICIEMBRE\2 - Cierre ventas YTD_DIC_2025.xlsx"
    ),
    "Cierre Ventas " &amp;
    CHOOSE(MATCH(BZ4,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AJ85" s="358"/>
    </row>
    <row r="86" spans="6:36" x14ac:dyDescent="0.35">
      <c r="F86" s="354"/>
      <c r="G86" s="359" t="s">
        <v>176</v>
      </c>
      <c r="H86" t="s">
        <v>199</v>
      </c>
      <c r="I86"/>
      <c r="J86"/>
      <c r="K86"/>
      <c r="L86"/>
      <c r="M86">
        <v>2026</v>
      </c>
      <c r="N86" s="360" t="str">
        <f>HYPERLINK(
    "O:\USED CAR &amp; REMARKETING\03-VO\2026\Informe Seguimiento Concesionarios 2026\ESPAÑA\" &amp; CHOOSE(MATCH(BZ4,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 H85,
    "Ventas Origen Remarketing " &amp;
    CHOOSE(MATCH(BZ4,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Ventas Origen Remarketing Junio</v>
      </c>
      <c r="T86" s="358"/>
      <c r="W86" s="359" t="s">
        <v>176</v>
      </c>
      <c r="X86" t="s">
        <v>179</v>
      </c>
      <c r="Y86"/>
      <c r="Z86"/>
      <c r="AA86"/>
      <c r="AB86"/>
      <c r="AC86">
        <v>2025</v>
      </c>
      <c r="AD86" s="360" t="str">
        <f>HYPERLINK(
    "O:\USED CAR &amp; REMARKETING\03-VO\2026\Informe Seguimiento Concesionarios 2026\ESPAÑA\" &amp;
    CHOOSE(MATCH(BZ4, {"ENERO";"FEBRERO";"MARZO";"ABRRIL";"MAYO";"JUNIO";"JULIO";"AGOSTO";"SEPTIEMBRE";"OCTUBRE";"NOVIEMBRE";"DICIEMBRE"},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&amp;X85,
    "Cierre Ventas " &amp;
    CHOOSE(MATCH(BZ4, {"ENERO";"FEBRERO";"MARZO";"ABRRIL";"MAYO";"JUNIO";"JULIO";"AGOSTO";"SEPTIEMBRE";"OCTUBRE";"NOVIEMBRE";"DICIEMBRE"},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AJ86" s="358"/>
    </row>
    <row r="87" spans="6:36" x14ac:dyDescent="0.35">
      <c r="F87"/>
      <c r="G87" s="361" t="s">
        <v>177</v>
      </c>
      <c r="H87" s="354" t="s">
        <v>244</v>
      </c>
      <c r="I87"/>
      <c r="J87"/>
      <c r="K87"/>
      <c r="L87"/>
      <c r="M87"/>
      <c r="N87"/>
      <c r="T87" s="358"/>
      <c r="W87" s="361" t="s">
        <v>177</v>
      </c>
      <c r="X87" s="354" t="s">
        <v>253</v>
      </c>
      <c r="Y87"/>
      <c r="Z87"/>
      <c r="AA87"/>
      <c r="AB87"/>
      <c r="AC87"/>
      <c r="AD87"/>
      <c r="AJ87" s="358"/>
    </row>
    <row r="88" spans="6:36" x14ac:dyDescent="0.35">
      <c r="G88" s="361"/>
      <c r="H88" s="354"/>
      <c r="I88"/>
      <c r="J88"/>
      <c r="K88"/>
      <c r="L88"/>
      <c r="M88" s="376"/>
      <c r="N88"/>
      <c r="Q88" s="2" t="s">
        <v>198</v>
      </c>
      <c r="T88" s="358"/>
      <c r="W88" s="361"/>
      <c r="X88" s="354"/>
      <c r="Y88"/>
      <c r="Z88"/>
      <c r="AA88"/>
      <c r="AB88"/>
      <c r="AC88" s="376"/>
      <c r="AD88"/>
      <c r="AG88" s="2" t="s">
        <v>191</v>
      </c>
      <c r="AJ88" s="358"/>
    </row>
    <row r="89" spans="6:36" x14ac:dyDescent="0.35">
      <c r="G89" s="359"/>
      <c r="H89" t="str">
        <f>CONCATENATE("'[", H85, "]", H86, "'", H88, H87)</f>
        <v>'[ventas origen remarketing 06.xlsx]Hoja1'!$B$6:$D$65</v>
      </c>
      <c r="I89"/>
      <c r="J89"/>
      <c r="K89"/>
      <c r="L89"/>
      <c r="M89"/>
      <c r="N89"/>
      <c r="T89" s="358"/>
      <c r="W89" s="359"/>
      <c r="X89" t="str">
        <f>CONCATENATE("'[", X85, "]", X86, "'", X88, X87)</f>
        <v>'[2 - Cierre ventas YTD_JUN_2026.xlsx]SOLO BPS'!$A$9:$O$65</v>
      </c>
      <c r="Y89"/>
      <c r="Z89"/>
      <c r="AA89"/>
      <c r="AB89"/>
      <c r="AC89"/>
      <c r="AD89"/>
      <c r="AJ89" s="358"/>
    </row>
    <row r="90" spans="6:36" ht="15" thickBot="1" x14ac:dyDescent="0.4">
      <c r="G90" s="362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4"/>
      <c r="W90" s="362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4"/>
    </row>
  </sheetData>
  <sortState xmlns:xlrd2="http://schemas.microsoft.com/office/spreadsheetml/2017/richdata2" ref="DI16:DI47">
    <sortCondition descending="1" ref="DI16:DI47"/>
  </sortState>
  <mergeCells count="25">
    <mergeCell ref="A3:CO3"/>
    <mergeCell ref="B5:B6"/>
    <mergeCell ref="C5:C6"/>
    <mergeCell ref="E5:E6"/>
    <mergeCell ref="F5:K5"/>
    <mergeCell ref="L5:Q5"/>
    <mergeCell ref="R5:W5"/>
    <mergeCell ref="X5:AC5"/>
    <mergeCell ref="AD5:AI5"/>
    <mergeCell ref="AJ5:AO5"/>
    <mergeCell ref="BZ5:CF5"/>
    <mergeCell ref="CG5:CM5"/>
    <mergeCell ref="CN5:CT5"/>
    <mergeCell ref="BH5:BM5"/>
    <mergeCell ref="DS5:DY5"/>
    <mergeCell ref="DK5:DQ5"/>
    <mergeCell ref="BN5:BS5"/>
    <mergeCell ref="BT5:BY5"/>
    <mergeCell ref="G82:I83"/>
    <mergeCell ref="W82:Y83"/>
    <mergeCell ref="AP5:AU5"/>
    <mergeCell ref="AV5:BA5"/>
    <mergeCell ref="BB5:BG5"/>
    <mergeCell ref="DB5:DH5"/>
    <mergeCell ref="CU5:DA5"/>
  </mergeCells>
  <conditionalFormatting sqref="A3 CP3">
    <cfRule type="duplicateValues" dxfId="271" priority="13"/>
  </conditionalFormatting>
  <conditionalFormatting sqref="B68 B61 B55 B37 B48 B17 B4:B5 B11 B23 B31 B44 B70:B1048576">
    <cfRule type="duplicateValues" dxfId="270" priority="27"/>
  </conditionalFormatting>
  <conditionalFormatting sqref="F5 L5 R5 X5 AD5 AJ5 AP5 AV5 BB5 BH5 BN5 BT5">
    <cfRule type="expression" dxfId="269" priority="15">
      <formula>IF($BZ$4="DICIEMBRE","VERDADERO")</formula>
    </cfRule>
  </conditionalFormatting>
  <conditionalFormatting sqref="F5 L5 R5 X5 AD5 AJ5 AP5 AV5 BB5 BH5 BN5">
    <cfRule type="expression" dxfId="268" priority="16">
      <formula>IF($BZ$4="NOVIEMBRE","VERDADERO")</formula>
    </cfRule>
  </conditionalFormatting>
  <conditionalFormatting sqref="F5 L5 R5 X5 AD5 AJ5 AP5 AV5 BB5 BH5">
    <cfRule type="expression" dxfId="267" priority="17">
      <formula>IF($BZ$4="OCTUBRE","VERDADERO")</formula>
    </cfRule>
  </conditionalFormatting>
  <conditionalFormatting sqref="F5 L5 R5 X5 AD5 AJ5 AP5 AV5 BB5">
    <cfRule type="expression" dxfId="266" priority="18">
      <formula>IF($BZ$4="SEPTIEMBRE","VERDADERO")</formula>
    </cfRule>
  </conditionalFormatting>
  <conditionalFormatting sqref="F5 L5 R5 X5 AD5 AJ5 AP5 AV5">
    <cfRule type="expression" dxfId="265" priority="19">
      <formula>IF($BZ$4="AGOSTO","VERDADERO")</formula>
    </cfRule>
  </conditionalFormatting>
  <conditionalFormatting sqref="F5 L5 R5 X5 AD5 AJ5 AP5">
    <cfRule type="expression" dxfId="264" priority="20">
      <formula>IF($BZ$4="JULIO","VERDADERO")</formula>
    </cfRule>
  </conditionalFormatting>
  <conditionalFormatting sqref="F5 L5 R5 X5 AD5 AJ5">
    <cfRule type="expression" dxfId="263" priority="21">
      <formula>IF($BZ$4="JUNIO","VERDADERO")</formula>
    </cfRule>
  </conditionalFormatting>
  <conditionalFormatting sqref="F5 L5 R5 X5 AD5">
    <cfRule type="expression" dxfId="262" priority="22">
      <formula>IF($BZ$4="MAYO","VERDADERO")</formula>
    </cfRule>
  </conditionalFormatting>
  <conditionalFormatting sqref="F5 L5 R5 X5">
    <cfRule type="expression" dxfId="261" priority="23">
      <formula>IF($BZ$4="ABRIL","VERDADERO")</formula>
    </cfRule>
  </conditionalFormatting>
  <conditionalFormatting sqref="F5 L5 R5">
    <cfRule type="expression" dxfId="260" priority="24">
      <formula>IF($BZ$4="MARZO","VERDADERO")</formula>
    </cfRule>
  </conditionalFormatting>
  <conditionalFormatting sqref="F5 L5">
    <cfRule type="expression" dxfId="259" priority="25">
      <formula>IF($BZ$4="FEBRERO","VERDADERO")</formula>
    </cfRule>
  </conditionalFormatting>
  <conditionalFormatting sqref="F5">
    <cfRule type="expression" dxfId="258" priority="26">
      <formula>IF($BZ$4="ENERO","VERDADERO")</formula>
    </cfRule>
  </conditionalFormatting>
  <conditionalFormatting sqref="H3 N3 T3 Z3 AF3 AL3 AR3 AX3 BD3 O72:Q79 U72:W79 AA72:AC79 AG72:AI79 AM72:AO79 AS72:AU79 AY72:BA79 BE72:BG79 BK72:BM79 BQ72:BS79 BW72:BY79 I78 K78 I79:K79 F80:H81 L80:N81 R80:T81 X80:Z81 AD80:AF81 AJ80:AL81 AP80:AR81 AV80:AX81 BB80:BD81 BH80:BJ81 BN80:BP81 BT80:BV81 CA80:CC81 U82:V90 I91:K1048576 O91:Q1048576 AM82:AO1048576 AS82:AU1048576 AY82:BA1048576 BE82:BG1048576 BK82:BM1048576 BQ82:BS1048576 BW82:BY1048576 CD82:CF1048576 U91:W1048576 AA91:AC1048576 AG91:AI1048576 CD75:CF79 CD74:CE74 CD71:CF73 I72:K72 I74:K77 J73:K73 E73 CR7:CR70 CT7:CT70 DH7:DH70 DF7:DF70 DQ7:DQ70 DO7:DO69 I7:I70 K7:K71 O7:O70 Q7:Q71 W7:W71 U7:U70 CF7:CF70 CD7:CD69 CK7:CK69 CM7:CM70 DA7:DA70 CY7:CY70 AA7:AA70 AC7:AC71 AG7:AG70 AI7:AI71 AM7:AM70 AO7:AO71 BY7:BY70 BW7:BW70 BQ7:BQ70 BM7:BM71 BK7:BK70 BG7:BG71 BE7:BE70 BA7:BA71 AY7:AY70 AU7:AU71 AS7:AS70 BS7:BS71">
    <cfRule type="cellIs" dxfId="257" priority="12" operator="greaterThan">
      <formula>1</formula>
    </cfRule>
  </conditionalFormatting>
  <conditionalFormatting sqref="I4:K4 O4:Q4 U4:W4 AA4:AC4 AG4:AI4 AM4:AO4 AS4:AU4 AY4:BA4 BE4:BG4 BK4:BM4 BQ4:BS4 BW4:BY4 CD4:CF4 BY71">
    <cfRule type="cellIs" dxfId="256" priority="14" operator="greaterThan">
      <formula>1</formula>
    </cfRule>
  </conditionalFormatting>
  <conditionalFormatting sqref="CP7:CP69 DD7:DD69 DM7:DM69 CB7:CB69 CI7:CI69 CW7:CW69">
    <cfRule type="cellIs" dxfId="255" priority="10" operator="lessThan">
      <formula>1</formula>
    </cfRule>
    <cfRule type="cellIs" dxfId="254" priority="11" operator="greaterThanOrEqual">
      <formula>1</formula>
    </cfRule>
  </conditionalFormatting>
  <conditionalFormatting sqref="CR7:CR69 DF7:DF69 DO7:DO69 CD7:CD69 CK7:CK69 CY7:CY69">
    <cfRule type="cellIs" dxfId="253" priority="8" operator="greaterThanOrEqual">
      <formula>0.8</formula>
    </cfRule>
    <cfRule type="cellIs" dxfId="252" priority="9" operator="lessThan">
      <formula>0.8</formula>
    </cfRule>
  </conditionalFormatting>
  <conditionalFormatting sqref="CT7:CT69 DH7:DH69 DQ7:DQ69 CF7:CF69 CM7:CM69 DA7:DA69">
    <cfRule type="cellIs" dxfId="251" priority="3" operator="lessThan">
      <formula>0.15</formula>
    </cfRule>
    <cfRule type="cellIs" dxfId="250" priority="5" operator="lessThan">
      <formula>0.15</formula>
    </cfRule>
    <cfRule type="cellIs" dxfId="249" priority="6" operator="between">
      <formula>0.15</formula>
      <formula>0.249</formula>
    </cfRule>
    <cfRule type="cellIs" dxfId="248" priority="7" operator="greaterThanOrEqual">
      <formula>0.25</formula>
    </cfRule>
  </conditionalFormatting>
  <conditionalFormatting sqref="H3 N3 T3 Z3 AF3 AL3 AR3 AX3 BD3 O72:Q79 U72:W79 AA72:AC79 AG72:AI79 AM72:AO79 AS72:AU79 AY72:BA79 BE72:BG79 BK72:BM79 BQ72:BS79 BW72:BY79 I78 K78 I79:K79 F80:H81 L80:N81 R80:T81 X80:Z81 AD80:AF81 AJ80:AL81 AP80:AR81 AV80:AX81 BB80:BD81 BH80:BJ81 BN80:BP81 BT80:BV81 CA80:CC81 U82:V90 I91:K1048576 O91:Q1048576 AM82:AO1048576 AS82:AU1048576 AY82:BA1048576 BE82:BG1048576 BK82:BM1048576 BQ82:BS1048576 BW82:BY1048576 CD82:CF1048576 U91:W1048576 AA91:AC1048576 AG91:AI1048576 CD75:CF79 CD74:CE74 CD71:CF73 I72:K72 I74:K77 J73:K73 E73 CT7:CT69 CR7:CR69 DH7:DH69 DF7:DF69 DQ7:DQ70 DO7:DO69 CF7:CF70 CD7:CD69 CM7:CM69 CK7:CK69 DA7:DA69 CY7:CY69">
    <cfRule type="containsText" dxfId="247" priority="4" operator="containsText" text="N.D">
      <formula>NOT(ISERROR(SEARCH("N.D",E3)))</formula>
    </cfRule>
  </conditionalFormatting>
  <conditionalFormatting sqref="I82:K90 O82:Q90">
    <cfRule type="cellIs" dxfId="246" priority="2" operator="greaterThan">
      <formula>1</formula>
    </cfRule>
  </conditionalFormatting>
  <conditionalFormatting sqref="Y82:AA90 AE82:AG90">
    <cfRule type="cellIs" dxfId="245" priority="1" operator="greaterThan">
      <formula>1</formula>
    </cfRule>
  </conditionalFormatting>
  <conditionalFormatting sqref="K62:K67 K32:K36 K24:K30 K38:K43 K56:K60 Q62:Q67 Q32:Q36 Q24:Q30 Q38:Q43 Q56:Q60 W62:W67 W32:W36 W24:W30 W38:W43 W56:W60 AC62:AC67 AC32:AC36 AC24:AC30 AC38:AC43 AC56:AC60 AI62:AI67 AI32:AI36 AI24:AI30 AI38:AI43 AI56:AI60 AO62:AO67 AO32:AO36 AO24:AO30 AO38:AO43 AO56:AO60 AU62:AU67 AU32:AU36 AU24:AU30 AU38:AU43 AU56:AU60 BA62:BA67 BA32:BA36 BA24:BA30 BA38:BA43 BA56:BA60 BG62:BG67 BG32:BG36 BG24:BG30 BG38:BG43 BG56:BG60 BM62:BM67 BM32:BM36 BM24:BM30 BM38:BM43 BM56:BM60 BS32:BS36 BS24:BS30 BS38:BS43 BS56:BS60 BY62:BY67 BY32:BY36 BY24:BY30 BY38:BY43 BY56:BY60 BY18:BY22 BY12:BY16 BS18:BS22 BS12:BS16 BM18:BM22 BM12:BM16 BG18:BG22 BG12:BG16 BA18:BA22 BA12:BA16 AU18:AU22 AU12:AU16 AO18:AO22 AO12:AO16 AI18:AI22 AI12:AI16 AC18:AC22 AC12:AC16 W18:W22 W12:W16 Q18:Q22 Q12:Q16 K18:K22 K12:K16 K7:K10 Q7:Q10 W7:W10 AC7:AC10 AI7:AI10 AO7:AO10 AU7:AU10 BA7:BA10 BG7:BG10 BM7:BM10 BS7:BS10 BY7:BY10 K45:K47 Q45:Q47 W45:W47 AC45:AC47 AI45:AI47 AO45:AO47 AU45:AU47 BA45:BA47 BG45:BG47 BM45:BM47 BS45:BS47 BY45:BY47 K49:K54 Q49:Q54 W49:W54 AC49:AC54 AI49:AI54 AO49:AO54 AU49:AU54 BA49:BA54 BG49:BG54 BM49:BM54 BS49:BS54 BY49:BY54 K69 Q69 W69 AC69 AI69 AO69 BY69 BM69 BG69 BA69 AU69 BS62:BS69">
    <cfRule type="dataBar" priority="2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{64B9F792-9273-4594-B32E-ABF9405DA875}</x14:id>
        </ext>
      </extLst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9F792-9273-4594-B32E-ABF9405DA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K62:K67 K32:K36 K24:K30 K38:K43 K56:K60 Q62:Q67 Q32:Q36 Q24:Q30 Q38:Q43 Q56:Q60 W62:W67 W32:W36 W24:W30 W38:W43 W56:W60 AC62:AC67 AC32:AC36 AC24:AC30 AC38:AC43 AC56:AC60 AI62:AI67 AI32:AI36 AI24:AI30 AI38:AI43 AI56:AI60 AO62:AO67 AO32:AO36 AO24:AO30 AO38:AO43 AO56:AO60 AU62:AU67 AU32:AU36 AU24:AU30 AU38:AU43 AU56:AU60 BA62:BA67 BA32:BA36 BA24:BA30 BA38:BA43 BA56:BA60 BG62:BG67 BG32:BG36 BG24:BG30 BG38:BG43 BG56:BG60 BM62:BM67 BM32:BM36 BM24:BM30 BM38:BM43 BM56:BM60 BS32:BS36 BS24:BS30 BS38:BS43 BS56:BS60 BY62:BY67 BY32:BY36 BY24:BY30 BY38:BY43 BY56:BY60 BY18:BY22 BY12:BY16 BS18:BS22 BS12:BS16 BM18:BM22 BM12:BM16 BG18:BG22 BG12:BG16 BA18:BA22 BA12:BA16 AU18:AU22 AU12:AU16 AO18:AO22 AO12:AO16 AI18:AI22 AI12:AI16 AC18:AC22 AC12:AC16 W18:W22 W12:W16 Q18:Q22 Q12:Q16 K18:K22 K12:K16 K7:K10 Q7:Q10 W7:W10 AC7:AC10 AI7:AI10 AO7:AO10 AU7:AU10 BA7:BA10 BG7:BG10 BM7:BM10 BS7:BS10 BY7:BY10 K45:K47 Q45:Q47 W45:W47 AC45:AC47 AI45:AI47 AO45:AO47 AU45:AU47 BA45:BA47 BG45:BG47 BM45:BM47 BS45:BS47 BY45:BY47 K49:K54 Q49:Q54 W49:W54 AC49:AC54 AI49:AI54 AO49:AO54 AU49:AU54 BA49:BA54 BG49:BG54 BM49:BM54 BS49:BS54 BY49:BY54 K69 Q69 W69 AC69 AI69 AO69 BY69 BM69 BG69 BA69 AU69 BS62:BS69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55AA5C3-91C9-48A2-905A-860A94586A18}">
          <x14:formula1>
            <xm:f>MAESTRO!$H$3:$H$14</xm:f>
          </x14:formula1>
          <xm:sqref>BZ4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6AFE-4619-40E0-BB89-968D509F63B8}">
  <sheetPr codeName="Hoja2">
    <tabColor theme="3" tint="0.59999389629810485"/>
    <pageSetUpPr fitToPage="1"/>
  </sheetPr>
  <dimension ref="A1:AM41"/>
  <sheetViews>
    <sheetView workbookViewId="0">
      <selection activeCell="AB2" sqref="AB2"/>
    </sheetView>
  </sheetViews>
  <sheetFormatPr baseColWidth="10" defaultColWidth="11.453125" defaultRowHeight="12.5" x14ac:dyDescent="0.25"/>
  <cols>
    <col min="1" max="1" width="2.1796875" style="2" customWidth="1"/>
    <col min="2" max="2" width="10.1796875" style="2" customWidth="1"/>
    <col min="3" max="3" width="22.1796875" style="2" customWidth="1"/>
    <col min="4" max="27" width="6.54296875" style="2" customWidth="1"/>
    <col min="28" max="28" width="11.1796875" style="2" customWidth="1"/>
    <col min="29" max="29" width="7.54296875" style="2" bestFit="1" customWidth="1"/>
    <col min="30" max="30" width="6.81640625" style="2" customWidth="1"/>
    <col min="31" max="31" width="7.7265625" style="2" customWidth="1"/>
    <col min="32" max="32" width="7.54296875" style="2" bestFit="1" customWidth="1"/>
    <col min="33" max="33" width="6.81640625" style="2" customWidth="1"/>
    <col min="34" max="36" width="6.81640625" style="2" hidden="1" customWidth="1"/>
    <col min="37" max="39" width="6.81640625" style="2" customWidth="1"/>
    <col min="40" max="16384" width="11.453125" style="2"/>
  </cols>
  <sheetData>
    <row r="1" spans="1:39" s="16" customFormat="1" ht="18.5" thickBot="1" x14ac:dyDescent="0.3">
      <c r="A1" s="694" t="s">
        <v>256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  <c r="AE1" s="694"/>
      <c r="AF1" s="694"/>
      <c r="AG1" s="694"/>
      <c r="AH1" s="694"/>
      <c r="AI1" s="694"/>
      <c r="AJ1" s="694"/>
      <c r="AK1" s="694"/>
      <c r="AL1" s="694"/>
      <c r="AM1" s="694"/>
    </row>
    <row r="2" spans="1:39" s="119" customFormat="1" ht="13" thickBot="1" x14ac:dyDescent="0.3">
      <c r="D2" s="119">
        <v>8</v>
      </c>
      <c r="F2" s="119">
        <v>10</v>
      </c>
      <c r="H2" s="119">
        <v>12</v>
      </c>
      <c r="J2" s="119">
        <v>16</v>
      </c>
      <c r="L2" s="119">
        <v>18</v>
      </c>
      <c r="N2" s="119">
        <v>20</v>
      </c>
      <c r="P2" s="119">
        <v>24</v>
      </c>
      <c r="R2" s="119">
        <v>26</v>
      </c>
      <c r="T2" s="119">
        <v>28</v>
      </c>
      <c r="V2" s="119">
        <v>32</v>
      </c>
      <c r="X2" s="119">
        <v>34</v>
      </c>
      <c r="Z2" s="119">
        <v>36</v>
      </c>
      <c r="AB2" s="83" t="s">
        <v>5</v>
      </c>
    </row>
    <row r="3" spans="1:39" ht="15" customHeight="1" x14ac:dyDescent="0.25">
      <c r="B3" s="699" t="s">
        <v>76</v>
      </c>
      <c r="C3" s="700"/>
      <c r="D3" s="717" t="s">
        <v>0</v>
      </c>
      <c r="E3" s="718"/>
      <c r="F3" s="716" t="s">
        <v>1</v>
      </c>
      <c r="G3" s="716"/>
      <c r="H3" s="714" t="s">
        <v>2</v>
      </c>
      <c r="I3" s="715"/>
      <c r="J3" s="716" t="s">
        <v>3</v>
      </c>
      <c r="K3" s="716"/>
      <c r="L3" s="714" t="s">
        <v>4</v>
      </c>
      <c r="M3" s="715"/>
      <c r="N3" s="716" t="s">
        <v>5</v>
      </c>
      <c r="O3" s="716"/>
      <c r="P3" s="714" t="s">
        <v>6</v>
      </c>
      <c r="Q3" s="715"/>
      <c r="R3" s="716" t="s">
        <v>7</v>
      </c>
      <c r="S3" s="716"/>
      <c r="T3" s="714" t="s">
        <v>29</v>
      </c>
      <c r="U3" s="715"/>
      <c r="V3" s="716" t="s">
        <v>30</v>
      </c>
      <c r="W3" s="716"/>
      <c r="X3" s="714" t="s">
        <v>31</v>
      </c>
      <c r="Y3" s="715"/>
      <c r="Z3" s="716" t="s">
        <v>32</v>
      </c>
      <c r="AA3" s="716"/>
      <c r="AB3" s="719" t="s">
        <v>33</v>
      </c>
      <c r="AC3" s="720"/>
      <c r="AD3" s="721"/>
      <c r="AE3" s="720" t="s">
        <v>34</v>
      </c>
      <c r="AF3" s="720"/>
      <c r="AG3" s="721"/>
      <c r="AH3" s="719" t="s">
        <v>73</v>
      </c>
      <c r="AI3" s="720"/>
      <c r="AJ3" s="721"/>
      <c r="AK3" s="719" t="s">
        <v>171</v>
      </c>
      <c r="AL3" s="720"/>
      <c r="AM3" s="721"/>
    </row>
    <row r="4" spans="1:39" ht="15" customHeight="1" thickBot="1" x14ac:dyDescent="0.3">
      <c r="B4" s="701"/>
      <c r="C4" s="702"/>
      <c r="D4" s="310" t="s">
        <v>168</v>
      </c>
      <c r="E4" s="404" t="s">
        <v>37</v>
      </c>
      <c r="F4" s="400" t="s">
        <v>168</v>
      </c>
      <c r="G4" s="404" t="s">
        <v>37</v>
      </c>
      <c r="H4" s="401" t="s">
        <v>168</v>
      </c>
      <c r="I4" s="404" t="s">
        <v>37</v>
      </c>
      <c r="J4" s="400" t="s">
        <v>168</v>
      </c>
      <c r="K4" s="404" t="s">
        <v>37</v>
      </c>
      <c r="L4" s="401" t="s">
        <v>168</v>
      </c>
      <c r="M4" s="404" t="s">
        <v>37</v>
      </c>
      <c r="N4" s="405" t="s">
        <v>168</v>
      </c>
      <c r="O4" s="400" t="s">
        <v>37</v>
      </c>
      <c r="P4" s="401" t="s">
        <v>168</v>
      </c>
      <c r="Q4" s="404" t="s">
        <v>37</v>
      </c>
      <c r="R4" s="405" t="s">
        <v>168</v>
      </c>
      <c r="S4" s="400" t="s">
        <v>37</v>
      </c>
      <c r="T4" s="401" t="s">
        <v>168</v>
      </c>
      <c r="U4" s="404" t="s">
        <v>37</v>
      </c>
      <c r="V4" s="400" t="s">
        <v>168</v>
      </c>
      <c r="W4" s="404" t="s">
        <v>37</v>
      </c>
      <c r="X4" s="405" t="s">
        <v>168</v>
      </c>
      <c r="Y4" s="399" t="s">
        <v>37</v>
      </c>
      <c r="Z4" s="400" t="s">
        <v>168</v>
      </c>
      <c r="AA4" s="404" t="s">
        <v>37</v>
      </c>
      <c r="AB4" s="405" t="s">
        <v>168</v>
      </c>
      <c r="AC4" s="402" t="s">
        <v>37</v>
      </c>
      <c r="AD4" s="406" t="s">
        <v>38</v>
      </c>
      <c r="AE4" s="405" t="s">
        <v>168</v>
      </c>
      <c r="AF4" s="407" t="s">
        <v>37</v>
      </c>
      <c r="AG4" s="403" t="s">
        <v>38</v>
      </c>
      <c r="AH4" s="400" t="s">
        <v>168</v>
      </c>
      <c r="AI4" s="400" t="s">
        <v>37</v>
      </c>
      <c r="AJ4" s="403" t="s">
        <v>38</v>
      </c>
      <c r="AK4" s="400" t="s">
        <v>168</v>
      </c>
      <c r="AL4" s="408" t="s">
        <v>37</v>
      </c>
      <c r="AM4" s="409" t="s">
        <v>38</v>
      </c>
    </row>
    <row r="5" spans="1:39" s="4" customFormat="1" ht="15" customHeight="1" x14ac:dyDescent="0.25">
      <c r="B5" s="8">
        <v>7450</v>
      </c>
      <c r="C5" s="309" t="s">
        <v>276</v>
      </c>
      <c r="D5" s="221">
        <f ca="1">SUMIF('UC BMW 2026'!$D$5:$D$77,'UC BMW 2026 (Grp. Propietar'!$B5,'UC BMW 2026'!$F$5:$F$72)</f>
        <v>135</v>
      </c>
      <c r="E5" s="123">
        <f ca="1">SUMIF('UC BMW 2026'!$D$5:$D$77,'UC BMW 2026 (Grp. Propietar'!$B5,'UC BMW 2026'!$G$5:$G$72)</f>
        <v>124</v>
      </c>
      <c r="F5" s="221">
        <f ca="1">SUMIF('UC BMW 2026'!$D$5:$D$77,'UC BMW 2026 (Grp. Propietar'!$B5,'UC BMW 2026'!$H$5:$H$72)</f>
        <v>138</v>
      </c>
      <c r="G5" s="19">
        <f ca="1">SUMIF('UC BMW 2026'!$D$5:$D$77,'UC BMW 2026 (Grp. Propietar'!$B5,'UC BMW 2026'!$I$5:$I$72)</f>
        <v>168</v>
      </c>
      <c r="H5" s="224">
        <f ca="1">SUMIF('UC BMW 2026'!$D$5:$D$77,'UC BMW 2026 (Grp. Propietar'!$B5,'UC BMW 2026'!$J$5:$J$72)</f>
        <v>157</v>
      </c>
      <c r="I5" s="123">
        <f ca="1">SUMIF('UC BMW 2026'!$D$5:$D$77,'UC BMW 2026 (Grp. Propietar'!$B5,'UC BMW 2026'!$K$5:$K$72)</f>
        <v>193</v>
      </c>
      <c r="J5" s="221">
        <f ca="1">SUMIF('UC BMW 2026'!$D$5:$D$77,'UC BMW 2026 (Grp. Propietar'!$B5,'UC BMW 2026'!$L$5:$L$72)</f>
        <v>154</v>
      </c>
      <c r="K5" s="19">
        <f ca="1">SUMIF('UC BMW 2026'!$D$5:$D$77,'UC BMW 2026 (Grp. Propietar'!$B5,'UC BMW 2026'!$M$5:$M$72)</f>
        <v>182</v>
      </c>
      <c r="L5" s="224">
        <f ca="1">SUMIF('UC BMW 2026'!$D$5:$D$77,'UC BMW 2026 (Grp. Propietar'!$B5,'UC BMW 2026'!$N$5:$N$72)</f>
        <v>167</v>
      </c>
      <c r="M5" s="123">
        <f ca="1">SUMIF('UC BMW 2026'!$D$5:$D$77,'UC BMW 2026 (Grp. Propietar'!$B5,'UC BMW 2026'!$O$5:$O$72)</f>
        <v>152</v>
      </c>
      <c r="N5" s="221">
        <f ca="1">SUMIF('UC BMW 2026'!$D$5:$D$77,'UC BMW 2026 (Grp. Propietar'!$B5,'UC BMW 2026'!$P$5:$P$72)</f>
        <v>169</v>
      </c>
      <c r="O5" s="123">
        <f ca="1">SUMIF('UC BMW 2026'!$D$5:$D$77,'UC BMW 2026 (Grp. Propietar'!$B5,'UC BMW 2026'!$Q$5:$Q$72)</f>
        <v>196</v>
      </c>
      <c r="P5" s="221">
        <f ca="1">SUMIF('UC BMW 2026'!$D$5:$D$77,'UC BMW 2026 (Grp. Propietar'!$B5,'UC BMW 2026'!$R$5:$R$72)</f>
        <v>0</v>
      </c>
      <c r="Q5" s="19">
        <f ca="1">SUMIF('UC BMW 2026'!$D$5:$D$77,'UC BMW 2026 (Grp. Propietar'!$B5,'UC BMW 2026'!$S$5:$S$72)</f>
        <v>0</v>
      </c>
      <c r="R5" s="224">
        <f ca="1">SUMIF('UC BMW 2026'!$D$5:$D$77,'UC BMW 2026 (Grp. Propietar'!$B5,'UC BMW 2026'!$T$5:$T$72)</f>
        <v>0</v>
      </c>
      <c r="S5" s="123">
        <f ca="1">SUMIF('UC BMW 2026'!$D$5:$D$77,'UC BMW 2026 (Grp. Propietar'!$B5,'UC BMW 2026'!$U$5:$U$72)</f>
        <v>0</v>
      </c>
      <c r="T5" s="221">
        <f ca="1">SUMIF('UC BMW 2026'!$D$5:$D$77,'UC BMW 2026 (Grp. Propietar'!$B5,'UC BMW 2026'!$V$5:$V$72)</f>
        <v>0</v>
      </c>
      <c r="U5" s="19">
        <f ca="1">SUMIF('UC BMW 2026'!$D$5:$D$77,'UC BMW 2026 (Grp. Propietar'!$B5,'UC BMW 2026'!$W$5:$W$72)</f>
        <v>0</v>
      </c>
      <c r="V5" s="224">
        <f ca="1">SUMIF('UC BMW 2026'!$D$5:$D$77,'UC BMW 2026 (Grp. Propietar'!$B5,'UC BMW 2026'!$X$5:$X$72)</f>
        <v>0</v>
      </c>
      <c r="W5" s="123">
        <f ca="1">SUMIF('UC BMW 2026'!$D$5:$D$77,'UC BMW 2026 (Grp. Propietar'!$B5,'UC BMW 2026'!$Y$5:$Y$72)</f>
        <v>0</v>
      </c>
      <c r="X5" s="221">
        <f>SUMIF('UC BMW 2026'!$D$5:$D$77,$B5,'UC BMW 2026'!Z$5:Z$77)</f>
        <v>0</v>
      </c>
      <c r="Y5" s="19">
        <f>SUMIF('UC BMW 2026'!$D$5:$D$77,$B5,'UC BMW 2026'!AA$5:AA$77)</f>
        <v>0</v>
      </c>
      <c r="Z5" s="224">
        <f>SUMIF('UC BMW 2026'!$D$5:$D$77,$B5,'UC BMW 2026'!AB$5:AB$77)</f>
        <v>0</v>
      </c>
      <c r="AA5" s="19">
        <f>SUMIF('UC BMW 2026'!$D$5:$D$77,$B5,'UC BMW 2026'!AC$5:AC$77)</f>
        <v>0</v>
      </c>
      <c r="AB5" s="17">
        <f t="shared" ref="AB5:AC10" ca="1" si="0">IF($AB$2="ENERO",D5,IF($AB$2="FEBRERO",D5+F5,IF($AB$2="MARZO",D5+F5+H5,IF($AB$2="ABRIL",D5+F5+H5+J5,IF($AB$2="MAYO",D5+F5+H5+J5+L5,IF($AB$2="JUNIO",D5+F5+H5+J5+L5+N5,IF($AB$2="JULIO",D5+F5+H5+J5+L5+N5+P5,IF($AB$2="AGOSTO",D5+F5+H5+J5+L5+N5+P5+R5,IF($AB$2="SEPTIEMBRE",D5+F5+H5+J5+L5+N5+P5+R5+T5,IF($AB$2="OCTUBRE",D5+F5+H5+J5+L5+N5+P5+R5+T5+V5,IF($AB$2="NOVIEMBRE",D5+F5+H5+J5+L5+N5+P5+R5+T5+V5+X5,IF($AB$2="DICIEMBRE",D5+F5+H5+J5+L5+N5+P5+R5+T5+V5+X5+Z5,""))))))))))))</f>
        <v>920</v>
      </c>
      <c r="AC5" s="20">
        <f t="shared" ca="1" si="0"/>
        <v>1015</v>
      </c>
      <c r="AD5" s="238">
        <f ca="1">IFERROR((AF5/AB5),0)</f>
        <v>1.1032608695652173</v>
      </c>
      <c r="AE5" s="17">
        <f t="shared" ref="AE5:AE21" ca="1" si="1">+D5+F5+H5+J5+L5+N5+P5+R5+T5+V5+X5+Z5</f>
        <v>920</v>
      </c>
      <c r="AF5" s="20">
        <f t="shared" ref="AF5:AF11" ca="1" si="2">IF($AB$2="ENERO",E5,IF($AB$2="FEBRERO",E5+G5,IF($AB$2="MARZO",E5+G5+I5,IF($AB$2="ABRIL",E5+G5+I5+K5,IF($AB$2="MAYO",E5+G5+I5+K5+M5,IF($AB$2="JUNIO",E5+G5+I5+K5+M5+O5,IF($AB$2="JULIO",E5+G5+I5+K5+M5+O5+Q5,IF($AB$2="AGOSTO",E5+G5+I5+K5+M5+O5+Q5+S5,IF($AB$2="SEPTIEMBRE",E5+G5+I5+K5+M5+O5+Q5+S5+U5,IF($AB$2="OCTUBRE",E5+G5+I5+K5+M5+O5+Q5+S5+U5+W5,IF($AB$2="NOVIEMBRE",E5+G5+I5+K5+M5+O5+Q5+S5+U5+W5+Y5,IF($AB$2="DICIEMBRE",E5+G5+I5+K5+M5+O5+Q5+S5+U5+W5+Y5+AA5,""))))))))))))</f>
        <v>1015</v>
      </c>
      <c r="AG5" s="238">
        <f t="shared" ref="AG5:AG35" ca="1" si="3">IFERROR((AF5/AE5),0)</f>
        <v>1.1032608695652173</v>
      </c>
      <c r="AH5" s="17">
        <f t="shared" ref="AH5:AI21" ca="1" si="4">IF($AH$3="Q1",D5+F5+H5,IF($AH$3="Q2",J5+L5++N5,IF($AH$3="Q3",P5+R5+T5,IF($AH$3="Q4",V5+X5+Z5,0))))</f>
        <v>0</v>
      </c>
      <c r="AI5" s="20">
        <f t="shared" ca="1" si="4"/>
        <v>0</v>
      </c>
      <c r="AJ5" s="238">
        <f t="shared" ref="AJ5:AJ35" ca="1" si="5">IFERROR((AI5/AH5),0)</f>
        <v>0</v>
      </c>
      <c r="AK5" s="17">
        <f ca="1">IF($AK$3="S 1",D5+F5+H5+J5+L5+N5,IF($AK$3="S 2",P5+R5+T5+V5+X5+Z5,0))</f>
        <v>920</v>
      </c>
      <c r="AL5" s="20">
        <f ca="1">IF($AK$3="S 1",E5+G5+I5+K5+M5+O5,IF($AK$3="S 2",Q5+S5+U5+W5+Y5+AA5,0))</f>
        <v>1015</v>
      </c>
      <c r="AM5" s="238">
        <f t="shared" ref="AM5:AM35" ca="1" si="6">IFERROR((AL5/AK5),0)</f>
        <v>1.1032608695652173</v>
      </c>
    </row>
    <row r="6" spans="1:39" s="4" customFormat="1" ht="15" customHeight="1" x14ac:dyDescent="0.25">
      <c r="B6" s="8">
        <v>8337</v>
      </c>
      <c r="C6" s="309" t="s">
        <v>274</v>
      </c>
      <c r="D6" s="222">
        <f ca="1">SUMIF('UC BMW 2026'!$D$5:$D$77,'UC BMW 2026 (Grp. Propietar'!$B6,'UC BMW 2026'!$F$5:$F$72)</f>
        <v>105</v>
      </c>
      <c r="E6" s="124">
        <f ca="1">SUMIF('UC BMW 2026'!$D$5:$D$77,'UC BMW 2026 (Grp. Propietar'!$B6,'UC BMW 2026'!$G$5:$G$72)</f>
        <v>86</v>
      </c>
      <c r="F6" s="222">
        <f ca="1">SUMIF('UC BMW 2026'!$D$5:$D$77,'UC BMW 2026 (Grp. Propietar'!$B6,'UC BMW 2026'!$H$5:$H$72)</f>
        <v>105</v>
      </c>
      <c r="G6" s="23">
        <f ca="1">SUMIF('UC BMW 2026'!$D$5:$D$77,'UC BMW 2026 (Grp. Propietar'!$B6,'UC BMW 2026'!$I$5:$I$72)</f>
        <v>91</v>
      </c>
      <c r="H6" s="225">
        <f ca="1">SUMIF('UC BMW 2026'!$D$5:$D$77,'UC BMW 2026 (Grp. Propietar'!$B6,'UC BMW 2026'!$J$5:$J$72)</f>
        <v>106</v>
      </c>
      <c r="I6" s="124">
        <f ca="1">SUMIF('UC BMW 2026'!$D$5:$D$77,'UC BMW 2026 (Grp. Propietar'!$B6,'UC BMW 2026'!$K$5:$K$72)</f>
        <v>89</v>
      </c>
      <c r="J6" s="222">
        <f ca="1">SUMIF('UC BMW 2026'!$D$5:$D$77,'UC BMW 2026 (Grp. Propietar'!$B6,'UC BMW 2026'!$L$5:$L$72)</f>
        <v>105</v>
      </c>
      <c r="K6" s="23">
        <f ca="1">SUMIF('UC BMW 2026'!$D$5:$D$77,'UC BMW 2026 (Grp. Propietar'!$B6,'UC BMW 2026'!$M$5:$M$72)</f>
        <v>64</v>
      </c>
      <c r="L6" s="225">
        <f ca="1">SUMIF('UC BMW 2026'!$D$5:$D$77,'UC BMW 2026 (Grp. Propietar'!$B6,'UC BMW 2026'!$N$5:$N$72)</f>
        <v>105</v>
      </c>
      <c r="M6" s="124">
        <f ca="1">SUMIF('UC BMW 2026'!$D$5:$D$77,'UC BMW 2026 (Grp. Propietar'!$B6,'UC BMW 2026'!$O$5:$O$72)</f>
        <v>77</v>
      </c>
      <c r="N6" s="222">
        <f ca="1">SUMIF('UC BMW 2026'!$D$5:$D$77,'UC BMW 2026 (Grp. Propietar'!$B6,'UC BMW 2026'!$P$5:$P$72)</f>
        <v>106</v>
      </c>
      <c r="O6" s="124">
        <f ca="1">SUMIF('UC BMW 2026'!$D$5:$D$77,'UC BMW 2026 (Grp. Propietar'!$B6,'UC BMW 2026'!$Q$5:$Q$72)</f>
        <v>91</v>
      </c>
      <c r="P6" s="222">
        <f ca="1">SUMIF('UC BMW 2026'!$D$5:$D$77,'UC BMW 2026 (Grp. Propietar'!$B6,'UC BMW 2026'!$R$5:$R$72)</f>
        <v>0</v>
      </c>
      <c r="Q6" s="23">
        <f ca="1">SUMIF('UC BMW 2026'!$D$5:$D$77,'UC BMW 2026 (Grp. Propietar'!$B6,'UC BMW 2026'!$S$5:$S$72)</f>
        <v>0</v>
      </c>
      <c r="R6" s="225">
        <f ca="1">SUMIF('UC BMW 2026'!$D$5:$D$77,'UC BMW 2026 (Grp. Propietar'!$B6,'UC BMW 2026'!$T$5:$T$72)</f>
        <v>0</v>
      </c>
      <c r="S6" s="124">
        <f ca="1">SUMIF('UC BMW 2026'!$D$5:$D$77,'UC BMW 2026 (Grp. Propietar'!$B6,'UC BMW 2026'!$U$5:$U$72)</f>
        <v>0</v>
      </c>
      <c r="T6" s="222">
        <f ca="1">SUMIF('UC BMW 2026'!$D$5:$D$77,'UC BMW 2026 (Grp. Propietar'!$B6,'UC BMW 2026'!$V$5:$V$72)</f>
        <v>0</v>
      </c>
      <c r="U6" s="23">
        <f ca="1">SUMIF('UC BMW 2026'!$D$5:$D$77,'UC BMW 2026 (Grp. Propietar'!$B6,'UC BMW 2026'!$W$5:$W$72)</f>
        <v>0</v>
      </c>
      <c r="V6" s="225">
        <f ca="1">SUMIF('UC BMW 2026'!$D$5:$D$77,'UC BMW 2026 (Grp. Propietar'!$B6,'UC BMW 2026'!$X$5:$X$72)</f>
        <v>0</v>
      </c>
      <c r="W6" s="124">
        <f ca="1">SUMIF('UC BMW 2026'!$D$5:$D$77,'UC BMW 2026 (Grp. Propietar'!$B6,'UC BMW 2026'!$Y$5:$Y$72)</f>
        <v>0</v>
      </c>
      <c r="X6" s="222">
        <f>SUMIF('UC BMW 2026'!$D$10:$D$77,$B6,'UC BMW 2026'!Z$10:Z$77)</f>
        <v>0</v>
      </c>
      <c r="Y6" s="23">
        <f>SUMIF('UC BMW 2026'!$D$10:$D$77,$B6,'UC BMW 2026'!AA$10:AA$77)</f>
        <v>0</v>
      </c>
      <c r="Z6" s="225">
        <f>SUMIF('UC BMW 2026'!$D$10:$D$77,$B6,'UC BMW 2026'!AB$10:AB$77)</f>
        <v>0</v>
      </c>
      <c r="AA6" s="23">
        <f>SUMIF('UC BMW 2026'!$D$10:$D$77,$B6,'UC BMW 2026'!AC$10:AC$77)</f>
        <v>0</v>
      </c>
      <c r="AB6" s="21">
        <f t="shared" ca="1" si="0"/>
        <v>632</v>
      </c>
      <c r="AC6" s="24">
        <f t="shared" ca="1" si="0"/>
        <v>498</v>
      </c>
      <c r="AD6" s="239">
        <f t="shared" ref="AD6:AD35" ca="1" si="7">IFERROR((AC6/AB6),0)</f>
        <v>0.78797468354430378</v>
      </c>
      <c r="AE6" s="21">
        <f t="shared" ca="1" si="1"/>
        <v>632</v>
      </c>
      <c r="AF6" s="24">
        <f t="shared" ca="1" si="2"/>
        <v>498</v>
      </c>
      <c r="AG6" s="239">
        <f t="shared" ca="1" si="3"/>
        <v>0.78797468354430378</v>
      </c>
      <c r="AH6" s="21">
        <f t="shared" ca="1" si="4"/>
        <v>0</v>
      </c>
      <c r="AI6" s="24">
        <f t="shared" ca="1" si="4"/>
        <v>0</v>
      </c>
      <c r="AJ6" s="239">
        <f t="shared" ca="1" si="5"/>
        <v>0</v>
      </c>
      <c r="AK6" s="21">
        <f t="shared" ref="AK6:AL21" ca="1" si="8">IF($AK$3="S 1",D6+F6+H6+J6+L6+N6,IF($AK$3="S 2",P6+R6+T6+V6+X6+Z6,0))</f>
        <v>632</v>
      </c>
      <c r="AL6" s="24">
        <f t="shared" ca="1" si="8"/>
        <v>498</v>
      </c>
      <c r="AM6" s="239">
        <f t="shared" ca="1" si="6"/>
        <v>0.78797468354430378</v>
      </c>
    </row>
    <row r="7" spans="1:39" s="4" customFormat="1" ht="15" customHeight="1" x14ac:dyDescent="0.25">
      <c r="B7" s="8">
        <v>20285</v>
      </c>
      <c r="C7" s="309" t="s">
        <v>78</v>
      </c>
      <c r="D7" s="222">
        <f ca="1">SUMIF('UC BMW 2026'!$D$5:$D$77,'UC BMW 2026 (Grp. Propietar'!$B7,'UC BMW 2026'!$F$5:$F$72)</f>
        <v>40</v>
      </c>
      <c r="E7" s="124">
        <f ca="1">SUMIF('UC BMW 2026'!$D$5:$D$77,'UC BMW 2026 (Grp. Propietar'!$B7,'UC BMW 2026'!$G$5:$G$72)</f>
        <v>22</v>
      </c>
      <c r="F7" s="222">
        <f ca="1">SUMIF('UC BMW 2026'!$D$5:$D$77,'UC BMW 2026 (Grp. Propietar'!$B7,'UC BMW 2026'!$H$5:$H$72)</f>
        <v>40</v>
      </c>
      <c r="G7" s="23">
        <f ca="1">SUMIF('UC BMW 2026'!$D$5:$D$77,'UC BMW 2026 (Grp. Propietar'!$B7,'UC BMW 2026'!$I$5:$I$72)</f>
        <v>41</v>
      </c>
      <c r="H7" s="225">
        <f ca="1">SUMIF('UC BMW 2026'!$D$5:$D$77,'UC BMW 2026 (Grp. Propietar'!$B7,'UC BMW 2026'!$J$5:$J$72)</f>
        <v>40</v>
      </c>
      <c r="I7" s="124">
        <f ca="1">SUMIF('UC BMW 2026'!$D$5:$D$77,'UC BMW 2026 (Grp. Propietar'!$B7,'UC BMW 2026'!$K$5:$K$72)</f>
        <v>44</v>
      </c>
      <c r="J7" s="222">
        <f ca="1">SUMIF('UC BMW 2026'!$D$5:$D$77,'UC BMW 2026 (Grp. Propietar'!$B7,'UC BMW 2026'!$L$5:$L$72)</f>
        <v>41</v>
      </c>
      <c r="K7" s="23">
        <f ca="1">SUMIF('UC BMW 2026'!$D$5:$D$77,'UC BMW 2026 (Grp. Propietar'!$B7,'UC BMW 2026'!$M$5:$M$72)</f>
        <v>34</v>
      </c>
      <c r="L7" s="225">
        <f ca="1">SUMIF('UC BMW 2026'!$D$5:$D$77,'UC BMW 2026 (Grp. Propietar'!$B7,'UC BMW 2026'!$N$5:$N$72)</f>
        <v>41</v>
      </c>
      <c r="M7" s="124">
        <f ca="1">SUMIF('UC BMW 2026'!$D$5:$D$77,'UC BMW 2026 (Grp. Propietar'!$B7,'UC BMW 2026'!$O$5:$O$72)</f>
        <v>27</v>
      </c>
      <c r="N7" s="222">
        <f ca="1">SUMIF('UC BMW 2026'!$D$5:$D$77,'UC BMW 2026 (Grp. Propietar'!$B7,'UC BMW 2026'!$P$5:$P$72)</f>
        <v>42</v>
      </c>
      <c r="O7" s="124">
        <f ca="1">SUMIF('UC BMW 2026'!$D$5:$D$77,'UC BMW 2026 (Grp. Propietar'!$B7,'UC BMW 2026'!$Q$5:$Q$72)</f>
        <v>52</v>
      </c>
      <c r="P7" s="222">
        <f ca="1">SUMIF('UC BMW 2026'!$D$5:$D$77,'UC BMW 2026 (Grp. Propietar'!$B7,'UC BMW 2026'!$R$5:$R$72)</f>
        <v>0</v>
      </c>
      <c r="Q7" s="23">
        <f ca="1">SUMIF('UC BMW 2026'!$D$5:$D$77,'UC BMW 2026 (Grp. Propietar'!$B7,'UC BMW 2026'!$S$5:$S$72)</f>
        <v>0</v>
      </c>
      <c r="R7" s="225">
        <f ca="1">SUMIF('UC BMW 2026'!$D$5:$D$77,'UC BMW 2026 (Grp. Propietar'!$B7,'UC BMW 2026'!$T$5:$T$72)</f>
        <v>0</v>
      </c>
      <c r="S7" s="124">
        <f ca="1">SUMIF('UC BMW 2026'!$D$5:$D$77,'UC BMW 2026 (Grp. Propietar'!$B7,'UC BMW 2026'!$U$5:$U$72)</f>
        <v>0</v>
      </c>
      <c r="T7" s="222">
        <f ca="1">SUMIF('UC BMW 2026'!$D$5:$D$77,'UC BMW 2026 (Grp. Propietar'!$B7,'UC BMW 2026'!$V$5:$V$72)</f>
        <v>0</v>
      </c>
      <c r="U7" s="23">
        <f ca="1">SUMIF('UC BMW 2026'!$D$5:$D$77,'UC BMW 2026 (Grp. Propietar'!$B7,'UC BMW 2026'!$W$5:$W$72)</f>
        <v>0</v>
      </c>
      <c r="V7" s="225">
        <f ca="1">SUMIF('UC BMW 2026'!$D$5:$D$77,'UC BMW 2026 (Grp. Propietar'!$B7,'UC BMW 2026'!$X$5:$X$72)</f>
        <v>0</v>
      </c>
      <c r="W7" s="124">
        <f ca="1">SUMIF('UC BMW 2026'!$D$5:$D$77,'UC BMW 2026 (Grp. Propietar'!$B7,'UC BMW 2026'!$Y$5:$Y$72)</f>
        <v>0</v>
      </c>
      <c r="X7" s="222">
        <f>SUMIF('UC BMW 2026'!$D$10:$D$77,$B7,'UC BMW 2026'!Z$10:Z$77)</f>
        <v>0</v>
      </c>
      <c r="Y7" s="23">
        <f>SUMIF('UC BMW 2026'!$D$10:$D$77,$B7,'UC BMW 2026'!AA$10:AA$77)</f>
        <v>0</v>
      </c>
      <c r="Z7" s="225">
        <f>SUMIF('UC BMW 2026'!$D$10:$D$77,$B7,'UC BMW 2026'!AB$10:AB$77)</f>
        <v>0</v>
      </c>
      <c r="AA7" s="23">
        <f>SUMIF('UC BMW 2026'!$D$10:$D$77,$B7,'UC BMW 2026'!AC$10:AC$77)</f>
        <v>0</v>
      </c>
      <c r="AB7" s="21">
        <f t="shared" ca="1" si="0"/>
        <v>244</v>
      </c>
      <c r="AC7" s="24">
        <f t="shared" ca="1" si="0"/>
        <v>220</v>
      </c>
      <c r="AD7" s="239">
        <f t="shared" ca="1" si="7"/>
        <v>0.90163934426229508</v>
      </c>
      <c r="AE7" s="21">
        <f t="shared" ca="1" si="1"/>
        <v>244</v>
      </c>
      <c r="AF7" s="24">
        <f t="shared" ca="1" si="2"/>
        <v>220</v>
      </c>
      <c r="AG7" s="239">
        <f t="shared" ca="1" si="3"/>
        <v>0.90163934426229508</v>
      </c>
      <c r="AH7" s="21">
        <f t="shared" ca="1" si="4"/>
        <v>0</v>
      </c>
      <c r="AI7" s="24">
        <f t="shared" ca="1" si="4"/>
        <v>0</v>
      </c>
      <c r="AJ7" s="239">
        <f t="shared" ca="1" si="5"/>
        <v>0</v>
      </c>
      <c r="AK7" s="21">
        <f t="shared" ca="1" si="8"/>
        <v>244</v>
      </c>
      <c r="AL7" s="24">
        <f t="shared" ca="1" si="8"/>
        <v>220</v>
      </c>
      <c r="AM7" s="239">
        <f t="shared" ca="1" si="6"/>
        <v>0.90163934426229508</v>
      </c>
    </row>
    <row r="8" spans="1:39" s="4" customFormat="1" ht="15" customHeight="1" x14ac:dyDescent="0.25">
      <c r="B8" s="8">
        <v>22761</v>
      </c>
      <c r="C8" s="309" t="s">
        <v>79</v>
      </c>
      <c r="D8" s="222">
        <f ca="1">SUMIF('UC BMW 2026'!$D$5:$D$77,'UC BMW 2026 (Grp. Propietar'!$B8,'UC BMW 2026'!$F$5:$F$72)</f>
        <v>79</v>
      </c>
      <c r="E8" s="124">
        <f ca="1">SUMIF('UC BMW 2026'!$D$5:$D$77,'UC BMW 2026 (Grp. Propietar'!$B8,'UC BMW 2026'!$G$5:$G$72)</f>
        <v>69</v>
      </c>
      <c r="F8" s="222">
        <f ca="1">SUMIF('UC BMW 2026'!$D$5:$D$77,'UC BMW 2026 (Grp. Propietar'!$B8,'UC BMW 2026'!$H$5:$H$72)</f>
        <v>79</v>
      </c>
      <c r="G8" s="23">
        <f ca="1">SUMIF('UC BMW 2026'!$D$5:$D$77,'UC BMW 2026 (Grp. Propietar'!$B8,'UC BMW 2026'!$I$5:$I$72)</f>
        <v>53</v>
      </c>
      <c r="H8" s="225">
        <f ca="1">SUMIF('UC BMW 2026'!$D$5:$D$77,'UC BMW 2026 (Grp. Propietar'!$B8,'UC BMW 2026'!$J$5:$J$72)</f>
        <v>80</v>
      </c>
      <c r="I8" s="124">
        <f ca="1">SUMIF('UC BMW 2026'!$D$5:$D$77,'UC BMW 2026 (Grp. Propietar'!$B8,'UC BMW 2026'!$K$5:$K$72)</f>
        <v>85</v>
      </c>
      <c r="J8" s="222">
        <f ca="1">SUMIF('UC BMW 2026'!$D$5:$D$77,'UC BMW 2026 (Grp. Propietar'!$B8,'UC BMW 2026'!$L$5:$L$72)</f>
        <v>81</v>
      </c>
      <c r="K8" s="23">
        <f ca="1">SUMIF('UC BMW 2026'!$D$5:$D$77,'UC BMW 2026 (Grp. Propietar'!$B8,'UC BMW 2026'!$M$5:$M$72)</f>
        <v>58</v>
      </c>
      <c r="L8" s="225">
        <f ca="1">SUMIF('UC BMW 2026'!$D$5:$D$77,'UC BMW 2026 (Grp. Propietar'!$B8,'UC BMW 2026'!$N$5:$N$72)</f>
        <v>84</v>
      </c>
      <c r="M8" s="124">
        <f ca="1">SUMIF('UC BMW 2026'!$D$5:$D$77,'UC BMW 2026 (Grp. Propietar'!$B8,'UC BMW 2026'!$O$5:$O$72)</f>
        <v>93</v>
      </c>
      <c r="N8" s="222">
        <f ca="1">SUMIF('UC BMW 2026'!$D$5:$D$77,'UC BMW 2026 (Grp. Propietar'!$B8,'UC BMW 2026'!$P$5:$P$72)</f>
        <v>84</v>
      </c>
      <c r="O8" s="124">
        <f ca="1">SUMIF('UC BMW 2026'!$D$5:$D$77,'UC BMW 2026 (Grp. Propietar'!$B8,'UC BMW 2026'!$Q$5:$Q$72)</f>
        <v>130</v>
      </c>
      <c r="P8" s="222">
        <f ca="1">SUMIF('UC BMW 2026'!$D$5:$D$77,'UC BMW 2026 (Grp. Propietar'!$B8,'UC BMW 2026'!$R$5:$R$72)</f>
        <v>69</v>
      </c>
      <c r="Q8" s="23">
        <f ca="1">SUMIF('UC BMW 2026'!$D$5:$D$77,'UC BMW 2026 (Grp. Propietar'!$B8,'UC BMW 2026'!$S$5:$S$72)</f>
        <v>0</v>
      </c>
      <c r="R8" s="225">
        <f ca="1">SUMIF('UC BMW 2026'!$D$5:$D$77,'UC BMW 2026 (Grp. Propietar'!$B8,'UC BMW 2026'!$T$5:$T$72)</f>
        <v>60</v>
      </c>
      <c r="S8" s="124">
        <f ca="1">SUMIF('UC BMW 2026'!$D$5:$D$77,'UC BMW 2026 (Grp. Propietar'!$B8,'UC BMW 2026'!$U$5:$U$72)</f>
        <v>0</v>
      </c>
      <c r="T8" s="222">
        <f ca="1">SUMIF('UC BMW 2026'!$D$5:$D$77,'UC BMW 2026 (Grp. Propietar'!$B8,'UC BMW 2026'!$V$5:$V$72)</f>
        <v>74</v>
      </c>
      <c r="U8" s="23">
        <f ca="1">SUMIF('UC BMW 2026'!$D$5:$D$77,'UC BMW 2026 (Grp. Propietar'!$B8,'UC BMW 2026'!$W$5:$W$72)</f>
        <v>0</v>
      </c>
      <c r="V8" s="225">
        <f ca="1">SUMIF('UC BMW 2026'!$D$5:$D$77,'UC BMW 2026 (Grp. Propietar'!$B8,'UC BMW 2026'!$X$5:$X$72)</f>
        <v>84</v>
      </c>
      <c r="W8" s="124">
        <f ca="1">SUMIF('UC BMW 2026'!$D$5:$D$77,'UC BMW 2026 (Grp. Propietar'!$B8,'UC BMW 2026'!$Y$5:$Y$72)</f>
        <v>0</v>
      </c>
      <c r="X8" s="222">
        <f>SUMIF('UC BMW 2026'!$D$10:$D$77,$B8,'UC BMW 2026'!Z$10:Z$77)</f>
        <v>83</v>
      </c>
      <c r="Y8" s="23">
        <f>SUMIF('UC BMW 2026'!$D$10:$D$77,$B8,'UC BMW 2026'!AA$10:AA$77)</f>
        <v>0</v>
      </c>
      <c r="Z8" s="225">
        <f>SUMIF('UC BMW 2026'!$D$10:$D$77,$B8,'UC BMW 2026'!AB$10:AB$77)</f>
        <v>77</v>
      </c>
      <c r="AA8" s="23">
        <f>SUMIF('UC BMW 2026'!$D$10:$D$77,$B8,'UC BMW 2026'!AC$10:AC$77)</f>
        <v>0</v>
      </c>
      <c r="AB8" s="21">
        <f t="shared" ca="1" si="0"/>
        <v>487</v>
      </c>
      <c r="AC8" s="24">
        <f t="shared" ca="1" si="0"/>
        <v>488</v>
      </c>
      <c r="AD8" s="239">
        <f t="shared" ca="1" si="7"/>
        <v>1.0020533880903491</v>
      </c>
      <c r="AE8" s="21">
        <f t="shared" ca="1" si="1"/>
        <v>934</v>
      </c>
      <c r="AF8" s="24">
        <f t="shared" ca="1" si="2"/>
        <v>488</v>
      </c>
      <c r="AG8" s="239">
        <f t="shared" ca="1" si="3"/>
        <v>0.5224839400428265</v>
      </c>
      <c r="AH8" s="21">
        <f t="shared" ca="1" si="4"/>
        <v>244</v>
      </c>
      <c r="AI8" s="24">
        <f t="shared" ca="1" si="4"/>
        <v>0</v>
      </c>
      <c r="AJ8" s="239">
        <f t="shared" ca="1" si="5"/>
        <v>0</v>
      </c>
      <c r="AK8" s="21">
        <f t="shared" ca="1" si="8"/>
        <v>487</v>
      </c>
      <c r="AL8" s="24">
        <f t="shared" ca="1" si="8"/>
        <v>488</v>
      </c>
      <c r="AM8" s="239">
        <f t="shared" ca="1" si="6"/>
        <v>1.0020533880903491</v>
      </c>
    </row>
    <row r="9" spans="1:39" s="4" customFormat="1" ht="15" customHeight="1" x14ac:dyDescent="0.25">
      <c r="B9" s="8">
        <v>1211</v>
      </c>
      <c r="C9" s="309" t="s">
        <v>80</v>
      </c>
      <c r="D9" s="222">
        <f ca="1">SUMIF('UC BMW 2026'!$D$5:$D$77,'UC BMW 2026 (Grp. Propietar'!$B9,'UC BMW 2026'!$F$5:$F$72)</f>
        <v>7</v>
      </c>
      <c r="E9" s="124">
        <f ca="1">SUMIF('UC BMW 2026'!$D$5:$D$77,'UC BMW 2026 (Grp. Propietar'!$B9,'UC BMW 2026'!$G$5:$G$72)</f>
        <v>0</v>
      </c>
      <c r="F9" s="222">
        <f ca="1">SUMIF('UC BMW 2026'!$D$5:$D$77,'UC BMW 2026 (Grp. Propietar'!$B9,'UC BMW 2026'!$H$5:$H$72)</f>
        <v>7</v>
      </c>
      <c r="G9" s="23">
        <f ca="1">SUMIF('UC BMW 2026'!$D$5:$D$77,'UC BMW 2026 (Grp. Propietar'!$B9,'UC BMW 2026'!$I$5:$I$72)</f>
        <v>3</v>
      </c>
      <c r="H9" s="225">
        <f ca="1">SUMIF('UC BMW 2026'!$D$5:$D$77,'UC BMW 2026 (Grp. Propietar'!$B9,'UC BMW 2026'!$J$5:$J$72)</f>
        <v>7</v>
      </c>
      <c r="I9" s="124">
        <f ca="1">SUMIF('UC BMW 2026'!$D$5:$D$77,'UC BMW 2026 (Grp. Propietar'!$B9,'UC BMW 2026'!$K$5:$K$72)</f>
        <v>4</v>
      </c>
      <c r="J9" s="222">
        <f ca="1">SUMIF('UC BMW 2026'!$D$5:$D$77,'UC BMW 2026 (Grp. Propietar'!$B9,'UC BMW 2026'!$L$5:$L$72)</f>
        <v>7</v>
      </c>
      <c r="K9" s="23">
        <f ca="1">SUMIF('UC BMW 2026'!$D$5:$D$77,'UC BMW 2026 (Grp. Propietar'!$B9,'UC BMW 2026'!$M$5:$M$72)</f>
        <v>5</v>
      </c>
      <c r="L9" s="225">
        <f ca="1">SUMIF('UC BMW 2026'!$D$5:$D$77,'UC BMW 2026 (Grp. Propietar'!$B9,'UC BMW 2026'!$N$5:$N$72)</f>
        <v>7</v>
      </c>
      <c r="M9" s="124">
        <f ca="1">SUMIF('UC BMW 2026'!$D$5:$D$77,'UC BMW 2026 (Grp. Propietar'!$B9,'UC BMW 2026'!$O$5:$O$72)</f>
        <v>10</v>
      </c>
      <c r="N9" s="222">
        <f ca="1">SUMIF('UC BMW 2026'!$D$5:$D$77,'UC BMW 2026 (Grp. Propietar'!$B9,'UC BMW 2026'!$P$5:$P$72)</f>
        <v>7</v>
      </c>
      <c r="O9" s="124">
        <f ca="1">SUMIF('UC BMW 2026'!$D$5:$D$77,'UC BMW 2026 (Grp. Propietar'!$B9,'UC BMW 2026'!$Q$5:$Q$72)</f>
        <v>10</v>
      </c>
      <c r="P9" s="222">
        <f ca="1">SUMIF('UC BMW 2026'!$D$5:$D$77,'UC BMW 2026 (Grp. Propietar'!$B9,'UC BMW 2026'!$R$5:$R$72)</f>
        <v>0</v>
      </c>
      <c r="Q9" s="23">
        <f ca="1">SUMIF('UC BMW 2026'!$D$5:$D$77,'UC BMW 2026 (Grp. Propietar'!$B9,'UC BMW 2026'!$S$5:$S$72)</f>
        <v>0</v>
      </c>
      <c r="R9" s="225">
        <f ca="1">SUMIF('UC BMW 2026'!$D$5:$D$77,'UC BMW 2026 (Grp. Propietar'!$B9,'UC BMW 2026'!$T$5:$T$72)</f>
        <v>0</v>
      </c>
      <c r="S9" s="124">
        <f ca="1">SUMIF('UC BMW 2026'!$D$5:$D$77,'UC BMW 2026 (Grp. Propietar'!$B9,'UC BMW 2026'!$U$5:$U$72)</f>
        <v>0</v>
      </c>
      <c r="T9" s="222">
        <f ca="1">SUMIF('UC BMW 2026'!$D$5:$D$77,'UC BMW 2026 (Grp. Propietar'!$B9,'UC BMW 2026'!$V$5:$V$72)</f>
        <v>0</v>
      </c>
      <c r="U9" s="23">
        <f ca="1">SUMIF('UC BMW 2026'!$D$5:$D$77,'UC BMW 2026 (Grp. Propietar'!$B9,'UC BMW 2026'!$W$5:$W$72)</f>
        <v>0</v>
      </c>
      <c r="V9" s="225">
        <f ca="1">SUMIF('UC BMW 2026'!$D$5:$D$77,'UC BMW 2026 (Grp. Propietar'!$B9,'UC BMW 2026'!$X$5:$X$72)</f>
        <v>0</v>
      </c>
      <c r="W9" s="124">
        <f ca="1">SUMIF('UC BMW 2026'!$D$5:$D$77,'UC BMW 2026 (Grp. Propietar'!$B9,'UC BMW 2026'!$Y$5:$Y$72)</f>
        <v>0</v>
      </c>
      <c r="X9" s="222">
        <f>SUMIF('UC BMW 2026'!$D$10:$D$77,$B9,'UC BMW 2026'!Z$10:Z$77)</f>
        <v>0</v>
      </c>
      <c r="Y9" s="23">
        <f>SUMIF('UC BMW 2026'!$D$10:$D$77,$B9,'UC BMW 2026'!AA$10:AA$77)</f>
        <v>0</v>
      </c>
      <c r="Z9" s="225">
        <f>SUMIF('UC BMW 2026'!$D$10:$D$77,$B9,'UC BMW 2026'!AB$10:AB$77)</f>
        <v>0</v>
      </c>
      <c r="AA9" s="23">
        <f>SUMIF('UC BMW 2026'!$D$10:$D$77,$B9,'UC BMW 2026'!AC$10:AC$77)</f>
        <v>0</v>
      </c>
      <c r="AB9" s="21">
        <f t="shared" ca="1" si="0"/>
        <v>42</v>
      </c>
      <c r="AC9" s="24">
        <f t="shared" ca="1" si="0"/>
        <v>32</v>
      </c>
      <c r="AD9" s="239">
        <f t="shared" ca="1" si="7"/>
        <v>0.76190476190476186</v>
      </c>
      <c r="AE9" s="21">
        <f t="shared" ca="1" si="1"/>
        <v>42</v>
      </c>
      <c r="AF9" s="24">
        <f t="shared" ca="1" si="2"/>
        <v>32</v>
      </c>
      <c r="AG9" s="239">
        <f t="shared" ca="1" si="3"/>
        <v>0.76190476190476186</v>
      </c>
      <c r="AH9" s="21">
        <f t="shared" ca="1" si="4"/>
        <v>0</v>
      </c>
      <c r="AI9" s="24">
        <f t="shared" ca="1" si="4"/>
        <v>0</v>
      </c>
      <c r="AJ9" s="239">
        <f t="shared" ca="1" si="5"/>
        <v>0</v>
      </c>
      <c r="AK9" s="21">
        <f t="shared" ca="1" si="8"/>
        <v>42</v>
      </c>
      <c r="AL9" s="24">
        <f t="shared" ca="1" si="8"/>
        <v>32</v>
      </c>
      <c r="AM9" s="239">
        <f t="shared" ca="1" si="6"/>
        <v>0.76190476190476186</v>
      </c>
    </row>
    <row r="10" spans="1:39" s="4" customFormat="1" ht="15" customHeight="1" x14ac:dyDescent="0.25">
      <c r="B10" s="8">
        <v>9785</v>
      </c>
      <c r="C10" s="309" t="s">
        <v>81</v>
      </c>
      <c r="D10" s="222">
        <f ca="1">SUMIF('UC BMW 2026'!$D$5:$D$77,'UC BMW 2026 (Grp. Propietar'!$B10,'UC BMW 2026'!$F$5:$F$72)</f>
        <v>32</v>
      </c>
      <c r="E10" s="124">
        <f ca="1">SUMIF('UC BMW 2026'!$D$5:$D$77,'UC BMW 2026 (Grp. Propietar'!$B10,'UC BMW 2026'!$G$5:$G$72)</f>
        <v>24</v>
      </c>
      <c r="F10" s="222">
        <f ca="1">SUMIF('UC BMW 2026'!$D$5:$D$77,'UC BMW 2026 (Grp. Propietar'!$B10,'UC BMW 2026'!$H$5:$H$72)</f>
        <v>33</v>
      </c>
      <c r="G10" s="23">
        <f ca="1">SUMIF('UC BMW 2026'!$D$5:$D$77,'UC BMW 2026 (Grp. Propietar'!$B10,'UC BMW 2026'!$I$5:$I$72)</f>
        <v>20</v>
      </c>
      <c r="H10" s="225">
        <f ca="1">SUMIF('UC BMW 2026'!$D$5:$D$77,'UC BMW 2026 (Grp. Propietar'!$B10,'UC BMW 2026'!$J$5:$J$72)</f>
        <v>33</v>
      </c>
      <c r="I10" s="124">
        <f ca="1">SUMIF('UC BMW 2026'!$D$5:$D$77,'UC BMW 2026 (Grp. Propietar'!$B10,'UC BMW 2026'!$K$5:$K$72)</f>
        <v>14</v>
      </c>
      <c r="J10" s="222">
        <f ca="1">SUMIF('UC BMW 2026'!$D$5:$D$77,'UC BMW 2026 (Grp. Propietar'!$B10,'UC BMW 2026'!$L$5:$L$72)</f>
        <v>34</v>
      </c>
      <c r="K10" s="23">
        <f ca="1">SUMIF('UC BMW 2026'!$D$5:$D$77,'UC BMW 2026 (Grp. Propietar'!$B10,'UC BMW 2026'!$M$5:$M$72)</f>
        <v>27</v>
      </c>
      <c r="L10" s="225">
        <f ca="1">SUMIF('UC BMW 2026'!$D$5:$D$77,'UC BMW 2026 (Grp. Propietar'!$B10,'UC BMW 2026'!$N$5:$N$72)</f>
        <v>34</v>
      </c>
      <c r="M10" s="124">
        <f ca="1">SUMIF('UC BMW 2026'!$D$5:$D$77,'UC BMW 2026 (Grp. Propietar'!$B10,'UC BMW 2026'!$O$5:$O$72)</f>
        <v>17</v>
      </c>
      <c r="N10" s="222">
        <f ca="1">SUMIF('UC BMW 2026'!$D$5:$D$77,'UC BMW 2026 (Grp. Propietar'!$B10,'UC BMW 2026'!$P$5:$P$72)</f>
        <v>34</v>
      </c>
      <c r="O10" s="124">
        <f ca="1">SUMIF('UC BMW 2026'!$D$5:$D$77,'UC BMW 2026 (Grp. Propietar'!$B10,'UC BMW 2026'!$Q$5:$Q$72)</f>
        <v>45</v>
      </c>
      <c r="P10" s="222">
        <f ca="1">SUMIF('UC BMW 2026'!$D$5:$D$77,'UC BMW 2026 (Grp. Propietar'!$B10,'UC BMW 2026'!$R$5:$R$72)</f>
        <v>11</v>
      </c>
      <c r="Q10" s="23">
        <f ca="1">SUMIF('UC BMW 2026'!$D$5:$D$77,'UC BMW 2026 (Grp. Propietar'!$B10,'UC BMW 2026'!$S$5:$S$72)</f>
        <v>0</v>
      </c>
      <c r="R10" s="225">
        <f ca="1">SUMIF('UC BMW 2026'!$D$5:$D$77,'UC BMW 2026 (Grp. Propietar'!$B10,'UC BMW 2026'!$T$5:$T$72)</f>
        <v>10</v>
      </c>
      <c r="S10" s="124">
        <f ca="1">SUMIF('UC BMW 2026'!$D$5:$D$77,'UC BMW 2026 (Grp. Propietar'!$B10,'UC BMW 2026'!$U$5:$U$72)</f>
        <v>0</v>
      </c>
      <c r="T10" s="222">
        <f ca="1">SUMIF('UC BMW 2026'!$D$5:$D$77,'UC BMW 2026 (Grp. Propietar'!$B10,'UC BMW 2026'!$V$5:$V$72)</f>
        <v>11</v>
      </c>
      <c r="U10" s="23">
        <f ca="1">SUMIF('UC BMW 2026'!$D$5:$D$77,'UC BMW 2026 (Grp. Propietar'!$B10,'UC BMW 2026'!$W$5:$W$72)</f>
        <v>0</v>
      </c>
      <c r="V10" s="225">
        <f ca="1">SUMIF('UC BMW 2026'!$D$5:$D$77,'UC BMW 2026 (Grp. Propietar'!$B10,'UC BMW 2026'!$X$5:$X$72)</f>
        <v>11</v>
      </c>
      <c r="W10" s="124">
        <f ca="1">SUMIF('UC BMW 2026'!$D$5:$D$77,'UC BMW 2026 (Grp. Propietar'!$B10,'UC BMW 2026'!$Y$5:$Y$72)</f>
        <v>0</v>
      </c>
      <c r="X10" s="222">
        <f>SUMIF('UC BMW 2026'!$D$10:$D$77,$B10,'UC BMW 2026'!Z$10:Z$77)</f>
        <v>11</v>
      </c>
      <c r="Y10" s="23">
        <f>SUMIF('UC BMW 2026'!$D$10:$D$77,$B10,'UC BMW 2026'!AA$10:AA$77)</f>
        <v>0</v>
      </c>
      <c r="Z10" s="225">
        <f>SUMIF('UC BMW 2026'!$D$10:$D$77,$B10,'UC BMW 2026'!AB$10:AB$77)</f>
        <v>11</v>
      </c>
      <c r="AA10" s="23">
        <f>SUMIF('UC BMW 2026'!$D$10:$D$77,$B10,'UC BMW 2026'!AC$10:AC$77)</f>
        <v>0</v>
      </c>
      <c r="AB10" s="21">
        <f t="shared" ca="1" si="0"/>
        <v>200</v>
      </c>
      <c r="AC10" s="24">
        <f t="shared" ca="1" si="0"/>
        <v>147</v>
      </c>
      <c r="AD10" s="239">
        <f t="shared" ca="1" si="7"/>
        <v>0.73499999999999999</v>
      </c>
      <c r="AE10" s="21">
        <f ca="1">+D10+F10+H10+J10+L10+N10+P10+R10+T10+V10+X10+Z10</f>
        <v>265</v>
      </c>
      <c r="AF10" s="24">
        <f t="shared" ca="1" si="2"/>
        <v>147</v>
      </c>
      <c r="AG10" s="239">
        <f t="shared" ca="1" si="3"/>
        <v>0.55471698113207546</v>
      </c>
      <c r="AH10" s="21">
        <f t="shared" ca="1" si="4"/>
        <v>33</v>
      </c>
      <c r="AI10" s="24">
        <f t="shared" ca="1" si="4"/>
        <v>0</v>
      </c>
      <c r="AJ10" s="239">
        <f t="shared" ca="1" si="5"/>
        <v>0</v>
      </c>
      <c r="AK10" s="21">
        <f t="shared" ca="1" si="8"/>
        <v>200</v>
      </c>
      <c r="AL10" s="24">
        <f t="shared" ca="1" si="8"/>
        <v>147</v>
      </c>
      <c r="AM10" s="239">
        <f t="shared" ca="1" si="6"/>
        <v>0.73499999999999999</v>
      </c>
    </row>
    <row r="11" spans="1:39" s="4" customFormat="1" ht="15" customHeight="1" x14ac:dyDescent="0.25">
      <c r="B11" s="8">
        <v>1212</v>
      </c>
      <c r="C11" s="309" t="s">
        <v>82</v>
      </c>
      <c r="D11" s="222">
        <f ca="1">SUMIF('UC BMW 2026'!$D$5:$D$77,'UC BMW 2026 (Grp. Propietar'!$B11,'UC BMW 2026'!$F$5:$F$72)</f>
        <v>16</v>
      </c>
      <c r="E11" s="124">
        <f ca="1">SUMIF('UC BMW 2026'!$D$5:$D$77,'UC BMW 2026 (Grp. Propietar'!$B11,'UC BMW 2026'!$G$5:$G$72)</f>
        <v>6</v>
      </c>
      <c r="F11" s="222">
        <f ca="1">SUMIF('UC BMW 2026'!$D$5:$D$77,'UC BMW 2026 (Grp. Propietar'!$B11,'UC BMW 2026'!$H$5:$H$72)</f>
        <v>16</v>
      </c>
      <c r="G11" s="23">
        <f ca="1">SUMIF('UC BMW 2026'!$D$5:$D$77,'UC BMW 2026 (Grp. Propietar'!$B11,'UC BMW 2026'!$I$5:$I$72)</f>
        <v>13</v>
      </c>
      <c r="H11" s="225">
        <f ca="1">SUMIF('UC BMW 2026'!$D$5:$D$77,'UC BMW 2026 (Grp. Propietar'!$B11,'UC BMW 2026'!$J$5:$J$72)</f>
        <v>16</v>
      </c>
      <c r="I11" s="124">
        <f ca="1">SUMIF('UC BMW 2026'!$D$5:$D$77,'UC BMW 2026 (Grp. Propietar'!$B11,'UC BMW 2026'!$K$5:$K$72)</f>
        <v>17</v>
      </c>
      <c r="J11" s="222">
        <f ca="1">SUMIF('UC BMW 2026'!$D$5:$D$77,'UC BMW 2026 (Grp. Propietar'!$B11,'UC BMW 2026'!$L$5:$L$72)</f>
        <v>16</v>
      </c>
      <c r="K11" s="23">
        <f ca="1">SUMIF('UC BMW 2026'!$D$5:$D$77,'UC BMW 2026 (Grp. Propietar'!$B11,'UC BMW 2026'!$M$5:$M$72)</f>
        <v>11</v>
      </c>
      <c r="L11" s="225">
        <f ca="1">SUMIF('UC BMW 2026'!$D$5:$D$77,'UC BMW 2026 (Grp. Propietar'!$B11,'UC BMW 2026'!$N$5:$N$72)</f>
        <v>16</v>
      </c>
      <c r="M11" s="124">
        <f ca="1">SUMIF('UC BMW 2026'!$D$5:$D$77,'UC BMW 2026 (Grp. Propietar'!$B11,'UC BMW 2026'!$O$5:$O$72)</f>
        <v>6</v>
      </c>
      <c r="N11" s="222">
        <f ca="1">SUMIF('UC BMW 2026'!$D$5:$D$77,'UC BMW 2026 (Grp. Propietar'!$B11,'UC BMW 2026'!$P$5:$P$72)</f>
        <v>16</v>
      </c>
      <c r="O11" s="124">
        <f ca="1">SUMIF('UC BMW 2026'!$D$5:$D$77,'UC BMW 2026 (Grp. Propietar'!$B11,'UC BMW 2026'!$Q$5:$Q$72)</f>
        <v>17</v>
      </c>
      <c r="P11" s="222">
        <f ca="1">SUMIF('UC BMW 2026'!$D$5:$D$77,'UC BMW 2026 (Grp. Propietar'!$B11,'UC BMW 2026'!$R$5:$R$72)</f>
        <v>0</v>
      </c>
      <c r="Q11" s="23">
        <f ca="1">SUMIF('UC BMW 2026'!$D$5:$D$77,'UC BMW 2026 (Grp. Propietar'!$B11,'UC BMW 2026'!$S$5:$S$72)</f>
        <v>0</v>
      </c>
      <c r="R11" s="225">
        <f ca="1">SUMIF('UC BMW 2026'!$D$5:$D$77,'UC BMW 2026 (Grp. Propietar'!$B11,'UC BMW 2026'!$T$5:$T$72)</f>
        <v>0</v>
      </c>
      <c r="S11" s="124">
        <f ca="1">SUMIF('UC BMW 2026'!$D$5:$D$77,'UC BMW 2026 (Grp. Propietar'!$B11,'UC BMW 2026'!$U$5:$U$72)</f>
        <v>0</v>
      </c>
      <c r="T11" s="222">
        <f ca="1">SUMIF('UC BMW 2026'!$D$5:$D$77,'UC BMW 2026 (Grp. Propietar'!$B11,'UC BMW 2026'!$V$5:$V$72)</f>
        <v>0</v>
      </c>
      <c r="U11" s="23">
        <f ca="1">SUMIF('UC BMW 2026'!$D$5:$D$77,'UC BMW 2026 (Grp. Propietar'!$B11,'UC BMW 2026'!$W$5:$W$72)</f>
        <v>0</v>
      </c>
      <c r="V11" s="225">
        <f ca="1">SUMIF('UC BMW 2026'!$D$5:$D$77,'UC BMW 2026 (Grp. Propietar'!$B11,'UC BMW 2026'!$X$5:$X$72)</f>
        <v>0</v>
      </c>
      <c r="W11" s="124">
        <f ca="1">SUMIF('UC BMW 2026'!$D$5:$D$77,'UC BMW 2026 (Grp. Propietar'!$B11,'UC BMW 2026'!$Y$5:$Y$72)</f>
        <v>0</v>
      </c>
      <c r="X11" s="222">
        <f>SUMIF('UC BMW 2026'!$D$10:$D$77,$B11,'UC BMW 2026'!Z$10:Z$77)</f>
        <v>0</v>
      </c>
      <c r="Y11" s="23">
        <f>SUMIF('UC BMW 2026'!$D$10:$D$77,$B11,'UC BMW 2026'!AA$10:AA$77)</f>
        <v>0</v>
      </c>
      <c r="Z11" s="225">
        <f>SUMIF('UC BMW 2026'!$D$10:$D$77,$B11,'UC BMW 2026'!AB$10:AB$77)</f>
        <v>0</v>
      </c>
      <c r="AA11" s="23">
        <f>SUMIF('UC BMW 2026'!$D$10:$D$77,$B11,'UC BMW 2026'!AC$10:AC$77)</f>
        <v>0</v>
      </c>
      <c r="AB11" s="21">
        <f ca="1">IF($AB$2="ENERO",D11,IF($AB$2="FEBRERO",D11+F11,IF($AB$2="MARZO",D11+F11+H11,IF($AB$2="ABRIL",D11+F11+H11+J11,IF($AB$2="MAYO",D11+F11+H11+J11+L11,IF($AB$2="JUNIO",D11+F11+H11+J11+L11+N11,IF($AB$2="JULIO",D11+F11+H11+J11+L11+N11+P11,IF($AB$2="AGOSTO",D11+F11+H11+J11+L11+N11+P11+R11,IF($AB$2="SEPTIEMBRE",D11+F11+H11+J11+L11+N11+P11+R11+T11,IF($AB$2="OCTUBRE",D11+F11+H11+J11+L11+N11+P11+R11+T11+V11,IF($AB$2="NOVIEMBRE",D11+F11+H11+J11+L11+N11+P11+R11+T11+V11+X11,IF($AB$2="DICIEMBRE",D11+F11+H11+J11+L11+N11+P11+R11+T11+V11+X11+Z11,""))))))))))))</f>
        <v>96</v>
      </c>
      <c r="AC11" s="24">
        <f ca="1">IF($AB$2="ENERO",E11,IF($AB$2="FEBRERO",E11+G11,IF($AB$2="MARZO",E11+G11+I11,IF($AB$2="ABRIL",E11+G11+I11+K11,IF($AB$2="MAYO",E11+G11+I11+K11+M11,IF($AB$2="JUNIO",E11+G11+I11+K11+M11+O11,IF($AB$2="JULIO",E11+G11+I11+K11+M11+O11+Q11,IF($AB$2="AGOSTO",E11+G11+I11+K11+M11+O11+Q11+S11,IF($AB$2="SEPTIEMBRE",E11+G11+I11+K11+M11+O11+Q11+S11+U11,IF($AB$2="OCTUBRE",E11+G11+I11+K11+M11+O11+Q11+S11+U11+W11,IF($AB$2="NOVIEMBRE",E11+G11+I11+K11+M11+O11+Q11+S11+U11+W11+Y11,IF($AB$2="DICIEMBRE",E11+G11+I11+K11+M11+O11+Q11+S11+U11+W11+Y11+AA11,""))))))))))))</f>
        <v>70</v>
      </c>
      <c r="AD11" s="239">
        <f t="shared" ca="1" si="7"/>
        <v>0.72916666666666663</v>
      </c>
      <c r="AE11" s="21">
        <f t="shared" ca="1" si="1"/>
        <v>96</v>
      </c>
      <c r="AF11" s="24">
        <f t="shared" ca="1" si="2"/>
        <v>70</v>
      </c>
      <c r="AG11" s="239">
        <f t="shared" ca="1" si="3"/>
        <v>0.72916666666666663</v>
      </c>
      <c r="AH11" s="21">
        <f t="shared" ca="1" si="4"/>
        <v>0</v>
      </c>
      <c r="AI11" s="24">
        <f t="shared" ca="1" si="4"/>
        <v>0</v>
      </c>
      <c r="AJ11" s="239">
        <f t="shared" ca="1" si="5"/>
        <v>0</v>
      </c>
      <c r="AK11" s="21">
        <f t="shared" ca="1" si="8"/>
        <v>96</v>
      </c>
      <c r="AL11" s="24">
        <f t="shared" ca="1" si="8"/>
        <v>70</v>
      </c>
      <c r="AM11" s="239">
        <f t="shared" ca="1" si="6"/>
        <v>0.72916666666666663</v>
      </c>
    </row>
    <row r="12" spans="1:39" s="4" customFormat="1" ht="15" customHeight="1" x14ac:dyDescent="0.25">
      <c r="B12" s="8">
        <v>5570</v>
      </c>
      <c r="C12" s="309" t="s">
        <v>83</v>
      </c>
      <c r="D12" s="222">
        <f ca="1">SUMIF('UC BMW 2026'!$D$5:$D$77,'UC BMW 2026 (Grp. Propietar'!$B12,'UC BMW 2026'!$F$5:$F$72)</f>
        <v>18</v>
      </c>
      <c r="E12" s="124">
        <f ca="1">SUMIF('UC BMW 2026'!$D$5:$D$77,'UC BMW 2026 (Grp. Propietar'!$B12,'UC BMW 2026'!$G$5:$G$72)</f>
        <v>3</v>
      </c>
      <c r="F12" s="222">
        <f ca="1">SUMIF('UC BMW 2026'!$D$5:$D$77,'UC BMW 2026 (Grp. Propietar'!$B12,'UC BMW 2026'!$H$5:$H$72)</f>
        <v>18</v>
      </c>
      <c r="G12" s="23">
        <f ca="1">SUMIF('UC BMW 2026'!$D$5:$D$77,'UC BMW 2026 (Grp. Propietar'!$B12,'UC BMW 2026'!$I$5:$I$72)</f>
        <v>19</v>
      </c>
      <c r="H12" s="225">
        <f ca="1">SUMIF('UC BMW 2026'!$D$5:$D$77,'UC BMW 2026 (Grp. Propietar'!$B12,'UC BMW 2026'!$J$5:$J$72)</f>
        <v>18</v>
      </c>
      <c r="I12" s="124">
        <f ca="1">SUMIF('UC BMW 2026'!$D$5:$D$77,'UC BMW 2026 (Grp. Propietar'!$B12,'UC BMW 2026'!$K$5:$K$72)</f>
        <v>18</v>
      </c>
      <c r="J12" s="222">
        <f ca="1">SUMIF('UC BMW 2026'!$D$5:$D$77,'UC BMW 2026 (Grp. Propietar'!$B12,'UC BMW 2026'!$L$5:$L$72)</f>
        <v>19</v>
      </c>
      <c r="K12" s="23">
        <f ca="1">SUMIF('UC BMW 2026'!$D$5:$D$77,'UC BMW 2026 (Grp. Propietar'!$B12,'UC BMW 2026'!$M$5:$M$72)</f>
        <v>15</v>
      </c>
      <c r="L12" s="225">
        <f ca="1">SUMIF('UC BMW 2026'!$D$5:$D$77,'UC BMW 2026 (Grp. Propietar'!$B12,'UC BMW 2026'!$N$5:$N$72)</f>
        <v>20</v>
      </c>
      <c r="M12" s="124">
        <f ca="1">SUMIF('UC BMW 2026'!$D$5:$D$77,'UC BMW 2026 (Grp. Propietar'!$B12,'UC BMW 2026'!$O$5:$O$72)</f>
        <v>10</v>
      </c>
      <c r="N12" s="222">
        <f ca="1">SUMIF('UC BMW 2026'!$D$5:$D$77,'UC BMW 2026 (Grp. Propietar'!$B12,'UC BMW 2026'!$P$5:$P$72)</f>
        <v>20</v>
      </c>
      <c r="O12" s="124">
        <f ca="1">SUMIF('UC BMW 2026'!$D$5:$D$77,'UC BMW 2026 (Grp. Propietar'!$B12,'UC BMW 2026'!$Q$5:$Q$72)</f>
        <v>34</v>
      </c>
      <c r="P12" s="222">
        <f ca="1">SUMIF('UC BMW 2026'!$D$5:$D$77,'UC BMW 2026 (Grp. Propietar'!$B12,'UC BMW 2026'!$R$5:$R$72)</f>
        <v>0</v>
      </c>
      <c r="Q12" s="23">
        <f ca="1">SUMIF('UC BMW 2026'!$D$5:$D$77,'UC BMW 2026 (Grp. Propietar'!$B12,'UC BMW 2026'!$S$5:$S$72)</f>
        <v>0</v>
      </c>
      <c r="R12" s="225">
        <f ca="1">SUMIF('UC BMW 2026'!$D$5:$D$77,'UC BMW 2026 (Grp. Propietar'!$B12,'UC BMW 2026'!$T$5:$T$72)</f>
        <v>0</v>
      </c>
      <c r="S12" s="124">
        <f ca="1">SUMIF('UC BMW 2026'!$D$5:$D$77,'UC BMW 2026 (Grp. Propietar'!$B12,'UC BMW 2026'!$U$5:$U$72)</f>
        <v>0</v>
      </c>
      <c r="T12" s="222">
        <f ca="1">SUMIF('UC BMW 2026'!$D$5:$D$77,'UC BMW 2026 (Grp. Propietar'!$B12,'UC BMW 2026'!$V$5:$V$72)</f>
        <v>0</v>
      </c>
      <c r="U12" s="23">
        <f ca="1">SUMIF('UC BMW 2026'!$D$5:$D$77,'UC BMW 2026 (Grp. Propietar'!$B12,'UC BMW 2026'!$W$5:$W$72)</f>
        <v>0</v>
      </c>
      <c r="V12" s="225">
        <f ca="1">SUMIF('UC BMW 2026'!$D$5:$D$77,'UC BMW 2026 (Grp. Propietar'!$B12,'UC BMW 2026'!$X$5:$X$72)</f>
        <v>0</v>
      </c>
      <c r="W12" s="124">
        <f ca="1">SUMIF('UC BMW 2026'!$D$5:$D$77,'UC BMW 2026 (Grp. Propietar'!$B12,'UC BMW 2026'!$Y$5:$Y$72)</f>
        <v>0</v>
      </c>
      <c r="X12" s="222">
        <f>SUMIF('UC BMW 2026'!$D$10:$D$77,$B12,'UC BMW 2026'!Z$10:Z$77)</f>
        <v>0</v>
      </c>
      <c r="Y12" s="23">
        <f>SUMIF('UC BMW 2026'!$D$10:$D$77,$B12,'UC BMW 2026'!AA$10:AA$77)</f>
        <v>0</v>
      </c>
      <c r="Z12" s="225">
        <f>SUMIF('UC BMW 2026'!$D$10:$D$77,$B12,'UC BMW 2026'!AB$10:AB$77)</f>
        <v>0</v>
      </c>
      <c r="AA12" s="23">
        <f>SUMIF('UC BMW 2026'!$D$10:$D$77,$B12,'UC BMW 2026'!AC$10:AC$77)</f>
        <v>0</v>
      </c>
      <c r="AB12" s="21">
        <f t="shared" ref="AB12:AC21" ca="1" si="9">IF($AB$2="ENERO",D12,IF($AB$2="FEBRERO",D12+F12,IF($AB$2="MARZO",D12+F12+H12,IF($AB$2="ABRIL",D12+F12+H12+J12,IF($AB$2="MAYO",D12+F12+H12+J12+L12,IF($AB$2="JUNIO",D12+F12+H12+J12+L12+N12,IF($AB$2="JULIO",D12+F12+H12+J12+L12+N12+P12,IF($AB$2="AGOSTO",D12+F12+H12+J12+L12+N12+P12+R12,IF($AB$2="SEPTIEMBRE",D12+F12+H12+J12+L12+N12+P12+R12+T12,IF($AB$2="OCTUBRE",D12+F12+H12+J12+L12+N12+P12+R12+T12+V12,IF($AB$2="NOVIEMBRE",D12+F12+H12+J12+L12+N12+P12+R12+T12+V12+X12,IF($AB$2="DICIEMBRE",D12+F12+H12+J12+L12+N12+P12+R12+T12+V12+X12+Z12,""))))))))))))</f>
        <v>113</v>
      </c>
      <c r="AC12" s="24">
        <f t="shared" ca="1" si="9"/>
        <v>99</v>
      </c>
      <c r="AD12" s="239">
        <f t="shared" ca="1" si="7"/>
        <v>0.87610619469026552</v>
      </c>
      <c r="AE12" s="21">
        <f t="shared" ca="1" si="1"/>
        <v>113</v>
      </c>
      <c r="AF12" s="24">
        <f t="shared" ref="AF12:AF21" ca="1" si="10">IF($AB$2="ENERO",E12,IF($AB$2="FEBRERO",E12+G12,IF($AB$2="MARZO",E12+G12+I12,IF($AB$2="ABRIL",E12+G12+I12+K12,IF($AB$2="MAYO",E12+G12+I12+K12+M12,IF($AB$2="JUNIO",E12+G12+I12+K12+M12+O12,IF($AB$2="JULIO",E12+G12+I12+K12+M12+O12+Q12,IF($AB$2="AGOSTO",E12+G12+I12+K12+M12+O12+Q12+S12,IF($AB$2="SEPTIEMBRE",E12+G12+I12+K12+M12+O12+Q12+S12+U12,IF($AB$2="OCTUBRE",E12+G12+I12+K12+M12+O12+Q12+S12+U12+W12,IF($AB$2="NOVIEMBRE",E12+G12+I12+K12+M12+O12+Q12+S12+U12+W12+Y12,IF($AB$2="DICIEMBRE",E12+G12+I12+K12+M12+O12+Q12+S12+U12+W12+Y12+AA12,""))))))))))))</f>
        <v>99</v>
      </c>
      <c r="AG12" s="239">
        <f t="shared" ca="1" si="3"/>
        <v>0.87610619469026552</v>
      </c>
      <c r="AH12" s="21">
        <f t="shared" ca="1" si="4"/>
        <v>0</v>
      </c>
      <c r="AI12" s="24">
        <f t="shared" ca="1" si="4"/>
        <v>0</v>
      </c>
      <c r="AJ12" s="239">
        <f t="shared" ca="1" si="5"/>
        <v>0</v>
      </c>
      <c r="AK12" s="21">
        <f ca="1">IF($AK$3="S 1",D12+F12+H12+J12+L12+N12,IF($AK$3="S 2",P12+R12+T12+V12+X12+Z12,0))</f>
        <v>113</v>
      </c>
      <c r="AL12" s="24">
        <f t="shared" ca="1" si="8"/>
        <v>99</v>
      </c>
      <c r="AM12" s="239">
        <f t="shared" ca="1" si="6"/>
        <v>0.87610619469026552</v>
      </c>
    </row>
    <row r="13" spans="1:39" s="4" customFormat="1" ht="15" customHeight="1" x14ac:dyDescent="0.25">
      <c r="B13" s="8">
        <v>28067</v>
      </c>
      <c r="C13" s="309" t="s">
        <v>84</v>
      </c>
      <c r="D13" s="222">
        <f ca="1">SUMIF('UC BMW 2026'!$D$5:$D$77,'UC BMW 2026 (Grp. Propietar'!$B13,'UC BMW 2026'!$F$5:$F$72)</f>
        <v>4</v>
      </c>
      <c r="E13" s="124">
        <f ca="1">SUMIF('UC BMW 2026'!$D$5:$D$77,'UC BMW 2026 (Grp. Propietar'!$B13,'UC BMW 2026'!$G$5:$G$72)</f>
        <v>8</v>
      </c>
      <c r="F13" s="222">
        <f ca="1">SUMIF('UC BMW 2026'!$D$5:$D$77,'UC BMW 2026 (Grp. Propietar'!$B13,'UC BMW 2026'!$H$5:$H$72)</f>
        <v>4</v>
      </c>
      <c r="G13" s="23">
        <f ca="1">SUMIF('UC BMW 2026'!$D$5:$D$77,'UC BMW 2026 (Grp. Propietar'!$B13,'UC BMW 2026'!$I$5:$I$72)</f>
        <v>2</v>
      </c>
      <c r="H13" s="225">
        <f ca="1">SUMIF('UC BMW 2026'!$D$5:$D$77,'UC BMW 2026 (Grp. Propietar'!$B13,'UC BMW 2026'!$J$5:$J$72)</f>
        <v>4</v>
      </c>
      <c r="I13" s="124">
        <f ca="1">SUMIF('UC BMW 2026'!$D$5:$D$77,'UC BMW 2026 (Grp. Propietar'!$B13,'UC BMW 2026'!$K$5:$K$72)</f>
        <v>2</v>
      </c>
      <c r="J13" s="222">
        <f ca="1">SUMIF('UC BMW 2026'!$D$5:$D$77,'UC BMW 2026 (Grp. Propietar'!$B13,'UC BMW 2026'!$L$5:$L$72)</f>
        <v>4</v>
      </c>
      <c r="K13" s="23">
        <f ca="1">SUMIF('UC BMW 2026'!$D$5:$D$77,'UC BMW 2026 (Grp. Propietar'!$B13,'UC BMW 2026'!$M$5:$M$72)</f>
        <v>3</v>
      </c>
      <c r="L13" s="225">
        <f ca="1">SUMIF('UC BMW 2026'!$D$5:$D$77,'UC BMW 2026 (Grp. Propietar'!$B13,'UC BMW 2026'!$N$5:$N$72)</f>
        <v>4</v>
      </c>
      <c r="M13" s="124">
        <f ca="1">SUMIF('UC BMW 2026'!$D$5:$D$77,'UC BMW 2026 (Grp. Propietar'!$B13,'UC BMW 2026'!$O$5:$O$72)</f>
        <v>1</v>
      </c>
      <c r="N13" s="222">
        <f ca="1">SUMIF('UC BMW 2026'!$D$5:$D$77,'UC BMW 2026 (Grp. Propietar'!$B13,'UC BMW 2026'!$P$5:$P$72)</f>
        <v>4</v>
      </c>
      <c r="O13" s="124">
        <f ca="1">SUMIF('UC BMW 2026'!$D$5:$D$77,'UC BMW 2026 (Grp. Propietar'!$B13,'UC BMW 2026'!$Q$5:$Q$72)</f>
        <v>3</v>
      </c>
      <c r="P13" s="222">
        <f ca="1">SUMIF('UC BMW 2026'!$D$5:$D$77,'UC BMW 2026 (Grp. Propietar'!$B13,'UC BMW 2026'!$R$5:$R$72)</f>
        <v>0</v>
      </c>
      <c r="Q13" s="23">
        <f ca="1">SUMIF('UC BMW 2026'!$D$5:$D$77,'UC BMW 2026 (Grp. Propietar'!$B13,'UC BMW 2026'!$S$5:$S$72)</f>
        <v>0</v>
      </c>
      <c r="R13" s="225">
        <f ca="1">SUMIF('UC BMW 2026'!$D$5:$D$77,'UC BMW 2026 (Grp. Propietar'!$B13,'UC BMW 2026'!$T$5:$T$72)</f>
        <v>0</v>
      </c>
      <c r="S13" s="124">
        <f ca="1">SUMIF('UC BMW 2026'!$D$5:$D$77,'UC BMW 2026 (Grp. Propietar'!$B13,'UC BMW 2026'!$U$5:$U$72)</f>
        <v>0</v>
      </c>
      <c r="T13" s="222">
        <f ca="1">SUMIF('UC BMW 2026'!$D$5:$D$77,'UC BMW 2026 (Grp. Propietar'!$B13,'UC BMW 2026'!$V$5:$V$72)</f>
        <v>0</v>
      </c>
      <c r="U13" s="23">
        <f ca="1">SUMIF('UC BMW 2026'!$D$5:$D$77,'UC BMW 2026 (Grp. Propietar'!$B13,'UC BMW 2026'!$W$5:$W$72)</f>
        <v>0</v>
      </c>
      <c r="V13" s="225">
        <f ca="1">SUMIF('UC BMW 2026'!$D$5:$D$77,'UC BMW 2026 (Grp. Propietar'!$B13,'UC BMW 2026'!$X$5:$X$72)</f>
        <v>0</v>
      </c>
      <c r="W13" s="124">
        <f ca="1">SUMIF('UC BMW 2026'!$D$5:$D$77,'UC BMW 2026 (Grp. Propietar'!$B13,'UC BMW 2026'!$Y$5:$Y$72)</f>
        <v>0</v>
      </c>
      <c r="X13" s="222">
        <f>SUMIF('UC BMW 2026'!$D$10:$D$77,$B13,'UC BMW 2026'!Z$10:Z$77)</f>
        <v>0</v>
      </c>
      <c r="Y13" s="23">
        <f>SUMIF('UC BMW 2026'!$D$10:$D$77,$B13,'UC BMW 2026'!AA$10:AA$77)</f>
        <v>0</v>
      </c>
      <c r="Z13" s="225">
        <f>SUMIF('UC BMW 2026'!$D$10:$D$77,$B13,'UC BMW 2026'!AB$10:AB$77)</f>
        <v>0</v>
      </c>
      <c r="AA13" s="23">
        <f>SUMIF('UC BMW 2026'!$D$10:$D$77,$B13,'UC BMW 2026'!AC$10:AC$77)</f>
        <v>0</v>
      </c>
      <c r="AB13" s="21">
        <f t="shared" ca="1" si="9"/>
        <v>24</v>
      </c>
      <c r="AC13" s="24">
        <f t="shared" ca="1" si="9"/>
        <v>19</v>
      </c>
      <c r="AD13" s="239">
        <f t="shared" ca="1" si="7"/>
        <v>0.79166666666666663</v>
      </c>
      <c r="AE13" s="21">
        <f t="shared" ca="1" si="1"/>
        <v>24</v>
      </c>
      <c r="AF13" s="24">
        <f t="shared" ca="1" si="10"/>
        <v>19</v>
      </c>
      <c r="AG13" s="239">
        <f t="shared" ca="1" si="3"/>
        <v>0.79166666666666663</v>
      </c>
      <c r="AH13" s="21">
        <f t="shared" ca="1" si="4"/>
        <v>0</v>
      </c>
      <c r="AI13" s="24">
        <f t="shared" ca="1" si="4"/>
        <v>0</v>
      </c>
      <c r="AJ13" s="239">
        <f t="shared" ca="1" si="5"/>
        <v>0</v>
      </c>
      <c r="AK13" s="21">
        <f t="shared" ca="1" si="8"/>
        <v>24</v>
      </c>
      <c r="AL13" s="24">
        <f t="shared" ca="1" si="8"/>
        <v>19</v>
      </c>
      <c r="AM13" s="239">
        <f t="shared" ca="1" si="6"/>
        <v>0.79166666666666663</v>
      </c>
    </row>
    <row r="14" spans="1:39" s="4" customFormat="1" ht="15" customHeight="1" x14ac:dyDescent="0.25">
      <c r="B14" s="8">
        <v>8596</v>
      </c>
      <c r="C14" s="309" t="s">
        <v>105</v>
      </c>
      <c r="D14" s="222">
        <f ca="1">SUMIF('UC BMW 2026'!$D$5:$D$77,'UC BMW 2026 (Grp. Propietar'!$B14,'UC BMW 2026'!$F$5:$F$72)</f>
        <v>31</v>
      </c>
      <c r="E14" s="124">
        <f ca="1">SUMIF('UC BMW 2026'!$D$5:$D$77,'UC BMW 2026 (Grp. Propietar'!$B14,'UC BMW 2026'!$G$5:$G$72)</f>
        <v>29</v>
      </c>
      <c r="F14" s="222">
        <f ca="1">SUMIF('UC BMW 2026'!$D$5:$D$77,'UC BMW 2026 (Grp. Propietar'!$B14,'UC BMW 2026'!$H$5:$H$72)</f>
        <v>32</v>
      </c>
      <c r="G14" s="23">
        <f ca="1">SUMIF('UC BMW 2026'!$D$5:$D$77,'UC BMW 2026 (Grp. Propietar'!$B14,'UC BMW 2026'!$I$5:$I$72)</f>
        <v>37</v>
      </c>
      <c r="H14" s="225">
        <f ca="1">SUMIF('UC BMW 2026'!$D$5:$D$77,'UC BMW 2026 (Grp. Propietar'!$B14,'UC BMW 2026'!$J$5:$J$72)</f>
        <v>32</v>
      </c>
      <c r="I14" s="124">
        <f ca="1">SUMIF('UC BMW 2026'!$D$5:$D$77,'UC BMW 2026 (Grp. Propietar'!$B14,'UC BMW 2026'!$K$5:$K$72)</f>
        <v>41</v>
      </c>
      <c r="J14" s="222">
        <f ca="1">SUMIF('UC BMW 2026'!$D$5:$D$77,'UC BMW 2026 (Grp. Propietar'!$B14,'UC BMW 2026'!$L$5:$L$72)</f>
        <v>32</v>
      </c>
      <c r="K14" s="23">
        <f ca="1">SUMIF('UC BMW 2026'!$D$5:$D$77,'UC BMW 2026 (Grp. Propietar'!$B14,'UC BMW 2026'!$M$5:$M$72)</f>
        <v>41</v>
      </c>
      <c r="L14" s="225">
        <f ca="1">SUMIF('UC BMW 2026'!$D$5:$D$77,'UC BMW 2026 (Grp. Propietar'!$B14,'UC BMW 2026'!$N$5:$N$72)</f>
        <v>32</v>
      </c>
      <c r="M14" s="124">
        <f ca="1">SUMIF('UC BMW 2026'!$D$5:$D$77,'UC BMW 2026 (Grp. Propietar'!$B14,'UC BMW 2026'!$O$5:$O$72)</f>
        <v>29</v>
      </c>
      <c r="N14" s="222">
        <f ca="1">SUMIF('UC BMW 2026'!$D$5:$D$77,'UC BMW 2026 (Grp. Propietar'!$B14,'UC BMW 2026'!$P$5:$P$72)</f>
        <v>33</v>
      </c>
      <c r="O14" s="124">
        <f ca="1">SUMIF('UC BMW 2026'!$D$5:$D$77,'UC BMW 2026 (Grp. Propietar'!$B14,'UC BMW 2026'!$Q$5:$Q$72)</f>
        <v>36</v>
      </c>
      <c r="P14" s="222">
        <f ca="1">SUMIF('UC BMW 2026'!$D$5:$D$77,'UC BMW 2026 (Grp. Propietar'!$B14,'UC BMW 2026'!$R$5:$R$72)</f>
        <v>6</v>
      </c>
      <c r="Q14" s="23">
        <f ca="1">SUMIF('UC BMW 2026'!$D$5:$D$77,'UC BMW 2026 (Grp. Propietar'!$B14,'UC BMW 2026'!$S$5:$S$72)</f>
        <v>0</v>
      </c>
      <c r="R14" s="225">
        <f ca="1">SUMIF('UC BMW 2026'!$D$5:$D$77,'UC BMW 2026 (Grp. Propietar'!$B14,'UC BMW 2026'!$T$5:$T$72)</f>
        <v>6</v>
      </c>
      <c r="S14" s="124">
        <f ca="1">SUMIF('UC BMW 2026'!$D$5:$D$77,'UC BMW 2026 (Grp. Propietar'!$B14,'UC BMW 2026'!$U$5:$U$72)</f>
        <v>0</v>
      </c>
      <c r="T14" s="222">
        <f ca="1">SUMIF('UC BMW 2026'!$D$5:$D$77,'UC BMW 2026 (Grp. Propietar'!$B14,'UC BMW 2026'!$V$5:$V$72)</f>
        <v>6</v>
      </c>
      <c r="U14" s="23">
        <f ca="1">SUMIF('UC BMW 2026'!$D$5:$D$77,'UC BMW 2026 (Grp. Propietar'!$B14,'UC BMW 2026'!$W$5:$W$72)</f>
        <v>0</v>
      </c>
      <c r="V14" s="225">
        <f ca="1">SUMIF('UC BMW 2026'!$D$5:$D$77,'UC BMW 2026 (Grp. Propietar'!$B14,'UC BMW 2026'!$X$5:$X$72)</f>
        <v>6</v>
      </c>
      <c r="W14" s="124">
        <f ca="1">SUMIF('UC BMW 2026'!$D$5:$D$77,'UC BMW 2026 (Grp. Propietar'!$B14,'UC BMW 2026'!$Y$5:$Y$72)</f>
        <v>0</v>
      </c>
      <c r="X14" s="222">
        <f>SUMIF('UC BMW 2026'!$D$10:$D$77,$B14,'UC BMW 2026'!Z$10:Z$77)</f>
        <v>6</v>
      </c>
      <c r="Y14" s="23">
        <f>SUMIF('UC BMW 2026'!$D$10:$D$77,$B14,'UC BMW 2026'!AA$10:AA$77)</f>
        <v>0</v>
      </c>
      <c r="Z14" s="225">
        <f>SUMIF('UC BMW 2026'!$D$10:$D$77,$B14,'UC BMW 2026'!AB$10:AB$77)</f>
        <v>7</v>
      </c>
      <c r="AA14" s="23">
        <f>SUMIF('UC BMW 2026'!$D$10:$D$77,$B14,'UC BMW 2026'!AC$10:AC$77)</f>
        <v>0</v>
      </c>
      <c r="AB14" s="21">
        <f t="shared" ca="1" si="9"/>
        <v>192</v>
      </c>
      <c r="AC14" s="24">
        <f t="shared" ca="1" si="9"/>
        <v>213</v>
      </c>
      <c r="AD14" s="239">
        <f t="shared" ca="1" si="7"/>
        <v>1.109375</v>
      </c>
      <c r="AE14" s="21">
        <f t="shared" ca="1" si="1"/>
        <v>229</v>
      </c>
      <c r="AF14" s="24">
        <f t="shared" ca="1" si="10"/>
        <v>213</v>
      </c>
      <c r="AG14" s="239">
        <f t="shared" ca="1" si="3"/>
        <v>0.93013100436681218</v>
      </c>
      <c r="AH14" s="21">
        <f t="shared" ca="1" si="4"/>
        <v>19</v>
      </c>
      <c r="AI14" s="24">
        <f t="shared" ca="1" si="4"/>
        <v>0</v>
      </c>
      <c r="AJ14" s="239">
        <f t="shared" ca="1" si="5"/>
        <v>0</v>
      </c>
      <c r="AK14" s="21">
        <f t="shared" ca="1" si="8"/>
        <v>192</v>
      </c>
      <c r="AL14" s="24">
        <f t="shared" ca="1" si="8"/>
        <v>213</v>
      </c>
      <c r="AM14" s="239">
        <f t="shared" ca="1" si="6"/>
        <v>1.109375</v>
      </c>
    </row>
    <row r="15" spans="1:39" s="4" customFormat="1" ht="15" customHeight="1" x14ac:dyDescent="0.25">
      <c r="B15" s="8">
        <v>20822</v>
      </c>
      <c r="C15" s="309" t="s">
        <v>85</v>
      </c>
      <c r="D15" s="222">
        <f ca="1">SUMIF('UC BMW 2026'!$D$5:$D$77,'UC BMW 2026 (Grp. Propietar'!$B15,'UC BMW 2026'!$F$5:$F$72)</f>
        <v>22</v>
      </c>
      <c r="E15" s="124">
        <f ca="1">SUMIF('UC BMW 2026'!$D$5:$D$77,'UC BMW 2026 (Grp. Propietar'!$B15,'UC BMW 2026'!$G$5:$G$72)</f>
        <v>4</v>
      </c>
      <c r="F15" s="222">
        <f ca="1">SUMIF('UC BMW 2026'!$D$5:$D$77,'UC BMW 2026 (Grp. Propietar'!$B15,'UC BMW 2026'!$H$5:$H$72)</f>
        <v>22</v>
      </c>
      <c r="G15" s="23">
        <f ca="1">SUMIF('UC BMW 2026'!$D$5:$D$77,'UC BMW 2026 (Grp. Propietar'!$B15,'UC BMW 2026'!$I$5:$I$72)</f>
        <v>42</v>
      </c>
      <c r="H15" s="225">
        <f ca="1">SUMIF('UC BMW 2026'!$D$5:$D$77,'UC BMW 2026 (Grp. Propietar'!$B15,'UC BMW 2026'!$J$5:$J$72)</f>
        <v>22</v>
      </c>
      <c r="I15" s="124">
        <f ca="1">SUMIF('UC BMW 2026'!$D$5:$D$77,'UC BMW 2026 (Grp. Propietar'!$B15,'UC BMW 2026'!$K$5:$K$72)</f>
        <v>25</v>
      </c>
      <c r="J15" s="222">
        <f ca="1">SUMIF('UC BMW 2026'!$D$5:$D$77,'UC BMW 2026 (Grp. Propietar'!$B15,'UC BMW 2026'!$L$5:$L$72)</f>
        <v>22</v>
      </c>
      <c r="K15" s="23">
        <f ca="1">SUMIF('UC BMW 2026'!$D$5:$D$77,'UC BMW 2026 (Grp. Propietar'!$B15,'UC BMW 2026'!$M$5:$M$72)</f>
        <v>18</v>
      </c>
      <c r="L15" s="225">
        <f ca="1">SUMIF('UC BMW 2026'!$D$5:$D$77,'UC BMW 2026 (Grp. Propietar'!$B15,'UC BMW 2026'!$N$5:$N$72)</f>
        <v>22</v>
      </c>
      <c r="M15" s="124">
        <f ca="1">SUMIF('UC BMW 2026'!$D$5:$D$77,'UC BMW 2026 (Grp. Propietar'!$B15,'UC BMW 2026'!$O$5:$O$72)</f>
        <v>18</v>
      </c>
      <c r="N15" s="222">
        <f ca="1">SUMIF('UC BMW 2026'!$D$5:$D$77,'UC BMW 2026 (Grp. Propietar'!$B15,'UC BMW 2026'!$P$5:$P$72)</f>
        <v>22</v>
      </c>
      <c r="O15" s="124">
        <f ca="1">SUMIF('UC BMW 2026'!$D$5:$D$77,'UC BMW 2026 (Grp. Propietar'!$B15,'UC BMW 2026'!$Q$5:$Q$72)</f>
        <v>32</v>
      </c>
      <c r="P15" s="222">
        <f ca="1">SUMIF('UC BMW 2026'!$D$5:$D$77,'UC BMW 2026 (Grp. Propietar'!$B15,'UC BMW 2026'!$R$5:$R$72)</f>
        <v>0</v>
      </c>
      <c r="Q15" s="23">
        <f ca="1">SUMIF('UC BMW 2026'!$D$5:$D$77,'UC BMW 2026 (Grp. Propietar'!$B15,'UC BMW 2026'!$S$5:$S$72)</f>
        <v>0</v>
      </c>
      <c r="R15" s="225">
        <f ca="1">SUMIF('UC BMW 2026'!$D$5:$D$77,'UC BMW 2026 (Grp. Propietar'!$B15,'UC BMW 2026'!$T$5:$T$72)</f>
        <v>0</v>
      </c>
      <c r="S15" s="124">
        <f ca="1">SUMIF('UC BMW 2026'!$D$5:$D$77,'UC BMW 2026 (Grp. Propietar'!$B15,'UC BMW 2026'!$U$5:$U$72)</f>
        <v>0</v>
      </c>
      <c r="T15" s="222">
        <f ca="1">SUMIF('UC BMW 2026'!$D$5:$D$77,'UC BMW 2026 (Grp. Propietar'!$B15,'UC BMW 2026'!$V$5:$V$72)</f>
        <v>0</v>
      </c>
      <c r="U15" s="23">
        <f ca="1">SUMIF('UC BMW 2026'!$D$5:$D$77,'UC BMW 2026 (Grp. Propietar'!$B15,'UC BMW 2026'!$W$5:$W$72)</f>
        <v>0</v>
      </c>
      <c r="V15" s="225">
        <f ca="1">SUMIF('UC BMW 2026'!$D$5:$D$77,'UC BMW 2026 (Grp. Propietar'!$B15,'UC BMW 2026'!$X$5:$X$72)</f>
        <v>0</v>
      </c>
      <c r="W15" s="124">
        <f ca="1">SUMIF('UC BMW 2026'!$D$5:$D$77,'UC BMW 2026 (Grp. Propietar'!$B15,'UC BMW 2026'!$Y$5:$Y$72)</f>
        <v>0</v>
      </c>
      <c r="X15" s="222">
        <f>SUMIF('UC BMW 2026'!$D$10:$D$77,$B15,'UC BMW 2026'!Z$10:Z$77)</f>
        <v>0</v>
      </c>
      <c r="Y15" s="23">
        <f>SUMIF('UC BMW 2026'!$D$10:$D$77,$B15,'UC BMW 2026'!AA$10:AA$77)</f>
        <v>0</v>
      </c>
      <c r="Z15" s="225">
        <f>SUMIF('UC BMW 2026'!$D$10:$D$77,$B15,'UC BMW 2026'!AB$10:AB$77)</f>
        <v>0</v>
      </c>
      <c r="AA15" s="23">
        <f>SUMIF('UC BMW 2026'!$D$10:$D$77,$B15,'UC BMW 2026'!AC$10:AC$77)</f>
        <v>0</v>
      </c>
      <c r="AB15" s="21">
        <f t="shared" ca="1" si="9"/>
        <v>132</v>
      </c>
      <c r="AC15" s="24">
        <f t="shared" ca="1" si="9"/>
        <v>139</v>
      </c>
      <c r="AD15" s="239">
        <f t="shared" ca="1" si="7"/>
        <v>1.053030303030303</v>
      </c>
      <c r="AE15" s="21">
        <f t="shared" ca="1" si="1"/>
        <v>132</v>
      </c>
      <c r="AF15" s="24">
        <f t="shared" ca="1" si="10"/>
        <v>139</v>
      </c>
      <c r="AG15" s="239">
        <f t="shared" ca="1" si="3"/>
        <v>1.053030303030303</v>
      </c>
      <c r="AH15" s="21">
        <f t="shared" ca="1" si="4"/>
        <v>0</v>
      </c>
      <c r="AI15" s="24">
        <f t="shared" ca="1" si="4"/>
        <v>0</v>
      </c>
      <c r="AJ15" s="239">
        <f t="shared" ca="1" si="5"/>
        <v>0</v>
      </c>
      <c r="AK15" s="21">
        <f t="shared" ca="1" si="8"/>
        <v>132</v>
      </c>
      <c r="AL15" s="24">
        <f t="shared" ca="1" si="8"/>
        <v>139</v>
      </c>
      <c r="AM15" s="239">
        <f t="shared" ca="1" si="6"/>
        <v>1.053030303030303</v>
      </c>
    </row>
    <row r="16" spans="1:39" s="4" customFormat="1" ht="15" customHeight="1" x14ac:dyDescent="0.25">
      <c r="B16" s="8">
        <v>23331</v>
      </c>
      <c r="C16" s="309" t="s">
        <v>86</v>
      </c>
      <c r="D16" s="222">
        <f ca="1">SUMIF('UC BMW 2026'!$D$5:$D$77,'UC BMW 2026 (Grp. Propietar'!$B16,'UC BMW 2026'!$F$5:$F$72)</f>
        <v>0</v>
      </c>
      <c r="E16" s="124">
        <f ca="1">SUMIF('UC BMW 2026'!$D$5:$D$77,'UC BMW 2026 (Grp. Propietar'!$B16,'UC BMW 2026'!$G$5:$G$72)</f>
        <v>0</v>
      </c>
      <c r="F16" s="222">
        <f ca="1">SUMIF('UC BMW 2026'!$D$5:$D$77,'UC BMW 2026 (Grp. Propietar'!$B16,'UC BMW 2026'!$H$5:$H$72)</f>
        <v>0</v>
      </c>
      <c r="G16" s="23">
        <f ca="1">SUMIF('UC BMW 2026'!$D$5:$D$77,'UC BMW 2026 (Grp. Propietar'!$B16,'UC BMW 2026'!$I$5:$I$72)</f>
        <v>0</v>
      </c>
      <c r="H16" s="225">
        <f ca="1">SUMIF('UC BMW 2026'!$D$5:$D$77,'UC BMW 2026 (Grp. Propietar'!$B16,'UC BMW 2026'!$J$5:$J$72)</f>
        <v>0</v>
      </c>
      <c r="I16" s="124">
        <f ca="1">SUMIF('UC BMW 2026'!$D$5:$D$77,'UC BMW 2026 (Grp. Propietar'!$B16,'UC BMW 2026'!$K$5:$K$72)</f>
        <v>0</v>
      </c>
      <c r="J16" s="222">
        <f ca="1">SUMIF('UC BMW 2026'!$D$5:$D$77,'UC BMW 2026 (Grp. Propietar'!$B16,'UC BMW 2026'!$L$5:$L$72)</f>
        <v>0</v>
      </c>
      <c r="K16" s="23">
        <f ca="1">SUMIF('UC BMW 2026'!$D$5:$D$77,'UC BMW 2026 (Grp. Propietar'!$B16,'UC BMW 2026'!$M$5:$M$72)</f>
        <v>0</v>
      </c>
      <c r="L16" s="225">
        <f ca="1">SUMIF('UC BMW 2026'!$D$5:$D$77,'UC BMW 2026 (Grp. Propietar'!$B16,'UC BMW 2026'!$N$5:$N$72)</f>
        <v>0</v>
      </c>
      <c r="M16" s="124">
        <f ca="1">SUMIF('UC BMW 2026'!$D$5:$D$77,'UC BMW 2026 (Grp. Propietar'!$B16,'UC BMW 2026'!$O$5:$O$72)</f>
        <v>0</v>
      </c>
      <c r="N16" s="222">
        <f ca="1">SUMIF('UC BMW 2026'!$D$5:$D$77,'UC BMW 2026 (Grp. Propietar'!$B16,'UC BMW 2026'!$P$5:$P$72)</f>
        <v>0</v>
      </c>
      <c r="O16" s="124">
        <f ca="1">SUMIF('UC BMW 2026'!$D$5:$D$77,'UC BMW 2026 (Grp. Propietar'!$B16,'UC BMW 2026'!$Q$5:$Q$72)</f>
        <v>0</v>
      </c>
      <c r="P16" s="222">
        <f ca="1">SUMIF('UC BMW 2026'!$D$5:$D$77,'UC BMW 2026 (Grp. Propietar'!$B16,'UC BMW 2026'!$R$5:$R$72)</f>
        <v>0</v>
      </c>
      <c r="Q16" s="23">
        <f ca="1">SUMIF('UC BMW 2026'!$D$5:$D$77,'UC BMW 2026 (Grp. Propietar'!$B16,'UC BMW 2026'!$S$5:$S$72)</f>
        <v>0</v>
      </c>
      <c r="R16" s="225">
        <f ca="1">SUMIF('UC BMW 2026'!$D$5:$D$77,'UC BMW 2026 (Grp. Propietar'!$B16,'UC BMW 2026'!$T$5:$T$72)</f>
        <v>0</v>
      </c>
      <c r="S16" s="124">
        <f ca="1">SUMIF('UC BMW 2026'!$D$5:$D$77,'UC BMW 2026 (Grp. Propietar'!$B16,'UC BMW 2026'!$U$5:$U$72)</f>
        <v>0</v>
      </c>
      <c r="T16" s="222">
        <f ca="1">SUMIF('UC BMW 2026'!$D$5:$D$77,'UC BMW 2026 (Grp. Propietar'!$B16,'UC BMW 2026'!$V$5:$V$72)</f>
        <v>0</v>
      </c>
      <c r="U16" s="23">
        <f ca="1">SUMIF('UC BMW 2026'!$D$5:$D$77,'UC BMW 2026 (Grp. Propietar'!$B16,'UC BMW 2026'!$W$5:$W$72)</f>
        <v>0</v>
      </c>
      <c r="V16" s="225">
        <f ca="1">SUMIF('UC BMW 2026'!$D$5:$D$77,'UC BMW 2026 (Grp. Propietar'!$B16,'UC BMW 2026'!$X$5:$X$72)</f>
        <v>0</v>
      </c>
      <c r="W16" s="124">
        <f ca="1">SUMIF('UC BMW 2026'!$D$5:$D$77,'UC BMW 2026 (Grp. Propietar'!$B16,'UC BMW 2026'!$Y$5:$Y$72)</f>
        <v>0</v>
      </c>
      <c r="X16" s="222">
        <f>SUMIF('UC BMW 2026'!$D$10:$D$77,$B16,'UC BMW 2026'!Z$10:Z$77)</f>
        <v>0</v>
      </c>
      <c r="Y16" s="23">
        <f>SUMIF('UC BMW 2026'!$D$10:$D$77,$B16,'UC BMW 2026'!AA$10:AA$77)</f>
        <v>0</v>
      </c>
      <c r="Z16" s="225">
        <f>SUMIF('UC BMW 2026'!$D$10:$D$77,$B16,'UC BMW 2026'!AB$10:AB$77)</f>
        <v>0</v>
      </c>
      <c r="AA16" s="23">
        <f>SUMIF('UC BMW 2026'!$D$10:$D$77,$B16,'UC BMW 2026'!AC$10:AC$77)</f>
        <v>0</v>
      </c>
      <c r="AB16" s="21">
        <f t="shared" ca="1" si="9"/>
        <v>0</v>
      </c>
      <c r="AC16" s="24">
        <f t="shared" ca="1" si="9"/>
        <v>0</v>
      </c>
      <c r="AD16" s="239">
        <f t="shared" ca="1" si="7"/>
        <v>0</v>
      </c>
      <c r="AE16" s="21">
        <f t="shared" ca="1" si="1"/>
        <v>0</v>
      </c>
      <c r="AF16" s="24">
        <f t="shared" ca="1" si="10"/>
        <v>0</v>
      </c>
      <c r="AG16" s="239">
        <f t="shared" ca="1" si="3"/>
        <v>0</v>
      </c>
      <c r="AH16" s="21">
        <f t="shared" ca="1" si="4"/>
        <v>0</v>
      </c>
      <c r="AI16" s="24">
        <f t="shared" ca="1" si="4"/>
        <v>0</v>
      </c>
      <c r="AJ16" s="239">
        <f t="shared" ca="1" si="5"/>
        <v>0</v>
      </c>
      <c r="AK16" s="21">
        <f t="shared" ca="1" si="8"/>
        <v>0</v>
      </c>
      <c r="AL16" s="24">
        <f t="shared" ca="1" si="8"/>
        <v>0</v>
      </c>
      <c r="AM16" s="239">
        <f t="shared" ca="1" si="6"/>
        <v>0</v>
      </c>
    </row>
    <row r="17" spans="2:39" s="4" customFormat="1" ht="15" customHeight="1" x14ac:dyDescent="0.25">
      <c r="B17" s="8">
        <v>34177</v>
      </c>
      <c r="C17" s="309" t="s">
        <v>87</v>
      </c>
      <c r="D17" s="222">
        <f ca="1">SUMIF('UC BMW 2026'!$D$5:$D$77,'UC BMW 2026 (Grp. Propietar'!$B17,'UC BMW 2026'!$F$5:$F$72)</f>
        <v>6</v>
      </c>
      <c r="E17" s="124">
        <f ca="1">SUMIF('UC BMW 2026'!$D$5:$D$77,'UC BMW 2026 (Grp. Propietar'!$B17,'UC BMW 2026'!$G$5:$G$72)</f>
        <v>6</v>
      </c>
      <c r="F17" s="222">
        <f ca="1">SUMIF('UC BMW 2026'!$D$5:$D$77,'UC BMW 2026 (Grp. Propietar'!$B17,'UC BMW 2026'!$H$5:$H$72)</f>
        <v>6</v>
      </c>
      <c r="G17" s="23">
        <f ca="1">SUMIF('UC BMW 2026'!$D$5:$D$77,'UC BMW 2026 (Grp. Propietar'!$B17,'UC BMW 2026'!$I$5:$I$72)</f>
        <v>5</v>
      </c>
      <c r="H17" s="225">
        <f ca="1">SUMIF('UC BMW 2026'!$D$5:$D$77,'UC BMW 2026 (Grp. Propietar'!$B17,'UC BMW 2026'!$J$5:$J$72)</f>
        <v>7</v>
      </c>
      <c r="I17" s="124">
        <f ca="1">SUMIF('UC BMW 2026'!$D$5:$D$77,'UC BMW 2026 (Grp. Propietar'!$B17,'UC BMW 2026'!$K$5:$K$72)</f>
        <v>11</v>
      </c>
      <c r="J17" s="222">
        <f ca="1">SUMIF('UC BMW 2026'!$D$5:$D$77,'UC BMW 2026 (Grp. Propietar'!$B17,'UC BMW 2026'!$L$5:$L$72)</f>
        <v>6</v>
      </c>
      <c r="K17" s="23">
        <f ca="1">SUMIF('UC BMW 2026'!$D$5:$D$77,'UC BMW 2026 (Grp. Propietar'!$B17,'UC BMW 2026'!$M$5:$M$72)</f>
        <v>2</v>
      </c>
      <c r="L17" s="225">
        <f ca="1">SUMIF('UC BMW 2026'!$D$5:$D$77,'UC BMW 2026 (Grp. Propietar'!$B17,'UC BMW 2026'!$N$5:$N$72)</f>
        <v>6</v>
      </c>
      <c r="M17" s="124">
        <f ca="1">SUMIF('UC BMW 2026'!$D$5:$D$77,'UC BMW 2026 (Grp. Propietar'!$B17,'UC BMW 2026'!$O$5:$O$72)</f>
        <v>9</v>
      </c>
      <c r="N17" s="222">
        <f ca="1">SUMIF('UC BMW 2026'!$D$5:$D$77,'UC BMW 2026 (Grp. Propietar'!$B17,'UC BMW 2026'!$P$5:$P$72)</f>
        <v>7</v>
      </c>
      <c r="O17" s="124">
        <f ca="1">SUMIF('UC BMW 2026'!$D$5:$D$77,'UC BMW 2026 (Grp. Propietar'!$B17,'UC BMW 2026'!$Q$5:$Q$72)</f>
        <v>10</v>
      </c>
      <c r="P17" s="222">
        <f ca="1">SUMIF('UC BMW 2026'!$D$5:$D$77,'UC BMW 2026 (Grp. Propietar'!$B17,'UC BMW 2026'!$R$5:$R$72)</f>
        <v>6</v>
      </c>
      <c r="Q17" s="23">
        <f ca="1">SUMIF('UC BMW 2026'!$D$5:$D$77,'UC BMW 2026 (Grp. Propietar'!$B17,'UC BMW 2026'!$S$5:$S$72)</f>
        <v>0</v>
      </c>
      <c r="R17" s="225">
        <f ca="1">SUMIF('UC BMW 2026'!$D$5:$D$77,'UC BMW 2026 (Grp. Propietar'!$B17,'UC BMW 2026'!$T$5:$T$72)</f>
        <v>6</v>
      </c>
      <c r="S17" s="124">
        <f ca="1">SUMIF('UC BMW 2026'!$D$5:$D$77,'UC BMW 2026 (Grp. Propietar'!$B17,'UC BMW 2026'!$U$5:$U$72)</f>
        <v>0</v>
      </c>
      <c r="T17" s="222">
        <f ca="1">SUMIF('UC BMW 2026'!$D$5:$D$77,'UC BMW 2026 (Grp. Propietar'!$B17,'UC BMW 2026'!$V$5:$V$72)</f>
        <v>6</v>
      </c>
      <c r="U17" s="23">
        <f ca="1">SUMIF('UC BMW 2026'!$D$5:$D$77,'UC BMW 2026 (Grp. Propietar'!$B17,'UC BMW 2026'!$W$5:$W$72)</f>
        <v>0</v>
      </c>
      <c r="V17" s="225">
        <f ca="1">SUMIF('UC BMW 2026'!$D$5:$D$77,'UC BMW 2026 (Grp. Propietar'!$B17,'UC BMW 2026'!$X$5:$X$72)</f>
        <v>6</v>
      </c>
      <c r="W17" s="124">
        <f ca="1">SUMIF('UC BMW 2026'!$D$5:$D$77,'UC BMW 2026 (Grp. Propietar'!$B17,'UC BMW 2026'!$Y$5:$Y$72)</f>
        <v>0</v>
      </c>
      <c r="X17" s="222">
        <f>SUMIF('UC BMW 2026'!$D$10:$D$77,$B17,'UC BMW 2026'!Z$10:Z$77)</f>
        <v>6</v>
      </c>
      <c r="Y17" s="23">
        <f>SUMIF('UC BMW 2026'!$D$10:$D$77,$B17,'UC BMW 2026'!AA$10:AA$77)</f>
        <v>0</v>
      </c>
      <c r="Z17" s="225">
        <f>SUMIF('UC BMW 2026'!$D$10:$D$77,$B17,'UC BMW 2026'!AB$10:AB$77)</f>
        <v>8</v>
      </c>
      <c r="AA17" s="23">
        <f>SUMIF('UC BMW 2026'!$D$10:$D$77,$B17,'UC BMW 2026'!AC$10:AC$77)</f>
        <v>0</v>
      </c>
      <c r="AB17" s="21">
        <f t="shared" ca="1" si="9"/>
        <v>38</v>
      </c>
      <c r="AC17" s="24">
        <f t="shared" ca="1" si="9"/>
        <v>43</v>
      </c>
      <c r="AD17" s="239">
        <f t="shared" ca="1" si="7"/>
        <v>1.131578947368421</v>
      </c>
      <c r="AE17" s="21">
        <f t="shared" ca="1" si="1"/>
        <v>76</v>
      </c>
      <c r="AF17" s="24">
        <f t="shared" ca="1" si="10"/>
        <v>43</v>
      </c>
      <c r="AG17" s="239">
        <f t="shared" ca="1" si="3"/>
        <v>0.56578947368421051</v>
      </c>
      <c r="AH17" s="21">
        <f t="shared" ca="1" si="4"/>
        <v>20</v>
      </c>
      <c r="AI17" s="24">
        <f t="shared" ca="1" si="4"/>
        <v>0</v>
      </c>
      <c r="AJ17" s="239">
        <f t="shared" ca="1" si="5"/>
        <v>0</v>
      </c>
      <c r="AK17" s="21">
        <f t="shared" ca="1" si="8"/>
        <v>38</v>
      </c>
      <c r="AL17" s="24">
        <f t="shared" ca="1" si="8"/>
        <v>43</v>
      </c>
      <c r="AM17" s="239">
        <f t="shared" ca="1" si="6"/>
        <v>1.131578947368421</v>
      </c>
    </row>
    <row r="18" spans="2:39" s="4" customFormat="1" ht="15" customHeight="1" x14ac:dyDescent="0.25">
      <c r="B18" s="8">
        <v>39198</v>
      </c>
      <c r="C18" s="309" t="s">
        <v>88</v>
      </c>
      <c r="D18" s="222">
        <f ca="1">SUMIF('UC BMW 2026'!$D$5:$D$77,'UC BMW 2026 (Grp. Propietar'!$B18,'UC BMW 2026'!$F$5:$F$72)</f>
        <v>11</v>
      </c>
      <c r="E18" s="124">
        <f ca="1">SUMIF('UC BMW 2026'!$D$5:$D$77,'UC BMW 2026 (Grp. Propietar'!$B18,'UC BMW 2026'!$G$5:$G$72)</f>
        <v>7</v>
      </c>
      <c r="F18" s="222">
        <f ca="1">SUMIF('UC BMW 2026'!$D$5:$D$77,'UC BMW 2026 (Grp. Propietar'!$B18,'UC BMW 2026'!$H$5:$H$72)</f>
        <v>12</v>
      </c>
      <c r="G18" s="23">
        <f ca="1">SUMIF('UC BMW 2026'!$D$5:$D$77,'UC BMW 2026 (Grp. Propietar'!$B18,'UC BMW 2026'!$I$5:$I$72)</f>
        <v>12</v>
      </c>
      <c r="H18" s="225">
        <f ca="1">SUMIF('UC BMW 2026'!$D$5:$D$77,'UC BMW 2026 (Grp. Propietar'!$B18,'UC BMW 2026'!$J$5:$J$72)</f>
        <v>12</v>
      </c>
      <c r="I18" s="124">
        <f ca="1">SUMIF('UC BMW 2026'!$D$5:$D$77,'UC BMW 2026 (Grp. Propietar'!$B18,'UC BMW 2026'!$K$5:$K$72)</f>
        <v>24</v>
      </c>
      <c r="J18" s="222">
        <f ca="1">SUMIF('UC BMW 2026'!$D$5:$D$77,'UC BMW 2026 (Grp. Propietar'!$B18,'UC BMW 2026'!$L$5:$L$72)</f>
        <v>11</v>
      </c>
      <c r="K18" s="23">
        <f ca="1">SUMIF('UC BMW 2026'!$D$5:$D$77,'UC BMW 2026 (Grp. Propietar'!$B18,'UC BMW 2026'!$M$5:$M$72)</f>
        <v>14</v>
      </c>
      <c r="L18" s="225">
        <f ca="1">SUMIF('UC BMW 2026'!$D$5:$D$77,'UC BMW 2026 (Grp. Propietar'!$B18,'UC BMW 2026'!$N$5:$N$72)</f>
        <v>12</v>
      </c>
      <c r="M18" s="124">
        <f ca="1">SUMIF('UC BMW 2026'!$D$5:$D$77,'UC BMW 2026 (Grp. Propietar'!$B18,'UC BMW 2026'!$O$5:$O$72)</f>
        <v>9</v>
      </c>
      <c r="N18" s="222">
        <f ca="1">SUMIF('UC BMW 2026'!$D$5:$D$77,'UC BMW 2026 (Grp. Propietar'!$B18,'UC BMW 2026'!$P$5:$P$72)</f>
        <v>12</v>
      </c>
      <c r="O18" s="124">
        <f ca="1">SUMIF('UC BMW 2026'!$D$5:$D$77,'UC BMW 2026 (Grp. Propietar'!$B18,'UC BMW 2026'!$Q$5:$Q$72)</f>
        <v>25</v>
      </c>
      <c r="P18" s="222">
        <f ca="1">SUMIF('UC BMW 2026'!$D$5:$D$77,'UC BMW 2026 (Grp. Propietar'!$B18,'UC BMW 2026'!$R$5:$R$72)</f>
        <v>0</v>
      </c>
      <c r="Q18" s="23">
        <f ca="1">SUMIF('UC BMW 2026'!$D$5:$D$77,'UC BMW 2026 (Grp. Propietar'!$B18,'UC BMW 2026'!$S$5:$S$72)</f>
        <v>0</v>
      </c>
      <c r="R18" s="225">
        <f ca="1">SUMIF('UC BMW 2026'!$D$5:$D$77,'UC BMW 2026 (Grp. Propietar'!$B18,'UC BMW 2026'!$T$5:$T$72)</f>
        <v>0</v>
      </c>
      <c r="S18" s="124">
        <f ca="1">SUMIF('UC BMW 2026'!$D$5:$D$77,'UC BMW 2026 (Grp. Propietar'!$B18,'UC BMW 2026'!$U$5:$U$72)</f>
        <v>0</v>
      </c>
      <c r="T18" s="222">
        <f ca="1">SUMIF('UC BMW 2026'!$D$5:$D$77,'UC BMW 2026 (Grp. Propietar'!$B18,'UC BMW 2026'!$V$5:$V$72)</f>
        <v>0</v>
      </c>
      <c r="U18" s="23">
        <f ca="1">SUMIF('UC BMW 2026'!$D$5:$D$77,'UC BMW 2026 (Grp. Propietar'!$B18,'UC BMW 2026'!$W$5:$W$72)</f>
        <v>0</v>
      </c>
      <c r="V18" s="225">
        <f ca="1">SUMIF('UC BMW 2026'!$D$5:$D$77,'UC BMW 2026 (Grp. Propietar'!$B18,'UC BMW 2026'!$X$5:$X$72)</f>
        <v>0</v>
      </c>
      <c r="W18" s="124">
        <f ca="1">SUMIF('UC BMW 2026'!$D$5:$D$77,'UC BMW 2026 (Grp. Propietar'!$B18,'UC BMW 2026'!$Y$5:$Y$72)</f>
        <v>0</v>
      </c>
      <c r="X18" s="222">
        <f>SUMIF('UC BMW 2026'!$D$10:$D$77,$B18,'UC BMW 2026'!Z$10:Z$77)</f>
        <v>0</v>
      </c>
      <c r="Y18" s="23">
        <f>SUMIF('UC BMW 2026'!$D$10:$D$77,$B18,'UC BMW 2026'!AA$10:AA$77)</f>
        <v>0</v>
      </c>
      <c r="Z18" s="225">
        <f>SUMIF('UC BMW 2026'!$D$10:$D$77,$B18,'UC BMW 2026'!AB$10:AB$77)</f>
        <v>0</v>
      </c>
      <c r="AA18" s="23">
        <f>SUMIF('UC BMW 2026'!$D$10:$D$77,$B18,'UC BMW 2026'!AC$10:AC$77)</f>
        <v>0</v>
      </c>
      <c r="AB18" s="21">
        <f t="shared" ca="1" si="9"/>
        <v>70</v>
      </c>
      <c r="AC18" s="24">
        <f t="shared" ca="1" si="9"/>
        <v>91</v>
      </c>
      <c r="AD18" s="239">
        <f t="shared" ca="1" si="7"/>
        <v>1.3</v>
      </c>
      <c r="AE18" s="21">
        <f t="shared" ca="1" si="1"/>
        <v>70</v>
      </c>
      <c r="AF18" s="24">
        <f t="shared" ca="1" si="10"/>
        <v>91</v>
      </c>
      <c r="AG18" s="239">
        <f t="shared" ca="1" si="3"/>
        <v>1.3</v>
      </c>
      <c r="AH18" s="21">
        <f t="shared" ca="1" si="4"/>
        <v>0</v>
      </c>
      <c r="AI18" s="24">
        <f t="shared" ca="1" si="4"/>
        <v>0</v>
      </c>
      <c r="AJ18" s="239">
        <f t="shared" ca="1" si="5"/>
        <v>0</v>
      </c>
      <c r="AK18" s="21">
        <f t="shared" ca="1" si="8"/>
        <v>70</v>
      </c>
      <c r="AL18" s="24">
        <f t="shared" ca="1" si="8"/>
        <v>91</v>
      </c>
      <c r="AM18" s="239">
        <f t="shared" ca="1" si="6"/>
        <v>1.3</v>
      </c>
    </row>
    <row r="19" spans="2:39" s="4" customFormat="1" ht="15" customHeight="1" x14ac:dyDescent="0.25">
      <c r="B19" s="8">
        <v>40230</v>
      </c>
      <c r="C19" s="309" t="s">
        <v>89</v>
      </c>
      <c r="D19" s="222">
        <f ca="1">SUMIF('UC BMW 2026'!$D$5:$D$77,'UC BMW 2026 (Grp. Propietar'!$B19,'UC BMW 2026'!$F$5:$F$72)</f>
        <v>18</v>
      </c>
      <c r="E19" s="124">
        <f ca="1">SUMIF('UC BMW 2026'!$D$5:$D$77,'UC BMW 2026 (Grp. Propietar'!$B19,'UC BMW 2026'!$G$5:$G$72)</f>
        <v>11</v>
      </c>
      <c r="F19" s="222">
        <f ca="1">SUMIF('UC BMW 2026'!$D$5:$D$77,'UC BMW 2026 (Grp. Propietar'!$B19,'UC BMW 2026'!$H$5:$H$72)</f>
        <v>19</v>
      </c>
      <c r="G19" s="23">
        <f ca="1">SUMIF('UC BMW 2026'!$D$5:$D$77,'UC BMW 2026 (Grp. Propietar'!$B19,'UC BMW 2026'!$I$5:$I$72)</f>
        <v>7</v>
      </c>
      <c r="H19" s="225">
        <f ca="1">SUMIF('UC BMW 2026'!$D$5:$D$77,'UC BMW 2026 (Grp. Propietar'!$B19,'UC BMW 2026'!$J$5:$J$72)</f>
        <v>19</v>
      </c>
      <c r="I19" s="124">
        <f ca="1">SUMIF('UC BMW 2026'!$D$5:$D$77,'UC BMW 2026 (Grp. Propietar'!$B19,'UC BMW 2026'!$K$5:$K$72)</f>
        <v>14</v>
      </c>
      <c r="J19" s="222">
        <f ca="1">SUMIF('UC BMW 2026'!$D$5:$D$77,'UC BMW 2026 (Grp. Propietar'!$B19,'UC BMW 2026'!$L$5:$L$72)</f>
        <v>18</v>
      </c>
      <c r="K19" s="23">
        <f ca="1">SUMIF('UC BMW 2026'!$D$5:$D$77,'UC BMW 2026 (Grp. Propietar'!$B19,'UC BMW 2026'!$M$5:$M$72)</f>
        <v>11</v>
      </c>
      <c r="L19" s="225">
        <f ca="1">SUMIF('UC BMW 2026'!$D$5:$D$77,'UC BMW 2026 (Grp. Propietar'!$B19,'UC BMW 2026'!$N$5:$N$72)</f>
        <v>19</v>
      </c>
      <c r="M19" s="124">
        <f ca="1">SUMIF('UC BMW 2026'!$D$5:$D$77,'UC BMW 2026 (Grp. Propietar'!$B19,'UC BMW 2026'!$O$5:$O$72)</f>
        <v>12</v>
      </c>
      <c r="N19" s="222">
        <f ca="1">SUMIF('UC BMW 2026'!$D$5:$D$77,'UC BMW 2026 (Grp. Propietar'!$B19,'UC BMW 2026'!$P$5:$P$72)</f>
        <v>19</v>
      </c>
      <c r="O19" s="124">
        <f ca="1">SUMIF('UC BMW 2026'!$D$5:$D$77,'UC BMW 2026 (Grp. Propietar'!$B19,'UC BMW 2026'!$Q$5:$Q$72)</f>
        <v>9</v>
      </c>
      <c r="P19" s="222">
        <f ca="1">SUMIF('UC BMW 2026'!$D$5:$D$77,'UC BMW 2026 (Grp. Propietar'!$B19,'UC BMW 2026'!$R$5:$R$72)</f>
        <v>0</v>
      </c>
      <c r="Q19" s="23">
        <f ca="1">SUMIF('UC BMW 2026'!$D$5:$D$77,'UC BMW 2026 (Grp. Propietar'!$B19,'UC BMW 2026'!$S$5:$S$72)</f>
        <v>0</v>
      </c>
      <c r="R19" s="225">
        <f ca="1">SUMIF('UC BMW 2026'!$D$5:$D$77,'UC BMW 2026 (Grp. Propietar'!$B19,'UC BMW 2026'!$T$5:$T$72)</f>
        <v>0</v>
      </c>
      <c r="S19" s="124">
        <f ca="1">SUMIF('UC BMW 2026'!$D$5:$D$77,'UC BMW 2026 (Grp. Propietar'!$B19,'UC BMW 2026'!$U$5:$U$72)</f>
        <v>0</v>
      </c>
      <c r="T19" s="222">
        <f ca="1">SUMIF('UC BMW 2026'!$D$5:$D$77,'UC BMW 2026 (Grp. Propietar'!$B19,'UC BMW 2026'!$V$5:$V$72)</f>
        <v>0</v>
      </c>
      <c r="U19" s="23">
        <f ca="1">SUMIF('UC BMW 2026'!$D$5:$D$77,'UC BMW 2026 (Grp. Propietar'!$B19,'UC BMW 2026'!$W$5:$W$72)</f>
        <v>0</v>
      </c>
      <c r="V19" s="225">
        <f ca="1">SUMIF('UC BMW 2026'!$D$5:$D$77,'UC BMW 2026 (Grp. Propietar'!$B19,'UC BMW 2026'!$X$5:$X$72)</f>
        <v>0</v>
      </c>
      <c r="W19" s="124">
        <f ca="1">SUMIF('UC BMW 2026'!$D$5:$D$77,'UC BMW 2026 (Grp. Propietar'!$B19,'UC BMW 2026'!$Y$5:$Y$72)</f>
        <v>0</v>
      </c>
      <c r="X19" s="222">
        <f>SUMIF('UC BMW 2026'!$D$10:$D$77,$B19,'UC BMW 2026'!Z$10:Z$77)</f>
        <v>0</v>
      </c>
      <c r="Y19" s="23">
        <f>SUMIF('UC BMW 2026'!$D$10:$D$77,$B19,'UC BMW 2026'!AA$10:AA$77)</f>
        <v>0</v>
      </c>
      <c r="Z19" s="225">
        <f>SUMIF('UC BMW 2026'!$D$10:$D$77,$B19,'UC BMW 2026'!AB$10:AB$77)</f>
        <v>0</v>
      </c>
      <c r="AA19" s="23">
        <f>SUMIF('UC BMW 2026'!$D$10:$D$77,$B19,'UC BMW 2026'!AC$10:AC$77)</f>
        <v>0</v>
      </c>
      <c r="AB19" s="21">
        <f t="shared" ca="1" si="9"/>
        <v>112</v>
      </c>
      <c r="AC19" s="24">
        <f t="shared" ca="1" si="9"/>
        <v>64</v>
      </c>
      <c r="AD19" s="239">
        <f t="shared" ca="1" si="7"/>
        <v>0.5714285714285714</v>
      </c>
      <c r="AE19" s="21">
        <f t="shared" ca="1" si="1"/>
        <v>112</v>
      </c>
      <c r="AF19" s="24">
        <f t="shared" ca="1" si="10"/>
        <v>64</v>
      </c>
      <c r="AG19" s="239">
        <f t="shared" ca="1" si="3"/>
        <v>0.5714285714285714</v>
      </c>
      <c r="AH19" s="21">
        <f t="shared" ca="1" si="4"/>
        <v>0</v>
      </c>
      <c r="AI19" s="24">
        <f t="shared" ca="1" si="4"/>
        <v>0</v>
      </c>
      <c r="AJ19" s="239">
        <f t="shared" ca="1" si="5"/>
        <v>0</v>
      </c>
      <c r="AK19" s="21">
        <f t="shared" ca="1" si="8"/>
        <v>112</v>
      </c>
      <c r="AL19" s="24">
        <f t="shared" ca="1" si="8"/>
        <v>64</v>
      </c>
      <c r="AM19" s="239">
        <f t="shared" ca="1" si="6"/>
        <v>0.5714285714285714</v>
      </c>
    </row>
    <row r="20" spans="2:39" s="4" customFormat="1" ht="15" customHeight="1" x14ac:dyDescent="0.25">
      <c r="B20" s="8">
        <v>41991</v>
      </c>
      <c r="C20" s="309" t="s">
        <v>90</v>
      </c>
      <c r="D20" s="222">
        <f ca="1">SUMIF('UC BMW 2026'!$D$5:$D$77,'UC BMW 2026 (Grp. Propietar'!$B20,'UC BMW 2026'!$F$5:$F$72)</f>
        <v>4</v>
      </c>
      <c r="E20" s="124">
        <f ca="1">SUMIF('UC BMW 2026'!$D$5:$D$77,'UC BMW 2026 (Grp. Propietar'!$B20,'UC BMW 2026'!$G$5:$G$72)</f>
        <v>3</v>
      </c>
      <c r="F20" s="222">
        <f ca="1">SUMIF('UC BMW 2026'!$D$5:$D$77,'UC BMW 2026 (Grp. Propietar'!$B20,'UC BMW 2026'!$H$5:$H$72)</f>
        <v>4</v>
      </c>
      <c r="G20" s="23">
        <f ca="1">SUMIF('UC BMW 2026'!$D$5:$D$77,'UC BMW 2026 (Grp. Propietar'!$B20,'UC BMW 2026'!$I$5:$I$72)</f>
        <v>5</v>
      </c>
      <c r="H20" s="225">
        <f ca="1">SUMIF('UC BMW 2026'!$D$5:$D$77,'UC BMW 2026 (Grp. Propietar'!$B20,'UC BMW 2026'!$J$5:$J$72)</f>
        <v>5</v>
      </c>
      <c r="I20" s="124">
        <f ca="1">SUMIF('UC BMW 2026'!$D$5:$D$77,'UC BMW 2026 (Grp. Propietar'!$B20,'UC BMW 2026'!$K$5:$K$72)</f>
        <v>4</v>
      </c>
      <c r="J20" s="222">
        <f ca="1">SUMIF('UC BMW 2026'!$D$5:$D$77,'UC BMW 2026 (Grp. Propietar'!$B20,'UC BMW 2026'!$L$5:$L$72)</f>
        <v>4</v>
      </c>
      <c r="K20" s="23">
        <f ca="1">SUMIF('UC BMW 2026'!$D$5:$D$77,'UC BMW 2026 (Grp. Propietar'!$B20,'UC BMW 2026'!$M$5:$M$72)</f>
        <v>4</v>
      </c>
      <c r="L20" s="225">
        <f ca="1">SUMIF('UC BMW 2026'!$D$5:$D$77,'UC BMW 2026 (Grp. Propietar'!$B20,'UC BMW 2026'!$N$5:$N$72)</f>
        <v>5</v>
      </c>
      <c r="M20" s="124">
        <f ca="1">SUMIF('UC BMW 2026'!$D$5:$D$77,'UC BMW 2026 (Grp. Propietar'!$B20,'UC BMW 2026'!$O$5:$O$72)</f>
        <v>7</v>
      </c>
      <c r="N20" s="222">
        <f ca="1">SUMIF('UC BMW 2026'!$D$5:$D$77,'UC BMW 2026 (Grp. Propietar'!$B20,'UC BMW 2026'!$P$5:$P$72)</f>
        <v>5</v>
      </c>
      <c r="O20" s="124">
        <f ca="1">SUMIF('UC BMW 2026'!$D$5:$D$77,'UC BMW 2026 (Grp. Propietar'!$B20,'UC BMW 2026'!$Q$5:$Q$72)</f>
        <v>6</v>
      </c>
      <c r="P20" s="222">
        <f ca="1">SUMIF('UC BMW 2026'!$D$5:$D$77,'UC BMW 2026 (Grp. Propietar'!$B20,'UC BMW 2026'!$R$5:$R$72)</f>
        <v>0</v>
      </c>
      <c r="Q20" s="23">
        <f ca="1">SUMIF('UC BMW 2026'!$D$5:$D$77,'UC BMW 2026 (Grp. Propietar'!$B20,'UC BMW 2026'!$S$5:$S$72)</f>
        <v>0</v>
      </c>
      <c r="R20" s="225">
        <f ca="1">SUMIF('UC BMW 2026'!$D$5:$D$77,'UC BMW 2026 (Grp. Propietar'!$B20,'UC BMW 2026'!$T$5:$T$72)</f>
        <v>0</v>
      </c>
      <c r="S20" s="124">
        <f ca="1">SUMIF('UC BMW 2026'!$D$5:$D$77,'UC BMW 2026 (Grp. Propietar'!$B20,'UC BMW 2026'!$U$5:$U$72)</f>
        <v>0</v>
      </c>
      <c r="T20" s="222">
        <f ca="1">SUMIF('UC BMW 2026'!$D$5:$D$77,'UC BMW 2026 (Grp. Propietar'!$B20,'UC BMW 2026'!$V$5:$V$72)</f>
        <v>0</v>
      </c>
      <c r="U20" s="23">
        <f ca="1">SUMIF('UC BMW 2026'!$D$5:$D$77,'UC BMW 2026 (Grp. Propietar'!$B20,'UC BMW 2026'!$W$5:$W$72)</f>
        <v>0</v>
      </c>
      <c r="V20" s="225">
        <f ca="1">SUMIF('UC BMW 2026'!$D$5:$D$77,'UC BMW 2026 (Grp. Propietar'!$B20,'UC BMW 2026'!$X$5:$X$72)</f>
        <v>0</v>
      </c>
      <c r="W20" s="124">
        <f ca="1">SUMIF('UC BMW 2026'!$D$5:$D$77,'UC BMW 2026 (Grp. Propietar'!$B20,'UC BMW 2026'!$Y$5:$Y$72)</f>
        <v>0</v>
      </c>
      <c r="X20" s="222">
        <f>SUMIF('UC BMW 2026'!$D$10:$D$77,$B20,'UC BMW 2026'!Z$10:Z$77)</f>
        <v>0</v>
      </c>
      <c r="Y20" s="23">
        <f>SUMIF('UC BMW 2026'!$D$10:$D$77,$B20,'UC BMW 2026'!AA$10:AA$77)</f>
        <v>0</v>
      </c>
      <c r="Z20" s="225">
        <f>SUMIF('UC BMW 2026'!$D$10:$D$77,$B20,'UC BMW 2026'!AB$10:AB$77)</f>
        <v>0</v>
      </c>
      <c r="AA20" s="23">
        <f>SUMIF('UC BMW 2026'!$D$10:$D$77,$B20,'UC BMW 2026'!AC$10:AC$77)</f>
        <v>0</v>
      </c>
      <c r="AB20" s="21">
        <f t="shared" ca="1" si="9"/>
        <v>27</v>
      </c>
      <c r="AC20" s="24">
        <f t="shared" ca="1" si="9"/>
        <v>29</v>
      </c>
      <c r="AD20" s="239">
        <f t="shared" ca="1" si="7"/>
        <v>1.0740740740740742</v>
      </c>
      <c r="AE20" s="21">
        <f t="shared" ca="1" si="1"/>
        <v>27</v>
      </c>
      <c r="AF20" s="24">
        <f t="shared" ca="1" si="10"/>
        <v>29</v>
      </c>
      <c r="AG20" s="239">
        <f t="shared" ca="1" si="3"/>
        <v>1.0740740740740742</v>
      </c>
      <c r="AH20" s="21">
        <f t="shared" ca="1" si="4"/>
        <v>0</v>
      </c>
      <c r="AI20" s="24">
        <f t="shared" ca="1" si="4"/>
        <v>0</v>
      </c>
      <c r="AJ20" s="239">
        <f t="shared" ca="1" si="5"/>
        <v>0</v>
      </c>
      <c r="AK20" s="21">
        <f t="shared" ca="1" si="8"/>
        <v>27</v>
      </c>
      <c r="AL20" s="24">
        <f t="shared" ca="1" si="8"/>
        <v>29</v>
      </c>
      <c r="AM20" s="239">
        <f t="shared" ca="1" si="6"/>
        <v>1.0740740740740742</v>
      </c>
    </row>
    <row r="21" spans="2:39" s="4" customFormat="1" ht="15" customHeight="1" x14ac:dyDescent="0.25">
      <c r="B21" s="8">
        <v>54468</v>
      </c>
      <c r="C21" s="309" t="s">
        <v>254</v>
      </c>
      <c r="D21" s="222">
        <f ca="1">SUMIF('UC BMW 2026'!$D$5:$D$77,'UC BMW 2026 (Grp. Propietar'!$B21,'UC BMW 2026'!$F$5:$F$72)</f>
        <v>28</v>
      </c>
      <c r="E21" s="124">
        <f ca="1">SUMIF('UC BMW 2026'!$D$5:$D$77,'UC BMW 2026 (Grp. Propietar'!$B21,'UC BMW 2026'!$G$5:$G$72)</f>
        <v>18</v>
      </c>
      <c r="F21" s="222">
        <f ca="1">SUMIF('UC BMW 2026'!$D$5:$D$77,'UC BMW 2026 (Grp. Propietar'!$B21,'UC BMW 2026'!$H$5:$H$72)</f>
        <v>28</v>
      </c>
      <c r="G21" s="23">
        <f ca="1">SUMIF('UC BMW 2026'!$D$5:$D$77,'UC BMW 2026 (Grp. Propietar'!$B21,'UC BMW 2026'!$I$5:$I$72)</f>
        <v>16</v>
      </c>
      <c r="H21" s="225">
        <f ca="1">SUMIF('UC BMW 2026'!$D$5:$D$77,'UC BMW 2026 (Grp. Propietar'!$B21,'UC BMW 2026'!$J$5:$J$72)</f>
        <v>28</v>
      </c>
      <c r="I21" s="124">
        <f ca="1">SUMIF('UC BMW 2026'!$D$5:$D$77,'UC BMW 2026 (Grp. Propietar'!$B21,'UC BMW 2026'!$K$5:$K$72)</f>
        <v>25</v>
      </c>
      <c r="J21" s="222">
        <f ca="1">SUMIF('UC BMW 2026'!$D$5:$D$77,'UC BMW 2026 (Grp. Propietar'!$B21,'UC BMW 2026'!$L$5:$L$72)</f>
        <v>28</v>
      </c>
      <c r="K21" s="23">
        <f ca="1">SUMIF('UC BMW 2026'!$D$5:$D$77,'UC BMW 2026 (Grp. Propietar'!$B21,'UC BMW 2026'!$M$5:$M$72)</f>
        <v>19</v>
      </c>
      <c r="L21" s="225">
        <f ca="1">SUMIF('UC BMW 2026'!$D$5:$D$77,'UC BMW 2026 (Grp. Propietar'!$B21,'UC BMW 2026'!$N$5:$N$72)</f>
        <v>28</v>
      </c>
      <c r="M21" s="124">
        <f ca="1">SUMIF('UC BMW 2026'!$D$5:$D$77,'UC BMW 2026 (Grp. Propietar'!$B21,'UC BMW 2026'!$O$5:$O$72)</f>
        <v>25</v>
      </c>
      <c r="N21" s="222">
        <f ca="1">SUMIF('UC BMW 2026'!$D$5:$D$77,'UC BMW 2026 (Grp. Propietar'!$B21,'UC BMW 2026'!$P$5:$P$72)</f>
        <v>28</v>
      </c>
      <c r="O21" s="124">
        <f ca="1">SUMIF('UC BMW 2026'!$D$5:$D$77,'UC BMW 2026 (Grp. Propietar'!$B21,'UC BMW 2026'!$Q$5:$Q$72)</f>
        <v>19</v>
      </c>
      <c r="P21" s="222">
        <f ca="1">SUMIF('UC BMW 2026'!$D$5:$D$77,'UC BMW 2026 (Grp. Propietar'!$B21,'UC BMW 2026'!$R$5:$R$72)</f>
        <v>0</v>
      </c>
      <c r="Q21" s="23">
        <f ca="1">SUMIF('UC BMW 2026'!$D$5:$D$77,'UC BMW 2026 (Grp. Propietar'!$B21,'UC BMW 2026'!$S$5:$S$72)</f>
        <v>0</v>
      </c>
      <c r="R21" s="225">
        <f ca="1">SUMIF('UC BMW 2026'!$D$5:$D$77,'UC BMW 2026 (Grp. Propietar'!$B21,'UC BMW 2026'!$T$5:$T$72)</f>
        <v>0</v>
      </c>
      <c r="S21" s="124">
        <f ca="1">SUMIF('UC BMW 2026'!$D$5:$D$77,'UC BMW 2026 (Grp. Propietar'!$B21,'UC BMW 2026'!$U$5:$U$72)</f>
        <v>0</v>
      </c>
      <c r="T21" s="222">
        <f ca="1">SUMIF('UC BMW 2026'!$D$5:$D$77,'UC BMW 2026 (Grp. Propietar'!$B21,'UC BMW 2026'!$V$5:$V$72)</f>
        <v>0</v>
      </c>
      <c r="U21" s="23">
        <f ca="1">SUMIF('UC BMW 2026'!$D$5:$D$77,'UC BMW 2026 (Grp. Propietar'!$B21,'UC BMW 2026'!$W$5:$W$72)</f>
        <v>0</v>
      </c>
      <c r="V21" s="225">
        <f ca="1">SUMIF('UC BMW 2026'!$D$5:$D$77,'UC BMW 2026 (Grp. Propietar'!$B21,'UC BMW 2026'!$X$5:$X$72)</f>
        <v>0</v>
      </c>
      <c r="W21" s="124">
        <f ca="1">SUMIF('UC BMW 2026'!$D$5:$D$77,'UC BMW 2026 (Grp. Propietar'!$B21,'UC BMW 2026'!$Y$5:$Y$72)</f>
        <v>0</v>
      </c>
      <c r="X21" s="222">
        <f>SUMIF('UC BMW 2026'!$D$10:$D$77,$B21,'UC BMW 2026'!Z$10:Z$77)</f>
        <v>0</v>
      </c>
      <c r="Y21" s="23">
        <f>SUMIF('UC BMW 2026'!$D$10:$D$77,$B21,'UC BMW 2026'!AA$10:AA$77)</f>
        <v>0</v>
      </c>
      <c r="Z21" s="225">
        <f>SUMIF('UC BMW 2026'!$D$10:$D$77,$B21,'UC BMW 2026'!AB$10:AB$77)</f>
        <v>0</v>
      </c>
      <c r="AA21" s="23">
        <f>SUMIF('UC BMW 2026'!$D$10:$D$77,$B21,'UC BMW 2026'!AC$10:AC$77)</f>
        <v>0</v>
      </c>
      <c r="AB21" s="21">
        <f t="shared" ca="1" si="9"/>
        <v>168</v>
      </c>
      <c r="AC21" s="24">
        <f t="shared" ca="1" si="9"/>
        <v>122</v>
      </c>
      <c r="AD21" s="239">
        <f t="shared" ca="1" si="7"/>
        <v>0.72619047619047616</v>
      </c>
      <c r="AE21" s="21">
        <f t="shared" ca="1" si="1"/>
        <v>168</v>
      </c>
      <c r="AF21" s="24">
        <f t="shared" ca="1" si="10"/>
        <v>122</v>
      </c>
      <c r="AG21" s="239">
        <f t="shared" ca="1" si="3"/>
        <v>0.72619047619047616</v>
      </c>
      <c r="AH21" s="21">
        <f t="shared" ca="1" si="4"/>
        <v>0</v>
      </c>
      <c r="AI21" s="24">
        <f t="shared" ca="1" si="4"/>
        <v>0</v>
      </c>
      <c r="AJ21" s="239">
        <f t="shared" ca="1" si="5"/>
        <v>0</v>
      </c>
      <c r="AK21" s="21">
        <f t="shared" ca="1" si="8"/>
        <v>168</v>
      </c>
      <c r="AL21" s="24">
        <f t="shared" ca="1" si="8"/>
        <v>122</v>
      </c>
      <c r="AM21" s="239">
        <f t="shared" ca="1" si="6"/>
        <v>0.72619047619047616</v>
      </c>
    </row>
    <row r="22" spans="2:39" s="4" customFormat="1" ht="15" customHeight="1" x14ac:dyDescent="0.25">
      <c r="B22" s="8">
        <v>33948</v>
      </c>
      <c r="C22" s="309" t="s">
        <v>92</v>
      </c>
      <c r="D22" s="222">
        <f ca="1">SUMIF('UC BMW 2026'!$D$5:$D$77,'UC BMW 2026 (Grp. Propietar'!$B22,'UC BMW 2026'!$F$5:$F$72)</f>
        <v>16</v>
      </c>
      <c r="E22" s="124">
        <f ca="1">SUMIF('UC BMW 2026'!$D$5:$D$77,'UC BMW 2026 (Grp. Propietar'!$B22,'UC BMW 2026'!$G$5:$G$72)</f>
        <v>14</v>
      </c>
      <c r="F22" s="222">
        <f ca="1">SUMIF('UC BMW 2026'!$D$5:$D$77,'UC BMW 2026 (Grp. Propietar'!$B22,'UC BMW 2026'!$H$5:$H$72)</f>
        <v>16</v>
      </c>
      <c r="G22" s="23">
        <f ca="1">SUMIF('UC BMW 2026'!$D$5:$D$77,'UC BMW 2026 (Grp. Propietar'!$B22,'UC BMW 2026'!$I$5:$I$72)</f>
        <v>12</v>
      </c>
      <c r="H22" s="225">
        <f ca="1">SUMIF('UC BMW 2026'!$D$5:$D$77,'UC BMW 2026 (Grp. Propietar'!$B22,'UC BMW 2026'!$J$5:$J$72)</f>
        <v>16</v>
      </c>
      <c r="I22" s="124">
        <f ca="1">SUMIF('UC BMW 2026'!$D$5:$D$77,'UC BMW 2026 (Grp. Propietar'!$B22,'UC BMW 2026'!$K$5:$K$72)</f>
        <v>9</v>
      </c>
      <c r="J22" s="222">
        <f ca="1">SUMIF('UC BMW 2026'!$D$5:$D$77,'UC BMW 2026 (Grp. Propietar'!$B22,'UC BMW 2026'!$L$5:$L$72)</f>
        <v>16</v>
      </c>
      <c r="K22" s="23">
        <f ca="1">SUMIF('UC BMW 2026'!$D$5:$D$77,'UC BMW 2026 (Grp. Propietar'!$B22,'UC BMW 2026'!$M$5:$M$72)</f>
        <v>16</v>
      </c>
      <c r="L22" s="225">
        <f ca="1">SUMIF('UC BMW 2026'!$D$5:$D$77,'UC BMW 2026 (Grp. Propietar'!$B22,'UC BMW 2026'!$N$5:$N$72)</f>
        <v>16</v>
      </c>
      <c r="M22" s="124">
        <f ca="1">SUMIF('UC BMW 2026'!$D$5:$D$77,'UC BMW 2026 (Grp. Propietar'!$B22,'UC BMW 2026'!$O$5:$O$72)</f>
        <v>21</v>
      </c>
      <c r="N22" s="222">
        <f ca="1">SUMIF('UC BMW 2026'!$D$5:$D$77,'UC BMW 2026 (Grp. Propietar'!$B22,'UC BMW 2026'!$P$5:$P$72)</f>
        <v>17</v>
      </c>
      <c r="O22" s="124">
        <f ca="1">SUMIF('UC BMW 2026'!$D$5:$D$77,'UC BMW 2026 (Grp. Propietar'!$B22,'UC BMW 2026'!$Q$5:$Q$72)</f>
        <v>43</v>
      </c>
      <c r="P22" s="222">
        <f ca="1">SUMIF('UC BMW 2026'!$D$5:$D$77,'UC BMW 2026 (Grp. Propietar'!$B22,'UC BMW 2026'!$R$5:$R$72)</f>
        <v>0</v>
      </c>
      <c r="Q22" s="23">
        <f ca="1">SUMIF('UC BMW 2026'!$D$5:$D$77,'UC BMW 2026 (Grp. Propietar'!$B22,'UC BMW 2026'!$S$5:$S$72)</f>
        <v>0</v>
      </c>
      <c r="R22" s="225">
        <f ca="1">SUMIF('UC BMW 2026'!$D$5:$D$77,'UC BMW 2026 (Grp. Propietar'!$B22,'UC BMW 2026'!$T$5:$T$72)</f>
        <v>0</v>
      </c>
      <c r="S22" s="124">
        <f ca="1">SUMIF('UC BMW 2026'!$D$5:$D$77,'UC BMW 2026 (Grp. Propietar'!$B22,'UC BMW 2026'!$U$5:$U$72)</f>
        <v>0</v>
      </c>
      <c r="T22" s="222">
        <f ca="1">SUMIF('UC BMW 2026'!$D$5:$D$77,'UC BMW 2026 (Grp. Propietar'!$B22,'UC BMW 2026'!$V$5:$V$72)</f>
        <v>0</v>
      </c>
      <c r="U22" s="23">
        <f ca="1">SUMIF('UC BMW 2026'!$D$5:$D$77,'UC BMW 2026 (Grp. Propietar'!$B22,'UC BMW 2026'!$W$5:$W$72)</f>
        <v>0</v>
      </c>
      <c r="V22" s="225">
        <f ca="1">SUMIF('UC BMW 2026'!$D$5:$D$77,'UC BMW 2026 (Grp. Propietar'!$B22,'UC BMW 2026'!$X$5:$X$72)</f>
        <v>0</v>
      </c>
      <c r="W22" s="124">
        <f ca="1">SUMIF('UC BMW 2026'!$D$5:$D$77,'UC BMW 2026 (Grp. Propietar'!$B22,'UC BMW 2026'!$Y$5:$Y$72)</f>
        <v>0</v>
      </c>
      <c r="X22" s="222">
        <f>SUMIF('UC BMW 2026'!$D$10:$D$77,$B22,'UC BMW 2026'!Z$10:Z$77)</f>
        <v>0</v>
      </c>
      <c r="Y22" s="23">
        <f>SUMIF('UC BMW 2026'!$D$10:$D$77,$B22,'UC BMW 2026'!AA$10:AA$77)</f>
        <v>0</v>
      </c>
      <c r="Z22" s="225">
        <f>SUMIF('UC BMW 2026'!$D$10:$D$77,$B22,'UC BMW 2026'!AB$10:AB$77)</f>
        <v>0</v>
      </c>
      <c r="AA22" s="23">
        <f>SUMIF('UC BMW 2026'!$D$10:$D$77,$B22,'UC BMW 2026'!AC$10:AC$77)</f>
        <v>0</v>
      </c>
      <c r="AB22" s="21">
        <f t="shared" ref="AB22:AB34" ca="1" si="11">IF($AB$2="ENERO",D22,IF($AB$2="FEBRERO",D22+F22,IF($AB$2="MARZO",D22+F22+H22,IF($AB$2="ABRIL",D22+F22+H22+J22,IF($AB$2="MAYO",D22+F22+H22+J22+L22,IF($AB$2="JUNIO",D22+F22+H22+J22+L22+N22,IF($AB$2="JULIO",D22+F22+H22+J22+L22+N22+P22,IF($AB$2="AGOSTO",D22+F22+H22+J22+L22+N22+P22+R22,IF($AB$2="SEPTIEMBRE",D22+F22+H22+J22+L22+N22+P22+R22+T22,IF($AB$2="OCTUBRE",D22+F22+H22+J22+L22+N22+P22+R22+T22+V22,IF($AB$2="NOVIEMBRE",D22+F22+H22+J22+L22+N22+P22+R22+T22+V22+X22,IF($AB$2="DICIEMBRE",D22+F22+H22+J22+L22+N22+P22+R22+T22+V22+X22+Z22,""))))))))))))</f>
        <v>97</v>
      </c>
      <c r="AC22" s="24">
        <f t="shared" ref="AC22:AC34" ca="1" si="12">IF($AB$2="ENERO",E22,IF($AB$2="FEBRERO",E22+G22,IF($AB$2="MARZO",E22+G22+I22,IF($AB$2="ABRIL",E22+G22+I22+K22,IF($AB$2="MAYO",E22+G22+I22+K22+M22,IF($AB$2="JUNIO",E22+G22+I22+K22+M22+O22,IF($AB$2="JULIO",E22+G22+I22+K22+M22+O22+Q22,IF($AB$2="AGOSTO",E22+G22+I22+K22+M22+O22+Q22+S22,IF($AB$2="SEPTIEMBRE",E22+G22+I22+K22+M22+O22+Q22+S22+U22,IF($AB$2="OCTUBRE",E22+G22+I22+K22+M22+O22+Q22+S22+U22+W22,IF($AB$2="NOVIEMBRE",E22+G22+I22+K22+M22+O22+Q22+S22+U22+W22+Y22,IF($AB$2="DICIEMBRE",E22+G22+I22+K22+M22+O22+Q22+S22+U22+W22+Y22+AA22,""))))))))))))</f>
        <v>115</v>
      </c>
      <c r="AD22" s="239">
        <f t="shared" ref="AD22:AD34" ca="1" si="13">IFERROR((AC22/AB22),0)</f>
        <v>1.1855670103092784</v>
      </c>
      <c r="AE22" s="21">
        <f t="shared" ref="AE22:AE35" ca="1" si="14">+D22+F22+H22+J22+L22+N22+P22+R22+T22+V22+X22+Z22</f>
        <v>97</v>
      </c>
      <c r="AF22" s="24">
        <f t="shared" ref="AF22:AF35" ca="1" si="15">IF($AB$2="ENERO",E22,IF($AB$2="FEBRERO",E22+G22,IF($AB$2="MARZO",E22+G22+I22,IF($AB$2="ABRIL",E22+G22+I22+K22,IF($AB$2="MAYO",E22+G22+I22+K22+M22,IF($AB$2="JUNIO",E22+G22+I22+K22+M22+O22,IF($AB$2="JULIO",E22+G22+I22+K22+M22+O22+Q22,IF($AB$2="AGOSTO",E22+G22+I22+K22+M22+O22+Q22+S22,IF($AB$2="SEPTIEMBRE",E22+G22+I22+K22+M22+O22+Q22+S22+U22,IF($AB$2="OCTUBRE",E22+G22+I22+K22+M22+O22+Q22+S22+U22+W22,IF($AB$2="NOVIEMBRE",E22+G22+I22+K22+M22+O22+Q22+S22+U22+W22+Y22,IF($AB$2="DICIEMBRE",E22+G22+I22+K22+M22+O22+Q22+S22+U22+W22+Y22+AA22,""))))))))))))</f>
        <v>115</v>
      </c>
      <c r="AG22" s="239">
        <f t="shared" ref="AG22:AG34" ca="1" si="16">IFERROR((AF22/AE22),0)</f>
        <v>1.1855670103092784</v>
      </c>
      <c r="AH22" s="21">
        <f t="shared" ref="AH22:AH34" ca="1" si="17">IF($AH$3="Q1",D22+F22+H22,IF($AH$3="Q2",J22+L22++N22,IF($AH$3="Q3",P22+R22+T22,IF($AH$3="Q4",V22+X22+Z22,0))))</f>
        <v>0</v>
      </c>
      <c r="AI22" s="24">
        <f t="shared" ref="AI22:AI34" ca="1" si="18">IF($AH$3="Q1",E22+G22+I22,IF($AH$3="Q2",K22+M22++O22,IF($AH$3="Q3",Q22+S22+U22,IF($AH$3="Q4",W22+Y22+AA22,0))))</f>
        <v>0</v>
      </c>
      <c r="AJ22" s="239">
        <f t="shared" ref="AJ22:AJ34" ca="1" si="19">IFERROR((AI22/AH22),0)</f>
        <v>0</v>
      </c>
      <c r="AK22" s="21">
        <f t="shared" ref="AK22:AK34" ca="1" si="20">IF($AK$3="S 1",D22+F22+H22+J22+L22+N22,IF($AK$3="S 2",P22+R22+T22+V22+X22+Z22,0))</f>
        <v>97</v>
      </c>
      <c r="AL22" s="24">
        <f t="shared" ref="AL22:AL34" ca="1" si="21">IF($AK$3="S 1",E22+G22+I22+K22+M22+O22,IF($AK$3="S 2",Q22+S22+U22+W22+Y22+AA22,0))</f>
        <v>115</v>
      </c>
      <c r="AM22" s="239">
        <f t="shared" ref="AM22:AM34" ca="1" si="22">IFERROR((AL22/AK22),0)</f>
        <v>1.1855670103092784</v>
      </c>
    </row>
    <row r="23" spans="2:39" s="4" customFormat="1" ht="15" customHeight="1" x14ac:dyDescent="0.25">
      <c r="B23" s="8">
        <v>39200</v>
      </c>
      <c r="C23" s="309" t="s">
        <v>93</v>
      </c>
      <c r="D23" s="222">
        <f ca="1">SUMIF('UC BMW 2026'!$D$5:$D$77,'UC BMW 2026 (Grp. Propietar'!$B23,'UC BMW 2026'!$F$5:$F$72)</f>
        <v>10</v>
      </c>
      <c r="E23" s="124">
        <f ca="1">SUMIF('UC BMW 2026'!$D$5:$D$77,'UC BMW 2026 (Grp. Propietar'!$B23,'UC BMW 2026'!$G$5:$G$72)</f>
        <v>15</v>
      </c>
      <c r="F23" s="222">
        <f ca="1">SUMIF('UC BMW 2026'!$D$5:$D$77,'UC BMW 2026 (Grp. Propietar'!$B23,'UC BMW 2026'!$H$5:$H$72)</f>
        <v>11</v>
      </c>
      <c r="G23" s="23">
        <f ca="1">SUMIF('UC BMW 2026'!$D$5:$D$77,'UC BMW 2026 (Grp. Propietar'!$B23,'UC BMW 2026'!$I$5:$I$72)</f>
        <v>20</v>
      </c>
      <c r="H23" s="225">
        <f ca="1">SUMIF('UC BMW 2026'!$D$5:$D$77,'UC BMW 2026 (Grp. Propietar'!$B23,'UC BMW 2026'!$J$5:$J$72)</f>
        <v>12</v>
      </c>
      <c r="I23" s="124">
        <f ca="1">SUMIF('UC BMW 2026'!$D$5:$D$77,'UC BMW 2026 (Grp. Propietar'!$B23,'UC BMW 2026'!$K$5:$K$72)</f>
        <v>5</v>
      </c>
      <c r="J23" s="222">
        <f ca="1">SUMIF('UC BMW 2026'!$D$5:$D$77,'UC BMW 2026 (Grp. Propietar'!$B23,'UC BMW 2026'!$L$5:$L$72)</f>
        <v>12</v>
      </c>
      <c r="K23" s="23">
        <f ca="1">SUMIF('UC BMW 2026'!$D$5:$D$77,'UC BMW 2026 (Grp. Propietar'!$B23,'UC BMW 2026'!$M$5:$M$72)</f>
        <v>10</v>
      </c>
      <c r="L23" s="225">
        <f ca="1">SUMIF('UC BMW 2026'!$D$5:$D$77,'UC BMW 2026 (Grp. Propietar'!$B23,'UC BMW 2026'!$N$5:$N$72)</f>
        <v>12</v>
      </c>
      <c r="M23" s="124">
        <f ca="1">SUMIF('UC BMW 2026'!$D$5:$D$77,'UC BMW 2026 (Grp. Propietar'!$B23,'UC BMW 2026'!$O$5:$O$72)</f>
        <v>7</v>
      </c>
      <c r="N23" s="222">
        <f ca="1">SUMIF('UC BMW 2026'!$D$5:$D$77,'UC BMW 2026 (Grp. Propietar'!$B23,'UC BMW 2026'!$P$5:$P$72)</f>
        <v>13</v>
      </c>
      <c r="O23" s="124">
        <f ca="1">SUMIF('UC BMW 2026'!$D$5:$D$77,'UC BMW 2026 (Grp. Propietar'!$B23,'UC BMW 2026'!$Q$5:$Q$72)</f>
        <v>21</v>
      </c>
      <c r="P23" s="222">
        <f ca="1">SUMIF('UC BMW 2026'!$D$5:$D$77,'UC BMW 2026 (Grp. Propietar'!$B23,'UC BMW 2026'!$R$5:$R$72)</f>
        <v>0</v>
      </c>
      <c r="Q23" s="23">
        <f ca="1">SUMIF('UC BMW 2026'!$D$5:$D$77,'UC BMW 2026 (Grp. Propietar'!$B23,'UC BMW 2026'!$S$5:$S$72)</f>
        <v>0</v>
      </c>
      <c r="R23" s="225">
        <f ca="1">SUMIF('UC BMW 2026'!$D$5:$D$77,'UC BMW 2026 (Grp. Propietar'!$B23,'UC BMW 2026'!$T$5:$T$72)</f>
        <v>0</v>
      </c>
      <c r="S23" s="124">
        <f ca="1">SUMIF('UC BMW 2026'!$D$5:$D$77,'UC BMW 2026 (Grp. Propietar'!$B23,'UC BMW 2026'!$U$5:$U$72)</f>
        <v>0</v>
      </c>
      <c r="T23" s="222">
        <f ca="1">SUMIF('UC BMW 2026'!$D$5:$D$77,'UC BMW 2026 (Grp. Propietar'!$B23,'UC BMW 2026'!$V$5:$V$72)</f>
        <v>0</v>
      </c>
      <c r="U23" s="23">
        <f ca="1">SUMIF('UC BMW 2026'!$D$5:$D$77,'UC BMW 2026 (Grp. Propietar'!$B23,'UC BMW 2026'!$W$5:$W$72)</f>
        <v>0</v>
      </c>
      <c r="V23" s="225">
        <f ca="1">SUMIF('UC BMW 2026'!$D$5:$D$77,'UC BMW 2026 (Grp. Propietar'!$B23,'UC BMW 2026'!$X$5:$X$72)</f>
        <v>0</v>
      </c>
      <c r="W23" s="124">
        <f ca="1">SUMIF('UC BMW 2026'!$D$5:$D$77,'UC BMW 2026 (Grp. Propietar'!$B23,'UC BMW 2026'!$Y$5:$Y$72)</f>
        <v>0</v>
      </c>
      <c r="X23" s="222">
        <f>SUMIF('UC BMW 2026'!$D$10:$D$77,$B23,'UC BMW 2026'!Z$10:Z$77)</f>
        <v>0</v>
      </c>
      <c r="Y23" s="23">
        <f>SUMIF('UC BMW 2026'!$D$10:$D$77,$B23,'UC BMW 2026'!AA$10:AA$77)</f>
        <v>0</v>
      </c>
      <c r="Z23" s="225">
        <f>SUMIF('UC BMW 2026'!$D$10:$D$77,$B23,'UC BMW 2026'!AB$10:AB$77)</f>
        <v>0</v>
      </c>
      <c r="AA23" s="23">
        <f>SUMIF('UC BMW 2026'!$D$10:$D$77,$B23,'UC BMW 2026'!AC$10:AC$77)</f>
        <v>0</v>
      </c>
      <c r="AB23" s="21">
        <f t="shared" ca="1" si="11"/>
        <v>70</v>
      </c>
      <c r="AC23" s="24">
        <f t="shared" ca="1" si="12"/>
        <v>78</v>
      </c>
      <c r="AD23" s="239">
        <f t="shared" ca="1" si="13"/>
        <v>1.1142857142857143</v>
      </c>
      <c r="AE23" s="21">
        <f t="shared" ca="1" si="14"/>
        <v>70</v>
      </c>
      <c r="AF23" s="24">
        <f t="shared" ca="1" si="15"/>
        <v>78</v>
      </c>
      <c r="AG23" s="239">
        <f t="shared" ca="1" si="16"/>
        <v>1.1142857142857143</v>
      </c>
      <c r="AH23" s="21">
        <f t="shared" ca="1" si="17"/>
        <v>0</v>
      </c>
      <c r="AI23" s="24">
        <f t="shared" ca="1" si="18"/>
        <v>0</v>
      </c>
      <c r="AJ23" s="239">
        <f t="shared" ca="1" si="19"/>
        <v>0</v>
      </c>
      <c r="AK23" s="21">
        <f t="shared" ca="1" si="20"/>
        <v>70</v>
      </c>
      <c r="AL23" s="24">
        <f t="shared" ca="1" si="21"/>
        <v>78</v>
      </c>
      <c r="AM23" s="239">
        <f t="shared" ca="1" si="22"/>
        <v>1.1142857142857143</v>
      </c>
    </row>
    <row r="24" spans="2:39" s="4" customFormat="1" ht="15" customHeight="1" x14ac:dyDescent="0.25">
      <c r="B24" s="8">
        <v>39349</v>
      </c>
      <c r="C24" s="309" t="s">
        <v>94</v>
      </c>
      <c r="D24" s="222">
        <f ca="1">SUMIF('UC BMW 2026'!$D$5:$D$77,'UC BMW 2026 (Grp. Propietar'!$B24,'UC BMW 2026'!$F$5:$F$72)</f>
        <v>60</v>
      </c>
      <c r="E24" s="124">
        <f ca="1">SUMIF('UC BMW 2026'!$D$5:$D$77,'UC BMW 2026 (Grp. Propietar'!$B24,'UC BMW 2026'!$G$5:$G$72)</f>
        <v>54</v>
      </c>
      <c r="F24" s="222">
        <f ca="1">SUMIF('UC BMW 2026'!$D$5:$D$77,'UC BMW 2026 (Grp. Propietar'!$B24,'UC BMW 2026'!$H$5:$H$72)</f>
        <v>61</v>
      </c>
      <c r="G24" s="23">
        <f ca="1">SUMIF('UC BMW 2026'!$D$5:$D$77,'UC BMW 2026 (Grp. Propietar'!$B24,'UC BMW 2026'!$I$5:$I$72)</f>
        <v>49</v>
      </c>
      <c r="H24" s="225">
        <f ca="1">SUMIF('UC BMW 2026'!$D$5:$D$77,'UC BMW 2026 (Grp. Propietar'!$B24,'UC BMW 2026'!$J$5:$J$72)</f>
        <v>61</v>
      </c>
      <c r="I24" s="124">
        <f ca="1">SUMIF('UC BMW 2026'!$D$5:$D$77,'UC BMW 2026 (Grp. Propietar'!$B24,'UC BMW 2026'!$K$5:$K$72)</f>
        <v>71</v>
      </c>
      <c r="J24" s="222">
        <f ca="1">SUMIF('UC BMW 2026'!$D$5:$D$77,'UC BMW 2026 (Grp. Propietar'!$B24,'UC BMW 2026'!$L$5:$L$72)</f>
        <v>61</v>
      </c>
      <c r="K24" s="23">
        <f ca="1">SUMIF('UC BMW 2026'!$D$5:$D$77,'UC BMW 2026 (Grp. Propietar'!$B24,'UC BMW 2026'!$M$5:$M$72)</f>
        <v>87</v>
      </c>
      <c r="L24" s="225">
        <f ca="1">SUMIF('UC BMW 2026'!$D$5:$D$77,'UC BMW 2026 (Grp. Propietar'!$B24,'UC BMW 2026'!$N$5:$N$72)</f>
        <v>61</v>
      </c>
      <c r="M24" s="124">
        <f ca="1">SUMIF('UC BMW 2026'!$D$5:$D$77,'UC BMW 2026 (Grp. Propietar'!$B24,'UC BMW 2026'!$O$5:$O$72)</f>
        <v>62</v>
      </c>
      <c r="N24" s="222">
        <f ca="1">SUMIF('UC BMW 2026'!$D$5:$D$77,'UC BMW 2026 (Grp. Propietar'!$B24,'UC BMW 2026'!$P$5:$P$72)</f>
        <v>61</v>
      </c>
      <c r="O24" s="124">
        <f ca="1">SUMIF('UC BMW 2026'!$D$5:$D$77,'UC BMW 2026 (Grp. Propietar'!$B24,'UC BMW 2026'!$Q$5:$Q$72)</f>
        <v>107</v>
      </c>
      <c r="P24" s="222">
        <f ca="1">SUMIF('UC BMW 2026'!$D$5:$D$77,'UC BMW 2026 (Grp. Propietar'!$B24,'UC BMW 2026'!$R$5:$R$72)</f>
        <v>65</v>
      </c>
      <c r="Q24" s="23">
        <f ca="1">SUMIF('UC BMW 2026'!$D$5:$D$77,'UC BMW 2026 (Grp. Propietar'!$B24,'UC BMW 2026'!$S$5:$S$72)</f>
        <v>0</v>
      </c>
      <c r="R24" s="225">
        <f ca="1">SUMIF('UC BMW 2026'!$D$5:$D$77,'UC BMW 2026 (Grp. Propietar'!$B24,'UC BMW 2026'!$T$5:$T$72)</f>
        <v>65</v>
      </c>
      <c r="S24" s="124">
        <f ca="1">SUMIF('UC BMW 2026'!$D$5:$D$77,'UC BMW 2026 (Grp. Propietar'!$B24,'UC BMW 2026'!$U$5:$U$72)</f>
        <v>0</v>
      </c>
      <c r="T24" s="222">
        <f ca="1">SUMIF('UC BMW 2026'!$D$5:$D$77,'UC BMW 2026 (Grp. Propietar'!$B24,'UC BMW 2026'!$V$5:$V$72)</f>
        <v>65</v>
      </c>
      <c r="U24" s="23">
        <f ca="1">SUMIF('UC BMW 2026'!$D$5:$D$77,'UC BMW 2026 (Grp. Propietar'!$B24,'UC BMW 2026'!$W$5:$W$72)</f>
        <v>0</v>
      </c>
      <c r="V24" s="225">
        <f ca="1">SUMIF('UC BMW 2026'!$D$5:$D$77,'UC BMW 2026 (Grp. Propietar'!$B24,'UC BMW 2026'!$X$5:$X$72)</f>
        <v>65</v>
      </c>
      <c r="W24" s="124">
        <f ca="1">SUMIF('UC BMW 2026'!$D$5:$D$77,'UC BMW 2026 (Grp. Propietar'!$B24,'UC BMW 2026'!$Y$5:$Y$72)</f>
        <v>0</v>
      </c>
      <c r="X24" s="222">
        <f>SUMIF('UC BMW 2026'!$D$10:$D$77,$B24,'UC BMW 2026'!Z$10:Z$77)</f>
        <v>65</v>
      </c>
      <c r="Y24" s="23">
        <f>SUMIF('UC BMW 2026'!$D$10:$D$77,$B24,'UC BMW 2026'!AA$10:AA$77)</f>
        <v>0</v>
      </c>
      <c r="Z24" s="225">
        <f>SUMIF('UC BMW 2026'!$D$10:$D$77,$B24,'UC BMW 2026'!AB$10:AB$77)</f>
        <v>65</v>
      </c>
      <c r="AA24" s="23">
        <f>SUMIF('UC BMW 2026'!$D$10:$D$77,$B24,'UC BMW 2026'!AC$10:AC$77)</f>
        <v>0</v>
      </c>
      <c r="AB24" s="21">
        <f t="shared" ca="1" si="11"/>
        <v>365</v>
      </c>
      <c r="AC24" s="24">
        <f t="shared" ca="1" si="12"/>
        <v>430</v>
      </c>
      <c r="AD24" s="239">
        <f t="shared" ca="1" si="13"/>
        <v>1.178082191780822</v>
      </c>
      <c r="AE24" s="21">
        <f t="shared" ca="1" si="14"/>
        <v>755</v>
      </c>
      <c r="AF24" s="24">
        <f t="shared" ca="1" si="15"/>
        <v>430</v>
      </c>
      <c r="AG24" s="239">
        <f t="shared" ca="1" si="16"/>
        <v>0.56953642384105962</v>
      </c>
      <c r="AH24" s="21">
        <f t="shared" ca="1" si="17"/>
        <v>195</v>
      </c>
      <c r="AI24" s="24">
        <f t="shared" ca="1" si="18"/>
        <v>0</v>
      </c>
      <c r="AJ24" s="239">
        <f t="shared" ca="1" si="19"/>
        <v>0</v>
      </c>
      <c r="AK24" s="21">
        <f t="shared" ca="1" si="20"/>
        <v>365</v>
      </c>
      <c r="AL24" s="24">
        <f t="shared" ca="1" si="21"/>
        <v>430</v>
      </c>
      <c r="AM24" s="239">
        <f t="shared" ca="1" si="22"/>
        <v>1.178082191780822</v>
      </c>
    </row>
    <row r="25" spans="2:39" s="4" customFormat="1" ht="15" customHeight="1" x14ac:dyDescent="0.25">
      <c r="B25" s="8">
        <v>39812</v>
      </c>
      <c r="C25" s="309" t="s">
        <v>95</v>
      </c>
      <c r="D25" s="222">
        <f ca="1">SUMIF('UC BMW 2026'!$D$5:$D$77,'UC BMW 2026 (Grp. Propietar'!$B25,'UC BMW 2026'!$F$5:$F$72)</f>
        <v>33</v>
      </c>
      <c r="E25" s="124">
        <f ca="1">SUMIF('UC BMW 2026'!$D$5:$D$77,'UC BMW 2026 (Grp. Propietar'!$B25,'UC BMW 2026'!$G$5:$G$72)</f>
        <v>23</v>
      </c>
      <c r="F25" s="222">
        <f ca="1">SUMIF('UC BMW 2026'!$D$5:$D$77,'UC BMW 2026 (Grp. Propietar'!$B25,'UC BMW 2026'!$H$5:$H$72)</f>
        <v>33</v>
      </c>
      <c r="G25" s="23">
        <f ca="1">SUMIF('UC BMW 2026'!$D$5:$D$77,'UC BMW 2026 (Grp. Propietar'!$B25,'UC BMW 2026'!$I$5:$I$72)</f>
        <v>35</v>
      </c>
      <c r="H25" s="225">
        <f ca="1">SUMIF('UC BMW 2026'!$D$5:$D$77,'UC BMW 2026 (Grp. Propietar'!$B25,'UC BMW 2026'!$J$5:$J$72)</f>
        <v>34</v>
      </c>
      <c r="I25" s="124">
        <f ca="1">SUMIF('UC BMW 2026'!$D$5:$D$77,'UC BMW 2026 (Grp. Propietar'!$B25,'UC BMW 2026'!$K$5:$K$72)</f>
        <v>39</v>
      </c>
      <c r="J25" s="222">
        <f ca="1">SUMIF('UC BMW 2026'!$D$5:$D$77,'UC BMW 2026 (Grp. Propietar'!$B25,'UC BMW 2026'!$L$5:$L$72)</f>
        <v>33</v>
      </c>
      <c r="K25" s="23">
        <f ca="1">SUMIF('UC BMW 2026'!$D$5:$D$77,'UC BMW 2026 (Grp. Propietar'!$B25,'UC BMW 2026'!$M$5:$M$72)</f>
        <v>23</v>
      </c>
      <c r="L25" s="225">
        <f ca="1">SUMIF('UC BMW 2026'!$D$5:$D$77,'UC BMW 2026 (Grp. Propietar'!$B25,'UC BMW 2026'!$N$5:$N$72)</f>
        <v>33</v>
      </c>
      <c r="M25" s="124">
        <f ca="1">SUMIF('UC BMW 2026'!$D$5:$D$77,'UC BMW 2026 (Grp. Propietar'!$B25,'UC BMW 2026'!$O$5:$O$72)</f>
        <v>32</v>
      </c>
      <c r="N25" s="222">
        <f ca="1">SUMIF('UC BMW 2026'!$D$5:$D$77,'UC BMW 2026 (Grp. Propietar'!$B25,'UC BMW 2026'!$P$5:$P$72)</f>
        <v>34</v>
      </c>
      <c r="O25" s="124">
        <f ca="1">SUMIF('UC BMW 2026'!$D$5:$D$77,'UC BMW 2026 (Grp. Propietar'!$B25,'UC BMW 2026'!$Q$5:$Q$72)</f>
        <v>49</v>
      </c>
      <c r="P25" s="222">
        <f ca="1">SUMIF('UC BMW 2026'!$D$5:$D$77,'UC BMW 2026 (Grp. Propietar'!$B25,'UC BMW 2026'!$R$5:$R$72)</f>
        <v>0</v>
      </c>
      <c r="Q25" s="23">
        <f ca="1">SUMIF('UC BMW 2026'!$D$5:$D$77,'UC BMW 2026 (Grp. Propietar'!$B25,'UC BMW 2026'!$S$5:$S$72)</f>
        <v>0</v>
      </c>
      <c r="R25" s="225">
        <f ca="1">SUMIF('UC BMW 2026'!$D$5:$D$77,'UC BMW 2026 (Grp. Propietar'!$B25,'UC BMW 2026'!$T$5:$T$72)</f>
        <v>0</v>
      </c>
      <c r="S25" s="124">
        <f ca="1">SUMIF('UC BMW 2026'!$D$5:$D$77,'UC BMW 2026 (Grp. Propietar'!$B25,'UC BMW 2026'!$U$5:$U$72)</f>
        <v>0</v>
      </c>
      <c r="T25" s="222">
        <f ca="1">SUMIF('UC BMW 2026'!$D$5:$D$77,'UC BMW 2026 (Grp. Propietar'!$B25,'UC BMW 2026'!$V$5:$V$72)</f>
        <v>0</v>
      </c>
      <c r="U25" s="23">
        <f ca="1">SUMIF('UC BMW 2026'!$D$5:$D$77,'UC BMW 2026 (Grp. Propietar'!$B25,'UC BMW 2026'!$W$5:$W$72)</f>
        <v>0</v>
      </c>
      <c r="V25" s="225">
        <f ca="1">SUMIF('UC BMW 2026'!$D$5:$D$77,'UC BMW 2026 (Grp. Propietar'!$B25,'UC BMW 2026'!$X$5:$X$72)</f>
        <v>0</v>
      </c>
      <c r="W25" s="124">
        <f ca="1">SUMIF('UC BMW 2026'!$D$5:$D$77,'UC BMW 2026 (Grp. Propietar'!$B25,'UC BMW 2026'!$Y$5:$Y$72)</f>
        <v>0</v>
      </c>
      <c r="X25" s="222">
        <f>SUMIF('UC BMW 2026'!$D$10:$D$77,$B25,'UC BMW 2026'!Z$10:Z$77)</f>
        <v>0</v>
      </c>
      <c r="Y25" s="23">
        <f>SUMIF('UC BMW 2026'!$D$10:$D$77,$B25,'UC BMW 2026'!AA$10:AA$77)</f>
        <v>0</v>
      </c>
      <c r="Z25" s="225">
        <f>SUMIF('UC BMW 2026'!$D$10:$D$77,$B25,'UC BMW 2026'!AB$10:AB$77)</f>
        <v>0</v>
      </c>
      <c r="AA25" s="23">
        <f>SUMIF('UC BMW 2026'!$D$10:$D$77,$B25,'UC BMW 2026'!AC$10:AC$77)</f>
        <v>0</v>
      </c>
      <c r="AB25" s="21">
        <f t="shared" ca="1" si="11"/>
        <v>200</v>
      </c>
      <c r="AC25" s="24">
        <f t="shared" ca="1" si="12"/>
        <v>201</v>
      </c>
      <c r="AD25" s="239">
        <f t="shared" ca="1" si="13"/>
        <v>1.0049999999999999</v>
      </c>
      <c r="AE25" s="21">
        <f t="shared" ca="1" si="14"/>
        <v>200</v>
      </c>
      <c r="AF25" s="24">
        <f t="shared" ca="1" si="15"/>
        <v>201</v>
      </c>
      <c r="AG25" s="239">
        <f t="shared" ca="1" si="16"/>
        <v>1.0049999999999999</v>
      </c>
      <c r="AH25" s="21">
        <f t="shared" ca="1" si="17"/>
        <v>0</v>
      </c>
      <c r="AI25" s="24">
        <f t="shared" ca="1" si="18"/>
        <v>0</v>
      </c>
      <c r="AJ25" s="239">
        <f t="shared" ca="1" si="19"/>
        <v>0</v>
      </c>
      <c r="AK25" s="21">
        <f t="shared" ca="1" si="20"/>
        <v>200</v>
      </c>
      <c r="AL25" s="24">
        <f t="shared" ca="1" si="21"/>
        <v>201</v>
      </c>
      <c r="AM25" s="239">
        <f t="shared" ca="1" si="22"/>
        <v>1.0049999999999999</v>
      </c>
    </row>
    <row r="26" spans="2:39" s="4" customFormat="1" ht="15" customHeight="1" x14ac:dyDescent="0.25">
      <c r="B26" s="8">
        <v>1357</v>
      </c>
      <c r="C26" s="309" t="s">
        <v>96</v>
      </c>
      <c r="D26" s="222">
        <f ca="1">SUMIF('UC BMW 2026'!$D$5:$D$77,'UC BMW 2026 (Grp. Propietar'!$B26,'UC BMW 2026'!$F$5:$F$72)</f>
        <v>29</v>
      </c>
      <c r="E26" s="124">
        <f ca="1">SUMIF('UC BMW 2026'!$D$5:$D$77,'UC BMW 2026 (Grp. Propietar'!$B26,'UC BMW 2026'!$G$5:$G$72)</f>
        <v>22</v>
      </c>
      <c r="F26" s="222">
        <f ca="1">SUMIF('UC BMW 2026'!$D$5:$D$77,'UC BMW 2026 (Grp. Propietar'!$B26,'UC BMW 2026'!$H$5:$H$72)</f>
        <v>29</v>
      </c>
      <c r="G26" s="23">
        <f ca="1">SUMIF('UC BMW 2026'!$D$5:$D$77,'UC BMW 2026 (Grp. Propietar'!$B26,'UC BMW 2026'!$I$5:$I$72)</f>
        <v>26</v>
      </c>
      <c r="H26" s="225">
        <f ca="1">SUMIF('UC BMW 2026'!$D$5:$D$77,'UC BMW 2026 (Grp. Propietar'!$B26,'UC BMW 2026'!$J$5:$J$72)</f>
        <v>29</v>
      </c>
      <c r="I26" s="124">
        <f ca="1">SUMIF('UC BMW 2026'!$D$5:$D$77,'UC BMW 2026 (Grp. Propietar'!$B26,'UC BMW 2026'!$K$5:$K$72)</f>
        <v>22</v>
      </c>
      <c r="J26" s="222">
        <f ca="1">SUMIF('UC BMW 2026'!$D$5:$D$77,'UC BMW 2026 (Grp. Propietar'!$B26,'UC BMW 2026'!$L$5:$L$72)</f>
        <v>29</v>
      </c>
      <c r="K26" s="23">
        <f ca="1">SUMIF('UC BMW 2026'!$D$5:$D$77,'UC BMW 2026 (Grp. Propietar'!$B26,'UC BMW 2026'!$M$5:$M$72)</f>
        <v>28</v>
      </c>
      <c r="L26" s="225">
        <f ca="1">SUMIF('UC BMW 2026'!$D$5:$D$77,'UC BMW 2026 (Grp. Propietar'!$B26,'UC BMW 2026'!$N$5:$N$72)</f>
        <v>29</v>
      </c>
      <c r="M26" s="124">
        <f ca="1">SUMIF('UC BMW 2026'!$D$5:$D$77,'UC BMW 2026 (Grp. Propietar'!$B26,'UC BMW 2026'!$O$5:$O$72)</f>
        <v>15</v>
      </c>
      <c r="N26" s="222">
        <f ca="1">SUMIF('UC BMW 2026'!$D$5:$D$77,'UC BMW 2026 (Grp. Propietar'!$B26,'UC BMW 2026'!$P$5:$P$72)</f>
        <v>30</v>
      </c>
      <c r="O26" s="124">
        <f ca="1">SUMIF('UC BMW 2026'!$D$5:$D$77,'UC BMW 2026 (Grp. Propietar'!$B26,'UC BMW 2026'!$Q$5:$Q$72)</f>
        <v>26</v>
      </c>
      <c r="P26" s="222">
        <f ca="1">SUMIF('UC BMW 2026'!$D$5:$D$77,'UC BMW 2026 (Grp. Propietar'!$B26,'UC BMW 2026'!$R$5:$R$72)</f>
        <v>0</v>
      </c>
      <c r="Q26" s="23">
        <f ca="1">SUMIF('UC BMW 2026'!$D$5:$D$77,'UC BMW 2026 (Grp. Propietar'!$B26,'UC BMW 2026'!$S$5:$S$72)</f>
        <v>0</v>
      </c>
      <c r="R26" s="225">
        <f ca="1">SUMIF('UC BMW 2026'!$D$5:$D$77,'UC BMW 2026 (Grp. Propietar'!$B26,'UC BMW 2026'!$T$5:$T$72)</f>
        <v>0</v>
      </c>
      <c r="S26" s="124">
        <f ca="1">SUMIF('UC BMW 2026'!$D$5:$D$77,'UC BMW 2026 (Grp. Propietar'!$B26,'UC BMW 2026'!$U$5:$U$72)</f>
        <v>0</v>
      </c>
      <c r="T26" s="222">
        <f ca="1">SUMIF('UC BMW 2026'!$D$5:$D$77,'UC BMW 2026 (Grp. Propietar'!$B26,'UC BMW 2026'!$V$5:$V$72)</f>
        <v>0</v>
      </c>
      <c r="U26" s="23">
        <f ca="1">SUMIF('UC BMW 2026'!$D$5:$D$77,'UC BMW 2026 (Grp. Propietar'!$B26,'UC BMW 2026'!$W$5:$W$72)</f>
        <v>0</v>
      </c>
      <c r="V26" s="225">
        <f ca="1">SUMIF('UC BMW 2026'!$D$5:$D$77,'UC BMW 2026 (Grp. Propietar'!$B26,'UC BMW 2026'!$X$5:$X$72)</f>
        <v>0</v>
      </c>
      <c r="W26" s="124">
        <f ca="1">SUMIF('UC BMW 2026'!$D$5:$D$77,'UC BMW 2026 (Grp. Propietar'!$B26,'UC BMW 2026'!$Y$5:$Y$72)</f>
        <v>0</v>
      </c>
      <c r="X26" s="222">
        <f>SUMIF('UC BMW 2026'!$D$10:$D$77,$B26,'UC BMW 2026'!Z$10:Z$77)</f>
        <v>0</v>
      </c>
      <c r="Y26" s="23">
        <f>SUMIF('UC BMW 2026'!$D$10:$D$77,$B26,'UC BMW 2026'!AA$10:AA$77)</f>
        <v>0</v>
      </c>
      <c r="Z26" s="225">
        <f>SUMIF('UC BMW 2026'!$D$10:$D$77,$B26,'UC BMW 2026'!AB$10:AB$77)</f>
        <v>0</v>
      </c>
      <c r="AA26" s="23">
        <f>SUMIF('UC BMW 2026'!$D$10:$D$77,$B26,'UC BMW 2026'!AC$10:AC$77)</f>
        <v>0</v>
      </c>
      <c r="AB26" s="21">
        <f t="shared" ca="1" si="11"/>
        <v>175</v>
      </c>
      <c r="AC26" s="24">
        <f t="shared" ca="1" si="12"/>
        <v>139</v>
      </c>
      <c r="AD26" s="239">
        <f t="shared" ca="1" si="13"/>
        <v>0.79428571428571426</v>
      </c>
      <c r="AE26" s="21">
        <f t="shared" ca="1" si="14"/>
        <v>175</v>
      </c>
      <c r="AF26" s="24">
        <f t="shared" ca="1" si="15"/>
        <v>139</v>
      </c>
      <c r="AG26" s="239">
        <f t="shared" ca="1" si="16"/>
        <v>0.79428571428571426</v>
      </c>
      <c r="AH26" s="21">
        <f t="shared" ca="1" si="17"/>
        <v>0</v>
      </c>
      <c r="AI26" s="24">
        <f t="shared" ca="1" si="18"/>
        <v>0</v>
      </c>
      <c r="AJ26" s="239">
        <f t="shared" ca="1" si="19"/>
        <v>0</v>
      </c>
      <c r="AK26" s="21">
        <f t="shared" ca="1" si="20"/>
        <v>175</v>
      </c>
      <c r="AL26" s="24">
        <f t="shared" ca="1" si="21"/>
        <v>139</v>
      </c>
      <c r="AM26" s="239">
        <f t="shared" ca="1" si="22"/>
        <v>0.79428571428571426</v>
      </c>
    </row>
    <row r="27" spans="2:39" s="4" customFormat="1" ht="15" customHeight="1" x14ac:dyDescent="0.25">
      <c r="B27" s="8">
        <v>9911</v>
      </c>
      <c r="C27" s="309" t="s">
        <v>97</v>
      </c>
      <c r="D27" s="222">
        <f ca="1">SUMIF('UC BMW 2026'!$D$5:$D$77,'UC BMW 2026 (Grp. Propietar'!$B27,'UC BMW 2026'!$F$5:$F$72)</f>
        <v>92</v>
      </c>
      <c r="E27" s="124">
        <f ca="1">SUMIF('UC BMW 2026'!$D$5:$D$77,'UC BMW 2026 (Grp. Propietar'!$B27,'UC BMW 2026'!$G$5:$G$72)</f>
        <v>74</v>
      </c>
      <c r="F27" s="222">
        <f ca="1">SUMIF('UC BMW 2026'!$D$5:$D$77,'UC BMW 2026 (Grp. Propietar'!$B27,'UC BMW 2026'!$H$5:$H$72)</f>
        <v>92</v>
      </c>
      <c r="G27" s="23">
        <f ca="1">SUMIF('UC BMW 2026'!$D$5:$D$77,'UC BMW 2026 (Grp. Propietar'!$B27,'UC BMW 2026'!$I$5:$I$72)</f>
        <v>95</v>
      </c>
      <c r="H27" s="225">
        <f ca="1">SUMIF('UC BMW 2026'!$D$5:$D$77,'UC BMW 2026 (Grp. Propietar'!$B27,'UC BMW 2026'!$J$5:$J$72)</f>
        <v>93</v>
      </c>
      <c r="I27" s="124">
        <f ca="1">SUMIF('UC BMW 2026'!$D$5:$D$77,'UC BMW 2026 (Grp. Propietar'!$B27,'UC BMW 2026'!$K$5:$K$72)</f>
        <v>112</v>
      </c>
      <c r="J27" s="222">
        <f ca="1">SUMIF('UC BMW 2026'!$D$5:$D$77,'UC BMW 2026 (Grp. Propietar'!$B27,'UC BMW 2026'!$L$5:$L$72)</f>
        <v>92</v>
      </c>
      <c r="K27" s="23">
        <f ca="1">SUMIF('UC BMW 2026'!$D$5:$D$77,'UC BMW 2026 (Grp. Propietar'!$B27,'UC BMW 2026'!$M$5:$M$72)</f>
        <v>96</v>
      </c>
      <c r="L27" s="225">
        <f ca="1">SUMIF('UC BMW 2026'!$D$5:$D$77,'UC BMW 2026 (Grp. Propietar'!$B27,'UC BMW 2026'!$N$5:$N$72)</f>
        <v>93</v>
      </c>
      <c r="M27" s="124">
        <f ca="1">SUMIF('UC BMW 2026'!$D$5:$D$77,'UC BMW 2026 (Grp. Propietar'!$B27,'UC BMW 2026'!$O$5:$O$72)</f>
        <v>98</v>
      </c>
      <c r="N27" s="222">
        <f ca="1">SUMIF('UC BMW 2026'!$D$5:$D$77,'UC BMW 2026 (Grp. Propietar'!$B27,'UC BMW 2026'!$P$5:$P$72)</f>
        <v>93</v>
      </c>
      <c r="O27" s="124">
        <f ca="1">SUMIF('UC BMW 2026'!$D$5:$D$77,'UC BMW 2026 (Grp. Propietar'!$B27,'UC BMW 2026'!$Q$5:$Q$72)</f>
        <v>151</v>
      </c>
      <c r="P27" s="222">
        <f ca="1">SUMIF('UC BMW 2026'!$D$5:$D$77,'UC BMW 2026 (Grp. Propietar'!$B27,'UC BMW 2026'!$R$5:$R$72)</f>
        <v>0</v>
      </c>
      <c r="Q27" s="23">
        <f ca="1">SUMIF('UC BMW 2026'!$D$5:$D$77,'UC BMW 2026 (Grp. Propietar'!$B27,'UC BMW 2026'!$S$5:$S$72)</f>
        <v>0</v>
      </c>
      <c r="R27" s="225">
        <f ca="1">SUMIF('UC BMW 2026'!$D$5:$D$77,'UC BMW 2026 (Grp. Propietar'!$B27,'UC BMW 2026'!$T$5:$T$72)</f>
        <v>0</v>
      </c>
      <c r="S27" s="124">
        <f ca="1">SUMIF('UC BMW 2026'!$D$5:$D$77,'UC BMW 2026 (Grp. Propietar'!$B27,'UC BMW 2026'!$U$5:$U$72)</f>
        <v>0</v>
      </c>
      <c r="T27" s="222">
        <f ca="1">SUMIF('UC BMW 2026'!$D$5:$D$77,'UC BMW 2026 (Grp. Propietar'!$B27,'UC BMW 2026'!$V$5:$V$72)</f>
        <v>0</v>
      </c>
      <c r="U27" s="23">
        <f ca="1">SUMIF('UC BMW 2026'!$D$5:$D$77,'UC BMW 2026 (Grp. Propietar'!$B27,'UC BMW 2026'!$W$5:$W$72)</f>
        <v>0</v>
      </c>
      <c r="V27" s="225">
        <f ca="1">SUMIF('UC BMW 2026'!$D$5:$D$77,'UC BMW 2026 (Grp. Propietar'!$B27,'UC BMW 2026'!$X$5:$X$72)</f>
        <v>0</v>
      </c>
      <c r="W27" s="124">
        <f ca="1">SUMIF('UC BMW 2026'!$D$5:$D$77,'UC BMW 2026 (Grp. Propietar'!$B27,'UC BMW 2026'!$Y$5:$Y$72)</f>
        <v>0</v>
      </c>
      <c r="X27" s="222">
        <f>SUMIF('UC BMW 2026'!$D$10:$D$77,$B27,'UC BMW 2026'!Z$10:Z$77)</f>
        <v>0</v>
      </c>
      <c r="Y27" s="23">
        <f>SUMIF('UC BMW 2026'!$D$10:$D$77,$B27,'UC BMW 2026'!AA$10:AA$77)</f>
        <v>0</v>
      </c>
      <c r="Z27" s="225">
        <f>SUMIF('UC BMW 2026'!$D$10:$D$77,$B27,'UC BMW 2026'!AB$10:AB$77)</f>
        <v>0</v>
      </c>
      <c r="AA27" s="23">
        <f>SUMIF('UC BMW 2026'!$D$10:$D$77,$B27,'UC BMW 2026'!AC$10:AC$77)</f>
        <v>0</v>
      </c>
      <c r="AB27" s="21">
        <f t="shared" ca="1" si="11"/>
        <v>555</v>
      </c>
      <c r="AC27" s="24">
        <f t="shared" ca="1" si="12"/>
        <v>626</v>
      </c>
      <c r="AD27" s="239">
        <f t="shared" ca="1" si="13"/>
        <v>1.127927927927928</v>
      </c>
      <c r="AE27" s="21">
        <f t="shared" ca="1" si="14"/>
        <v>555</v>
      </c>
      <c r="AF27" s="24">
        <f t="shared" ca="1" si="15"/>
        <v>626</v>
      </c>
      <c r="AG27" s="239">
        <f t="shared" ca="1" si="16"/>
        <v>1.127927927927928</v>
      </c>
      <c r="AH27" s="21">
        <f t="shared" ca="1" si="17"/>
        <v>0</v>
      </c>
      <c r="AI27" s="24">
        <f t="shared" ca="1" si="18"/>
        <v>0</v>
      </c>
      <c r="AJ27" s="239">
        <f t="shared" ca="1" si="19"/>
        <v>0</v>
      </c>
      <c r="AK27" s="21">
        <f t="shared" ca="1" si="20"/>
        <v>555</v>
      </c>
      <c r="AL27" s="24">
        <f t="shared" ca="1" si="21"/>
        <v>626</v>
      </c>
      <c r="AM27" s="239">
        <f t="shared" ca="1" si="22"/>
        <v>1.127927927927928</v>
      </c>
    </row>
    <row r="28" spans="2:39" s="4" customFormat="1" ht="15" customHeight="1" x14ac:dyDescent="0.25">
      <c r="B28" s="8">
        <v>20839</v>
      </c>
      <c r="C28" s="309" t="s">
        <v>201</v>
      </c>
      <c r="D28" s="222">
        <f ca="1">SUMIF('UC BMW 2026'!$D$5:$D$77,'UC BMW 2026 (Grp. Propietar'!$B28,'UC BMW 2026'!$F$5:$F$72)</f>
        <v>60</v>
      </c>
      <c r="E28" s="124">
        <f ca="1">SUMIF('UC BMW 2026'!$D$5:$D$77,'UC BMW 2026 (Grp. Propietar'!$B28,'UC BMW 2026'!$G$5:$G$72)</f>
        <v>38</v>
      </c>
      <c r="F28" s="222">
        <f ca="1">SUMIF('UC BMW 2026'!$D$5:$D$77,'UC BMW 2026 (Grp. Propietar'!$B28,'UC BMW 2026'!$H$5:$H$72)</f>
        <v>60</v>
      </c>
      <c r="G28" s="23">
        <f ca="1">SUMIF('UC BMW 2026'!$D$5:$D$77,'UC BMW 2026 (Grp. Propietar'!$B28,'UC BMW 2026'!$I$5:$I$72)</f>
        <v>31</v>
      </c>
      <c r="H28" s="225">
        <f ca="1">SUMIF('UC BMW 2026'!$D$5:$D$77,'UC BMW 2026 (Grp. Propietar'!$B28,'UC BMW 2026'!$J$5:$J$72)</f>
        <v>60</v>
      </c>
      <c r="I28" s="124">
        <f ca="1">SUMIF('UC BMW 2026'!$D$5:$D$77,'UC BMW 2026 (Grp. Propietar'!$B28,'UC BMW 2026'!$K$5:$K$72)</f>
        <v>45</v>
      </c>
      <c r="J28" s="222">
        <f ca="1">SUMIF('UC BMW 2026'!$D$5:$D$77,'UC BMW 2026 (Grp. Propietar'!$B28,'UC BMW 2026'!$L$5:$L$72)</f>
        <v>61</v>
      </c>
      <c r="K28" s="23">
        <f ca="1">SUMIF('UC BMW 2026'!$D$5:$D$77,'UC BMW 2026 (Grp. Propietar'!$B28,'UC BMW 2026'!$M$5:$M$72)</f>
        <v>32</v>
      </c>
      <c r="L28" s="225">
        <f ca="1">SUMIF('UC BMW 2026'!$D$5:$D$77,'UC BMW 2026 (Grp. Propietar'!$B28,'UC BMW 2026'!$N$5:$N$72)</f>
        <v>61</v>
      </c>
      <c r="M28" s="124">
        <f ca="1">SUMIF('UC BMW 2026'!$D$5:$D$77,'UC BMW 2026 (Grp. Propietar'!$B28,'UC BMW 2026'!$O$5:$O$72)</f>
        <v>43</v>
      </c>
      <c r="N28" s="222">
        <f ca="1">SUMIF('UC BMW 2026'!$D$5:$D$77,'UC BMW 2026 (Grp. Propietar'!$B28,'UC BMW 2026'!$P$5:$P$72)</f>
        <v>63</v>
      </c>
      <c r="O28" s="124">
        <f ca="1">SUMIF('UC BMW 2026'!$D$5:$D$77,'UC BMW 2026 (Grp. Propietar'!$B28,'UC BMW 2026'!$Q$5:$Q$72)</f>
        <v>30</v>
      </c>
      <c r="P28" s="222">
        <f ca="1">SUMIF('UC BMW 2026'!$D$5:$D$77,'UC BMW 2026 (Grp. Propietar'!$B28,'UC BMW 2026'!$R$5:$R$72)</f>
        <v>26</v>
      </c>
      <c r="Q28" s="23">
        <f ca="1">SUMIF('UC BMW 2026'!$D$5:$D$77,'UC BMW 2026 (Grp. Propietar'!$B28,'UC BMW 2026'!$S$5:$S$72)</f>
        <v>0</v>
      </c>
      <c r="R28" s="225">
        <f ca="1">SUMIF('UC BMW 2026'!$D$5:$D$77,'UC BMW 2026 (Grp. Propietar'!$B28,'UC BMW 2026'!$T$5:$T$72)</f>
        <v>23</v>
      </c>
      <c r="S28" s="124">
        <f ca="1">SUMIF('UC BMW 2026'!$D$5:$D$77,'UC BMW 2026 (Grp. Propietar'!$B28,'UC BMW 2026'!$U$5:$U$72)</f>
        <v>0</v>
      </c>
      <c r="T28" s="222">
        <f ca="1">SUMIF('UC BMW 2026'!$D$5:$D$77,'UC BMW 2026 (Grp. Propietar'!$B28,'UC BMW 2026'!$V$5:$V$72)</f>
        <v>26</v>
      </c>
      <c r="U28" s="23">
        <f ca="1">SUMIF('UC BMW 2026'!$D$5:$D$77,'UC BMW 2026 (Grp. Propietar'!$B28,'UC BMW 2026'!$W$5:$W$72)</f>
        <v>0</v>
      </c>
      <c r="V28" s="225">
        <f ca="1">SUMIF('UC BMW 2026'!$D$5:$D$77,'UC BMW 2026 (Grp. Propietar'!$B28,'UC BMW 2026'!$X$5:$X$72)</f>
        <v>30</v>
      </c>
      <c r="W28" s="124">
        <f ca="1">SUMIF('UC BMW 2026'!$D$5:$D$77,'UC BMW 2026 (Grp. Propietar'!$B28,'UC BMW 2026'!$Y$5:$Y$72)</f>
        <v>0</v>
      </c>
      <c r="X28" s="222">
        <f>SUMIF('UC BMW 2026'!$D$10:$D$77,$B28,'UC BMW 2026'!Z$10:Z$77)</f>
        <v>30</v>
      </c>
      <c r="Y28" s="23">
        <f>SUMIF('UC BMW 2026'!$D$10:$D$77,$B28,'UC BMW 2026'!AA$10:AA$77)</f>
        <v>0</v>
      </c>
      <c r="Z28" s="225">
        <f>SUMIF('UC BMW 2026'!$D$10:$D$77,$B28,'UC BMW 2026'!AB$10:AB$77)</f>
        <v>25</v>
      </c>
      <c r="AA28" s="23">
        <f>SUMIF('UC BMW 2026'!$D$10:$D$77,$B28,'UC BMW 2026'!AC$10:AC$77)</f>
        <v>0</v>
      </c>
      <c r="AB28" s="21">
        <f t="shared" ca="1" si="11"/>
        <v>365</v>
      </c>
      <c r="AC28" s="24">
        <f t="shared" ca="1" si="12"/>
        <v>219</v>
      </c>
      <c r="AD28" s="239">
        <f t="shared" ca="1" si="13"/>
        <v>0.6</v>
      </c>
      <c r="AE28" s="21">
        <f t="shared" ca="1" si="14"/>
        <v>525</v>
      </c>
      <c r="AF28" s="24">
        <f t="shared" ca="1" si="15"/>
        <v>219</v>
      </c>
      <c r="AG28" s="239">
        <f t="shared" ca="1" si="16"/>
        <v>0.41714285714285715</v>
      </c>
      <c r="AH28" s="21">
        <f t="shared" ca="1" si="17"/>
        <v>85</v>
      </c>
      <c r="AI28" s="24">
        <f t="shared" ca="1" si="18"/>
        <v>0</v>
      </c>
      <c r="AJ28" s="239">
        <f t="shared" ca="1" si="19"/>
        <v>0</v>
      </c>
      <c r="AK28" s="21">
        <f t="shared" ca="1" si="20"/>
        <v>365</v>
      </c>
      <c r="AL28" s="24">
        <f t="shared" ca="1" si="21"/>
        <v>219</v>
      </c>
      <c r="AM28" s="239">
        <f t="shared" ca="1" si="22"/>
        <v>0.6</v>
      </c>
    </row>
    <row r="29" spans="2:39" s="4" customFormat="1" ht="15" customHeight="1" x14ac:dyDescent="0.25">
      <c r="B29" s="8">
        <v>41672</v>
      </c>
      <c r="C29" s="309" t="s">
        <v>77</v>
      </c>
      <c r="D29" s="222">
        <f ca="1">SUMIF('UC BMW 2026'!$D$5:$D$77,'UC BMW 2026 (Grp. Propietar'!$B29,'UC BMW 2026'!$F$5:$F$72)</f>
        <v>19</v>
      </c>
      <c r="E29" s="124">
        <f ca="1">SUMIF('UC BMW 2026'!$D$5:$D$77,'UC BMW 2026 (Grp. Propietar'!$B29,'UC BMW 2026'!$G$5:$G$72)</f>
        <v>17</v>
      </c>
      <c r="F29" s="222">
        <f ca="1">SUMIF('UC BMW 2026'!$D$5:$D$77,'UC BMW 2026 (Grp. Propietar'!$B29,'UC BMW 2026'!$H$5:$H$72)</f>
        <v>19</v>
      </c>
      <c r="G29" s="23">
        <f ca="1">SUMIF('UC BMW 2026'!$D$5:$D$77,'UC BMW 2026 (Grp. Propietar'!$B29,'UC BMW 2026'!$I$5:$I$72)</f>
        <v>21</v>
      </c>
      <c r="H29" s="225">
        <f ca="1">SUMIF('UC BMW 2026'!$D$5:$D$77,'UC BMW 2026 (Grp. Propietar'!$B29,'UC BMW 2026'!$J$5:$J$72)</f>
        <v>19</v>
      </c>
      <c r="I29" s="124">
        <f ca="1">SUMIF('UC BMW 2026'!$D$5:$D$77,'UC BMW 2026 (Grp. Propietar'!$B29,'UC BMW 2026'!$K$5:$K$72)</f>
        <v>14</v>
      </c>
      <c r="J29" s="222">
        <f ca="1">SUMIF('UC BMW 2026'!$D$5:$D$77,'UC BMW 2026 (Grp. Propietar'!$B29,'UC BMW 2026'!$L$5:$L$72)</f>
        <v>20</v>
      </c>
      <c r="K29" s="23">
        <f ca="1">SUMIF('UC BMW 2026'!$D$5:$D$77,'UC BMW 2026 (Grp. Propietar'!$B29,'UC BMW 2026'!$M$5:$M$72)</f>
        <v>13</v>
      </c>
      <c r="L29" s="225">
        <f ca="1">SUMIF('UC BMW 2026'!$D$5:$D$77,'UC BMW 2026 (Grp. Propietar'!$B29,'UC BMW 2026'!$N$5:$N$72)</f>
        <v>20</v>
      </c>
      <c r="M29" s="124">
        <f ca="1">SUMIF('UC BMW 2026'!$D$5:$D$77,'UC BMW 2026 (Grp. Propietar'!$B29,'UC BMW 2026'!$O$5:$O$72)</f>
        <v>19</v>
      </c>
      <c r="N29" s="222">
        <f ca="1">SUMIF('UC BMW 2026'!$D$5:$D$77,'UC BMW 2026 (Grp. Propietar'!$B29,'UC BMW 2026'!$P$5:$P$72)</f>
        <v>20</v>
      </c>
      <c r="O29" s="124">
        <f ca="1">SUMIF('UC BMW 2026'!$D$5:$D$77,'UC BMW 2026 (Grp. Propietar'!$B29,'UC BMW 2026'!$Q$5:$Q$72)</f>
        <v>37</v>
      </c>
      <c r="P29" s="222">
        <f ca="1">SUMIF('UC BMW 2026'!$D$5:$D$77,'UC BMW 2026 (Grp. Propietar'!$B29,'UC BMW 2026'!$R$5:$R$72)</f>
        <v>0</v>
      </c>
      <c r="Q29" s="23">
        <f ca="1">SUMIF('UC BMW 2026'!$D$5:$D$77,'UC BMW 2026 (Grp. Propietar'!$B29,'UC BMW 2026'!$S$5:$S$72)</f>
        <v>0</v>
      </c>
      <c r="R29" s="225">
        <f ca="1">SUMIF('UC BMW 2026'!$D$5:$D$77,'UC BMW 2026 (Grp. Propietar'!$B29,'UC BMW 2026'!$T$5:$T$72)</f>
        <v>0</v>
      </c>
      <c r="S29" s="124">
        <f ca="1">SUMIF('UC BMW 2026'!$D$5:$D$77,'UC BMW 2026 (Grp. Propietar'!$B29,'UC BMW 2026'!$U$5:$U$72)</f>
        <v>0</v>
      </c>
      <c r="T29" s="222">
        <f ca="1">SUMIF('UC BMW 2026'!$D$5:$D$77,'UC BMW 2026 (Grp. Propietar'!$B29,'UC BMW 2026'!$V$5:$V$72)</f>
        <v>0</v>
      </c>
      <c r="U29" s="23">
        <f ca="1">SUMIF('UC BMW 2026'!$D$5:$D$77,'UC BMW 2026 (Grp. Propietar'!$B29,'UC BMW 2026'!$W$5:$W$72)</f>
        <v>0</v>
      </c>
      <c r="V29" s="225">
        <f ca="1">SUMIF('UC BMW 2026'!$D$5:$D$77,'UC BMW 2026 (Grp. Propietar'!$B29,'UC BMW 2026'!$X$5:$X$72)</f>
        <v>0</v>
      </c>
      <c r="W29" s="124">
        <f ca="1">SUMIF('UC BMW 2026'!$D$5:$D$77,'UC BMW 2026 (Grp. Propietar'!$B29,'UC BMW 2026'!$Y$5:$Y$72)</f>
        <v>0</v>
      </c>
      <c r="X29" s="222">
        <f>SUMIF('UC BMW 2026'!$D$10:$D$77,$B29,'UC BMW 2026'!Z$10:Z$77)</f>
        <v>0</v>
      </c>
      <c r="Y29" s="23">
        <f>SUMIF('UC BMW 2026'!$D$10:$D$77,$B29,'UC BMW 2026'!AA$10:AA$77)</f>
        <v>0</v>
      </c>
      <c r="Z29" s="225">
        <f>SUMIF('UC BMW 2026'!$D$10:$D$77,$B29,'UC BMW 2026'!AB$10:AB$77)</f>
        <v>0</v>
      </c>
      <c r="AA29" s="23">
        <f>SUMIF('UC BMW 2026'!$D$10:$D$77,$B29,'UC BMW 2026'!AC$10:AC$77)</f>
        <v>0</v>
      </c>
      <c r="AB29" s="21">
        <f t="shared" ca="1" si="11"/>
        <v>117</v>
      </c>
      <c r="AC29" s="24">
        <f t="shared" ca="1" si="12"/>
        <v>121</v>
      </c>
      <c r="AD29" s="239">
        <f t="shared" ca="1" si="13"/>
        <v>1.0341880341880343</v>
      </c>
      <c r="AE29" s="21">
        <f t="shared" ca="1" si="14"/>
        <v>117</v>
      </c>
      <c r="AF29" s="24">
        <f t="shared" ca="1" si="15"/>
        <v>121</v>
      </c>
      <c r="AG29" s="239">
        <f t="shared" ca="1" si="16"/>
        <v>1.0341880341880343</v>
      </c>
      <c r="AH29" s="21">
        <f t="shared" ca="1" si="17"/>
        <v>0</v>
      </c>
      <c r="AI29" s="24">
        <f t="shared" ca="1" si="18"/>
        <v>0</v>
      </c>
      <c r="AJ29" s="239">
        <f t="shared" ca="1" si="19"/>
        <v>0</v>
      </c>
      <c r="AK29" s="21">
        <f t="shared" ca="1" si="20"/>
        <v>117</v>
      </c>
      <c r="AL29" s="24">
        <f t="shared" ca="1" si="21"/>
        <v>121</v>
      </c>
      <c r="AM29" s="239">
        <f t="shared" ca="1" si="22"/>
        <v>1.0341880341880343</v>
      </c>
    </row>
    <row r="30" spans="2:39" s="4" customFormat="1" ht="15" customHeight="1" x14ac:dyDescent="0.25">
      <c r="B30" s="8">
        <v>52622</v>
      </c>
      <c r="C30" s="309" t="s">
        <v>164</v>
      </c>
      <c r="D30" s="222">
        <f ca="1">SUMIF('UC BMW 2026'!$D$5:$D$77,'UC BMW 2026 (Grp. Propietar'!$B30,'UC BMW 2026'!$F$5:$F$72)</f>
        <v>26</v>
      </c>
      <c r="E30" s="124">
        <f ca="1">SUMIF('UC BMW 2026'!$D$5:$D$77,'UC BMW 2026 (Grp. Propietar'!$B30,'UC BMW 2026'!$G$5:$G$72)</f>
        <v>17</v>
      </c>
      <c r="F30" s="222">
        <f ca="1">SUMIF('UC BMW 2026'!$D$5:$D$77,'UC BMW 2026 (Grp. Propietar'!$B30,'UC BMW 2026'!$H$5:$H$72)</f>
        <v>26</v>
      </c>
      <c r="G30" s="23">
        <f ca="1">SUMIF('UC BMW 2026'!$D$5:$D$77,'UC BMW 2026 (Grp. Propietar'!$B30,'UC BMW 2026'!$I$5:$I$72)</f>
        <v>19</v>
      </c>
      <c r="H30" s="225">
        <f ca="1">SUMIF('UC BMW 2026'!$D$5:$D$77,'UC BMW 2026 (Grp. Propietar'!$B30,'UC BMW 2026'!$J$5:$J$72)</f>
        <v>27</v>
      </c>
      <c r="I30" s="124">
        <f ca="1">SUMIF('UC BMW 2026'!$D$5:$D$77,'UC BMW 2026 (Grp. Propietar'!$B30,'UC BMW 2026'!$K$5:$K$72)</f>
        <v>32</v>
      </c>
      <c r="J30" s="222">
        <f ca="1">SUMIF('UC BMW 2026'!$D$5:$D$77,'UC BMW 2026 (Grp. Propietar'!$B30,'UC BMW 2026'!$L$5:$L$72)</f>
        <v>27</v>
      </c>
      <c r="K30" s="23">
        <f ca="1">SUMIF('UC BMW 2026'!$D$5:$D$77,'UC BMW 2026 (Grp. Propietar'!$B30,'UC BMW 2026'!$M$5:$M$72)</f>
        <v>37</v>
      </c>
      <c r="L30" s="225">
        <f ca="1">SUMIF('UC BMW 2026'!$D$5:$D$77,'UC BMW 2026 (Grp. Propietar'!$B30,'UC BMW 2026'!$N$5:$N$72)</f>
        <v>27</v>
      </c>
      <c r="M30" s="124">
        <f ca="1">SUMIF('UC BMW 2026'!$D$5:$D$77,'UC BMW 2026 (Grp. Propietar'!$B30,'UC BMW 2026'!$O$5:$O$72)</f>
        <v>28</v>
      </c>
      <c r="N30" s="222">
        <f ca="1">SUMIF('UC BMW 2026'!$D$5:$D$77,'UC BMW 2026 (Grp. Propietar'!$B30,'UC BMW 2026'!$P$5:$P$72)</f>
        <v>27</v>
      </c>
      <c r="O30" s="124">
        <f ca="1">SUMIF('UC BMW 2026'!$D$5:$D$77,'UC BMW 2026 (Grp. Propietar'!$B30,'UC BMW 2026'!$Q$5:$Q$72)</f>
        <v>35</v>
      </c>
      <c r="P30" s="222">
        <f ca="1">SUMIF('UC BMW 2026'!$D$5:$D$77,'UC BMW 2026 (Grp. Propietar'!$B30,'UC BMW 2026'!$R$5:$R$72)</f>
        <v>0</v>
      </c>
      <c r="Q30" s="23">
        <f ca="1">SUMIF('UC BMW 2026'!$D$5:$D$77,'UC BMW 2026 (Grp. Propietar'!$B30,'UC BMW 2026'!$S$5:$S$72)</f>
        <v>0</v>
      </c>
      <c r="R30" s="225">
        <f ca="1">SUMIF('UC BMW 2026'!$D$5:$D$77,'UC BMW 2026 (Grp. Propietar'!$B30,'UC BMW 2026'!$T$5:$T$72)</f>
        <v>0</v>
      </c>
      <c r="S30" s="124">
        <f ca="1">SUMIF('UC BMW 2026'!$D$5:$D$77,'UC BMW 2026 (Grp. Propietar'!$B30,'UC BMW 2026'!$U$5:$U$72)</f>
        <v>0</v>
      </c>
      <c r="T30" s="222">
        <f ca="1">SUMIF('UC BMW 2026'!$D$5:$D$77,'UC BMW 2026 (Grp. Propietar'!$B30,'UC BMW 2026'!$V$5:$V$72)</f>
        <v>0</v>
      </c>
      <c r="U30" s="23">
        <f ca="1">SUMIF('UC BMW 2026'!$D$5:$D$77,'UC BMW 2026 (Grp. Propietar'!$B30,'UC BMW 2026'!$W$5:$W$72)</f>
        <v>0</v>
      </c>
      <c r="V30" s="225">
        <f ca="1">SUMIF('UC BMW 2026'!$D$5:$D$77,'UC BMW 2026 (Grp. Propietar'!$B30,'UC BMW 2026'!$X$5:$X$72)</f>
        <v>0</v>
      </c>
      <c r="W30" s="124">
        <f ca="1">SUMIF('UC BMW 2026'!$D$5:$D$77,'UC BMW 2026 (Grp. Propietar'!$B30,'UC BMW 2026'!$Y$5:$Y$72)</f>
        <v>0</v>
      </c>
      <c r="X30" s="222">
        <f>SUMIF('UC BMW 2026'!$D$10:$D$77,$B30,'UC BMW 2026'!Z$10:Z$77)</f>
        <v>0</v>
      </c>
      <c r="Y30" s="23">
        <f>SUMIF('UC BMW 2026'!$D$10:$D$77,$B30,'UC BMW 2026'!AA$10:AA$77)</f>
        <v>0</v>
      </c>
      <c r="Z30" s="225">
        <f>SUMIF('UC BMW 2026'!$D$10:$D$77,$B30,'UC BMW 2026'!AB$10:AB$77)</f>
        <v>0</v>
      </c>
      <c r="AA30" s="23">
        <f>SUMIF('UC BMW 2026'!$D$10:$D$77,$B30,'UC BMW 2026'!AC$10:AC$77)</f>
        <v>0</v>
      </c>
      <c r="AB30" s="21">
        <f t="shared" ca="1" si="11"/>
        <v>160</v>
      </c>
      <c r="AC30" s="24">
        <f t="shared" ca="1" si="12"/>
        <v>168</v>
      </c>
      <c r="AD30" s="239">
        <f t="shared" ca="1" si="13"/>
        <v>1.05</v>
      </c>
      <c r="AE30" s="21">
        <f t="shared" ca="1" si="14"/>
        <v>160</v>
      </c>
      <c r="AF30" s="24">
        <f t="shared" ca="1" si="15"/>
        <v>168</v>
      </c>
      <c r="AG30" s="239">
        <f t="shared" ca="1" si="16"/>
        <v>1.05</v>
      </c>
      <c r="AH30" s="21">
        <f t="shared" ca="1" si="17"/>
        <v>0</v>
      </c>
      <c r="AI30" s="24">
        <f t="shared" ca="1" si="18"/>
        <v>0</v>
      </c>
      <c r="AJ30" s="239">
        <f t="shared" ca="1" si="19"/>
        <v>0</v>
      </c>
      <c r="AK30" s="21">
        <f t="shared" ca="1" si="20"/>
        <v>160</v>
      </c>
      <c r="AL30" s="24">
        <f t="shared" ca="1" si="21"/>
        <v>168</v>
      </c>
      <c r="AM30" s="239">
        <f t="shared" ca="1" si="22"/>
        <v>1.05</v>
      </c>
    </row>
    <row r="31" spans="2:39" s="4" customFormat="1" ht="15" customHeight="1" x14ac:dyDescent="0.25">
      <c r="B31" s="8">
        <v>9144</v>
      </c>
      <c r="C31" s="309" t="s">
        <v>202</v>
      </c>
      <c r="D31" s="222">
        <f ca="1">SUMIF('UC BMW 2026'!$D$5:$D$77,'UC BMW 2026 (Grp. Propietar'!$B31,'UC BMW 2026'!$F$5:$F$72)</f>
        <v>95</v>
      </c>
      <c r="E31" s="124">
        <f ca="1">SUMIF('UC BMW 2026'!$D$5:$D$77,'UC BMW 2026 (Grp. Propietar'!$B31,'UC BMW 2026'!$G$5:$G$72)</f>
        <v>90</v>
      </c>
      <c r="F31" s="222">
        <f ca="1">SUMIF('UC BMW 2026'!$D$5:$D$77,'UC BMW 2026 (Grp. Propietar'!$B31,'UC BMW 2026'!$H$5:$H$72)</f>
        <v>95</v>
      </c>
      <c r="G31" s="23">
        <f ca="1">SUMIF('UC BMW 2026'!$D$5:$D$77,'UC BMW 2026 (Grp. Propietar'!$B31,'UC BMW 2026'!$I$5:$I$72)</f>
        <v>110</v>
      </c>
      <c r="H31" s="225">
        <f ca="1">SUMIF('UC BMW 2026'!$D$5:$D$77,'UC BMW 2026 (Grp. Propietar'!$B31,'UC BMW 2026'!$J$5:$J$72)</f>
        <v>95</v>
      </c>
      <c r="I31" s="124">
        <f ca="1">SUMIF('UC BMW 2026'!$D$5:$D$77,'UC BMW 2026 (Grp. Propietar'!$B31,'UC BMW 2026'!$K$5:$K$72)</f>
        <v>110</v>
      </c>
      <c r="J31" s="222">
        <f ca="1">SUMIF('UC BMW 2026'!$D$5:$D$77,'UC BMW 2026 (Grp. Propietar'!$B31,'UC BMW 2026'!$L$5:$L$72)</f>
        <v>96</v>
      </c>
      <c r="K31" s="23">
        <f ca="1">SUMIF('UC BMW 2026'!$D$5:$D$77,'UC BMW 2026 (Grp. Propietar'!$B31,'UC BMW 2026'!$M$5:$M$72)</f>
        <v>97</v>
      </c>
      <c r="L31" s="225">
        <f ca="1">SUMIF('UC BMW 2026'!$D$5:$D$77,'UC BMW 2026 (Grp. Propietar'!$B31,'UC BMW 2026'!$N$5:$N$72)</f>
        <v>98</v>
      </c>
      <c r="M31" s="124">
        <f ca="1">SUMIF('UC BMW 2026'!$D$5:$D$77,'UC BMW 2026 (Grp. Propietar'!$B31,'UC BMW 2026'!$O$5:$O$72)</f>
        <v>78</v>
      </c>
      <c r="N31" s="222">
        <f ca="1">SUMIF('UC BMW 2026'!$D$5:$D$77,'UC BMW 2026 (Grp. Propietar'!$B31,'UC BMW 2026'!$P$5:$P$72)</f>
        <v>98</v>
      </c>
      <c r="O31" s="124">
        <f ca="1">SUMIF('UC BMW 2026'!$D$5:$D$77,'UC BMW 2026 (Grp. Propietar'!$B31,'UC BMW 2026'!$Q$5:$Q$72)</f>
        <v>83</v>
      </c>
      <c r="P31" s="222">
        <f ca="1">SUMIF('UC BMW 2026'!$D$5:$D$77,'UC BMW 2026 (Grp. Propietar'!$B31,'UC BMW 2026'!$R$5:$R$72)</f>
        <v>0</v>
      </c>
      <c r="Q31" s="23">
        <f ca="1">SUMIF('UC BMW 2026'!$D$5:$D$77,'UC BMW 2026 (Grp. Propietar'!$B31,'UC BMW 2026'!$S$5:$S$72)</f>
        <v>0</v>
      </c>
      <c r="R31" s="225">
        <f ca="1">SUMIF('UC BMW 2026'!$D$5:$D$77,'UC BMW 2026 (Grp. Propietar'!$B31,'UC BMW 2026'!$T$5:$T$72)</f>
        <v>0</v>
      </c>
      <c r="S31" s="124">
        <f ca="1">SUMIF('UC BMW 2026'!$D$5:$D$77,'UC BMW 2026 (Grp. Propietar'!$B31,'UC BMW 2026'!$U$5:$U$72)</f>
        <v>0</v>
      </c>
      <c r="T31" s="222">
        <f ca="1">SUMIF('UC BMW 2026'!$D$5:$D$77,'UC BMW 2026 (Grp. Propietar'!$B31,'UC BMW 2026'!$V$5:$V$72)</f>
        <v>0</v>
      </c>
      <c r="U31" s="23">
        <f ca="1">SUMIF('UC BMW 2026'!$D$5:$D$77,'UC BMW 2026 (Grp. Propietar'!$B31,'UC BMW 2026'!$W$5:$W$72)</f>
        <v>0</v>
      </c>
      <c r="V31" s="225">
        <f ca="1">SUMIF('UC BMW 2026'!$D$5:$D$77,'UC BMW 2026 (Grp. Propietar'!$B31,'UC BMW 2026'!$X$5:$X$72)</f>
        <v>0</v>
      </c>
      <c r="W31" s="124">
        <f ca="1">SUMIF('UC BMW 2026'!$D$5:$D$77,'UC BMW 2026 (Grp. Propietar'!$B31,'UC BMW 2026'!$Y$5:$Y$72)</f>
        <v>0</v>
      </c>
      <c r="X31" s="222">
        <f>SUMIF('UC BMW 2026'!$D$10:$D$77,$B31,'UC BMW 2026'!Z$10:Z$77)</f>
        <v>0</v>
      </c>
      <c r="Y31" s="23">
        <f>SUMIF('UC BMW 2026'!$D$10:$D$77,$B31,'UC BMW 2026'!AA$10:AA$77)</f>
        <v>0</v>
      </c>
      <c r="Z31" s="225">
        <f>SUMIF('UC BMW 2026'!$D$10:$D$77,$B31,'UC BMW 2026'!AB$10:AB$77)</f>
        <v>0</v>
      </c>
      <c r="AA31" s="23">
        <f>SUMIF('UC BMW 2026'!$D$10:$D$77,$B31,'UC BMW 2026'!AC$10:AC$77)</f>
        <v>0</v>
      </c>
      <c r="AB31" s="21">
        <f t="shared" ca="1" si="11"/>
        <v>577</v>
      </c>
      <c r="AC31" s="24">
        <f t="shared" ca="1" si="12"/>
        <v>568</v>
      </c>
      <c r="AD31" s="239">
        <f t="shared" ca="1" si="13"/>
        <v>0.98440207972270366</v>
      </c>
      <c r="AE31" s="21">
        <f t="shared" ca="1" si="14"/>
        <v>577</v>
      </c>
      <c r="AF31" s="24">
        <f t="shared" ca="1" si="15"/>
        <v>568</v>
      </c>
      <c r="AG31" s="239">
        <f t="shared" ca="1" si="16"/>
        <v>0.98440207972270366</v>
      </c>
      <c r="AH31" s="21">
        <f t="shared" ca="1" si="17"/>
        <v>0</v>
      </c>
      <c r="AI31" s="24">
        <f t="shared" ca="1" si="18"/>
        <v>0</v>
      </c>
      <c r="AJ31" s="239">
        <f t="shared" ca="1" si="19"/>
        <v>0</v>
      </c>
      <c r="AK31" s="21">
        <f t="shared" ca="1" si="20"/>
        <v>577</v>
      </c>
      <c r="AL31" s="24">
        <f t="shared" ca="1" si="21"/>
        <v>568</v>
      </c>
      <c r="AM31" s="239">
        <f t="shared" ca="1" si="22"/>
        <v>0.98440207972270366</v>
      </c>
    </row>
    <row r="32" spans="2:39" s="4" customFormat="1" ht="15" customHeight="1" x14ac:dyDescent="0.25">
      <c r="B32" s="8">
        <v>34945</v>
      </c>
      <c r="C32" s="309" t="s">
        <v>98</v>
      </c>
      <c r="D32" s="222">
        <f ca="1">SUMIF('UC BMW 2026'!$D$5:$D$77,'UC BMW 2026 (Grp. Propietar'!$B32,'UC BMW 2026'!$F$5:$F$72)</f>
        <v>61</v>
      </c>
      <c r="E32" s="124">
        <f ca="1">SUMIF('UC BMW 2026'!$D$5:$D$77,'UC BMW 2026 (Grp. Propietar'!$B32,'UC BMW 2026'!$G$5:$G$72)</f>
        <v>75</v>
      </c>
      <c r="F32" s="222">
        <f ca="1">SUMIF('UC BMW 2026'!$D$5:$D$77,'UC BMW 2026 (Grp. Propietar'!$B32,'UC BMW 2026'!$H$5:$H$72)</f>
        <v>61</v>
      </c>
      <c r="G32" s="23">
        <f ca="1">SUMIF('UC BMW 2026'!$D$5:$D$77,'UC BMW 2026 (Grp. Propietar'!$B32,'UC BMW 2026'!$I$5:$I$72)</f>
        <v>98</v>
      </c>
      <c r="H32" s="225">
        <f ca="1">SUMIF('UC BMW 2026'!$D$5:$D$77,'UC BMW 2026 (Grp. Propietar'!$B32,'UC BMW 2026'!$J$5:$J$72)</f>
        <v>61</v>
      </c>
      <c r="I32" s="124">
        <f ca="1">SUMIF('UC BMW 2026'!$D$5:$D$77,'UC BMW 2026 (Grp. Propietar'!$B32,'UC BMW 2026'!$K$5:$K$72)</f>
        <v>92</v>
      </c>
      <c r="J32" s="222">
        <f ca="1">SUMIF('UC BMW 2026'!$D$5:$D$77,'UC BMW 2026 (Grp. Propietar'!$B32,'UC BMW 2026'!$L$5:$L$72)</f>
        <v>62</v>
      </c>
      <c r="K32" s="23">
        <f ca="1">SUMIF('UC BMW 2026'!$D$5:$D$77,'UC BMW 2026 (Grp. Propietar'!$B32,'UC BMW 2026'!$M$5:$M$72)</f>
        <v>79</v>
      </c>
      <c r="L32" s="225">
        <f ca="1">SUMIF('UC BMW 2026'!$D$5:$D$77,'UC BMW 2026 (Grp. Propietar'!$B32,'UC BMW 2026'!$N$5:$N$72)</f>
        <v>62</v>
      </c>
      <c r="M32" s="124">
        <f ca="1">SUMIF('UC BMW 2026'!$D$5:$D$77,'UC BMW 2026 (Grp. Propietar'!$B32,'UC BMW 2026'!$O$5:$O$72)</f>
        <v>80</v>
      </c>
      <c r="N32" s="222">
        <f ca="1">SUMIF('UC BMW 2026'!$D$5:$D$77,'UC BMW 2026 (Grp. Propietar'!$B32,'UC BMW 2026'!$P$5:$P$72)</f>
        <v>63</v>
      </c>
      <c r="O32" s="124">
        <f ca="1">SUMIF('UC BMW 2026'!$D$5:$D$77,'UC BMW 2026 (Grp. Propietar'!$B32,'UC BMW 2026'!$Q$5:$Q$72)</f>
        <v>84</v>
      </c>
      <c r="P32" s="222">
        <f ca="1">SUMIF('UC BMW 2026'!$D$5:$D$77,'UC BMW 2026 (Grp. Propietar'!$B32,'UC BMW 2026'!$R$5:$R$72)</f>
        <v>0</v>
      </c>
      <c r="Q32" s="23">
        <f ca="1">SUMIF('UC BMW 2026'!$D$5:$D$77,'UC BMW 2026 (Grp. Propietar'!$B32,'UC BMW 2026'!$S$5:$S$72)</f>
        <v>0</v>
      </c>
      <c r="R32" s="225">
        <f ca="1">SUMIF('UC BMW 2026'!$D$5:$D$77,'UC BMW 2026 (Grp. Propietar'!$B32,'UC BMW 2026'!$T$5:$T$72)</f>
        <v>0</v>
      </c>
      <c r="S32" s="124">
        <f ca="1">SUMIF('UC BMW 2026'!$D$5:$D$77,'UC BMW 2026 (Grp. Propietar'!$B32,'UC BMW 2026'!$U$5:$U$72)</f>
        <v>0</v>
      </c>
      <c r="T32" s="222">
        <f ca="1">SUMIF('UC BMW 2026'!$D$5:$D$77,'UC BMW 2026 (Grp. Propietar'!$B32,'UC BMW 2026'!$V$5:$V$72)</f>
        <v>0</v>
      </c>
      <c r="U32" s="23">
        <f ca="1">SUMIF('UC BMW 2026'!$D$5:$D$77,'UC BMW 2026 (Grp. Propietar'!$B32,'UC BMW 2026'!$W$5:$W$72)</f>
        <v>0</v>
      </c>
      <c r="V32" s="225">
        <f ca="1">SUMIF('UC BMW 2026'!$D$5:$D$77,'UC BMW 2026 (Grp. Propietar'!$B32,'UC BMW 2026'!$X$5:$X$72)</f>
        <v>0</v>
      </c>
      <c r="W32" s="124">
        <f ca="1">SUMIF('UC BMW 2026'!$D$5:$D$77,'UC BMW 2026 (Grp. Propietar'!$B32,'UC BMW 2026'!$Y$5:$Y$72)</f>
        <v>0</v>
      </c>
      <c r="X32" s="222">
        <f>SUMIF('UC BMW 2026'!$D$10:$D$77,$B32,'UC BMW 2026'!Z$10:Z$77)</f>
        <v>0</v>
      </c>
      <c r="Y32" s="23">
        <f>SUMIF('UC BMW 2026'!$D$10:$D$77,$B32,'UC BMW 2026'!AA$10:AA$77)</f>
        <v>0</v>
      </c>
      <c r="Z32" s="225">
        <f>SUMIF('UC BMW 2026'!$D$10:$D$77,$B32,'UC BMW 2026'!AB$10:AB$77)</f>
        <v>0</v>
      </c>
      <c r="AA32" s="23">
        <f>SUMIF('UC BMW 2026'!$D$10:$D$77,$B32,'UC BMW 2026'!AC$10:AC$77)</f>
        <v>0</v>
      </c>
      <c r="AB32" s="21">
        <f t="shared" ca="1" si="11"/>
        <v>370</v>
      </c>
      <c r="AC32" s="24">
        <f t="shared" ca="1" si="12"/>
        <v>508</v>
      </c>
      <c r="AD32" s="239">
        <f t="shared" ca="1" si="13"/>
        <v>1.3729729729729729</v>
      </c>
      <c r="AE32" s="21">
        <f t="shared" ca="1" si="14"/>
        <v>370</v>
      </c>
      <c r="AF32" s="24">
        <f t="shared" ca="1" si="15"/>
        <v>508</v>
      </c>
      <c r="AG32" s="239">
        <f t="shared" ca="1" si="16"/>
        <v>1.3729729729729729</v>
      </c>
      <c r="AH32" s="21">
        <f t="shared" ca="1" si="17"/>
        <v>0</v>
      </c>
      <c r="AI32" s="24">
        <f t="shared" ca="1" si="18"/>
        <v>0</v>
      </c>
      <c r="AJ32" s="239">
        <f t="shared" ca="1" si="19"/>
        <v>0</v>
      </c>
      <c r="AK32" s="21">
        <f t="shared" ca="1" si="20"/>
        <v>370</v>
      </c>
      <c r="AL32" s="24">
        <f t="shared" ca="1" si="21"/>
        <v>508</v>
      </c>
      <c r="AM32" s="239">
        <f t="shared" ca="1" si="22"/>
        <v>1.3729729729729729</v>
      </c>
    </row>
    <row r="33" spans="2:39" s="4" customFormat="1" ht="15" customHeight="1" x14ac:dyDescent="0.25">
      <c r="B33" s="8">
        <v>51827</v>
      </c>
      <c r="C33" s="309" t="s">
        <v>157</v>
      </c>
      <c r="D33" s="223">
        <f ca="1">SUMIF('UC BMW 2026'!$D$5:$D$77,'UC BMW 2026 (Grp. Propietar'!$B33,'UC BMW 2026'!$F$5:$F$72)</f>
        <v>41</v>
      </c>
      <c r="E33" s="240">
        <f ca="1">SUMIF('UC BMW 2026'!$D$5:$D$77,'UC BMW 2026 (Grp. Propietar'!$B33,'UC BMW 2026'!$G$5:$G$72)</f>
        <v>36</v>
      </c>
      <c r="F33" s="223">
        <f ca="1">SUMIF('UC BMW 2026'!$D$5:$D$77,'UC BMW 2026 (Grp. Propietar'!$B33,'UC BMW 2026'!$H$5:$H$72)</f>
        <v>42</v>
      </c>
      <c r="G33" s="311">
        <f ca="1">SUMIF('UC BMW 2026'!$D$5:$D$77,'UC BMW 2026 (Grp. Propietar'!$B33,'UC BMW 2026'!$I$5:$I$72)</f>
        <v>49</v>
      </c>
      <c r="H33" s="556">
        <f ca="1">SUMIF('UC BMW 2026'!$D$5:$D$77,'UC BMW 2026 (Grp. Propietar'!$B33,'UC BMW 2026'!$J$5:$J$72)</f>
        <v>42</v>
      </c>
      <c r="I33" s="240">
        <f ca="1">SUMIF('UC BMW 2026'!$D$5:$D$77,'UC BMW 2026 (Grp. Propietar'!$B33,'UC BMW 2026'!$K$5:$K$72)</f>
        <v>66</v>
      </c>
      <c r="J33" s="223">
        <f ca="1">SUMIF('UC BMW 2026'!$D$5:$D$77,'UC BMW 2026 (Grp. Propietar'!$B33,'UC BMW 2026'!$L$5:$L$72)</f>
        <v>41</v>
      </c>
      <c r="K33" s="23">
        <f ca="1">SUMIF('UC BMW 2026'!$D$5:$D$77,'UC BMW 2026 (Grp. Propietar'!$B33,'UC BMW 2026'!$M$5:$M$72)</f>
        <v>51</v>
      </c>
      <c r="L33" s="556">
        <f ca="1">SUMIF('UC BMW 2026'!$D$5:$D$77,'UC BMW 2026 (Grp. Propietar'!$B33,'UC BMW 2026'!$N$5:$N$72)</f>
        <v>42</v>
      </c>
      <c r="M33" s="124">
        <f ca="1">SUMIF('UC BMW 2026'!$D$5:$D$77,'UC BMW 2026 (Grp. Propietar'!$B33,'UC BMW 2026'!$O$5:$O$72)</f>
        <v>53</v>
      </c>
      <c r="N33" s="223">
        <f ca="1">SUMIF('UC BMW 2026'!$D$5:$D$77,'UC BMW 2026 (Grp. Propietar'!$B33,'UC BMW 2026'!$P$5:$P$72)</f>
        <v>42</v>
      </c>
      <c r="O33" s="240">
        <f ca="1">SUMIF('UC BMW 2026'!$D$5:$D$77,'UC BMW 2026 (Grp. Propietar'!$B33,'UC BMW 2026'!$Q$5:$Q$72)</f>
        <v>57</v>
      </c>
      <c r="P33" s="223">
        <f ca="1">SUMIF('UC BMW 2026'!$D$5:$D$77,'UC BMW 2026 (Grp. Propietar'!$B33,'UC BMW 2026'!$R$5:$R$72)</f>
        <v>0</v>
      </c>
      <c r="Q33" s="311">
        <f ca="1">SUMIF('UC BMW 2026'!$D$5:$D$77,'UC BMW 2026 (Grp. Propietar'!$B33,'UC BMW 2026'!$S$5:$S$72)</f>
        <v>0</v>
      </c>
      <c r="R33" s="556">
        <f ca="1">SUMIF('UC BMW 2026'!$D$5:$D$77,'UC BMW 2026 (Grp. Propietar'!$B33,'UC BMW 2026'!$T$5:$T$72)</f>
        <v>0</v>
      </c>
      <c r="S33" s="240">
        <f ca="1">SUMIF('UC BMW 2026'!$D$5:$D$77,'UC BMW 2026 (Grp. Propietar'!$B33,'UC BMW 2026'!$U$5:$U$72)</f>
        <v>0</v>
      </c>
      <c r="T33" s="223">
        <f ca="1">SUMIF('UC BMW 2026'!$D$5:$D$77,'UC BMW 2026 (Grp. Propietar'!$B33,'UC BMW 2026'!$V$5:$V$72)</f>
        <v>0</v>
      </c>
      <c r="U33" s="23">
        <f ca="1">SUMIF('UC BMW 2026'!$D$5:$D$77,'UC BMW 2026 (Grp. Propietar'!$B33,'UC BMW 2026'!$W$5:$W$72)</f>
        <v>0</v>
      </c>
      <c r="V33" s="556">
        <f ca="1">SUMIF('UC BMW 2026'!$D$5:$D$77,'UC BMW 2026 (Grp. Propietar'!$B33,'UC BMW 2026'!$X$5:$X$72)</f>
        <v>0</v>
      </c>
      <c r="W33" s="124">
        <f ca="1">SUMIF('UC BMW 2026'!$D$5:$D$77,'UC BMW 2026 (Grp. Propietar'!$B33,'UC BMW 2026'!$Y$5:$Y$72)</f>
        <v>0</v>
      </c>
      <c r="X33" s="223">
        <f>SUMIF('UC BMW 2026'!$D$10:$D$77,$B33,'UC BMW 2026'!Z$10:Z$77)</f>
        <v>0</v>
      </c>
      <c r="Y33" s="23">
        <f>SUMIF('UC BMW 2026'!$D$10:$D$77,$B33,'UC BMW 2026'!AA$10:AA$77)</f>
        <v>0</v>
      </c>
      <c r="Z33" s="556">
        <f>SUMIF('UC BMW 2026'!$D$10:$D$77,$B33,'UC BMW 2026'!AB$10:AB$77)</f>
        <v>0</v>
      </c>
      <c r="AA33" s="23">
        <f>SUMIF('UC BMW 2026'!$D$10:$D$77,$B33,'UC BMW 2026'!AC$10:AC$77)</f>
        <v>0</v>
      </c>
      <c r="AB33" s="183">
        <f t="shared" ca="1" si="11"/>
        <v>250</v>
      </c>
      <c r="AC33" s="240">
        <f t="shared" ca="1" si="12"/>
        <v>312</v>
      </c>
      <c r="AD33" s="187">
        <f t="shared" ca="1" si="13"/>
        <v>1.248</v>
      </c>
      <c r="AE33" s="183">
        <f t="shared" ca="1" si="14"/>
        <v>250</v>
      </c>
      <c r="AF33" s="240">
        <f t="shared" ca="1" si="15"/>
        <v>312</v>
      </c>
      <c r="AG33" s="187">
        <f t="shared" ca="1" si="16"/>
        <v>1.248</v>
      </c>
      <c r="AH33" s="183">
        <f t="shared" ca="1" si="17"/>
        <v>0</v>
      </c>
      <c r="AI33" s="240">
        <f t="shared" ca="1" si="18"/>
        <v>0</v>
      </c>
      <c r="AJ33" s="187">
        <f t="shared" ca="1" si="19"/>
        <v>0</v>
      </c>
      <c r="AK33" s="183">
        <f t="shared" ca="1" si="20"/>
        <v>250</v>
      </c>
      <c r="AL33" s="240">
        <f t="shared" ca="1" si="21"/>
        <v>312</v>
      </c>
      <c r="AM33" s="187">
        <f t="shared" ca="1" si="22"/>
        <v>1.248</v>
      </c>
    </row>
    <row r="34" spans="2:39" s="4" customFormat="1" ht="15" customHeight="1" thickBot="1" x14ac:dyDescent="0.3">
      <c r="B34" s="8">
        <v>12345</v>
      </c>
      <c r="C34" s="309" t="s">
        <v>278</v>
      </c>
      <c r="D34" s="557">
        <f ca="1">SUMIF('UC BMW 2026'!$D$5:$D$77,'UC BMW 2026 (Grp. Propietar'!$B34,'UC BMW 2026'!$F$5:$F$72)</f>
        <v>0</v>
      </c>
      <c r="E34" s="558">
        <f ca="1">SUMIF('UC BMW 2026'!$D$5:$D$77,'UC BMW 2026 (Grp. Propietar'!$B34,'UC BMW 2026'!$G$5:$G$72)</f>
        <v>22</v>
      </c>
      <c r="F34" s="557">
        <f ca="1">SUMIF('UC BMW 2026'!$D$5:$D$77,'UC BMW 2026 (Grp. Propietar'!$B34,'UC BMW 2026'!$H$5:$H$72)</f>
        <v>0</v>
      </c>
      <c r="G34" s="559">
        <f ca="1">SUMIF('UC BMW 2026'!$D$5:$D$77,'UC BMW 2026 (Grp. Propietar'!$B34,'UC BMW 2026'!$I$5:$I$72)</f>
        <v>24</v>
      </c>
      <c r="H34" s="560">
        <f ca="1">SUMIF('UC BMW 2026'!$D$5:$D$77,'UC BMW 2026 (Grp. Propietar'!$B34,'UC BMW 2026'!$J$5:$J$72)</f>
        <v>0</v>
      </c>
      <c r="I34" s="558">
        <f ca="1">SUMIF('UC BMW 2026'!$D$5:$D$77,'UC BMW 2026 (Grp. Propietar'!$B34,'UC BMW 2026'!$K$5:$K$72)</f>
        <v>27</v>
      </c>
      <c r="J34" s="557">
        <f ca="1">SUMIF('UC BMW 2026'!$D$5:$D$77,'UC BMW 2026 (Grp. Propietar'!$B34,'UC BMW 2026'!$L$5:$L$72)</f>
        <v>0</v>
      </c>
      <c r="K34" s="559">
        <f ca="1">SUMIF('UC BMW 2026'!$D$5:$D$77,'UC BMW 2026 (Grp. Propietar'!$B34,'UC BMW 2026'!$M$5:$M$72)</f>
        <v>26</v>
      </c>
      <c r="L34" s="560">
        <f ca="1">SUMIF('UC BMW 2026'!$D$5:$D$77,'UC BMW 2026 (Grp. Propietar'!$B34,'UC BMW 2026'!$N$5:$N$72)</f>
        <v>0</v>
      </c>
      <c r="M34" s="558">
        <f ca="1">SUMIF('UC BMW 2026'!$D$5:$D$77,'UC BMW 2026 (Grp. Propietar'!$B34,'UC BMW 2026'!$O$5:$O$72)</f>
        <v>21</v>
      </c>
      <c r="N34" s="557">
        <f ca="1">SUMIF('UC BMW 2026'!$D$5:$D$77,'UC BMW 2026 (Grp. Propietar'!$B34,'UC BMW 2026'!$P$5:$P$72)</f>
        <v>0</v>
      </c>
      <c r="O34" s="558">
        <f ca="1">SUMIF('UC BMW 2026'!$D$5:$D$77,'UC BMW 2026 (Grp. Propietar'!$B34,'UC BMW 2026'!$Q$5:$Q$72)</f>
        <v>19</v>
      </c>
      <c r="P34" s="557">
        <f ca="1">SUMIF('UC BMW 2026'!$D$5:$D$77,'UC BMW 2026 (Grp. Propietar'!$B34,'UC BMW 2026'!$R$5:$R$72)</f>
        <v>0</v>
      </c>
      <c r="Q34" s="559">
        <f ca="1">SUMIF('UC BMW 2026'!$D$5:$D$77,'UC BMW 2026 (Grp. Propietar'!$B34,'UC BMW 2026'!$S$5:$S$72)</f>
        <v>0</v>
      </c>
      <c r="R34" s="560">
        <f ca="1">SUMIF('UC BMW 2026'!$D$5:$D$77,'UC BMW 2026 (Grp. Propietar'!$B34,'UC BMW 2026'!$T$5:$T$72)</f>
        <v>0</v>
      </c>
      <c r="S34" s="558">
        <f ca="1">SUMIF('UC BMW 2026'!$D$5:$D$77,'UC BMW 2026 (Grp. Propietar'!$B34,'UC BMW 2026'!$U$5:$U$72)</f>
        <v>0</v>
      </c>
      <c r="T34" s="557">
        <f ca="1">SUMIF('UC BMW 2026'!$D$5:$D$77,'UC BMW 2026 (Grp. Propietar'!$B34,'UC BMW 2026'!$V$5:$V$72)</f>
        <v>0</v>
      </c>
      <c r="U34" s="559">
        <f ca="1">SUMIF('UC BMW 2026'!$D$5:$D$77,'UC BMW 2026 (Grp. Propietar'!$B34,'UC BMW 2026'!$W$5:$W$72)</f>
        <v>0</v>
      </c>
      <c r="V34" s="560">
        <f ca="1">SUMIF('UC BMW 2026'!$D$5:$D$77,'UC BMW 2026 (Grp. Propietar'!$B34,'UC BMW 2026'!$X$5:$X$72)</f>
        <v>0</v>
      </c>
      <c r="W34" s="558">
        <f ca="1">SUMIF('UC BMW 2026'!$D$5:$D$77,'UC BMW 2026 (Grp. Propietar'!$B34,'UC BMW 2026'!$Y$5:$Y$72)</f>
        <v>0</v>
      </c>
      <c r="X34" s="222">
        <f ca="1">SUMIF('UC BMW 2026'!$D$5:$D$77,'UC BMW 2026 (Grp. Propietar'!$B34,'UC BMW 2026'!$N$5:$N$72)</f>
        <v>0</v>
      </c>
      <c r="Y34" s="23">
        <f ca="1">SUMIF('UC BMW 2026'!$D$5:$D$77,'UC BMW 2026 (Grp. Propietar'!$B34,'UC BMW 2026'!$O$5:$O$72)</f>
        <v>21</v>
      </c>
      <c r="Z34" s="225">
        <f ca="1">SUMIF('UC BMW 2026'!$D$5:$D$77,'UC BMW 2026 (Grp. Propietar'!$B34,'UC BMW 2026'!$N$5:$N$72)</f>
        <v>0</v>
      </c>
      <c r="AA34" s="23">
        <f ca="1">SUMIF('UC BMW 2026'!$D$5:$D$77,'UC BMW 2026 (Grp. Propietar'!$B34,'UC BMW 2026'!$O$5:$O$72)</f>
        <v>21</v>
      </c>
      <c r="AB34" s="183">
        <f t="shared" ca="1" si="11"/>
        <v>0</v>
      </c>
      <c r="AC34" s="240">
        <f t="shared" ca="1" si="12"/>
        <v>139</v>
      </c>
      <c r="AD34" s="187">
        <f t="shared" ca="1" si="13"/>
        <v>0</v>
      </c>
      <c r="AE34" s="183">
        <f t="shared" ca="1" si="14"/>
        <v>0</v>
      </c>
      <c r="AF34" s="240">
        <f t="shared" ca="1" si="15"/>
        <v>139</v>
      </c>
      <c r="AG34" s="187">
        <f t="shared" ca="1" si="16"/>
        <v>0</v>
      </c>
      <c r="AH34" s="183">
        <f t="shared" ca="1" si="17"/>
        <v>0</v>
      </c>
      <c r="AI34" s="240">
        <f t="shared" ca="1" si="18"/>
        <v>42</v>
      </c>
      <c r="AJ34" s="187">
        <f t="shared" ca="1" si="19"/>
        <v>0</v>
      </c>
      <c r="AK34" s="183">
        <f t="shared" ca="1" si="20"/>
        <v>0</v>
      </c>
      <c r="AL34" s="240">
        <f t="shared" ca="1" si="21"/>
        <v>139</v>
      </c>
      <c r="AM34" s="187">
        <f t="shared" ca="1" si="22"/>
        <v>0</v>
      </c>
    </row>
    <row r="35" spans="2:39" s="4" customFormat="1" ht="15" customHeight="1" thickBot="1" x14ac:dyDescent="0.4">
      <c r="B35" s="712" t="s">
        <v>27</v>
      </c>
      <c r="C35" s="713"/>
      <c r="D35" s="39">
        <f t="shared" ref="D35:AA35" ca="1" si="23">SUM(D5:D34)</f>
        <v>1098</v>
      </c>
      <c r="E35" s="312">
        <f t="shared" ca="1" si="23"/>
        <v>917</v>
      </c>
      <c r="F35" s="39">
        <f t="shared" ca="1" si="23"/>
        <v>1108</v>
      </c>
      <c r="G35" s="312">
        <f t="shared" ca="1" si="23"/>
        <v>1123</v>
      </c>
      <c r="H35" s="39">
        <f t="shared" ca="1" si="23"/>
        <v>1135</v>
      </c>
      <c r="I35" s="312">
        <f t="shared" ca="1" si="23"/>
        <v>1254</v>
      </c>
      <c r="J35" s="39">
        <f t="shared" ca="1" si="23"/>
        <v>1132</v>
      </c>
      <c r="K35" s="312">
        <f t="shared" ca="1" si="23"/>
        <v>1103</v>
      </c>
      <c r="L35" s="39">
        <f t="shared" ca="1" si="23"/>
        <v>1156</v>
      </c>
      <c r="M35" s="312">
        <f t="shared" ca="1" si="23"/>
        <v>1059</v>
      </c>
      <c r="N35" s="39">
        <f t="shared" ca="1" si="23"/>
        <v>1169</v>
      </c>
      <c r="O35" s="312">
        <f t="shared" ca="1" si="23"/>
        <v>1457</v>
      </c>
      <c r="P35" s="39">
        <f t="shared" ca="1" si="23"/>
        <v>183</v>
      </c>
      <c r="Q35" s="312">
        <f t="shared" ca="1" si="23"/>
        <v>0</v>
      </c>
      <c r="R35" s="39">
        <f t="shared" ca="1" si="23"/>
        <v>170</v>
      </c>
      <c r="S35" s="312">
        <f t="shared" ca="1" si="23"/>
        <v>0</v>
      </c>
      <c r="T35" s="39">
        <f t="shared" ca="1" si="23"/>
        <v>188</v>
      </c>
      <c r="U35" s="312">
        <f t="shared" ca="1" si="23"/>
        <v>0</v>
      </c>
      <c r="V35" s="39">
        <f t="shared" ca="1" si="23"/>
        <v>202</v>
      </c>
      <c r="W35" s="312">
        <f t="shared" ca="1" si="23"/>
        <v>0</v>
      </c>
      <c r="X35" s="39">
        <f t="shared" ca="1" si="23"/>
        <v>201</v>
      </c>
      <c r="Y35" s="312">
        <f t="shared" ca="1" si="23"/>
        <v>21</v>
      </c>
      <c r="Z35" s="39">
        <f t="shared" ca="1" si="23"/>
        <v>193</v>
      </c>
      <c r="AA35" s="312">
        <f t="shared" ca="1" si="23"/>
        <v>21</v>
      </c>
      <c r="AB35" s="39">
        <f ca="1">IF($AB$2="ENERO",D35,IF($AB$2="FEBRERO",D35+F35,IF($AB$2="MARZO",D35+F35+H35,IF($AB$2="ABRIL",D35+F35+H35+J35,IF($AB$2="MAYO",D35+F35+H35+J35+L35,IF($AB$2="JUNIO",D35+F35+H35+J35+L35+N35,IF($AB$2="JULIO",D35+F35+H35+J35+L35+N35+P35,IF($AB$2="AGOSTO",D35+F35+H35+J35+L35+N35+P35+R35,IF($AB$2="SEPTIEMBRE",D35+F35+H35+J35+L35+N35+P35+R35+T35,IF($AB$2="OCTUBRE",D35+F35+H35+J35+L35+N35+P35+R35+T35+V35,IF($AB$2="NOVIEMBRE",D35+F35+H35+J35+L35+N35+P35+R35+T35+V35+X35,IF($AB$2="DICIEMBRE",D35+F35+H35+J35+L35+N35+P35+R35+T35+V35+X35+Z35,""))))))))))))</f>
        <v>6798</v>
      </c>
      <c r="AC35" s="40">
        <f ca="1">IF($AB$2="ENERO",E35,IF($AB$2="FEBRERO",E35+G35,IF($AB$2="MARZO",E35+G35+I35,IF($AB$2="ABRIL",E35+G35+I35+K35,IF($AB$2="MAYO",E35+G35+I35+K35+M35,IF($AB$2="JUNIO",E35+G35+I35+K35+M35+O35,IF($AB$2="JULIO",E35+G35+I35+K35+M35+O35+Q35,IF($AB$2="AGOSTO",E35+G35+I35+K35+M35+O35+Q35+S35,IF($AB$2="SEPTIEMBRE",E35+G35+I35+K35+M35+O35+Q35+S35+U35,IF($AB$2="OCTUBRE",E35+G35+I35+K35+M35+O35+Q35+S35+U35+W35,IF($AB$2="NOVIEMBRE",E35+G35+I35+K35+M35+O35+Q35+S35+U35+W35+Y35,IF($AB$2="DICIEMBRE",E35+G35+I35+K35+M35+O35+Q35+S35+U35+W35+Y35+AA35,""))))))))))))</f>
        <v>6913</v>
      </c>
      <c r="AD35" s="241">
        <f t="shared" ca="1" si="7"/>
        <v>1.0169167402177111</v>
      </c>
      <c r="AE35" s="39">
        <f t="shared" ca="1" si="14"/>
        <v>7935</v>
      </c>
      <c r="AF35" s="40">
        <f t="shared" ca="1" si="15"/>
        <v>6913</v>
      </c>
      <c r="AG35" s="241">
        <f t="shared" ca="1" si="3"/>
        <v>0.87120352867044737</v>
      </c>
      <c r="AH35" s="39">
        <f ca="1">IF($AH$3="Q1",D35+F35+H35,IF($AH$3="Q2",J35+L35++N35,IF($AH$3="Q3",P35+R35+T35,IF($AH$3="Q4",V35+X35+Z35,0))))</f>
        <v>596</v>
      </c>
      <c r="AI35" s="40">
        <f ca="1">IF($AH$3="Q1",E35+G35+I35,IF($AH$3="Q2",K35+M35++O35,IF($AH$3="Q3",Q35+S35+U35,IF($AH$3="Q4",W35+Y35+AA35,0))))</f>
        <v>42</v>
      </c>
      <c r="AJ35" s="241">
        <f t="shared" ca="1" si="5"/>
        <v>7.0469798657718116E-2</v>
      </c>
      <c r="AK35" s="39">
        <f ca="1">SUM(AK5:AK33)</f>
        <v>6798</v>
      </c>
      <c r="AL35" s="40">
        <f ca="1">SUM(AL5:AL33)</f>
        <v>6774</v>
      </c>
      <c r="AM35" s="241">
        <f t="shared" ca="1" si="6"/>
        <v>0.99646954986760816</v>
      </c>
    </row>
    <row r="36" spans="2:39" s="4" customFormat="1" x14ac:dyDescent="0.35">
      <c r="B36" s="139"/>
    </row>
    <row r="37" spans="2:39" x14ac:dyDescent="0.25"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C37" s="41"/>
    </row>
    <row r="38" spans="2:39" x14ac:dyDescent="0.25">
      <c r="E38" s="41"/>
      <c r="G38" s="41"/>
      <c r="I38" s="41"/>
      <c r="K38" s="41"/>
      <c r="AC38" s="41"/>
    </row>
    <row r="41" spans="2:39" x14ac:dyDescent="0.25">
      <c r="I41" s="41"/>
    </row>
  </sheetData>
  <mergeCells count="19">
    <mergeCell ref="A1:AM1"/>
    <mergeCell ref="B3:C4"/>
    <mergeCell ref="D3:E3"/>
    <mergeCell ref="F3:G3"/>
    <mergeCell ref="H3:I3"/>
    <mergeCell ref="J3:K3"/>
    <mergeCell ref="L3:M3"/>
    <mergeCell ref="N3:O3"/>
    <mergeCell ref="P3:Q3"/>
    <mergeCell ref="R3:S3"/>
    <mergeCell ref="AH3:AJ3"/>
    <mergeCell ref="AK3:AM3"/>
    <mergeCell ref="AB3:AD3"/>
    <mergeCell ref="AE3:AG3"/>
    <mergeCell ref="B35:C35"/>
    <mergeCell ref="T3:U3"/>
    <mergeCell ref="V3:W3"/>
    <mergeCell ref="X3:Y3"/>
    <mergeCell ref="Z3:AA3"/>
  </mergeCells>
  <conditionalFormatting sqref="A1">
    <cfRule type="duplicateValues" dxfId="244" priority="2"/>
  </conditionalFormatting>
  <conditionalFormatting sqref="D3:E3">
    <cfRule type="expression" dxfId="243" priority="14">
      <formula>IF($AB$2="ENERO","VERDADERO")</formula>
    </cfRule>
  </conditionalFormatting>
  <conditionalFormatting sqref="D3:G3">
    <cfRule type="expression" dxfId="242" priority="13">
      <formula>IF($AB$2="FEBRERO","VERDADERO")</formula>
    </cfRule>
  </conditionalFormatting>
  <conditionalFormatting sqref="D3:I3">
    <cfRule type="expression" dxfId="241" priority="12">
      <formula>IF($AB$2="MARZO","VERDADERO")</formula>
    </cfRule>
  </conditionalFormatting>
  <conditionalFormatting sqref="D3:K3">
    <cfRule type="expression" dxfId="240" priority="11">
      <formula>IF($AB$2="ABRIL","VERDADERO")</formula>
    </cfRule>
  </conditionalFormatting>
  <conditionalFormatting sqref="D3:M3">
    <cfRule type="expression" dxfId="239" priority="10">
      <formula>IF($AB$2="MAYO","VERDADERO")</formula>
    </cfRule>
  </conditionalFormatting>
  <conditionalFormatting sqref="D3:O3">
    <cfRule type="expression" dxfId="238" priority="9">
      <formula>IF($AB$2="JUNIO","VERDADERO")</formula>
    </cfRule>
  </conditionalFormatting>
  <conditionalFormatting sqref="D3:Q3">
    <cfRule type="expression" dxfId="237" priority="8">
      <formula>IF($AB$2="JULIO","VERDADERO")</formula>
    </cfRule>
  </conditionalFormatting>
  <conditionalFormatting sqref="D3:S3">
    <cfRule type="expression" dxfId="236" priority="7">
      <formula>IF($AB$2="AGOSTO","VERDADERO")</formula>
    </cfRule>
  </conditionalFormatting>
  <conditionalFormatting sqref="D3:U3">
    <cfRule type="expression" dxfId="235" priority="6">
      <formula>IF($AB$2="SEPTIEMBRE","VERDADERO")</formula>
    </cfRule>
  </conditionalFormatting>
  <conditionalFormatting sqref="D3:W3">
    <cfRule type="expression" dxfId="234" priority="5">
      <formula>IF($AB$2="OCTUBRE","VERDADERO")</formula>
    </cfRule>
  </conditionalFormatting>
  <conditionalFormatting sqref="D3:Y3">
    <cfRule type="expression" dxfId="233" priority="4">
      <formula>IF($AB$2="NOVIEMBRE","VERDADERO")</formula>
    </cfRule>
  </conditionalFormatting>
  <conditionalFormatting sqref="D3:AA3">
    <cfRule type="expression" dxfId="232" priority="3">
      <formula>IF($AB$2="DICIEMBRE","VERDADERO")</formula>
    </cfRule>
  </conditionalFormatting>
  <conditionalFormatting sqref="B36:B1048576 B2:B34">
    <cfRule type="duplicateValues" dxfId="231" priority="2988"/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1AE794-0A3A-4478-B553-FC8E09A5EC2B}">
          <x14:formula1>
            <xm:f>MAESTRO!$H$3:$H$14</xm:f>
          </x14:formula1>
          <xm:sqref>AB2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A05B-57A5-4191-A2D2-8D448B7F6D76}">
  <sheetPr codeName="Hoja5">
    <tabColor theme="3" tint="0.59999389629810485"/>
    <pageSetUpPr fitToPage="1"/>
  </sheetPr>
  <dimension ref="A1:BP90"/>
  <sheetViews>
    <sheetView topLeftCell="A3" workbookViewId="0">
      <selection activeCell="G69" sqref="G69"/>
    </sheetView>
  </sheetViews>
  <sheetFormatPr baseColWidth="10" defaultColWidth="11.453125" defaultRowHeight="12.5" x14ac:dyDescent="0.25"/>
  <cols>
    <col min="1" max="1" width="2.90625" style="2" customWidth="1"/>
    <col min="2" max="2" width="10.54296875" style="3" customWidth="1"/>
    <col min="3" max="3" width="21.81640625" style="2" customWidth="1"/>
    <col min="4" max="4" width="2.1796875" style="2" customWidth="1"/>
    <col min="5" max="5" width="22.1796875" style="2" customWidth="1"/>
    <col min="6" max="6" width="8.36328125" style="2" customWidth="1"/>
    <col min="7" max="41" width="6.54296875" style="2" customWidth="1"/>
    <col min="42" max="47" width="10.54296875" style="2" customWidth="1"/>
    <col min="48" max="50" width="10.54296875" style="2" hidden="1" customWidth="1"/>
    <col min="51" max="54" width="0" style="2" hidden="1" customWidth="1"/>
    <col min="55" max="16384" width="11.453125" style="2"/>
  </cols>
  <sheetData>
    <row r="1" spans="1:68" ht="14.15" hidden="1" customHeight="1" thickBot="1" x14ac:dyDescent="0.3">
      <c r="E1" s="117" t="s">
        <v>109</v>
      </c>
      <c r="F1" s="2" t="s">
        <v>0</v>
      </c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6</v>
      </c>
      <c r="Y1" s="2" t="s">
        <v>6</v>
      </c>
      <c r="Z1" s="2" t="s">
        <v>6</v>
      </c>
      <c r="AA1" s="2" t="s">
        <v>7</v>
      </c>
      <c r="AB1" s="2" t="s">
        <v>7</v>
      </c>
      <c r="AC1" s="2" t="s">
        <v>7</v>
      </c>
      <c r="AD1" s="2" t="s">
        <v>101</v>
      </c>
      <c r="AE1" s="2" t="s">
        <v>101</v>
      </c>
      <c r="AF1" s="2" t="s">
        <v>101</v>
      </c>
      <c r="AG1" s="2" t="s">
        <v>102</v>
      </c>
      <c r="AH1" s="2" t="s">
        <v>102</v>
      </c>
      <c r="AI1" s="2" t="s">
        <v>102</v>
      </c>
      <c r="AJ1" s="2" t="s">
        <v>103</v>
      </c>
      <c r="AK1" s="2" t="s">
        <v>103</v>
      </c>
      <c r="AL1" s="2" t="s">
        <v>103</v>
      </c>
      <c r="AM1" s="2" t="s">
        <v>104</v>
      </c>
      <c r="AN1" s="2" t="s">
        <v>104</v>
      </c>
      <c r="AO1" s="2" t="s">
        <v>104</v>
      </c>
    </row>
    <row r="2" spans="1:68" hidden="1" x14ac:dyDescent="0.25">
      <c r="E2" s="117" t="s">
        <v>108</v>
      </c>
      <c r="F2" s="118" t="str">
        <f>$AP$4</f>
        <v>JUNIO</v>
      </c>
      <c r="G2" s="118" t="str">
        <f>$AP$4</f>
        <v>JUNIO</v>
      </c>
      <c r="H2" s="118" t="str">
        <f>$AP$4</f>
        <v>JUNIO</v>
      </c>
      <c r="I2" s="118" t="str">
        <f>IF($AP$4="ENERO",0,$AP$4)</f>
        <v>JUNIO</v>
      </c>
      <c r="J2" s="118" t="str">
        <f>IF($AP$4="ENERO",0,$AP$4)</f>
        <v>JUNIO</v>
      </c>
      <c r="K2" s="118" t="str">
        <f>IF($AP$4="ENERO",0,$AP$4)</f>
        <v>JUNIO</v>
      </c>
      <c r="L2" s="118" t="str">
        <f>IF(OR($AP$4="ENERO",$AP$4="FEBRERO"),0,$AP$4)</f>
        <v>JUNIO</v>
      </c>
      <c r="M2" s="118" t="str">
        <f>IF(OR($AP$4="ENERO",$AP$4="FEBRERO"),0,$AP$4)</f>
        <v>JUNIO</v>
      </c>
      <c r="N2" s="118" t="str">
        <f>IF(OR($AP$4="ENERO",$AP$4="FEBRERO"),0,$AP$4)</f>
        <v>JUNIO</v>
      </c>
      <c r="O2" s="118" t="str">
        <f>IF(OR($AP$4="ENERO",$AP$4="FEBRERO",$AP$4="MARZO"),0,$AP$4)</f>
        <v>JUNIO</v>
      </c>
      <c r="P2" s="118" t="str">
        <f>IF(OR($AP$4="ENERO",$AP$4="FEBRERO",$AP$4="MARZO"),0,$AP$4)</f>
        <v>JUNIO</v>
      </c>
      <c r="Q2" s="118" t="str">
        <f>IF(OR($AP$4="ENERO",$AP$4="FEBRERO",$AP$4="MARZO"),0,$AP$4)</f>
        <v>JUNIO</v>
      </c>
      <c r="R2" s="118" t="str">
        <f>IF(OR($AP$4="ENERO",$AP$4="FEBRERO",$AP$4="MARZO",$AP$4="ABRIL"),0,$AP$4)</f>
        <v>JUNIO</v>
      </c>
      <c r="S2" s="118" t="str">
        <f>IF(OR($AP$4="ENERO",$AP$4="FEBRERO",$AP$4="MARZO",$AP$4="ABRIL"),0,$AP$4)</f>
        <v>JUNIO</v>
      </c>
      <c r="T2" s="118" t="str">
        <f>IF(OR($AP$4="ENERO",$AP$4="FEBRERO",$AP$4="MARZO",$AP$4="ABRIL"),0,$AP$4)</f>
        <v>JUNIO</v>
      </c>
      <c r="U2" s="118" t="str">
        <f>IF(OR($AP$4="ENERO",$AP$4="FEBRERO",$AP$4="MARZO",$AP$4="ABRIL",$AP$4="MAYO"),0,$AP$4)</f>
        <v>JUNIO</v>
      </c>
      <c r="V2" s="118" t="str">
        <f>IF(OR($AP$4="ENERO",$AP$4="FEBRERO",$AP$4="MARZO",$AP$4="ABRIL",$AP$4="MAYO"),0,$AP$4)</f>
        <v>JUNIO</v>
      </c>
      <c r="W2" s="118" t="str">
        <f>IF(OR($AP$4="ENERO",$AP$4="FEBRERO",$AP$4="MARZO",$AP$4="ABRIL",$AP$4="MAYO"),0,$AP$4)</f>
        <v>JUNIO</v>
      </c>
      <c r="X2" s="118">
        <f>IF(OR($AP$4="ENERO",$AP$4="FEBRERO",$AP$4="MARZO",$AP$4="ABRIL",$AP$4="MAYO",$AP$4="JUNIO"),0,$AP$4)</f>
        <v>0</v>
      </c>
      <c r="Y2" s="118">
        <f>IF(OR($AP$4="ENERO",$AP$4="FEBRERO",$AP$4="MARZO",$AP$4="ABRIL",$AP$4="MAYO",$AP$4="JUNIO"),0,$AP$4)</f>
        <v>0</v>
      </c>
      <c r="Z2" s="118">
        <f>IF(OR($AP$4="ENERO",$AP$4="FEBRERO",$AP$4="MARZO",$AP$4="ABRIL",$AP$4="MAYO",$AP$4="JUNIO"),0,$AP$4)</f>
        <v>0</v>
      </c>
      <c r="AA2" s="118">
        <f>IF(OR($AP$4="ENERO",$AP$4="FEBRERO",$AP$4="MARZO",$AP$4="ABRIL",$AP$4="MAYO",$AP$4="JUNIO",$AP$4="JULIO"),0,$AP$4)</f>
        <v>0</v>
      </c>
      <c r="AB2" s="118">
        <f>IF(OR($AP$4="ENERO",$AP$4="FEBRERO",$AP$4="MARZO",$AP$4="ABRIL",$AP$4="MAYO",$AP$4="JUNIO",$AP$4="JULIO"),0,$AP$4)</f>
        <v>0</v>
      </c>
      <c r="AC2" s="118">
        <f>IF(OR($AP$4="ENERO",$AP$4="FEBRERO",$AP$4="MARZO",$AP$4="ABRIL",$AP$4="MAYO",$AP$4="JUNIO",$AP$4="JULIO"),0,$AP$4)</f>
        <v>0</v>
      </c>
      <c r="AD2" s="118">
        <f>IF(OR($AP$4="ENERO",$AP$4="FEBRERO",$AP$4="MARZO",$AP$4="ABRIL",$AP$4="MAYO",$AP$4="JUNIO",$AP$4="JULIO",$AP$4="AGOSTO"),0,$AP$4)</f>
        <v>0</v>
      </c>
      <c r="AE2" s="118">
        <f>IF(OR($AP$4="ENERO",$AP$4="FEBRERO",$AP$4="MARZO",$AP$4="ABRIL",$AP$4="MAYO",$AP$4="JUNIO",$AP$4="JULIO",$AP$4="AGOSTO"),0,$AP$4)</f>
        <v>0</v>
      </c>
      <c r="AF2" s="118">
        <f>IF(OR($AP$4="ENERO",$AP$4="FEBRERO",$AP$4="MARZO",$AP$4="ABRIL",$AP$4="MAYO",$AP$4="JUNIO",$AP$4="JULIO",$AP$4="AGOSTO"),0,$AP$4)</f>
        <v>0</v>
      </c>
      <c r="AG2" s="118">
        <f>IF(OR($AP$4="ENERO",$AP$4="FEBRERO",$AP$4="MARZO",$AP$4="ABRIL",$AP$4="MAYO",$AP$4="JUNIO",$AP$4="JULIO",$AP$4="AGOSTO",$AP$4="SEPTIEMBRE"),0,$AP$4)</f>
        <v>0</v>
      </c>
      <c r="AH2" s="118">
        <f>IF(OR($AP$4="ENERO",$AP$4="FEBRERO",$AP$4="MARZO",$AP$4="ABRIL",$AP$4="MAYO",$AP$4="JUNIO",$AP$4="JULIO",$AP$4="AGOSTO",$AP$4="SEPTIEMBRE"),0,$AP$4)</f>
        <v>0</v>
      </c>
      <c r="AI2" s="118">
        <f>IF(OR($AP$4="ENERO",$AP$4="FEBRERO",$AP$4="MARZO",$AP$4="ABRIL",$AP$4="MAYO",$AP$4="JUNIO",$AP$4="JULIO",$AP$4="AGOSTO",$AP$4="SEPTIEMBRE"),0,$AP$4)</f>
        <v>0</v>
      </c>
      <c r="AJ2" s="118">
        <f>IF(OR($AP$4="ENERO",$AP$4="FEBRERO",$AP$4="MARZO",$AP$4="ABRIL",$AP$4="MAYO",$AP$4="JUNIO",$AP$4="JULIO",$AP$4="AGOSTO",$AP$4="SEPTIEMBRE",$AP$4="OCTUBRE"),0,$AP$4)</f>
        <v>0</v>
      </c>
      <c r="AK2" s="118">
        <f>IF(OR($AP$4="ENERO",$AP$4="FEBRERO",$AP$4="MARZO",$AP$4="ABRIL",$AP$4="MAYO",$AP$4="JUNIO",$AP$4="JULIO",$AP$4="AGOSTO",$AP$4="SEPTIEMBRE",$AP$4="OCTUBRE"),0,$AP$4)</f>
        <v>0</v>
      </c>
      <c r="AL2" s="118">
        <f>IF(OR($AP$4="ENERO",$AP$4="FEBRERO",$AP$4="MARZO",$AP$4="ABRIL",$AP$4="MAYO",$AP$4="JUNIO",$AP$4="JULIO",$AP$4="AGOSTO",$AP$4="SEPTIEMBRE",$AP$4="OCTUBRE"),0,$AP$4)</f>
        <v>0</v>
      </c>
      <c r="AM2" s="118">
        <f>IF(OR($AP$4="ENERO",$AP$4="FEBRERO",$AP$4="MARZO",$AP$4="ABRIL",$AP$4="MAYO",$AP$4="JUNIO",$AP$4="JULIO",$AP$4="AGOSTO",$AP$4="SEPTIEMBRE",$AP$4="OCTUBRE",$AP$4="NOVIEMBRE"),0,$AP$4)</f>
        <v>0</v>
      </c>
      <c r="AN2" s="118">
        <f>IF(OR($AP$4="ENERO",$AP$4="FEBRERO",$AP$4="MARZO",$AP$4="ABRIL",$AP$4="MAYO",$AP$4="JUNIO",$AP$4="JULIO",$AP$4="AGOSTO",$AP$4="SEPTIEMBRE",$AP$4="OCTUBRE",$AP$4="NOVIEMBRE"),0,$AP$4)</f>
        <v>0</v>
      </c>
      <c r="AO2" s="118">
        <f>IF(OR($AP$4="ENERO",$AP$4="FEBRERO",$AP$4="MARZO",$AP$4="ABRIL",$AP$4="MAYO",$AP$4="JUNIO",$AP$4="JULIO",$AP$4="AGOSTO",$AP$4="SEPTIEMBRE",$AP$4="OCTUBRE",$AP$4="NOVIEMBRE"),0,$AP$4)</f>
        <v>0</v>
      </c>
    </row>
    <row r="3" spans="1:68" s="16" customFormat="1" ht="18.5" thickBot="1" x14ac:dyDescent="0.3">
      <c r="A3" s="710" t="s">
        <v>258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367"/>
    </row>
    <row r="4" spans="1:68" s="119" customFormat="1" ht="13" thickBot="1" x14ac:dyDescent="0.3">
      <c r="B4" s="120"/>
      <c r="F4" s="119">
        <v>5</v>
      </c>
      <c r="G4" s="119">
        <v>3</v>
      </c>
      <c r="I4" s="119">
        <f>F4+2</f>
        <v>7</v>
      </c>
      <c r="J4" s="119">
        <v>8</v>
      </c>
      <c r="K4" s="119">
        <v>9</v>
      </c>
      <c r="L4" s="119">
        <f>I4+2</f>
        <v>9</v>
      </c>
      <c r="M4" s="119">
        <v>13</v>
      </c>
      <c r="N4" s="119">
        <v>14</v>
      </c>
      <c r="O4" s="119">
        <f>L4+2</f>
        <v>11</v>
      </c>
      <c r="P4" s="119">
        <f>O4+1</f>
        <v>12</v>
      </c>
      <c r="Q4" s="119">
        <f>N4+1</f>
        <v>15</v>
      </c>
      <c r="R4" s="119">
        <f>O4+2</f>
        <v>13</v>
      </c>
      <c r="S4" s="119">
        <f>R4+1</f>
        <v>14</v>
      </c>
      <c r="T4" s="119">
        <f>Q4+1</f>
        <v>16</v>
      </c>
      <c r="U4" s="119">
        <f>R4+2</f>
        <v>15</v>
      </c>
      <c r="V4" s="119">
        <f>U4+1</f>
        <v>16</v>
      </c>
      <c r="W4" s="119">
        <f>T4+1</f>
        <v>17</v>
      </c>
      <c r="X4" s="119">
        <f>U4+2</f>
        <v>17</v>
      </c>
      <c r="Y4" s="119">
        <f>X4+1</f>
        <v>18</v>
      </c>
      <c r="Z4" s="119">
        <f>W4+1</f>
        <v>18</v>
      </c>
      <c r="AA4" s="119">
        <f>X4+2</f>
        <v>19</v>
      </c>
      <c r="AB4" s="119">
        <f>AA4+1</f>
        <v>20</v>
      </c>
      <c r="AC4" s="119">
        <f>Z4+1</f>
        <v>19</v>
      </c>
      <c r="AD4" s="119">
        <f>AA4+2</f>
        <v>21</v>
      </c>
      <c r="AE4" s="119">
        <f>AD4+1</f>
        <v>22</v>
      </c>
      <c r="AF4" s="119">
        <f>AC4+1</f>
        <v>20</v>
      </c>
      <c r="AG4" s="119">
        <f>AD4+2</f>
        <v>23</v>
      </c>
      <c r="AH4" s="119">
        <f>AG4+1</f>
        <v>24</v>
      </c>
      <c r="AI4" s="119">
        <f>AF4+1</f>
        <v>21</v>
      </c>
      <c r="AJ4" s="119">
        <f>AG4+2</f>
        <v>25</v>
      </c>
      <c r="AK4" s="119">
        <f>AJ4+1</f>
        <v>26</v>
      </c>
      <c r="AM4" s="119">
        <f>AJ4+2</f>
        <v>27</v>
      </c>
      <c r="AN4" s="119">
        <f>AM4+1</f>
        <v>28</v>
      </c>
      <c r="AO4" s="121"/>
      <c r="AP4" s="341" t="s">
        <v>5</v>
      </c>
    </row>
    <row r="5" spans="1:68" ht="15" customHeight="1" thickBot="1" x14ac:dyDescent="0.3">
      <c r="B5" s="695" t="s">
        <v>35</v>
      </c>
      <c r="C5" s="697" t="s">
        <v>36</v>
      </c>
      <c r="D5" s="122"/>
      <c r="E5" s="699" t="s">
        <v>76</v>
      </c>
      <c r="F5" s="709" t="s">
        <v>0</v>
      </c>
      <c r="G5" s="707"/>
      <c r="H5" s="707"/>
      <c r="I5" s="709" t="s">
        <v>1</v>
      </c>
      <c r="J5" s="707"/>
      <c r="K5" s="707"/>
      <c r="L5" s="709" t="s">
        <v>2</v>
      </c>
      <c r="M5" s="707"/>
      <c r="N5" s="707"/>
      <c r="O5" s="709" t="s">
        <v>3</v>
      </c>
      <c r="P5" s="707"/>
      <c r="Q5" s="707"/>
      <c r="R5" s="709" t="s">
        <v>4</v>
      </c>
      <c r="S5" s="707"/>
      <c r="T5" s="708"/>
      <c r="U5" s="709" t="s">
        <v>5</v>
      </c>
      <c r="V5" s="707"/>
      <c r="W5" s="708"/>
      <c r="X5" s="709" t="s">
        <v>6</v>
      </c>
      <c r="Y5" s="707"/>
      <c r="Z5" s="708"/>
      <c r="AA5" s="707" t="s">
        <v>7</v>
      </c>
      <c r="AB5" s="707"/>
      <c r="AC5" s="707"/>
      <c r="AD5" s="709" t="s">
        <v>29</v>
      </c>
      <c r="AE5" s="707"/>
      <c r="AF5" s="708"/>
      <c r="AG5" s="707" t="s">
        <v>30</v>
      </c>
      <c r="AH5" s="707"/>
      <c r="AI5" s="707"/>
      <c r="AJ5" s="709" t="s">
        <v>31</v>
      </c>
      <c r="AK5" s="707"/>
      <c r="AL5" s="708"/>
      <c r="AM5" s="707" t="s">
        <v>32</v>
      </c>
      <c r="AN5" s="707"/>
      <c r="AO5" s="707"/>
      <c r="AP5" s="704" t="s">
        <v>33</v>
      </c>
      <c r="AQ5" s="705"/>
      <c r="AR5" s="705"/>
      <c r="AS5" s="704" t="s">
        <v>34</v>
      </c>
      <c r="AT5" s="705"/>
      <c r="AU5" s="705"/>
      <c r="AV5" s="704" t="s">
        <v>70</v>
      </c>
      <c r="AW5" s="705"/>
      <c r="AX5" s="705"/>
      <c r="AY5" s="705"/>
      <c r="AZ5" s="705"/>
      <c r="BA5" s="705"/>
      <c r="BB5" s="706"/>
      <c r="BC5" s="704" t="s">
        <v>171</v>
      </c>
      <c r="BD5" s="705"/>
      <c r="BE5" s="706"/>
      <c r="BF5" s="704" t="s">
        <v>172</v>
      </c>
      <c r="BG5" s="705"/>
      <c r="BH5" s="706"/>
      <c r="BK5" s="704" t="s">
        <v>33</v>
      </c>
      <c r="BL5" s="705"/>
      <c r="BM5" s="706"/>
    </row>
    <row r="6" spans="1:68" s="340" customFormat="1" ht="25.5" thickBot="1" x14ac:dyDescent="0.3">
      <c r="A6" s="2"/>
      <c r="B6" s="696"/>
      <c r="C6" s="698"/>
      <c r="D6" s="122"/>
      <c r="E6" s="701"/>
      <c r="F6" s="334" t="s">
        <v>279</v>
      </c>
      <c r="G6" s="415" t="s">
        <v>205</v>
      </c>
      <c r="H6" s="416" t="s">
        <v>206</v>
      </c>
      <c r="I6" s="334" t="s">
        <v>279</v>
      </c>
      <c r="J6" s="415" t="s">
        <v>205</v>
      </c>
      <c r="K6" s="416" t="s">
        <v>206</v>
      </c>
      <c r="L6" s="334" t="s">
        <v>279</v>
      </c>
      <c r="M6" s="415" t="s">
        <v>205</v>
      </c>
      <c r="N6" s="416" t="s">
        <v>206</v>
      </c>
      <c r="O6" s="334" t="s">
        <v>279</v>
      </c>
      <c r="P6" s="415" t="s">
        <v>205</v>
      </c>
      <c r="Q6" s="416" t="s">
        <v>206</v>
      </c>
      <c r="R6" s="334" t="s">
        <v>279</v>
      </c>
      <c r="S6" s="415" t="s">
        <v>205</v>
      </c>
      <c r="T6" s="416" t="s">
        <v>206</v>
      </c>
      <c r="U6" s="334" t="s">
        <v>279</v>
      </c>
      <c r="V6" s="415" t="s">
        <v>205</v>
      </c>
      <c r="W6" s="416" t="s">
        <v>206</v>
      </c>
      <c r="X6" s="334" t="s">
        <v>279</v>
      </c>
      <c r="Y6" s="415" t="s">
        <v>205</v>
      </c>
      <c r="Z6" s="416" t="s">
        <v>206</v>
      </c>
      <c r="AA6" s="334" t="s">
        <v>279</v>
      </c>
      <c r="AB6" s="415" t="s">
        <v>205</v>
      </c>
      <c r="AC6" s="416" t="s">
        <v>206</v>
      </c>
      <c r="AD6" s="334" t="s">
        <v>279</v>
      </c>
      <c r="AE6" s="415" t="s">
        <v>205</v>
      </c>
      <c r="AF6" s="416" t="s">
        <v>206</v>
      </c>
      <c r="AG6" s="334" t="s">
        <v>279</v>
      </c>
      <c r="AH6" s="415" t="s">
        <v>205</v>
      </c>
      <c r="AI6" s="416" t="s">
        <v>206</v>
      </c>
      <c r="AJ6" s="334" t="s">
        <v>279</v>
      </c>
      <c r="AK6" s="415" t="s">
        <v>205</v>
      </c>
      <c r="AL6" s="416" t="s">
        <v>206</v>
      </c>
      <c r="AM6" s="334" t="s">
        <v>279</v>
      </c>
      <c r="AN6" s="415" t="s">
        <v>205</v>
      </c>
      <c r="AO6" s="416" t="s">
        <v>206</v>
      </c>
      <c r="AP6" s="334" t="s">
        <v>279</v>
      </c>
      <c r="AQ6" s="415" t="s">
        <v>205</v>
      </c>
      <c r="AR6" s="416" t="s">
        <v>206</v>
      </c>
      <c r="AS6" s="334" t="s">
        <v>279</v>
      </c>
      <c r="AT6" s="415" t="s">
        <v>205</v>
      </c>
      <c r="AU6" s="416" t="s">
        <v>206</v>
      </c>
      <c r="AV6" s="334"/>
      <c r="AW6" s="335"/>
      <c r="AX6" s="338"/>
      <c r="AY6" s="336"/>
      <c r="AZ6" s="336"/>
      <c r="BA6" s="336"/>
      <c r="BB6" s="337"/>
      <c r="BC6" s="334" t="s">
        <v>279</v>
      </c>
      <c r="BD6" s="415" t="s">
        <v>205</v>
      </c>
      <c r="BE6" s="417" t="s">
        <v>206</v>
      </c>
      <c r="BF6" s="334" t="s">
        <v>279</v>
      </c>
      <c r="BG6" s="415" t="s">
        <v>205</v>
      </c>
      <c r="BH6" s="417" t="s">
        <v>206</v>
      </c>
      <c r="BK6" s="334" t="s">
        <v>204</v>
      </c>
      <c r="BL6" s="415" t="s">
        <v>205</v>
      </c>
      <c r="BM6" s="417" t="s">
        <v>206</v>
      </c>
    </row>
    <row r="7" spans="1:68" s="4" customFormat="1" ht="15" customHeight="1" x14ac:dyDescent="0.3">
      <c r="A7" s="4">
        <f>_xlfn.XLOOKUP(B7,'WHOLESALE BMW 2026'!$B$7:$B$67,'WHOLESALE BMW 2026'!$A$7:$A$67)</f>
        <v>1</v>
      </c>
      <c r="B7" s="8">
        <v>100323</v>
      </c>
      <c r="C7" s="369" t="s">
        <v>165</v>
      </c>
      <c r="D7" s="125"/>
      <c r="E7" s="309" t="s">
        <v>274</v>
      </c>
      <c r="F7" s="21">
        <f ca="1">SUMIF('UC BMW 2026'!$B$5:$B$81,B7,'UC BMW 2026'!$F$5:$F$72)</f>
        <v>38</v>
      </c>
      <c r="G7" s="24">
        <f>IFERROR(INDEX([2]BEV!$C$10:$O$68,
      MATCH(B7,[2]BEV!$B$10:$B$68,0),
      MATCH("ENERO",[2]BEV!$C$9:$O$9,0)),
   0)-IF(B7=100873,
   IFERROR(VLOOKUP("ENERO",[2]BEV!$B$80:$C$93,2,0),
      0),
   0)</f>
        <v>43</v>
      </c>
      <c r="H7" s="282">
        <f t="shared" ref="H7:H18" ca="1" si="0">IFERROR(G7/F7,0)</f>
        <v>1.131578947368421</v>
      </c>
      <c r="I7" s="21">
        <f ca="1">SUMIF('UC BMW 2026'!$B$5:$B$81,B7,'UC BMW 2026'!$H$5:$H$72)</f>
        <v>38</v>
      </c>
      <c r="J7" s="24">
        <f>IFERROR(INDEX([2]BEV!$C$10:$O$68,
      MATCH(B7,[2]BEV!$B$10:$B$68,0),
      MATCH("FEBRERO",[2]BEV!$C$9:$O$9,0)),
   0)-IF(B7=100873,
   IFERROR(VLOOKUP("FEBRERO",[2]BEV!$B$80:$C$93,2,0),
      0),
   0)</f>
        <v>51</v>
      </c>
      <c r="K7" s="282">
        <f t="shared" ref="K7:K18" ca="1" si="1">IFERROR(J7/I7,0)</f>
        <v>1.3421052631578947</v>
      </c>
      <c r="L7" s="21">
        <f ca="1">SUMIF('UC BMW 2026'!$B$5:$B$81,B7,'UC BMW 2026'!$J$5:$J$72)</f>
        <v>39</v>
      </c>
      <c r="M7" s="24">
        <f>IFERROR(INDEX([2]BEV!$C$10:$O$68,
      MATCH(B7,[2]BEV!$B$10:$B$68,0),
      MATCH("MARZO",[2]BEV!$C$9:$O$9,0)),
   0)-IF(B7=100873,
   IFERROR(VLOOKUP("MARZO",[2]BEV!$B$80:$C$93,2,0),
      0),
   0)</f>
        <v>50</v>
      </c>
      <c r="N7" s="282">
        <f t="shared" ref="N7:N18" ca="1" si="2">IFERROR(M7/L7,0)</f>
        <v>1.2820512820512822</v>
      </c>
      <c r="O7" s="21">
        <f ca="1">SUMIF('UC BMW 2026'!$B$5:$B$81,B7,'UC BMW 2026'!$L$5:$L$72)</f>
        <v>38</v>
      </c>
      <c r="P7" s="24">
        <f>IFERROR(INDEX([2]BEV!$C$10:$O$68,
      MATCH(B7,[2]BEV!$B$10:$B$68,0),
      MATCH("ABRIL",[2]BEV!$C$9:$O$9,0)),
   0)-IF(B7=100873,
   IFERROR(VLOOKUP("ABRIL",[2]BEV!$B$80:$C$93,2,0),
      0),
   0)</f>
        <v>42</v>
      </c>
      <c r="Q7" s="282">
        <f t="shared" ref="Q7:Q18" ca="1" si="3">IFERROR(P7/O7,0)</f>
        <v>1.1052631578947369</v>
      </c>
      <c r="R7" s="21">
        <f ca="1">SUMIF('UC BMW 2026'!$B$5:$B$81,B7,'UC BMW 2026'!$N$5:$N$72)</f>
        <v>38</v>
      </c>
      <c r="S7" s="24">
        <f>IFERROR(INDEX([2]BEV!$C$10:$O$68,
      MATCH(B7,[2]BEV!$B$10:$B$68,0),
      MATCH("MAYO",[2]BEV!$C$9:$O$9,0)),
   0)-IF(B7=100873,
   IFERROR(VLOOKUP("MAYO",[2]BEV!$B$80:$C$93,2,0),
      0),
   0)</f>
        <v>36</v>
      </c>
      <c r="T7" s="282">
        <f t="shared" ref="T7:T18" ca="1" si="4">IFERROR(S7/R7,0)</f>
        <v>0.94736842105263153</v>
      </c>
      <c r="U7" s="21">
        <f ca="1">SUMIF('UC BMW 2026'!$B$5:$B$81,B7,'UC BMW 2026'!$P$5:$P$72)</f>
        <v>39</v>
      </c>
      <c r="V7" s="24">
        <f>IFERROR(INDEX([2]BEV!$C$10:$O$68,
      MATCH(B7,[2]BEV!$B$10:$B$68,0),
      MATCH("JUNIO",[2]BEV!$C$9:$O$9,0)),
   0)-IF(B7=100873,
   IFERROR(VLOOKUP("JUNIO",[2]BEV!$B$80:$C$93,2,0),
      0),
   0)</f>
        <v>50</v>
      </c>
      <c r="W7" s="282">
        <f t="shared" ref="W7:W18" ca="1" si="5">IFERROR(V7/U7,0)</f>
        <v>1.2820512820512822</v>
      </c>
      <c r="X7" s="21">
        <f ca="1">SUMIF('UC BMW 2026'!$B$5:$B$81,B7,'UC BMW 2026'!$R$5:$R$72)</f>
        <v>0</v>
      </c>
      <c r="Y7" s="24">
        <f>IFERROR(INDEX([2]BEV!$C$10:$O$68,
      MATCH(B7,[2]BEV!$B$10:$B$68,0),
      MATCH("JULIO",[2]BEV!$C$9:$O$9,0)),
   0)-IF(B7=100873,
   IFERROR(VLOOKUP("JULIO",[2]BEV!$B$80:$C$93,2,0),
      0),
   0)</f>
        <v>0</v>
      </c>
      <c r="Z7" s="282">
        <f t="shared" ref="Z7:Z18" ca="1" si="6">IFERROR(Y7/X7,0)</f>
        <v>0</v>
      </c>
      <c r="AA7" s="21">
        <f ca="1">SUMIF('UC BMW 2026'!$B$5:$B$81,B7,'UC BMW 2026'!$T$5:$T$72)</f>
        <v>0</v>
      </c>
      <c r="AB7" s="24">
        <f>IFERROR(INDEX([2]BEV!$C$10:$O$68,
      MATCH(B7,[2]BEV!$B$10:$B$68,0),
      MATCH("AGOSTO",[2]BEV!$C$9:$O$9,0)),
   0)-IF(B7=100873,
   IFERROR(VLOOKUP("AGOSTO",[2]BEV!$B$80:$C$93,2,0),
      0),
   0)</f>
        <v>0</v>
      </c>
      <c r="AC7" s="282">
        <f t="shared" ref="AC7:AC18" ca="1" si="7">IFERROR(AB7/AA7,0)</f>
        <v>0</v>
      </c>
      <c r="AD7" s="21">
        <f ca="1">SUMIF('UC BMW 2026'!$B$5:$B$81,B7,'UC BMW 2026'!$V$5:$V$72)</f>
        <v>0</v>
      </c>
      <c r="AE7" s="24">
        <f>IFERROR(INDEX([2]BEV!$C$10:$O$68,
      MATCH(B7,[2]BEV!$B$10:$B$68,0),
      MATCH("SEPTIEMBRE",[2]BEV!$C$9:$O$9,0)),
   0)-IF(B7=100873,
   IFERROR(VLOOKUP("SEPTIEMBRE",[2]BEV!$B$80:$C$93,2,0),
      0),
   0)</f>
        <v>0</v>
      </c>
      <c r="AF7" s="282">
        <f t="shared" ref="AF7:AF18" ca="1" si="8">IFERROR(AE7/AD7,0)</f>
        <v>0</v>
      </c>
      <c r="AG7" s="21">
        <f ca="1">SUMIF('UC BMW 2026'!$B$5:$B$81,B7,'UC BMW 2026'!$X$5:$X$72)</f>
        <v>0</v>
      </c>
      <c r="AH7" s="24">
        <f>IFERROR(INDEX([2]BEV!$C$10:$O$68,
      MATCH(B7,[2]BEV!$B$10:$B$68,0),
      MATCH("OCTUBRE",[2]BEV!$C$9:$O$9,0)),
   0)-IF(B7=100873,
   IFERROR(VLOOKUP("OCTUBRE",[2]BEV!$B$80:$C$93,2,0),
      0),
   0)</f>
        <v>0</v>
      </c>
      <c r="AI7" s="282">
        <f t="shared" ref="AI7:AI18" ca="1" si="9">IFERROR(AH7/AG7,0)</f>
        <v>0</v>
      </c>
      <c r="AJ7" s="21">
        <f ca="1">SUMIF('UC BMW 2026'!$B$5:$B$81,B7,'UC BMW 2026'!$Z$5:$Z$72)</f>
        <v>0</v>
      </c>
      <c r="AK7" s="24">
        <f>IFERROR(INDEX([2]BEV!$C$10:$O$68,
      MATCH(B7,[2]BEV!$B$10:$B$68,0),
      MATCH("NOVIEMBRE",[2]BEV!$C$9:$O$9,0)),
   0)-IF(B7=100873,
   IFERROR(VLOOKUP("NOVIEMBRE",[2]BEV!$B$80:$C$93,2,0),
      0),
   0)</f>
        <v>0</v>
      </c>
      <c r="AL7" s="282">
        <f t="shared" ref="AL7:AL18" ca="1" si="10">IFERROR(AK7/AJ7,0)</f>
        <v>0</v>
      </c>
      <c r="AM7" s="21">
        <f ca="1">SUMIF('UC BMW 2026'!$B$5:$B$81,B7,'UC BMW 2026'!$AB$5:$AB$72)</f>
        <v>0</v>
      </c>
      <c r="AN7" s="24">
        <f>IFERROR(INDEX([2]BEV!$C$10:$O$68,
      MATCH(B7,[2]BEV!$B$10:$B$68,0),
      MATCH("DICIEMBRE",[2]BEV!$C$9:$O$9,0)),
   0)-IF(B7=100873,
   IFERROR(VLOOKUP("DICIEMBRE",[2]BEV!$B$80:$C$93,2,0),
      0),
   0)</f>
        <v>0</v>
      </c>
      <c r="AO7" s="282">
        <f t="shared" ref="AO7:AO18" ca="1" si="11">IFERROR(AN7/AM7,0)</f>
        <v>0</v>
      </c>
      <c r="AP7" s="21">
        <f t="shared" ref="AP7:AQ10" ca="1" si="12">IFERROR(IF($AP$4="ENERO",F7,IF($AP$4="FEBRERO",F7+I7,IF($AP$4="MARZO",F7+I7+L7,IF($AP$4="ABRIL",F7+I7+L7+O7,IF($AP$4="MAYO",F7+I7+L7+O7+R7,IF($AP$4="JUNIO",F7+I7+L7+O7+R7+U7,IF($AP$4="JULIO",F7+I7+L7+O7+R7+U7+X7,IF($AP$4="AGOSTO",F7+I7+L7+O7+R7+U7+X7+AA7,IF($AP$4="SEPTIEMBRE",F7+I7+L7+O7+R7+U7+X7+AA7+AD7,IF($AP$4="OCTUBRE",F7+I7+L7+O7+R7+U7+X7+AA7+AD7+AG7,IF($AP$4="NOVIEMBRE",F7+I7+L7+O7+R7+U7+X7+AA7+AD7+AG7+AJ7,IF($AP$4="DICIEMBRE",F7+I7+L7+O7+R7+U7+X7+AA7+AD7+AG7+AJ7+AM7,"")))))))))))),0)</f>
        <v>230</v>
      </c>
      <c r="AQ7" s="24">
        <f t="shared" si="12"/>
        <v>272</v>
      </c>
      <c r="AR7" s="129">
        <f ca="1">IFERROR(AQ7/AP7,0)</f>
        <v>1.182608695652174</v>
      </c>
      <c r="AS7" s="21">
        <f t="shared" ref="AS7:AT10" ca="1" si="13">IFERROR(SUM(AM7,AJ7,AG7,AD7,AA7,X7,U7,R7,O7,L7,I7,F7),0)</f>
        <v>230</v>
      </c>
      <c r="AT7" s="24">
        <f t="shared" si="13"/>
        <v>272</v>
      </c>
      <c r="AU7" s="129">
        <f ca="1">IFERROR(AT7/AS7,0)</f>
        <v>1.182608695652174</v>
      </c>
      <c r="AV7" s="25"/>
      <c r="AW7" s="27"/>
      <c r="AX7" s="287"/>
      <c r="AY7" s="291"/>
      <c r="AZ7" s="129"/>
      <c r="BA7" s="27"/>
      <c r="BB7" s="129"/>
      <c r="BC7" s="21">
        <f t="shared" ref="BC7:BD10" ca="1" si="14">IFERROR(IF($BC$5="S 1",F7+I7+L7+O7+R7+U7,
IF($BC$5="S 2",X7+AA7+AD7+AG7+AJ7+AM7,0)),0)</f>
        <v>230</v>
      </c>
      <c r="BD7" s="24">
        <f t="shared" si="14"/>
        <v>272</v>
      </c>
      <c r="BE7" s="130">
        <f ca="1">IFERROR(BD7/BC7,0)</f>
        <v>1.182608695652174</v>
      </c>
      <c r="BF7" s="34">
        <f t="shared" ref="BF7:BG10" ca="1" si="15">IFERROR(IF($BF$5="S 1",F7+I7+L7+O7+R7+U7,
IF($BF$5="S 2",X7+AA7+AD7+AG7+AJ7+AM7,0)),0)</f>
        <v>0</v>
      </c>
      <c r="BG7" s="24">
        <f t="shared" si="15"/>
        <v>0</v>
      </c>
      <c r="BH7" s="130">
        <f ca="1">IFERROR(BG7/BF7,0)</f>
        <v>0</v>
      </c>
      <c r="BI7" s="4">
        <v>1</v>
      </c>
      <c r="BM7" s="508"/>
      <c r="BO7" s="15">
        <f ca="1">SUM(O7,R7,U7)</f>
        <v>115</v>
      </c>
      <c r="BP7" s="15">
        <f>SUM(V7,S7,P7)</f>
        <v>128</v>
      </c>
    </row>
    <row r="8" spans="1:68" s="4" customFormat="1" ht="15" customHeight="1" x14ac:dyDescent="0.3">
      <c r="A8" s="4">
        <f>_xlfn.XLOOKUP(B8,'WHOLESALE BMW 2026'!$B$7:$B$67,'WHOLESALE BMW 2026'!$A$7:$A$67)</f>
        <v>1</v>
      </c>
      <c r="B8" s="8">
        <v>100873</v>
      </c>
      <c r="C8" s="369" t="s">
        <v>166</v>
      </c>
      <c r="D8" s="125"/>
      <c r="E8" s="309" t="s">
        <v>156</v>
      </c>
      <c r="F8" s="21">
        <f ca="1">SUMIF('UC BMW 2026'!$B$5:$B$81,B8,'UC BMW 2026'!$F$5:$F$72)</f>
        <v>41</v>
      </c>
      <c r="G8" s="24">
        <f>IFERROR(INDEX([2]BEV!$C$10:$O$68,
      MATCH(B8,[2]BEV!$B$10:$B$68,0),
      MATCH("ENERO",[2]BEV!$C$9:$O$9,0)),
   0)-IF(B8=100873,
   IFERROR(VLOOKUP("ENERO",[2]BEV!$B$80:$C$93,2,0),
      0),
   0)</f>
        <v>95</v>
      </c>
      <c r="H8" s="282">
        <f t="shared" ca="1" si="0"/>
        <v>2.3170731707317072</v>
      </c>
      <c r="I8" s="21">
        <f ca="1">SUMIF('UC BMW 2026'!$B$5:$B$81,B8,'UC BMW 2026'!$H$5:$H$72)</f>
        <v>42</v>
      </c>
      <c r="J8" s="24">
        <f>IFERROR(INDEX([2]BEV!$C$10:$O$68,
      MATCH(B8,[2]BEV!$B$10:$B$68,0),
      MATCH("FEBRERO",[2]BEV!$C$9:$O$9,0)),
   0)-IF(B8=100873,
   IFERROR(VLOOKUP("FEBRERO",[2]BEV!$B$80:$C$93,2,0),
      0),
   0)</f>
        <v>111</v>
      </c>
      <c r="K8" s="282">
        <f t="shared" ca="1" si="1"/>
        <v>2.6428571428571428</v>
      </c>
      <c r="L8" s="21">
        <f ca="1">SUMIF('UC BMW 2026'!$B$5:$B$81,B8,'UC BMW 2026'!$J$5:$J$72)</f>
        <v>42</v>
      </c>
      <c r="M8" s="24">
        <f>IFERROR(INDEX([2]BEV!$C$10:$O$68,
      MATCH(B8,[2]BEV!$B$10:$B$68,0),
      MATCH("MARZO",[2]BEV!$C$9:$O$9,0)),
   0)-IF(B8=100873,
   IFERROR(VLOOKUP("MARZO",[2]BEV!$B$80:$C$93,2,0),
      0),
   0)</f>
        <v>134</v>
      </c>
      <c r="N8" s="282">
        <f t="shared" ca="1" si="2"/>
        <v>3.1904761904761907</v>
      </c>
      <c r="O8" s="21">
        <f ca="1">SUMIF('UC BMW 2026'!$B$5:$B$81,B8,'UC BMW 2026'!$L$5:$L$72)</f>
        <v>41</v>
      </c>
      <c r="P8" s="24">
        <f>IFERROR(INDEX([2]BEV!$C$10:$O$68,
      MATCH(B8,[2]BEV!$B$10:$B$68,0),
      MATCH("ABRIL",[2]BEV!$C$9:$O$9,0)),
   0)-IF(B8=100873,
   IFERROR(VLOOKUP("ABRIL",[2]BEV!$B$80:$C$93,2,0),
      0),
   0)</f>
        <v>126</v>
      </c>
      <c r="Q8" s="282">
        <f t="shared" ca="1" si="3"/>
        <v>3.0731707317073171</v>
      </c>
      <c r="R8" s="21">
        <f ca="1">SUMIF('UC BMW 2026'!$B$5:$B$81,B8,'UC BMW 2026'!$N$5:$N$72)</f>
        <v>42</v>
      </c>
      <c r="S8" s="24">
        <f>IFERROR(INDEX([2]BEV!$C$10:$O$68,
      MATCH(B8,[2]BEV!$B$10:$B$68,0),
      MATCH("MAYO",[2]BEV!$C$9:$O$9,0)),
   0)-IF(B8=100873,
   IFERROR(VLOOKUP("MAYO",[2]BEV!$B$80:$C$93,2,0),
      0),
   0)</f>
        <v>117</v>
      </c>
      <c r="T8" s="282">
        <f t="shared" ca="1" si="4"/>
        <v>2.7857142857142856</v>
      </c>
      <c r="U8" s="21">
        <f ca="1">SUMIF('UC BMW 2026'!$B$5:$B$81,B8,'UC BMW 2026'!$P$5:$P$72)</f>
        <v>42</v>
      </c>
      <c r="V8" s="24">
        <f>IFERROR(INDEX([2]BEV!$C$10:$O$68,
      MATCH(B8,[2]BEV!$B$10:$B$68,0),
      MATCH("JUNIO",[2]BEV!$C$9:$O$9,0)),
   0)-IF(B8=100873,
   IFERROR(VLOOKUP("JUNIO",[2]BEV!$B$80:$C$93,2,0),
      0),
   0)</f>
        <v>118</v>
      </c>
      <c r="W8" s="282">
        <f t="shared" ca="1" si="5"/>
        <v>2.8095238095238093</v>
      </c>
      <c r="X8" s="21">
        <f ca="1">SUMIF('UC BMW 2026'!$B$5:$B$81,B8,'UC BMW 2026'!$R$5:$R$72)</f>
        <v>0</v>
      </c>
      <c r="Y8" s="24">
        <f>IFERROR(INDEX([2]BEV!$C$10:$O$68,
      MATCH(B8,[2]BEV!$B$10:$B$68,0),
      MATCH("JULIO",[2]BEV!$C$9:$O$9,0)),
   0)-IF(B8=100873,
   IFERROR(VLOOKUP("JULIO",[2]BEV!$B$80:$C$93,2,0),
      0),
   0)</f>
        <v>0</v>
      </c>
      <c r="Z8" s="282">
        <f t="shared" ca="1" si="6"/>
        <v>0</v>
      </c>
      <c r="AA8" s="21">
        <f ca="1">SUMIF('UC BMW 2026'!$B$5:$B$81,B8,'UC BMW 2026'!$T$5:$T$72)</f>
        <v>0</v>
      </c>
      <c r="AB8" s="24">
        <f>IFERROR(INDEX([2]BEV!$C$10:$O$68,
      MATCH(B8,[2]BEV!$B$10:$B$68,0),
      MATCH("AGOSTO",[2]BEV!$C$9:$O$9,0)),
   0)-IF(B8=100873,
   IFERROR(VLOOKUP("AGOSTO",[2]BEV!$B$80:$C$93,2,0),
      0),
   0)</f>
        <v>0</v>
      </c>
      <c r="AC8" s="282">
        <f t="shared" ca="1" si="7"/>
        <v>0</v>
      </c>
      <c r="AD8" s="21">
        <f ca="1">SUMIF('UC BMW 2026'!$B$5:$B$81,B8,'UC BMW 2026'!$V$5:$V$72)</f>
        <v>0</v>
      </c>
      <c r="AE8" s="24">
        <f>IFERROR(INDEX([2]BEV!$C$10:$O$68,
      MATCH(B8,[2]BEV!$B$10:$B$68,0),
      MATCH("SEPTIEMBRE",[2]BEV!$C$9:$O$9,0)),
   0)-IF(B8=100873,
   IFERROR(VLOOKUP("SEPTIEMBRE",[2]BEV!$B$80:$C$93,2,0),
      0),
   0)</f>
        <v>0</v>
      </c>
      <c r="AF8" s="282">
        <f t="shared" ca="1" si="8"/>
        <v>0</v>
      </c>
      <c r="AG8" s="21">
        <f ca="1">SUMIF('UC BMW 2026'!$B$5:$B$81,B8,'UC BMW 2026'!$X$5:$X$72)</f>
        <v>0</v>
      </c>
      <c r="AH8" s="24">
        <f>IFERROR(INDEX([2]BEV!$C$10:$O$68,
      MATCH(B8,[2]BEV!$B$10:$B$68,0),
      MATCH("OCTUBRE",[2]BEV!$C$9:$O$9,0)),
   0)-IF(B8=100873,
   IFERROR(VLOOKUP("OCTUBRE",[2]BEV!$B$80:$C$93,2,0),
      0),
   0)</f>
        <v>0</v>
      </c>
      <c r="AI8" s="282">
        <f t="shared" ca="1" si="9"/>
        <v>0</v>
      </c>
      <c r="AJ8" s="21">
        <f ca="1">SUMIF('UC BMW 2026'!$B$5:$B$81,B8,'UC BMW 2026'!$Z$5:$Z$72)</f>
        <v>0</v>
      </c>
      <c r="AK8" s="24">
        <f>IFERROR(INDEX([2]BEV!$C$10:$O$68,
      MATCH(B8,[2]BEV!$B$10:$B$68,0),
      MATCH("NOVIEMBRE",[2]BEV!$C$9:$O$9,0)),
   0)-IF(B8=100873,
   IFERROR(VLOOKUP("NOVIEMBRE",[2]BEV!$B$80:$C$93,2,0),
      0),
   0)</f>
        <v>0</v>
      </c>
      <c r="AL8" s="282">
        <f t="shared" ca="1" si="10"/>
        <v>0</v>
      </c>
      <c r="AM8" s="21">
        <f ca="1">SUMIF('UC BMW 2026'!$B$5:$B$81,B8,'UC BMW 2026'!$AB$5:$AB$72)</f>
        <v>0</v>
      </c>
      <c r="AN8" s="24">
        <f>IFERROR(INDEX([2]BEV!$C$10:$O$68,
      MATCH(B8,[2]BEV!$B$10:$B$68,0),
      MATCH("DICIEMBRE",[2]BEV!$C$9:$O$9,0)),
   0)-IF(B8=100873,
   IFERROR(VLOOKUP("DICIEMBRE",[2]BEV!$B$80:$C$93,2,0),
      0),
   0)</f>
        <v>0</v>
      </c>
      <c r="AO8" s="282">
        <f t="shared" ca="1" si="11"/>
        <v>0</v>
      </c>
      <c r="AP8" s="21">
        <f t="shared" ca="1" si="12"/>
        <v>250</v>
      </c>
      <c r="AQ8" s="24">
        <f t="shared" si="12"/>
        <v>701</v>
      </c>
      <c r="AR8" s="129">
        <f ca="1">IFERROR(AQ8/AP8,0)</f>
        <v>2.8039999999999998</v>
      </c>
      <c r="AS8" s="21">
        <f t="shared" ca="1" si="13"/>
        <v>250</v>
      </c>
      <c r="AT8" s="24">
        <f t="shared" si="13"/>
        <v>701</v>
      </c>
      <c r="AU8" s="129">
        <f ca="1">IFERROR(AT8/AS8,0)</f>
        <v>2.8039999999999998</v>
      </c>
      <c r="AV8" s="25"/>
      <c r="AW8" s="27"/>
      <c r="AX8" s="287"/>
      <c r="AY8" s="291"/>
      <c r="AZ8" s="129"/>
      <c r="BA8" s="27"/>
      <c r="BB8" s="129"/>
      <c r="BC8" s="21">
        <f t="shared" ca="1" si="14"/>
        <v>250</v>
      </c>
      <c r="BD8" s="24">
        <f t="shared" si="14"/>
        <v>701</v>
      </c>
      <c r="BE8" s="130">
        <f ca="1">IFERROR(BD8/BC8,0)</f>
        <v>2.8039999999999998</v>
      </c>
      <c r="BF8" s="34">
        <f t="shared" ca="1" si="15"/>
        <v>0</v>
      </c>
      <c r="BG8" s="24">
        <f t="shared" si="15"/>
        <v>0</v>
      </c>
      <c r="BH8" s="130">
        <f ca="1">IFERROR(BG8/BF8,0)</f>
        <v>0</v>
      </c>
      <c r="BI8" s="4">
        <v>1</v>
      </c>
      <c r="BM8" s="508"/>
      <c r="BO8" s="15">
        <f ca="1">SUM(O8,R8,U8)</f>
        <v>125</v>
      </c>
      <c r="BP8" s="15">
        <f>SUM(V8,S8,P8)</f>
        <v>361</v>
      </c>
    </row>
    <row r="9" spans="1:68" s="4" customFormat="1" ht="15" customHeight="1" x14ac:dyDescent="0.3">
      <c r="A9" s="4">
        <f>_xlfn.XLOOKUP(B9,'WHOLESALE BMW 2026'!$B$7:$B$67,'WHOLESALE BMW 2026'!$A$7:$A$67)</f>
        <v>1</v>
      </c>
      <c r="B9" s="8">
        <v>100389</v>
      </c>
      <c r="C9" s="369" t="s">
        <v>40</v>
      </c>
      <c r="D9" s="125"/>
      <c r="E9" s="309" t="s">
        <v>275</v>
      </c>
      <c r="F9" s="21">
        <f ca="1">SUMIF('UC BMW 2026'!$B$5:$B$81,B9,'UC BMW 2026'!$F$5:$F$72)</f>
        <v>22</v>
      </c>
      <c r="G9" s="24">
        <f>IFERROR(INDEX([2]BEV!$C$10:$O$68,
      MATCH(B9,[2]BEV!$B$10:$B$68,0),
      MATCH("ENERO",[2]BEV!$C$9:$O$9,0)),
   0)-IF(B9=100873,
   IFERROR(VLOOKUP("ENERO",[2]BEV!$B$80:$C$93,2,0),
      0),
   0)</f>
        <v>5</v>
      </c>
      <c r="H9" s="285">
        <f t="shared" ca="1" si="0"/>
        <v>0.22727272727272727</v>
      </c>
      <c r="I9" s="21">
        <f ca="1">SUMIF('UC BMW 2026'!$B$5:$B$81,B9,'UC BMW 2026'!$H$5:$H$72)</f>
        <v>22</v>
      </c>
      <c r="J9" s="24">
        <f>IFERROR(INDEX([2]BEV!$C$10:$O$68,
      MATCH(B9,[2]BEV!$B$10:$B$68,0),
      MATCH("FEBRERO",[2]BEV!$C$9:$O$9,0)),
   0)-IF(B9=100873,
   IFERROR(VLOOKUP("FEBRERO",[2]BEV!$B$80:$C$93,2,0),
      0),
   0)</f>
        <v>48</v>
      </c>
      <c r="K9" s="285">
        <f t="shared" ca="1" si="1"/>
        <v>2.1818181818181817</v>
      </c>
      <c r="L9" s="21">
        <f ca="1">SUMIF('UC BMW 2026'!$B$5:$B$81,B9,'UC BMW 2026'!$J$5:$J$72)</f>
        <v>22</v>
      </c>
      <c r="M9" s="24">
        <f>IFERROR(INDEX([2]BEV!$C$10:$O$68,
      MATCH(B9,[2]BEV!$B$10:$B$68,0),
      MATCH("MARZO",[2]BEV!$C$9:$O$9,0)),
   0)-IF(B9=100873,
   IFERROR(VLOOKUP("MARZO",[2]BEV!$B$80:$C$93,2,0),
      0),
   0)</f>
        <v>25</v>
      </c>
      <c r="N9" s="285">
        <f t="shared" ca="1" si="2"/>
        <v>1.1363636363636365</v>
      </c>
      <c r="O9" s="21">
        <f ca="1">SUMIF('UC BMW 2026'!$B$5:$B$81,B9,'UC BMW 2026'!$L$5:$L$72)</f>
        <v>22</v>
      </c>
      <c r="P9" s="24">
        <f>IFERROR(INDEX([2]BEV!$C$10:$O$68,
      MATCH(B9,[2]BEV!$B$10:$B$68,0),
      MATCH("ABRIL",[2]BEV!$C$9:$O$9,0)),
   0)-IF(B9=100873,
   IFERROR(VLOOKUP("ABRIL",[2]BEV!$B$80:$C$93,2,0),
      0),
   0)</f>
        <v>19</v>
      </c>
      <c r="Q9" s="285">
        <f t="shared" ca="1" si="3"/>
        <v>0.86363636363636365</v>
      </c>
      <c r="R9" s="21">
        <f ca="1">SUMIF('UC BMW 2026'!$B$5:$B$81,B9,'UC BMW 2026'!$N$5:$N$72)</f>
        <v>22</v>
      </c>
      <c r="S9" s="24">
        <f>IFERROR(INDEX([2]BEV!$C$10:$O$68,
      MATCH(B9,[2]BEV!$B$10:$B$68,0),
      MATCH("MAYO",[2]BEV!$C$9:$O$9,0)),
   0)-IF(B9=100873,
   IFERROR(VLOOKUP("MAYO",[2]BEV!$B$80:$C$93,2,0),
      0),
   0)</f>
        <v>21</v>
      </c>
      <c r="T9" s="285">
        <f t="shared" ca="1" si="4"/>
        <v>0.95454545454545459</v>
      </c>
      <c r="U9" s="21">
        <f ca="1">SUMIF('UC BMW 2026'!$B$5:$B$81,B9,'UC BMW 2026'!$P$5:$P$72)</f>
        <v>22</v>
      </c>
      <c r="V9" s="24">
        <f>IFERROR(INDEX([2]BEV!$C$10:$O$68,
      MATCH(B9,[2]BEV!$B$10:$B$68,0),
      MATCH("JUNIO",[2]BEV!$C$9:$O$9,0)),
   0)-IF(B9=100873,
   IFERROR(VLOOKUP("JUNIO",[2]BEV!$B$80:$C$93,2,0),
      0),
   0)</f>
        <v>33</v>
      </c>
      <c r="W9" s="285">
        <f t="shared" ca="1" si="5"/>
        <v>1.5</v>
      </c>
      <c r="X9" s="21">
        <f ca="1">SUMIF('UC BMW 2026'!$B$5:$B$81,B9,'UC BMW 2026'!$R$5:$R$72)</f>
        <v>0</v>
      </c>
      <c r="Y9" s="24">
        <f>IFERROR(INDEX([2]BEV!$C$10:$O$68,
      MATCH(B9,[2]BEV!$B$10:$B$68,0),
      MATCH("JULIO",[2]BEV!$C$9:$O$9,0)),
   0)-IF(B9=100873,
   IFERROR(VLOOKUP("JULIO",[2]BEV!$B$80:$C$93,2,0),
      0),
   0)</f>
        <v>0</v>
      </c>
      <c r="Z9" s="285">
        <f t="shared" ca="1" si="6"/>
        <v>0</v>
      </c>
      <c r="AA9" s="21">
        <f ca="1">SUMIF('UC BMW 2026'!$B$5:$B$81,B9,'UC BMW 2026'!$T$5:$T$72)</f>
        <v>0</v>
      </c>
      <c r="AB9" s="24">
        <f>IFERROR(INDEX([2]BEV!$C$10:$O$68,
      MATCH(B9,[2]BEV!$B$10:$B$68,0),
      MATCH("AGOSTO",[2]BEV!$C$9:$O$9,0)),
   0)-IF(B9=100873,
   IFERROR(VLOOKUP("AGOSTO",[2]BEV!$B$80:$C$93,2,0),
      0),
   0)</f>
        <v>0</v>
      </c>
      <c r="AC9" s="285">
        <f t="shared" ca="1" si="7"/>
        <v>0</v>
      </c>
      <c r="AD9" s="21">
        <f ca="1">SUMIF('UC BMW 2026'!$B$5:$B$81,B9,'UC BMW 2026'!$V$5:$V$72)</f>
        <v>0</v>
      </c>
      <c r="AE9" s="24">
        <f>IFERROR(INDEX([2]BEV!$C$10:$O$68,
      MATCH(B9,[2]BEV!$B$10:$B$68,0),
      MATCH("SEPTIEMBRE",[2]BEV!$C$9:$O$9,0)),
   0)-IF(B9=100873,
   IFERROR(VLOOKUP("SEPTIEMBRE",[2]BEV!$B$80:$C$93,2,0),
      0),
   0)</f>
        <v>0</v>
      </c>
      <c r="AF9" s="285">
        <f t="shared" ca="1" si="8"/>
        <v>0</v>
      </c>
      <c r="AG9" s="21">
        <f ca="1">SUMIF('UC BMW 2026'!$B$5:$B$81,B9,'UC BMW 2026'!$X$5:$X$72)</f>
        <v>0</v>
      </c>
      <c r="AH9" s="24">
        <f>IFERROR(INDEX([2]BEV!$C$10:$O$68,
      MATCH(B9,[2]BEV!$B$10:$B$68,0),
      MATCH("OCTUBRE",[2]BEV!$C$9:$O$9,0)),
   0)-IF(B9=100873,
   IFERROR(VLOOKUP("OCTUBRE",[2]BEV!$B$80:$C$93,2,0),
      0),
   0)</f>
        <v>0</v>
      </c>
      <c r="AI9" s="285">
        <f t="shared" ca="1" si="9"/>
        <v>0</v>
      </c>
      <c r="AJ9" s="21">
        <f ca="1">SUMIF('UC BMW 2026'!$B$5:$B$81,B9,'UC BMW 2026'!$Z$5:$Z$72)</f>
        <v>0</v>
      </c>
      <c r="AK9" s="24">
        <f>IFERROR(INDEX([2]BEV!$C$10:$O$68,
      MATCH(B9,[2]BEV!$B$10:$B$68,0),
      MATCH("NOVIEMBRE",[2]BEV!$C$9:$O$9,0)),
   0)-IF(B9=100873,
   IFERROR(VLOOKUP("NOVIEMBRE",[2]BEV!$B$80:$C$93,2,0),
      0),
   0)</f>
        <v>0</v>
      </c>
      <c r="AL9" s="285">
        <f t="shared" ca="1" si="10"/>
        <v>0</v>
      </c>
      <c r="AM9" s="21">
        <f ca="1">SUMIF('UC BMW 2026'!$B$5:$B$81,B9,'UC BMW 2026'!$AB$5:$AB$72)</f>
        <v>0</v>
      </c>
      <c r="AN9" s="24">
        <f>IFERROR(INDEX([2]BEV!$C$10:$O$68,
      MATCH(B9,[2]BEV!$B$10:$B$68,0),
      MATCH("DICIEMBRE",[2]BEV!$C$9:$O$9,0)),
   0)-IF(B9=100873,
   IFERROR(VLOOKUP("DICIEMBRE",[2]BEV!$B$80:$C$93,2,0),
      0),
   0)</f>
        <v>0</v>
      </c>
      <c r="AO9" s="285">
        <f t="shared" ca="1" si="11"/>
        <v>0</v>
      </c>
      <c r="AP9" s="21">
        <f t="shared" ca="1" si="12"/>
        <v>132</v>
      </c>
      <c r="AQ9" s="24">
        <f t="shared" si="12"/>
        <v>151</v>
      </c>
      <c r="AR9" s="126">
        <f ca="1">IFERROR(AQ9/AP9,0)</f>
        <v>1.143939393939394</v>
      </c>
      <c r="AS9" s="21">
        <f t="shared" ca="1" si="13"/>
        <v>132</v>
      </c>
      <c r="AT9" s="24">
        <f t="shared" si="13"/>
        <v>151</v>
      </c>
      <c r="AU9" s="126">
        <f ca="1">IFERROR(AT9/AS9,0)</f>
        <v>1.143939393939394</v>
      </c>
      <c r="AV9" s="21"/>
      <c r="AW9" s="24"/>
      <c r="AX9" s="282"/>
      <c r="AY9" s="291"/>
      <c r="AZ9" s="126"/>
      <c r="BA9" s="24"/>
      <c r="BB9" s="126"/>
      <c r="BC9" s="21">
        <f t="shared" ca="1" si="14"/>
        <v>132</v>
      </c>
      <c r="BD9" s="24">
        <f t="shared" si="14"/>
        <v>151</v>
      </c>
      <c r="BE9" s="127">
        <f ca="1">IFERROR(BD9/BC9,0)</f>
        <v>1.143939393939394</v>
      </c>
      <c r="BF9" s="21">
        <f t="shared" ca="1" si="15"/>
        <v>0</v>
      </c>
      <c r="BG9" s="22">
        <f t="shared" si="15"/>
        <v>0</v>
      </c>
      <c r="BH9" s="127">
        <f ca="1">IFERROR(BG9/BF9,0)</f>
        <v>0</v>
      </c>
      <c r="BI9" s="4">
        <v>1</v>
      </c>
      <c r="BM9" s="508"/>
      <c r="BO9" s="15">
        <f ca="1">SUM(O9,R9,U9)</f>
        <v>66</v>
      </c>
      <c r="BP9" s="15">
        <f>SUM(V9,S9,P9)</f>
        <v>73</v>
      </c>
    </row>
    <row r="10" spans="1:68" s="4" customFormat="1" ht="15" customHeight="1" thickBot="1" x14ac:dyDescent="0.35">
      <c r="A10" s="4">
        <f>_xlfn.XLOOKUP(B10,'WHOLESALE BMW 2026'!$B$7:$B$67,'WHOLESALE BMW 2026'!$A$7:$A$67)</f>
        <v>1</v>
      </c>
      <c r="B10" s="8">
        <v>100738</v>
      </c>
      <c r="C10" s="369" t="s">
        <v>42</v>
      </c>
      <c r="D10" s="125"/>
      <c r="E10" s="309" t="s">
        <v>89</v>
      </c>
      <c r="F10" s="21">
        <f ca="1">SUMIF('UC BMW 2026'!$B$5:$B$81,B10,'UC BMW 2026'!$F$5:$F$72)</f>
        <v>18</v>
      </c>
      <c r="G10" s="24">
        <f>IFERROR(INDEX([2]BEV!$C$10:$O$68,
      MATCH(B10,[2]BEV!$B$10:$B$68,0),
      MATCH("ENERO",[2]BEV!$C$9:$O$9,0)),
   0)-IF(B10=100873,
   IFERROR(VLOOKUP("ENERO",[2]BEV!$B$80:$C$93,2,0),
      0),
   0)</f>
        <v>18</v>
      </c>
      <c r="H10" s="282">
        <f t="shared" ca="1" si="0"/>
        <v>1</v>
      </c>
      <c r="I10" s="21">
        <f ca="1">SUMIF('UC BMW 2026'!$B$5:$B$81,B10,'UC BMW 2026'!$H$5:$H$72)</f>
        <v>19</v>
      </c>
      <c r="J10" s="24">
        <f>IFERROR(INDEX([2]BEV!$C$10:$O$68,
      MATCH(B10,[2]BEV!$B$10:$B$68,0),
      MATCH("FEBRERO",[2]BEV!$C$9:$O$9,0)),
   0)-IF(B10=100873,
   IFERROR(VLOOKUP("FEBRERO",[2]BEV!$B$80:$C$93,2,0),
      0),
   0)</f>
        <v>7</v>
      </c>
      <c r="K10" s="282">
        <f t="shared" ca="1" si="1"/>
        <v>0.36842105263157893</v>
      </c>
      <c r="L10" s="21">
        <f ca="1">SUMIF('UC BMW 2026'!$B$5:$B$81,B10,'UC BMW 2026'!$J$5:$J$72)</f>
        <v>19</v>
      </c>
      <c r="M10" s="24">
        <f>IFERROR(INDEX([2]BEV!$C$10:$O$68,
      MATCH(B10,[2]BEV!$B$10:$B$68,0),
      MATCH("MARZO",[2]BEV!$C$9:$O$9,0)),
   0)-IF(B10=100873,
   IFERROR(VLOOKUP("MARZO",[2]BEV!$B$80:$C$93,2,0),
      0),
   0)</f>
        <v>19</v>
      </c>
      <c r="N10" s="282">
        <f t="shared" ca="1" si="2"/>
        <v>1</v>
      </c>
      <c r="O10" s="21">
        <f ca="1">SUMIF('UC BMW 2026'!$B$5:$B$81,B10,'UC BMW 2026'!$L$5:$L$72)</f>
        <v>18</v>
      </c>
      <c r="P10" s="24">
        <f>IFERROR(INDEX([2]BEV!$C$10:$O$68,
      MATCH(B10,[2]BEV!$B$10:$B$68,0),
      MATCH("ABRIL",[2]BEV!$C$9:$O$9,0)),
   0)-IF(B10=100873,
   IFERROR(VLOOKUP("ABRIL",[2]BEV!$B$80:$C$93,2,0),
      0),
   0)</f>
        <v>18</v>
      </c>
      <c r="Q10" s="282">
        <f t="shared" ca="1" si="3"/>
        <v>1</v>
      </c>
      <c r="R10" s="21">
        <f ca="1">SUMIF('UC BMW 2026'!$B$5:$B$81,B10,'UC BMW 2026'!$N$5:$N$72)</f>
        <v>19</v>
      </c>
      <c r="S10" s="24">
        <f>IFERROR(INDEX([2]BEV!$C$10:$O$68,
      MATCH(B10,[2]BEV!$B$10:$B$68,0),
      MATCH("MAYO",[2]BEV!$C$9:$O$9,0)),
   0)-IF(B10=100873,
   IFERROR(VLOOKUP("MAYO",[2]BEV!$B$80:$C$93,2,0),
      0),
   0)</f>
        <v>18</v>
      </c>
      <c r="T10" s="282">
        <f t="shared" ca="1" si="4"/>
        <v>0.94736842105263153</v>
      </c>
      <c r="U10" s="21">
        <f ca="1">SUMIF('UC BMW 2026'!$B$5:$B$81,B10,'UC BMW 2026'!$P$5:$P$72)</f>
        <v>19</v>
      </c>
      <c r="V10" s="24">
        <f>IFERROR(INDEX([2]BEV!$C$10:$O$68,
      MATCH(B10,[2]BEV!$B$10:$B$68,0),
      MATCH("JUNIO",[2]BEV!$C$9:$O$9,0)),
   0)-IF(B10=100873,
   IFERROR(VLOOKUP("JUNIO",[2]BEV!$B$80:$C$93,2,0),
      0),
   0)</f>
        <v>18</v>
      </c>
      <c r="W10" s="282">
        <f t="shared" ca="1" si="5"/>
        <v>0.94736842105263153</v>
      </c>
      <c r="X10" s="21">
        <f ca="1">SUMIF('UC BMW 2026'!$B$5:$B$81,B10,'UC BMW 2026'!$R$5:$R$72)</f>
        <v>0</v>
      </c>
      <c r="Y10" s="24">
        <f>IFERROR(INDEX([2]BEV!$C$10:$O$68,
      MATCH(B10,[2]BEV!$B$10:$B$68,0),
      MATCH("JULIO",[2]BEV!$C$9:$O$9,0)),
   0)-IF(B10=100873,
   IFERROR(VLOOKUP("JULIO",[2]BEV!$B$80:$C$93,2,0),
      0),
   0)</f>
        <v>0</v>
      </c>
      <c r="Z10" s="282">
        <f t="shared" ca="1" si="6"/>
        <v>0</v>
      </c>
      <c r="AA10" s="21">
        <f ca="1">SUMIF('UC BMW 2026'!$B$5:$B$81,B10,'UC BMW 2026'!$T$5:$T$72)</f>
        <v>0</v>
      </c>
      <c r="AB10" s="24">
        <f>IFERROR(INDEX([2]BEV!$C$10:$O$68,
      MATCH(B10,[2]BEV!$B$10:$B$68,0),
      MATCH("AGOSTO",[2]BEV!$C$9:$O$9,0)),
   0)-IF(B10=100873,
   IFERROR(VLOOKUP("AGOSTO",[2]BEV!$B$80:$C$93,2,0),
      0),
   0)</f>
        <v>0</v>
      </c>
      <c r="AC10" s="282">
        <f t="shared" ca="1" si="7"/>
        <v>0</v>
      </c>
      <c r="AD10" s="21">
        <f ca="1">SUMIF('UC BMW 2026'!$B$5:$B$81,B10,'UC BMW 2026'!$V$5:$V$72)</f>
        <v>0</v>
      </c>
      <c r="AE10" s="24">
        <f>IFERROR(INDEX([2]BEV!$C$10:$O$68,
      MATCH(B10,[2]BEV!$B$10:$B$68,0),
      MATCH("SEPTIEMBRE",[2]BEV!$C$9:$O$9,0)),
   0)-IF(B10=100873,
   IFERROR(VLOOKUP("SEPTIEMBRE",[2]BEV!$B$80:$C$93,2,0),
      0),
   0)</f>
        <v>0</v>
      </c>
      <c r="AF10" s="282">
        <f t="shared" ca="1" si="8"/>
        <v>0</v>
      </c>
      <c r="AG10" s="21">
        <f ca="1">SUMIF('UC BMW 2026'!$B$5:$B$81,B10,'UC BMW 2026'!$X$5:$X$72)</f>
        <v>0</v>
      </c>
      <c r="AH10" s="24">
        <f>IFERROR(INDEX([2]BEV!$C$10:$O$68,
      MATCH(B10,[2]BEV!$B$10:$B$68,0),
      MATCH("OCTUBRE",[2]BEV!$C$9:$O$9,0)),
   0)-IF(B10=100873,
   IFERROR(VLOOKUP("OCTUBRE",[2]BEV!$B$80:$C$93,2,0),
      0),
   0)</f>
        <v>0</v>
      </c>
      <c r="AI10" s="282">
        <f t="shared" ca="1" si="9"/>
        <v>0</v>
      </c>
      <c r="AJ10" s="21">
        <f ca="1">SUMIF('UC BMW 2026'!$B$5:$B$81,B10,'UC BMW 2026'!$Z$5:$Z$72)</f>
        <v>0</v>
      </c>
      <c r="AK10" s="24">
        <f>IFERROR(INDEX([2]BEV!$C$10:$O$68,
      MATCH(B10,[2]BEV!$B$10:$B$68,0),
      MATCH("NOVIEMBRE",[2]BEV!$C$9:$O$9,0)),
   0)-IF(B10=100873,
   IFERROR(VLOOKUP("NOVIEMBRE",[2]BEV!$B$80:$C$93,2,0),
      0),
   0)</f>
        <v>0</v>
      </c>
      <c r="AL10" s="282">
        <f t="shared" ca="1" si="10"/>
        <v>0</v>
      </c>
      <c r="AM10" s="21">
        <f ca="1">SUMIF('UC BMW 2026'!$B$5:$B$81,B10,'UC BMW 2026'!$AB$5:$AB$72)</f>
        <v>0</v>
      </c>
      <c r="AN10" s="24">
        <f>IFERROR(INDEX([2]BEV!$C$10:$O$68,
      MATCH(B10,[2]BEV!$B$10:$B$68,0),
      MATCH("DICIEMBRE",[2]BEV!$C$9:$O$9,0)),
   0)-IF(B10=100873,
   IFERROR(VLOOKUP("DICIEMBRE",[2]BEV!$B$80:$C$93,2,0),
      0),
   0)</f>
        <v>0</v>
      </c>
      <c r="AO10" s="282">
        <f t="shared" ca="1" si="11"/>
        <v>0</v>
      </c>
      <c r="AP10" s="21">
        <f t="shared" ca="1" si="12"/>
        <v>112</v>
      </c>
      <c r="AQ10" s="24">
        <f t="shared" si="12"/>
        <v>98</v>
      </c>
      <c r="AR10" s="129">
        <f ca="1">IFERROR(AQ10/AP10,0)</f>
        <v>0.875</v>
      </c>
      <c r="AS10" s="21">
        <f t="shared" ca="1" si="13"/>
        <v>112</v>
      </c>
      <c r="AT10" s="24">
        <f t="shared" si="13"/>
        <v>98</v>
      </c>
      <c r="AU10" s="129">
        <f ca="1">IFERROR(AT10/AS10,0)</f>
        <v>0.875</v>
      </c>
      <c r="AV10" s="25"/>
      <c r="AW10" s="27"/>
      <c r="AX10" s="287"/>
      <c r="AY10" s="294"/>
      <c r="AZ10" s="129"/>
      <c r="BA10" s="27"/>
      <c r="BB10" s="129"/>
      <c r="BC10" s="21">
        <f t="shared" ca="1" si="14"/>
        <v>112</v>
      </c>
      <c r="BD10" s="24">
        <f t="shared" si="14"/>
        <v>98</v>
      </c>
      <c r="BE10" s="130">
        <f ca="1">IFERROR(BD10/BC10,0)</f>
        <v>0.875</v>
      </c>
      <c r="BF10" s="21">
        <f t="shared" ca="1" si="15"/>
        <v>0</v>
      </c>
      <c r="BG10" s="24">
        <f t="shared" si="15"/>
        <v>0</v>
      </c>
      <c r="BH10" s="130">
        <f ca="1">IFERROR(BG10/BF10,0)</f>
        <v>0</v>
      </c>
      <c r="BI10" s="4">
        <v>1</v>
      </c>
      <c r="BM10" s="508"/>
      <c r="BO10" s="15">
        <f ca="1">SUM(O10,R10,U10)</f>
        <v>56</v>
      </c>
      <c r="BP10" s="15">
        <f>SUM(V10,S10,P10)</f>
        <v>54</v>
      </c>
    </row>
    <row r="11" spans="1:68" s="4" customFormat="1" ht="15" customHeight="1" thickBot="1" x14ac:dyDescent="0.3">
      <c r="A11" s="4">
        <f>_xlfn.XLOOKUP(B11,'WHOLESALE BMW 2026'!$B$7:$B$67,'WHOLESALE BMW 2026'!$A$7:$A$67)</f>
        <v>0</v>
      </c>
      <c r="B11" s="7" t="s">
        <v>264</v>
      </c>
      <c r="C11" s="28"/>
      <c r="D11" s="125"/>
      <c r="E11" s="7"/>
      <c r="F11" s="277">
        <f ca="1">SUM(F7:F10)</f>
        <v>119</v>
      </c>
      <c r="G11" s="410">
        <f>SUM(G7:G10)</f>
        <v>161</v>
      </c>
      <c r="H11" s="132">
        <f t="shared" ca="1" si="0"/>
        <v>1.3529411764705883</v>
      </c>
      <c r="I11" s="277">
        <f ca="1">SUM(I7:I10)</f>
        <v>121</v>
      </c>
      <c r="J11" s="410">
        <f>SUM(J7:J10)</f>
        <v>217</v>
      </c>
      <c r="K11" s="132">
        <f t="shared" ca="1" si="1"/>
        <v>1.7933884297520661</v>
      </c>
      <c r="L11" s="277">
        <f ca="1">SUM(L7:L10)</f>
        <v>122</v>
      </c>
      <c r="M11" s="410">
        <f>SUM(M7:M10)</f>
        <v>228</v>
      </c>
      <c r="N11" s="132">
        <f t="shared" ca="1" si="2"/>
        <v>1.8688524590163935</v>
      </c>
      <c r="O11" s="277">
        <f ca="1">SUM(O7:O10)</f>
        <v>119</v>
      </c>
      <c r="P11" s="410">
        <f>SUM(P7:P10)</f>
        <v>205</v>
      </c>
      <c r="Q11" s="132">
        <f t="shared" ca="1" si="3"/>
        <v>1.7226890756302522</v>
      </c>
      <c r="R11" s="277">
        <f ca="1">SUM(R7:R10)</f>
        <v>121</v>
      </c>
      <c r="S11" s="410">
        <f>SUM(S7:S10)</f>
        <v>192</v>
      </c>
      <c r="T11" s="132">
        <f t="shared" ca="1" si="4"/>
        <v>1.5867768595041323</v>
      </c>
      <c r="U11" s="277">
        <f ca="1">SUM(U7:U10)</f>
        <v>122</v>
      </c>
      <c r="V11" s="410">
        <f>SUM(V7:V10)</f>
        <v>219</v>
      </c>
      <c r="W11" s="132">
        <f t="shared" ca="1" si="5"/>
        <v>1.7950819672131149</v>
      </c>
      <c r="X11" s="277">
        <f ca="1">SUM(X7:X10)</f>
        <v>0</v>
      </c>
      <c r="Y11" s="410">
        <f>SUM(Y7:Y10)</f>
        <v>0</v>
      </c>
      <c r="Z11" s="132">
        <f t="shared" ca="1" si="6"/>
        <v>0</v>
      </c>
      <c r="AA11" s="277">
        <f ca="1">SUM(AA7:AA10)</f>
        <v>0</v>
      </c>
      <c r="AB11" s="410">
        <f>SUM(AB7:AB10)</f>
        <v>0</v>
      </c>
      <c r="AC11" s="132">
        <f t="shared" ca="1" si="7"/>
        <v>0</v>
      </c>
      <c r="AD11" s="277">
        <f ca="1">SUM(AD7:AD10)</f>
        <v>0</v>
      </c>
      <c r="AE11" s="410">
        <f>SUM(AE7:AE10)</f>
        <v>0</v>
      </c>
      <c r="AF11" s="132">
        <f t="shared" ca="1" si="8"/>
        <v>0</v>
      </c>
      <c r="AG11" s="277">
        <f ca="1">SUM(AG7:AG10)</f>
        <v>0</v>
      </c>
      <c r="AH11" s="410">
        <f>SUM(AH7:AH10)</f>
        <v>0</v>
      </c>
      <c r="AI11" s="132">
        <f t="shared" ca="1" si="9"/>
        <v>0</v>
      </c>
      <c r="AJ11" s="277">
        <f ca="1">SUM(AJ7:AJ10)</f>
        <v>0</v>
      </c>
      <c r="AK11" s="410">
        <f>SUM(AK7:AK10)</f>
        <v>0</v>
      </c>
      <c r="AL11" s="132">
        <f t="shared" ca="1" si="10"/>
        <v>0</v>
      </c>
      <c r="AM11" s="277">
        <f ca="1">SUM(AM7:AM10)</f>
        <v>0</v>
      </c>
      <c r="AN11" s="410">
        <f>SUM(AN7:AN10)</f>
        <v>0</v>
      </c>
      <c r="AO11" s="132">
        <f t="shared" ca="1" si="11"/>
        <v>0</v>
      </c>
      <c r="AP11" s="277">
        <f ca="1">IFERROR(IF($AP$4="ENERO",F11,IF($AP$4="FEBRERO",F11+I11,IF($AP$4="MARZO",F11+I11+L11,IF($AP$4="ABRIL",F11+I11+L11+O11,IF($AP$4="MAYO",F11+I11+L11+O11+R11,IF($AP$4="JUNIO",F11+I11+L11+O11+R11+U11,IF($AP$4="JULIO",F11+I11+L11+O11+R11+U11+X11,IF($AP$4="AGOSTO",F11+I11+L11+O11+R11+U11+X11+AA11,IF($AP$4="SEPTIEMBRE",F11+I11+L11+O11+R11+U11+X11+AA11+AD11,IF($AP$4="OCTUBRE",F11+I11+L11+O11+R11+U11+X11+AA11+AD11+AG11,IF($AP$4="NOVIEMBRE",F11+I11+L11+O11+R11+U11+X11+AA11+AD11+AG11+AJ11,IF($AP$4="DICIEMBRE",F11+I11+L11+O11+R11+U11+X11+AA11+AD11+AG11+AJ11+AM11,"")))))))))))),0)</f>
        <v>724</v>
      </c>
      <c r="AQ11" s="410">
        <f>IFERROR(IF($AP$4="ENERO",G11,IF($AP$4="FEBRERO",G11+J11,IF($AP$4="MARZO",G11+J11+M11,IF($AP$4="ABRIL",G11+J11+M11+P11,IF($AP$4="MAYO",G11+J11+M11+P11+S11,IF($AP$4="JUNIO",G11+J11+M11+P11+S11+V11,IF($AP$4="JULIO",G11+J11+M11+P11+S11+V11+Y11,IF($AP$4="AGOSTO",G11+J11+M11+P11+S11+V11+Y11+AB11,IF($AP$4="SEPTIEMBRE",G11+J11+M11+P11+S11+V11+Y11+AB11+AE11,IF($AP$4="OCTUBRE",G11+J11+M11+P11+S11+V11+Y11+AB11+AE11+AH11,IF($AP$4="NOVIEMBRE",G11+J11+M11+P11+S11+V11+Y11+AB11+AE11+AH11+AK11,IF($AP$4="DICIEMBRE",G11+J11+M11+P11+S11+V11+Y11+AB11+AE11+AH11+AK11+AN11,"")))))))))))),0)</f>
        <v>1222</v>
      </c>
      <c r="AR11" s="131">
        <f ca="1">IFERROR(AQ11/AP11,0)</f>
        <v>1.6878453038674033</v>
      </c>
      <c r="AS11" s="277">
        <f ca="1">IFERROR(SUM(AM11,AJ11,AG11,AD11,AA11,X11,U11,R11,O11,L11,I11,F11),0)</f>
        <v>724</v>
      </c>
      <c r="AT11" s="410">
        <f>IFERROR(SUM(AN11,AK11,AH11,AE11,AB11,Y11,V11,S11,P11,M11,J11,G11),0)</f>
        <v>1222</v>
      </c>
      <c r="AU11" s="131">
        <f ca="1">IFERROR(AT11/AS11,0)</f>
        <v>1.6878453038674033</v>
      </c>
      <c r="AV11" s="200"/>
      <c r="AW11" s="258"/>
      <c r="AX11" s="132"/>
      <c r="AY11" s="278"/>
      <c r="AZ11" s="132"/>
      <c r="BA11" s="258"/>
      <c r="BB11" s="131"/>
      <c r="BC11" s="277">
        <f ca="1">IFERROR(IF($BC$5="S 1",F11+I11+L11+O11+R11+U11,
IF($BC$5="S 2",X11+AA11+AD11+AG11+AJ11+AM11,0)),0)</f>
        <v>724</v>
      </c>
      <c r="BD11" s="410">
        <f>IFERROR(IF($BC$5="S 1",G11+J11+M11+P11+S11+V11,
IF($BC$5="S 2",Y11+AB11+AE11+AH11+AK11+AN11,0)),0)</f>
        <v>1222</v>
      </c>
      <c r="BE11" s="275">
        <f ca="1">IFERROR(BD11/BC11,0)</f>
        <v>1.6878453038674033</v>
      </c>
      <c r="BF11" s="277">
        <f ca="1">IFERROR(SUM(BF7:BF10),0)</f>
        <v>0</v>
      </c>
      <c r="BG11" s="277">
        <f>IFERROR(SUM(BG7:BG10),0)</f>
        <v>0</v>
      </c>
      <c r="BH11" s="275">
        <f ca="1">IFERROR(BG11/BF11,0)</f>
        <v>0</v>
      </c>
      <c r="BI11" s="4">
        <v>0</v>
      </c>
      <c r="BM11" s="508"/>
      <c r="BO11" s="15"/>
      <c r="BP11" s="15"/>
    </row>
    <row r="12" spans="1:68" s="4" customFormat="1" ht="15" customHeight="1" x14ac:dyDescent="0.3">
      <c r="A12" s="4">
        <f>_xlfn.XLOOKUP(B12,'WHOLESALE BMW 2026'!$B$7:$B$67,'WHOLESALE BMW 2026'!$A$7:$A$67)</f>
        <v>2</v>
      </c>
      <c r="B12" s="8">
        <v>100213</v>
      </c>
      <c r="C12" s="369" t="s">
        <v>15</v>
      </c>
      <c r="D12" s="125"/>
      <c r="E12" s="309" t="s">
        <v>276</v>
      </c>
      <c r="F12" s="21">
        <f ca="1">SUMIF('UC BMW 2026'!$B$5:$B$81,B12,'UC BMW 2026'!$F$5:$F$72)</f>
        <v>46</v>
      </c>
      <c r="G12" s="24">
        <f>IFERROR(INDEX([2]BEV!$C$10:$O$68,
      MATCH(B12,[2]BEV!$B$10:$B$68,0),
      MATCH("ENERO",[2]BEV!$C$9:$O$9,0)),
   0)-IF(B12=100873,
   IFERROR(VLOOKUP("ENERO",[2]BEV!$B$80:$C$93,2,0),
      0),
   0)</f>
        <v>48</v>
      </c>
      <c r="H12" s="282">
        <f t="shared" ca="1" si="0"/>
        <v>1.0434782608695652</v>
      </c>
      <c r="I12" s="21">
        <f ca="1">SUMIF('UC BMW 2026'!$B$5:$B$81,B12,'UC BMW 2026'!$H$5:$H$72)</f>
        <v>47</v>
      </c>
      <c r="J12" s="24">
        <f>IFERROR(INDEX([2]BEV!$C$10:$O$68,
      MATCH(B12,[2]BEV!$B$10:$B$68,0),
      MATCH("FEBRERO",[2]BEV!$C$9:$O$9,0)),
   0)-IF(B12=100873,
   IFERROR(VLOOKUP("FEBRERO",[2]BEV!$B$80:$C$93,2,0),
      0),
   0)</f>
        <v>61</v>
      </c>
      <c r="K12" s="282">
        <f t="shared" ca="1" si="1"/>
        <v>1.2978723404255319</v>
      </c>
      <c r="L12" s="21">
        <f ca="1">SUMIF('UC BMW 2026'!$B$5:$B$81,B12,'UC BMW 2026'!$J$5:$J$72)</f>
        <v>47</v>
      </c>
      <c r="M12" s="24">
        <f>IFERROR(INDEX([2]BEV!$C$10:$O$68,
      MATCH(B12,[2]BEV!$B$10:$B$68,0),
      MATCH("MARZO",[2]BEV!$C$9:$O$9,0)),
   0)-IF(B12=100873,
   IFERROR(VLOOKUP("MARZO",[2]BEV!$B$80:$C$93,2,0),
      0),
   0)</f>
        <v>75</v>
      </c>
      <c r="N12" s="282">
        <f t="shared" ca="1" si="2"/>
        <v>1.5957446808510638</v>
      </c>
      <c r="O12" s="21">
        <f ca="1">SUMIF('UC BMW 2026'!$B$5:$B$81,B12,'UC BMW 2026'!$L$5:$L$72)</f>
        <v>46</v>
      </c>
      <c r="P12" s="24">
        <f>IFERROR(INDEX([2]BEV!$C$10:$O$68,
      MATCH(B12,[2]BEV!$B$10:$B$68,0),
      MATCH("ABRIL",[2]BEV!$C$9:$O$9,0)),
   0)-IF(B12=100873,
   IFERROR(VLOOKUP("ABRIL",[2]BEV!$B$80:$C$93,2,0),
      0),
   0)</f>
        <v>68</v>
      </c>
      <c r="Q12" s="282">
        <f t="shared" ca="1" si="3"/>
        <v>1.4782608695652173</v>
      </c>
      <c r="R12" s="21">
        <f ca="1">SUMIF('UC BMW 2026'!$B$5:$B$81,B12,'UC BMW 2026'!$N$5:$N$72)</f>
        <v>47</v>
      </c>
      <c r="S12" s="24">
        <f>IFERROR(INDEX([2]BEV!$C$10:$O$68,
      MATCH(B12,[2]BEV!$B$10:$B$68,0),
      MATCH("MAYO",[2]BEV!$C$9:$O$9,0)),
   0)-IF(B12=100873,
   IFERROR(VLOOKUP("MAYO",[2]BEV!$B$80:$C$93,2,0),
      0),
   0)</f>
        <v>62</v>
      </c>
      <c r="T12" s="282">
        <f t="shared" ca="1" si="4"/>
        <v>1.3191489361702127</v>
      </c>
      <c r="U12" s="21">
        <f ca="1">SUMIF('UC BMW 2026'!$B$5:$B$81,B12,'UC BMW 2026'!$P$5:$P$72)</f>
        <v>47</v>
      </c>
      <c r="V12" s="24">
        <f>IFERROR(INDEX([2]BEV!$C$10:$O$68,
      MATCH(B12,[2]BEV!$B$10:$B$68,0),
      MATCH("JUNIO",[2]BEV!$C$9:$O$9,0)),
   0)-IF(B12=100873,
   IFERROR(VLOOKUP("JUNIO",[2]BEV!$B$80:$C$93,2,0),
      0),
   0)</f>
        <v>70</v>
      </c>
      <c r="W12" s="282">
        <f t="shared" ca="1" si="5"/>
        <v>1.4893617021276595</v>
      </c>
      <c r="X12" s="21">
        <f ca="1">SUMIF('UC BMW 2026'!$B$5:$B$81,B12,'UC BMW 2026'!$R$5:$R$72)</f>
        <v>0</v>
      </c>
      <c r="Y12" s="24">
        <f>IFERROR(INDEX([2]BEV!$C$10:$O$68,
      MATCH(B12,[2]BEV!$B$10:$B$68,0),
      MATCH("JULIO",[2]BEV!$C$9:$O$9,0)),
   0)-IF(B12=100873,
   IFERROR(VLOOKUP("JULIO",[2]BEV!$B$80:$C$93,2,0),
      0),
   0)</f>
        <v>0</v>
      </c>
      <c r="Z12" s="282">
        <f t="shared" ca="1" si="6"/>
        <v>0</v>
      </c>
      <c r="AA12" s="21">
        <f ca="1">SUMIF('UC BMW 2026'!$B$5:$B$81,B12,'UC BMW 2026'!$T$5:$T$72)</f>
        <v>0</v>
      </c>
      <c r="AB12" s="24">
        <f>IFERROR(INDEX([2]BEV!$C$10:$O$68,
      MATCH(B12,[2]BEV!$B$10:$B$68,0),
      MATCH("AGOSTO",[2]BEV!$C$9:$O$9,0)),
   0)-IF(B12=100873,
   IFERROR(VLOOKUP("AGOSTO",[2]BEV!$B$80:$C$93,2,0),
      0),
   0)</f>
        <v>0</v>
      </c>
      <c r="AC12" s="282">
        <f t="shared" ca="1" si="7"/>
        <v>0</v>
      </c>
      <c r="AD12" s="21">
        <f ca="1">SUMIF('UC BMW 2026'!$B$5:$B$81,B12,'UC BMW 2026'!$V$5:$V$72)</f>
        <v>0</v>
      </c>
      <c r="AE12" s="24">
        <f>IFERROR(INDEX([2]BEV!$C$10:$O$68,
      MATCH(B12,[2]BEV!$B$10:$B$68,0),
      MATCH("SEPTIEMBRE",[2]BEV!$C$9:$O$9,0)),
   0)-IF(B12=100873,
   IFERROR(VLOOKUP("SEPTIEMBRE",[2]BEV!$B$80:$C$93,2,0),
      0),
   0)</f>
        <v>0</v>
      </c>
      <c r="AF12" s="282">
        <f t="shared" ca="1" si="8"/>
        <v>0</v>
      </c>
      <c r="AG12" s="21">
        <f ca="1">SUMIF('UC BMW 2026'!$B$5:$B$81,B12,'UC BMW 2026'!$X$5:$X$72)</f>
        <v>0</v>
      </c>
      <c r="AH12" s="24">
        <f>IFERROR(INDEX([2]BEV!$C$10:$O$68,
      MATCH(B12,[2]BEV!$B$10:$B$68,0),
      MATCH("OCTUBRE",[2]BEV!$C$9:$O$9,0)),
   0)-IF(B12=100873,
   IFERROR(VLOOKUP("OCTUBRE",[2]BEV!$B$80:$C$93,2,0),
      0),
   0)</f>
        <v>0</v>
      </c>
      <c r="AI12" s="282">
        <f t="shared" ca="1" si="9"/>
        <v>0</v>
      </c>
      <c r="AJ12" s="21">
        <f ca="1">SUMIF('UC BMW 2026'!$B$5:$B$81,B12,'UC BMW 2026'!$Z$5:$Z$72)</f>
        <v>0</v>
      </c>
      <c r="AK12" s="24">
        <f>IFERROR(INDEX([2]BEV!$C$10:$O$68,
      MATCH(B12,[2]BEV!$B$10:$B$68,0),
      MATCH("NOVIEMBRE",[2]BEV!$C$9:$O$9,0)),
   0)-IF(B12=100873,
   IFERROR(VLOOKUP("NOVIEMBRE",[2]BEV!$B$80:$C$93,2,0),
      0),
   0)</f>
        <v>0</v>
      </c>
      <c r="AL12" s="282">
        <f t="shared" ca="1" si="10"/>
        <v>0</v>
      </c>
      <c r="AM12" s="21">
        <f ca="1">SUMIF('UC BMW 2026'!$B$5:$B$81,B12,'UC BMW 2026'!$AB$5:$AB$72)</f>
        <v>0</v>
      </c>
      <c r="AN12" s="24">
        <f>IFERROR(INDEX([2]BEV!$C$10:$O$68,
      MATCH(B12,[2]BEV!$B$10:$B$68,0),
      MATCH("DICIEMBRE",[2]BEV!$C$9:$O$9,0)),
   0)-IF(B12=100873,
   IFERROR(VLOOKUP("DICIEMBRE",[2]BEV!$B$80:$C$93,2,0),
      0),
   0)</f>
        <v>0</v>
      </c>
      <c r="AO12" s="282">
        <f t="shared" ca="1" si="11"/>
        <v>0</v>
      </c>
      <c r="AP12" s="21">
        <f t="shared" ref="AP12:AQ18" ca="1" si="16">IFERROR(IF($AP$4="ENERO",F12,IF($AP$4="FEBRERO",F12+I12,IF($AP$4="MARZO",F12+I12+L12,IF($AP$4="ABRIL",F12+I12+L12+O12,IF($AP$4="MAYO",F12+I12+L12+O12+R12,IF($AP$4="JUNIO",F12+I12+L12+O12+R12+U12,IF($AP$4="JULIO",F12+I12+L12+O12+R12+U12+X12,IF($AP$4="AGOSTO",F12+I12+L12+O12+R12+U12+X12+AA12,IF($AP$4="SEPTIEMBRE",F12+I12+L12+O12+R12+U12+X12+AA12+AD12,IF($AP$4="OCTUBRE",F12+I12+L12+O12+R12+U12+X12+AA12+AD12+AG12,IF($AP$4="NOVIEMBRE",F12+I12+L12+O12+R12+U12+X12+AA12+AD12+AG12+AJ12,IF($AP$4="DICIEMBRE",F12+I12+L12+O12+R12+U12+X12+AA12+AD12+AG12+AJ12+AM12,"")))))))))))),0)</f>
        <v>280</v>
      </c>
      <c r="AQ12" s="24">
        <f t="shared" si="16"/>
        <v>384</v>
      </c>
      <c r="AR12" s="129">
        <f t="shared" ref="AR12:AR18" ca="1" si="17">IFERROR(AQ12/AP12,0)</f>
        <v>1.3714285714285714</v>
      </c>
      <c r="AS12" s="21">
        <f t="shared" ref="AS12:AT18" ca="1" si="18">IFERROR(SUM(AM12,AJ12,AG12,AD12,AA12,X12,U12,R12,O12,L12,I12,F12),0)</f>
        <v>280</v>
      </c>
      <c r="AT12" s="24">
        <f t="shared" si="18"/>
        <v>384</v>
      </c>
      <c r="AU12" s="129">
        <f t="shared" ref="AU12:AU18" ca="1" si="19">IFERROR(AT12/AS12,0)</f>
        <v>1.3714285714285714</v>
      </c>
      <c r="AV12" s="25"/>
      <c r="AW12" s="27"/>
      <c r="AX12" s="287"/>
      <c r="AY12" s="291"/>
      <c r="AZ12" s="129"/>
      <c r="BA12" s="27"/>
      <c r="BB12" s="129"/>
      <c r="BC12" s="21">
        <f t="shared" ref="BC12:BD18" ca="1" si="20">IFERROR(IF($BC$5="S 1",F12+I12+L12+O12+R12+U12,
IF($BC$5="S 2",X12+AA12+AD12+AG12+AJ12+AM12,0)),0)</f>
        <v>280</v>
      </c>
      <c r="BD12" s="24">
        <f t="shared" si="20"/>
        <v>384</v>
      </c>
      <c r="BE12" s="130">
        <f t="shared" ref="BE12:BE18" ca="1" si="21">IFERROR(BD12/BC12,0)</f>
        <v>1.3714285714285714</v>
      </c>
      <c r="BF12" s="34">
        <f t="shared" ref="BF12:BG16" ca="1" si="22">IFERROR(IF($BF$5="S 1",F12+I12+L12+O12+R12+U12,
IF($BF$5="S 2",X12+AA12+AD12+AG12+AJ12+AM12,0)),0)</f>
        <v>0</v>
      </c>
      <c r="BG12" s="24">
        <f t="shared" si="22"/>
        <v>0</v>
      </c>
      <c r="BH12" s="130">
        <f t="shared" ref="BH12:BH18" ca="1" si="23">IFERROR(BG12/BF12,0)</f>
        <v>0</v>
      </c>
      <c r="BI12" s="4">
        <v>1</v>
      </c>
      <c r="BK12" s="4" cm="1">
        <f t="array" aca="1" ref="BK12:BK59" ca="1">_xlfn._xlws.SORT(_xlfn._xlws.FILTER(AP12:AP67, BI12:BI67=1),1, -1)</f>
        <v>402</v>
      </c>
      <c r="BL12" s="4" cm="1">
        <f t="array" ref="BL12:BL59">_xlfn._xlws.SORT(_xlfn._xlws.FILTER(AQ12:AQ67, BI12:BI67=1),1, -1)</f>
        <v>1203</v>
      </c>
      <c r="BM12" s="508" cm="1">
        <f t="array" aca="1" ref="BM12:BM59" ca="1">_xlfn._xlws.SORT(_xlfn._xlws.FILTER(AR12:AR67, BI12:BI67=1),1, -1)</f>
        <v>10.936363636363636</v>
      </c>
      <c r="BO12" s="15">
        <f ca="1">SUM(O12,R12,U12)</f>
        <v>140</v>
      </c>
      <c r="BP12" s="15">
        <f>SUM(V12,S12,P12)</f>
        <v>200</v>
      </c>
    </row>
    <row r="13" spans="1:68" s="4" customFormat="1" ht="15" customHeight="1" x14ac:dyDescent="0.3">
      <c r="A13" s="4">
        <f>_xlfn.XLOOKUP(B13,'WHOLESALE BMW 2026'!$B$7:$B$67,'WHOLESALE BMW 2026'!$A$7:$A$67)</f>
        <v>2</v>
      </c>
      <c r="B13" s="8">
        <v>100319</v>
      </c>
      <c r="C13" s="369" t="s">
        <v>16</v>
      </c>
      <c r="D13" s="125"/>
      <c r="E13" s="309" t="s">
        <v>276</v>
      </c>
      <c r="F13" s="21">
        <f ca="1">SUMIF('UC BMW 2026'!$B$5:$B$81,B13,'UC BMW 2026'!$F$5:$F$72)</f>
        <v>47</v>
      </c>
      <c r="G13" s="24">
        <f>IFERROR(INDEX([2]BEV!$C$10:$O$68,
      MATCH(B13,[2]BEV!$B$10:$B$68,0),
      MATCH("ENERO",[2]BEV!$C$9:$O$9,0)),
   0)-IF(B13=100873,
   IFERROR(VLOOKUP("ENERO",[2]BEV!$B$80:$C$93,2,0),
      0),
   0)</f>
        <v>73</v>
      </c>
      <c r="H13" s="282">
        <f t="shared" ca="1" si="0"/>
        <v>1.553191489361702</v>
      </c>
      <c r="I13" s="21">
        <f ca="1">SUMIF('UC BMW 2026'!$B$5:$B$81,B13,'UC BMW 2026'!$H$5:$H$72)</f>
        <v>49</v>
      </c>
      <c r="J13" s="24">
        <f>IFERROR(INDEX([2]BEV!$C$10:$O$68,
      MATCH(B13,[2]BEV!$B$10:$B$68,0),
      MATCH("FEBRERO",[2]BEV!$C$9:$O$9,0)),
   0)-IF(B13=100873,
   IFERROR(VLOOKUP("FEBRERO",[2]BEV!$B$80:$C$93,2,0),
      0),
   0)</f>
        <v>83</v>
      </c>
      <c r="K13" s="282">
        <f t="shared" ca="1" si="1"/>
        <v>1.6938775510204083</v>
      </c>
      <c r="L13" s="21">
        <f ca="1">SUMIF('UC BMW 2026'!$B$5:$B$81,B13,'UC BMW 2026'!$J$5:$J$72)</f>
        <v>49</v>
      </c>
      <c r="M13" s="24">
        <f>IFERROR(INDEX([2]BEV!$C$10:$O$68,
      MATCH(B13,[2]BEV!$B$10:$B$68,0),
      MATCH("MARZO",[2]BEV!$C$9:$O$9,0)),
   0)-IF(B13=100873,
   IFERROR(VLOOKUP("MARZO",[2]BEV!$B$80:$C$93,2,0),
      0),
   0)</f>
        <v>91</v>
      </c>
      <c r="N13" s="282">
        <f t="shared" ca="1" si="2"/>
        <v>1.8571428571428572</v>
      </c>
      <c r="O13" s="21">
        <f ca="1">SUMIF('UC BMW 2026'!$B$5:$B$81,B13,'UC BMW 2026'!$L$5:$L$72)</f>
        <v>47</v>
      </c>
      <c r="P13" s="24">
        <f>IFERROR(INDEX([2]BEV!$C$10:$O$68,
      MATCH(B13,[2]BEV!$B$10:$B$68,0),
      MATCH("ABRIL",[2]BEV!$C$9:$O$9,0)),
   0)-IF(B13=100873,
   IFERROR(VLOOKUP("ABRIL",[2]BEV!$B$80:$C$93,2,0),
      0),
   0)</f>
        <v>92</v>
      </c>
      <c r="Q13" s="282">
        <f t="shared" ca="1" si="3"/>
        <v>1.9574468085106382</v>
      </c>
      <c r="R13" s="21">
        <f ca="1">SUMIF('UC BMW 2026'!$B$5:$B$81,B13,'UC BMW 2026'!$N$5:$N$72)</f>
        <v>49</v>
      </c>
      <c r="S13" s="24">
        <f>IFERROR(INDEX([2]BEV!$C$10:$O$68,
      MATCH(B13,[2]BEV!$B$10:$B$68,0),
      MATCH("MAYO",[2]BEV!$C$9:$O$9,0)),
   0)-IF(B13=100873,
   IFERROR(VLOOKUP("MAYO",[2]BEV!$B$80:$C$93,2,0),
      0),
   0)</f>
        <v>67</v>
      </c>
      <c r="T13" s="282">
        <f t="shared" ca="1" si="4"/>
        <v>1.3673469387755102</v>
      </c>
      <c r="U13" s="21">
        <f ca="1">SUMIF('UC BMW 2026'!$B$5:$B$81,B13,'UC BMW 2026'!$P$5:$P$72)</f>
        <v>49</v>
      </c>
      <c r="V13" s="24">
        <f>IFERROR(INDEX([2]BEV!$C$10:$O$68,
      MATCH(B13,[2]BEV!$B$10:$B$68,0),
      MATCH("JUNIO",[2]BEV!$C$9:$O$9,0)),
   0)-IF(B13=100873,
   IFERROR(VLOOKUP("JUNIO",[2]BEV!$B$80:$C$93,2,0),
      0),
   0)</f>
        <v>86</v>
      </c>
      <c r="W13" s="282">
        <f t="shared" ca="1" si="5"/>
        <v>1.7551020408163265</v>
      </c>
      <c r="X13" s="21">
        <f ca="1">SUMIF('UC BMW 2026'!$B$5:$B$81,B13,'UC BMW 2026'!$R$5:$R$72)</f>
        <v>0</v>
      </c>
      <c r="Y13" s="24">
        <f>IFERROR(INDEX([2]BEV!$C$10:$O$68,
      MATCH(B13,[2]BEV!$B$10:$B$68,0),
      MATCH("JULIO",[2]BEV!$C$9:$O$9,0)),
   0)-IF(B13=100873,
   IFERROR(VLOOKUP("JULIO",[2]BEV!$B$80:$C$93,2,0),
      0),
   0)</f>
        <v>0</v>
      </c>
      <c r="Z13" s="282">
        <f t="shared" ca="1" si="6"/>
        <v>0</v>
      </c>
      <c r="AA13" s="21">
        <f ca="1">SUMIF('UC BMW 2026'!$B$5:$B$81,B13,'UC BMW 2026'!$T$5:$T$72)</f>
        <v>0</v>
      </c>
      <c r="AB13" s="24">
        <f>IFERROR(INDEX([2]BEV!$C$10:$O$68,
      MATCH(B13,[2]BEV!$B$10:$B$68,0),
      MATCH("AGOSTO",[2]BEV!$C$9:$O$9,0)),
   0)-IF(B13=100873,
   IFERROR(VLOOKUP("AGOSTO",[2]BEV!$B$80:$C$93,2,0),
      0),
   0)</f>
        <v>0</v>
      </c>
      <c r="AC13" s="282">
        <f t="shared" ca="1" si="7"/>
        <v>0</v>
      </c>
      <c r="AD13" s="21">
        <f ca="1">SUMIF('UC BMW 2026'!$B$5:$B$81,B13,'UC BMW 2026'!$V$5:$V$72)</f>
        <v>0</v>
      </c>
      <c r="AE13" s="24">
        <f>IFERROR(INDEX([2]BEV!$C$10:$O$68,
      MATCH(B13,[2]BEV!$B$10:$B$68,0),
      MATCH("SEPTIEMBRE",[2]BEV!$C$9:$O$9,0)),
   0)-IF(B13=100873,
   IFERROR(VLOOKUP("SEPTIEMBRE",[2]BEV!$B$80:$C$93,2,0),
      0),
   0)</f>
        <v>0</v>
      </c>
      <c r="AF13" s="282">
        <f t="shared" ca="1" si="8"/>
        <v>0</v>
      </c>
      <c r="AG13" s="21">
        <f ca="1">SUMIF('UC BMW 2026'!$B$5:$B$81,B13,'UC BMW 2026'!$X$5:$X$72)</f>
        <v>0</v>
      </c>
      <c r="AH13" s="24">
        <f>IFERROR(INDEX([2]BEV!$C$10:$O$68,
      MATCH(B13,[2]BEV!$B$10:$B$68,0),
      MATCH("OCTUBRE",[2]BEV!$C$9:$O$9,0)),
   0)-IF(B13=100873,
   IFERROR(VLOOKUP("OCTUBRE",[2]BEV!$B$80:$C$93,2,0),
      0),
   0)</f>
        <v>0</v>
      </c>
      <c r="AI13" s="282">
        <f t="shared" ca="1" si="9"/>
        <v>0</v>
      </c>
      <c r="AJ13" s="21">
        <f ca="1">SUMIF('UC BMW 2026'!$B$5:$B$81,B13,'UC BMW 2026'!$Z$5:$Z$72)</f>
        <v>0</v>
      </c>
      <c r="AK13" s="24">
        <f>IFERROR(INDEX([2]BEV!$C$10:$O$68,
      MATCH(B13,[2]BEV!$B$10:$B$68,0),
      MATCH("NOVIEMBRE",[2]BEV!$C$9:$O$9,0)),
   0)-IF(B13=100873,
   IFERROR(VLOOKUP("NOVIEMBRE",[2]BEV!$B$80:$C$93,2,0),
      0),
   0)</f>
        <v>0</v>
      </c>
      <c r="AL13" s="282">
        <f t="shared" ca="1" si="10"/>
        <v>0</v>
      </c>
      <c r="AM13" s="21">
        <f ca="1">SUMIF('UC BMW 2026'!$B$5:$B$81,B13,'UC BMW 2026'!$AB$5:$AB$72)</f>
        <v>0</v>
      </c>
      <c r="AN13" s="24">
        <f>IFERROR(INDEX([2]BEV!$C$10:$O$68,
      MATCH(B13,[2]BEV!$B$10:$B$68,0),
      MATCH("DICIEMBRE",[2]BEV!$C$9:$O$9,0)),
   0)-IF(B13=100873,
   IFERROR(VLOOKUP("DICIEMBRE",[2]BEV!$B$80:$C$93,2,0),
      0),
   0)</f>
        <v>0</v>
      </c>
      <c r="AO13" s="282">
        <f t="shared" ca="1" si="11"/>
        <v>0</v>
      </c>
      <c r="AP13" s="21">
        <f t="shared" ca="1" si="16"/>
        <v>290</v>
      </c>
      <c r="AQ13" s="24">
        <f t="shared" si="16"/>
        <v>492</v>
      </c>
      <c r="AR13" s="129">
        <f t="shared" ca="1" si="17"/>
        <v>1.6965517241379311</v>
      </c>
      <c r="AS13" s="21">
        <f t="shared" ca="1" si="18"/>
        <v>290</v>
      </c>
      <c r="AT13" s="24">
        <f t="shared" si="18"/>
        <v>492</v>
      </c>
      <c r="AU13" s="129">
        <f t="shared" ca="1" si="19"/>
        <v>1.6965517241379311</v>
      </c>
      <c r="AV13" s="25"/>
      <c r="AW13" s="27"/>
      <c r="AX13" s="287"/>
      <c r="AY13" s="291"/>
      <c r="AZ13" s="129"/>
      <c r="BA13" s="27"/>
      <c r="BB13" s="129"/>
      <c r="BC13" s="21">
        <f t="shared" ca="1" si="20"/>
        <v>290</v>
      </c>
      <c r="BD13" s="24">
        <f t="shared" si="20"/>
        <v>492</v>
      </c>
      <c r="BE13" s="130">
        <f t="shared" ca="1" si="21"/>
        <v>1.6965517241379311</v>
      </c>
      <c r="BF13" s="34">
        <f t="shared" ca="1" si="22"/>
        <v>0</v>
      </c>
      <c r="BG13" s="24">
        <f t="shared" si="22"/>
        <v>0</v>
      </c>
      <c r="BH13" s="130">
        <f t="shared" ca="1" si="23"/>
        <v>0</v>
      </c>
      <c r="BI13" s="4">
        <v>1</v>
      </c>
      <c r="BK13" s="4">
        <f ca="1"/>
        <v>290</v>
      </c>
      <c r="BL13" s="4">
        <v>505</v>
      </c>
      <c r="BM13" s="508">
        <f ca="1"/>
        <v>2.02</v>
      </c>
      <c r="BO13" s="15">
        <f ca="1">SUM(O13,R13,U13)</f>
        <v>145</v>
      </c>
      <c r="BP13" s="15">
        <f>SUM(V13,S13,P13)</f>
        <v>245</v>
      </c>
    </row>
    <row r="14" spans="1:68" s="4" customFormat="1" ht="15" customHeight="1" x14ac:dyDescent="0.3">
      <c r="A14" s="4">
        <f>_xlfn.XLOOKUP(B14,'WHOLESALE BMW 2026'!$B$7:$B$67,'WHOLESALE BMW 2026'!$A$7:$A$67)</f>
        <v>2</v>
      </c>
      <c r="B14" s="8">
        <v>100349</v>
      </c>
      <c r="C14" s="369" t="s">
        <v>10</v>
      </c>
      <c r="D14" s="125"/>
      <c r="E14" s="309" t="s">
        <v>276</v>
      </c>
      <c r="F14" s="21">
        <f ca="1">SUMIF('UC BMW 2026'!$B$5:$B$81,B14,'UC BMW 2026'!$F$5:$F$72)</f>
        <v>41</v>
      </c>
      <c r="G14" s="24">
        <f>IFERROR(INDEX([2]BEV!$C$10:$O$68,
      MATCH(B14,[2]BEV!$B$10:$B$68,0),
      MATCH("ENERO",[2]BEV!$C$9:$O$9,0)),
   0)-IF(B14=100873,
   IFERROR(VLOOKUP("ENERO",[2]BEV!$B$80:$C$93,2,0),
      0),
   0)</f>
        <v>55</v>
      </c>
      <c r="H14" s="285">
        <f t="shared" ca="1" si="0"/>
        <v>1.3414634146341464</v>
      </c>
      <c r="I14" s="21">
        <f ca="1">SUMIF('UC BMW 2026'!$B$5:$B$81,B14,'UC BMW 2026'!$H$5:$H$72)</f>
        <v>41</v>
      </c>
      <c r="J14" s="24">
        <f>IFERROR(INDEX([2]BEV!$C$10:$O$68,
      MATCH(B14,[2]BEV!$B$10:$B$68,0),
      MATCH("FEBRERO",[2]BEV!$C$9:$O$9,0)),
   0)-IF(B14=100873,
   IFERROR(VLOOKUP("FEBRERO",[2]BEV!$B$80:$C$93,2,0),
      0),
   0)</f>
        <v>83</v>
      </c>
      <c r="K14" s="285">
        <f t="shared" ca="1" si="1"/>
        <v>2.024390243902439</v>
      </c>
      <c r="L14" s="21">
        <f ca="1">SUMIF('UC BMW 2026'!$B$5:$B$81,B14,'UC BMW 2026'!$J$5:$J$72)</f>
        <v>43</v>
      </c>
      <c r="M14" s="24">
        <f>IFERROR(INDEX([2]BEV!$C$10:$O$68,
      MATCH(B14,[2]BEV!$B$10:$B$68,0),
      MATCH("MARZO",[2]BEV!$C$9:$O$9,0)),
   0)-IF(B14=100873,
   IFERROR(VLOOKUP("MARZO",[2]BEV!$B$80:$C$93,2,0),
      0),
   0)</f>
        <v>94</v>
      </c>
      <c r="N14" s="285">
        <f t="shared" ca="1" si="2"/>
        <v>2.1860465116279069</v>
      </c>
      <c r="O14" s="21">
        <f ca="1">SUMIF('UC BMW 2026'!$B$5:$B$81,B14,'UC BMW 2026'!$L$5:$L$72)</f>
        <v>41</v>
      </c>
      <c r="P14" s="24">
        <f>IFERROR(INDEX([2]BEV!$C$10:$O$68,
      MATCH(B14,[2]BEV!$B$10:$B$68,0),
      MATCH("ABRIL",[2]BEV!$C$9:$O$9,0)),
   0)-IF(B14=100873,
   IFERROR(VLOOKUP("ABRIL",[2]BEV!$B$80:$C$93,2,0),
      0),
   0)</f>
        <v>91</v>
      </c>
      <c r="Q14" s="285">
        <f t="shared" ca="1" si="3"/>
        <v>2.2195121951219514</v>
      </c>
      <c r="R14" s="21">
        <f ca="1">SUMIF('UC BMW 2026'!$B$5:$B$81,B14,'UC BMW 2026'!$N$5:$N$72)</f>
        <v>41</v>
      </c>
      <c r="S14" s="24">
        <f>IFERROR(INDEX([2]BEV!$C$10:$O$68,
      MATCH(B14,[2]BEV!$B$10:$B$68,0),
      MATCH("MAYO",[2]BEV!$C$9:$O$9,0)),
   0)-IF(B14=100873,
   IFERROR(VLOOKUP("MAYO",[2]BEV!$B$80:$C$93,2,0),
      0),
   0)</f>
        <v>85</v>
      </c>
      <c r="T14" s="285">
        <f t="shared" ca="1" si="4"/>
        <v>2.0731707317073171</v>
      </c>
      <c r="U14" s="21">
        <f ca="1">SUMIF('UC BMW 2026'!$B$5:$B$81,B14,'UC BMW 2026'!$P$5:$P$72)</f>
        <v>43</v>
      </c>
      <c r="V14" s="24">
        <f>IFERROR(INDEX([2]BEV!$C$10:$O$68,
      MATCH(B14,[2]BEV!$B$10:$B$68,0),
      MATCH("JUNIO",[2]BEV!$C$9:$O$9,0)),
   0)-IF(B14=100873,
   IFERROR(VLOOKUP("JUNIO",[2]BEV!$B$80:$C$93,2,0),
      0),
   0)</f>
        <v>97</v>
      </c>
      <c r="W14" s="285">
        <f t="shared" ca="1" si="5"/>
        <v>2.2558139534883721</v>
      </c>
      <c r="X14" s="21">
        <f ca="1">SUMIF('UC BMW 2026'!$B$5:$B$81,B14,'UC BMW 2026'!$R$5:$R$72)</f>
        <v>0</v>
      </c>
      <c r="Y14" s="24">
        <f>IFERROR(INDEX([2]BEV!$C$10:$O$68,
      MATCH(B14,[2]BEV!$B$10:$B$68,0),
      MATCH("JULIO",[2]BEV!$C$9:$O$9,0)),
   0)-IF(B14=100873,
   IFERROR(VLOOKUP("JULIO",[2]BEV!$B$80:$C$93,2,0),
      0),
   0)</f>
        <v>0</v>
      </c>
      <c r="Z14" s="285">
        <f t="shared" ca="1" si="6"/>
        <v>0</v>
      </c>
      <c r="AA14" s="21">
        <f ca="1">SUMIF('UC BMW 2026'!$B$5:$B$81,B14,'UC BMW 2026'!$T$5:$T$72)</f>
        <v>0</v>
      </c>
      <c r="AB14" s="24">
        <f>IFERROR(INDEX([2]BEV!$C$10:$O$68,
      MATCH(B14,[2]BEV!$B$10:$B$68,0),
      MATCH("AGOSTO",[2]BEV!$C$9:$O$9,0)),
   0)-IF(B14=100873,
   IFERROR(VLOOKUP("AGOSTO",[2]BEV!$B$80:$C$93,2,0),
      0),
   0)</f>
        <v>0</v>
      </c>
      <c r="AC14" s="285">
        <f t="shared" ca="1" si="7"/>
        <v>0</v>
      </c>
      <c r="AD14" s="21">
        <f ca="1">SUMIF('UC BMW 2026'!$B$5:$B$81,B14,'UC BMW 2026'!$V$5:$V$72)</f>
        <v>0</v>
      </c>
      <c r="AE14" s="24">
        <f>IFERROR(INDEX([2]BEV!$C$10:$O$68,
      MATCH(B14,[2]BEV!$B$10:$B$68,0),
      MATCH("SEPTIEMBRE",[2]BEV!$C$9:$O$9,0)),
   0)-IF(B14=100873,
   IFERROR(VLOOKUP("SEPTIEMBRE",[2]BEV!$B$80:$C$93,2,0),
      0),
   0)</f>
        <v>0</v>
      </c>
      <c r="AF14" s="285">
        <f t="shared" ca="1" si="8"/>
        <v>0</v>
      </c>
      <c r="AG14" s="21">
        <f ca="1">SUMIF('UC BMW 2026'!$B$5:$B$81,B14,'UC BMW 2026'!$X$5:$X$72)</f>
        <v>0</v>
      </c>
      <c r="AH14" s="24">
        <f>IFERROR(INDEX([2]BEV!$C$10:$O$68,
      MATCH(B14,[2]BEV!$B$10:$B$68,0),
      MATCH("OCTUBRE",[2]BEV!$C$9:$O$9,0)),
   0)-IF(B14=100873,
   IFERROR(VLOOKUP("OCTUBRE",[2]BEV!$B$80:$C$93,2,0),
      0),
   0)</f>
        <v>0</v>
      </c>
      <c r="AI14" s="285">
        <f t="shared" ca="1" si="9"/>
        <v>0</v>
      </c>
      <c r="AJ14" s="21">
        <f ca="1">SUMIF('UC BMW 2026'!$B$5:$B$81,B14,'UC BMW 2026'!$Z$5:$Z$72)</f>
        <v>0</v>
      </c>
      <c r="AK14" s="24">
        <f>IFERROR(INDEX([2]BEV!$C$10:$O$68,
      MATCH(B14,[2]BEV!$B$10:$B$68,0),
      MATCH("NOVIEMBRE",[2]BEV!$C$9:$O$9,0)),
   0)-IF(B14=100873,
   IFERROR(VLOOKUP("NOVIEMBRE",[2]BEV!$B$80:$C$93,2,0),
      0),
   0)</f>
        <v>0</v>
      </c>
      <c r="AL14" s="285">
        <f t="shared" ca="1" si="10"/>
        <v>0</v>
      </c>
      <c r="AM14" s="21">
        <f ca="1">SUMIF('UC BMW 2026'!$B$5:$B$81,B14,'UC BMW 2026'!$AB$5:$AB$72)</f>
        <v>0</v>
      </c>
      <c r="AN14" s="24">
        <f>IFERROR(INDEX([2]BEV!$C$10:$O$68,
      MATCH(B14,[2]BEV!$B$10:$B$68,0),
      MATCH("DICIEMBRE",[2]BEV!$C$9:$O$9,0)),
   0)-IF(B14=100873,
   IFERROR(VLOOKUP("DICIEMBRE",[2]BEV!$B$80:$C$93,2,0),
      0),
   0)</f>
        <v>0</v>
      </c>
      <c r="AO14" s="285">
        <f t="shared" ca="1" si="11"/>
        <v>0</v>
      </c>
      <c r="AP14" s="21">
        <f t="shared" ca="1" si="16"/>
        <v>250</v>
      </c>
      <c r="AQ14" s="24">
        <f t="shared" si="16"/>
        <v>505</v>
      </c>
      <c r="AR14" s="126">
        <f t="shared" ca="1" si="17"/>
        <v>2.02</v>
      </c>
      <c r="AS14" s="21">
        <f t="shared" ca="1" si="18"/>
        <v>250</v>
      </c>
      <c r="AT14" s="24">
        <f t="shared" si="18"/>
        <v>505</v>
      </c>
      <c r="AU14" s="126">
        <f t="shared" ca="1" si="19"/>
        <v>2.02</v>
      </c>
      <c r="AV14" s="21"/>
      <c r="AW14" s="24"/>
      <c r="AX14" s="282"/>
      <c r="AY14" s="291"/>
      <c r="AZ14" s="126"/>
      <c r="BA14" s="24"/>
      <c r="BB14" s="126"/>
      <c r="BC14" s="21">
        <f t="shared" ca="1" si="20"/>
        <v>250</v>
      </c>
      <c r="BD14" s="24">
        <f t="shared" si="20"/>
        <v>505</v>
      </c>
      <c r="BE14" s="127">
        <f t="shared" ca="1" si="21"/>
        <v>2.02</v>
      </c>
      <c r="BF14" s="21">
        <f t="shared" ca="1" si="22"/>
        <v>0</v>
      </c>
      <c r="BG14" s="22">
        <f t="shared" si="22"/>
        <v>0</v>
      </c>
      <c r="BH14" s="127">
        <f t="shared" ca="1" si="23"/>
        <v>0</v>
      </c>
      <c r="BI14" s="4">
        <v>1</v>
      </c>
      <c r="BK14" s="4">
        <f ca="1"/>
        <v>280</v>
      </c>
      <c r="BL14" s="4">
        <v>492</v>
      </c>
      <c r="BM14" s="508">
        <f ca="1"/>
        <v>1.6965517241379311</v>
      </c>
      <c r="BO14" s="15">
        <f ca="1">SUM(O14,R14,U14)</f>
        <v>125</v>
      </c>
      <c r="BP14" s="15">
        <f>SUM(V14,S14,P14)</f>
        <v>273</v>
      </c>
    </row>
    <row r="15" spans="1:68" s="4" customFormat="1" ht="15" customHeight="1" x14ac:dyDescent="0.3">
      <c r="A15" s="4">
        <f>_xlfn.XLOOKUP(B15,'WHOLESALE BMW 2026'!$B$7:$B$67,'WHOLESALE BMW 2026'!$A$7:$A$67)</f>
        <v>2</v>
      </c>
      <c r="B15" s="8">
        <v>100917</v>
      </c>
      <c r="C15" s="369" t="s">
        <v>263</v>
      </c>
      <c r="D15" s="125"/>
      <c r="E15" s="309" t="s">
        <v>276</v>
      </c>
      <c r="F15" s="21">
        <f ca="1">SUMIF('UC BMW 2026'!$B$5:$B$81,B15,'UC BMW 2026'!$F$5:$F$72)</f>
        <v>1</v>
      </c>
      <c r="G15" s="24">
        <f>IFERROR(INDEX([2]BEV!$C$10:$O$68,
      MATCH(B15,[2]BEV!$B$10:$B$68,0),
      MATCH("ENERO",[2]BEV!$C$9:$O$9,0)),
   0)-IF(B15=100873,
   IFERROR(VLOOKUP("ENERO",[2]BEV!$B$80:$C$93,2,0),
      0),
   0)</f>
        <v>0</v>
      </c>
      <c r="H15" s="282">
        <f t="shared" ca="1" si="0"/>
        <v>0</v>
      </c>
      <c r="I15" s="21">
        <f ca="1">SUMIF('UC BMW 2026'!$B$5:$B$81,B15,'UC BMW 2026'!$H$5:$H$72)</f>
        <v>1</v>
      </c>
      <c r="J15" s="24">
        <f>IFERROR(INDEX([2]BEV!$C$10:$O$68,
      MATCH(B15,[2]BEV!$B$10:$B$68,0),
      MATCH("FEBRERO",[2]BEV!$C$9:$O$9,0)),
   0)-IF(B15=100873,
   IFERROR(VLOOKUP("FEBRERO",[2]BEV!$B$80:$C$93,2,0),
      0),
   0)</f>
        <v>0</v>
      </c>
      <c r="K15" s="282">
        <f t="shared" ca="1" si="1"/>
        <v>0</v>
      </c>
      <c r="L15" s="21">
        <f ca="1">SUMIF('UC BMW 2026'!$B$5:$B$81,B15,'UC BMW 2026'!$J$5:$J$72)</f>
        <v>18</v>
      </c>
      <c r="M15" s="24">
        <f>IFERROR(INDEX([2]BEV!$C$10:$O$68,
      MATCH(B15,[2]BEV!$B$10:$B$68,0),
      MATCH("MARZO",[2]BEV!$C$9:$O$9,0)),
   0)-IF(B15=100873,
   IFERROR(VLOOKUP("MARZO",[2]BEV!$B$80:$C$93,2,0),
      0),
   0)</f>
        <v>0</v>
      </c>
      <c r="N15" s="282">
        <f t="shared" ca="1" si="2"/>
        <v>0</v>
      </c>
      <c r="O15" s="21">
        <f ca="1">SUMIF('UC BMW 2026'!$B$5:$B$81,B15,'UC BMW 2026'!$L$5:$L$72)</f>
        <v>20</v>
      </c>
      <c r="P15" s="24">
        <f>IFERROR(INDEX([2]BEV!$C$10:$O$68,
      MATCH(B15,[2]BEV!$B$10:$B$68,0),
      MATCH("ABRIL",[2]BEV!$C$9:$O$9,0)),
   0)-IF(B15=100873,
   IFERROR(VLOOKUP("ABRIL",[2]BEV!$B$80:$C$93,2,0),
      0),
   0)</f>
        <v>10</v>
      </c>
      <c r="Q15" s="282">
        <f t="shared" ca="1" si="3"/>
        <v>0.5</v>
      </c>
      <c r="R15" s="21">
        <f ca="1">SUMIF('UC BMW 2026'!$B$5:$B$81,B15,'UC BMW 2026'!$N$5:$N$72)</f>
        <v>30</v>
      </c>
      <c r="S15" s="24">
        <f>IFERROR(INDEX([2]BEV!$C$10:$O$68,
      MATCH(B15,[2]BEV!$B$10:$B$68,0),
      MATCH("MAYO",[2]BEV!$C$9:$O$9,0)),
   0)-IF(B15=100873,
   IFERROR(VLOOKUP("MAYO",[2]BEV!$B$80:$C$93,2,0),
      0),
   0)</f>
        <v>22</v>
      </c>
      <c r="T15" s="282">
        <f t="shared" ca="1" si="4"/>
        <v>0.73333333333333328</v>
      </c>
      <c r="U15" s="21">
        <f ca="1">SUMIF('UC BMW 2026'!$B$5:$B$81,B15,'UC BMW 2026'!$P$5:$P$72)</f>
        <v>30</v>
      </c>
      <c r="V15" s="24">
        <f>IFERROR(INDEX([2]BEV!$C$10:$O$68,
      MATCH(B15,[2]BEV!$B$10:$B$68,0),
      MATCH("JUNIO",[2]BEV!$C$9:$O$9,0)),
   0)-IF(B15=100873,
   IFERROR(VLOOKUP("JUNIO",[2]BEV!$B$80:$C$93,2,0),
      0),
   0)</f>
        <v>33</v>
      </c>
      <c r="W15" s="282">
        <f t="shared" ca="1" si="5"/>
        <v>1.1000000000000001</v>
      </c>
      <c r="X15" s="21">
        <f ca="1">SUMIF('UC BMW 2026'!$B$5:$B$81,B15,'UC BMW 2026'!$R$5:$R$72)</f>
        <v>0</v>
      </c>
      <c r="Y15" s="24">
        <f>IFERROR(INDEX([2]BEV!$C$10:$O$68,
      MATCH(B15,[2]BEV!$B$10:$B$68,0),
      MATCH("JULIO",[2]BEV!$C$9:$O$9,0)),
   0)-IF(B15=100873,
   IFERROR(VLOOKUP("JULIO",[2]BEV!$B$80:$C$93,2,0),
      0),
   0)</f>
        <v>0</v>
      </c>
      <c r="Z15" s="282">
        <f t="shared" ca="1" si="6"/>
        <v>0</v>
      </c>
      <c r="AA15" s="21">
        <f ca="1">SUMIF('UC BMW 2026'!$B$5:$B$81,B15,'UC BMW 2026'!$T$5:$T$72)</f>
        <v>0</v>
      </c>
      <c r="AB15" s="24">
        <f>IFERROR(INDEX([2]BEV!$C$10:$O$68,
      MATCH(B15,[2]BEV!$B$10:$B$68,0),
      MATCH("AGOSTO",[2]BEV!$C$9:$O$9,0)),
   0)-IF(B15=100873,
   IFERROR(VLOOKUP("AGOSTO",[2]BEV!$B$80:$C$93,2,0),
      0),
   0)</f>
        <v>0</v>
      </c>
      <c r="AC15" s="282">
        <f t="shared" ca="1" si="7"/>
        <v>0</v>
      </c>
      <c r="AD15" s="21">
        <f ca="1">SUMIF('UC BMW 2026'!$B$5:$B$81,B15,'UC BMW 2026'!$V$5:$V$72)</f>
        <v>0</v>
      </c>
      <c r="AE15" s="24">
        <f>IFERROR(INDEX([2]BEV!$C$10:$O$68,
      MATCH(B15,[2]BEV!$B$10:$B$68,0),
      MATCH("SEPTIEMBRE",[2]BEV!$C$9:$O$9,0)),
   0)-IF(B15=100873,
   IFERROR(VLOOKUP("SEPTIEMBRE",[2]BEV!$B$80:$C$93,2,0),
      0),
   0)</f>
        <v>0</v>
      </c>
      <c r="AF15" s="282">
        <f t="shared" ca="1" si="8"/>
        <v>0</v>
      </c>
      <c r="AG15" s="21">
        <f ca="1">SUMIF('UC BMW 2026'!$B$5:$B$81,B15,'UC BMW 2026'!$X$5:$X$72)</f>
        <v>0</v>
      </c>
      <c r="AH15" s="24">
        <f>IFERROR(INDEX([2]BEV!$C$10:$O$68,
      MATCH(B15,[2]BEV!$B$10:$B$68,0),
      MATCH("OCTUBRE",[2]BEV!$C$9:$O$9,0)),
   0)-IF(B15=100873,
   IFERROR(VLOOKUP("OCTUBRE",[2]BEV!$B$80:$C$93,2,0),
      0),
   0)</f>
        <v>0</v>
      </c>
      <c r="AI15" s="282">
        <f t="shared" ca="1" si="9"/>
        <v>0</v>
      </c>
      <c r="AJ15" s="21">
        <f ca="1">SUMIF('UC BMW 2026'!$B$5:$B$81,B15,'UC BMW 2026'!$Z$5:$Z$72)</f>
        <v>0</v>
      </c>
      <c r="AK15" s="24">
        <f>IFERROR(INDEX([2]BEV!$C$10:$O$68,
      MATCH(B15,[2]BEV!$B$10:$B$68,0),
      MATCH("NOVIEMBRE",[2]BEV!$C$9:$O$9,0)),
   0)-IF(B15=100873,
   IFERROR(VLOOKUP("NOVIEMBRE",[2]BEV!$B$80:$C$93,2,0),
      0),
   0)</f>
        <v>0</v>
      </c>
      <c r="AL15" s="282">
        <f t="shared" ca="1" si="10"/>
        <v>0</v>
      </c>
      <c r="AM15" s="21">
        <f ca="1">SUMIF('UC BMW 2026'!$B$5:$B$81,B15,'UC BMW 2026'!$AB$5:$AB$72)</f>
        <v>0</v>
      </c>
      <c r="AN15" s="24">
        <f>IFERROR(INDEX([2]BEV!$C$10:$O$68,
      MATCH(B15,[2]BEV!$B$10:$B$68,0),
      MATCH("DICIEMBRE",[2]BEV!$C$9:$O$9,0)),
   0)-IF(B15=100873,
   IFERROR(VLOOKUP("DICIEMBRE",[2]BEV!$B$80:$C$93,2,0),
      0),
   0)</f>
        <v>0</v>
      </c>
      <c r="AO15" s="282">
        <f t="shared" ca="1" si="11"/>
        <v>0</v>
      </c>
      <c r="AP15" s="21">
        <f t="shared" ca="1" si="16"/>
        <v>100</v>
      </c>
      <c r="AQ15" s="24">
        <f t="shared" si="16"/>
        <v>65</v>
      </c>
      <c r="AR15" s="129">
        <f t="shared" ca="1" si="17"/>
        <v>0.65</v>
      </c>
      <c r="AS15" s="21">
        <f t="shared" ca="1" si="18"/>
        <v>100</v>
      </c>
      <c r="AT15" s="24">
        <f t="shared" si="18"/>
        <v>65</v>
      </c>
      <c r="AU15" s="129">
        <f t="shared" ca="1" si="19"/>
        <v>0.65</v>
      </c>
      <c r="AV15" s="25"/>
      <c r="AW15" s="27"/>
      <c r="AX15" s="287"/>
      <c r="AY15" s="294"/>
      <c r="AZ15" s="129"/>
      <c r="BA15" s="27"/>
      <c r="BB15" s="129"/>
      <c r="BC15" s="21">
        <f t="shared" ca="1" si="20"/>
        <v>100</v>
      </c>
      <c r="BD15" s="24">
        <f t="shared" si="20"/>
        <v>65</v>
      </c>
      <c r="BE15" s="130">
        <f t="shared" ca="1" si="21"/>
        <v>0.65</v>
      </c>
      <c r="BF15" s="21">
        <f t="shared" ca="1" si="22"/>
        <v>0</v>
      </c>
      <c r="BG15" s="24">
        <f t="shared" si="22"/>
        <v>0</v>
      </c>
      <c r="BH15" s="130">
        <f t="shared" ca="1" si="23"/>
        <v>0</v>
      </c>
      <c r="BI15" s="4">
        <v>1</v>
      </c>
      <c r="BK15" s="4">
        <f ca="1"/>
        <v>250</v>
      </c>
      <c r="BL15" s="4">
        <v>384</v>
      </c>
      <c r="BM15" s="508">
        <f ca="1"/>
        <v>1.6592592592592592</v>
      </c>
      <c r="BO15" s="15">
        <f ca="1">SUM(O15,R15,U15)</f>
        <v>80</v>
      </c>
      <c r="BP15" s="15">
        <f>SUM(V15,S15,P15)</f>
        <v>65</v>
      </c>
    </row>
    <row r="16" spans="1:68" s="4" customFormat="1" ht="15" customHeight="1" thickBot="1" x14ac:dyDescent="0.35">
      <c r="A16" s="4">
        <f>_xlfn.XLOOKUP(B16,'WHOLESALE BMW 2026'!$B$7:$B$67,'WHOLESALE BMW 2026'!$A$7:$A$67)</f>
        <v>2</v>
      </c>
      <c r="B16" s="8">
        <v>100726</v>
      </c>
      <c r="C16" s="369" t="s">
        <v>19</v>
      </c>
      <c r="D16" s="125"/>
      <c r="E16" s="309" t="s">
        <v>88</v>
      </c>
      <c r="F16" s="21">
        <f ca="1">SUMIF('UC BMW 2026'!$B$5:$B$81,B16,'UC BMW 2026'!$F$5:$F$72)</f>
        <v>11</v>
      </c>
      <c r="G16" s="24">
        <f>IFERROR(INDEX([2]BEV!$C$10:$O$68,
      MATCH(B16,[2]BEV!$B$10:$B$68,0),
      MATCH("ENERO",[2]BEV!$C$9:$O$9,0)),
   0)-IF(B16=100873,
   IFERROR(VLOOKUP("ENERO",[2]BEV!$B$80:$C$93,2,0),
      0),
   0)</f>
        <v>10</v>
      </c>
      <c r="H16" s="282">
        <f t="shared" ca="1" si="0"/>
        <v>0.90909090909090906</v>
      </c>
      <c r="I16" s="21">
        <f ca="1">SUMIF('UC BMW 2026'!$B$5:$B$81,B16,'UC BMW 2026'!$H$5:$H$72)</f>
        <v>12</v>
      </c>
      <c r="J16" s="24">
        <f>IFERROR(INDEX([2]BEV!$C$10:$O$68,
      MATCH(B16,[2]BEV!$B$10:$B$68,0),
      MATCH("FEBRERO",[2]BEV!$C$9:$O$9,0)),
   0)-IF(B16=100873,
   IFERROR(VLOOKUP("FEBRERO",[2]BEV!$B$80:$C$93,2,0),
      0),
   0)</f>
        <v>14</v>
      </c>
      <c r="K16" s="282">
        <f t="shared" ca="1" si="1"/>
        <v>1.1666666666666667</v>
      </c>
      <c r="L16" s="21">
        <f ca="1">SUMIF('UC BMW 2026'!$B$5:$B$81,B16,'UC BMW 2026'!$J$5:$J$72)</f>
        <v>12</v>
      </c>
      <c r="M16" s="24">
        <f>IFERROR(INDEX([2]BEV!$C$10:$O$68,
      MATCH(B16,[2]BEV!$B$10:$B$68,0),
      MATCH("MARZO",[2]BEV!$C$9:$O$9,0)),
   0)-IF(B16=100873,
   IFERROR(VLOOKUP("MARZO",[2]BEV!$B$80:$C$93,2,0),
      0),
   0)</f>
        <v>25</v>
      </c>
      <c r="N16" s="282">
        <f t="shared" ca="1" si="2"/>
        <v>2.0833333333333335</v>
      </c>
      <c r="O16" s="21">
        <f ca="1">SUMIF('UC BMW 2026'!$B$5:$B$81,B16,'UC BMW 2026'!$L$5:$L$72)</f>
        <v>11</v>
      </c>
      <c r="P16" s="24">
        <f>IFERROR(INDEX([2]BEV!$C$10:$O$68,
      MATCH(B16,[2]BEV!$B$10:$B$68,0),
      MATCH("ABRIL",[2]BEV!$C$9:$O$9,0)),
   0)-IF(B16=100873,
   IFERROR(VLOOKUP("ABRIL",[2]BEV!$B$80:$C$93,2,0),
      0),
   0)</f>
        <v>16</v>
      </c>
      <c r="Q16" s="282">
        <f t="shared" ca="1" si="3"/>
        <v>1.4545454545454546</v>
      </c>
      <c r="R16" s="21">
        <f ca="1">SUMIF('UC BMW 2026'!$B$5:$B$81,B16,'UC BMW 2026'!$N$5:$N$72)</f>
        <v>12</v>
      </c>
      <c r="S16" s="24">
        <f>IFERROR(INDEX([2]BEV!$C$10:$O$68,
      MATCH(B16,[2]BEV!$B$10:$B$68,0),
      MATCH("MAYO",[2]BEV!$C$9:$O$9,0)),
   0)-IF(B16=100873,
   IFERROR(VLOOKUP("MAYO",[2]BEV!$B$80:$C$93,2,0),
      0),
   0)</f>
        <v>12</v>
      </c>
      <c r="T16" s="282">
        <f t="shared" ca="1" si="4"/>
        <v>1</v>
      </c>
      <c r="U16" s="21">
        <f ca="1">SUMIF('UC BMW 2026'!$B$5:$B$81,B16,'UC BMW 2026'!$P$5:$P$72)</f>
        <v>12</v>
      </c>
      <c r="V16" s="24">
        <f>IFERROR(INDEX([2]BEV!$C$10:$O$68,
      MATCH(B16,[2]BEV!$B$10:$B$68,0),
      MATCH("JUNIO",[2]BEV!$C$9:$O$9,0)),
   0)-IF(B16=100873,
   IFERROR(VLOOKUP("JUNIO",[2]BEV!$B$80:$C$93,2,0),
      0),
   0)</f>
        <v>33</v>
      </c>
      <c r="W16" s="282">
        <f t="shared" ca="1" si="5"/>
        <v>2.75</v>
      </c>
      <c r="X16" s="21">
        <f ca="1">SUMIF('UC BMW 2026'!$B$5:$B$81,B16,'UC BMW 2026'!$R$5:$R$72)</f>
        <v>0</v>
      </c>
      <c r="Y16" s="24">
        <f>IFERROR(INDEX([2]BEV!$C$10:$O$68,
      MATCH(B16,[2]BEV!$B$10:$B$68,0),
      MATCH("JULIO",[2]BEV!$C$9:$O$9,0)),
   0)-IF(B16=100873,
   IFERROR(VLOOKUP("JULIO",[2]BEV!$B$80:$C$93,2,0),
      0),
   0)</f>
        <v>0</v>
      </c>
      <c r="Z16" s="282">
        <f t="shared" ca="1" si="6"/>
        <v>0</v>
      </c>
      <c r="AA16" s="21">
        <f ca="1">SUMIF('UC BMW 2026'!$B$5:$B$81,B16,'UC BMW 2026'!$T$5:$T$72)</f>
        <v>0</v>
      </c>
      <c r="AB16" s="24">
        <f>IFERROR(INDEX([2]BEV!$C$10:$O$68,
      MATCH(B16,[2]BEV!$B$10:$B$68,0),
      MATCH("AGOSTO",[2]BEV!$C$9:$O$9,0)),
   0)-IF(B16=100873,
   IFERROR(VLOOKUP("AGOSTO",[2]BEV!$B$80:$C$93,2,0),
      0),
   0)</f>
        <v>0</v>
      </c>
      <c r="AC16" s="282">
        <f t="shared" ca="1" si="7"/>
        <v>0</v>
      </c>
      <c r="AD16" s="21">
        <f ca="1">SUMIF('UC BMW 2026'!$B$5:$B$81,B16,'UC BMW 2026'!$V$5:$V$72)</f>
        <v>0</v>
      </c>
      <c r="AE16" s="24">
        <f>IFERROR(INDEX([2]BEV!$C$10:$O$68,
      MATCH(B16,[2]BEV!$B$10:$B$68,0),
      MATCH("SEPTIEMBRE",[2]BEV!$C$9:$O$9,0)),
   0)-IF(B16=100873,
   IFERROR(VLOOKUP("SEPTIEMBRE",[2]BEV!$B$80:$C$93,2,0),
      0),
   0)</f>
        <v>0</v>
      </c>
      <c r="AF16" s="282">
        <f t="shared" ca="1" si="8"/>
        <v>0</v>
      </c>
      <c r="AG16" s="21">
        <f ca="1">SUMIF('UC BMW 2026'!$B$5:$B$81,B16,'UC BMW 2026'!$X$5:$X$72)</f>
        <v>0</v>
      </c>
      <c r="AH16" s="24">
        <f>IFERROR(INDEX([2]BEV!$C$10:$O$68,
      MATCH(B16,[2]BEV!$B$10:$B$68,0),
      MATCH("OCTUBRE",[2]BEV!$C$9:$O$9,0)),
   0)-IF(B16=100873,
   IFERROR(VLOOKUP("OCTUBRE",[2]BEV!$B$80:$C$93,2,0),
      0),
   0)</f>
        <v>0</v>
      </c>
      <c r="AI16" s="282">
        <f t="shared" ca="1" si="9"/>
        <v>0</v>
      </c>
      <c r="AJ16" s="21">
        <f ca="1">SUMIF('UC BMW 2026'!$B$5:$B$81,B16,'UC BMW 2026'!$Z$5:$Z$72)</f>
        <v>0</v>
      </c>
      <c r="AK16" s="24">
        <f>IFERROR(INDEX([2]BEV!$C$10:$O$68,
      MATCH(B16,[2]BEV!$B$10:$B$68,0),
      MATCH("NOVIEMBRE",[2]BEV!$C$9:$O$9,0)),
   0)-IF(B16=100873,
   IFERROR(VLOOKUP("NOVIEMBRE",[2]BEV!$B$80:$C$93,2,0),
      0),
   0)</f>
        <v>0</v>
      </c>
      <c r="AL16" s="282">
        <f t="shared" ca="1" si="10"/>
        <v>0</v>
      </c>
      <c r="AM16" s="21">
        <f ca="1">SUMIF('UC BMW 2026'!$B$5:$B$81,B16,'UC BMW 2026'!$AB$5:$AB$72)</f>
        <v>0</v>
      </c>
      <c r="AN16" s="24">
        <f>IFERROR(INDEX([2]BEV!$C$10:$O$68,
      MATCH(B16,[2]BEV!$B$10:$B$68,0),
      MATCH("DICIEMBRE",[2]BEV!$C$9:$O$9,0)),
   0)-IF(B16=100873,
   IFERROR(VLOOKUP("DICIEMBRE",[2]BEV!$B$80:$C$93,2,0),
      0),
   0)</f>
        <v>0</v>
      </c>
      <c r="AO16" s="282">
        <f t="shared" ca="1" si="11"/>
        <v>0</v>
      </c>
      <c r="AP16" s="21">
        <f t="shared" ca="1" si="16"/>
        <v>70</v>
      </c>
      <c r="AQ16" s="24">
        <f t="shared" si="16"/>
        <v>110</v>
      </c>
      <c r="AR16" s="129">
        <f t="shared" ca="1" si="17"/>
        <v>1.5714285714285714</v>
      </c>
      <c r="AS16" s="21">
        <f t="shared" ca="1" si="18"/>
        <v>70</v>
      </c>
      <c r="AT16" s="24">
        <f t="shared" si="18"/>
        <v>110</v>
      </c>
      <c r="AU16" s="129">
        <f t="shared" ca="1" si="19"/>
        <v>1.5714285714285714</v>
      </c>
      <c r="AV16" s="25"/>
      <c r="AW16" s="27"/>
      <c r="AX16" s="287"/>
      <c r="AY16" s="294"/>
      <c r="AZ16" s="129"/>
      <c r="BA16" s="27"/>
      <c r="BB16" s="129"/>
      <c r="BC16" s="21">
        <f t="shared" ca="1" si="20"/>
        <v>70</v>
      </c>
      <c r="BD16" s="24">
        <f t="shared" si="20"/>
        <v>110</v>
      </c>
      <c r="BE16" s="130">
        <f t="shared" ca="1" si="21"/>
        <v>1.5714285714285714</v>
      </c>
      <c r="BF16" s="21">
        <f t="shared" ca="1" si="22"/>
        <v>0</v>
      </c>
      <c r="BG16" s="24">
        <f t="shared" si="22"/>
        <v>0</v>
      </c>
      <c r="BH16" s="130">
        <f t="shared" ca="1" si="23"/>
        <v>0</v>
      </c>
      <c r="BI16" s="4">
        <v>1</v>
      </c>
      <c r="BK16" s="4">
        <f ca="1"/>
        <v>235</v>
      </c>
      <c r="BL16" s="4">
        <v>314</v>
      </c>
      <c r="BM16" s="508">
        <f ca="1"/>
        <v>1.6491228070175439</v>
      </c>
      <c r="BO16" s="15">
        <f ca="1">SUM(O16,R16,U16)</f>
        <v>35</v>
      </c>
      <c r="BP16" s="15">
        <f>SUM(V16,S16,P16)</f>
        <v>61</v>
      </c>
    </row>
    <row r="17" spans="1:68" s="4" customFormat="1" ht="15" customHeight="1" thickBot="1" x14ac:dyDescent="0.3">
      <c r="A17" s="4">
        <f>_xlfn.XLOOKUP(B17,'WHOLESALE BMW 2026'!$B$7:$B$67,'WHOLESALE BMW 2026'!$A$7:$A$67)</f>
        <v>0</v>
      </c>
      <c r="B17" s="7" t="s">
        <v>265</v>
      </c>
      <c r="C17" s="28"/>
      <c r="D17" s="125"/>
      <c r="E17" s="7"/>
      <c r="F17" s="277">
        <f ca="1">SUM(F12:F16)</f>
        <v>146</v>
      </c>
      <c r="G17" s="277">
        <f>SUM(G12:G16)</f>
        <v>186</v>
      </c>
      <c r="H17" s="132">
        <f t="shared" ca="1" si="0"/>
        <v>1.273972602739726</v>
      </c>
      <c r="I17" s="277">
        <f ca="1">SUM(I12:I16)</f>
        <v>150</v>
      </c>
      <c r="J17" s="277">
        <f>SUM(J12:J16)</f>
        <v>241</v>
      </c>
      <c r="K17" s="132">
        <f t="shared" ca="1" si="1"/>
        <v>1.6066666666666667</v>
      </c>
      <c r="L17" s="277">
        <f ca="1">SUM(L12:L16)</f>
        <v>169</v>
      </c>
      <c r="M17" s="277">
        <f>SUM(M12:M16)</f>
        <v>285</v>
      </c>
      <c r="N17" s="132">
        <f t="shared" ca="1" si="2"/>
        <v>1.6863905325443787</v>
      </c>
      <c r="O17" s="277">
        <f ca="1">SUM(O12:O16)</f>
        <v>165</v>
      </c>
      <c r="P17" s="277">
        <f>SUM(P12:P16)</f>
        <v>277</v>
      </c>
      <c r="Q17" s="132">
        <f t="shared" ca="1" si="3"/>
        <v>1.6787878787878787</v>
      </c>
      <c r="R17" s="277">
        <f ca="1">SUM(R12:R16)</f>
        <v>179</v>
      </c>
      <c r="S17" s="277">
        <f>SUM(S12:S16)</f>
        <v>248</v>
      </c>
      <c r="T17" s="132">
        <f t="shared" ca="1" si="4"/>
        <v>1.3854748603351956</v>
      </c>
      <c r="U17" s="277">
        <f ca="1">SUM(U12:U16)</f>
        <v>181</v>
      </c>
      <c r="V17" s="277">
        <f>SUM(V12:V16)</f>
        <v>319</v>
      </c>
      <c r="W17" s="132">
        <f t="shared" ca="1" si="5"/>
        <v>1.7624309392265194</v>
      </c>
      <c r="X17" s="277">
        <f ca="1">SUM(X12:X16)</f>
        <v>0</v>
      </c>
      <c r="Y17" s="277">
        <f>SUM(Y12:Y16)</f>
        <v>0</v>
      </c>
      <c r="Z17" s="132">
        <f t="shared" ca="1" si="6"/>
        <v>0</v>
      </c>
      <c r="AA17" s="277">
        <f ca="1">SUM(AA12:AA16)</f>
        <v>0</v>
      </c>
      <c r="AB17" s="277">
        <f>SUM(AB12:AB16)</f>
        <v>0</v>
      </c>
      <c r="AC17" s="132">
        <f t="shared" ca="1" si="7"/>
        <v>0</v>
      </c>
      <c r="AD17" s="277">
        <f ca="1">SUM(AD12:AD16)</f>
        <v>0</v>
      </c>
      <c r="AE17" s="277">
        <f>SUM(AE12:AE16)</f>
        <v>0</v>
      </c>
      <c r="AF17" s="132">
        <f t="shared" ca="1" si="8"/>
        <v>0</v>
      </c>
      <c r="AG17" s="277">
        <f ca="1">SUM(AG12:AG16)</f>
        <v>0</v>
      </c>
      <c r="AH17" s="277">
        <f>SUM(AH12:AH16)</f>
        <v>0</v>
      </c>
      <c r="AI17" s="132">
        <f t="shared" ca="1" si="9"/>
        <v>0</v>
      </c>
      <c r="AJ17" s="277">
        <f ca="1">SUM(AJ12:AJ16)</f>
        <v>0</v>
      </c>
      <c r="AK17" s="277">
        <f>SUM(AK12:AK16)</f>
        <v>0</v>
      </c>
      <c r="AL17" s="132">
        <f t="shared" ca="1" si="10"/>
        <v>0</v>
      </c>
      <c r="AM17" s="277">
        <f ca="1">SUM(AM12:AM16)</f>
        <v>0</v>
      </c>
      <c r="AN17" s="277">
        <f>SUM(AN12:AN16)</f>
        <v>0</v>
      </c>
      <c r="AO17" s="132">
        <f t="shared" ca="1" si="11"/>
        <v>0</v>
      </c>
      <c r="AP17" s="277">
        <f t="shared" ca="1" si="16"/>
        <v>990</v>
      </c>
      <c r="AQ17" s="410">
        <f t="shared" si="16"/>
        <v>1556</v>
      </c>
      <c r="AR17" s="131">
        <f t="shared" ca="1" si="17"/>
        <v>1.5717171717171716</v>
      </c>
      <c r="AS17" s="277">
        <f t="shared" ca="1" si="18"/>
        <v>990</v>
      </c>
      <c r="AT17" s="410">
        <f t="shared" si="18"/>
        <v>1556</v>
      </c>
      <c r="AU17" s="131">
        <f t="shared" ca="1" si="19"/>
        <v>1.5717171717171716</v>
      </c>
      <c r="AV17" s="200"/>
      <c r="AW17" s="258"/>
      <c r="AX17" s="132"/>
      <c r="AY17" s="278"/>
      <c r="AZ17" s="132"/>
      <c r="BA17" s="258"/>
      <c r="BB17" s="131"/>
      <c r="BC17" s="277">
        <f ca="1">IFERROR(IF($BC$5="S 1",F17+I17+L17+O17+R17+U17,
IF($BC$5="S 2",X17+AA17+AD17+AG17+AJ17+AM17,0)),0)</f>
        <v>990</v>
      </c>
      <c r="BD17" s="410">
        <f t="shared" si="20"/>
        <v>1556</v>
      </c>
      <c r="BE17" s="275">
        <f t="shared" ca="1" si="21"/>
        <v>1.5717171717171716</v>
      </c>
      <c r="BF17" s="277">
        <f ca="1">IFERROR(SUM(BF12:BF16),0)</f>
        <v>0</v>
      </c>
      <c r="BG17" s="277">
        <f>IFERROR(SUM(BG12:BG16),0)</f>
        <v>0</v>
      </c>
      <c r="BH17" s="275">
        <f t="shared" ca="1" si="23"/>
        <v>0</v>
      </c>
      <c r="BI17" s="4">
        <v>0</v>
      </c>
      <c r="BK17" s="4">
        <f ca="1"/>
        <v>234</v>
      </c>
      <c r="BL17" s="4">
        <v>309</v>
      </c>
      <c r="BM17" s="508">
        <f ca="1"/>
        <v>1.5806451612903225</v>
      </c>
      <c r="BO17" s="15"/>
      <c r="BP17" s="15"/>
    </row>
    <row r="18" spans="1:68" s="4" customFormat="1" ht="15" customHeight="1" x14ac:dyDescent="0.3">
      <c r="A18" s="4">
        <f>_xlfn.XLOOKUP(B18,'WHOLESALE BMW 2026'!$B$7:$B$67,'WHOLESALE BMW 2026'!$A$7:$A$67)</f>
        <v>3</v>
      </c>
      <c r="B18" s="8">
        <v>100307</v>
      </c>
      <c r="C18" s="369" t="s">
        <v>39</v>
      </c>
      <c r="D18" s="125"/>
      <c r="E18" s="309" t="s">
        <v>83</v>
      </c>
      <c r="F18" s="21">
        <f ca="1">SUMIF('UC BMW 2026'!$B$5:$B$81,B18,'UC BMW 2026'!$F$5:$F$72)</f>
        <v>7</v>
      </c>
      <c r="G18" s="24">
        <f>IFERROR(INDEX([2]BEV!$C$10:$O$68,
      MATCH(B18,[2]BEV!$B$10:$B$68,0),
      MATCH("ENERO",[2]BEV!$C$9:$O$9,0)),
   0)-IF(B18=100873,
   IFERROR(VLOOKUP("ENERO",[2]BEV!$B$80:$C$93,2,0),
      0),
   0)</f>
        <v>2</v>
      </c>
      <c r="H18" s="282">
        <f t="shared" ca="1" si="0"/>
        <v>0.2857142857142857</v>
      </c>
      <c r="I18" s="21">
        <f ca="1">SUMIF('UC BMW 2026'!$B$5:$B$81,B18,'UC BMW 2026'!$H$5:$H$72)</f>
        <v>7</v>
      </c>
      <c r="J18" s="24">
        <f>IFERROR(INDEX([2]BEV!$C$10:$O$68,
      MATCH(B18,[2]BEV!$B$10:$B$68,0),
      MATCH("FEBRERO",[2]BEV!$C$9:$O$9,0)),
   0)-IF(B18=100873,
   IFERROR(VLOOKUP("FEBRERO",[2]BEV!$B$80:$C$93,2,0),
      0),
   0)</f>
        <v>5</v>
      </c>
      <c r="K18" s="282">
        <f t="shared" ca="1" si="1"/>
        <v>0.7142857142857143</v>
      </c>
      <c r="L18" s="21">
        <f ca="1">SUMIF('UC BMW 2026'!$B$5:$B$81,B18,'UC BMW 2026'!$J$5:$J$72)</f>
        <v>7</v>
      </c>
      <c r="M18" s="24">
        <f>IFERROR(INDEX([2]BEV!$C$10:$O$68,
      MATCH(B18,[2]BEV!$B$10:$B$68,0),
      MATCH("MARZO",[2]BEV!$C$9:$O$9,0)),
   0)-IF(B18=100873,
   IFERROR(VLOOKUP("MARZO",[2]BEV!$B$80:$C$93,2,0),
      0),
   0)</f>
        <v>8</v>
      </c>
      <c r="N18" s="282">
        <f t="shared" ca="1" si="2"/>
        <v>1.1428571428571428</v>
      </c>
      <c r="O18" s="21">
        <f ca="1">SUMIF('UC BMW 2026'!$B$5:$B$81,B18,'UC BMW 2026'!$L$5:$L$72)</f>
        <v>8</v>
      </c>
      <c r="P18" s="24">
        <f>IFERROR(INDEX([2]BEV!$C$10:$O$68,
      MATCH(B18,[2]BEV!$B$10:$B$68,0),
      MATCH("ABRIL",[2]BEV!$C$9:$O$9,0)),
   0)-IF(B18=100873,
   IFERROR(VLOOKUP("ABRIL",[2]BEV!$B$80:$C$93,2,0),
      0),
   0)</f>
        <v>6</v>
      </c>
      <c r="Q18" s="282">
        <f t="shared" ca="1" si="3"/>
        <v>0.75</v>
      </c>
      <c r="R18" s="21">
        <f ca="1">SUMIF('UC BMW 2026'!$B$5:$B$81,B18,'UC BMW 2026'!$N$5:$N$72)</f>
        <v>8</v>
      </c>
      <c r="S18" s="24">
        <f>IFERROR(INDEX([2]BEV!$C$10:$O$68,
      MATCH(B18,[2]BEV!$B$10:$B$68,0),
      MATCH("MAYO",[2]BEV!$C$9:$O$9,0)),
   0)-IF(B18=100873,
   IFERROR(VLOOKUP("MAYO",[2]BEV!$B$80:$C$93,2,0),
      0),
   0)</f>
        <v>4</v>
      </c>
      <c r="T18" s="282">
        <f t="shared" ca="1" si="4"/>
        <v>0.5</v>
      </c>
      <c r="U18" s="21">
        <f ca="1">SUMIF('UC BMW 2026'!$B$5:$B$81,B18,'UC BMW 2026'!$P$5:$P$72)</f>
        <v>8</v>
      </c>
      <c r="V18" s="24">
        <f>IFERROR(INDEX([2]BEV!$C$10:$O$68,
      MATCH(B18,[2]BEV!$B$10:$B$68,0),
      MATCH("JUNIO",[2]BEV!$C$9:$O$9,0)),
   0)-IF(B18=100873,
   IFERROR(VLOOKUP("JUNIO",[2]BEV!$B$80:$C$93,2,0),
      0),
   0)</f>
        <v>20</v>
      </c>
      <c r="W18" s="282">
        <f t="shared" ca="1" si="5"/>
        <v>2.5</v>
      </c>
      <c r="X18" s="21">
        <f ca="1">SUMIF('UC BMW 2026'!$B$5:$B$81,B18,'UC BMW 2026'!$R$5:$R$72)</f>
        <v>0</v>
      </c>
      <c r="Y18" s="24">
        <f>IFERROR(INDEX([2]BEV!$C$10:$O$68,
      MATCH(B18,[2]BEV!$B$10:$B$68,0),
      MATCH("JULIO",[2]BEV!$C$9:$O$9,0)),
   0)-IF(B18=100873,
   IFERROR(VLOOKUP("JULIO",[2]BEV!$B$80:$C$93,2,0),
      0),
   0)</f>
        <v>0</v>
      </c>
      <c r="Z18" s="282">
        <f t="shared" ca="1" si="6"/>
        <v>0</v>
      </c>
      <c r="AA18" s="21">
        <f ca="1">SUMIF('UC BMW 2026'!$B$5:$B$81,B18,'UC BMW 2026'!$T$5:$T$72)</f>
        <v>0</v>
      </c>
      <c r="AB18" s="24">
        <f>IFERROR(INDEX([2]BEV!$C$10:$O$68,
      MATCH(B18,[2]BEV!$B$10:$B$68,0),
      MATCH("AGOSTO",[2]BEV!$C$9:$O$9,0)),
   0)-IF(B18=100873,
   IFERROR(VLOOKUP("AGOSTO",[2]BEV!$B$80:$C$93,2,0),
      0),
   0)</f>
        <v>0</v>
      </c>
      <c r="AC18" s="282">
        <f t="shared" ca="1" si="7"/>
        <v>0</v>
      </c>
      <c r="AD18" s="21">
        <f ca="1">SUMIF('UC BMW 2026'!$B$5:$B$81,B18,'UC BMW 2026'!$V$5:$V$72)</f>
        <v>0</v>
      </c>
      <c r="AE18" s="24">
        <f>IFERROR(INDEX([2]BEV!$C$10:$O$68,
      MATCH(B18,[2]BEV!$B$10:$B$68,0),
      MATCH("SEPTIEMBRE",[2]BEV!$C$9:$O$9,0)),
   0)-IF(B18=100873,
   IFERROR(VLOOKUP("SEPTIEMBRE",[2]BEV!$B$80:$C$93,2,0),
      0),
   0)</f>
        <v>0</v>
      </c>
      <c r="AF18" s="282">
        <f t="shared" ca="1" si="8"/>
        <v>0</v>
      </c>
      <c r="AG18" s="21">
        <f ca="1">SUMIF('UC BMW 2026'!$B$5:$B$81,B18,'UC BMW 2026'!$X$5:$X$72)</f>
        <v>0</v>
      </c>
      <c r="AH18" s="24">
        <f>IFERROR(INDEX([2]BEV!$C$10:$O$68,
      MATCH(B18,[2]BEV!$B$10:$B$68,0),
      MATCH("OCTUBRE",[2]BEV!$C$9:$O$9,0)),
   0)-IF(B18=100873,
   IFERROR(VLOOKUP("OCTUBRE",[2]BEV!$B$80:$C$93,2,0),
      0),
   0)</f>
        <v>0</v>
      </c>
      <c r="AI18" s="282">
        <f t="shared" ca="1" si="9"/>
        <v>0</v>
      </c>
      <c r="AJ18" s="21">
        <f ca="1">SUMIF('UC BMW 2026'!$B$5:$B$81,B18,'UC BMW 2026'!$Z$5:$Z$72)</f>
        <v>0</v>
      </c>
      <c r="AK18" s="24">
        <f>IFERROR(INDEX([2]BEV!$C$10:$O$68,
      MATCH(B18,[2]BEV!$B$10:$B$68,0),
      MATCH("NOVIEMBRE",[2]BEV!$C$9:$O$9,0)),
   0)-IF(B18=100873,
   IFERROR(VLOOKUP("NOVIEMBRE",[2]BEV!$B$80:$C$93,2,0),
      0),
   0)</f>
        <v>0</v>
      </c>
      <c r="AL18" s="282">
        <f t="shared" ca="1" si="10"/>
        <v>0</v>
      </c>
      <c r="AM18" s="21">
        <f ca="1">SUMIF('UC BMW 2026'!$B$5:$B$81,B18,'UC BMW 2026'!$AB$5:$AB$72)</f>
        <v>0</v>
      </c>
      <c r="AN18" s="24">
        <f>IFERROR(INDEX([2]BEV!$C$10:$O$68,
      MATCH(B18,[2]BEV!$B$10:$B$68,0),
      MATCH("DICIEMBRE",[2]BEV!$C$9:$O$9,0)),
   0)-IF(B18=100873,
   IFERROR(VLOOKUP("DICIEMBRE",[2]BEV!$B$80:$C$93,2,0),
      0),
   0)</f>
        <v>0</v>
      </c>
      <c r="AO18" s="282">
        <f t="shared" ca="1" si="11"/>
        <v>0</v>
      </c>
      <c r="AP18" s="21">
        <f t="shared" ca="1" si="16"/>
        <v>45</v>
      </c>
      <c r="AQ18" s="24">
        <f t="shared" si="16"/>
        <v>45</v>
      </c>
      <c r="AR18" s="129">
        <f t="shared" ca="1" si="17"/>
        <v>1</v>
      </c>
      <c r="AS18" s="21">
        <f t="shared" ca="1" si="18"/>
        <v>45</v>
      </c>
      <c r="AT18" s="24">
        <f t="shared" si="18"/>
        <v>45</v>
      </c>
      <c r="AU18" s="129">
        <f t="shared" ca="1" si="19"/>
        <v>1</v>
      </c>
      <c r="AV18" s="25"/>
      <c r="AW18" s="27"/>
      <c r="AX18" s="287"/>
      <c r="AY18" s="291"/>
      <c r="AZ18" s="129"/>
      <c r="BA18" s="27"/>
      <c r="BB18" s="129"/>
      <c r="BC18" s="21">
        <f t="shared" ca="1" si="20"/>
        <v>45</v>
      </c>
      <c r="BD18" s="24">
        <f t="shared" si="20"/>
        <v>45</v>
      </c>
      <c r="BE18" s="130">
        <f t="shared" ca="1" si="21"/>
        <v>1</v>
      </c>
      <c r="BF18" s="34">
        <f t="shared" ref="BF18:BG22" ca="1" si="24">IFERROR(IF($BF$5="S 1",F18+I18+L18+O18+R18+U18,
IF($BF$5="S 2",X18+AA18+AD18+AG18+AJ18+AM18,0)),0)</f>
        <v>0</v>
      </c>
      <c r="BG18" s="24">
        <f t="shared" si="24"/>
        <v>0</v>
      </c>
      <c r="BH18" s="130">
        <f t="shared" ca="1" si="23"/>
        <v>0</v>
      </c>
      <c r="BI18" s="4">
        <v>1</v>
      </c>
      <c r="BK18" s="4">
        <f ca="1"/>
        <v>205</v>
      </c>
      <c r="BL18" s="4">
        <v>282</v>
      </c>
      <c r="BM18" s="508">
        <f ca="1"/>
        <v>1.5714285714285714</v>
      </c>
      <c r="BO18" s="15">
        <f ca="1">SUM(O18,R18,U18)</f>
        <v>24</v>
      </c>
      <c r="BP18" s="15">
        <f>SUM(V18,S18,P18)</f>
        <v>30</v>
      </c>
    </row>
    <row r="19" spans="1:68" s="4" customFormat="1" ht="15" customHeight="1" x14ac:dyDescent="0.3">
      <c r="A19" s="4">
        <f>_xlfn.XLOOKUP(B19,'WHOLESALE BMW 2026'!$B$7:$B$67,'WHOLESALE BMW 2026'!$A$7:$A$67)</f>
        <v>3</v>
      </c>
      <c r="B19" s="8">
        <v>100380</v>
      </c>
      <c r="C19" s="369" t="s">
        <v>11</v>
      </c>
      <c r="D19" s="125"/>
      <c r="E19" s="309" t="s">
        <v>78</v>
      </c>
      <c r="F19" s="21">
        <f ca="1">SUMIF('UC BMW 2026'!$B$5:$B$81,B19,'UC BMW 2026'!$F$5:$F$72)</f>
        <v>22</v>
      </c>
      <c r="G19" s="24">
        <f>IFERROR(INDEX([2]BEV!$C$10:$O$68,
      MATCH(B19,[2]BEV!$B$10:$B$68,0),
      MATCH("ENERO",[2]BEV!$C$9:$O$9,0)),
   0)-IF(B19=100873,
   IFERROR(VLOOKUP("ENERO",[2]BEV!$B$80:$C$93,2,0),
      0),
   0)</f>
        <v>14</v>
      </c>
      <c r="H19" s="285">
        <f ca="1">IFERROR(G19/F19,0)</f>
        <v>0.63636363636363635</v>
      </c>
      <c r="I19" s="21">
        <f ca="1">SUMIF('UC BMW 2026'!$B$5:$B$81,B19,'UC BMW 2026'!$H$5:$H$72)</f>
        <v>22</v>
      </c>
      <c r="J19" s="24">
        <f>IFERROR(INDEX([2]BEV!$C$10:$O$68,
      MATCH(B19,[2]BEV!$B$10:$B$68,0),
      MATCH("FEBRERO",[2]BEV!$C$9:$O$9,0)),
   0)-IF(B19=100873,
   IFERROR(VLOOKUP("FEBRERO",[2]BEV!$B$80:$C$93,2,0),
      0),
   0)</f>
        <v>24</v>
      </c>
      <c r="K19" s="285">
        <f ca="1">IFERROR(J19/I19,0)</f>
        <v>1.0909090909090908</v>
      </c>
      <c r="L19" s="21">
        <f ca="1">SUMIF('UC BMW 2026'!$B$5:$B$81,B19,'UC BMW 2026'!$J$5:$J$72)</f>
        <v>22</v>
      </c>
      <c r="M19" s="24">
        <f>IFERROR(INDEX([2]BEV!$C$10:$O$68,
      MATCH(B19,[2]BEV!$B$10:$B$68,0),
      MATCH("MARZO",[2]BEV!$C$9:$O$9,0)),
   0)-IF(B19=100873,
   IFERROR(VLOOKUP("MARZO",[2]BEV!$B$80:$C$93,2,0),
      0),
   0)</f>
        <v>27</v>
      </c>
      <c r="N19" s="285">
        <f ca="1">IFERROR(M19/L19,0)</f>
        <v>1.2272727272727273</v>
      </c>
      <c r="O19" s="21">
        <f ca="1">SUMIF('UC BMW 2026'!$B$5:$B$81,B19,'UC BMW 2026'!$L$5:$L$72)</f>
        <v>23</v>
      </c>
      <c r="P19" s="24">
        <f>IFERROR(INDEX([2]BEV!$C$10:$O$68,
      MATCH(B19,[2]BEV!$B$10:$B$68,0),
      MATCH("ABRIL",[2]BEV!$C$9:$O$9,0)),
   0)-IF(B19=100873,
   IFERROR(VLOOKUP("ABRIL",[2]BEV!$B$80:$C$93,2,0),
      0),
   0)</f>
        <v>28</v>
      </c>
      <c r="Q19" s="285">
        <f ca="1">IFERROR(P19/O19,0)</f>
        <v>1.2173913043478262</v>
      </c>
      <c r="R19" s="21">
        <f ca="1">SUMIF('UC BMW 2026'!$B$5:$B$81,B19,'UC BMW 2026'!$N$5:$N$72)</f>
        <v>23</v>
      </c>
      <c r="S19" s="24">
        <f>IFERROR(INDEX([2]BEV!$C$10:$O$68,
      MATCH(B19,[2]BEV!$B$10:$B$68,0),
      MATCH("MAYO",[2]BEV!$C$9:$O$9,0)),
   0)-IF(B19=100873,
   IFERROR(VLOOKUP("MAYO",[2]BEV!$B$80:$C$93,2,0),
      0),
   0)</f>
        <v>12</v>
      </c>
      <c r="T19" s="285">
        <f ca="1">IFERROR(S19/R19,0)</f>
        <v>0.52173913043478259</v>
      </c>
      <c r="U19" s="21">
        <f ca="1">SUMIF('UC BMW 2026'!$B$5:$B$81,B19,'UC BMW 2026'!$P$5:$P$72)</f>
        <v>23</v>
      </c>
      <c r="V19" s="24">
        <f>IFERROR(INDEX([2]BEV!$C$10:$O$68,
      MATCH(B19,[2]BEV!$B$10:$B$68,0),
      MATCH("JUNIO",[2]BEV!$C$9:$O$9,0)),
   0)-IF(B19=100873,
   IFERROR(VLOOKUP("JUNIO",[2]BEV!$B$80:$C$93,2,0),
      0),
   0)</f>
        <v>28</v>
      </c>
      <c r="W19" s="285">
        <f ca="1">IFERROR(V19/U19,0)</f>
        <v>1.2173913043478262</v>
      </c>
      <c r="X19" s="21">
        <f ca="1">SUMIF('UC BMW 2026'!$B$5:$B$81,B19,'UC BMW 2026'!$R$5:$R$72)</f>
        <v>0</v>
      </c>
      <c r="Y19" s="24">
        <f>IFERROR(INDEX([2]BEV!$C$10:$O$68,
      MATCH(B19,[2]BEV!$B$10:$B$68,0),
      MATCH("JULIO",[2]BEV!$C$9:$O$9,0)),
   0)-IF(B19=100873,
   IFERROR(VLOOKUP("JULIO",[2]BEV!$B$80:$C$93,2,0),
      0),
   0)</f>
        <v>0</v>
      </c>
      <c r="Z19" s="285">
        <f ca="1">IFERROR(Y19/X19,0)</f>
        <v>0</v>
      </c>
      <c r="AA19" s="21">
        <f ca="1">SUMIF('UC BMW 2026'!$B$5:$B$81,B19,'UC BMW 2026'!$T$5:$T$72)</f>
        <v>0</v>
      </c>
      <c r="AB19" s="24">
        <f>IFERROR(INDEX([2]BEV!$C$10:$O$68,
      MATCH(B19,[2]BEV!$B$10:$B$68,0),
      MATCH("AGOSTO",[2]BEV!$C$9:$O$9,0)),
   0)-IF(B19=100873,
   IFERROR(VLOOKUP("AGOSTO",[2]BEV!$B$80:$C$93,2,0),
      0),
   0)</f>
        <v>0</v>
      </c>
      <c r="AC19" s="285">
        <f ca="1">IFERROR(AB19/AA19,0)</f>
        <v>0</v>
      </c>
      <c r="AD19" s="21">
        <f ca="1">SUMIF('UC BMW 2026'!$B$5:$B$81,B19,'UC BMW 2026'!$V$5:$V$72)</f>
        <v>0</v>
      </c>
      <c r="AE19" s="24">
        <f>IFERROR(INDEX([2]BEV!$C$10:$O$68,
      MATCH(B19,[2]BEV!$B$10:$B$68,0),
      MATCH("SEPTIEMBRE",[2]BEV!$C$9:$O$9,0)),
   0)-IF(B19=100873,
   IFERROR(VLOOKUP("SEPTIEMBRE",[2]BEV!$B$80:$C$93,2,0),
      0),
   0)</f>
        <v>0</v>
      </c>
      <c r="AF19" s="285">
        <f ca="1">IFERROR(AE19/AD19,0)</f>
        <v>0</v>
      </c>
      <c r="AG19" s="21">
        <f ca="1">SUMIF('UC BMW 2026'!$B$5:$B$81,B19,'UC BMW 2026'!$X$5:$X$72)</f>
        <v>0</v>
      </c>
      <c r="AH19" s="24">
        <f>IFERROR(INDEX([2]BEV!$C$10:$O$68,
      MATCH(B19,[2]BEV!$B$10:$B$68,0),
      MATCH("OCTUBRE",[2]BEV!$C$9:$O$9,0)),
   0)-IF(B19=100873,
   IFERROR(VLOOKUP("OCTUBRE",[2]BEV!$B$80:$C$93,2,0),
      0),
   0)</f>
        <v>0</v>
      </c>
      <c r="AI19" s="285">
        <f ca="1">IFERROR(AH19/AG19,0)</f>
        <v>0</v>
      </c>
      <c r="AJ19" s="21">
        <f ca="1">SUMIF('UC BMW 2026'!$B$5:$B$81,B19,'UC BMW 2026'!$Z$5:$Z$72)</f>
        <v>0</v>
      </c>
      <c r="AK19" s="24">
        <f>IFERROR(INDEX([2]BEV!$C$10:$O$68,
      MATCH(B19,[2]BEV!$B$10:$B$68,0),
      MATCH("NOVIEMBRE",[2]BEV!$C$9:$O$9,0)),
   0)-IF(B19=100873,
   IFERROR(VLOOKUP("NOVIEMBRE",[2]BEV!$B$80:$C$93,2,0),
      0),
   0)</f>
        <v>0</v>
      </c>
      <c r="AL19" s="285">
        <f ca="1">IFERROR(AK19/AJ19,0)</f>
        <v>0</v>
      </c>
      <c r="AM19" s="21">
        <f ca="1">SUMIF('UC BMW 2026'!$B$5:$B$81,B19,'UC BMW 2026'!$AB$5:$AB$72)</f>
        <v>0</v>
      </c>
      <c r="AN19" s="24">
        <f>IFERROR(INDEX([2]BEV!$C$10:$O$68,
      MATCH(B19,[2]BEV!$B$10:$B$68,0),
      MATCH("DICIEMBRE",[2]BEV!$C$9:$O$9,0)),
   0)-IF(B19=100873,
   IFERROR(VLOOKUP("DICIEMBRE",[2]BEV!$B$80:$C$93,2,0),
      0),
   0)</f>
        <v>0</v>
      </c>
      <c r="AO19" s="285">
        <f ca="1">IFERROR(AN19/AM19,0)</f>
        <v>0</v>
      </c>
      <c r="AP19" s="25">
        <f t="shared" ref="AP19:AQ23" ca="1" si="25">IFERROR(IF($AP$4="ENERO",F19,IF($AP$4="FEBRERO",F19+I19,IF($AP$4="MARZO",F19+I19+L19,IF($AP$4="ABRIL",F19+I19+L19+O19,IF($AP$4="MAYO",F19+I19+L19+O19+R19,IF($AP$4="JUNIO",F19+I19+L19+O19+R19+U19,IF($AP$4="JULIO",F19+I19+L19+O19+R19+U19+X19,IF($AP$4="AGOSTO",F19+I19+L19+O19+R19+U19+X19+AA19,IF($AP$4="SEPTIEMBRE",F19+I19+L19+O19+R19+U19+X19+AA19+AD19,IF($AP$4="OCTUBRE",F19+I19+L19+O19+R19+U19+X19+AA19+AD19+AG19,IF($AP$4="NOVIEMBRE",F19+I19+L19+O19+R19+U19+X19+AA19+AD19+AG19+AJ19,IF($AP$4="DICIEMBRE",F19+I19+L19+O19+R19+U19+X19+AA19+AD19+AG19+AJ19+AM19,"")))))))))))),0)</f>
        <v>135</v>
      </c>
      <c r="AQ19" s="24">
        <f t="shared" si="25"/>
        <v>133</v>
      </c>
      <c r="AR19" s="129">
        <f ca="1">IFERROR(AQ19/AP19,0)</f>
        <v>0.98518518518518516</v>
      </c>
      <c r="AS19" s="25">
        <f t="shared" ref="AS19:AT23" ca="1" si="26">IFERROR(SUM(AM19,AJ19,AG19,AD19,AA19,X19,U19,R19,O19,L19,I19,F19),0)</f>
        <v>135</v>
      </c>
      <c r="AT19" s="24">
        <f t="shared" si="26"/>
        <v>133</v>
      </c>
      <c r="AU19" s="129">
        <f ca="1">IFERROR(AT19/AS19,0)</f>
        <v>0.98518518518518516</v>
      </c>
      <c r="AV19" s="25"/>
      <c r="AW19" s="27"/>
      <c r="AX19" s="287"/>
      <c r="AY19" s="291"/>
      <c r="AZ19" s="287"/>
      <c r="BA19" s="27"/>
      <c r="BB19" s="129"/>
      <c r="BC19" s="25">
        <f t="shared" ref="BC19:BD23" ca="1" si="27">IFERROR(IF($BC$5="S 1",F19+I19+L19+O19+R19+U19,
IF($BC$5="S 2",X19+AA19+AD19+AG19+AJ19+AM19,0)),0)</f>
        <v>135</v>
      </c>
      <c r="BD19" s="24">
        <f t="shared" si="27"/>
        <v>133</v>
      </c>
      <c r="BE19" s="130">
        <f ca="1">IFERROR(BD19/BC19,0)</f>
        <v>0.98518518518518516</v>
      </c>
      <c r="BF19" s="21">
        <f t="shared" ca="1" si="24"/>
        <v>0</v>
      </c>
      <c r="BG19" s="22">
        <f t="shared" si="24"/>
        <v>0</v>
      </c>
      <c r="BH19" s="130">
        <f ca="1">IFERROR(BG19/BF19,0)</f>
        <v>0</v>
      </c>
      <c r="BI19" s="4">
        <v>1</v>
      </c>
      <c r="BK19" s="4">
        <f ca="1"/>
        <v>200</v>
      </c>
      <c r="BL19" s="4">
        <v>279</v>
      </c>
      <c r="BM19" s="508">
        <f ca="1"/>
        <v>1.55</v>
      </c>
      <c r="BO19" s="15">
        <f ca="1">SUM(O19,R19,U19)</f>
        <v>69</v>
      </c>
      <c r="BP19" s="15">
        <f>SUM(V19,S19,P19)</f>
        <v>68</v>
      </c>
    </row>
    <row r="20" spans="1:68" s="4" customFormat="1" ht="15" customHeight="1" x14ac:dyDescent="0.3">
      <c r="A20" s="4">
        <f>_xlfn.XLOOKUP(B20,'WHOLESALE BMW 2026'!$B$7:$B$67,'WHOLESALE BMW 2026'!$A$7:$A$67)</f>
        <v>3</v>
      </c>
      <c r="B20" s="8">
        <v>100418</v>
      </c>
      <c r="C20" s="369" t="s">
        <v>13</v>
      </c>
      <c r="D20" s="125"/>
      <c r="E20" s="309" t="s">
        <v>83</v>
      </c>
      <c r="F20" s="21">
        <f ca="1">SUMIF('UC BMW 2026'!$B$5:$B$81,B20,'UC BMW 2026'!$F$5:$F$72)</f>
        <v>11</v>
      </c>
      <c r="G20" s="24">
        <f>IFERROR(INDEX([2]BEV!$C$10:$O$68,
      MATCH(B20,[2]BEV!$B$10:$B$68,0),
      MATCH("ENERO",[2]BEV!$C$9:$O$9,0)),
   0)-IF(B20=100873,
   IFERROR(VLOOKUP("ENERO",[2]BEV!$B$80:$C$93,2,0),
      0),
   0)</f>
        <v>1</v>
      </c>
      <c r="H20" s="285">
        <f ca="1">IFERROR(G20/F20,0)</f>
        <v>9.0909090909090912E-2</v>
      </c>
      <c r="I20" s="21">
        <f ca="1">SUMIF('UC BMW 2026'!$B$5:$B$81,B20,'UC BMW 2026'!$H$5:$H$72)</f>
        <v>11</v>
      </c>
      <c r="J20" s="24">
        <f>IFERROR(INDEX([2]BEV!$C$10:$O$68,
      MATCH(B20,[2]BEV!$B$10:$B$68,0),
      MATCH("FEBRERO",[2]BEV!$C$9:$O$9,0)),
   0)-IF(B20=100873,
   IFERROR(VLOOKUP("FEBRERO",[2]BEV!$B$80:$C$93,2,0),
      0),
   0)</f>
        <v>15</v>
      </c>
      <c r="K20" s="285">
        <f ca="1">IFERROR(J20/I20,0)</f>
        <v>1.3636363636363635</v>
      </c>
      <c r="L20" s="21">
        <f ca="1">SUMIF('UC BMW 2026'!$B$5:$B$81,B20,'UC BMW 2026'!$J$5:$J$72)</f>
        <v>11</v>
      </c>
      <c r="M20" s="24">
        <f>IFERROR(INDEX([2]BEV!$C$10:$O$68,
      MATCH(B20,[2]BEV!$B$10:$B$68,0),
      MATCH("MARZO",[2]BEV!$C$9:$O$9,0)),
   0)-IF(B20=100873,
   IFERROR(VLOOKUP("MARZO",[2]BEV!$B$80:$C$93,2,0),
      0),
   0)</f>
        <v>10</v>
      </c>
      <c r="N20" s="285">
        <f ca="1">IFERROR(M20/L20,0)</f>
        <v>0.90909090909090906</v>
      </c>
      <c r="O20" s="21">
        <f ca="1">SUMIF('UC BMW 2026'!$B$5:$B$81,B20,'UC BMW 2026'!$L$5:$L$72)</f>
        <v>11</v>
      </c>
      <c r="P20" s="24">
        <f>IFERROR(INDEX([2]BEV!$C$10:$O$68,
      MATCH(B20,[2]BEV!$B$10:$B$68,0),
      MATCH("ABRIL",[2]BEV!$C$9:$O$9,0)),
   0)-IF(B20=100873,
   IFERROR(VLOOKUP("ABRIL",[2]BEV!$B$80:$C$93,2,0),
      0),
   0)</f>
        <v>9</v>
      </c>
      <c r="Q20" s="285">
        <f ca="1">IFERROR(P20/O20,0)</f>
        <v>0.81818181818181823</v>
      </c>
      <c r="R20" s="21">
        <f ca="1">SUMIF('UC BMW 2026'!$B$5:$B$81,B20,'UC BMW 2026'!$N$5:$N$72)</f>
        <v>12</v>
      </c>
      <c r="S20" s="24">
        <f>IFERROR(INDEX([2]BEV!$C$10:$O$68,
      MATCH(B20,[2]BEV!$B$10:$B$68,0),
      MATCH("MAYO",[2]BEV!$C$9:$O$9,0)),
   0)-IF(B20=100873,
   IFERROR(VLOOKUP("MAYO",[2]BEV!$B$80:$C$93,2,0),
      0),
   0)</f>
        <v>6</v>
      </c>
      <c r="T20" s="285">
        <f ca="1">IFERROR(S20/R20,0)</f>
        <v>0.5</v>
      </c>
      <c r="U20" s="21">
        <f ca="1">SUMIF('UC BMW 2026'!$B$5:$B$81,B20,'UC BMW 2026'!$P$5:$P$72)</f>
        <v>12</v>
      </c>
      <c r="V20" s="24">
        <f>IFERROR(INDEX([2]BEV!$C$10:$O$68,
      MATCH(B20,[2]BEV!$B$10:$B$68,0),
      MATCH("JUNIO",[2]BEV!$C$9:$O$9,0)),
   0)-IF(B20=100873,
   IFERROR(VLOOKUP("JUNIO",[2]BEV!$B$80:$C$93,2,0),
      0),
   0)</f>
        <v>14</v>
      </c>
      <c r="W20" s="285">
        <f ca="1">IFERROR(V20/U20,0)</f>
        <v>1.1666666666666667</v>
      </c>
      <c r="X20" s="21">
        <f ca="1">SUMIF('UC BMW 2026'!$B$5:$B$81,B20,'UC BMW 2026'!$R$5:$R$72)</f>
        <v>0</v>
      </c>
      <c r="Y20" s="24">
        <f>IFERROR(INDEX([2]BEV!$C$10:$O$68,
      MATCH(B20,[2]BEV!$B$10:$B$68,0),
      MATCH("JULIO",[2]BEV!$C$9:$O$9,0)),
   0)-IF(B20=100873,
   IFERROR(VLOOKUP("JULIO",[2]BEV!$B$80:$C$93,2,0),
      0),
   0)</f>
        <v>0</v>
      </c>
      <c r="Z20" s="285">
        <f ca="1">IFERROR(Y20/X20,0)</f>
        <v>0</v>
      </c>
      <c r="AA20" s="21">
        <f ca="1">SUMIF('UC BMW 2026'!$B$5:$B$81,B20,'UC BMW 2026'!$T$5:$T$72)</f>
        <v>0</v>
      </c>
      <c r="AB20" s="24">
        <f>IFERROR(INDEX([2]BEV!$C$10:$O$68,
      MATCH(B20,[2]BEV!$B$10:$B$68,0),
      MATCH("AGOSTO",[2]BEV!$C$9:$O$9,0)),
   0)-IF(B20=100873,
   IFERROR(VLOOKUP("AGOSTO",[2]BEV!$B$80:$C$93,2,0),
      0),
   0)</f>
        <v>0</v>
      </c>
      <c r="AC20" s="285">
        <f ca="1">IFERROR(AB20/AA20,0)</f>
        <v>0</v>
      </c>
      <c r="AD20" s="21">
        <f ca="1">SUMIF('UC BMW 2026'!$B$5:$B$81,B20,'UC BMW 2026'!$V$5:$V$72)</f>
        <v>0</v>
      </c>
      <c r="AE20" s="24">
        <f>IFERROR(INDEX([2]BEV!$C$10:$O$68,
      MATCH(B20,[2]BEV!$B$10:$B$68,0),
      MATCH("SEPTIEMBRE",[2]BEV!$C$9:$O$9,0)),
   0)-IF(B20=100873,
   IFERROR(VLOOKUP("SEPTIEMBRE",[2]BEV!$B$80:$C$93,2,0),
      0),
   0)</f>
        <v>0</v>
      </c>
      <c r="AF20" s="285">
        <f ca="1">IFERROR(AE20/AD20,0)</f>
        <v>0</v>
      </c>
      <c r="AG20" s="21">
        <f ca="1">SUMIF('UC BMW 2026'!$B$5:$B$81,B20,'UC BMW 2026'!$X$5:$X$72)</f>
        <v>0</v>
      </c>
      <c r="AH20" s="24">
        <f>IFERROR(INDEX([2]BEV!$C$10:$O$68,
      MATCH(B20,[2]BEV!$B$10:$B$68,0),
      MATCH("OCTUBRE",[2]BEV!$C$9:$O$9,0)),
   0)-IF(B20=100873,
   IFERROR(VLOOKUP("OCTUBRE",[2]BEV!$B$80:$C$93,2,0),
      0),
   0)</f>
        <v>0</v>
      </c>
      <c r="AI20" s="285">
        <f ca="1">IFERROR(AH20/AG20,0)</f>
        <v>0</v>
      </c>
      <c r="AJ20" s="21">
        <f ca="1">SUMIF('UC BMW 2026'!$B$5:$B$81,B20,'UC BMW 2026'!$Z$5:$Z$72)</f>
        <v>0</v>
      </c>
      <c r="AK20" s="24">
        <f>IFERROR(INDEX([2]BEV!$C$10:$O$68,
      MATCH(B20,[2]BEV!$B$10:$B$68,0),
      MATCH("NOVIEMBRE",[2]BEV!$C$9:$O$9,0)),
   0)-IF(B20=100873,
   IFERROR(VLOOKUP("NOVIEMBRE",[2]BEV!$B$80:$C$93,2,0),
      0),
   0)</f>
        <v>0</v>
      </c>
      <c r="AL20" s="285">
        <f ca="1">IFERROR(AK20/AJ20,0)</f>
        <v>0</v>
      </c>
      <c r="AM20" s="21">
        <f ca="1">SUMIF('UC BMW 2026'!$B$5:$B$81,B20,'UC BMW 2026'!$AB$5:$AB$72)</f>
        <v>0</v>
      </c>
      <c r="AN20" s="24">
        <f>IFERROR(INDEX([2]BEV!$C$10:$O$68,
      MATCH(B20,[2]BEV!$B$10:$B$68,0),
      MATCH("DICIEMBRE",[2]BEV!$C$9:$O$9,0)),
   0)-IF(B20=100873,
   IFERROR(VLOOKUP("DICIEMBRE",[2]BEV!$B$80:$C$93,2,0),
      0),
   0)</f>
        <v>0</v>
      </c>
      <c r="AO20" s="285">
        <f ca="1">IFERROR(AN20/AM20,0)</f>
        <v>0</v>
      </c>
      <c r="AP20" s="25">
        <f t="shared" ca="1" si="25"/>
        <v>68</v>
      </c>
      <c r="AQ20" s="24">
        <f t="shared" si="25"/>
        <v>55</v>
      </c>
      <c r="AR20" s="130">
        <f ca="1">IFERROR(AQ20/AP20,0)</f>
        <v>0.80882352941176472</v>
      </c>
      <c r="AS20" s="25">
        <f t="shared" ca="1" si="26"/>
        <v>68</v>
      </c>
      <c r="AT20" s="24">
        <f t="shared" si="26"/>
        <v>55</v>
      </c>
      <c r="AU20" s="130">
        <f ca="1">IFERROR(AT20/AS20,0)</f>
        <v>0.80882352941176472</v>
      </c>
      <c r="AV20" s="25"/>
      <c r="AW20" s="24"/>
      <c r="AX20" s="287"/>
      <c r="AY20" s="291"/>
      <c r="AZ20" s="282"/>
      <c r="BA20" s="24"/>
      <c r="BB20" s="130"/>
      <c r="BC20" s="25">
        <f t="shared" ca="1" si="27"/>
        <v>68</v>
      </c>
      <c r="BD20" s="24">
        <f t="shared" si="27"/>
        <v>55</v>
      </c>
      <c r="BE20" s="130">
        <f ca="1">IFERROR(BD20/BC20,0)</f>
        <v>0.80882352941176472</v>
      </c>
      <c r="BF20" s="21">
        <f t="shared" ca="1" si="24"/>
        <v>0</v>
      </c>
      <c r="BG20" s="22">
        <f t="shared" si="24"/>
        <v>0</v>
      </c>
      <c r="BH20" s="130">
        <f ca="1">IFERROR(BG20/BF20,0)</f>
        <v>0</v>
      </c>
      <c r="BI20" s="4">
        <v>1</v>
      </c>
      <c r="BK20" s="4">
        <f ca="1"/>
        <v>200</v>
      </c>
      <c r="BL20" s="4">
        <v>264</v>
      </c>
      <c r="BM20" s="508">
        <f ca="1"/>
        <v>1.4210526315789473</v>
      </c>
      <c r="BO20" s="15">
        <f ca="1">SUM(O20,R20,U20)</f>
        <v>35</v>
      </c>
      <c r="BP20" s="15">
        <f>SUM(V20,S20,P20)</f>
        <v>29</v>
      </c>
    </row>
    <row r="21" spans="1:68" s="4" customFormat="1" ht="15" customHeight="1" x14ac:dyDescent="0.3">
      <c r="A21" s="4">
        <f>_xlfn.XLOOKUP(B21,'WHOLESALE BMW 2026'!$B$7:$B$67,'WHOLESALE BMW 2026'!$A$7:$A$67)</f>
        <v>3</v>
      </c>
      <c r="B21" s="8">
        <v>100730</v>
      </c>
      <c r="C21" s="369" t="s">
        <v>41</v>
      </c>
      <c r="D21" s="125"/>
      <c r="E21" s="309" t="s">
        <v>78</v>
      </c>
      <c r="F21" s="21">
        <f ca="1">SUMIF('UC BMW 2026'!$B$5:$B$81,B21,'UC BMW 2026'!$F$5:$F$72)</f>
        <v>18</v>
      </c>
      <c r="G21" s="24">
        <f>IFERROR(INDEX([2]BEV!$C$10:$O$68,
      MATCH(B21,[2]BEV!$B$10:$B$68,0),
      MATCH("ENERO",[2]BEV!$C$9:$O$9,0)),
   0)-IF(B21=100873,
   IFERROR(VLOOKUP("ENERO",[2]BEV!$B$80:$C$93,2,0),
      0),
   0)</f>
        <v>11</v>
      </c>
      <c r="H21" s="285">
        <f ca="1">IFERROR(G21/F21,0)</f>
        <v>0.61111111111111116</v>
      </c>
      <c r="I21" s="21">
        <f ca="1">SUMIF('UC BMW 2026'!$B$5:$B$81,B21,'UC BMW 2026'!$H$5:$H$72)</f>
        <v>18</v>
      </c>
      <c r="J21" s="24">
        <f>IFERROR(INDEX([2]BEV!$C$10:$O$68,
      MATCH(B21,[2]BEV!$B$10:$B$68,0),
      MATCH("FEBRERO",[2]BEV!$C$9:$O$9,0)),
   0)-IF(B21=100873,
   IFERROR(VLOOKUP("FEBRERO",[2]BEV!$B$80:$C$93,2,0),
      0),
   0)</f>
        <v>23</v>
      </c>
      <c r="K21" s="285">
        <f ca="1">IFERROR(J21/I21,0)</f>
        <v>1.2777777777777777</v>
      </c>
      <c r="L21" s="21">
        <f ca="1">SUMIF('UC BMW 2026'!$B$5:$B$81,B21,'UC BMW 2026'!$J$5:$J$72)</f>
        <v>18</v>
      </c>
      <c r="M21" s="24">
        <f>IFERROR(INDEX([2]BEV!$C$10:$O$68,
      MATCH(B21,[2]BEV!$B$10:$B$68,0),
      MATCH("MARZO",[2]BEV!$C$9:$O$9,0)),
   0)-IF(B21=100873,
   IFERROR(VLOOKUP("MARZO",[2]BEV!$B$80:$C$93,2,0),
      0),
   0)</f>
        <v>19</v>
      </c>
      <c r="N21" s="285">
        <f ca="1">IFERROR(M21/L21,0)</f>
        <v>1.0555555555555556</v>
      </c>
      <c r="O21" s="21">
        <f ca="1">SUMIF('UC BMW 2026'!$B$5:$B$81,B21,'UC BMW 2026'!$L$5:$L$72)</f>
        <v>18</v>
      </c>
      <c r="P21" s="24">
        <f>IFERROR(INDEX([2]BEV!$C$10:$O$68,
      MATCH(B21,[2]BEV!$B$10:$B$68,0),
      MATCH("ABRIL",[2]BEV!$C$9:$O$9,0)),
   0)-IF(B21=100873,
   IFERROR(VLOOKUP("ABRIL",[2]BEV!$B$80:$C$93,2,0),
      0),
   0)</f>
        <v>10</v>
      </c>
      <c r="Q21" s="285">
        <f ca="1">IFERROR(P21/O21,0)</f>
        <v>0.55555555555555558</v>
      </c>
      <c r="R21" s="21">
        <f ca="1">SUMIF('UC BMW 2026'!$B$5:$B$81,B21,'UC BMW 2026'!$N$5:$N$72)</f>
        <v>18</v>
      </c>
      <c r="S21" s="24">
        <f>IFERROR(INDEX([2]BEV!$C$10:$O$68,
      MATCH(B21,[2]BEV!$B$10:$B$68,0),
      MATCH("MAYO",[2]BEV!$C$9:$O$9,0)),
   0)-IF(B21=100873,
   IFERROR(VLOOKUP("MAYO",[2]BEV!$B$80:$C$93,2,0),
      0),
   0)</f>
        <v>17</v>
      </c>
      <c r="T21" s="285">
        <f ca="1">IFERROR(S21/R21,0)</f>
        <v>0.94444444444444442</v>
      </c>
      <c r="U21" s="21">
        <f ca="1">SUMIF('UC BMW 2026'!$B$5:$B$81,B21,'UC BMW 2026'!$P$5:$P$72)</f>
        <v>19</v>
      </c>
      <c r="V21" s="24">
        <f>IFERROR(INDEX([2]BEV!$C$10:$O$68,
      MATCH(B21,[2]BEV!$B$10:$B$68,0),
      MATCH("JUNIO",[2]BEV!$C$9:$O$9,0)),
   0)-IF(B21=100873,
   IFERROR(VLOOKUP("JUNIO",[2]BEV!$B$80:$C$93,2,0),
      0),
   0)</f>
        <v>25</v>
      </c>
      <c r="W21" s="285">
        <f ca="1">IFERROR(V21/U21,0)</f>
        <v>1.3157894736842106</v>
      </c>
      <c r="X21" s="21">
        <f ca="1">SUMIF('UC BMW 2026'!$B$5:$B$81,B21,'UC BMW 2026'!$R$5:$R$72)</f>
        <v>0</v>
      </c>
      <c r="Y21" s="24">
        <f>IFERROR(INDEX([2]BEV!$C$10:$O$68,
      MATCH(B21,[2]BEV!$B$10:$B$68,0),
      MATCH("JULIO",[2]BEV!$C$9:$O$9,0)),
   0)-IF(B21=100873,
   IFERROR(VLOOKUP("JULIO",[2]BEV!$B$80:$C$93,2,0),
      0),
   0)</f>
        <v>0</v>
      </c>
      <c r="Z21" s="285">
        <f ca="1">IFERROR(Y21/X21,0)</f>
        <v>0</v>
      </c>
      <c r="AA21" s="21">
        <f ca="1">SUMIF('UC BMW 2026'!$B$5:$B$81,B21,'UC BMW 2026'!$T$5:$T$72)</f>
        <v>0</v>
      </c>
      <c r="AB21" s="24">
        <f>IFERROR(INDEX([2]BEV!$C$10:$O$68,
      MATCH(B21,[2]BEV!$B$10:$B$68,0),
      MATCH("AGOSTO",[2]BEV!$C$9:$O$9,0)),
   0)-IF(B21=100873,
   IFERROR(VLOOKUP("AGOSTO",[2]BEV!$B$80:$C$93,2,0),
      0),
   0)</f>
        <v>0</v>
      </c>
      <c r="AC21" s="285">
        <f ca="1">IFERROR(AB21/AA21,0)</f>
        <v>0</v>
      </c>
      <c r="AD21" s="21">
        <f ca="1">SUMIF('UC BMW 2026'!$B$5:$B$81,B21,'UC BMW 2026'!$V$5:$V$72)</f>
        <v>0</v>
      </c>
      <c r="AE21" s="24">
        <f>IFERROR(INDEX([2]BEV!$C$10:$O$68,
      MATCH(B21,[2]BEV!$B$10:$B$68,0),
      MATCH("SEPTIEMBRE",[2]BEV!$C$9:$O$9,0)),
   0)-IF(B21=100873,
   IFERROR(VLOOKUP("SEPTIEMBRE",[2]BEV!$B$80:$C$93,2,0),
      0),
   0)</f>
        <v>0</v>
      </c>
      <c r="AF21" s="285">
        <f ca="1">IFERROR(AE21/AD21,0)</f>
        <v>0</v>
      </c>
      <c r="AG21" s="21">
        <f ca="1">SUMIF('UC BMW 2026'!$B$5:$B$81,B21,'UC BMW 2026'!$X$5:$X$72)</f>
        <v>0</v>
      </c>
      <c r="AH21" s="24">
        <f>IFERROR(INDEX([2]BEV!$C$10:$O$68,
      MATCH(B21,[2]BEV!$B$10:$B$68,0),
      MATCH("OCTUBRE",[2]BEV!$C$9:$O$9,0)),
   0)-IF(B21=100873,
   IFERROR(VLOOKUP("OCTUBRE",[2]BEV!$B$80:$C$93,2,0),
      0),
   0)</f>
        <v>0</v>
      </c>
      <c r="AI21" s="285">
        <f ca="1">IFERROR(AH21/AG21,0)</f>
        <v>0</v>
      </c>
      <c r="AJ21" s="21">
        <f ca="1">SUMIF('UC BMW 2026'!$B$5:$B$81,B21,'UC BMW 2026'!$Z$5:$Z$72)</f>
        <v>0</v>
      </c>
      <c r="AK21" s="24">
        <f>IFERROR(INDEX([2]BEV!$C$10:$O$68,
      MATCH(B21,[2]BEV!$B$10:$B$68,0),
      MATCH("NOVIEMBRE",[2]BEV!$C$9:$O$9,0)),
   0)-IF(B21=100873,
   IFERROR(VLOOKUP("NOVIEMBRE",[2]BEV!$B$80:$C$93,2,0),
      0),
   0)</f>
        <v>0</v>
      </c>
      <c r="AL21" s="285">
        <f ca="1">IFERROR(AK21/AJ21,0)</f>
        <v>0</v>
      </c>
      <c r="AM21" s="21">
        <f ca="1">SUMIF('UC BMW 2026'!$B$5:$B$81,B21,'UC BMW 2026'!$AB$5:$AB$72)</f>
        <v>0</v>
      </c>
      <c r="AN21" s="24">
        <f>IFERROR(INDEX([2]BEV!$C$10:$O$68,
      MATCH(B21,[2]BEV!$B$10:$B$68,0),
      MATCH("DICIEMBRE",[2]BEV!$C$9:$O$9,0)),
   0)-IF(B21=100873,
   IFERROR(VLOOKUP("DICIEMBRE",[2]BEV!$B$80:$C$93,2,0),
      0),
   0)</f>
        <v>0</v>
      </c>
      <c r="AO21" s="285">
        <f ca="1">IFERROR(AN21/AM21,0)</f>
        <v>0</v>
      </c>
      <c r="AP21" s="25">
        <f t="shared" ca="1" si="25"/>
        <v>109</v>
      </c>
      <c r="AQ21" s="24">
        <f t="shared" si="25"/>
        <v>105</v>
      </c>
      <c r="AR21" s="127">
        <f ca="1">IFERROR(AQ21/AP21,0)</f>
        <v>0.96330275229357798</v>
      </c>
      <c r="AS21" s="25">
        <f t="shared" ca="1" si="26"/>
        <v>109</v>
      </c>
      <c r="AT21" s="24">
        <f t="shared" si="26"/>
        <v>105</v>
      </c>
      <c r="AU21" s="127">
        <f ca="1">IFERROR(AT21/AS21,0)</f>
        <v>0.96330275229357798</v>
      </c>
      <c r="AV21" s="25"/>
      <c r="AW21" s="182"/>
      <c r="AX21" s="282"/>
      <c r="AY21" s="291"/>
      <c r="AZ21" s="288"/>
      <c r="BA21" s="182"/>
      <c r="BB21" s="127"/>
      <c r="BC21" s="25">
        <f t="shared" ca="1" si="27"/>
        <v>109</v>
      </c>
      <c r="BD21" s="24">
        <f t="shared" si="27"/>
        <v>105</v>
      </c>
      <c r="BE21" s="127">
        <f ca="1">IFERROR(BD21/BC21,0)</f>
        <v>0.96330275229357798</v>
      </c>
      <c r="BF21" s="21">
        <f t="shared" ca="1" si="24"/>
        <v>0</v>
      </c>
      <c r="BG21" s="22">
        <f t="shared" si="24"/>
        <v>0</v>
      </c>
      <c r="BH21" s="127">
        <f ca="1">IFERROR(BG21/BF21,0)</f>
        <v>0</v>
      </c>
      <c r="BI21" s="4">
        <v>1</v>
      </c>
      <c r="BK21" s="4">
        <f ca="1"/>
        <v>185</v>
      </c>
      <c r="BL21" s="4">
        <v>252</v>
      </c>
      <c r="BM21" s="508">
        <f ca="1"/>
        <v>1.42</v>
      </c>
      <c r="BO21" s="15">
        <f ca="1">SUM(O21,R21,U21)</f>
        <v>55</v>
      </c>
      <c r="BP21" s="15">
        <f>SUM(V21,S21,P21)</f>
        <v>52</v>
      </c>
    </row>
    <row r="22" spans="1:68" s="4" customFormat="1" ht="15" customHeight="1" thickBot="1" x14ac:dyDescent="0.35">
      <c r="A22" s="4">
        <f>_xlfn.XLOOKUP(B22,'WHOLESALE BMW 2026'!$B$7:$B$67,'WHOLESALE BMW 2026'!$A$7:$A$67)</f>
        <v>3</v>
      </c>
      <c r="B22" s="8">
        <v>100764</v>
      </c>
      <c r="C22" s="369" t="s">
        <v>26</v>
      </c>
      <c r="D22" s="125"/>
      <c r="E22" s="309" t="s">
        <v>277</v>
      </c>
      <c r="F22" s="21">
        <f ca="1">SUMIF('UC BMW 2026'!$B$5:$B$81,B22,'UC BMW 2026'!$F$5:$F$72)</f>
        <v>19</v>
      </c>
      <c r="G22" s="24">
        <f>IFERROR(INDEX([2]BEV!$C$10:$O$68,
      MATCH(B22,[2]BEV!$B$10:$B$68,0),
      MATCH("ENERO",[2]BEV!$C$9:$O$9,0)),
   0)-IF(B22=100873,
   IFERROR(VLOOKUP("ENERO",[2]BEV!$B$80:$C$93,2,0),
      0),
   0)</f>
        <v>19</v>
      </c>
      <c r="H22" s="283">
        <f ca="1">IFERROR(G22/F22,0)</f>
        <v>1</v>
      </c>
      <c r="I22" s="21">
        <f ca="1">SUMIF('UC BMW 2026'!$B$5:$B$81,B22,'UC BMW 2026'!$H$5:$H$72)</f>
        <v>19</v>
      </c>
      <c r="J22" s="24">
        <f>IFERROR(INDEX([2]BEV!$C$10:$O$68,
      MATCH(B22,[2]BEV!$B$10:$B$68,0),
      MATCH("FEBRERO",[2]BEV!$C$9:$O$9,0)),
   0)-IF(B22=100873,
   IFERROR(VLOOKUP("FEBRERO",[2]BEV!$B$80:$C$93,2,0),
      0),
   0)</f>
        <v>23</v>
      </c>
      <c r="K22" s="283">
        <f ca="1">IFERROR(J22/I22,0)</f>
        <v>1.2105263157894737</v>
      </c>
      <c r="L22" s="21">
        <f ca="1">SUMIF('UC BMW 2026'!$B$5:$B$81,B22,'UC BMW 2026'!$J$5:$J$72)</f>
        <v>19</v>
      </c>
      <c r="M22" s="24">
        <f>IFERROR(INDEX([2]BEV!$C$10:$O$68,
      MATCH(B22,[2]BEV!$B$10:$B$68,0),
      MATCH("MARZO",[2]BEV!$C$9:$O$9,0)),
   0)-IF(B22=100873,
   IFERROR(VLOOKUP("MARZO",[2]BEV!$B$80:$C$93,2,0),
      0),
   0)</f>
        <v>22</v>
      </c>
      <c r="N22" s="283">
        <f ca="1">IFERROR(M22/L22,0)</f>
        <v>1.1578947368421053</v>
      </c>
      <c r="O22" s="21">
        <f ca="1">SUMIF('UC BMW 2026'!$B$5:$B$81,B22,'UC BMW 2026'!$L$5:$L$72)</f>
        <v>20</v>
      </c>
      <c r="P22" s="24">
        <f>IFERROR(INDEX([2]BEV!$C$10:$O$68,
      MATCH(B22,[2]BEV!$B$10:$B$68,0),
      MATCH("ABRIL",[2]BEV!$C$9:$O$9,0)),
   0)-IF(B22=100873,
   IFERROR(VLOOKUP("ABRIL",[2]BEV!$B$80:$C$93,2,0),
      0),
   0)</f>
        <v>20</v>
      </c>
      <c r="Q22" s="283">
        <f ca="1">IFERROR(P22/O22,0)</f>
        <v>1</v>
      </c>
      <c r="R22" s="21">
        <f ca="1">SUMIF('UC BMW 2026'!$B$5:$B$81,B22,'UC BMW 2026'!$N$5:$N$72)</f>
        <v>20</v>
      </c>
      <c r="S22" s="24">
        <f>IFERROR(INDEX([2]BEV!$C$10:$O$68,
      MATCH(B22,[2]BEV!$B$10:$B$68,0),
      MATCH("MAYO",[2]BEV!$C$9:$O$9,0)),
   0)-IF(B22=100873,
   IFERROR(VLOOKUP("MAYO",[2]BEV!$B$80:$C$93,2,0),
      0),
   0)</f>
        <v>26</v>
      </c>
      <c r="T22" s="283">
        <f ca="1">IFERROR(S22/R22,0)</f>
        <v>1.3</v>
      </c>
      <c r="U22" s="21">
        <f ca="1">SUMIF('UC BMW 2026'!$B$5:$B$81,B22,'UC BMW 2026'!$P$5:$P$72)</f>
        <v>20</v>
      </c>
      <c r="V22" s="24">
        <f>IFERROR(INDEX([2]BEV!$C$10:$O$68,
      MATCH(B22,[2]BEV!$B$10:$B$68,0),
      MATCH("JUNIO",[2]BEV!$C$9:$O$9,0)),
   0)-IF(B22=100873,
   IFERROR(VLOOKUP("JUNIO",[2]BEV!$B$80:$C$93,2,0),
      0),
   0)</f>
        <v>45</v>
      </c>
      <c r="W22" s="283">
        <f ca="1">IFERROR(V22/U22,0)</f>
        <v>2.25</v>
      </c>
      <c r="X22" s="21">
        <f ca="1">SUMIF('UC BMW 2026'!$B$5:$B$81,B22,'UC BMW 2026'!$R$5:$R$72)</f>
        <v>0</v>
      </c>
      <c r="Y22" s="24">
        <f>IFERROR(INDEX([2]BEV!$C$10:$O$68,
      MATCH(B22,[2]BEV!$B$10:$B$68,0),
      MATCH("JULIO",[2]BEV!$C$9:$O$9,0)),
   0)-IF(B22=100873,
   IFERROR(VLOOKUP("JULIO",[2]BEV!$B$80:$C$93,2,0),
      0),
   0)</f>
        <v>0</v>
      </c>
      <c r="Z22" s="283">
        <f ca="1">IFERROR(Y22/X22,0)</f>
        <v>0</v>
      </c>
      <c r="AA22" s="21">
        <f ca="1">SUMIF('UC BMW 2026'!$B$5:$B$81,B22,'UC BMW 2026'!$T$5:$T$72)</f>
        <v>0</v>
      </c>
      <c r="AB22" s="24">
        <f>IFERROR(INDEX([2]BEV!$C$10:$O$68,
      MATCH(B22,[2]BEV!$B$10:$B$68,0),
      MATCH("AGOSTO",[2]BEV!$C$9:$O$9,0)),
   0)-IF(B22=100873,
   IFERROR(VLOOKUP("AGOSTO",[2]BEV!$B$80:$C$93,2,0),
      0),
   0)</f>
        <v>0</v>
      </c>
      <c r="AC22" s="283">
        <f ca="1">IFERROR(AB22/AA22,0)</f>
        <v>0</v>
      </c>
      <c r="AD22" s="21">
        <f ca="1">SUMIF('UC BMW 2026'!$B$5:$B$81,B22,'UC BMW 2026'!$V$5:$V$72)</f>
        <v>0</v>
      </c>
      <c r="AE22" s="24">
        <f>IFERROR(INDEX([2]BEV!$C$10:$O$68,
      MATCH(B22,[2]BEV!$B$10:$B$68,0),
      MATCH("SEPTIEMBRE",[2]BEV!$C$9:$O$9,0)),
   0)-IF(B22=100873,
   IFERROR(VLOOKUP("SEPTIEMBRE",[2]BEV!$B$80:$C$93,2,0),
      0),
   0)</f>
        <v>0</v>
      </c>
      <c r="AF22" s="283">
        <f ca="1">IFERROR(AE22/AD22,0)</f>
        <v>0</v>
      </c>
      <c r="AG22" s="21">
        <f ca="1">SUMIF('UC BMW 2026'!$B$5:$B$81,B22,'UC BMW 2026'!$X$5:$X$72)</f>
        <v>0</v>
      </c>
      <c r="AH22" s="24">
        <f>IFERROR(INDEX([2]BEV!$C$10:$O$68,
      MATCH(B22,[2]BEV!$B$10:$B$68,0),
      MATCH("OCTUBRE",[2]BEV!$C$9:$O$9,0)),
   0)-IF(B22=100873,
   IFERROR(VLOOKUP("OCTUBRE",[2]BEV!$B$80:$C$93,2,0),
      0),
   0)</f>
        <v>0</v>
      </c>
      <c r="AI22" s="283">
        <f ca="1">IFERROR(AH22/AG22,0)</f>
        <v>0</v>
      </c>
      <c r="AJ22" s="21">
        <f ca="1">SUMIF('UC BMW 2026'!$B$5:$B$81,B22,'UC BMW 2026'!$Z$5:$Z$72)</f>
        <v>0</v>
      </c>
      <c r="AK22" s="24">
        <f>IFERROR(INDEX([2]BEV!$C$10:$O$68,
      MATCH(B22,[2]BEV!$B$10:$B$68,0),
      MATCH("NOVIEMBRE",[2]BEV!$C$9:$O$9,0)),
   0)-IF(B22=100873,
   IFERROR(VLOOKUP("NOVIEMBRE",[2]BEV!$B$80:$C$93,2,0),
      0),
   0)</f>
        <v>0</v>
      </c>
      <c r="AL22" s="283">
        <f ca="1">IFERROR(AK22/AJ22,0)</f>
        <v>0</v>
      </c>
      <c r="AM22" s="21">
        <f ca="1">SUMIF('UC BMW 2026'!$B$5:$B$81,B22,'UC BMW 2026'!$AB$5:$AB$72)</f>
        <v>0</v>
      </c>
      <c r="AN22" s="24">
        <f>IFERROR(INDEX([2]BEV!$C$10:$O$68,
      MATCH(B22,[2]BEV!$B$10:$B$68,0),
      MATCH("DICIEMBRE",[2]BEV!$C$9:$O$9,0)),
   0)-IF(B22=100873,
   IFERROR(VLOOKUP("DICIEMBRE",[2]BEV!$B$80:$C$93,2,0),
      0),
   0)</f>
        <v>0</v>
      </c>
      <c r="AO22" s="283">
        <f ca="1">IFERROR(AN22/AM22,0)</f>
        <v>0</v>
      </c>
      <c r="AP22" s="21">
        <f t="shared" ca="1" si="25"/>
        <v>117</v>
      </c>
      <c r="AQ22" s="280">
        <f t="shared" si="25"/>
        <v>155</v>
      </c>
      <c r="AR22" s="129">
        <f ca="1">IFERROR(AQ22/AP22,0)</f>
        <v>1.3247863247863247</v>
      </c>
      <c r="AS22" s="21">
        <f t="shared" ca="1" si="26"/>
        <v>117</v>
      </c>
      <c r="AT22" s="280">
        <f t="shared" si="26"/>
        <v>155</v>
      </c>
      <c r="AU22" s="129">
        <f ca="1">IFERROR(AT22/AS22,0)</f>
        <v>1.3247863247863247</v>
      </c>
      <c r="AV22" s="25"/>
      <c r="AW22" s="27"/>
      <c r="AX22" s="283"/>
      <c r="AY22" s="295"/>
      <c r="AZ22" s="283"/>
      <c r="BA22" s="27"/>
      <c r="BB22" s="129"/>
      <c r="BC22" s="21">
        <f t="shared" ca="1" si="27"/>
        <v>117</v>
      </c>
      <c r="BD22" s="280">
        <f t="shared" si="27"/>
        <v>155</v>
      </c>
      <c r="BE22" s="130">
        <f ca="1">IFERROR(BD22/BC22,0)</f>
        <v>1.3247863247863247</v>
      </c>
      <c r="BF22" s="34">
        <f t="shared" ca="1" si="24"/>
        <v>0</v>
      </c>
      <c r="BG22" s="280">
        <f t="shared" si="24"/>
        <v>0</v>
      </c>
      <c r="BH22" s="130">
        <f ca="1">IFERROR(BG22/BF22,0)</f>
        <v>0</v>
      </c>
      <c r="BI22" s="4">
        <v>1</v>
      </c>
      <c r="BK22" s="4">
        <f ca="1"/>
        <v>180</v>
      </c>
      <c r="BL22" s="4">
        <v>245</v>
      </c>
      <c r="BM22" s="4">
        <f ca="1"/>
        <v>1.3809523809523809</v>
      </c>
      <c r="BO22" s="15">
        <f ca="1">SUM(O22,R22,U22)</f>
        <v>60</v>
      </c>
      <c r="BP22" s="15">
        <f>SUM(V22,S22,P22)</f>
        <v>91</v>
      </c>
    </row>
    <row r="23" spans="1:68" s="4" customFormat="1" ht="15" customHeight="1" thickBot="1" x14ac:dyDescent="0.3">
      <c r="A23" s="4">
        <f>_xlfn.XLOOKUP(B23,'WHOLESALE BMW 2026'!$B$7:$B$67,'WHOLESALE BMW 2026'!$A$7:$A$67)</f>
        <v>0</v>
      </c>
      <c r="B23" s="7" t="s">
        <v>273</v>
      </c>
      <c r="C23" s="28"/>
      <c r="D23" s="125"/>
      <c r="E23" s="7"/>
      <c r="F23" s="277">
        <f ca="1">SUM(F18:F22)</f>
        <v>77</v>
      </c>
      <c r="G23" s="277">
        <f>SUM(G18:G22)</f>
        <v>47</v>
      </c>
      <c r="H23" s="132">
        <f ca="1">IFERROR(G23/F23,0)</f>
        <v>0.61038961038961037</v>
      </c>
      <c r="I23" s="277">
        <f ca="1">SUM(I18:I22)</f>
        <v>77</v>
      </c>
      <c r="J23" s="277">
        <f>SUM(J18:J22)</f>
        <v>90</v>
      </c>
      <c r="K23" s="132">
        <f ca="1">IFERROR(J23/I23,0)</f>
        <v>1.1688311688311688</v>
      </c>
      <c r="L23" s="277">
        <f ca="1">SUM(L18:L22)</f>
        <v>77</v>
      </c>
      <c r="M23" s="277">
        <f>SUM(M18:M22)</f>
        <v>86</v>
      </c>
      <c r="N23" s="132">
        <f ca="1">IFERROR(M23/L23,0)</f>
        <v>1.1168831168831168</v>
      </c>
      <c r="O23" s="277">
        <f ca="1">SUM(O18:O22)</f>
        <v>80</v>
      </c>
      <c r="P23" s="277">
        <f>SUM(P18:P22)</f>
        <v>73</v>
      </c>
      <c r="Q23" s="132">
        <f ca="1">IFERROR(P23/O23,0)</f>
        <v>0.91249999999999998</v>
      </c>
      <c r="R23" s="277">
        <f ca="1">SUM(R18:R22)</f>
        <v>81</v>
      </c>
      <c r="S23" s="277">
        <f>SUM(S18:S22)</f>
        <v>65</v>
      </c>
      <c r="T23" s="132">
        <f ca="1">IFERROR(S23/R23,0)</f>
        <v>0.80246913580246915</v>
      </c>
      <c r="U23" s="277">
        <f ca="1">SUM(U18:U22)</f>
        <v>82</v>
      </c>
      <c r="V23" s="277">
        <f>SUM(V18:V22)</f>
        <v>132</v>
      </c>
      <c r="W23" s="132">
        <f ca="1">IFERROR(V23/U23,0)</f>
        <v>1.6097560975609757</v>
      </c>
      <c r="X23" s="277">
        <f ca="1">SUM(X18:X22)</f>
        <v>0</v>
      </c>
      <c r="Y23" s="277">
        <f>SUM(Y18:Y22)</f>
        <v>0</v>
      </c>
      <c r="Z23" s="132">
        <f ca="1">IFERROR(Y23/X23,0)</f>
        <v>0</v>
      </c>
      <c r="AA23" s="277">
        <f ca="1">SUM(AA18:AA22)</f>
        <v>0</v>
      </c>
      <c r="AB23" s="277">
        <f>SUM(AB18:AB22)</f>
        <v>0</v>
      </c>
      <c r="AC23" s="132">
        <f ca="1">IFERROR(AB23/AA23,0)</f>
        <v>0</v>
      </c>
      <c r="AD23" s="277">
        <f ca="1">SUM(AD18:AD22)</f>
        <v>0</v>
      </c>
      <c r="AE23" s="277">
        <f>SUM(AE18:AE22)</f>
        <v>0</v>
      </c>
      <c r="AF23" s="132">
        <f ca="1">IFERROR(AE23/AD23,0)</f>
        <v>0</v>
      </c>
      <c r="AG23" s="277">
        <f ca="1">SUM(AG18:AG22)</f>
        <v>0</v>
      </c>
      <c r="AH23" s="277">
        <f>SUM(AH18:AH22)</f>
        <v>0</v>
      </c>
      <c r="AI23" s="132">
        <f ca="1">IFERROR(AH23/AG23,0)</f>
        <v>0</v>
      </c>
      <c r="AJ23" s="277">
        <f ca="1">SUM(AJ18:AJ22)</f>
        <v>0</v>
      </c>
      <c r="AK23" s="277">
        <f>SUM(AK18:AK22)</f>
        <v>0</v>
      </c>
      <c r="AL23" s="132">
        <f ca="1">IFERROR(AK23/AJ23,0)</f>
        <v>0</v>
      </c>
      <c r="AM23" s="277">
        <f ca="1">SUM(AM18:AM22)</f>
        <v>0</v>
      </c>
      <c r="AN23" s="277">
        <f>SUM(AN18:AN22)</f>
        <v>0</v>
      </c>
      <c r="AO23" s="132">
        <f ca="1">IFERROR(AN23/AM23,0)</f>
        <v>0</v>
      </c>
      <c r="AP23" s="277">
        <f t="shared" ca="1" si="25"/>
        <v>474</v>
      </c>
      <c r="AQ23" s="410">
        <f t="shared" si="25"/>
        <v>493</v>
      </c>
      <c r="AR23" s="131">
        <f ca="1">IFERROR(AQ23/AP23,0)</f>
        <v>1.0400843881856541</v>
      </c>
      <c r="AS23" s="277">
        <f t="shared" ca="1" si="26"/>
        <v>474</v>
      </c>
      <c r="AT23" s="410">
        <f t="shared" si="26"/>
        <v>493</v>
      </c>
      <c r="AU23" s="131">
        <f ca="1">IFERROR(AT23/AS23,0)</f>
        <v>1.0400843881856541</v>
      </c>
      <c r="AV23" s="200"/>
      <c r="AW23" s="258"/>
      <c r="AX23" s="132"/>
      <c r="AY23" s="278"/>
      <c r="AZ23" s="132"/>
      <c r="BA23" s="258"/>
      <c r="BB23" s="131"/>
      <c r="BC23" s="277">
        <f t="shared" ca="1" si="27"/>
        <v>474</v>
      </c>
      <c r="BD23" s="410">
        <f t="shared" si="27"/>
        <v>493</v>
      </c>
      <c r="BE23" s="275">
        <f ca="1">IFERROR(BD23/BC23,0)</f>
        <v>1.0400843881856541</v>
      </c>
      <c r="BF23" s="277">
        <f ca="1">IFERROR(SUM(BF18:BF22),0)</f>
        <v>0</v>
      </c>
      <c r="BG23" s="277">
        <f>IFERROR(SUM(BG18:BG22),0)</f>
        <v>0</v>
      </c>
      <c r="BH23" s="275">
        <f ca="1">IFERROR(BG23/BF23,0)</f>
        <v>0</v>
      </c>
      <c r="BI23" s="4">
        <v>0</v>
      </c>
      <c r="BK23" s="4">
        <f ca="1"/>
        <v>171</v>
      </c>
      <c r="BL23" s="4">
        <v>234</v>
      </c>
      <c r="BM23" s="508">
        <f ca="1"/>
        <v>1.3714285714285714</v>
      </c>
      <c r="BO23" s="15"/>
      <c r="BP23" s="15"/>
    </row>
    <row r="24" spans="1:68" s="4" customFormat="1" ht="15" customHeight="1" x14ac:dyDescent="0.3">
      <c r="A24" s="4">
        <f>_xlfn.XLOOKUP(B24,'WHOLESALE BMW 2026'!$B$7:$B$67,'WHOLESALE BMW 2026'!$A$7:$A$67)</f>
        <v>4</v>
      </c>
      <c r="B24" s="8">
        <v>100120</v>
      </c>
      <c r="C24" s="369" t="s">
        <v>44</v>
      </c>
      <c r="D24" s="125"/>
      <c r="E24" s="309" t="s">
        <v>80</v>
      </c>
      <c r="F24" s="21">
        <f ca="1">SUMIF('UC BMW 2026'!$B$5:$B$81,B24,'UC BMW 2026'!$F$5:$F$72)</f>
        <v>7</v>
      </c>
      <c r="G24" s="24">
        <f>IFERROR(INDEX([2]BEV!$C$10:$O$68,
      MATCH(B24,[2]BEV!$B$10:$B$68,0),
      MATCH("ENERO",[2]BEV!$C$9:$O$9,0)),
   0)-IF(B24=100873,
   IFERROR(VLOOKUP("ENERO",[2]BEV!$B$80:$C$93,2,0),
      0),
   0)</f>
        <v>0</v>
      </c>
      <c r="H24" s="282">
        <f t="shared" ref="H24:H30" ca="1" si="28">IFERROR(G24/F24,0)</f>
        <v>0</v>
      </c>
      <c r="I24" s="21">
        <f ca="1">SUMIF('UC BMW 2026'!$B$5:$B$81,B24,'UC BMW 2026'!$H$5:$H$72)</f>
        <v>7</v>
      </c>
      <c r="J24" s="24">
        <f>IFERROR(INDEX([2]BEV!$C$10:$O$68,
      MATCH(B24,[2]BEV!$B$10:$B$68,0),
      MATCH("FEBRERO",[2]BEV!$C$9:$O$9,0)),
   0)-IF(B24=100873,
   IFERROR(VLOOKUP("FEBRERO",[2]BEV!$B$80:$C$93,2,0),
      0),
   0)</f>
        <v>3</v>
      </c>
      <c r="K24" s="282">
        <f t="shared" ref="K24:K30" ca="1" si="29">IFERROR(J24/I24,0)</f>
        <v>0.42857142857142855</v>
      </c>
      <c r="L24" s="21">
        <f ca="1">SUMIF('UC BMW 2026'!$B$5:$B$81,B24,'UC BMW 2026'!$J$5:$J$72)</f>
        <v>7</v>
      </c>
      <c r="M24" s="24">
        <f>IFERROR(INDEX([2]BEV!$C$10:$O$68,
      MATCH(B24,[2]BEV!$B$10:$B$68,0),
      MATCH("MARZO",[2]BEV!$C$9:$O$9,0)),
   0)-IF(B24=100873,
   IFERROR(VLOOKUP("MARZO",[2]BEV!$B$80:$C$93,2,0),
      0),
   0)</f>
        <v>7</v>
      </c>
      <c r="N24" s="282">
        <f t="shared" ref="N24:N30" ca="1" si="30">IFERROR(M24/L24,0)</f>
        <v>1</v>
      </c>
      <c r="O24" s="21">
        <f ca="1">SUMIF('UC BMW 2026'!$B$5:$B$81,B24,'UC BMW 2026'!$L$5:$L$72)</f>
        <v>7</v>
      </c>
      <c r="P24" s="24">
        <f>IFERROR(INDEX([2]BEV!$C$10:$O$68,
      MATCH(B24,[2]BEV!$B$10:$B$68,0),
      MATCH("ABRIL",[2]BEV!$C$9:$O$9,0)),
   0)-IF(B24=100873,
   IFERROR(VLOOKUP("ABRIL",[2]BEV!$B$80:$C$93,2,0),
      0),
   0)</f>
        <v>6</v>
      </c>
      <c r="Q24" s="282">
        <f t="shared" ref="Q24:Q30" ca="1" si="31">IFERROR(P24/O24,0)</f>
        <v>0.8571428571428571</v>
      </c>
      <c r="R24" s="21">
        <f ca="1">SUMIF('UC BMW 2026'!$B$5:$B$81,B24,'UC BMW 2026'!$N$5:$N$72)</f>
        <v>7</v>
      </c>
      <c r="S24" s="24">
        <f>IFERROR(INDEX([2]BEV!$C$10:$O$68,
      MATCH(B24,[2]BEV!$B$10:$B$68,0),
      MATCH("MAYO",[2]BEV!$C$9:$O$9,0)),
   0)-IF(B24=100873,
   IFERROR(VLOOKUP("MAYO",[2]BEV!$B$80:$C$93,2,0),
      0),
   0)</f>
        <v>10</v>
      </c>
      <c r="T24" s="282">
        <f t="shared" ref="T24:T30" ca="1" si="32">IFERROR(S24/R24,0)</f>
        <v>1.4285714285714286</v>
      </c>
      <c r="U24" s="21">
        <f ca="1">SUMIF('UC BMW 2026'!$B$5:$B$81,B24,'UC BMW 2026'!$P$5:$P$72)</f>
        <v>7</v>
      </c>
      <c r="V24" s="24">
        <f>IFERROR(INDEX([2]BEV!$C$10:$O$68,
      MATCH(B24,[2]BEV!$B$10:$B$68,0),
      MATCH("JUNIO",[2]BEV!$C$9:$O$9,0)),
   0)-IF(B24=100873,
   IFERROR(VLOOKUP("JUNIO",[2]BEV!$B$80:$C$93,2,0),
      0),
   0)</f>
        <v>11</v>
      </c>
      <c r="W24" s="282">
        <f t="shared" ref="W24:W30" ca="1" si="33">IFERROR(V24/U24,0)</f>
        <v>1.5714285714285714</v>
      </c>
      <c r="X24" s="21">
        <f ca="1">SUMIF('UC BMW 2026'!$B$5:$B$81,B24,'UC BMW 2026'!$R$5:$R$72)</f>
        <v>0</v>
      </c>
      <c r="Y24" s="24">
        <f>IFERROR(INDEX([2]BEV!$C$10:$O$68,
      MATCH(B24,[2]BEV!$B$10:$B$68,0),
      MATCH("JULIO",[2]BEV!$C$9:$O$9,0)),
   0)-IF(B24=100873,
   IFERROR(VLOOKUP("JULIO",[2]BEV!$B$80:$C$93,2,0),
      0),
   0)</f>
        <v>0</v>
      </c>
      <c r="Z24" s="282">
        <f t="shared" ref="Z24:Z30" ca="1" si="34">IFERROR(Y24/X24,0)</f>
        <v>0</v>
      </c>
      <c r="AA24" s="21">
        <f ca="1">SUMIF('UC BMW 2026'!$B$5:$B$81,B24,'UC BMW 2026'!$T$5:$T$72)</f>
        <v>0</v>
      </c>
      <c r="AB24" s="24">
        <f>IFERROR(INDEX([2]BEV!$C$10:$O$68,
      MATCH(B24,[2]BEV!$B$10:$B$68,0),
      MATCH("AGOSTO",[2]BEV!$C$9:$O$9,0)),
   0)-IF(B24=100873,
   IFERROR(VLOOKUP("AGOSTO",[2]BEV!$B$80:$C$93,2,0),
      0),
   0)</f>
        <v>0</v>
      </c>
      <c r="AC24" s="282">
        <f t="shared" ref="AC24:AC30" ca="1" si="35">IFERROR(AB24/AA24,0)</f>
        <v>0</v>
      </c>
      <c r="AD24" s="21">
        <f ca="1">SUMIF('UC BMW 2026'!$B$5:$B$81,B24,'UC BMW 2026'!$V$5:$V$72)</f>
        <v>0</v>
      </c>
      <c r="AE24" s="24">
        <f>IFERROR(INDEX([2]BEV!$C$10:$O$68,
      MATCH(B24,[2]BEV!$B$10:$B$68,0),
      MATCH("SEPTIEMBRE",[2]BEV!$C$9:$O$9,0)),
   0)-IF(B24=100873,
   IFERROR(VLOOKUP("SEPTIEMBRE",[2]BEV!$B$80:$C$93,2,0),
      0),
   0)</f>
        <v>0</v>
      </c>
      <c r="AF24" s="282">
        <f t="shared" ref="AF24:AF30" ca="1" si="36">IFERROR(AE24/AD24,0)</f>
        <v>0</v>
      </c>
      <c r="AG24" s="21">
        <f ca="1">SUMIF('UC BMW 2026'!$B$5:$B$81,B24,'UC BMW 2026'!$X$5:$X$72)</f>
        <v>0</v>
      </c>
      <c r="AH24" s="24">
        <f>IFERROR(INDEX([2]BEV!$C$10:$O$68,
      MATCH(B24,[2]BEV!$B$10:$B$68,0),
      MATCH("OCTUBRE",[2]BEV!$C$9:$O$9,0)),
   0)-IF(B24=100873,
   IFERROR(VLOOKUP("OCTUBRE",[2]BEV!$B$80:$C$93,2,0),
      0),
   0)</f>
        <v>0</v>
      </c>
      <c r="AI24" s="282">
        <f t="shared" ref="AI24:AI30" ca="1" si="37">IFERROR(AH24/AG24,0)</f>
        <v>0</v>
      </c>
      <c r="AJ24" s="21">
        <f ca="1">SUMIF('UC BMW 2026'!$B$5:$B$81,B24,'UC BMW 2026'!$Z$5:$Z$72)</f>
        <v>0</v>
      </c>
      <c r="AK24" s="24">
        <f>IFERROR(INDEX([2]BEV!$C$10:$O$68,
      MATCH(B24,[2]BEV!$B$10:$B$68,0),
      MATCH("NOVIEMBRE",[2]BEV!$C$9:$O$9,0)),
   0)-IF(B24=100873,
   IFERROR(VLOOKUP("NOVIEMBRE",[2]BEV!$B$80:$C$93,2,0),
      0),
   0)</f>
        <v>0</v>
      </c>
      <c r="AL24" s="282">
        <f t="shared" ref="AL24:AL30" ca="1" si="38">IFERROR(AK24/AJ24,0)</f>
        <v>0</v>
      </c>
      <c r="AM24" s="21">
        <f ca="1">SUMIF('UC BMW 2026'!$B$5:$B$81,B24,'UC BMW 2026'!$AB$5:$AB$72)</f>
        <v>0</v>
      </c>
      <c r="AN24" s="24">
        <f>IFERROR(INDEX([2]BEV!$C$10:$O$68,
      MATCH(B24,[2]BEV!$B$10:$B$68,0),
      MATCH("DICIEMBRE",[2]BEV!$C$9:$O$9,0)),
   0)-IF(B24=100873,
   IFERROR(VLOOKUP("DICIEMBRE",[2]BEV!$B$80:$C$93,2,0),
      0),
   0)</f>
        <v>0</v>
      </c>
      <c r="AO24" s="282">
        <f t="shared" ref="AO24:AO30" ca="1" si="39">IFERROR(AN24/AM24,0)</f>
        <v>0</v>
      </c>
      <c r="AP24" s="21">
        <f t="shared" ref="AP24:AQ30" ca="1" si="40">IFERROR(IF($AP$4="ENERO",F24,IF($AP$4="FEBRERO",F24+I24,IF($AP$4="MARZO",F24+I24+L24,IF($AP$4="ABRIL",F24+I24+L24+O24,IF($AP$4="MAYO",F24+I24+L24+O24+R24,IF($AP$4="JUNIO",F24+I24+L24+O24+R24+U24,IF($AP$4="JULIO",F24+I24+L24+O24+R24+U24+X24,IF($AP$4="AGOSTO",F24+I24+L24+O24+R24+U24+X24+AA24,IF($AP$4="SEPTIEMBRE",F24+I24+L24+O24+R24+U24+X24+AA24+AD24,IF($AP$4="OCTUBRE",F24+I24+L24+O24+R24+U24+X24+AA24+AD24+AG24,IF($AP$4="NOVIEMBRE",F24+I24+L24+O24+R24+U24+X24+AA24+AD24+AG24+AJ24,IF($AP$4="DICIEMBRE",F24+I24+L24+O24+R24+U24+X24+AA24+AD24+AG24+AJ24+AM24,"")))))))))))),0)</f>
        <v>42</v>
      </c>
      <c r="AQ24" s="24">
        <f t="shared" si="40"/>
        <v>37</v>
      </c>
      <c r="AR24" s="129">
        <f t="shared" ref="AR24:AR30" ca="1" si="41">IFERROR(AQ24/AP24,0)</f>
        <v>0.88095238095238093</v>
      </c>
      <c r="AS24" s="21">
        <f t="shared" ref="AS24:AT30" ca="1" si="42">IFERROR(SUM(AM24,AJ24,AG24,AD24,AA24,X24,U24,R24,O24,L24,I24,F24),0)</f>
        <v>42</v>
      </c>
      <c r="AT24" s="24">
        <f t="shared" si="42"/>
        <v>37</v>
      </c>
      <c r="AU24" s="129">
        <f t="shared" ref="AU24:AU30" ca="1" si="43">IFERROR(AT24/AS24,0)</f>
        <v>0.88095238095238093</v>
      </c>
      <c r="AV24" s="25"/>
      <c r="AW24" s="27"/>
      <c r="AX24" s="287"/>
      <c r="AY24" s="291"/>
      <c r="AZ24" s="129"/>
      <c r="BA24" s="27"/>
      <c r="BB24" s="129"/>
      <c r="BC24" s="21">
        <f t="shared" ref="BC24:BD30" ca="1" si="44">IFERROR(IF($BC$5="S 1",F24+I24+L24+O24+R24+U24,
IF($BC$5="S 2",X24+AA24+AD24+AG24+AJ24+AM24,0)),0)</f>
        <v>42</v>
      </c>
      <c r="BD24" s="24">
        <f t="shared" si="44"/>
        <v>37</v>
      </c>
      <c r="BE24" s="130">
        <f t="shared" ref="BE24:BE30" ca="1" si="45">IFERROR(BD24/BC24,0)</f>
        <v>0.88095238095238093</v>
      </c>
      <c r="BF24" s="34">
        <f t="shared" ref="BF24:BG30" ca="1" si="46">IFERROR(IF($BF$5="S 1",F24+I24+L24+O24+R24+U24,
IF($BF$5="S 2",X24+AA24+AD24+AG24+AJ24+AM24,0)),0)</f>
        <v>0</v>
      </c>
      <c r="BG24" s="24">
        <f t="shared" si="46"/>
        <v>0</v>
      </c>
      <c r="BH24" s="130">
        <f t="shared" ref="BH24:BH30" ca="1" si="47">IFERROR(BG24/BF24,0)</f>
        <v>0</v>
      </c>
      <c r="BI24" s="4">
        <v>1</v>
      </c>
      <c r="BK24" s="4">
        <f ca="1"/>
        <v>168</v>
      </c>
      <c r="BL24" s="4">
        <v>234</v>
      </c>
      <c r="BM24" s="508">
        <f ca="1"/>
        <v>1.3642857142857143</v>
      </c>
      <c r="BO24" s="15">
        <f t="shared" ref="BO24:BO30" ca="1" si="48">SUM(O24,R24,U24)</f>
        <v>21</v>
      </c>
      <c r="BP24" s="15">
        <f t="shared" ref="BP24:BP30" si="49">SUM(V24,S24,P24)</f>
        <v>27</v>
      </c>
    </row>
    <row r="25" spans="1:68" s="4" customFormat="1" ht="15" customHeight="1" x14ac:dyDescent="0.3">
      <c r="A25" s="4">
        <f>_xlfn.XLOOKUP(B25,'WHOLESALE BMW 2026'!$B$7:$B$67,'WHOLESALE BMW 2026'!$A$7:$A$67)</f>
        <v>4</v>
      </c>
      <c r="B25" s="8">
        <v>100146</v>
      </c>
      <c r="C25" s="369" t="s">
        <v>18</v>
      </c>
      <c r="D25" s="125"/>
      <c r="E25" s="309" t="s">
        <v>81</v>
      </c>
      <c r="F25" s="21">
        <f ca="1">SUMIF('UC BMW 2026'!$B$5:$B$81,B25,'UC BMW 2026'!$F$5:$F$72)</f>
        <v>7</v>
      </c>
      <c r="G25" s="24">
        <f>IFERROR(INDEX([2]BEV!$C$10:$O$68,
      MATCH(B25,[2]BEV!$B$10:$B$68,0),
      MATCH("ENERO",[2]BEV!$C$9:$O$9,0)),
   0)-IF(B25=100873,
   IFERROR(VLOOKUP("ENERO",[2]BEV!$B$80:$C$93,2,0),
      0),
   0)</f>
        <v>12</v>
      </c>
      <c r="H25" s="282">
        <f t="shared" ca="1" si="28"/>
        <v>1.7142857142857142</v>
      </c>
      <c r="I25" s="21">
        <f ca="1">SUMIF('UC BMW 2026'!$B$5:$B$81,B25,'UC BMW 2026'!$H$5:$H$72)</f>
        <v>7</v>
      </c>
      <c r="J25" s="24">
        <f>IFERROR(INDEX([2]BEV!$C$10:$O$68,
      MATCH(B25,[2]BEV!$B$10:$B$68,0),
      MATCH("FEBRERO",[2]BEV!$C$9:$O$9,0)),
   0)-IF(B25=100873,
   IFERROR(VLOOKUP("FEBRERO",[2]BEV!$B$80:$C$93,2,0),
      0),
   0)</f>
        <v>7</v>
      </c>
      <c r="K25" s="282">
        <f t="shared" ca="1" si="29"/>
        <v>1</v>
      </c>
      <c r="L25" s="21">
        <f ca="1">SUMIF('UC BMW 2026'!$B$5:$B$81,B25,'UC BMW 2026'!$J$5:$J$72)</f>
        <v>7</v>
      </c>
      <c r="M25" s="24">
        <f>IFERROR(INDEX([2]BEV!$C$10:$O$68,
      MATCH(B25,[2]BEV!$B$10:$B$68,0),
      MATCH("MARZO",[2]BEV!$C$9:$O$9,0)),
   0)-IF(B25=100873,
   IFERROR(VLOOKUP("MARZO",[2]BEV!$B$80:$C$93,2,0),
      0),
   0)</f>
        <v>0</v>
      </c>
      <c r="N25" s="282">
        <f t="shared" ca="1" si="30"/>
        <v>0</v>
      </c>
      <c r="O25" s="21">
        <f ca="1">SUMIF('UC BMW 2026'!$B$5:$B$81,B25,'UC BMW 2026'!$L$5:$L$72)</f>
        <v>8</v>
      </c>
      <c r="P25" s="24">
        <f>IFERROR(INDEX([2]BEV!$C$10:$O$68,
      MATCH(B25,[2]BEV!$B$10:$B$68,0),
      MATCH("ABRIL",[2]BEV!$C$9:$O$9,0)),
   0)-IF(B25=100873,
   IFERROR(VLOOKUP("ABRIL",[2]BEV!$B$80:$C$93,2,0),
      0),
   0)</f>
        <v>6</v>
      </c>
      <c r="Q25" s="282">
        <f t="shared" ca="1" si="31"/>
        <v>0.75</v>
      </c>
      <c r="R25" s="21">
        <f ca="1">SUMIF('UC BMW 2026'!$B$5:$B$81,B25,'UC BMW 2026'!$N$5:$N$72)</f>
        <v>8</v>
      </c>
      <c r="S25" s="24">
        <f>IFERROR(INDEX([2]BEV!$C$10:$O$68,
      MATCH(B25,[2]BEV!$B$10:$B$68,0),
      MATCH("MAYO",[2]BEV!$C$9:$O$9,0)),
   0)-IF(B25=100873,
   IFERROR(VLOOKUP("MAYO",[2]BEV!$B$80:$C$93,2,0),
      0),
   0)</f>
        <v>1</v>
      </c>
      <c r="T25" s="282">
        <f t="shared" ca="1" si="32"/>
        <v>0.125</v>
      </c>
      <c r="U25" s="21">
        <f ca="1">SUMIF('UC BMW 2026'!$B$5:$B$81,B25,'UC BMW 2026'!$P$5:$P$72)</f>
        <v>8</v>
      </c>
      <c r="V25" s="24">
        <f>IFERROR(INDEX([2]BEV!$C$10:$O$68,
      MATCH(B25,[2]BEV!$B$10:$B$68,0),
      MATCH("JUNIO",[2]BEV!$C$9:$O$9,0)),
   0)-IF(B25=100873,
   IFERROR(VLOOKUP("JUNIO",[2]BEV!$B$80:$C$93,2,0),
      0),
   0)</f>
        <v>4</v>
      </c>
      <c r="W25" s="282">
        <f t="shared" ca="1" si="33"/>
        <v>0.5</v>
      </c>
      <c r="X25" s="21">
        <f ca="1">SUMIF('UC BMW 2026'!$B$5:$B$81,B25,'UC BMW 2026'!$R$5:$R$72)</f>
        <v>0</v>
      </c>
      <c r="Y25" s="24">
        <f>IFERROR(INDEX([2]BEV!$C$10:$O$68,
      MATCH(B25,[2]BEV!$B$10:$B$68,0),
      MATCH("JULIO",[2]BEV!$C$9:$O$9,0)),
   0)-IF(B25=100873,
   IFERROR(VLOOKUP("JULIO",[2]BEV!$B$80:$C$93,2,0),
      0),
   0)</f>
        <v>0</v>
      </c>
      <c r="Z25" s="282">
        <f t="shared" ca="1" si="34"/>
        <v>0</v>
      </c>
      <c r="AA25" s="21">
        <f ca="1">SUMIF('UC BMW 2026'!$B$5:$B$81,B25,'UC BMW 2026'!$T$5:$T$72)</f>
        <v>0</v>
      </c>
      <c r="AB25" s="24">
        <f>IFERROR(INDEX([2]BEV!$C$10:$O$68,
      MATCH(B25,[2]BEV!$B$10:$B$68,0),
      MATCH("AGOSTO",[2]BEV!$C$9:$O$9,0)),
   0)-IF(B25=100873,
   IFERROR(VLOOKUP("AGOSTO",[2]BEV!$B$80:$C$93,2,0),
      0),
   0)</f>
        <v>0</v>
      </c>
      <c r="AC25" s="282">
        <f t="shared" ca="1" si="35"/>
        <v>0</v>
      </c>
      <c r="AD25" s="21">
        <f ca="1">SUMIF('UC BMW 2026'!$B$5:$B$81,B25,'UC BMW 2026'!$V$5:$V$72)</f>
        <v>0</v>
      </c>
      <c r="AE25" s="24">
        <f>IFERROR(INDEX([2]BEV!$C$10:$O$68,
      MATCH(B25,[2]BEV!$B$10:$B$68,0),
      MATCH("SEPTIEMBRE",[2]BEV!$C$9:$O$9,0)),
   0)-IF(B25=100873,
   IFERROR(VLOOKUP("SEPTIEMBRE",[2]BEV!$B$80:$C$93,2,0),
      0),
   0)</f>
        <v>0</v>
      </c>
      <c r="AF25" s="282">
        <f t="shared" ca="1" si="36"/>
        <v>0</v>
      </c>
      <c r="AG25" s="21">
        <f ca="1">SUMIF('UC BMW 2026'!$B$5:$B$81,B25,'UC BMW 2026'!$X$5:$X$72)</f>
        <v>0</v>
      </c>
      <c r="AH25" s="24">
        <f>IFERROR(INDEX([2]BEV!$C$10:$O$68,
      MATCH(B25,[2]BEV!$B$10:$B$68,0),
      MATCH("OCTUBRE",[2]BEV!$C$9:$O$9,0)),
   0)-IF(B25=100873,
   IFERROR(VLOOKUP("OCTUBRE",[2]BEV!$B$80:$C$93,2,0),
      0),
   0)</f>
        <v>0</v>
      </c>
      <c r="AI25" s="282">
        <f t="shared" ca="1" si="37"/>
        <v>0</v>
      </c>
      <c r="AJ25" s="21">
        <f ca="1">SUMIF('UC BMW 2026'!$B$5:$B$81,B25,'UC BMW 2026'!$Z$5:$Z$72)</f>
        <v>0</v>
      </c>
      <c r="AK25" s="24">
        <f>IFERROR(INDEX([2]BEV!$C$10:$O$68,
      MATCH(B25,[2]BEV!$B$10:$B$68,0),
      MATCH("NOVIEMBRE",[2]BEV!$C$9:$O$9,0)),
   0)-IF(B25=100873,
   IFERROR(VLOOKUP("NOVIEMBRE",[2]BEV!$B$80:$C$93,2,0),
      0),
   0)</f>
        <v>0</v>
      </c>
      <c r="AL25" s="282">
        <f t="shared" ca="1" si="38"/>
        <v>0</v>
      </c>
      <c r="AM25" s="21">
        <f ca="1">SUMIF('UC BMW 2026'!$B$5:$B$81,B25,'UC BMW 2026'!$AB$5:$AB$72)</f>
        <v>0</v>
      </c>
      <c r="AN25" s="24">
        <f>IFERROR(INDEX([2]BEV!$C$10:$O$68,
      MATCH(B25,[2]BEV!$B$10:$B$68,0),
      MATCH("DICIEMBRE",[2]BEV!$C$9:$O$9,0)),
   0)-IF(B25=100873,
   IFERROR(VLOOKUP("DICIEMBRE",[2]BEV!$B$80:$C$93,2,0),
      0),
   0)</f>
        <v>0</v>
      </c>
      <c r="AO25" s="282">
        <f t="shared" ca="1" si="39"/>
        <v>0</v>
      </c>
      <c r="AP25" s="21">
        <f t="shared" ca="1" si="40"/>
        <v>45</v>
      </c>
      <c r="AQ25" s="24">
        <f t="shared" si="40"/>
        <v>30</v>
      </c>
      <c r="AR25" s="129">
        <f t="shared" ca="1" si="41"/>
        <v>0.66666666666666663</v>
      </c>
      <c r="AS25" s="21">
        <f t="shared" ca="1" si="42"/>
        <v>45</v>
      </c>
      <c r="AT25" s="24">
        <f t="shared" si="42"/>
        <v>30</v>
      </c>
      <c r="AU25" s="129">
        <f t="shared" ca="1" si="43"/>
        <v>0.66666666666666663</v>
      </c>
      <c r="AV25" s="25"/>
      <c r="AW25" s="27"/>
      <c r="AX25" s="287"/>
      <c r="AY25" s="291"/>
      <c r="AZ25" s="129"/>
      <c r="BA25" s="27"/>
      <c r="BB25" s="129"/>
      <c r="BC25" s="21">
        <f t="shared" ca="1" si="44"/>
        <v>45</v>
      </c>
      <c r="BD25" s="24">
        <f t="shared" si="44"/>
        <v>30</v>
      </c>
      <c r="BE25" s="130">
        <f t="shared" ca="1" si="45"/>
        <v>0.66666666666666663</v>
      </c>
      <c r="BF25" s="34">
        <f t="shared" ca="1" si="46"/>
        <v>0</v>
      </c>
      <c r="BG25" s="24">
        <f t="shared" si="46"/>
        <v>0</v>
      </c>
      <c r="BH25" s="130">
        <f t="shared" ca="1" si="47"/>
        <v>0</v>
      </c>
      <c r="BI25" s="4">
        <v>1</v>
      </c>
      <c r="BK25" s="4">
        <f ca="1"/>
        <v>160</v>
      </c>
      <c r="BL25" s="4">
        <v>224</v>
      </c>
      <c r="BM25" s="508">
        <f ca="1"/>
        <v>1.3545454545454545</v>
      </c>
      <c r="BO25" s="15">
        <f t="shared" ca="1" si="48"/>
        <v>24</v>
      </c>
      <c r="BP25" s="15">
        <f t="shared" si="49"/>
        <v>11</v>
      </c>
    </row>
    <row r="26" spans="1:68" s="4" customFormat="1" ht="15" customHeight="1" x14ac:dyDescent="0.3">
      <c r="A26" s="4">
        <f>_xlfn.XLOOKUP(B26,'WHOLESALE BMW 2026'!$B$7:$B$67,'WHOLESALE BMW 2026'!$A$7:$A$67)</f>
        <v>4</v>
      </c>
      <c r="B26" s="8">
        <v>100155</v>
      </c>
      <c r="C26" s="369" t="s">
        <v>243</v>
      </c>
      <c r="D26" s="125"/>
      <c r="E26" s="309" t="s">
        <v>82</v>
      </c>
      <c r="F26" s="21">
        <f ca="1">SUMIF('UC BMW 2026'!$B$5:$B$81,B26,'UC BMW 2026'!$F$5:$F$72)</f>
        <v>10</v>
      </c>
      <c r="G26" s="24">
        <f>IFERROR(INDEX([2]BEV!$C$10:$O$68,
      MATCH(B26,[2]BEV!$B$10:$B$68,0),
      MATCH("ENERO",[2]BEV!$C$9:$O$9,0)),
   0)-IF(B26=100873,
   IFERROR(VLOOKUP("ENERO",[2]BEV!$B$80:$C$93,2,0),
      0),
   0)</f>
        <v>7</v>
      </c>
      <c r="H26" s="282">
        <f t="shared" ca="1" si="28"/>
        <v>0.7</v>
      </c>
      <c r="I26" s="21">
        <f ca="1">SUMIF('UC BMW 2026'!$B$5:$B$81,B26,'UC BMW 2026'!$H$5:$H$72)</f>
        <v>10</v>
      </c>
      <c r="J26" s="24">
        <f>IFERROR(INDEX([2]BEV!$C$10:$O$68,
      MATCH(B26,[2]BEV!$B$10:$B$68,0),
      MATCH("FEBRERO",[2]BEV!$C$9:$O$9,0)),
   0)-IF(B26=100873,
   IFERROR(VLOOKUP("FEBRERO",[2]BEV!$B$80:$C$93,2,0),
      0),
   0)</f>
        <v>11</v>
      </c>
      <c r="K26" s="282">
        <f t="shared" ca="1" si="29"/>
        <v>1.1000000000000001</v>
      </c>
      <c r="L26" s="21">
        <f ca="1">SUMIF('UC BMW 2026'!$B$5:$B$81,B26,'UC BMW 2026'!$J$5:$J$72)</f>
        <v>10</v>
      </c>
      <c r="M26" s="24">
        <f>IFERROR(INDEX([2]BEV!$C$10:$O$68,
      MATCH(B26,[2]BEV!$B$10:$B$68,0),
      MATCH("MARZO",[2]BEV!$C$9:$O$9,0)),
   0)-IF(B26=100873,
   IFERROR(VLOOKUP("MARZO",[2]BEV!$B$80:$C$93,2,0),
      0),
   0)</f>
        <v>18</v>
      </c>
      <c r="N26" s="282">
        <f t="shared" ca="1" si="30"/>
        <v>1.8</v>
      </c>
      <c r="O26" s="21">
        <f ca="1">SUMIF('UC BMW 2026'!$B$5:$B$81,B26,'UC BMW 2026'!$L$5:$L$72)</f>
        <v>10</v>
      </c>
      <c r="P26" s="24">
        <f>IFERROR(INDEX([2]BEV!$C$10:$O$68,
      MATCH(B26,[2]BEV!$B$10:$B$68,0),
      MATCH("ABRIL",[2]BEV!$C$9:$O$9,0)),
   0)-IF(B26=100873,
   IFERROR(VLOOKUP("ABRIL",[2]BEV!$B$80:$C$93,2,0),
      0),
   0)</f>
        <v>13</v>
      </c>
      <c r="Q26" s="282">
        <f t="shared" ca="1" si="31"/>
        <v>1.3</v>
      </c>
      <c r="R26" s="21">
        <f ca="1">SUMIF('UC BMW 2026'!$B$5:$B$81,B26,'UC BMW 2026'!$N$5:$N$72)</f>
        <v>10</v>
      </c>
      <c r="S26" s="24">
        <f>IFERROR(INDEX([2]BEV!$C$10:$O$68,
      MATCH(B26,[2]BEV!$B$10:$B$68,0),
      MATCH("MAYO",[2]BEV!$C$9:$O$9,0)),
   0)-IF(B26=100873,
   IFERROR(VLOOKUP("MAYO",[2]BEV!$B$80:$C$93,2,0),
      0),
   0)</f>
        <v>8</v>
      </c>
      <c r="T26" s="282">
        <f t="shared" ca="1" si="32"/>
        <v>0.8</v>
      </c>
      <c r="U26" s="21">
        <f ca="1">SUMIF('UC BMW 2026'!$B$5:$B$81,B26,'UC BMW 2026'!$P$5:$P$72)</f>
        <v>10</v>
      </c>
      <c r="V26" s="24">
        <f>IFERROR(INDEX([2]BEV!$C$10:$O$68,
      MATCH(B26,[2]BEV!$B$10:$B$68,0),
      MATCH("JUNIO",[2]BEV!$C$9:$O$9,0)),
   0)-IF(B26=100873,
   IFERROR(VLOOKUP("JUNIO",[2]BEV!$B$80:$C$93,2,0),
      0),
   0)</f>
        <v>17</v>
      </c>
      <c r="W26" s="282">
        <f t="shared" ca="1" si="33"/>
        <v>1.7</v>
      </c>
      <c r="X26" s="21">
        <f ca="1">SUMIF('UC BMW 2026'!$B$5:$B$81,B26,'UC BMW 2026'!$R$5:$R$72)</f>
        <v>0</v>
      </c>
      <c r="Y26" s="24">
        <f>IFERROR(INDEX([2]BEV!$C$10:$O$68,
      MATCH(B26,[2]BEV!$B$10:$B$68,0),
      MATCH("JULIO",[2]BEV!$C$9:$O$9,0)),
   0)-IF(B26=100873,
   IFERROR(VLOOKUP("JULIO",[2]BEV!$B$80:$C$93,2,0),
      0),
   0)</f>
        <v>0</v>
      </c>
      <c r="Z26" s="282">
        <f t="shared" ca="1" si="34"/>
        <v>0</v>
      </c>
      <c r="AA26" s="21">
        <f ca="1">SUMIF('UC BMW 2026'!$B$5:$B$81,B26,'UC BMW 2026'!$T$5:$T$72)</f>
        <v>0</v>
      </c>
      <c r="AB26" s="24">
        <f>IFERROR(INDEX([2]BEV!$C$10:$O$68,
      MATCH(B26,[2]BEV!$B$10:$B$68,0),
      MATCH("AGOSTO",[2]BEV!$C$9:$O$9,0)),
   0)-IF(B26=100873,
   IFERROR(VLOOKUP("AGOSTO",[2]BEV!$B$80:$C$93,2,0),
      0),
   0)</f>
        <v>0</v>
      </c>
      <c r="AC26" s="282">
        <f t="shared" ca="1" si="35"/>
        <v>0</v>
      </c>
      <c r="AD26" s="21">
        <f ca="1">SUMIF('UC BMW 2026'!$B$5:$B$81,B26,'UC BMW 2026'!$V$5:$V$72)</f>
        <v>0</v>
      </c>
      <c r="AE26" s="24">
        <f>IFERROR(INDEX([2]BEV!$C$10:$O$68,
      MATCH(B26,[2]BEV!$B$10:$B$68,0),
      MATCH("SEPTIEMBRE",[2]BEV!$C$9:$O$9,0)),
   0)-IF(B26=100873,
   IFERROR(VLOOKUP("SEPTIEMBRE",[2]BEV!$B$80:$C$93,2,0),
      0),
   0)</f>
        <v>0</v>
      </c>
      <c r="AF26" s="282">
        <f t="shared" ca="1" si="36"/>
        <v>0</v>
      </c>
      <c r="AG26" s="21">
        <f ca="1">SUMIF('UC BMW 2026'!$B$5:$B$81,B26,'UC BMW 2026'!$X$5:$X$72)</f>
        <v>0</v>
      </c>
      <c r="AH26" s="24">
        <f>IFERROR(INDEX([2]BEV!$C$10:$O$68,
      MATCH(B26,[2]BEV!$B$10:$B$68,0),
      MATCH("OCTUBRE",[2]BEV!$C$9:$O$9,0)),
   0)-IF(B26=100873,
   IFERROR(VLOOKUP("OCTUBRE",[2]BEV!$B$80:$C$93,2,0),
      0),
   0)</f>
        <v>0</v>
      </c>
      <c r="AI26" s="282">
        <f t="shared" ca="1" si="37"/>
        <v>0</v>
      </c>
      <c r="AJ26" s="21">
        <f ca="1">SUMIF('UC BMW 2026'!$B$5:$B$81,B26,'UC BMW 2026'!$Z$5:$Z$72)</f>
        <v>0</v>
      </c>
      <c r="AK26" s="24">
        <f>IFERROR(INDEX([2]BEV!$C$10:$O$68,
      MATCH(B26,[2]BEV!$B$10:$B$68,0),
      MATCH("NOVIEMBRE",[2]BEV!$C$9:$O$9,0)),
   0)-IF(B26=100873,
   IFERROR(VLOOKUP("NOVIEMBRE",[2]BEV!$B$80:$C$93,2,0),
      0),
   0)</f>
        <v>0</v>
      </c>
      <c r="AL26" s="282">
        <f t="shared" ca="1" si="38"/>
        <v>0</v>
      </c>
      <c r="AM26" s="21">
        <f ca="1">SUMIF('UC BMW 2026'!$B$5:$B$81,B26,'UC BMW 2026'!$AB$5:$AB$72)</f>
        <v>0</v>
      </c>
      <c r="AN26" s="24">
        <f>IFERROR(INDEX([2]BEV!$C$10:$O$68,
      MATCH(B26,[2]BEV!$B$10:$B$68,0),
      MATCH("DICIEMBRE",[2]BEV!$C$9:$O$9,0)),
   0)-IF(B26=100873,
   IFERROR(VLOOKUP("DICIEMBRE",[2]BEV!$B$80:$C$93,2,0),
      0),
   0)</f>
        <v>0</v>
      </c>
      <c r="AO26" s="282">
        <f t="shared" ca="1" si="39"/>
        <v>0</v>
      </c>
      <c r="AP26" s="21">
        <f t="shared" ca="1" si="40"/>
        <v>60</v>
      </c>
      <c r="AQ26" s="24">
        <f t="shared" si="40"/>
        <v>74</v>
      </c>
      <c r="AR26" s="129">
        <f t="shared" ca="1" si="41"/>
        <v>1.2333333333333334</v>
      </c>
      <c r="AS26" s="21">
        <f t="shared" ca="1" si="42"/>
        <v>60</v>
      </c>
      <c r="AT26" s="24">
        <f t="shared" si="42"/>
        <v>74</v>
      </c>
      <c r="AU26" s="129">
        <f t="shared" ca="1" si="43"/>
        <v>1.2333333333333334</v>
      </c>
      <c r="AV26" s="25"/>
      <c r="AW26" s="27"/>
      <c r="AX26" s="287"/>
      <c r="AY26" s="291"/>
      <c r="AZ26" s="129"/>
      <c r="BA26" s="27"/>
      <c r="BB26" s="129"/>
      <c r="BC26" s="21">
        <f t="shared" ca="1" si="44"/>
        <v>60</v>
      </c>
      <c r="BD26" s="24">
        <f t="shared" si="44"/>
        <v>74</v>
      </c>
      <c r="BE26" s="130">
        <f t="shared" ca="1" si="45"/>
        <v>1.2333333333333334</v>
      </c>
      <c r="BF26" s="34">
        <f t="shared" ca="1" si="46"/>
        <v>0</v>
      </c>
      <c r="BG26" s="24">
        <f t="shared" si="46"/>
        <v>0</v>
      </c>
      <c r="BH26" s="130">
        <f t="shared" ca="1" si="47"/>
        <v>0</v>
      </c>
      <c r="BI26" s="4">
        <v>1</v>
      </c>
      <c r="BK26" s="4">
        <f ca="1"/>
        <v>160</v>
      </c>
      <c r="BL26" s="4">
        <v>213</v>
      </c>
      <c r="BM26" s="508">
        <f ca="1"/>
        <v>1.3513513513513513</v>
      </c>
      <c r="BO26" s="15">
        <f t="shared" ca="1" si="48"/>
        <v>30</v>
      </c>
      <c r="BP26" s="15">
        <f t="shared" si="49"/>
        <v>38</v>
      </c>
    </row>
    <row r="27" spans="1:68" s="4" customFormat="1" ht="15" customHeight="1" x14ac:dyDescent="0.3">
      <c r="A27" s="4">
        <f>_xlfn.XLOOKUP(B27,'WHOLESALE BMW 2026'!$B$7:$B$67,'WHOLESALE BMW 2026'!$A$7:$A$67)</f>
        <v>4</v>
      </c>
      <c r="B27" s="8">
        <v>100304</v>
      </c>
      <c r="C27" s="369" t="s">
        <v>45</v>
      </c>
      <c r="D27" s="125"/>
      <c r="E27" s="309" t="s">
        <v>81</v>
      </c>
      <c r="F27" s="21">
        <f ca="1">SUMIF('UC BMW 2026'!$B$5:$B$81,B27,'UC BMW 2026'!$F$5:$F$72)</f>
        <v>15</v>
      </c>
      <c r="G27" s="24">
        <f>IFERROR(INDEX([2]BEV!$C$10:$O$68,
      MATCH(B27,[2]BEV!$B$10:$B$68,0),
      MATCH("ENERO",[2]BEV!$C$9:$O$9,0)),
   0)-IF(B27=100873,
   IFERROR(VLOOKUP("ENERO",[2]BEV!$B$80:$C$93,2,0),
      0),
   0)</f>
        <v>9</v>
      </c>
      <c r="H27" s="282">
        <f t="shared" ca="1" si="28"/>
        <v>0.6</v>
      </c>
      <c r="I27" s="21">
        <f ca="1">SUMIF('UC BMW 2026'!$B$5:$B$81,B27,'UC BMW 2026'!$H$5:$H$72)</f>
        <v>16</v>
      </c>
      <c r="J27" s="24">
        <f>IFERROR(INDEX([2]BEV!$C$10:$O$68,
      MATCH(B27,[2]BEV!$B$10:$B$68,0),
      MATCH("FEBRERO",[2]BEV!$C$9:$O$9,0)),
   0)-IF(B27=100873,
   IFERROR(VLOOKUP("FEBRERO",[2]BEV!$B$80:$C$93,2,0),
      0),
   0)</f>
        <v>10</v>
      </c>
      <c r="K27" s="282">
        <f t="shared" ca="1" si="29"/>
        <v>0.625</v>
      </c>
      <c r="L27" s="21">
        <f ca="1">SUMIF('UC BMW 2026'!$B$5:$B$81,B27,'UC BMW 2026'!$J$5:$J$72)</f>
        <v>16</v>
      </c>
      <c r="M27" s="24">
        <f>IFERROR(INDEX([2]BEV!$C$10:$O$68,
      MATCH(B27,[2]BEV!$B$10:$B$68,0),
      MATCH("MARZO",[2]BEV!$C$9:$O$9,0)),
   0)-IF(B27=100873,
   IFERROR(VLOOKUP("MARZO",[2]BEV!$B$80:$C$93,2,0),
      0),
   0)</f>
        <v>11</v>
      </c>
      <c r="N27" s="282">
        <f t="shared" ca="1" si="30"/>
        <v>0.6875</v>
      </c>
      <c r="O27" s="21">
        <f ca="1">SUMIF('UC BMW 2026'!$B$5:$B$81,B27,'UC BMW 2026'!$L$5:$L$72)</f>
        <v>16</v>
      </c>
      <c r="P27" s="24">
        <f>IFERROR(INDEX([2]BEV!$C$10:$O$68,
      MATCH(B27,[2]BEV!$B$10:$B$68,0),
      MATCH("ABRIL",[2]BEV!$C$9:$O$9,0)),
   0)-IF(B27=100873,
   IFERROR(VLOOKUP("ABRIL",[2]BEV!$B$80:$C$93,2,0),
      0),
   0)</f>
        <v>18</v>
      </c>
      <c r="Q27" s="282">
        <f t="shared" ca="1" si="31"/>
        <v>1.125</v>
      </c>
      <c r="R27" s="21">
        <f ca="1">SUMIF('UC BMW 2026'!$B$5:$B$81,B27,'UC BMW 2026'!$N$5:$N$72)</f>
        <v>16</v>
      </c>
      <c r="S27" s="24">
        <f>IFERROR(INDEX([2]BEV!$C$10:$O$68,
      MATCH(B27,[2]BEV!$B$10:$B$68,0),
      MATCH("MAYO",[2]BEV!$C$9:$O$9,0)),
   0)-IF(B27=100873,
   IFERROR(VLOOKUP("MAYO",[2]BEV!$B$80:$C$93,2,0),
      0),
   0)</f>
        <v>14</v>
      </c>
      <c r="T27" s="282">
        <f t="shared" ca="1" si="32"/>
        <v>0.875</v>
      </c>
      <c r="U27" s="21">
        <f ca="1">SUMIF('UC BMW 2026'!$B$5:$B$81,B27,'UC BMW 2026'!$P$5:$P$72)</f>
        <v>16</v>
      </c>
      <c r="V27" s="24">
        <f>IFERROR(INDEX([2]BEV!$C$10:$O$68,
      MATCH(B27,[2]BEV!$B$10:$B$68,0),
      MATCH("JUNIO",[2]BEV!$C$9:$O$9,0)),
   0)-IF(B27=100873,
   IFERROR(VLOOKUP("JUNIO",[2]BEV!$B$80:$C$93,2,0),
      0),
   0)</f>
        <v>38</v>
      </c>
      <c r="W27" s="282">
        <f t="shared" ca="1" si="33"/>
        <v>2.375</v>
      </c>
      <c r="X27" s="21">
        <f ca="1">SUMIF('UC BMW 2026'!$B$5:$B$81,B27,'UC BMW 2026'!$R$5:$R$72)</f>
        <v>0</v>
      </c>
      <c r="Y27" s="24">
        <f>IFERROR(INDEX([2]BEV!$C$10:$O$68,
      MATCH(B27,[2]BEV!$B$10:$B$68,0),
      MATCH("JULIO",[2]BEV!$C$9:$O$9,0)),
   0)-IF(B27=100873,
   IFERROR(VLOOKUP("JULIO",[2]BEV!$B$80:$C$93,2,0),
      0),
   0)</f>
        <v>0</v>
      </c>
      <c r="Z27" s="282">
        <f t="shared" ca="1" si="34"/>
        <v>0</v>
      </c>
      <c r="AA27" s="21">
        <f ca="1">SUMIF('UC BMW 2026'!$B$5:$B$81,B27,'UC BMW 2026'!$T$5:$T$72)</f>
        <v>0</v>
      </c>
      <c r="AB27" s="24">
        <f>IFERROR(INDEX([2]BEV!$C$10:$O$68,
      MATCH(B27,[2]BEV!$B$10:$B$68,0),
      MATCH("AGOSTO",[2]BEV!$C$9:$O$9,0)),
   0)-IF(B27=100873,
   IFERROR(VLOOKUP("AGOSTO",[2]BEV!$B$80:$C$93,2,0),
      0),
   0)</f>
        <v>0</v>
      </c>
      <c r="AC27" s="282">
        <f t="shared" ca="1" si="35"/>
        <v>0</v>
      </c>
      <c r="AD27" s="21">
        <f ca="1">SUMIF('UC BMW 2026'!$B$5:$B$81,B27,'UC BMW 2026'!$V$5:$V$72)</f>
        <v>0</v>
      </c>
      <c r="AE27" s="24">
        <f>IFERROR(INDEX([2]BEV!$C$10:$O$68,
      MATCH(B27,[2]BEV!$B$10:$B$68,0),
      MATCH("SEPTIEMBRE",[2]BEV!$C$9:$O$9,0)),
   0)-IF(B27=100873,
   IFERROR(VLOOKUP("SEPTIEMBRE",[2]BEV!$B$80:$C$93,2,0),
      0),
   0)</f>
        <v>0</v>
      </c>
      <c r="AF27" s="282">
        <f t="shared" ca="1" si="36"/>
        <v>0</v>
      </c>
      <c r="AG27" s="21">
        <f ca="1">SUMIF('UC BMW 2026'!$B$5:$B$81,B27,'UC BMW 2026'!$X$5:$X$72)</f>
        <v>0</v>
      </c>
      <c r="AH27" s="24">
        <f>IFERROR(INDEX([2]BEV!$C$10:$O$68,
      MATCH(B27,[2]BEV!$B$10:$B$68,0),
      MATCH("OCTUBRE",[2]BEV!$C$9:$O$9,0)),
   0)-IF(B27=100873,
   IFERROR(VLOOKUP("OCTUBRE",[2]BEV!$B$80:$C$93,2,0),
      0),
   0)</f>
        <v>0</v>
      </c>
      <c r="AI27" s="282">
        <f t="shared" ca="1" si="37"/>
        <v>0</v>
      </c>
      <c r="AJ27" s="21">
        <f ca="1">SUMIF('UC BMW 2026'!$B$5:$B$81,B27,'UC BMW 2026'!$Z$5:$Z$72)</f>
        <v>0</v>
      </c>
      <c r="AK27" s="24">
        <f>IFERROR(INDEX([2]BEV!$C$10:$O$68,
      MATCH(B27,[2]BEV!$B$10:$B$68,0),
      MATCH("NOVIEMBRE",[2]BEV!$C$9:$O$9,0)),
   0)-IF(B27=100873,
   IFERROR(VLOOKUP("NOVIEMBRE",[2]BEV!$B$80:$C$93,2,0),
      0),
   0)</f>
        <v>0</v>
      </c>
      <c r="AL27" s="282">
        <f t="shared" ca="1" si="38"/>
        <v>0</v>
      </c>
      <c r="AM27" s="21">
        <f ca="1">SUMIF('UC BMW 2026'!$B$5:$B$81,B27,'UC BMW 2026'!$AB$5:$AB$72)</f>
        <v>0</v>
      </c>
      <c r="AN27" s="24">
        <f>IFERROR(INDEX([2]BEV!$C$10:$O$68,
      MATCH(B27,[2]BEV!$B$10:$B$68,0),
      MATCH("DICIEMBRE",[2]BEV!$C$9:$O$9,0)),
   0)-IF(B27=100873,
   IFERROR(VLOOKUP("DICIEMBRE",[2]BEV!$B$80:$C$93,2,0),
      0),
   0)</f>
        <v>0</v>
      </c>
      <c r="AO27" s="282">
        <f t="shared" ca="1" si="39"/>
        <v>0</v>
      </c>
      <c r="AP27" s="21">
        <f t="shared" ca="1" si="40"/>
        <v>95</v>
      </c>
      <c r="AQ27" s="24">
        <f t="shared" si="40"/>
        <v>100</v>
      </c>
      <c r="AR27" s="129">
        <f t="shared" ca="1" si="41"/>
        <v>1.0526315789473684</v>
      </c>
      <c r="AS27" s="21">
        <f t="shared" ca="1" si="42"/>
        <v>95</v>
      </c>
      <c r="AT27" s="24">
        <f t="shared" si="42"/>
        <v>100</v>
      </c>
      <c r="AU27" s="129">
        <f t="shared" ca="1" si="43"/>
        <v>1.0526315789473684</v>
      </c>
      <c r="AV27" s="25"/>
      <c r="AW27" s="27"/>
      <c r="AX27" s="287"/>
      <c r="AY27" s="291"/>
      <c r="AZ27" s="129"/>
      <c r="BA27" s="27"/>
      <c r="BB27" s="129"/>
      <c r="BC27" s="21">
        <f t="shared" ca="1" si="44"/>
        <v>95</v>
      </c>
      <c r="BD27" s="24">
        <f t="shared" si="44"/>
        <v>100</v>
      </c>
      <c r="BE27" s="130">
        <f t="shared" ca="1" si="45"/>
        <v>1.0526315789473684</v>
      </c>
      <c r="BF27" s="34">
        <f t="shared" ca="1" si="46"/>
        <v>0</v>
      </c>
      <c r="BG27" s="24">
        <f t="shared" si="46"/>
        <v>0</v>
      </c>
      <c r="BH27" s="130">
        <f t="shared" ca="1" si="47"/>
        <v>0</v>
      </c>
      <c r="BI27" s="4">
        <v>1</v>
      </c>
      <c r="BK27" s="4">
        <f ca="1"/>
        <v>155</v>
      </c>
      <c r="BL27" s="4">
        <v>191</v>
      </c>
      <c r="BM27" s="508">
        <f ca="1"/>
        <v>1.3298969072164948</v>
      </c>
      <c r="BO27" s="15">
        <f t="shared" ca="1" si="48"/>
        <v>48</v>
      </c>
      <c r="BP27" s="15">
        <f t="shared" si="49"/>
        <v>70</v>
      </c>
    </row>
    <row r="28" spans="1:68" s="4" customFormat="1" ht="15" customHeight="1" x14ac:dyDescent="0.3">
      <c r="A28" s="4">
        <f>_xlfn.XLOOKUP(B28,'WHOLESALE BMW 2026'!$B$7:$B$67,'WHOLESALE BMW 2026'!$A$7:$A$67)</f>
        <v>4</v>
      </c>
      <c r="B28" s="8">
        <v>100346</v>
      </c>
      <c r="C28" s="369" t="s">
        <v>46</v>
      </c>
      <c r="D28" s="125"/>
      <c r="E28" s="309" t="s">
        <v>81</v>
      </c>
      <c r="F28" s="21">
        <f ca="1">SUMIF('UC BMW 2026'!$B$5:$B$81,B28,'UC BMW 2026'!$F$5:$F$72)</f>
        <v>10</v>
      </c>
      <c r="G28" s="24">
        <f>IFERROR(INDEX([2]BEV!$C$10:$O$68,
      MATCH(B28,[2]BEV!$B$10:$B$68,0),
      MATCH("ENERO",[2]BEV!$C$9:$O$9,0)),
   0)-IF(B28=100873,
   IFERROR(VLOOKUP("ENERO",[2]BEV!$B$80:$C$93,2,0),
      0),
   0)</f>
        <v>14</v>
      </c>
      <c r="H28" s="282">
        <f t="shared" ca="1" si="28"/>
        <v>1.4</v>
      </c>
      <c r="I28" s="21">
        <f ca="1">SUMIF('UC BMW 2026'!$B$5:$B$81,B28,'UC BMW 2026'!$H$5:$H$72)</f>
        <v>10</v>
      </c>
      <c r="J28" s="24">
        <f>IFERROR(INDEX([2]BEV!$C$10:$O$68,
      MATCH(B28,[2]BEV!$B$10:$B$68,0),
      MATCH("FEBRERO",[2]BEV!$C$9:$O$9,0)),
   0)-IF(B28=100873,
   IFERROR(VLOOKUP("FEBRERO",[2]BEV!$B$80:$C$93,2,0),
      0),
   0)</f>
        <v>18</v>
      </c>
      <c r="K28" s="282">
        <f t="shared" ca="1" si="29"/>
        <v>1.8</v>
      </c>
      <c r="L28" s="21">
        <f ca="1">SUMIF('UC BMW 2026'!$B$5:$B$81,B28,'UC BMW 2026'!$J$5:$J$72)</f>
        <v>10</v>
      </c>
      <c r="M28" s="24">
        <f>IFERROR(INDEX([2]BEV!$C$10:$O$68,
      MATCH(B28,[2]BEV!$B$10:$B$68,0),
      MATCH("MARZO",[2]BEV!$C$9:$O$9,0)),
   0)-IF(B28=100873,
   IFERROR(VLOOKUP("MARZO",[2]BEV!$B$80:$C$93,2,0),
      0),
   0)</f>
        <v>10</v>
      </c>
      <c r="N28" s="282">
        <f t="shared" ca="1" si="30"/>
        <v>1</v>
      </c>
      <c r="O28" s="21">
        <f ca="1">SUMIF('UC BMW 2026'!$B$5:$B$81,B28,'UC BMW 2026'!$L$5:$L$72)</f>
        <v>10</v>
      </c>
      <c r="P28" s="24">
        <f>IFERROR(INDEX([2]BEV!$C$10:$O$68,
      MATCH(B28,[2]BEV!$B$10:$B$68,0),
      MATCH("ABRIL",[2]BEV!$C$9:$O$9,0)),
   0)-IF(B28=100873,
   IFERROR(VLOOKUP("ABRIL",[2]BEV!$B$80:$C$93,2,0),
      0),
   0)</f>
        <v>9</v>
      </c>
      <c r="Q28" s="282">
        <f t="shared" ca="1" si="31"/>
        <v>0.9</v>
      </c>
      <c r="R28" s="21">
        <f ca="1">SUMIF('UC BMW 2026'!$B$5:$B$81,B28,'UC BMW 2026'!$N$5:$N$72)</f>
        <v>10</v>
      </c>
      <c r="S28" s="24">
        <f>IFERROR(INDEX([2]BEV!$C$10:$O$68,
      MATCH(B28,[2]BEV!$B$10:$B$68,0),
      MATCH("MAYO",[2]BEV!$C$9:$O$9,0)),
   0)-IF(B28=100873,
   IFERROR(VLOOKUP("MAYO",[2]BEV!$B$80:$C$93,2,0),
      0),
   0)</f>
        <v>2</v>
      </c>
      <c r="T28" s="282">
        <f t="shared" ca="1" si="32"/>
        <v>0.2</v>
      </c>
      <c r="U28" s="21">
        <f ca="1">SUMIF('UC BMW 2026'!$B$5:$B$81,B28,'UC BMW 2026'!$P$5:$P$72)</f>
        <v>10</v>
      </c>
      <c r="V28" s="24">
        <f>IFERROR(INDEX([2]BEV!$C$10:$O$68,
      MATCH(B28,[2]BEV!$B$10:$B$68,0),
      MATCH("JUNIO",[2]BEV!$C$9:$O$9,0)),
   0)-IF(B28=100873,
   IFERROR(VLOOKUP("JUNIO",[2]BEV!$B$80:$C$93,2,0),
      0),
   0)</f>
        <v>5</v>
      </c>
      <c r="W28" s="282">
        <f t="shared" ca="1" si="33"/>
        <v>0.5</v>
      </c>
      <c r="X28" s="21">
        <f ca="1">SUMIF('UC BMW 2026'!$B$5:$B$81,B28,'UC BMW 2026'!$R$5:$R$72)</f>
        <v>11</v>
      </c>
      <c r="Y28" s="24">
        <f>IFERROR(INDEX([2]BEV!$C$10:$O$68,
      MATCH(B28,[2]BEV!$B$10:$B$68,0),
      MATCH("JULIO",[2]BEV!$C$9:$O$9,0)),
   0)-IF(B28=100873,
   IFERROR(VLOOKUP("JULIO",[2]BEV!$B$80:$C$93,2,0),
      0),
   0)</f>
        <v>0</v>
      </c>
      <c r="Z28" s="282">
        <f t="shared" ca="1" si="34"/>
        <v>0</v>
      </c>
      <c r="AA28" s="21">
        <f ca="1">SUMIF('UC BMW 2026'!$B$5:$B$81,B28,'UC BMW 2026'!$T$5:$T$72)</f>
        <v>10</v>
      </c>
      <c r="AB28" s="24">
        <f>IFERROR(INDEX([2]BEV!$C$10:$O$68,
      MATCH(B28,[2]BEV!$B$10:$B$68,0),
      MATCH("AGOSTO",[2]BEV!$C$9:$O$9,0)),
   0)-IF(B28=100873,
   IFERROR(VLOOKUP("AGOSTO",[2]BEV!$B$80:$C$93,2,0),
      0),
   0)</f>
        <v>0</v>
      </c>
      <c r="AC28" s="282">
        <f t="shared" ca="1" si="35"/>
        <v>0</v>
      </c>
      <c r="AD28" s="21">
        <f ca="1">SUMIF('UC BMW 2026'!$B$5:$B$81,B28,'UC BMW 2026'!$V$5:$V$72)</f>
        <v>11</v>
      </c>
      <c r="AE28" s="24">
        <f>IFERROR(INDEX([2]BEV!$C$10:$O$68,
      MATCH(B28,[2]BEV!$B$10:$B$68,0),
      MATCH("SEPTIEMBRE",[2]BEV!$C$9:$O$9,0)),
   0)-IF(B28=100873,
   IFERROR(VLOOKUP("SEPTIEMBRE",[2]BEV!$B$80:$C$93,2,0),
      0),
   0)</f>
        <v>0</v>
      </c>
      <c r="AF28" s="282">
        <f t="shared" ca="1" si="36"/>
        <v>0</v>
      </c>
      <c r="AG28" s="21">
        <f ca="1">SUMIF('UC BMW 2026'!$B$5:$B$81,B28,'UC BMW 2026'!$X$5:$X$72)</f>
        <v>11</v>
      </c>
      <c r="AH28" s="24">
        <f>IFERROR(INDEX([2]BEV!$C$10:$O$68,
      MATCH(B28,[2]BEV!$B$10:$B$68,0),
      MATCH("OCTUBRE",[2]BEV!$C$9:$O$9,0)),
   0)-IF(B28=100873,
   IFERROR(VLOOKUP("OCTUBRE",[2]BEV!$B$80:$C$93,2,0),
      0),
   0)</f>
        <v>0</v>
      </c>
      <c r="AI28" s="282">
        <f t="shared" ca="1" si="37"/>
        <v>0</v>
      </c>
      <c r="AJ28" s="21">
        <f ca="1">SUMIF('UC BMW 2026'!$B$5:$B$81,B28,'UC BMW 2026'!$Z$5:$Z$72)</f>
        <v>11</v>
      </c>
      <c r="AK28" s="24">
        <f>IFERROR(INDEX([2]BEV!$C$10:$O$68,
      MATCH(B28,[2]BEV!$B$10:$B$68,0),
      MATCH("NOVIEMBRE",[2]BEV!$C$9:$O$9,0)),
   0)-IF(B28=100873,
   IFERROR(VLOOKUP("NOVIEMBRE",[2]BEV!$B$80:$C$93,2,0),
      0),
   0)</f>
        <v>0</v>
      </c>
      <c r="AL28" s="282">
        <f t="shared" ca="1" si="38"/>
        <v>0</v>
      </c>
      <c r="AM28" s="21">
        <f ca="1">SUMIF('UC BMW 2026'!$B$5:$B$81,B28,'UC BMW 2026'!$AB$5:$AB$72)</f>
        <v>11</v>
      </c>
      <c r="AN28" s="24">
        <f>IFERROR(INDEX([2]BEV!$C$10:$O$68,
      MATCH(B28,[2]BEV!$B$10:$B$68,0),
      MATCH("DICIEMBRE",[2]BEV!$C$9:$O$9,0)),
   0)-IF(B28=100873,
   IFERROR(VLOOKUP("DICIEMBRE",[2]BEV!$B$80:$C$93,2,0),
      0),
   0)</f>
        <v>0</v>
      </c>
      <c r="AO28" s="282">
        <f t="shared" ca="1" si="39"/>
        <v>0</v>
      </c>
      <c r="AP28" s="21">
        <f t="shared" ca="1" si="40"/>
        <v>60</v>
      </c>
      <c r="AQ28" s="24">
        <f t="shared" si="40"/>
        <v>58</v>
      </c>
      <c r="AR28" s="129">
        <f t="shared" ca="1" si="41"/>
        <v>0.96666666666666667</v>
      </c>
      <c r="AS28" s="21">
        <f t="shared" ca="1" si="42"/>
        <v>125</v>
      </c>
      <c r="AT28" s="24">
        <f t="shared" si="42"/>
        <v>58</v>
      </c>
      <c r="AU28" s="129">
        <f t="shared" ca="1" si="43"/>
        <v>0.46400000000000002</v>
      </c>
      <c r="AV28" s="25"/>
      <c r="AW28" s="27"/>
      <c r="AX28" s="287"/>
      <c r="AY28" s="291"/>
      <c r="AZ28" s="129"/>
      <c r="BA28" s="27"/>
      <c r="BB28" s="129"/>
      <c r="BC28" s="21">
        <f t="shared" ca="1" si="44"/>
        <v>60</v>
      </c>
      <c r="BD28" s="24">
        <f t="shared" si="44"/>
        <v>58</v>
      </c>
      <c r="BE28" s="130">
        <f t="shared" ca="1" si="45"/>
        <v>0.96666666666666667</v>
      </c>
      <c r="BF28" s="34">
        <f t="shared" ca="1" si="46"/>
        <v>65</v>
      </c>
      <c r="BG28" s="24">
        <f t="shared" si="46"/>
        <v>0</v>
      </c>
      <c r="BH28" s="130">
        <f t="shared" ca="1" si="47"/>
        <v>0</v>
      </c>
      <c r="BI28" s="4">
        <v>1</v>
      </c>
      <c r="BK28" s="4">
        <f ca="1"/>
        <v>150</v>
      </c>
      <c r="BL28" s="4">
        <v>186</v>
      </c>
      <c r="BM28" s="508">
        <f ca="1"/>
        <v>1.3285714285714285</v>
      </c>
      <c r="BO28" s="15">
        <f t="shared" ca="1" si="48"/>
        <v>30</v>
      </c>
      <c r="BP28" s="15">
        <f t="shared" si="49"/>
        <v>16</v>
      </c>
    </row>
    <row r="29" spans="1:68" s="4" customFormat="1" ht="15" customHeight="1" x14ac:dyDescent="0.3">
      <c r="A29" s="4">
        <f>_xlfn.XLOOKUP(B29,'WHOLESALE BMW 2026'!$B$7:$B$67,'WHOLESALE BMW 2026'!$A$7:$A$67)</f>
        <v>4</v>
      </c>
      <c r="B29" s="8">
        <v>100454</v>
      </c>
      <c r="C29" s="369" t="s">
        <v>47</v>
      </c>
      <c r="D29" s="125"/>
      <c r="E29" s="309" t="s">
        <v>84</v>
      </c>
      <c r="F29" s="21">
        <f ca="1">SUMIF('UC BMW 2026'!$B$5:$B$81,B29,'UC BMW 2026'!$F$5:$F$72)</f>
        <v>4</v>
      </c>
      <c r="G29" s="24">
        <f>IFERROR(INDEX([2]BEV!$C$10:$O$68,
      MATCH(B29,[2]BEV!$B$10:$B$68,0),
      MATCH("ENERO",[2]BEV!$C$9:$O$9,0)),
   0)-IF(B29=100873,
   IFERROR(VLOOKUP("ENERO",[2]BEV!$B$80:$C$93,2,0),
      0),
   0)</f>
        <v>11</v>
      </c>
      <c r="H29" s="282">
        <f t="shared" ca="1" si="28"/>
        <v>2.75</v>
      </c>
      <c r="I29" s="21">
        <f ca="1">SUMIF('UC BMW 2026'!$B$5:$B$81,B29,'UC BMW 2026'!$H$5:$H$72)</f>
        <v>4</v>
      </c>
      <c r="J29" s="24">
        <f>IFERROR(INDEX([2]BEV!$C$10:$O$68,
      MATCH(B29,[2]BEV!$B$10:$B$68,0),
      MATCH("FEBRERO",[2]BEV!$C$9:$O$9,0)),
   0)-IF(B29=100873,
   IFERROR(VLOOKUP("FEBRERO",[2]BEV!$B$80:$C$93,2,0),
      0),
   0)</f>
        <v>2</v>
      </c>
      <c r="K29" s="282">
        <f t="shared" ca="1" si="29"/>
        <v>0.5</v>
      </c>
      <c r="L29" s="21">
        <f ca="1">SUMIF('UC BMW 2026'!$B$5:$B$81,B29,'UC BMW 2026'!$J$5:$J$72)</f>
        <v>4</v>
      </c>
      <c r="M29" s="24">
        <f>IFERROR(INDEX([2]BEV!$C$10:$O$68,
      MATCH(B29,[2]BEV!$B$10:$B$68,0),
      MATCH("MARZO",[2]BEV!$C$9:$O$9,0)),
   0)-IF(B29=100873,
   IFERROR(VLOOKUP("MARZO",[2]BEV!$B$80:$C$93,2,0),
      0),
   0)</f>
        <v>2</v>
      </c>
      <c r="N29" s="282">
        <f t="shared" ca="1" si="30"/>
        <v>0.5</v>
      </c>
      <c r="O29" s="21">
        <f ca="1">SUMIF('UC BMW 2026'!$B$5:$B$81,B29,'UC BMW 2026'!$L$5:$L$72)</f>
        <v>4</v>
      </c>
      <c r="P29" s="24">
        <f>IFERROR(INDEX([2]BEV!$C$10:$O$68,
      MATCH(B29,[2]BEV!$B$10:$B$68,0),
      MATCH("ABRIL",[2]BEV!$C$9:$O$9,0)),
   0)-IF(B29=100873,
   IFERROR(VLOOKUP("ABRIL",[2]BEV!$B$80:$C$93,2,0),
      0),
   0)</f>
        <v>3</v>
      </c>
      <c r="Q29" s="282">
        <f t="shared" ca="1" si="31"/>
        <v>0.75</v>
      </c>
      <c r="R29" s="21">
        <f ca="1">SUMIF('UC BMW 2026'!$B$5:$B$81,B29,'UC BMW 2026'!$N$5:$N$72)</f>
        <v>4</v>
      </c>
      <c r="S29" s="24">
        <f>IFERROR(INDEX([2]BEV!$C$10:$O$68,
      MATCH(B29,[2]BEV!$B$10:$B$68,0),
      MATCH("MAYO",[2]BEV!$C$9:$O$9,0)),
   0)-IF(B29=100873,
   IFERROR(VLOOKUP("MAYO",[2]BEV!$B$80:$C$93,2,0),
      0),
   0)</f>
        <v>1</v>
      </c>
      <c r="T29" s="282">
        <f t="shared" ca="1" si="32"/>
        <v>0.25</v>
      </c>
      <c r="U29" s="21">
        <f ca="1">SUMIF('UC BMW 2026'!$B$5:$B$81,B29,'UC BMW 2026'!$P$5:$P$72)</f>
        <v>4</v>
      </c>
      <c r="V29" s="24">
        <f>IFERROR(INDEX([2]BEV!$C$10:$O$68,
      MATCH(B29,[2]BEV!$B$10:$B$68,0),
      MATCH("JUNIO",[2]BEV!$C$9:$O$9,0)),
   0)-IF(B29=100873,
   IFERROR(VLOOKUP("JUNIO",[2]BEV!$B$80:$C$93,2,0),
      0),
   0)</f>
        <v>6</v>
      </c>
      <c r="W29" s="282">
        <f t="shared" ca="1" si="33"/>
        <v>1.5</v>
      </c>
      <c r="X29" s="21">
        <f ca="1">SUMIF('UC BMW 2026'!$B$5:$B$81,B29,'UC BMW 2026'!$R$5:$R$72)</f>
        <v>0</v>
      </c>
      <c r="Y29" s="24">
        <f>IFERROR(INDEX([2]BEV!$C$10:$O$68,
      MATCH(B29,[2]BEV!$B$10:$B$68,0),
      MATCH("JULIO",[2]BEV!$C$9:$O$9,0)),
   0)-IF(B29=100873,
   IFERROR(VLOOKUP("JULIO",[2]BEV!$B$80:$C$93,2,0),
      0),
   0)</f>
        <v>0</v>
      </c>
      <c r="Z29" s="282">
        <f t="shared" ca="1" si="34"/>
        <v>0</v>
      </c>
      <c r="AA29" s="21">
        <f ca="1">SUMIF('UC BMW 2026'!$B$5:$B$81,B29,'UC BMW 2026'!$T$5:$T$72)</f>
        <v>0</v>
      </c>
      <c r="AB29" s="24">
        <f>IFERROR(INDEX([2]BEV!$C$10:$O$68,
      MATCH(B29,[2]BEV!$B$10:$B$68,0),
      MATCH("AGOSTO",[2]BEV!$C$9:$O$9,0)),
   0)-IF(B29=100873,
   IFERROR(VLOOKUP("AGOSTO",[2]BEV!$B$80:$C$93,2,0),
      0),
   0)</f>
        <v>0</v>
      </c>
      <c r="AC29" s="282">
        <f t="shared" ca="1" si="35"/>
        <v>0</v>
      </c>
      <c r="AD29" s="21">
        <f ca="1">SUMIF('UC BMW 2026'!$B$5:$B$81,B29,'UC BMW 2026'!$V$5:$V$72)</f>
        <v>0</v>
      </c>
      <c r="AE29" s="24">
        <f>IFERROR(INDEX([2]BEV!$C$10:$O$68,
      MATCH(B29,[2]BEV!$B$10:$B$68,0),
      MATCH("SEPTIEMBRE",[2]BEV!$C$9:$O$9,0)),
   0)-IF(B29=100873,
   IFERROR(VLOOKUP("SEPTIEMBRE",[2]BEV!$B$80:$C$93,2,0),
      0),
   0)</f>
        <v>0</v>
      </c>
      <c r="AF29" s="282">
        <f t="shared" ca="1" si="36"/>
        <v>0</v>
      </c>
      <c r="AG29" s="21">
        <f ca="1">SUMIF('UC BMW 2026'!$B$5:$B$81,B29,'UC BMW 2026'!$X$5:$X$72)</f>
        <v>0</v>
      </c>
      <c r="AH29" s="24">
        <f>IFERROR(INDEX([2]BEV!$C$10:$O$68,
      MATCH(B29,[2]BEV!$B$10:$B$68,0),
      MATCH("OCTUBRE",[2]BEV!$C$9:$O$9,0)),
   0)-IF(B29=100873,
   IFERROR(VLOOKUP("OCTUBRE",[2]BEV!$B$80:$C$93,2,0),
      0),
   0)</f>
        <v>0</v>
      </c>
      <c r="AI29" s="282">
        <f t="shared" ca="1" si="37"/>
        <v>0</v>
      </c>
      <c r="AJ29" s="21">
        <f ca="1">SUMIF('UC BMW 2026'!$B$5:$B$81,B29,'UC BMW 2026'!$Z$5:$Z$72)</f>
        <v>0</v>
      </c>
      <c r="AK29" s="24">
        <f>IFERROR(INDEX([2]BEV!$C$10:$O$68,
      MATCH(B29,[2]BEV!$B$10:$B$68,0),
      MATCH("NOVIEMBRE",[2]BEV!$C$9:$O$9,0)),
   0)-IF(B29=100873,
   IFERROR(VLOOKUP("NOVIEMBRE",[2]BEV!$B$80:$C$93,2,0),
      0),
   0)</f>
        <v>0</v>
      </c>
      <c r="AL29" s="282">
        <f t="shared" ca="1" si="38"/>
        <v>0</v>
      </c>
      <c r="AM29" s="21">
        <f ca="1">SUMIF('UC BMW 2026'!$B$5:$B$81,B29,'UC BMW 2026'!$AB$5:$AB$72)</f>
        <v>0</v>
      </c>
      <c r="AN29" s="24">
        <f>IFERROR(INDEX([2]BEV!$C$10:$O$68,
      MATCH(B29,[2]BEV!$B$10:$B$68,0),
      MATCH("DICIEMBRE",[2]BEV!$C$9:$O$9,0)),
   0)-IF(B29=100873,
   IFERROR(VLOOKUP("DICIEMBRE",[2]BEV!$B$80:$C$93,2,0),
      0),
   0)</f>
        <v>0</v>
      </c>
      <c r="AO29" s="282">
        <f t="shared" ca="1" si="39"/>
        <v>0</v>
      </c>
      <c r="AP29" s="21">
        <f t="shared" ca="1" si="40"/>
        <v>24</v>
      </c>
      <c r="AQ29" s="24">
        <f t="shared" si="40"/>
        <v>25</v>
      </c>
      <c r="AR29" s="129">
        <f t="shared" ca="1" si="41"/>
        <v>1.0416666666666667</v>
      </c>
      <c r="AS29" s="21">
        <f t="shared" ca="1" si="42"/>
        <v>24</v>
      </c>
      <c r="AT29" s="24">
        <f t="shared" si="42"/>
        <v>25</v>
      </c>
      <c r="AU29" s="129">
        <f t="shared" ca="1" si="43"/>
        <v>1.0416666666666667</v>
      </c>
      <c r="AV29" s="25"/>
      <c r="AW29" s="27"/>
      <c r="AX29" s="287"/>
      <c r="AY29" s="291"/>
      <c r="AZ29" s="129"/>
      <c r="BA29" s="27"/>
      <c r="BB29" s="129"/>
      <c r="BC29" s="21">
        <f t="shared" ca="1" si="44"/>
        <v>24</v>
      </c>
      <c r="BD29" s="24">
        <f t="shared" si="44"/>
        <v>25</v>
      </c>
      <c r="BE29" s="130">
        <f t="shared" ca="1" si="45"/>
        <v>1.0416666666666667</v>
      </c>
      <c r="BF29" s="34">
        <f t="shared" ca="1" si="46"/>
        <v>0</v>
      </c>
      <c r="BG29" s="24">
        <f t="shared" si="46"/>
        <v>0</v>
      </c>
      <c r="BH29" s="130">
        <f t="shared" ca="1" si="47"/>
        <v>0</v>
      </c>
      <c r="BI29" s="4">
        <v>1</v>
      </c>
      <c r="BK29" s="4">
        <f ca="1"/>
        <v>140</v>
      </c>
      <c r="BL29" s="4">
        <v>167</v>
      </c>
      <c r="BM29" s="508">
        <f ca="1"/>
        <v>1.3247863247863247</v>
      </c>
      <c r="BO29" s="15">
        <f t="shared" ca="1" si="48"/>
        <v>12</v>
      </c>
      <c r="BP29" s="15">
        <f t="shared" si="49"/>
        <v>10</v>
      </c>
    </row>
    <row r="30" spans="1:68" s="4" customFormat="1" ht="15" customHeight="1" thickBot="1" x14ac:dyDescent="0.35">
      <c r="A30" s="4">
        <f>_xlfn.XLOOKUP(B30,'WHOLESALE BMW 2026'!$B$7:$B$67,'WHOLESALE BMW 2026'!$A$7:$A$67)</f>
        <v>4</v>
      </c>
      <c r="B30" s="8">
        <v>100571</v>
      </c>
      <c r="C30" s="369" t="s">
        <v>48</v>
      </c>
      <c r="D30" s="125"/>
      <c r="E30" s="309" t="s">
        <v>82</v>
      </c>
      <c r="F30" s="21">
        <f ca="1">SUMIF('UC BMW 2026'!$B$5:$B$81,B30,'UC BMW 2026'!$F$5:$F$72)</f>
        <v>6</v>
      </c>
      <c r="G30" s="24">
        <f>IFERROR(INDEX([2]BEV!$C$10:$O$68,
      MATCH(B30,[2]BEV!$B$10:$B$68,0),
      MATCH("ENERO",[2]BEV!$C$9:$O$9,0)),
   0)-IF(B30=100873,
   IFERROR(VLOOKUP("ENERO",[2]BEV!$B$80:$C$93,2,0),
      0),
   0)</f>
        <v>1</v>
      </c>
      <c r="H30" s="282">
        <f t="shared" ca="1" si="28"/>
        <v>0.16666666666666666</v>
      </c>
      <c r="I30" s="21">
        <f ca="1">SUMIF('UC BMW 2026'!$B$5:$B$81,B30,'UC BMW 2026'!$H$5:$H$72)</f>
        <v>6</v>
      </c>
      <c r="J30" s="24">
        <f>IFERROR(INDEX([2]BEV!$C$10:$O$68,
      MATCH(B30,[2]BEV!$B$10:$B$68,0),
      MATCH("FEBRERO",[2]BEV!$C$9:$O$9,0)),
   0)-IF(B30=100873,
   IFERROR(VLOOKUP("FEBRERO",[2]BEV!$B$80:$C$93,2,0),
      0),
   0)</f>
        <v>3</v>
      </c>
      <c r="K30" s="282">
        <f t="shared" ca="1" si="29"/>
        <v>0.5</v>
      </c>
      <c r="L30" s="21">
        <f ca="1">SUMIF('UC BMW 2026'!$B$5:$B$81,B30,'UC BMW 2026'!$J$5:$J$72)</f>
        <v>6</v>
      </c>
      <c r="M30" s="24">
        <f>IFERROR(INDEX([2]BEV!$C$10:$O$68,
      MATCH(B30,[2]BEV!$B$10:$B$68,0),
      MATCH("MARZO",[2]BEV!$C$9:$O$9,0)),
   0)-IF(B30=100873,
   IFERROR(VLOOKUP("MARZO",[2]BEV!$B$80:$C$93,2,0),
      0),
   0)</f>
        <v>3</v>
      </c>
      <c r="N30" s="282">
        <f t="shared" ca="1" si="30"/>
        <v>0.5</v>
      </c>
      <c r="O30" s="21">
        <f ca="1">SUMIF('UC BMW 2026'!$B$5:$B$81,B30,'UC BMW 2026'!$L$5:$L$72)</f>
        <v>6</v>
      </c>
      <c r="P30" s="24">
        <f>IFERROR(INDEX([2]BEV!$C$10:$O$68,
      MATCH(B30,[2]BEV!$B$10:$B$68,0),
      MATCH("ABRIL",[2]BEV!$C$9:$O$9,0)),
   0)-IF(B30=100873,
   IFERROR(VLOOKUP("ABRIL",[2]BEV!$B$80:$C$93,2,0),
      0),
   0)</f>
        <v>1</v>
      </c>
      <c r="Q30" s="282">
        <f t="shared" ca="1" si="31"/>
        <v>0.16666666666666666</v>
      </c>
      <c r="R30" s="21">
        <f ca="1">SUMIF('UC BMW 2026'!$B$5:$B$81,B30,'UC BMW 2026'!$N$5:$N$72)</f>
        <v>6</v>
      </c>
      <c r="S30" s="24">
        <f>IFERROR(INDEX([2]BEV!$C$10:$O$68,
      MATCH(B30,[2]BEV!$B$10:$B$68,0),
      MATCH("MAYO",[2]BEV!$C$9:$O$9,0)),
   0)-IF(B30=100873,
   IFERROR(VLOOKUP("MAYO",[2]BEV!$B$80:$C$93,2,0),
      0),
   0)</f>
        <v>0</v>
      </c>
      <c r="T30" s="282">
        <f t="shared" ca="1" si="32"/>
        <v>0</v>
      </c>
      <c r="U30" s="21">
        <f ca="1">SUMIF('UC BMW 2026'!$B$5:$B$81,B30,'UC BMW 2026'!$P$5:$P$72)</f>
        <v>6</v>
      </c>
      <c r="V30" s="24">
        <f>IFERROR(INDEX([2]BEV!$C$10:$O$68,
      MATCH(B30,[2]BEV!$B$10:$B$68,0),
      MATCH("JUNIO",[2]BEV!$C$9:$O$9,0)),
   0)-IF(B30=100873,
   IFERROR(VLOOKUP("JUNIO",[2]BEV!$B$80:$C$93,2,0),
      0),
   0)</f>
        <v>3</v>
      </c>
      <c r="W30" s="282">
        <f t="shared" ca="1" si="33"/>
        <v>0.5</v>
      </c>
      <c r="X30" s="21">
        <f ca="1">SUMIF('UC BMW 2026'!$B$5:$B$81,B30,'UC BMW 2026'!$R$5:$R$72)</f>
        <v>0</v>
      </c>
      <c r="Y30" s="24">
        <f>IFERROR(INDEX([2]BEV!$C$10:$O$68,
      MATCH(B30,[2]BEV!$B$10:$B$68,0),
      MATCH("JULIO",[2]BEV!$C$9:$O$9,0)),
   0)-IF(B30=100873,
   IFERROR(VLOOKUP("JULIO",[2]BEV!$B$80:$C$93,2,0),
      0),
   0)</f>
        <v>0</v>
      </c>
      <c r="Z30" s="282">
        <f t="shared" ca="1" si="34"/>
        <v>0</v>
      </c>
      <c r="AA30" s="21">
        <f ca="1">SUMIF('UC BMW 2026'!$B$5:$B$81,B30,'UC BMW 2026'!$T$5:$T$72)</f>
        <v>0</v>
      </c>
      <c r="AB30" s="24">
        <f>IFERROR(INDEX([2]BEV!$C$10:$O$68,
      MATCH(B30,[2]BEV!$B$10:$B$68,0),
      MATCH("AGOSTO",[2]BEV!$C$9:$O$9,0)),
   0)-IF(B30=100873,
   IFERROR(VLOOKUP("AGOSTO",[2]BEV!$B$80:$C$93,2,0),
      0),
   0)</f>
        <v>0</v>
      </c>
      <c r="AC30" s="282">
        <f t="shared" ca="1" si="35"/>
        <v>0</v>
      </c>
      <c r="AD30" s="21">
        <f ca="1">SUMIF('UC BMW 2026'!$B$5:$B$81,B30,'UC BMW 2026'!$V$5:$V$72)</f>
        <v>0</v>
      </c>
      <c r="AE30" s="24">
        <f>IFERROR(INDEX([2]BEV!$C$10:$O$68,
      MATCH(B30,[2]BEV!$B$10:$B$68,0),
      MATCH("SEPTIEMBRE",[2]BEV!$C$9:$O$9,0)),
   0)-IF(B30=100873,
   IFERROR(VLOOKUP("SEPTIEMBRE",[2]BEV!$B$80:$C$93,2,0),
      0),
   0)</f>
        <v>0</v>
      </c>
      <c r="AF30" s="282">
        <f t="shared" ca="1" si="36"/>
        <v>0</v>
      </c>
      <c r="AG30" s="21">
        <f ca="1">SUMIF('UC BMW 2026'!$B$5:$B$81,B30,'UC BMW 2026'!$X$5:$X$72)</f>
        <v>0</v>
      </c>
      <c r="AH30" s="24">
        <f>IFERROR(INDEX([2]BEV!$C$10:$O$68,
      MATCH(B30,[2]BEV!$B$10:$B$68,0),
      MATCH("OCTUBRE",[2]BEV!$C$9:$O$9,0)),
   0)-IF(B30=100873,
   IFERROR(VLOOKUP("OCTUBRE",[2]BEV!$B$80:$C$93,2,0),
      0),
   0)</f>
        <v>0</v>
      </c>
      <c r="AI30" s="282">
        <f t="shared" ca="1" si="37"/>
        <v>0</v>
      </c>
      <c r="AJ30" s="21">
        <f ca="1">SUMIF('UC BMW 2026'!$B$5:$B$81,B30,'UC BMW 2026'!$Z$5:$Z$72)</f>
        <v>0</v>
      </c>
      <c r="AK30" s="24">
        <f>IFERROR(INDEX([2]BEV!$C$10:$O$68,
      MATCH(B30,[2]BEV!$B$10:$B$68,0),
      MATCH("NOVIEMBRE",[2]BEV!$C$9:$O$9,0)),
   0)-IF(B30=100873,
   IFERROR(VLOOKUP("NOVIEMBRE",[2]BEV!$B$80:$C$93,2,0),
      0),
   0)</f>
        <v>0</v>
      </c>
      <c r="AL30" s="282">
        <f t="shared" ca="1" si="38"/>
        <v>0</v>
      </c>
      <c r="AM30" s="21">
        <f ca="1">SUMIF('UC BMW 2026'!$B$5:$B$81,B30,'UC BMW 2026'!$AB$5:$AB$72)</f>
        <v>0</v>
      </c>
      <c r="AN30" s="24">
        <f>IFERROR(INDEX([2]BEV!$C$10:$O$68,
      MATCH(B30,[2]BEV!$B$10:$B$68,0),
      MATCH("DICIEMBRE",[2]BEV!$C$9:$O$9,0)),
   0)-IF(B30=100873,
   IFERROR(VLOOKUP("DICIEMBRE",[2]BEV!$B$80:$C$93,2,0),
      0),
   0)</f>
        <v>0</v>
      </c>
      <c r="AO30" s="282">
        <f t="shared" ca="1" si="39"/>
        <v>0</v>
      </c>
      <c r="AP30" s="21">
        <f t="shared" ca="1" si="40"/>
        <v>36</v>
      </c>
      <c r="AQ30" s="24">
        <f t="shared" si="40"/>
        <v>11</v>
      </c>
      <c r="AR30" s="129">
        <f t="shared" ca="1" si="41"/>
        <v>0.30555555555555558</v>
      </c>
      <c r="AS30" s="21">
        <f t="shared" ca="1" si="42"/>
        <v>36</v>
      </c>
      <c r="AT30" s="24">
        <f t="shared" si="42"/>
        <v>11</v>
      </c>
      <c r="AU30" s="129">
        <f t="shared" ca="1" si="43"/>
        <v>0.30555555555555558</v>
      </c>
      <c r="AV30" s="25"/>
      <c r="AW30" s="27"/>
      <c r="AX30" s="287"/>
      <c r="AY30" s="291"/>
      <c r="AZ30" s="129"/>
      <c r="BA30" s="27"/>
      <c r="BB30" s="129"/>
      <c r="BC30" s="21">
        <f t="shared" ca="1" si="44"/>
        <v>36</v>
      </c>
      <c r="BD30" s="24">
        <f t="shared" si="44"/>
        <v>11</v>
      </c>
      <c r="BE30" s="130">
        <f t="shared" ca="1" si="45"/>
        <v>0.30555555555555558</v>
      </c>
      <c r="BF30" s="34">
        <f t="shared" ca="1" si="46"/>
        <v>0</v>
      </c>
      <c r="BG30" s="24">
        <f t="shared" si="46"/>
        <v>0</v>
      </c>
      <c r="BH30" s="130">
        <f t="shared" ca="1" si="47"/>
        <v>0</v>
      </c>
      <c r="BI30" s="4">
        <v>1</v>
      </c>
      <c r="BK30" s="4">
        <f ca="1"/>
        <v>135</v>
      </c>
      <c r="BL30" s="4">
        <v>156</v>
      </c>
      <c r="BM30" s="508">
        <f ca="1"/>
        <v>1.3148936170212766</v>
      </c>
      <c r="BO30" s="15">
        <f t="shared" ca="1" si="48"/>
        <v>18</v>
      </c>
      <c r="BP30" s="15">
        <f t="shared" si="49"/>
        <v>4</v>
      </c>
    </row>
    <row r="31" spans="1:68" s="4" customFormat="1" ht="15" customHeight="1" thickBot="1" x14ac:dyDescent="0.3">
      <c r="A31" s="4">
        <f>_xlfn.XLOOKUP(B31,'WHOLESALE BMW 2026'!$B$7:$B$67,'WHOLESALE BMW 2026'!$A$7:$A$67)</f>
        <v>0</v>
      </c>
      <c r="B31" s="7" t="s">
        <v>266</v>
      </c>
      <c r="C31" s="28"/>
      <c r="D31" s="125"/>
      <c r="E31" s="7"/>
      <c r="F31" s="277">
        <f ca="1">SUM(F24:F30)</f>
        <v>59</v>
      </c>
      <c r="G31" s="277">
        <f>SUM(G24:G30)</f>
        <v>54</v>
      </c>
      <c r="H31" s="132">
        <f t="shared" ref="H31:H48" ca="1" si="50">IFERROR(G31/F31,0)</f>
        <v>0.9152542372881356</v>
      </c>
      <c r="I31" s="277">
        <f ca="1">SUM(I24:I30)</f>
        <v>60</v>
      </c>
      <c r="J31" s="277">
        <f>SUM(J24:J30)</f>
        <v>54</v>
      </c>
      <c r="K31" s="132">
        <f t="shared" ref="K31:K48" ca="1" si="51">IFERROR(J31/I31,0)</f>
        <v>0.9</v>
      </c>
      <c r="L31" s="277">
        <f ca="1">SUM(L24:L30)</f>
        <v>60</v>
      </c>
      <c r="M31" s="277">
        <f>SUM(M24:M30)</f>
        <v>51</v>
      </c>
      <c r="N31" s="132">
        <f t="shared" ref="N31:N48" ca="1" si="52">IFERROR(M31/L31,0)</f>
        <v>0.85</v>
      </c>
      <c r="O31" s="277">
        <f ca="1">SUM(O24:O30)</f>
        <v>61</v>
      </c>
      <c r="P31" s="277">
        <f>SUM(P24:P30)</f>
        <v>56</v>
      </c>
      <c r="Q31" s="132">
        <f t="shared" ref="Q31:Q48" ca="1" si="53">IFERROR(P31/O31,0)</f>
        <v>0.91803278688524592</v>
      </c>
      <c r="R31" s="277">
        <f ca="1">SUM(R24:R30)</f>
        <v>61</v>
      </c>
      <c r="S31" s="277">
        <f>SUM(S24:S30)</f>
        <v>36</v>
      </c>
      <c r="T31" s="132">
        <f t="shared" ref="T31:T48" ca="1" si="54">IFERROR(S31/R31,0)</f>
        <v>0.5901639344262295</v>
      </c>
      <c r="U31" s="277">
        <f ca="1">SUM(U24:U30)</f>
        <v>61</v>
      </c>
      <c r="V31" s="277">
        <f>SUM(V24:V30)</f>
        <v>84</v>
      </c>
      <c r="W31" s="132">
        <f t="shared" ref="W31:W48" ca="1" si="55">IFERROR(V31/U31,0)</f>
        <v>1.3770491803278688</v>
      </c>
      <c r="X31" s="277">
        <f ca="1">SUM(X24:X30)</f>
        <v>11</v>
      </c>
      <c r="Y31" s="277">
        <f>SUM(Y24:Y30)</f>
        <v>0</v>
      </c>
      <c r="Z31" s="132">
        <f t="shared" ref="Z31:Z48" ca="1" si="56">IFERROR(Y31/X31,0)</f>
        <v>0</v>
      </c>
      <c r="AA31" s="277">
        <f ca="1">SUM(AA24:AA30)</f>
        <v>10</v>
      </c>
      <c r="AB31" s="277">
        <f>SUM(AB24:AB30)</f>
        <v>0</v>
      </c>
      <c r="AC31" s="132">
        <f t="shared" ref="AC31:AC48" ca="1" si="57">IFERROR(AB31/AA31,0)</f>
        <v>0</v>
      </c>
      <c r="AD31" s="277">
        <f ca="1">SUM(AD24:AD30)</f>
        <v>11</v>
      </c>
      <c r="AE31" s="277">
        <f>SUM(AE24:AE30)</f>
        <v>0</v>
      </c>
      <c r="AF31" s="132">
        <f t="shared" ref="AF31:AF48" ca="1" si="58">IFERROR(AE31/AD31,0)</f>
        <v>0</v>
      </c>
      <c r="AG31" s="277">
        <f ca="1">SUM(AG24:AG30)</f>
        <v>11</v>
      </c>
      <c r="AH31" s="277">
        <f>SUM(AH24:AH30)</f>
        <v>0</v>
      </c>
      <c r="AI31" s="132">
        <f t="shared" ref="AI31:AI48" ca="1" si="59">IFERROR(AH31/AG31,0)</f>
        <v>0</v>
      </c>
      <c r="AJ31" s="277">
        <f ca="1">SUM(AJ24:AJ30)</f>
        <v>11</v>
      </c>
      <c r="AK31" s="277">
        <f>SUM(AK24:AK30)</f>
        <v>0</v>
      </c>
      <c r="AL31" s="132">
        <f t="shared" ref="AL31:AL48" ca="1" si="60">IFERROR(AK31/AJ31,0)</f>
        <v>0</v>
      </c>
      <c r="AM31" s="277">
        <f ca="1">SUM(AM24:AM30)</f>
        <v>11</v>
      </c>
      <c r="AN31" s="277">
        <f>SUM(AN24:AN30)</f>
        <v>0</v>
      </c>
      <c r="AO31" s="132">
        <f t="shared" ref="AO31:AO48" ca="1" si="61">IFERROR(AN31/AM31,0)</f>
        <v>0</v>
      </c>
      <c r="AP31" s="277">
        <f ca="1">IFERROR(IF($AP$4="ENERO",F31,IF($AP$4="FEBRERO",F31+I31,IF($AP$4="MARZO",F31+I31+L31,IF($AP$4="ABRIL",F31+I31+L31+O31,IF($AP$4="MAYO",F31+I31+L31+O31+R31,IF($AP$4="JUNIO",F31+I31+L31+O31+R31+U31,IF($AP$4="JULIO",F31+I31+L31+O31+R31+U31+X31,IF($AP$4="AGOSTO",F31+I31+L31+O31+R31+U31+X31+AA31,IF($AP$4="SEPTIEMBRE",F31+I31+L31+O31+R31+U31+X31+AA31+AD31,IF($AP$4="OCTUBRE",F31+I31+L31+O31+R31+U31+X31+AA31+AD31+AG31,IF($AP$4="NOVIEMBRE",F31+I31+L31+O31+R31+U31+X31+AA31+AD31+AG31+AJ31,IF($AP$4="DICIEMBRE",F31+I31+L31+O31+R31+U31+X31+AA31+AD31+AG31+AJ31+AM31,"")))))))))))),0)</f>
        <v>362</v>
      </c>
      <c r="AQ31" s="410">
        <f>IFERROR(IF($AP$4="ENERO",G31,IF($AP$4="FEBRERO",G31+J31,IF($AP$4="MARZO",G31+J31+M31,IF($AP$4="ABRIL",G31+J31+M31+P31,IF($AP$4="MAYO",G31+J31+M31+P31+S31,IF($AP$4="JUNIO",G31+J31+M31+P31+S31+V31,IF($AP$4="JULIO",G31+J31+M31+P31+S31+V31+Y31,IF($AP$4="AGOSTO",G31+J31+M31+P31+S31+V31+Y31+AB31,IF($AP$4="SEPTIEMBRE",G31+J31+M31+P31+S31+V31+Y31+AB31+AE31,IF($AP$4="OCTUBRE",G31+J31+M31+P31+S31+V31+Y31+AB31+AE31+AH31,IF($AP$4="NOVIEMBRE",G31+J31+M31+P31+S31+V31+Y31+AB31+AE31+AH31+AK31,IF($AP$4="DICIEMBRE",G31+J31+M31+P31+S31+V31+Y31+AB31+AE31+AH31+AK31+AN31,"")))))))))))),0)</f>
        <v>335</v>
      </c>
      <c r="AR31" s="131">
        <f t="shared" ref="AR31:AR48" ca="1" si="62">IFERROR(AQ31/AP31,0)</f>
        <v>0.925414364640884</v>
      </c>
      <c r="AS31" s="277">
        <f ca="1">IFERROR(SUM(AM31,AJ31,AG31,AD31,AA31,X31,U31,R31,O31,L31,I31,F31),0)</f>
        <v>427</v>
      </c>
      <c r="AT31" s="410">
        <f>IFERROR(SUM(AN31,AK31,AH31,AE31,AB31,Y31,V31,S31,P31,M31,J31,G31),0)</f>
        <v>335</v>
      </c>
      <c r="AU31" s="131">
        <f t="shared" ref="AU31:AU48" ca="1" si="63">IFERROR(AT31/AS31,0)</f>
        <v>0.78454332552693207</v>
      </c>
      <c r="AV31" s="200"/>
      <c r="AW31" s="258"/>
      <c r="AX31" s="132"/>
      <c r="AY31" s="278"/>
      <c r="AZ31" s="132"/>
      <c r="BA31" s="258"/>
      <c r="BB31" s="131"/>
      <c r="BC31" s="277">
        <f ca="1">IFERROR(IF($BC$5="S 1",F31+I31+L31+O31+R31+U31,
IF($BC$5="S 2",X31+AA31+AD31+AG31+AJ31+AM31,0)),0)</f>
        <v>362</v>
      </c>
      <c r="BD31" s="410">
        <f>IFERROR(IF($BC$5="S 1",G31+J31+M31+P31+S31+V31,
IF($BC$5="S 2",Y31+AB31+AE31+AH31+AK31+AN31,0)),0)</f>
        <v>335</v>
      </c>
      <c r="BE31" s="275">
        <f t="shared" ref="BE31:BE48" ca="1" si="64">IFERROR(BD31/BC31,0)</f>
        <v>0.925414364640884</v>
      </c>
      <c r="BF31" s="277">
        <f ca="1">IFERROR(SUM(BF24:BF30),0)</f>
        <v>65</v>
      </c>
      <c r="BG31" s="277">
        <f>IFERROR(SUM(BG24:BG30),0)</f>
        <v>0</v>
      </c>
      <c r="BH31" s="275">
        <f t="shared" ref="BH31:BH48" ca="1" si="65">IFERROR(BG31/BF31,0)</f>
        <v>0</v>
      </c>
      <c r="BI31" s="4">
        <v>0</v>
      </c>
      <c r="BK31" s="4">
        <f ca="1"/>
        <v>135</v>
      </c>
      <c r="BL31" s="4">
        <v>155</v>
      </c>
      <c r="BM31" s="508">
        <f ca="1"/>
        <v>1.2648648648648648</v>
      </c>
      <c r="BO31" s="15"/>
      <c r="BP31" s="15"/>
    </row>
    <row r="32" spans="1:68" s="4" customFormat="1" ht="15" customHeight="1" x14ac:dyDescent="0.3">
      <c r="A32" s="4">
        <f>_xlfn.XLOOKUP(B32,'WHOLESALE BMW 2026'!$B$7:$B$67,'WHOLESALE BMW 2026'!$A$7:$A$67)</f>
        <v>5</v>
      </c>
      <c r="B32" s="8">
        <v>100015</v>
      </c>
      <c r="C32" s="369" t="s">
        <v>51</v>
      </c>
      <c r="D32" s="125"/>
      <c r="E32" s="309" t="s">
        <v>79</v>
      </c>
      <c r="F32" s="21">
        <f ca="1">SUMIF('UC BMW 2026'!$B$5:$B$81,B32,'UC BMW 2026'!$F$5:$F$72)</f>
        <v>12</v>
      </c>
      <c r="G32" s="24">
        <f>IFERROR(INDEX([2]BEV!$C$10:$O$68,
      MATCH(B32,[2]BEV!$B$10:$B$68,0),
      MATCH("ENERO",[2]BEV!$C$9:$O$9,0)),
   0)-IF(B32=100873,
   IFERROR(VLOOKUP("ENERO",[2]BEV!$B$80:$C$93,2,0),
      0),
   0)</f>
        <v>10</v>
      </c>
      <c r="H32" s="282">
        <f t="shared" ca="1" si="50"/>
        <v>0.83333333333333337</v>
      </c>
      <c r="I32" s="21">
        <f ca="1">SUMIF('UC BMW 2026'!$B$5:$B$81,B32,'UC BMW 2026'!$H$5:$H$72)</f>
        <v>12</v>
      </c>
      <c r="J32" s="24">
        <f>IFERROR(INDEX([2]BEV!$C$10:$O$68,
      MATCH(B32,[2]BEV!$B$10:$B$68,0),
      MATCH("FEBRERO",[2]BEV!$C$9:$O$9,0)),
   0)-IF(B32=100873,
   IFERROR(VLOOKUP("FEBRERO",[2]BEV!$B$80:$C$93,2,0),
      0),
   0)</f>
        <v>9</v>
      </c>
      <c r="K32" s="282">
        <f t="shared" ca="1" si="51"/>
        <v>0.75</v>
      </c>
      <c r="L32" s="21">
        <f ca="1">SUMIF('UC BMW 2026'!$B$5:$B$81,B32,'UC BMW 2026'!$J$5:$J$72)</f>
        <v>12</v>
      </c>
      <c r="M32" s="24">
        <f>IFERROR(INDEX([2]BEV!$C$10:$O$68,
      MATCH(B32,[2]BEV!$B$10:$B$68,0),
      MATCH("MARZO",[2]BEV!$C$9:$O$9,0)),
   0)-IF(B32=100873,
   IFERROR(VLOOKUP("MARZO",[2]BEV!$B$80:$C$93,2,0),
      0),
   0)</f>
        <v>10</v>
      </c>
      <c r="N32" s="282">
        <f t="shared" ca="1" si="52"/>
        <v>0.83333333333333337</v>
      </c>
      <c r="O32" s="21">
        <f ca="1">SUMIF('UC BMW 2026'!$B$5:$B$81,B32,'UC BMW 2026'!$L$5:$L$72)</f>
        <v>13</v>
      </c>
      <c r="P32" s="24">
        <f>IFERROR(INDEX([2]BEV!$C$10:$O$68,
      MATCH(B32,[2]BEV!$B$10:$B$68,0),
      MATCH("ABRIL",[2]BEV!$C$9:$O$9,0)),
   0)-IF(B32=100873,
   IFERROR(VLOOKUP("ABRIL",[2]BEV!$B$80:$C$93,2,0),
      0),
   0)</f>
        <v>11</v>
      </c>
      <c r="Q32" s="282">
        <f t="shared" ca="1" si="53"/>
        <v>0.84615384615384615</v>
      </c>
      <c r="R32" s="21">
        <f ca="1">SUMIF('UC BMW 2026'!$B$5:$B$81,B32,'UC BMW 2026'!$N$5:$N$72)</f>
        <v>13</v>
      </c>
      <c r="S32" s="24">
        <f>IFERROR(INDEX([2]BEV!$C$10:$O$68,
      MATCH(B32,[2]BEV!$B$10:$B$68,0),
      MATCH("MAYO",[2]BEV!$C$9:$O$9,0)),
   0)-IF(B32=100873,
   IFERROR(VLOOKUP("MAYO",[2]BEV!$B$80:$C$93,2,0),
      0),
   0)</f>
        <v>10</v>
      </c>
      <c r="T32" s="282">
        <f t="shared" ca="1" si="54"/>
        <v>0.76923076923076927</v>
      </c>
      <c r="U32" s="21">
        <f ca="1">SUMIF('UC BMW 2026'!$B$5:$B$81,B32,'UC BMW 2026'!$P$5:$P$72)</f>
        <v>13</v>
      </c>
      <c r="V32" s="24">
        <f>IFERROR(INDEX([2]BEV!$C$10:$O$68,
      MATCH(B32,[2]BEV!$B$10:$B$68,0),
      MATCH("JUNIO",[2]BEV!$C$9:$O$9,0)),
   0)-IF(B32=100873,
   IFERROR(VLOOKUP("JUNIO",[2]BEV!$B$80:$C$93,2,0),
      0),
   0)</f>
        <v>26</v>
      </c>
      <c r="W32" s="282">
        <f t="shared" ca="1" si="55"/>
        <v>2</v>
      </c>
      <c r="X32" s="21">
        <f ca="1">SUMIF('UC BMW 2026'!$B$5:$B$81,B32,'UC BMW 2026'!$R$5:$R$72)</f>
        <v>11</v>
      </c>
      <c r="Y32" s="24">
        <f>IFERROR(INDEX([2]BEV!$C$10:$O$68,
      MATCH(B32,[2]BEV!$B$10:$B$68,0),
      MATCH("JULIO",[2]BEV!$C$9:$O$9,0)),
   0)-IF(B32=100873,
   IFERROR(VLOOKUP("JULIO",[2]BEV!$B$80:$C$93,2,0),
      0),
   0)</f>
        <v>0</v>
      </c>
      <c r="Z32" s="282">
        <f t="shared" ca="1" si="56"/>
        <v>0</v>
      </c>
      <c r="AA32" s="21">
        <f ca="1">SUMIF('UC BMW 2026'!$B$5:$B$81,B32,'UC BMW 2026'!$T$5:$T$72)</f>
        <v>9</v>
      </c>
      <c r="AB32" s="24">
        <f>IFERROR(INDEX([2]BEV!$C$10:$O$68,
      MATCH(B32,[2]BEV!$B$10:$B$68,0),
      MATCH("AGOSTO",[2]BEV!$C$9:$O$9,0)),
   0)-IF(B32=100873,
   IFERROR(VLOOKUP("AGOSTO",[2]BEV!$B$80:$C$93,2,0),
      0),
   0)</f>
        <v>0</v>
      </c>
      <c r="AC32" s="282">
        <f t="shared" ca="1" si="57"/>
        <v>0</v>
      </c>
      <c r="AD32" s="21">
        <f ca="1">SUMIF('UC BMW 2026'!$B$5:$B$81,B32,'UC BMW 2026'!$V$5:$V$72)</f>
        <v>12</v>
      </c>
      <c r="AE32" s="24">
        <f>IFERROR(INDEX([2]BEV!$C$10:$O$68,
      MATCH(B32,[2]BEV!$B$10:$B$68,0),
      MATCH("SEPTIEMBRE",[2]BEV!$C$9:$O$9,0)),
   0)-IF(B32=100873,
   IFERROR(VLOOKUP("SEPTIEMBRE",[2]BEV!$B$80:$C$93,2,0),
      0),
   0)</f>
        <v>0</v>
      </c>
      <c r="AF32" s="282">
        <f t="shared" ca="1" si="58"/>
        <v>0</v>
      </c>
      <c r="AG32" s="21">
        <f ca="1">SUMIF('UC BMW 2026'!$B$5:$B$81,B32,'UC BMW 2026'!$X$5:$X$72)</f>
        <v>12</v>
      </c>
      <c r="AH32" s="24">
        <f>IFERROR(INDEX([2]BEV!$C$10:$O$68,
      MATCH(B32,[2]BEV!$B$10:$B$68,0),
      MATCH("OCTUBRE",[2]BEV!$C$9:$O$9,0)),
   0)-IF(B32=100873,
   IFERROR(VLOOKUP("OCTUBRE",[2]BEV!$B$80:$C$93,2,0),
      0),
   0)</f>
        <v>0</v>
      </c>
      <c r="AI32" s="282">
        <f t="shared" ca="1" si="59"/>
        <v>0</v>
      </c>
      <c r="AJ32" s="21">
        <f ca="1">SUMIF('UC BMW 2026'!$B$5:$B$81,B32,'UC BMW 2026'!$Z$5:$Z$72)</f>
        <v>12</v>
      </c>
      <c r="AK32" s="24">
        <f>IFERROR(INDEX([2]BEV!$C$10:$O$68,
      MATCH(B32,[2]BEV!$B$10:$B$68,0),
      MATCH("NOVIEMBRE",[2]BEV!$C$9:$O$9,0)),
   0)-IF(B32=100873,
   IFERROR(VLOOKUP("NOVIEMBRE",[2]BEV!$B$80:$C$93,2,0),
      0),
   0)</f>
        <v>0</v>
      </c>
      <c r="AL32" s="282">
        <f t="shared" ca="1" si="60"/>
        <v>0</v>
      </c>
      <c r="AM32" s="21">
        <f ca="1">SUMIF('UC BMW 2026'!$B$5:$B$81,B32,'UC BMW 2026'!$AB$5:$AB$72)</f>
        <v>11</v>
      </c>
      <c r="AN32" s="24">
        <f>IFERROR(INDEX([2]BEV!$C$10:$O$68,
      MATCH(B32,[2]BEV!$B$10:$B$68,0),
      MATCH("DICIEMBRE",[2]BEV!$C$9:$O$9,0)),
   0)-IF(B32=100873,
   IFERROR(VLOOKUP("DICIEMBRE",[2]BEV!$B$80:$C$93,2,0),
      0),
   0)</f>
        <v>0</v>
      </c>
      <c r="AO32" s="282">
        <f t="shared" ca="1" si="61"/>
        <v>0</v>
      </c>
      <c r="AP32" s="21">
        <f t="shared" ref="AP32:AQ36" ca="1" si="66">IFERROR(IF($AP$4="ENERO",F32,IF($AP$4="FEBRERO",F32+I32,IF($AP$4="MARZO",F32+I32+L32,IF($AP$4="ABRIL",F32+I32+L32+O32,IF($AP$4="MAYO",F32+I32+L32+O32+R32,IF($AP$4="JUNIO",F32+I32+L32+O32+R32+U32,IF($AP$4="JULIO",F32+I32+L32+O32+R32+U32+X32,IF($AP$4="AGOSTO",F32+I32+L32+O32+R32+U32+X32+AA32,IF($AP$4="SEPTIEMBRE",F32+I32+L32+O32+R32+U32+X32+AA32+AD32,IF($AP$4="OCTUBRE",F32+I32+L32+O32+R32+U32+X32+AA32+AD32+AG32,IF($AP$4="NOVIEMBRE",F32+I32+L32+O32+R32+U32+X32+AA32+AD32+AG32+AJ32,IF($AP$4="DICIEMBRE",F32+I32+L32+O32+R32+U32+X32+AA32+AD32+AG32+AJ32+AM32,"")))))))))))),0)</f>
        <v>75</v>
      </c>
      <c r="AQ32" s="24">
        <f t="shared" si="66"/>
        <v>76</v>
      </c>
      <c r="AR32" s="129">
        <f t="shared" ca="1" si="62"/>
        <v>1.0133333333333334</v>
      </c>
      <c r="AS32" s="21">
        <f t="shared" ref="AS32:AT36" ca="1" si="67">IFERROR(SUM(AM32,AJ32,AG32,AD32,AA32,X32,U32,R32,O32,L32,I32,F32),0)</f>
        <v>142</v>
      </c>
      <c r="AT32" s="24">
        <f t="shared" si="67"/>
        <v>76</v>
      </c>
      <c r="AU32" s="129">
        <f t="shared" ca="1" si="63"/>
        <v>0.53521126760563376</v>
      </c>
      <c r="AV32" s="25"/>
      <c r="AW32" s="27"/>
      <c r="AX32" s="287"/>
      <c r="AY32" s="291"/>
      <c r="AZ32" s="129"/>
      <c r="BA32" s="27"/>
      <c r="BB32" s="129"/>
      <c r="BC32" s="21">
        <f t="shared" ref="BC32:BD36" ca="1" si="68">IFERROR(IF($BC$5="S 1",F32+I32+L32+O32+R32+U32,
IF($BC$5="S 2",X32+AA32+AD32+AG32+AJ32+AM32,0)),0)</f>
        <v>75</v>
      </c>
      <c r="BD32" s="24">
        <f t="shared" si="68"/>
        <v>76</v>
      </c>
      <c r="BE32" s="130">
        <f t="shared" ca="1" si="64"/>
        <v>1.0133333333333334</v>
      </c>
      <c r="BF32" s="34">
        <f t="shared" ref="BF32:BG35" ca="1" si="69">IFERROR(IF($BF$5="S 1",F32+I32+L32+O32+R32+U32,
IF($BF$5="S 2",X32+AA32+AD32+AG32+AJ32+AM32,0)),0)</f>
        <v>67</v>
      </c>
      <c r="BG32" s="24">
        <f t="shared" si="69"/>
        <v>0</v>
      </c>
      <c r="BH32" s="130">
        <f t="shared" ca="1" si="65"/>
        <v>0</v>
      </c>
      <c r="BI32" s="4">
        <v>1</v>
      </c>
      <c r="BK32" s="4">
        <f ca="1"/>
        <v>135</v>
      </c>
      <c r="BL32" s="4">
        <v>149</v>
      </c>
      <c r="BM32" s="508">
        <f ca="1"/>
        <v>1.26</v>
      </c>
      <c r="BO32" s="15">
        <f ca="1">SUM(O32,R32,U32)</f>
        <v>39</v>
      </c>
      <c r="BP32" s="15">
        <f>SUM(V32,S32,P32)</f>
        <v>47</v>
      </c>
    </row>
    <row r="33" spans="1:68" s="4" customFormat="1" ht="15" customHeight="1" x14ac:dyDescent="0.3">
      <c r="A33" s="4">
        <f>_xlfn.XLOOKUP(B33,'WHOLESALE BMW 2026'!$B$7:$B$67,'WHOLESALE BMW 2026'!$A$7:$A$67)</f>
        <v>5</v>
      </c>
      <c r="B33" s="8">
        <v>100190</v>
      </c>
      <c r="C33" s="369" t="s">
        <v>52</v>
      </c>
      <c r="D33" s="125"/>
      <c r="E33" s="309" t="s">
        <v>79</v>
      </c>
      <c r="F33" s="21">
        <f ca="1">SUMIF('UC BMW 2026'!$B$5:$B$81,B33,'UC BMW 2026'!$F$5:$F$72)</f>
        <v>16</v>
      </c>
      <c r="G33" s="24">
        <f>IFERROR(INDEX([2]BEV!$C$10:$O$68,
      MATCH(B33,[2]BEV!$B$10:$B$68,0),
      MATCH("ENERO",[2]BEV!$C$9:$O$9,0)),
   0)-IF(B33=100873,
   IFERROR(VLOOKUP("ENERO",[2]BEV!$B$80:$C$93,2,0),
      0),
   0)</f>
        <v>19</v>
      </c>
      <c r="H33" s="282">
        <f t="shared" ca="1" si="50"/>
        <v>1.1875</v>
      </c>
      <c r="I33" s="21">
        <f ca="1">SUMIF('UC BMW 2026'!$B$5:$B$81,B33,'UC BMW 2026'!$H$5:$H$72)</f>
        <v>16</v>
      </c>
      <c r="J33" s="24">
        <f>IFERROR(INDEX([2]BEV!$C$10:$O$68,
      MATCH(B33,[2]BEV!$B$10:$B$68,0),
      MATCH("FEBRERO",[2]BEV!$C$9:$O$9,0)),
   0)-IF(B33=100873,
   IFERROR(VLOOKUP("FEBRERO",[2]BEV!$B$80:$C$93,2,0),
      0),
   0)</f>
        <v>12</v>
      </c>
      <c r="K33" s="282">
        <f t="shared" ca="1" si="51"/>
        <v>0.75</v>
      </c>
      <c r="L33" s="21">
        <f ca="1">SUMIF('UC BMW 2026'!$B$5:$B$81,B33,'UC BMW 2026'!$J$5:$J$72)</f>
        <v>17</v>
      </c>
      <c r="M33" s="24">
        <f>IFERROR(INDEX([2]BEV!$C$10:$O$68,
      MATCH(B33,[2]BEV!$B$10:$B$68,0),
      MATCH("MARZO",[2]BEV!$C$9:$O$9,0)),
   0)-IF(B33=100873,
   IFERROR(VLOOKUP("MARZO",[2]BEV!$B$80:$C$93,2,0),
      0),
   0)</f>
        <v>17</v>
      </c>
      <c r="N33" s="282">
        <f t="shared" ca="1" si="52"/>
        <v>1</v>
      </c>
      <c r="O33" s="21">
        <f ca="1">SUMIF('UC BMW 2026'!$B$5:$B$81,B33,'UC BMW 2026'!$L$5:$L$72)</f>
        <v>17</v>
      </c>
      <c r="P33" s="24">
        <f>IFERROR(INDEX([2]BEV!$C$10:$O$68,
      MATCH(B33,[2]BEV!$B$10:$B$68,0),
      MATCH("ABRIL",[2]BEV!$C$9:$O$9,0)),
   0)-IF(B33=100873,
   IFERROR(VLOOKUP("ABRIL",[2]BEV!$B$80:$C$93,2,0),
      0),
   0)</f>
        <v>26</v>
      </c>
      <c r="Q33" s="282">
        <f t="shared" ca="1" si="53"/>
        <v>1.5294117647058822</v>
      </c>
      <c r="R33" s="21">
        <f ca="1">SUMIF('UC BMW 2026'!$B$5:$B$81,B33,'UC BMW 2026'!$N$5:$N$72)</f>
        <v>17</v>
      </c>
      <c r="S33" s="24">
        <f>IFERROR(INDEX([2]BEV!$C$10:$O$68,
      MATCH(B33,[2]BEV!$B$10:$B$68,0),
      MATCH("MAYO",[2]BEV!$C$9:$O$9,0)),
   0)-IF(B33=100873,
   IFERROR(VLOOKUP("MAYO",[2]BEV!$B$80:$C$93,2,0),
      0),
   0)</f>
        <v>25</v>
      </c>
      <c r="T33" s="282">
        <f t="shared" ca="1" si="54"/>
        <v>1.4705882352941178</v>
      </c>
      <c r="U33" s="21">
        <f ca="1">SUMIF('UC BMW 2026'!$B$5:$B$81,B33,'UC BMW 2026'!$P$5:$P$72)</f>
        <v>17</v>
      </c>
      <c r="V33" s="24">
        <f>IFERROR(INDEX([2]BEV!$C$10:$O$68,
      MATCH(B33,[2]BEV!$B$10:$B$68,0),
      MATCH("JUNIO",[2]BEV!$C$9:$O$9,0)),
   0)-IF(B33=100873,
   IFERROR(VLOOKUP("JUNIO",[2]BEV!$B$80:$C$93,2,0),
      0),
   0)</f>
        <v>24</v>
      </c>
      <c r="W33" s="282">
        <f t="shared" ca="1" si="55"/>
        <v>1.411764705882353</v>
      </c>
      <c r="X33" s="21">
        <f ca="1">SUMIF('UC BMW 2026'!$B$5:$B$81,B33,'UC BMW 2026'!$R$5:$R$72)</f>
        <v>15</v>
      </c>
      <c r="Y33" s="24">
        <f>IFERROR(INDEX([2]BEV!$C$10:$O$68,
      MATCH(B33,[2]BEV!$B$10:$B$68,0),
      MATCH("JULIO",[2]BEV!$C$9:$O$9,0)),
   0)-IF(B33=100873,
   IFERROR(VLOOKUP("JULIO",[2]BEV!$B$80:$C$93,2,0),
      0),
   0)</f>
        <v>0</v>
      </c>
      <c r="Z33" s="282">
        <f t="shared" ca="1" si="56"/>
        <v>0</v>
      </c>
      <c r="AA33" s="21">
        <f ca="1">SUMIF('UC BMW 2026'!$B$5:$B$81,B33,'UC BMW 2026'!$T$5:$T$72)</f>
        <v>12</v>
      </c>
      <c r="AB33" s="24">
        <f>IFERROR(INDEX([2]BEV!$C$10:$O$68,
      MATCH(B33,[2]BEV!$B$10:$B$68,0),
      MATCH("AGOSTO",[2]BEV!$C$9:$O$9,0)),
   0)-IF(B33=100873,
   IFERROR(VLOOKUP("AGOSTO",[2]BEV!$B$80:$C$93,2,0),
      0),
   0)</f>
        <v>0</v>
      </c>
      <c r="AC33" s="282">
        <f t="shared" ca="1" si="57"/>
        <v>0</v>
      </c>
      <c r="AD33" s="21">
        <f ca="1">SUMIF('UC BMW 2026'!$B$5:$B$81,B33,'UC BMW 2026'!$V$5:$V$72)</f>
        <v>15</v>
      </c>
      <c r="AE33" s="24">
        <f>IFERROR(INDEX([2]BEV!$C$10:$O$68,
      MATCH(B33,[2]BEV!$B$10:$B$68,0),
      MATCH("SEPTIEMBRE",[2]BEV!$C$9:$O$9,0)),
   0)-IF(B33=100873,
   IFERROR(VLOOKUP("SEPTIEMBRE",[2]BEV!$B$80:$C$93,2,0),
      0),
   0)</f>
        <v>0</v>
      </c>
      <c r="AF33" s="282">
        <f t="shared" ca="1" si="58"/>
        <v>0</v>
      </c>
      <c r="AG33" s="21">
        <f ca="1">SUMIF('UC BMW 2026'!$B$5:$B$81,B33,'UC BMW 2026'!$X$5:$X$72)</f>
        <v>16</v>
      </c>
      <c r="AH33" s="24">
        <f>IFERROR(INDEX([2]BEV!$C$10:$O$68,
      MATCH(B33,[2]BEV!$B$10:$B$68,0),
      MATCH("OCTUBRE",[2]BEV!$C$9:$O$9,0)),
   0)-IF(B33=100873,
   IFERROR(VLOOKUP("OCTUBRE",[2]BEV!$B$80:$C$93,2,0),
      0),
   0)</f>
        <v>0</v>
      </c>
      <c r="AI33" s="282">
        <f t="shared" ca="1" si="59"/>
        <v>0</v>
      </c>
      <c r="AJ33" s="21">
        <f ca="1">SUMIF('UC BMW 2026'!$B$5:$B$81,B33,'UC BMW 2026'!$Z$5:$Z$72)</f>
        <v>17</v>
      </c>
      <c r="AK33" s="24">
        <f>IFERROR(INDEX([2]BEV!$C$10:$O$68,
      MATCH(B33,[2]BEV!$B$10:$B$68,0),
      MATCH("NOVIEMBRE",[2]BEV!$C$9:$O$9,0)),
   0)-IF(B33=100873,
   IFERROR(VLOOKUP("NOVIEMBRE",[2]BEV!$B$80:$C$93,2,0),
      0),
   0)</f>
        <v>0</v>
      </c>
      <c r="AL33" s="282">
        <f t="shared" ca="1" si="60"/>
        <v>0</v>
      </c>
      <c r="AM33" s="21">
        <f ca="1">SUMIF('UC BMW 2026'!$B$5:$B$81,B33,'UC BMW 2026'!$AB$5:$AB$72)</f>
        <v>15</v>
      </c>
      <c r="AN33" s="24">
        <f>IFERROR(INDEX([2]BEV!$C$10:$O$68,
      MATCH(B33,[2]BEV!$B$10:$B$68,0),
      MATCH("DICIEMBRE",[2]BEV!$C$9:$O$9,0)),
   0)-IF(B33=100873,
   IFERROR(VLOOKUP("DICIEMBRE",[2]BEV!$B$80:$C$93,2,0),
      0),
   0)</f>
        <v>0</v>
      </c>
      <c r="AO33" s="282">
        <f t="shared" ca="1" si="61"/>
        <v>0</v>
      </c>
      <c r="AP33" s="21">
        <f t="shared" ca="1" si="66"/>
        <v>100</v>
      </c>
      <c r="AQ33" s="24">
        <f t="shared" si="66"/>
        <v>123</v>
      </c>
      <c r="AR33" s="129">
        <f t="shared" ca="1" si="62"/>
        <v>1.23</v>
      </c>
      <c r="AS33" s="21">
        <f t="shared" ca="1" si="67"/>
        <v>190</v>
      </c>
      <c r="AT33" s="24">
        <f t="shared" si="67"/>
        <v>123</v>
      </c>
      <c r="AU33" s="129">
        <f t="shared" ca="1" si="63"/>
        <v>0.64736842105263159</v>
      </c>
      <c r="AV33" s="25"/>
      <c r="AW33" s="27"/>
      <c r="AX33" s="287"/>
      <c r="AY33" s="291"/>
      <c r="AZ33" s="129"/>
      <c r="BA33" s="27"/>
      <c r="BB33" s="129"/>
      <c r="BC33" s="21">
        <f t="shared" ca="1" si="68"/>
        <v>100</v>
      </c>
      <c r="BD33" s="24">
        <f t="shared" si="68"/>
        <v>123</v>
      </c>
      <c r="BE33" s="130">
        <f t="shared" ca="1" si="64"/>
        <v>1.23</v>
      </c>
      <c r="BF33" s="34">
        <f t="shared" ca="1" si="69"/>
        <v>90</v>
      </c>
      <c r="BG33" s="24">
        <f t="shared" si="69"/>
        <v>0</v>
      </c>
      <c r="BH33" s="130">
        <f t="shared" ca="1" si="65"/>
        <v>0</v>
      </c>
      <c r="BI33" s="4">
        <v>1</v>
      </c>
      <c r="BK33" s="4">
        <f ca="1"/>
        <v>117</v>
      </c>
      <c r="BL33" s="4">
        <v>134</v>
      </c>
      <c r="BM33" s="508">
        <f ca="1"/>
        <v>1.2333333333333334</v>
      </c>
      <c r="BO33" s="15">
        <f ca="1">SUM(O33,R33,U33)</f>
        <v>51</v>
      </c>
      <c r="BP33" s="15">
        <f>SUM(V33,S33,P33)</f>
        <v>75</v>
      </c>
    </row>
    <row r="34" spans="1:68" s="4" customFormat="1" ht="15" customHeight="1" x14ac:dyDescent="0.3">
      <c r="A34" s="4">
        <f>_xlfn.XLOOKUP(B34,'WHOLESALE BMW 2026'!$B$7:$B$67,'WHOLESALE BMW 2026'!$A$7:$A$67)</f>
        <v>5</v>
      </c>
      <c r="B34" s="8">
        <v>100379</v>
      </c>
      <c r="C34" s="369" t="s">
        <v>9</v>
      </c>
      <c r="D34" s="125"/>
      <c r="E34" s="309" t="s">
        <v>79</v>
      </c>
      <c r="F34" s="21">
        <f ca="1">SUMIF('UC BMW 2026'!$B$5:$B$81,B34,'UC BMW 2026'!$F$5:$F$72)</f>
        <v>18</v>
      </c>
      <c r="G34" s="24">
        <f>IFERROR(INDEX([2]BEV!$C$10:$O$68,
      MATCH(B34,[2]BEV!$B$10:$B$68,0),
      MATCH("ENERO",[2]BEV!$C$9:$O$9,0)),
   0)-IF(B34=100873,
   IFERROR(VLOOKUP("ENERO",[2]BEV!$B$80:$C$93,2,0),
      0),
   0)</f>
        <v>16</v>
      </c>
      <c r="H34" s="282">
        <f t="shared" ca="1" si="50"/>
        <v>0.88888888888888884</v>
      </c>
      <c r="I34" s="21">
        <f ca="1">SUMIF('UC BMW 2026'!$B$5:$B$81,B34,'UC BMW 2026'!$H$5:$H$72)</f>
        <v>18</v>
      </c>
      <c r="J34" s="24">
        <f>IFERROR(INDEX([2]BEV!$C$10:$O$68,
      MATCH(B34,[2]BEV!$B$10:$B$68,0),
      MATCH("FEBRERO",[2]BEV!$C$9:$O$9,0)),
   0)-IF(B34=100873,
   IFERROR(VLOOKUP("FEBRERO",[2]BEV!$B$80:$C$93,2,0),
      0),
   0)</f>
        <v>23</v>
      </c>
      <c r="K34" s="282">
        <f t="shared" ca="1" si="51"/>
        <v>1.2777777777777777</v>
      </c>
      <c r="L34" s="21">
        <f ca="1">SUMIF('UC BMW 2026'!$B$5:$B$81,B34,'UC BMW 2026'!$J$5:$J$72)</f>
        <v>18</v>
      </c>
      <c r="M34" s="24">
        <f>IFERROR(INDEX([2]BEV!$C$10:$O$68,
      MATCH(B34,[2]BEV!$B$10:$B$68,0),
      MATCH("MARZO",[2]BEV!$C$9:$O$9,0)),
   0)-IF(B34=100873,
   IFERROR(VLOOKUP("MARZO",[2]BEV!$B$80:$C$93,2,0),
      0),
   0)</f>
        <v>26</v>
      </c>
      <c r="N34" s="282">
        <f t="shared" ca="1" si="52"/>
        <v>1.4444444444444444</v>
      </c>
      <c r="O34" s="21">
        <f ca="1">SUMIF('UC BMW 2026'!$B$5:$B$81,B34,'UC BMW 2026'!$L$5:$L$72)</f>
        <v>18</v>
      </c>
      <c r="P34" s="24">
        <f>IFERROR(INDEX([2]BEV!$C$10:$O$68,
      MATCH(B34,[2]BEV!$B$10:$B$68,0),
      MATCH("ABRIL",[2]BEV!$C$9:$O$9,0)),
   0)-IF(B34=100873,
   IFERROR(VLOOKUP("ABRIL",[2]BEV!$B$80:$C$93,2,0),
      0),
   0)</f>
        <v>15</v>
      </c>
      <c r="Q34" s="282">
        <f t="shared" ca="1" si="53"/>
        <v>0.83333333333333337</v>
      </c>
      <c r="R34" s="21">
        <f ca="1">SUMIF('UC BMW 2026'!$B$5:$B$81,B34,'UC BMW 2026'!$N$5:$N$72)</f>
        <v>19</v>
      </c>
      <c r="S34" s="24">
        <f>IFERROR(INDEX([2]BEV!$C$10:$O$68,
      MATCH(B34,[2]BEV!$B$10:$B$68,0),
      MATCH("MAYO",[2]BEV!$C$9:$O$9,0)),
   0)-IF(B34=100873,
   IFERROR(VLOOKUP("MAYO",[2]BEV!$B$80:$C$93,2,0),
      0),
   0)</f>
        <v>35</v>
      </c>
      <c r="T34" s="282">
        <f t="shared" ca="1" si="54"/>
        <v>1.8421052631578947</v>
      </c>
      <c r="U34" s="21">
        <f ca="1">SUMIF('UC BMW 2026'!$B$5:$B$81,B34,'UC BMW 2026'!$P$5:$P$72)</f>
        <v>19</v>
      </c>
      <c r="V34" s="24">
        <f>IFERROR(INDEX([2]BEV!$C$10:$O$68,
      MATCH(B34,[2]BEV!$B$10:$B$68,0),
      MATCH("JUNIO",[2]BEV!$C$9:$O$9,0)),
   0)-IF(B34=100873,
   IFERROR(VLOOKUP("JUNIO",[2]BEV!$B$80:$C$93,2,0),
      0),
   0)</f>
        <v>34</v>
      </c>
      <c r="W34" s="282">
        <f t="shared" ca="1" si="55"/>
        <v>1.7894736842105263</v>
      </c>
      <c r="X34" s="21">
        <f ca="1">SUMIF('UC BMW 2026'!$B$5:$B$81,B34,'UC BMW 2026'!$R$5:$R$72)</f>
        <v>15</v>
      </c>
      <c r="Y34" s="24">
        <f>IFERROR(INDEX([2]BEV!$C$10:$O$68,
      MATCH(B34,[2]BEV!$B$10:$B$68,0),
      MATCH("JULIO",[2]BEV!$C$9:$O$9,0)),
   0)-IF(B34=100873,
   IFERROR(VLOOKUP("JULIO",[2]BEV!$B$80:$C$93,2,0),
      0),
   0)</f>
        <v>0</v>
      </c>
      <c r="Z34" s="282">
        <f t="shared" ca="1" si="56"/>
        <v>0</v>
      </c>
      <c r="AA34" s="21">
        <f ca="1">SUMIF('UC BMW 2026'!$B$5:$B$81,B34,'UC BMW 2026'!$T$5:$T$72)</f>
        <v>14</v>
      </c>
      <c r="AB34" s="24">
        <f>IFERROR(INDEX([2]BEV!$C$10:$O$68,
      MATCH(B34,[2]BEV!$B$10:$B$68,0),
      MATCH("AGOSTO",[2]BEV!$C$9:$O$9,0)),
   0)-IF(B34=100873,
   IFERROR(VLOOKUP("AGOSTO",[2]BEV!$B$80:$C$93,2,0),
      0),
   0)</f>
        <v>0</v>
      </c>
      <c r="AC34" s="282">
        <f t="shared" ca="1" si="57"/>
        <v>0</v>
      </c>
      <c r="AD34" s="21">
        <f ca="1">SUMIF('UC BMW 2026'!$B$5:$B$81,B34,'UC BMW 2026'!$V$5:$V$72)</f>
        <v>15</v>
      </c>
      <c r="AE34" s="24">
        <f>IFERROR(INDEX([2]BEV!$C$10:$O$68,
      MATCH(B34,[2]BEV!$B$10:$B$68,0),
      MATCH("SEPTIEMBRE",[2]BEV!$C$9:$O$9,0)),
   0)-IF(B34=100873,
   IFERROR(VLOOKUP("SEPTIEMBRE",[2]BEV!$B$80:$C$93,2,0),
      0),
   0)</f>
        <v>0</v>
      </c>
      <c r="AF34" s="282">
        <f t="shared" ca="1" si="58"/>
        <v>0</v>
      </c>
      <c r="AG34" s="21">
        <f ca="1">SUMIF('UC BMW 2026'!$B$5:$B$81,B34,'UC BMW 2026'!$X$5:$X$72)</f>
        <v>20</v>
      </c>
      <c r="AH34" s="24">
        <f>IFERROR(INDEX([2]BEV!$C$10:$O$68,
      MATCH(B34,[2]BEV!$B$10:$B$68,0),
      MATCH("OCTUBRE",[2]BEV!$C$9:$O$9,0)),
   0)-IF(B34=100873,
   IFERROR(VLOOKUP("OCTUBRE",[2]BEV!$B$80:$C$93,2,0),
      0),
   0)</f>
        <v>0</v>
      </c>
      <c r="AI34" s="282">
        <f t="shared" ca="1" si="59"/>
        <v>0</v>
      </c>
      <c r="AJ34" s="21">
        <f ca="1">SUMIF('UC BMW 2026'!$B$5:$B$81,B34,'UC BMW 2026'!$Z$5:$Z$72)</f>
        <v>19</v>
      </c>
      <c r="AK34" s="24">
        <f>IFERROR(INDEX([2]BEV!$C$10:$O$68,
      MATCH(B34,[2]BEV!$B$10:$B$68,0),
      MATCH("NOVIEMBRE",[2]BEV!$C$9:$O$9,0)),
   0)-IF(B34=100873,
   IFERROR(VLOOKUP("NOVIEMBRE",[2]BEV!$B$80:$C$93,2,0),
      0),
   0)</f>
        <v>0</v>
      </c>
      <c r="AL34" s="282">
        <f t="shared" ca="1" si="60"/>
        <v>0</v>
      </c>
      <c r="AM34" s="21">
        <f ca="1">SUMIF('UC BMW 2026'!$B$5:$B$81,B34,'UC BMW 2026'!$AB$5:$AB$72)</f>
        <v>17</v>
      </c>
      <c r="AN34" s="24">
        <f>IFERROR(INDEX([2]BEV!$C$10:$O$68,
      MATCH(B34,[2]BEV!$B$10:$B$68,0),
      MATCH("DICIEMBRE",[2]BEV!$C$9:$O$9,0)),
   0)-IF(B34=100873,
   IFERROR(VLOOKUP("DICIEMBRE",[2]BEV!$B$80:$C$93,2,0),
      0),
   0)</f>
        <v>0</v>
      </c>
      <c r="AO34" s="282">
        <f t="shared" ca="1" si="61"/>
        <v>0</v>
      </c>
      <c r="AP34" s="21">
        <f t="shared" ca="1" si="66"/>
        <v>110</v>
      </c>
      <c r="AQ34" s="24">
        <f t="shared" si="66"/>
        <v>149</v>
      </c>
      <c r="AR34" s="129">
        <f t="shared" ca="1" si="62"/>
        <v>1.3545454545454545</v>
      </c>
      <c r="AS34" s="21">
        <f t="shared" ca="1" si="67"/>
        <v>210</v>
      </c>
      <c r="AT34" s="24">
        <f t="shared" si="67"/>
        <v>149</v>
      </c>
      <c r="AU34" s="129">
        <f t="shared" ca="1" si="63"/>
        <v>0.70952380952380956</v>
      </c>
      <c r="AV34" s="25"/>
      <c r="AW34" s="27"/>
      <c r="AX34" s="287"/>
      <c r="AY34" s="291"/>
      <c r="AZ34" s="129"/>
      <c r="BA34" s="27"/>
      <c r="BB34" s="129"/>
      <c r="BC34" s="21">
        <f t="shared" ca="1" si="68"/>
        <v>110</v>
      </c>
      <c r="BD34" s="24">
        <f t="shared" si="68"/>
        <v>149</v>
      </c>
      <c r="BE34" s="130">
        <f t="shared" ca="1" si="64"/>
        <v>1.3545454545454545</v>
      </c>
      <c r="BF34" s="34">
        <f t="shared" ca="1" si="69"/>
        <v>100</v>
      </c>
      <c r="BG34" s="24">
        <f t="shared" si="69"/>
        <v>0</v>
      </c>
      <c r="BH34" s="130">
        <f t="shared" ca="1" si="65"/>
        <v>0</v>
      </c>
      <c r="BI34" s="4">
        <v>1</v>
      </c>
      <c r="BK34" s="4">
        <f ca="1"/>
        <v>115</v>
      </c>
      <c r="BL34" s="4">
        <v>133</v>
      </c>
      <c r="BM34" s="508">
        <f ca="1"/>
        <v>1.23</v>
      </c>
      <c r="BO34" s="15">
        <f ca="1">SUM(O34,R34,U34)</f>
        <v>56</v>
      </c>
      <c r="BP34" s="15">
        <f>SUM(V34,S34,P34)</f>
        <v>84</v>
      </c>
    </row>
    <row r="35" spans="1:68" s="4" customFormat="1" ht="15" customHeight="1" x14ac:dyDescent="0.3">
      <c r="A35" s="4">
        <f>_xlfn.XLOOKUP(B35,'WHOLESALE BMW 2026'!$B$7:$B$67,'WHOLESALE BMW 2026'!$A$7:$A$67)</f>
        <v>5</v>
      </c>
      <c r="B35" s="8">
        <v>100410</v>
      </c>
      <c r="C35" s="369" t="s">
        <v>22</v>
      </c>
      <c r="D35" s="125"/>
      <c r="E35" s="309" t="s">
        <v>79</v>
      </c>
      <c r="F35" s="21">
        <f ca="1">SUMIF('UC BMW 2026'!$B$5:$B$81,B35,'UC BMW 2026'!$F$5:$F$72)</f>
        <v>23</v>
      </c>
      <c r="G35" s="24">
        <f>IFERROR(INDEX([2]BEV!$C$10:$O$68,
      MATCH(B35,[2]BEV!$B$10:$B$68,0),
      MATCH("ENERO",[2]BEV!$C$9:$O$9,0)),
   0)-IF(B35=100873,
   IFERROR(VLOOKUP("ENERO",[2]BEV!$B$80:$C$93,2,0),
      0),
   0)</f>
        <v>28</v>
      </c>
      <c r="H35" s="282">
        <f t="shared" ca="1" si="50"/>
        <v>1.2173913043478262</v>
      </c>
      <c r="I35" s="21">
        <f ca="1">SUMIF('UC BMW 2026'!$B$5:$B$81,B35,'UC BMW 2026'!$H$5:$H$72)</f>
        <v>23</v>
      </c>
      <c r="J35" s="24">
        <f>IFERROR(INDEX([2]BEV!$C$10:$O$68,
      MATCH(B35,[2]BEV!$B$10:$B$68,0),
      MATCH("FEBRERO",[2]BEV!$C$9:$O$9,0)),
   0)-IF(B35=100873,
   IFERROR(VLOOKUP("FEBRERO",[2]BEV!$B$80:$C$93,2,0),
      0),
   0)</f>
        <v>21</v>
      </c>
      <c r="K35" s="282">
        <f t="shared" ca="1" si="51"/>
        <v>0.91304347826086951</v>
      </c>
      <c r="L35" s="21">
        <f ca="1">SUMIF('UC BMW 2026'!$B$5:$B$81,B35,'UC BMW 2026'!$J$5:$J$72)</f>
        <v>23</v>
      </c>
      <c r="M35" s="24">
        <f>IFERROR(INDEX([2]BEV!$C$10:$O$68,
      MATCH(B35,[2]BEV!$B$10:$B$68,0),
      MATCH("MARZO",[2]BEV!$C$9:$O$9,0)),
   0)-IF(B35=100873,
   IFERROR(VLOOKUP("MARZO",[2]BEV!$B$80:$C$93,2,0),
      0),
   0)</f>
        <v>33</v>
      </c>
      <c r="N35" s="282">
        <f t="shared" ca="1" si="52"/>
        <v>1.4347826086956521</v>
      </c>
      <c r="O35" s="21">
        <f ca="1">SUMIF('UC BMW 2026'!$B$5:$B$81,B35,'UC BMW 2026'!$L$5:$L$72)</f>
        <v>23</v>
      </c>
      <c r="P35" s="24">
        <f>IFERROR(INDEX([2]BEV!$C$10:$O$68,
      MATCH(B35,[2]BEV!$B$10:$B$68,0),
      MATCH("ABRIL",[2]BEV!$C$9:$O$9,0)),
   0)-IF(B35=100873,
   IFERROR(VLOOKUP("ABRIL",[2]BEV!$B$80:$C$93,2,0),
      0),
   0)</f>
        <v>15</v>
      </c>
      <c r="Q35" s="282">
        <f t="shared" ca="1" si="53"/>
        <v>0.65217391304347827</v>
      </c>
      <c r="R35" s="21">
        <f ca="1">SUMIF('UC BMW 2026'!$B$5:$B$81,B35,'UC BMW 2026'!$N$5:$N$72)</f>
        <v>24</v>
      </c>
      <c r="S35" s="24">
        <f>IFERROR(INDEX([2]BEV!$C$10:$O$68,
      MATCH(B35,[2]BEV!$B$10:$B$68,0),
      MATCH("MAYO",[2]BEV!$C$9:$O$9,0)),
   0)-IF(B35=100873,
   IFERROR(VLOOKUP("MAYO",[2]BEV!$B$80:$C$93,2,0),
      0),
   0)</f>
        <v>39</v>
      </c>
      <c r="T35" s="282">
        <f t="shared" ca="1" si="54"/>
        <v>1.625</v>
      </c>
      <c r="U35" s="21">
        <f ca="1">SUMIF('UC BMW 2026'!$B$5:$B$81,B35,'UC BMW 2026'!$P$5:$P$72)</f>
        <v>24</v>
      </c>
      <c r="V35" s="24">
        <f>IFERROR(INDEX([2]BEV!$C$10:$O$68,
      MATCH(B35,[2]BEV!$B$10:$B$68,0),
      MATCH("JUNIO",[2]BEV!$C$9:$O$9,0)),
   0)-IF(B35=100873,
   IFERROR(VLOOKUP("JUNIO",[2]BEV!$B$80:$C$93,2,0),
      0),
   0)</f>
        <v>55</v>
      </c>
      <c r="W35" s="282">
        <f t="shared" ca="1" si="55"/>
        <v>2.2916666666666665</v>
      </c>
      <c r="X35" s="21">
        <f ca="1">SUMIF('UC BMW 2026'!$B$5:$B$81,B35,'UC BMW 2026'!$R$5:$R$72)</f>
        <v>20</v>
      </c>
      <c r="Y35" s="24">
        <f>IFERROR(INDEX([2]BEV!$C$10:$O$68,
      MATCH(B35,[2]BEV!$B$10:$B$68,0),
      MATCH("JULIO",[2]BEV!$C$9:$O$9,0)),
   0)-IF(B35=100873,
   IFERROR(VLOOKUP("JULIO",[2]BEV!$B$80:$C$93,2,0),
      0),
   0)</f>
        <v>0</v>
      </c>
      <c r="Z35" s="282">
        <f t="shared" ca="1" si="56"/>
        <v>0</v>
      </c>
      <c r="AA35" s="21">
        <f ca="1">SUMIF('UC BMW 2026'!$B$5:$B$81,B35,'UC BMW 2026'!$T$5:$T$72)</f>
        <v>18</v>
      </c>
      <c r="AB35" s="24">
        <f>IFERROR(INDEX([2]BEV!$C$10:$O$68,
      MATCH(B35,[2]BEV!$B$10:$B$68,0),
      MATCH("AGOSTO",[2]BEV!$C$9:$O$9,0)),
   0)-IF(B35=100873,
   IFERROR(VLOOKUP("AGOSTO",[2]BEV!$B$80:$C$93,2,0),
      0),
   0)</f>
        <v>0</v>
      </c>
      <c r="AC35" s="282">
        <f t="shared" ca="1" si="57"/>
        <v>0</v>
      </c>
      <c r="AD35" s="21">
        <f ca="1">SUMIF('UC BMW 2026'!$B$5:$B$81,B35,'UC BMW 2026'!$V$5:$V$72)</f>
        <v>23</v>
      </c>
      <c r="AE35" s="24">
        <f>IFERROR(INDEX([2]BEV!$C$10:$O$68,
      MATCH(B35,[2]BEV!$B$10:$B$68,0),
      MATCH("SEPTIEMBRE",[2]BEV!$C$9:$O$9,0)),
   0)-IF(B35=100873,
   IFERROR(VLOOKUP("SEPTIEMBRE",[2]BEV!$B$80:$C$93,2,0),
      0),
   0)</f>
        <v>0</v>
      </c>
      <c r="AF35" s="282">
        <f t="shared" ca="1" si="58"/>
        <v>0</v>
      </c>
      <c r="AG35" s="21">
        <f ca="1">SUMIF('UC BMW 2026'!$B$5:$B$81,B35,'UC BMW 2026'!$X$5:$X$72)</f>
        <v>27</v>
      </c>
      <c r="AH35" s="24">
        <f>IFERROR(INDEX([2]BEV!$C$10:$O$68,
      MATCH(B35,[2]BEV!$B$10:$B$68,0),
      MATCH("OCTUBRE",[2]BEV!$C$9:$O$9,0)),
   0)-IF(B35=100873,
   IFERROR(VLOOKUP("OCTUBRE",[2]BEV!$B$80:$C$93,2,0),
      0),
   0)</f>
        <v>0</v>
      </c>
      <c r="AI35" s="282">
        <f t="shared" ca="1" si="59"/>
        <v>0</v>
      </c>
      <c r="AJ35" s="21">
        <f ca="1">SUMIF('UC BMW 2026'!$B$5:$B$81,B35,'UC BMW 2026'!$Z$5:$Z$72)</f>
        <v>26</v>
      </c>
      <c r="AK35" s="24">
        <f>IFERROR(INDEX([2]BEV!$C$10:$O$68,
      MATCH(B35,[2]BEV!$B$10:$B$68,0),
      MATCH("NOVIEMBRE",[2]BEV!$C$9:$O$9,0)),
   0)-IF(B35=100873,
   IFERROR(VLOOKUP("NOVIEMBRE",[2]BEV!$B$80:$C$93,2,0),
      0),
   0)</f>
        <v>0</v>
      </c>
      <c r="AL35" s="282">
        <f t="shared" ca="1" si="60"/>
        <v>0</v>
      </c>
      <c r="AM35" s="21">
        <f ca="1">SUMIF('UC BMW 2026'!$B$5:$B$81,B35,'UC BMW 2026'!$AB$5:$AB$72)</f>
        <v>26</v>
      </c>
      <c r="AN35" s="24">
        <f>IFERROR(INDEX([2]BEV!$C$10:$O$68,
      MATCH(B35,[2]BEV!$B$10:$B$68,0),
      MATCH("DICIEMBRE",[2]BEV!$C$9:$O$9,0)),
   0)-IF(B35=100873,
   IFERROR(VLOOKUP("DICIEMBRE",[2]BEV!$B$80:$C$93,2,0),
      0),
   0)</f>
        <v>0</v>
      </c>
      <c r="AO35" s="282">
        <f t="shared" ca="1" si="61"/>
        <v>0</v>
      </c>
      <c r="AP35" s="21">
        <f t="shared" ca="1" si="66"/>
        <v>140</v>
      </c>
      <c r="AQ35" s="24">
        <f t="shared" si="66"/>
        <v>191</v>
      </c>
      <c r="AR35" s="129">
        <f t="shared" ca="1" si="62"/>
        <v>1.3642857142857143</v>
      </c>
      <c r="AS35" s="21">
        <f t="shared" ca="1" si="67"/>
        <v>280</v>
      </c>
      <c r="AT35" s="24">
        <f t="shared" si="67"/>
        <v>191</v>
      </c>
      <c r="AU35" s="129">
        <f t="shared" ca="1" si="63"/>
        <v>0.68214285714285716</v>
      </c>
      <c r="AV35" s="25"/>
      <c r="AW35" s="27"/>
      <c r="AX35" s="287"/>
      <c r="AY35" s="291"/>
      <c r="AZ35" s="129"/>
      <c r="BA35" s="27"/>
      <c r="BB35" s="129"/>
      <c r="BC35" s="21">
        <f t="shared" ca="1" si="68"/>
        <v>140</v>
      </c>
      <c r="BD35" s="24">
        <f t="shared" si="68"/>
        <v>191</v>
      </c>
      <c r="BE35" s="130">
        <f t="shared" ca="1" si="64"/>
        <v>1.3642857142857143</v>
      </c>
      <c r="BF35" s="34">
        <f t="shared" ca="1" si="69"/>
        <v>140</v>
      </c>
      <c r="BG35" s="24">
        <f t="shared" si="69"/>
        <v>0</v>
      </c>
      <c r="BH35" s="130">
        <f t="shared" ca="1" si="65"/>
        <v>0</v>
      </c>
      <c r="BI35" s="4">
        <v>1</v>
      </c>
      <c r="BK35" s="4">
        <f ca="1"/>
        <v>110</v>
      </c>
      <c r="BL35" s="4">
        <v>129</v>
      </c>
      <c r="BM35" s="508">
        <f ca="1"/>
        <v>1.17</v>
      </c>
      <c r="BO35" s="15">
        <f ca="1">SUM(O35,R35,U35)</f>
        <v>71</v>
      </c>
      <c r="BP35" s="15">
        <f>SUM(V35,S35,P35)</f>
        <v>109</v>
      </c>
    </row>
    <row r="36" spans="1:68" s="4" customFormat="1" ht="15" customHeight="1" thickBot="1" x14ac:dyDescent="0.35">
      <c r="A36" s="4">
        <f>_xlfn.XLOOKUP(B36,'WHOLESALE BMW 2026'!$B$7:$B$67,'WHOLESALE BMW 2026'!$A$7:$A$67)</f>
        <v>5</v>
      </c>
      <c r="B36" s="8">
        <v>100739</v>
      </c>
      <c r="C36" s="369" t="s">
        <v>49</v>
      </c>
      <c r="D36" s="125"/>
      <c r="E36" s="309" t="s">
        <v>79</v>
      </c>
      <c r="F36" s="21">
        <f ca="1">SUMIF('UC BMW 2026'!$B$5:$B$81,B36,'UC BMW 2026'!$F$5:$F$72)</f>
        <v>10</v>
      </c>
      <c r="G36" s="24">
        <f>IFERROR(INDEX([2]BEV!$C$10:$O$68,
      MATCH(B36,[2]BEV!$B$10:$B$68,0),
      MATCH("ENERO",[2]BEV!$C$9:$O$9,0)),
   0)-IF(B36=100873,
   IFERROR(VLOOKUP("ENERO",[2]BEV!$B$80:$C$93,2,0),
      0),
   0)</f>
        <v>12</v>
      </c>
      <c r="H36" s="283">
        <f t="shared" ca="1" si="50"/>
        <v>1.2</v>
      </c>
      <c r="I36" s="21">
        <f ca="1">SUMIF('UC BMW 2026'!$B$5:$B$81,B36,'UC BMW 2026'!$H$5:$H$72)</f>
        <v>10</v>
      </c>
      <c r="J36" s="24">
        <f>IFERROR(INDEX([2]BEV!$C$10:$O$68,
      MATCH(B36,[2]BEV!$B$10:$B$68,0),
      MATCH("FEBRERO",[2]BEV!$C$9:$O$9,0)),
   0)-IF(B36=100873,
   IFERROR(VLOOKUP("FEBRERO",[2]BEV!$B$80:$C$93,2,0),
      0),
   0)</f>
        <v>7</v>
      </c>
      <c r="K36" s="283">
        <f t="shared" ca="1" si="51"/>
        <v>0.7</v>
      </c>
      <c r="L36" s="21">
        <f ca="1">SUMIF('UC BMW 2026'!$B$5:$B$81,B36,'UC BMW 2026'!$J$5:$J$72)</f>
        <v>10</v>
      </c>
      <c r="M36" s="24">
        <f>IFERROR(INDEX([2]BEV!$C$10:$O$68,
      MATCH(B36,[2]BEV!$B$10:$B$68,0),
      MATCH("MARZO",[2]BEV!$C$9:$O$9,0)),
   0)-IF(B36=100873,
   IFERROR(VLOOKUP("MARZO",[2]BEV!$B$80:$C$93,2,0),
      0),
   0)</f>
        <v>14</v>
      </c>
      <c r="N36" s="283">
        <f t="shared" ca="1" si="52"/>
        <v>1.4</v>
      </c>
      <c r="O36" s="21">
        <f ca="1">SUMIF('UC BMW 2026'!$B$5:$B$81,B36,'UC BMW 2026'!$L$5:$L$72)</f>
        <v>10</v>
      </c>
      <c r="P36" s="24">
        <f>IFERROR(INDEX([2]BEV!$C$10:$O$68,
      MATCH(B36,[2]BEV!$B$10:$B$68,0),
      MATCH("ABRIL",[2]BEV!$C$9:$O$9,0)),
   0)-IF(B36=100873,
   IFERROR(VLOOKUP("ABRIL",[2]BEV!$B$80:$C$93,2,0),
      0),
   0)</f>
        <v>9</v>
      </c>
      <c r="Q36" s="283">
        <f t="shared" ca="1" si="53"/>
        <v>0.9</v>
      </c>
      <c r="R36" s="21">
        <f ca="1">SUMIF('UC BMW 2026'!$B$5:$B$81,B36,'UC BMW 2026'!$N$5:$N$72)</f>
        <v>11</v>
      </c>
      <c r="S36" s="24">
        <f>IFERROR(INDEX([2]BEV!$C$10:$O$68,
      MATCH(B36,[2]BEV!$B$10:$B$68,0),
      MATCH("MAYO",[2]BEV!$C$9:$O$9,0)),
   0)-IF(B36=100873,
   IFERROR(VLOOKUP("MAYO",[2]BEV!$B$80:$C$93,2,0),
      0),
   0)</f>
        <v>9</v>
      </c>
      <c r="T36" s="283">
        <f t="shared" ca="1" si="54"/>
        <v>0.81818181818181823</v>
      </c>
      <c r="U36" s="21">
        <f ca="1">SUMIF('UC BMW 2026'!$B$5:$B$81,B36,'UC BMW 2026'!$P$5:$P$72)</f>
        <v>11</v>
      </c>
      <c r="V36" s="24">
        <f>IFERROR(INDEX([2]BEV!$C$10:$O$68,
      MATCH(B36,[2]BEV!$B$10:$B$68,0),
      MATCH("JUNIO",[2]BEV!$C$9:$O$9,0)),
   0)-IF(B36=100873,
   IFERROR(VLOOKUP("JUNIO",[2]BEV!$B$80:$C$93,2,0),
      0),
   0)</f>
        <v>16</v>
      </c>
      <c r="W36" s="283">
        <f t="shared" ca="1" si="55"/>
        <v>1.4545454545454546</v>
      </c>
      <c r="X36" s="21">
        <f ca="1">SUMIF('UC BMW 2026'!$B$5:$B$81,B36,'UC BMW 2026'!$R$5:$R$72)</f>
        <v>8</v>
      </c>
      <c r="Y36" s="24">
        <f>IFERROR(INDEX([2]BEV!$C$10:$O$68,
      MATCH(B36,[2]BEV!$B$10:$B$68,0),
      MATCH("JULIO",[2]BEV!$C$9:$O$9,0)),
   0)-IF(B36=100873,
   IFERROR(VLOOKUP("JULIO",[2]BEV!$B$80:$C$93,2,0),
      0),
   0)</f>
        <v>0</v>
      </c>
      <c r="Z36" s="283">
        <f t="shared" ca="1" si="56"/>
        <v>0</v>
      </c>
      <c r="AA36" s="21">
        <f ca="1">SUMIF('UC BMW 2026'!$B$5:$B$81,B36,'UC BMW 2026'!$T$5:$T$72)</f>
        <v>7</v>
      </c>
      <c r="AB36" s="24">
        <f>IFERROR(INDEX([2]BEV!$C$10:$O$68,
      MATCH(B36,[2]BEV!$B$10:$B$68,0),
      MATCH("AGOSTO",[2]BEV!$C$9:$O$9,0)),
   0)-IF(B36=100873,
   IFERROR(VLOOKUP("AGOSTO",[2]BEV!$B$80:$C$93,2,0),
      0),
   0)</f>
        <v>0</v>
      </c>
      <c r="AC36" s="283">
        <f t="shared" ca="1" si="57"/>
        <v>0</v>
      </c>
      <c r="AD36" s="21">
        <f ca="1">SUMIF('UC BMW 2026'!$B$5:$B$81,B36,'UC BMW 2026'!$V$5:$V$72)</f>
        <v>9</v>
      </c>
      <c r="AE36" s="24">
        <f>IFERROR(INDEX([2]BEV!$C$10:$O$68,
      MATCH(B36,[2]BEV!$B$10:$B$68,0),
      MATCH("SEPTIEMBRE",[2]BEV!$C$9:$O$9,0)),
   0)-IF(B36=100873,
   IFERROR(VLOOKUP("SEPTIEMBRE",[2]BEV!$B$80:$C$93,2,0),
      0),
   0)</f>
        <v>0</v>
      </c>
      <c r="AF36" s="283">
        <f t="shared" ca="1" si="58"/>
        <v>0</v>
      </c>
      <c r="AG36" s="21">
        <f ca="1">SUMIF('UC BMW 2026'!$B$5:$B$81,B36,'UC BMW 2026'!$X$5:$X$72)</f>
        <v>9</v>
      </c>
      <c r="AH36" s="24">
        <f>IFERROR(INDEX([2]BEV!$C$10:$O$68,
      MATCH(B36,[2]BEV!$B$10:$B$68,0),
      MATCH("OCTUBRE",[2]BEV!$C$9:$O$9,0)),
   0)-IF(B36=100873,
   IFERROR(VLOOKUP("OCTUBRE",[2]BEV!$B$80:$C$93,2,0),
      0),
   0)</f>
        <v>0</v>
      </c>
      <c r="AI36" s="283">
        <f t="shared" ca="1" si="59"/>
        <v>0</v>
      </c>
      <c r="AJ36" s="21">
        <f ca="1">SUMIF('UC BMW 2026'!$B$5:$B$81,B36,'UC BMW 2026'!$Z$5:$Z$72)</f>
        <v>9</v>
      </c>
      <c r="AK36" s="24">
        <f>IFERROR(INDEX([2]BEV!$C$10:$O$68,
      MATCH(B36,[2]BEV!$B$10:$B$68,0),
      MATCH("NOVIEMBRE",[2]BEV!$C$9:$O$9,0)),
   0)-IF(B36=100873,
   IFERROR(VLOOKUP("NOVIEMBRE",[2]BEV!$B$80:$C$93,2,0),
      0),
   0)</f>
        <v>0</v>
      </c>
      <c r="AL36" s="283">
        <f t="shared" ca="1" si="60"/>
        <v>0</v>
      </c>
      <c r="AM36" s="21">
        <f ca="1">SUMIF('UC BMW 2026'!$B$5:$B$81,B36,'UC BMW 2026'!$AB$5:$AB$72)</f>
        <v>8</v>
      </c>
      <c r="AN36" s="24">
        <f>IFERROR(INDEX([2]BEV!$C$10:$O$68,
      MATCH(B36,[2]BEV!$B$10:$B$68,0),
      MATCH("DICIEMBRE",[2]BEV!$C$9:$O$9,0)),
   0)-IF(B36=100873,
   IFERROR(VLOOKUP("DICIEMBRE",[2]BEV!$B$80:$C$93,2,0),
      0),
   0)</f>
        <v>0</v>
      </c>
      <c r="AO36" s="283">
        <f t="shared" ca="1" si="61"/>
        <v>0</v>
      </c>
      <c r="AP36" s="21">
        <f t="shared" ca="1" si="66"/>
        <v>62</v>
      </c>
      <c r="AQ36" s="280">
        <f t="shared" si="66"/>
        <v>67</v>
      </c>
      <c r="AR36" s="129">
        <f t="shared" ca="1" si="62"/>
        <v>1.0806451612903225</v>
      </c>
      <c r="AS36" s="21">
        <f t="shared" ca="1" si="67"/>
        <v>112</v>
      </c>
      <c r="AT36" s="280">
        <f t="shared" si="67"/>
        <v>67</v>
      </c>
      <c r="AU36" s="129">
        <f t="shared" ca="1" si="63"/>
        <v>0.5982142857142857</v>
      </c>
      <c r="AV36" s="25"/>
      <c r="AW36" s="27"/>
      <c r="AX36" s="283"/>
      <c r="AY36" s="292"/>
      <c r="AZ36" s="129"/>
      <c r="BA36" s="27"/>
      <c r="BB36" s="129"/>
      <c r="BC36" s="21">
        <f t="shared" ca="1" si="68"/>
        <v>62</v>
      </c>
      <c r="BD36" s="280">
        <f t="shared" si="68"/>
        <v>67</v>
      </c>
      <c r="BE36" s="130">
        <f t="shared" ca="1" si="64"/>
        <v>1.0806451612903225</v>
      </c>
      <c r="BF36" s="34">
        <f ca="1">IFERROR(IF($BF$5="S 1",F36+I36+L36+O36+R36+U36,
IF($BF$5="S 2",X36+AA36+AD36+AG36+AJ36+AM36,0)),0)</f>
        <v>50</v>
      </c>
      <c r="BG36" s="280">
        <f>IFERROR(IF($BF$5="S 1",G36+J36+M36+P36+S36+V36,
IF($BF$5="S 2",Y36+AB36+AE36+AH36+AK36+AN36,0)),0)</f>
        <v>0</v>
      </c>
      <c r="BH36" s="130">
        <f t="shared" ca="1" si="65"/>
        <v>0</v>
      </c>
      <c r="BI36" s="4">
        <v>1</v>
      </c>
      <c r="BK36" s="4">
        <f ca="1"/>
        <v>110</v>
      </c>
      <c r="BL36" s="4">
        <v>123</v>
      </c>
      <c r="BM36" s="508">
        <f ca="1"/>
        <v>1.1625000000000001</v>
      </c>
      <c r="BO36" s="15">
        <f ca="1">SUM(O36,R36,U36)</f>
        <v>32</v>
      </c>
      <c r="BP36" s="15">
        <f>SUM(V36,S36,P36)</f>
        <v>34</v>
      </c>
    </row>
    <row r="37" spans="1:68" s="4" customFormat="1" ht="15" customHeight="1" thickBot="1" x14ac:dyDescent="0.3">
      <c r="A37" s="4">
        <f>_xlfn.XLOOKUP(B37,'WHOLESALE BMW 2026'!$B$7:$B$67,'WHOLESALE BMW 2026'!$A$7:$A$67)</f>
        <v>0</v>
      </c>
      <c r="B37" s="7" t="s">
        <v>267</v>
      </c>
      <c r="C37" s="28"/>
      <c r="D37" s="125"/>
      <c r="E37" s="7"/>
      <c r="F37" s="277">
        <f ca="1">SUM(F32:F36)</f>
        <v>79</v>
      </c>
      <c r="G37" s="277">
        <f>SUM(G32:G36)</f>
        <v>85</v>
      </c>
      <c r="H37" s="132">
        <f t="shared" ca="1" si="50"/>
        <v>1.0759493670886076</v>
      </c>
      <c r="I37" s="277">
        <f ca="1">SUM(I32:I36)</f>
        <v>79</v>
      </c>
      <c r="J37" s="277">
        <f>SUM(J32:J36)</f>
        <v>72</v>
      </c>
      <c r="K37" s="132">
        <f t="shared" ca="1" si="51"/>
        <v>0.91139240506329111</v>
      </c>
      <c r="L37" s="277">
        <f ca="1">SUM(L32:L36)</f>
        <v>80</v>
      </c>
      <c r="M37" s="277">
        <f>SUM(M32:M36)</f>
        <v>100</v>
      </c>
      <c r="N37" s="132">
        <f t="shared" ca="1" si="52"/>
        <v>1.25</v>
      </c>
      <c r="O37" s="277">
        <f ca="1">SUM(O32:O36)</f>
        <v>81</v>
      </c>
      <c r="P37" s="277">
        <f>SUM(P32:P36)</f>
        <v>76</v>
      </c>
      <c r="Q37" s="132">
        <f t="shared" ca="1" si="53"/>
        <v>0.93827160493827155</v>
      </c>
      <c r="R37" s="277">
        <f ca="1">SUM(R32:R36)</f>
        <v>84</v>
      </c>
      <c r="S37" s="277">
        <f>SUM(S32:S36)</f>
        <v>118</v>
      </c>
      <c r="T37" s="132">
        <f t="shared" ca="1" si="54"/>
        <v>1.4047619047619047</v>
      </c>
      <c r="U37" s="277">
        <f ca="1">SUM(U32:U36)</f>
        <v>84</v>
      </c>
      <c r="V37" s="277">
        <f>SUM(V32:V36)</f>
        <v>155</v>
      </c>
      <c r="W37" s="132">
        <f t="shared" ca="1" si="55"/>
        <v>1.8452380952380953</v>
      </c>
      <c r="X37" s="277">
        <f ca="1">SUM(X32:X36)</f>
        <v>69</v>
      </c>
      <c r="Y37" s="277">
        <f>SUM(Y32:Y36)</f>
        <v>0</v>
      </c>
      <c r="Z37" s="132">
        <f t="shared" ca="1" si="56"/>
        <v>0</v>
      </c>
      <c r="AA37" s="277">
        <f ca="1">SUM(AA32:AA36)</f>
        <v>60</v>
      </c>
      <c r="AB37" s="277">
        <f>SUM(AB32:AB36)</f>
        <v>0</v>
      </c>
      <c r="AC37" s="132">
        <f t="shared" ca="1" si="57"/>
        <v>0</v>
      </c>
      <c r="AD37" s="277">
        <f ca="1">SUM(AD32:AD36)</f>
        <v>74</v>
      </c>
      <c r="AE37" s="277">
        <f>SUM(AE32:AE36)</f>
        <v>0</v>
      </c>
      <c r="AF37" s="132">
        <f t="shared" ca="1" si="58"/>
        <v>0</v>
      </c>
      <c r="AG37" s="277">
        <f ca="1">SUM(AG32:AG36)</f>
        <v>84</v>
      </c>
      <c r="AH37" s="277">
        <f>SUM(AH32:AH36)</f>
        <v>0</v>
      </c>
      <c r="AI37" s="132">
        <f t="shared" ca="1" si="59"/>
        <v>0</v>
      </c>
      <c r="AJ37" s="277">
        <f ca="1">SUM(AJ32:AJ36)</f>
        <v>83</v>
      </c>
      <c r="AK37" s="277">
        <f>SUM(AK32:AK36)</f>
        <v>0</v>
      </c>
      <c r="AL37" s="132">
        <f t="shared" ca="1" si="60"/>
        <v>0</v>
      </c>
      <c r="AM37" s="277">
        <f ca="1">SUM(AM32:AM36)</f>
        <v>77</v>
      </c>
      <c r="AN37" s="277">
        <f>SUM(AN32:AN36)</f>
        <v>0</v>
      </c>
      <c r="AO37" s="132">
        <f t="shared" ca="1" si="61"/>
        <v>0</v>
      </c>
      <c r="AP37" s="277">
        <f t="shared" ref="AP37:AQ40" ca="1" si="70">IFERROR(IF($AP$4="ENERO",F37,IF($AP$4="FEBRERO",F37+I37,IF($AP$4="MARZO",F37+I37+L37,IF($AP$4="ABRIL",F37+I37+L37+O37,IF($AP$4="MAYO",F37+I37+L37+O37+R37,IF($AP$4="JUNIO",F37+I37+L37+O37+R37+U37,IF($AP$4="JULIO",F37+I37+L37+O37+R37+U37+X37,IF($AP$4="AGOSTO",F37+I37+L37+O37+R37+U37+X37+AA37,IF($AP$4="SEPTIEMBRE",F37+I37+L37+O37+R37+U37+X37+AA37+AD37,IF($AP$4="OCTUBRE",F37+I37+L37+O37+R37+U37+X37+AA37+AD37+AG37,IF($AP$4="NOVIEMBRE",F37+I37+L37+O37+R37+U37+X37+AA37+AD37+AG37+AJ37,IF($AP$4="DICIEMBRE",F37+I37+L37+O37+R37+U37+X37+AA37+AD37+AG37+AJ37+AM37,"")))))))))))),0)</f>
        <v>487</v>
      </c>
      <c r="AQ37" s="410">
        <f t="shared" si="70"/>
        <v>606</v>
      </c>
      <c r="AR37" s="131">
        <f t="shared" ca="1" si="62"/>
        <v>1.2443531827515399</v>
      </c>
      <c r="AS37" s="277">
        <f t="shared" ref="AS37:AT40" ca="1" si="71">IFERROR(SUM(AM37,AJ37,AG37,AD37,AA37,X37,U37,R37,O37,L37,I37,F37),0)</f>
        <v>934</v>
      </c>
      <c r="AT37" s="410">
        <f t="shared" si="71"/>
        <v>606</v>
      </c>
      <c r="AU37" s="131">
        <f t="shared" ca="1" si="63"/>
        <v>0.64882226980728053</v>
      </c>
      <c r="AV37" s="200"/>
      <c r="AW37" s="258"/>
      <c r="AX37" s="132"/>
      <c r="AY37" s="278"/>
      <c r="AZ37" s="132"/>
      <c r="BA37" s="258"/>
      <c r="BB37" s="131"/>
      <c r="BC37" s="277">
        <f t="shared" ref="BC37:BD40" ca="1" si="72">IFERROR(IF($BC$5="S 1",F37+I37+L37+O37+R37+U37,
IF($BC$5="S 2",X37+AA37+AD37+AG37+AJ37+AM37,0)),0)</f>
        <v>487</v>
      </c>
      <c r="BD37" s="410">
        <f t="shared" si="72"/>
        <v>606</v>
      </c>
      <c r="BE37" s="275">
        <f t="shared" ca="1" si="64"/>
        <v>1.2443531827515399</v>
      </c>
      <c r="BF37" s="277">
        <f ca="1">IFERROR(SUM(BF32:BF36),0)</f>
        <v>447</v>
      </c>
      <c r="BG37" s="277">
        <f>IFERROR(SUM(BG32:BG36),0)</f>
        <v>0</v>
      </c>
      <c r="BH37" s="275">
        <f t="shared" ca="1" si="65"/>
        <v>0</v>
      </c>
      <c r="BI37" s="4">
        <v>0</v>
      </c>
      <c r="BK37" s="4">
        <f ca="1"/>
        <v>109</v>
      </c>
      <c r="BL37" s="4">
        <v>117</v>
      </c>
      <c r="BM37" s="508">
        <f ca="1"/>
        <v>1.1555555555555554</v>
      </c>
      <c r="BO37" s="15"/>
      <c r="BP37" s="15"/>
    </row>
    <row r="38" spans="1:68" s="4" customFormat="1" ht="15" customHeight="1" x14ac:dyDescent="0.3">
      <c r="A38" s="4">
        <f>_xlfn.XLOOKUP(B38,'WHOLESALE BMW 2026'!$B$7:$B$67,'WHOLESALE BMW 2026'!$A$7:$A$67)</f>
        <v>6</v>
      </c>
      <c r="B38" s="8">
        <v>100348</v>
      </c>
      <c r="C38" s="369" t="s">
        <v>56</v>
      </c>
      <c r="D38" s="125"/>
      <c r="E38" s="309" t="s">
        <v>105</v>
      </c>
      <c r="F38" s="21">
        <f ca="1">SUMIF('UC BMW 2026'!$B$5:$B$81,B38,'UC BMW 2026'!$F$5:$F$72)</f>
        <v>25</v>
      </c>
      <c r="G38" s="24">
        <f>IFERROR(INDEX([2]BEV!$C$10:$O$68,
      MATCH(B38,[2]BEV!$B$10:$B$68,0),
      MATCH("ENERO",[2]BEV!$C$9:$O$9,0)),
   0)-IF(B38=100873,
   IFERROR(VLOOKUP("ENERO",[2]BEV!$B$80:$C$93,2,0),
      0),
   0)</f>
        <v>28</v>
      </c>
      <c r="H38" s="281">
        <f t="shared" ca="1" si="50"/>
        <v>1.1200000000000001</v>
      </c>
      <c r="I38" s="21">
        <f ca="1">SUMIF('UC BMW 2026'!$B$5:$B$81,B38,'UC BMW 2026'!$H$5:$H$72)</f>
        <v>26</v>
      </c>
      <c r="J38" s="24">
        <f>IFERROR(INDEX([2]BEV!$C$10:$O$68,
      MATCH(B38,[2]BEV!$B$10:$B$68,0),
      MATCH("FEBRERO",[2]BEV!$C$9:$O$9,0)),
   0)-IF(B38=100873,
   IFERROR(VLOOKUP("FEBRERO",[2]BEV!$B$80:$C$93,2,0),
      0),
   0)</f>
        <v>37</v>
      </c>
      <c r="K38" s="281">
        <f t="shared" ca="1" si="51"/>
        <v>1.4230769230769231</v>
      </c>
      <c r="L38" s="21">
        <f ca="1">SUMIF('UC BMW 2026'!$B$5:$B$81,B38,'UC BMW 2026'!$J$5:$J$72)</f>
        <v>26</v>
      </c>
      <c r="M38" s="24">
        <f>IFERROR(INDEX([2]BEV!$C$10:$O$68,
      MATCH(B38,[2]BEV!$B$10:$B$68,0),
      MATCH("MARZO",[2]BEV!$C$9:$O$9,0)),
   0)-IF(B38=100873,
   IFERROR(VLOOKUP("MARZO",[2]BEV!$B$80:$C$93,2,0),
      0),
   0)</f>
        <v>41</v>
      </c>
      <c r="N38" s="281">
        <f t="shared" ca="1" si="52"/>
        <v>1.5769230769230769</v>
      </c>
      <c r="O38" s="21">
        <f ca="1">SUMIF('UC BMW 2026'!$B$5:$B$81,B38,'UC BMW 2026'!$L$5:$L$72)</f>
        <v>26</v>
      </c>
      <c r="P38" s="24">
        <f>IFERROR(INDEX([2]BEV!$C$10:$O$68,
      MATCH(B38,[2]BEV!$B$10:$B$68,0),
      MATCH("ABRIL",[2]BEV!$C$9:$O$9,0)),
   0)-IF(B38=100873,
   IFERROR(VLOOKUP("ABRIL",[2]BEV!$B$80:$C$93,2,0),
      0),
   0)</f>
        <v>42</v>
      </c>
      <c r="Q38" s="281">
        <f t="shared" ca="1" si="53"/>
        <v>1.6153846153846154</v>
      </c>
      <c r="R38" s="21">
        <f ca="1">SUMIF('UC BMW 2026'!$B$5:$B$81,B38,'UC BMW 2026'!$N$5:$N$72)</f>
        <v>26</v>
      </c>
      <c r="S38" s="24">
        <f>IFERROR(INDEX([2]BEV!$C$10:$O$68,
      MATCH(B38,[2]BEV!$B$10:$B$68,0),
      MATCH("MAYO",[2]BEV!$C$9:$O$9,0)),
   0)-IF(B38=100873,
   IFERROR(VLOOKUP("MAYO",[2]BEV!$B$80:$C$93,2,0),
      0),
   0)</f>
        <v>46</v>
      </c>
      <c r="T38" s="281">
        <f t="shared" ca="1" si="54"/>
        <v>1.7692307692307692</v>
      </c>
      <c r="U38" s="21">
        <f ca="1">SUMIF('UC BMW 2026'!$B$5:$B$81,B38,'UC BMW 2026'!$P$5:$P$72)</f>
        <v>26</v>
      </c>
      <c r="V38" s="24">
        <f>IFERROR(INDEX([2]BEV!$C$10:$O$68,
      MATCH(B38,[2]BEV!$B$10:$B$68,0),
      MATCH("JUNIO",[2]BEV!$C$9:$O$9,0)),
   0)-IF(B38=100873,
   IFERROR(VLOOKUP("JUNIO",[2]BEV!$B$80:$C$93,2,0),
      0),
   0)</f>
        <v>51</v>
      </c>
      <c r="W38" s="281">
        <f t="shared" ca="1" si="55"/>
        <v>1.9615384615384615</v>
      </c>
      <c r="X38" s="21">
        <f ca="1">SUMIF('UC BMW 2026'!$B$5:$B$81,B38,'UC BMW 2026'!$R$5:$R$72)</f>
        <v>0</v>
      </c>
      <c r="Y38" s="24">
        <f>IFERROR(INDEX([2]BEV!$C$10:$O$68,
      MATCH(B38,[2]BEV!$B$10:$B$68,0),
      MATCH("JULIO",[2]BEV!$C$9:$O$9,0)),
   0)-IF(B38=100873,
   IFERROR(VLOOKUP("JULIO",[2]BEV!$B$80:$C$93,2,0),
      0),
   0)</f>
        <v>0</v>
      </c>
      <c r="Z38" s="281">
        <f t="shared" ca="1" si="56"/>
        <v>0</v>
      </c>
      <c r="AA38" s="21">
        <f ca="1">SUMIF('UC BMW 2026'!$B$5:$B$81,B38,'UC BMW 2026'!$T$5:$T$72)</f>
        <v>0</v>
      </c>
      <c r="AB38" s="24">
        <f>IFERROR(INDEX([2]BEV!$C$10:$O$68,
      MATCH(B38,[2]BEV!$B$10:$B$68,0),
      MATCH("AGOSTO",[2]BEV!$C$9:$O$9,0)),
   0)-IF(B38=100873,
   IFERROR(VLOOKUP("AGOSTO",[2]BEV!$B$80:$C$93,2,0),
      0),
   0)</f>
        <v>0</v>
      </c>
      <c r="AC38" s="281">
        <f t="shared" ca="1" si="57"/>
        <v>0</v>
      </c>
      <c r="AD38" s="21">
        <f ca="1">SUMIF('UC BMW 2026'!$B$5:$B$81,B38,'UC BMW 2026'!$V$5:$V$72)</f>
        <v>0</v>
      </c>
      <c r="AE38" s="24">
        <f>IFERROR(INDEX([2]BEV!$C$10:$O$68,
      MATCH(B38,[2]BEV!$B$10:$B$68,0),
      MATCH("SEPTIEMBRE",[2]BEV!$C$9:$O$9,0)),
   0)-IF(B38=100873,
   IFERROR(VLOOKUP("SEPTIEMBRE",[2]BEV!$B$80:$C$93,2,0),
      0),
   0)</f>
        <v>0</v>
      </c>
      <c r="AF38" s="281">
        <f t="shared" ca="1" si="58"/>
        <v>0</v>
      </c>
      <c r="AG38" s="21">
        <f ca="1">SUMIF('UC BMW 2026'!$B$5:$B$81,B38,'UC BMW 2026'!$X$5:$X$72)</f>
        <v>0</v>
      </c>
      <c r="AH38" s="24">
        <f>IFERROR(INDEX([2]BEV!$C$10:$O$68,
      MATCH(B38,[2]BEV!$B$10:$B$68,0),
      MATCH("OCTUBRE",[2]BEV!$C$9:$O$9,0)),
   0)-IF(B38=100873,
   IFERROR(VLOOKUP("OCTUBRE",[2]BEV!$B$80:$C$93,2,0),
      0),
   0)</f>
        <v>0</v>
      </c>
      <c r="AI38" s="281">
        <f t="shared" ca="1" si="59"/>
        <v>0</v>
      </c>
      <c r="AJ38" s="21">
        <f ca="1">SUMIF('UC BMW 2026'!$B$5:$B$81,B38,'UC BMW 2026'!$Z$5:$Z$72)</f>
        <v>0</v>
      </c>
      <c r="AK38" s="24">
        <f>IFERROR(INDEX([2]BEV!$C$10:$O$68,
      MATCH(B38,[2]BEV!$B$10:$B$68,0),
      MATCH("NOVIEMBRE",[2]BEV!$C$9:$O$9,0)),
   0)-IF(B38=100873,
   IFERROR(VLOOKUP("NOVIEMBRE",[2]BEV!$B$80:$C$93,2,0),
      0),
   0)</f>
        <v>0</v>
      </c>
      <c r="AL38" s="281">
        <f t="shared" ca="1" si="60"/>
        <v>0</v>
      </c>
      <c r="AM38" s="21">
        <f ca="1">SUMIF('UC BMW 2026'!$B$5:$B$81,B38,'UC BMW 2026'!$AB$5:$AB$72)</f>
        <v>0</v>
      </c>
      <c r="AN38" s="24">
        <f>IFERROR(INDEX([2]BEV!$C$10:$O$68,
      MATCH(B38,[2]BEV!$B$10:$B$68,0),
      MATCH("DICIEMBRE",[2]BEV!$C$9:$O$9,0)),
   0)-IF(B38=100873,
   IFERROR(VLOOKUP("DICIEMBRE",[2]BEV!$B$80:$C$93,2,0),
      0),
   0)</f>
        <v>0</v>
      </c>
      <c r="AO38" s="281">
        <f t="shared" ca="1" si="61"/>
        <v>0</v>
      </c>
      <c r="AP38" s="21">
        <f t="shared" ca="1" si="70"/>
        <v>155</v>
      </c>
      <c r="AQ38" s="20">
        <f t="shared" si="70"/>
        <v>245</v>
      </c>
      <c r="AR38" s="129">
        <f t="shared" ca="1" si="62"/>
        <v>1.5806451612903225</v>
      </c>
      <c r="AS38" s="21">
        <f t="shared" ca="1" si="71"/>
        <v>155</v>
      </c>
      <c r="AT38" s="20">
        <f t="shared" si="71"/>
        <v>245</v>
      </c>
      <c r="AU38" s="129">
        <f t="shared" ca="1" si="63"/>
        <v>1.5806451612903225</v>
      </c>
      <c r="AV38" s="25"/>
      <c r="AW38" s="27"/>
      <c r="AX38" s="128"/>
      <c r="AY38" s="293"/>
      <c r="AZ38" s="129"/>
      <c r="BA38" s="27"/>
      <c r="BB38" s="129"/>
      <c r="BC38" s="21">
        <f t="shared" ca="1" si="72"/>
        <v>155</v>
      </c>
      <c r="BD38" s="20">
        <f t="shared" si="72"/>
        <v>245</v>
      </c>
      <c r="BE38" s="130">
        <f t="shared" ca="1" si="64"/>
        <v>1.5806451612903225</v>
      </c>
      <c r="BF38" s="21">
        <f t="shared" ref="BF38:BG40" ca="1" si="73">IFERROR(IF($BF$5="S 1",F38+I38+L38+O38+R38+U38,
IF($BF$5="S 2",X38+AA38+AD38+AG38+AJ38+AM38,0)),0)</f>
        <v>0</v>
      </c>
      <c r="BG38" s="20">
        <f t="shared" si="73"/>
        <v>0</v>
      </c>
      <c r="BH38" s="130">
        <f t="shared" ca="1" si="65"/>
        <v>0</v>
      </c>
      <c r="BI38" s="4">
        <v>1</v>
      </c>
      <c r="BK38" s="4">
        <f ca="1"/>
        <v>100</v>
      </c>
      <c r="BL38" s="4">
        <v>110</v>
      </c>
      <c r="BM38" s="508">
        <f ca="1"/>
        <v>1.1282051282051282</v>
      </c>
      <c r="BO38" s="15">
        <f t="shared" ref="BO38:BO43" ca="1" si="74">SUM(O38,R38,U38)</f>
        <v>78</v>
      </c>
      <c r="BP38" s="15">
        <f t="shared" ref="BP38:BP43" si="75">SUM(V38,S38,P38)</f>
        <v>139</v>
      </c>
    </row>
    <row r="39" spans="1:68" s="4" customFormat="1" ht="15" customHeight="1" x14ac:dyDescent="0.3">
      <c r="A39" s="4">
        <f>_xlfn.XLOOKUP(B39,'WHOLESALE BMW 2026'!$B$7:$B$67,'WHOLESALE BMW 2026'!$A$7:$A$67)</f>
        <v>6</v>
      </c>
      <c r="B39" s="8">
        <v>100585</v>
      </c>
      <c r="C39" s="369" t="s">
        <v>58</v>
      </c>
      <c r="D39" s="125"/>
      <c r="E39" s="309" t="s">
        <v>87</v>
      </c>
      <c r="F39" s="21">
        <f ca="1">SUMIF('UC BMW 2026'!$B$5:$B$81,B39,'UC BMW 2026'!$F$5:$F$72)</f>
        <v>6</v>
      </c>
      <c r="G39" s="24">
        <f>IFERROR(INDEX([2]BEV!$C$10:$O$68,
      MATCH(B39,[2]BEV!$B$10:$B$68,0),
      MATCH("ENERO",[2]BEV!$C$9:$O$9,0)),
   0)-IF(B39=100873,
   IFERROR(VLOOKUP("ENERO",[2]BEV!$B$80:$C$93,2,0),
      0),
   0)</f>
        <v>8</v>
      </c>
      <c r="H39" s="282">
        <f t="shared" ca="1" si="50"/>
        <v>1.3333333333333333</v>
      </c>
      <c r="I39" s="21">
        <f ca="1">SUMIF('UC BMW 2026'!$B$5:$B$81,B39,'UC BMW 2026'!$H$5:$H$72)</f>
        <v>6</v>
      </c>
      <c r="J39" s="24">
        <f>IFERROR(INDEX([2]BEV!$C$10:$O$68,
      MATCH(B39,[2]BEV!$B$10:$B$68,0),
      MATCH("FEBRERO",[2]BEV!$C$9:$O$9,0)),
   0)-IF(B39=100873,
   IFERROR(VLOOKUP("FEBRERO",[2]BEV!$B$80:$C$93,2,0),
      0),
   0)</f>
        <v>6</v>
      </c>
      <c r="K39" s="282">
        <f t="shared" ca="1" si="51"/>
        <v>1</v>
      </c>
      <c r="L39" s="21">
        <f ca="1">SUMIF('UC BMW 2026'!$B$5:$B$81,B39,'UC BMW 2026'!$J$5:$J$72)</f>
        <v>7</v>
      </c>
      <c r="M39" s="24">
        <f>IFERROR(INDEX([2]BEV!$C$10:$O$68,
      MATCH(B39,[2]BEV!$B$10:$B$68,0),
      MATCH("MARZO",[2]BEV!$C$9:$O$9,0)),
   0)-IF(B39=100873,
   IFERROR(VLOOKUP("MARZO",[2]BEV!$B$80:$C$93,2,0),
      0),
   0)</f>
        <v>13</v>
      </c>
      <c r="N39" s="282">
        <f t="shared" ca="1" si="52"/>
        <v>1.8571428571428572</v>
      </c>
      <c r="O39" s="21">
        <f ca="1">SUMIF('UC BMW 2026'!$B$5:$B$81,B39,'UC BMW 2026'!$L$5:$L$72)</f>
        <v>6</v>
      </c>
      <c r="P39" s="24">
        <f>IFERROR(INDEX([2]BEV!$C$10:$O$68,
      MATCH(B39,[2]BEV!$B$10:$B$68,0),
      MATCH("ABRIL",[2]BEV!$C$9:$O$9,0)),
   0)-IF(B39=100873,
   IFERROR(VLOOKUP("ABRIL",[2]BEV!$B$80:$C$93,2,0),
      0),
   0)</f>
        <v>4</v>
      </c>
      <c r="Q39" s="282">
        <f t="shared" ca="1" si="53"/>
        <v>0.66666666666666663</v>
      </c>
      <c r="R39" s="21">
        <f ca="1">SUMIF('UC BMW 2026'!$B$5:$B$81,B39,'UC BMW 2026'!$N$5:$N$72)</f>
        <v>6</v>
      </c>
      <c r="S39" s="24">
        <f>IFERROR(INDEX([2]BEV!$C$10:$O$68,
      MATCH(B39,[2]BEV!$B$10:$B$68,0),
      MATCH("MAYO",[2]BEV!$C$9:$O$9,0)),
   0)-IF(B39=100873,
   IFERROR(VLOOKUP("MAYO",[2]BEV!$B$80:$C$93,2,0),
      0),
   0)</f>
        <v>11</v>
      </c>
      <c r="T39" s="282">
        <f t="shared" ca="1" si="54"/>
        <v>1.8333333333333333</v>
      </c>
      <c r="U39" s="21">
        <f ca="1">SUMIF('UC BMW 2026'!$B$5:$B$81,B39,'UC BMW 2026'!$P$5:$P$72)</f>
        <v>7</v>
      </c>
      <c r="V39" s="24">
        <f>IFERROR(INDEX([2]BEV!$C$10:$O$68,
      MATCH(B39,[2]BEV!$B$10:$B$68,0),
      MATCH("JUNIO",[2]BEV!$C$9:$O$9,0)),
   0)-IF(B39=100873,
   IFERROR(VLOOKUP("JUNIO",[2]BEV!$B$80:$C$93,2,0),
      0),
   0)</f>
        <v>12</v>
      </c>
      <c r="W39" s="282">
        <f t="shared" ca="1" si="55"/>
        <v>1.7142857142857142</v>
      </c>
      <c r="X39" s="21">
        <f ca="1">SUMIF('UC BMW 2026'!$B$5:$B$81,B39,'UC BMW 2026'!$R$5:$R$72)</f>
        <v>6</v>
      </c>
      <c r="Y39" s="24">
        <f>IFERROR(INDEX([2]BEV!$C$10:$O$68,
      MATCH(B39,[2]BEV!$B$10:$B$68,0),
      MATCH("JULIO",[2]BEV!$C$9:$O$9,0)),
   0)-IF(B39=100873,
   IFERROR(VLOOKUP("JULIO",[2]BEV!$B$80:$C$93,2,0),
      0),
   0)</f>
        <v>0</v>
      </c>
      <c r="Z39" s="282">
        <f t="shared" ca="1" si="56"/>
        <v>0</v>
      </c>
      <c r="AA39" s="21">
        <f ca="1">SUMIF('UC BMW 2026'!$B$5:$B$81,B39,'UC BMW 2026'!$T$5:$T$72)</f>
        <v>6</v>
      </c>
      <c r="AB39" s="24">
        <f>IFERROR(INDEX([2]BEV!$C$10:$O$68,
      MATCH(B39,[2]BEV!$B$10:$B$68,0),
      MATCH("AGOSTO",[2]BEV!$C$9:$O$9,0)),
   0)-IF(B39=100873,
   IFERROR(VLOOKUP("AGOSTO",[2]BEV!$B$80:$C$93,2,0),
      0),
   0)</f>
        <v>0</v>
      </c>
      <c r="AC39" s="282">
        <f t="shared" ca="1" si="57"/>
        <v>0</v>
      </c>
      <c r="AD39" s="21">
        <f ca="1">SUMIF('UC BMW 2026'!$B$5:$B$81,B39,'UC BMW 2026'!$V$5:$V$72)</f>
        <v>6</v>
      </c>
      <c r="AE39" s="24">
        <f>IFERROR(INDEX([2]BEV!$C$10:$O$68,
      MATCH(B39,[2]BEV!$B$10:$B$68,0),
      MATCH("SEPTIEMBRE",[2]BEV!$C$9:$O$9,0)),
   0)-IF(B39=100873,
   IFERROR(VLOOKUP("SEPTIEMBRE",[2]BEV!$B$80:$C$93,2,0),
      0),
   0)</f>
        <v>0</v>
      </c>
      <c r="AF39" s="282">
        <f t="shared" ca="1" si="58"/>
        <v>0</v>
      </c>
      <c r="AG39" s="21">
        <f ca="1">SUMIF('UC BMW 2026'!$B$5:$B$81,B39,'UC BMW 2026'!$X$5:$X$72)</f>
        <v>6</v>
      </c>
      <c r="AH39" s="24">
        <f>IFERROR(INDEX([2]BEV!$C$10:$O$68,
      MATCH(B39,[2]BEV!$B$10:$B$68,0),
      MATCH("OCTUBRE",[2]BEV!$C$9:$O$9,0)),
   0)-IF(B39=100873,
   IFERROR(VLOOKUP("OCTUBRE",[2]BEV!$B$80:$C$93,2,0),
      0),
   0)</f>
        <v>0</v>
      </c>
      <c r="AI39" s="282">
        <f t="shared" ca="1" si="59"/>
        <v>0</v>
      </c>
      <c r="AJ39" s="21">
        <f ca="1">SUMIF('UC BMW 2026'!$B$5:$B$81,B39,'UC BMW 2026'!$Z$5:$Z$72)</f>
        <v>6</v>
      </c>
      <c r="AK39" s="24">
        <f>IFERROR(INDEX([2]BEV!$C$10:$O$68,
      MATCH(B39,[2]BEV!$B$10:$B$68,0),
      MATCH("NOVIEMBRE",[2]BEV!$C$9:$O$9,0)),
   0)-IF(B39=100873,
   IFERROR(VLOOKUP("NOVIEMBRE",[2]BEV!$B$80:$C$93,2,0),
      0),
   0)</f>
        <v>0</v>
      </c>
      <c r="AL39" s="282">
        <f t="shared" ca="1" si="60"/>
        <v>0</v>
      </c>
      <c r="AM39" s="21">
        <f ca="1">SUMIF('UC BMW 2026'!$B$5:$B$81,B39,'UC BMW 2026'!$AB$5:$AB$72)</f>
        <v>8</v>
      </c>
      <c r="AN39" s="24">
        <f>IFERROR(INDEX([2]BEV!$C$10:$O$68,
      MATCH(B39,[2]BEV!$B$10:$B$68,0),
      MATCH("DICIEMBRE",[2]BEV!$C$9:$O$9,0)),
   0)-IF(B39=100873,
   IFERROR(VLOOKUP("DICIEMBRE",[2]BEV!$B$80:$C$93,2,0),
      0),
   0)</f>
        <v>0</v>
      </c>
      <c r="AO39" s="282">
        <f t="shared" ca="1" si="61"/>
        <v>0</v>
      </c>
      <c r="AP39" s="21">
        <f t="shared" ca="1" si="70"/>
        <v>38</v>
      </c>
      <c r="AQ39" s="24">
        <f t="shared" si="70"/>
        <v>54</v>
      </c>
      <c r="AR39" s="129">
        <f t="shared" ca="1" si="62"/>
        <v>1.4210526315789473</v>
      </c>
      <c r="AS39" s="21">
        <f t="shared" ca="1" si="71"/>
        <v>76</v>
      </c>
      <c r="AT39" s="24">
        <f t="shared" si="71"/>
        <v>54</v>
      </c>
      <c r="AU39" s="129">
        <f t="shared" ca="1" si="63"/>
        <v>0.71052631578947367</v>
      </c>
      <c r="AV39" s="25"/>
      <c r="AW39" s="27"/>
      <c r="AX39" s="287"/>
      <c r="AY39" s="294"/>
      <c r="AZ39" s="129"/>
      <c r="BA39" s="27"/>
      <c r="BB39" s="129"/>
      <c r="BC39" s="21">
        <f t="shared" ca="1" si="72"/>
        <v>38</v>
      </c>
      <c r="BD39" s="24">
        <f t="shared" si="72"/>
        <v>54</v>
      </c>
      <c r="BE39" s="130">
        <f t="shared" ca="1" si="64"/>
        <v>1.4210526315789473</v>
      </c>
      <c r="BF39" s="21">
        <f t="shared" ca="1" si="73"/>
        <v>38</v>
      </c>
      <c r="BG39" s="24">
        <f t="shared" si="73"/>
        <v>0</v>
      </c>
      <c r="BH39" s="130">
        <f t="shared" ca="1" si="65"/>
        <v>0</v>
      </c>
      <c r="BI39" s="4">
        <v>1</v>
      </c>
      <c r="BK39" s="4">
        <f ca="1"/>
        <v>100</v>
      </c>
      <c r="BL39" s="4">
        <v>108</v>
      </c>
      <c r="BM39" s="508">
        <f ca="1"/>
        <v>1.0806451612903225</v>
      </c>
      <c r="BO39" s="15">
        <f t="shared" ca="1" si="74"/>
        <v>19</v>
      </c>
      <c r="BP39" s="15">
        <f t="shared" si="75"/>
        <v>27</v>
      </c>
    </row>
    <row r="40" spans="1:68" s="4" customFormat="1" ht="15" customHeight="1" x14ac:dyDescent="0.3">
      <c r="A40" s="4">
        <f>_xlfn.XLOOKUP(B40,'WHOLESALE BMW 2026'!$B$7:$B$67,'WHOLESALE BMW 2026'!$A$7:$A$67)</f>
        <v>6</v>
      </c>
      <c r="B40" s="8">
        <v>100597</v>
      </c>
      <c r="C40" s="369" t="s">
        <v>53</v>
      </c>
      <c r="D40" s="125"/>
      <c r="E40" s="309" t="s">
        <v>105</v>
      </c>
      <c r="F40" s="21">
        <f ca="1">SUMIF('UC BMW 2026'!$B$5:$B$81,B40,'UC BMW 2026'!$F$5:$F$72)</f>
        <v>6</v>
      </c>
      <c r="G40" s="24">
        <f>IFERROR(INDEX([2]BEV!$C$10:$O$68,
      MATCH(B40,[2]BEV!$B$10:$B$68,0),
      MATCH("ENERO",[2]BEV!$C$9:$O$9,0)),
   0)-IF(B40=100873,
   IFERROR(VLOOKUP("ENERO",[2]BEV!$B$80:$C$93,2,0),
      0),
   0)</f>
        <v>7</v>
      </c>
      <c r="H40" s="282">
        <f t="shared" ca="1" si="50"/>
        <v>1.1666666666666667</v>
      </c>
      <c r="I40" s="21">
        <f ca="1">SUMIF('UC BMW 2026'!$B$5:$B$81,B40,'UC BMW 2026'!$H$5:$H$72)</f>
        <v>6</v>
      </c>
      <c r="J40" s="24">
        <f>IFERROR(INDEX([2]BEV!$C$10:$O$68,
      MATCH(B40,[2]BEV!$B$10:$B$68,0),
      MATCH("FEBRERO",[2]BEV!$C$9:$O$9,0)),
   0)-IF(B40=100873,
   IFERROR(VLOOKUP("FEBRERO",[2]BEV!$B$80:$C$93,2,0),
      0),
   0)</f>
        <v>9</v>
      </c>
      <c r="K40" s="282">
        <f t="shared" ca="1" si="51"/>
        <v>1.5</v>
      </c>
      <c r="L40" s="21">
        <f ca="1">SUMIF('UC BMW 2026'!$B$5:$B$81,B40,'UC BMW 2026'!$J$5:$J$72)</f>
        <v>6</v>
      </c>
      <c r="M40" s="24">
        <f>IFERROR(INDEX([2]BEV!$C$10:$O$68,
      MATCH(B40,[2]BEV!$B$10:$B$68,0),
      MATCH("MARZO",[2]BEV!$C$9:$O$9,0)),
   0)-IF(B40=100873,
   IFERROR(VLOOKUP("MARZO",[2]BEV!$B$80:$C$93,2,0),
      0),
   0)</f>
        <v>8</v>
      </c>
      <c r="N40" s="282">
        <f t="shared" ca="1" si="52"/>
        <v>1.3333333333333333</v>
      </c>
      <c r="O40" s="21">
        <f ca="1">SUMIF('UC BMW 2026'!$B$5:$B$81,B40,'UC BMW 2026'!$L$5:$L$72)</f>
        <v>6</v>
      </c>
      <c r="P40" s="24">
        <f>IFERROR(INDEX([2]BEV!$C$10:$O$68,
      MATCH(B40,[2]BEV!$B$10:$B$68,0),
      MATCH("ABRIL",[2]BEV!$C$9:$O$9,0)),
   0)-IF(B40=100873,
   IFERROR(VLOOKUP("ABRIL",[2]BEV!$B$80:$C$93,2,0),
      0),
   0)</f>
        <v>13</v>
      </c>
      <c r="Q40" s="282">
        <f t="shared" ca="1" si="53"/>
        <v>2.1666666666666665</v>
      </c>
      <c r="R40" s="21">
        <f ca="1">SUMIF('UC BMW 2026'!$B$5:$B$81,B40,'UC BMW 2026'!$N$5:$N$72)</f>
        <v>6</v>
      </c>
      <c r="S40" s="24">
        <f>IFERROR(INDEX([2]BEV!$C$10:$O$68,
      MATCH(B40,[2]BEV!$B$10:$B$68,0),
      MATCH("MAYO",[2]BEV!$C$9:$O$9,0)),
   0)-IF(B40=100873,
   IFERROR(VLOOKUP("MAYO",[2]BEV!$B$80:$C$93,2,0),
      0),
   0)</f>
        <v>5</v>
      </c>
      <c r="T40" s="282">
        <f t="shared" ca="1" si="54"/>
        <v>0.83333333333333337</v>
      </c>
      <c r="U40" s="21">
        <f ca="1">SUMIF('UC BMW 2026'!$B$5:$B$81,B40,'UC BMW 2026'!$P$5:$P$72)</f>
        <v>7</v>
      </c>
      <c r="V40" s="24">
        <f>IFERROR(INDEX([2]BEV!$C$10:$O$68,
      MATCH(B40,[2]BEV!$B$10:$B$68,0),
      MATCH("JUNIO",[2]BEV!$C$9:$O$9,0)),
   0)-IF(B40=100873,
   IFERROR(VLOOKUP("JUNIO",[2]BEV!$B$80:$C$93,2,0),
      0),
   0)</f>
        <v>8</v>
      </c>
      <c r="W40" s="282">
        <f t="shared" ca="1" si="55"/>
        <v>1.1428571428571428</v>
      </c>
      <c r="X40" s="21">
        <f ca="1">SUMIF('UC BMW 2026'!$B$5:$B$81,B40,'UC BMW 2026'!$R$5:$R$72)</f>
        <v>6</v>
      </c>
      <c r="Y40" s="24">
        <f>IFERROR(INDEX([2]BEV!$C$10:$O$68,
      MATCH(B40,[2]BEV!$B$10:$B$68,0),
      MATCH("JULIO",[2]BEV!$C$9:$O$9,0)),
   0)-IF(B40=100873,
   IFERROR(VLOOKUP("JULIO",[2]BEV!$B$80:$C$93,2,0),
      0),
   0)</f>
        <v>0</v>
      </c>
      <c r="Z40" s="282">
        <f t="shared" ca="1" si="56"/>
        <v>0</v>
      </c>
      <c r="AA40" s="21">
        <f ca="1">SUMIF('UC BMW 2026'!$B$5:$B$81,B40,'UC BMW 2026'!$T$5:$T$72)</f>
        <v>6</v>
      </c>
      <c r="AB40" s="24">
        <f>IFERROR(INDEX([2]BEV!$C$10:$O$68,
      MATCH(B40,[2]BEV!$B$10:$B$68,0),
      MATCH("AGOSTO",[2]BEV!$C$9:$O$9,0)),
   0)-IF(B40=100873,
   IFERROR(VLOOKUP("AGOSTO",[2]BEV!$B$80:$C$93,2,0),
      0),
   0)</f>
        <v>0</v>
      </c>
      <c r="AC40" s="282">
        <f t="shared" ca="1" si="57"/>
        <v>0</v>
      </c>
      <c r="AD40" s="21">
        <f ca="1">SUMIF('UC BMW 2026'!$B$5:$B$81,B40,'UC BMW 2026'!$V$5:$V$72)</f>
        <v>6</v>
      </c>
      <c r="AE40" s="24">
        <f>IFERROR(INDEX([2]BEV!$C$10:$O$68,
      MATCH(B40,[2]BEV!$B$10:$B$68,0),
      MATCH("SEPTIEMBRE",[2]BEV!$C$9:$O$9,0)),
   0)-IF(B40=100873,
   IFERROR(VLOOKUP("SEPTIEMBRE",[2]BEV!$B$80:$C$93,2,0),
      0),
   0)</f>
        <v>0</v>
      </c>
      <c r="AF40" s="282">
        <f t="shared" ca="1" si="58"/>
        <v>0</v>
      </c>
      <c r="AG40" s="21">
        <f ca="1">SUMIF('UC BMW 2026'!$B$5:$B$81,B40,'UC BMW 2026'!$X$5:$X$72)</f>
        <v>6</v>
      </c>
      <c r="AH40" s="24">
        <f>IFERROR(INDEX([2]BEV!$C$10:$O$68,
      MATCH(B40,[2]BEV!$B$10:$B$68,0),
      MATCH("OCTUBRE",[2]BEV!$C$9:$O$9,0)),
   0)-IF(B40=100873,
   IFERROR(VLOOKUP("OCTUBRE",[2]BEV!$B$80:$C$93,2,0),
      0),
   0)</f>
        <v>0</v>
      </c>
      <c r="AI40" s="282">
        <f t="shared" ca="1" si="59"/>
        <v>0</v>
      </c>
      <c r="AJ40" s="21">
        <f ca="1">SUMIF('UC BMW 2026'!$B$5:$B$81,B40,'UC BMW 2026'!$Z$5:$Z$72)</f>
        <v>6</v>
      </c>
      <c r="AK40" s="24">
        <f>IFERROR(INDEX([2]BEV!$C$10:$O$68,
      MATCH(B40,[2]BEV!$B$10:$B$68,0),
      MATCH("NOVIEMBRE",[2]BEV!$C$9:$O$9,0)),
   0)-IF(B40=100873,
   IFERROR(VLOOKUP("NOVIEMBRE",[2]BEV!$B$80:$C$93,2,0),
      0),
   0)</f>
        <v>0</v>
      </c>
      <c r="AL40" s="282">
        <f t="shared" ca="1" si="60"/>
        <v>0</v>
      </c>
      <c r="AM40" s="21">
        <f ca="1">SUMIF('UC BMW 2026'!$B$5:$B$81,B40,'UC BMW 2026'!$AB$5:$AB$72)</f>
        <v>7</v>
      </c>
      <c r="AN40" s="24">
        <f>IFERROR(INDEX([2]BEV!$C$10:$O$68,
      MATCH(B40,[2]BEV!$B$10:$B$68,0),
      MATCH("DICIEMBRE",[2]BEV!$C$9:$O$9,0)),
   0)-IF(B40=100873,
   IFERROR(VLOOKUP("DICIEMBRE",[2]BEV!$B$80:$C$93,2,0),
      0),
   0)</f>
        <v>0</v>
      </c>
      <c r="AO40" s="282">
        <f t="shared" ca="1" si="61"/>
        <v>0</v>
      </c>
      <c r="AP40" s="21">
        <f t="shared" ca="1" si="70"/>
        <v>37</v>
      </c>
      <c r="AQ40" s="24">
        <f t="shared" si="70"/>
        <v>50</v>
      </c>
      <c r="AR40" s="129">
        <f t="shared" ca="1" si="62"/>
        <v>1.3513513513513513</v>
      </c>
      <c r="AS40" s="21">
        <f t="shared" ca="1" si="71"/>
        <v>74</v>
      </c>
      <c r="AT40" s="24">
        <f t="shared" si="71"/>
        <v>50</v>
      </c>
      <c r="AU40" s="129">
        <f t="shared" ca="1" si="63"/>
        <v>0.67567567567567566</v>
      </c>
      <c r="AV40" s="25"/>
      <c r="AW40" s="27"/>
      <c r="AX40" s="287"/>
      <c r="AY40" s="294"/>
      <c r="AZ40" s="129"/>
      <c r="BA40" s="27"/>
      <c r="BB40" s="129"/>
      <c r="BC40" s="21">
        <f t="shared" ca="1" si="72"/>
        <v>37</v>
      </c>
      <c r="BD40" s="24">
        <f t="shared" si="72"/>
        <v>50</v>
      </c>
      <c r="BE40" s="130">
        <f t="shared" ca="1" si="64"/>
        <v>1.3513513513513513</v>
      </c>
      <c r="BF40" s="21">
        <f t="shared" ca="1" si="73"/>
        <v>37</v>
      </c>
      <c r="BG40" s="24">
        <f t="shared" si="73"/>
        <v>0</v>
      </c>
      <c r="BH40" s="130">
        <f t="shared" ca="1" si="65"/>
        <v>0</v>
      </c>
      <c r="BI40" s="4">
        <v>1</v>
      </c>
      <c r="BK40" s="4">
        <f ca="1"/>
        <v>97</v>
      </c>
      <c r="BL40" s="4">
        <v>105</v>
      </c>
      <c r="BM40" s="508">
        <f ca="1"/>
        <v>1.0740740740740742</v>
      </c>
      <c r="BO40" s="15">
        <f t="shared" ca="1" si="74"/>
        <v>19</v>
      </c>
      <c r="BP40" s="15">
        <f t="shared" si="75"/>
        <v>26</v>
      </c>
    </row>
    <row r="41" spans="1:68" s="4" customFormat="1" ht="15" customHeight="1" x14ac:dyDescent="0.3">
      <c r="A41" s="4">
        <f>_xlfn.XLOOKUP(B41,'WHOLESALE BMW 2026'!$B$7:$B$67,'WHOLESALE BMW 2026'!$A$7:$A$67)</f>
        <v>6</v>
      </c>
      <c r="B41" s="8">
        <v>100727</v>
      </c>
      <c r="C41" s="369" t="s">
        <v>21</v>
      </c>
      <c r="D41" s="125"/>
      <c r="E41" s="309" t="s">
        <v>93</v>
      </c>
      <c r="F41" s="21">
        <f ca="1">SUMIF('UC BMW 2026'!$B$5:$B$81,B41,'UC BMW 2026'!$F$5:$F$72)</f>
        <v>10</v>
      </c>
      <c r="G41" s="24">
        <f>IFERROR(INDEX([2]BEV!$C$10:$O$68,
      MATCH(B41,[2]BEV!$B$10:$B$68,0),
      MATCH("ENERO",[2]BEV!$C$9:$O$9,0)),
   0)-IF(B41=100873,
   IFERROR(VLOOKUP("ENERO",[2]BEV!$B$80:$C$93,2,0),
      0),
   0)</f>
        <v>25</v>
      </c>
      <c r="H41" s="285">
        <f t="shared" ca="1" si="50"/>
        <v>2.5</v>
      </c>
      <c r="I41" s="21">
        <f ca="1">SUMIF('UC BMW 2026'!$B$5:$B$81,B41,'UC BMW 2026'!$H$5:$H$72)</f>
        <v>11</v>
      </c>
      <c r="J41" s="24">
        <f>IFERROR(INDEX([2]BEV!$C$10:$O$68,
      MATCH(B41,[2]BEV!$B$10:$B$68,0),
      MATCH("FEBRERO",[2]BEV!$C$9:$O$9,0)),
   0)-IF(B41=100873,
   IFERROR(VLOOKUP("FEBRERO",[2]BEV!$B$80:$C$93,2,0),
      0),
   0)</f>
        <v>20</v>
      </c>
      <c r="K41" s="285">
        <f t="shared" ca="1" si="51"/>
        <v>1.8181818181818181</v>
      </c>
      <c r="L41" s="21">
        <f ca="1">SUMIF('UC BMW 2026'!$B$5:$B$81,B41,'UC BMW 2026'!$J$5:$J$72)</f>
        <v>12</v>
      </c>
      <c r="M41" s="24">
        <f>IFERROR(INDEX([2]BEV!$C$10:$O$68,
      MATCH(B41,[2]BEV!$B$10:$B$68,0),
      MATCH("MARZO",[2]BEV!$C$9:$O$9,0)),
   0)-IF(B41=100873,
   IFERROR(VLOOKUP("MARZO",[2]BEV!$B$80:$C$93,2,0),
      0),
   0)</f>
        <v>5</v>
      </c>
      <c r="N41" s="285">
        <f t="shared" ca="1" si="52"/>
        <v>0.41666666666666669</v>
      </c>
      <c r="O41" s="21">
        <f ca="1">SUMIF('UC BMW 2026'!$B$5:$B$81,B41,'UC BMW 2026'!$L$5:$L$72)</f>
        <v>12</v>
      </c>
      <c r="P41" s="24">
        <f>IFERROR(INDEX([2]BEV!$C$10:$O$68,
      MATCH(B41,[2]BEV!$B$10:$B$68,0),
      MATCH("ABRIL",[2]BEV!$C$9:$O$9,0)),
   0)-IF(B41=100873,
   IFERROR(VLOOKUP("ABRIL",[2]BEV!$B$80:$C$93,2,0),
      0),
   0)</f>
        <v>14</v>
      </c>
      <c r="Q41" s="285">
        <f t="shared" ca="1" si="53"/>
        <v>1.1666666666666667</v>
      </c>
      <c r="R41" s="21">
        <f ca="1">SUMIF('UC BMW 2026'!$B$5:$B$81,B41,'UC BMW 2026'!$N$5:$N$72)</f>
        <v>12</v>
      </c>
      <c r="S41" s="24">
        <f>IFERROR(INDEX([2]BEV!$C$10:$O$68,
      MATCH(B41,[2]BEV!$B$10:$B$68,0),
      MATCH("MAYO",[2]BEV!$C$9:$O$9,0)),
   0)-IF(B41=100873,
   IFERROR(VLOOKUP("MAYO",[2]BEV!$B$80:$C$93,2,0),
      0),
   0)</f>
        <v>7</v>
      </c>
      <c r="T41" s="285">
        <f t="shared" ca="1" si="54"/>
        <v>0.58333333333333337</v>
      </c>
      <c r="U41" s="21">
        <f ca="1">SUMIF('UC BMW 2026'!$B$5:$B$81,B41,'UC BMW 2026'!$P$5:$P$72)</f>
        <v>13</v>
      </c>
      <c r="V41" s="24">
        <f>IFERROR(INDEX([2]BEV!$C$10:$O$68,
      MATCH(B41,[2]BEV!$B$10:$B$68,0),
      MATCH("JUNIO",[2]BEV!$C$9:$O$9,0)),
   0)-IF(B41=100873,
   IFERROR(VLOOKUP("JUNIO",[2]BEV!$B$80:$C$93,2,0),
      0),
   0)</f>
        <v>22</v>
      </c>
      <c r="W41" s="285">
        <f t="shared" ca="1" si="55"/>
        <v>1.6923076923076923</v>
      </c>
      <c r="X41" s="21">
        <f ca="1">SUMIF('UC BMW 2026'!$B$5:$B$81,B41,'UC BMW 2026'!$R$5:$R$72)</f>
        <v>0</v>
      </c>
      <c r="Y41" s="24">
        <f>IFERROR(INDEX([2]BEV!$C$10:$O$68,
      MATCH(B41,[2]BEV!$B$10:$B$68,0),
      MATCH("JULIO",[2]BEV!$C$9:$O$9,0)),
   0)-IF(B41=100873,
   IFERROR(VLOOKUP("JULIO",[2]BEV!$B$80:$C$93,2,0),
      0),
   0)</f>
        <v>0</v>
      </c>
      <c r="Z41" s="285">
        <f t="shared" ca="1" si="56"/>
        <v>0</v>
      </c>
      <c r="AA41" s="21">
        <f ca="1">SUMIF('UC BMW 2026'!$B$5:$B$81,B41,'UC BMW 2026'!$T$5:$T$72)</f>
        <v>0</v>
      </c>
      <c r="AB41" s="24">
        <f>IFERROR(INDEX([2]BEV!$C$10:$O$68,
      MATCH(B41,[2]BEV!$B$10:$B$68,0),
      MATCH("AGOSTO",[2]BEV!$C$9:$O$9,0)),
   0)-IF(B41=100873,
   IFERROR(VLOOKUP("AGOSTO",[2]BEV!$B$80:$C$93,2,0),
      0),
   0)</f>
        <v>0</v>
      </c>
      <c r="AC41" s="285">
        <f t="shared" ca="1" si="57"/>
        <v>0</v>
      </c>
      <c r="AD41" s="21">
        <f ca="1">SUMIF('UC BMW 2026'!$B$5:$B$81,B41,'UC BMW 2026'!$V$5:$V$72)</f>
        <v>0</v>
      </c>
      <c r="AE41" s="24">
        <f>IFERROR(INDEX([2]BEV!$C$10:$O$68,
      MATCH(B41,[2]BEV!$B$10:$B$68,0),
      MATCH("SEPTIEMBRE",[2]BEV!$C$9:$O$9,0)),
   0)-IF(B41=100873,
   IFERROR(VLOOKUP("SEPTIEMBRE",[2]BEV!$B$80:$C$93,2,0),
      0),
   0)</f>
        <v>0</v>
      </c>
      <c r="AF41" s="285">
        <f t="shared" ca="1" si="58"/>
        <v>0</v>
      </c>
      <c r="AG41" s="21">
        <f ca="1">SUMIF('UC BMW 2026'!$B$5:$B$81,B41,'UC BMW 2026'!$X$5:$X$72)</f>
        <v>0</v>
      </c>
      <c r="AH41" s="24">
        <f>IFERROR(INDEX([2]BEV!$C$10:$O$68,
      MATCH(B41,[2]BEV!$B$10:$B$68,0),
      MATCH("OCTUBRE",[2]BEV!$C$9:$O$9,0)),
   0)-IF(B41=100873,
   IFERROR(VLOOKUP("OCTUBRE",[2]BEV!$B$80:$C$93,2,0),
      0),
   0)</f>
        <v>0</v>
      </c>
      <c r="AI41" s="285">
        <f t="shared" ca="1" si="59"/>
        <v>0</v>
      </c>
      <c r="AJ41" s="21">
        <f ca="1">SUMIF('UC BMW 2026'!$B$5:$B$81,B41,'UC BMW 2026'!$Z$5:$Z$72)</f>
        <v>0</v>
      </c>
      <c r="AK41" s="24">
        <f>IFERROR(INDEX([2]BEV!$C$10:$O$68,
      MATCH(B41,[2]BEV!$B$10:$B$68,0),
      MATCH("NOVIEMBRE",[2]BEV!$C$9:$O$9,0)),
   0)-IF(B41=100873,
   IFERROR(VLOOKUP("NOVIEMBRE",[2]BEV!$B$80:$C$93,2,0),
      0),
   0)</f>
        <v>0</v>
      </c>
      <c r="AL41" s="285">
        <f t="shared" ca="1" si="60"/>
        <v>0</v>
      </c>
      <c r="AM41" s="21">
        <f ca="1">SUMIF('UC BMW 2026'!$B$5:$B$81,B41,'UC BMW 2026'!$AB$5:$AB$72)</f>
        <v>0</v>
      </c>
      <c r="AN41" s="24">
        <f>IFERROR(INDEX([2]BEV!$C$10:$O$68,
      MATCH(B41,[2]BEV!$B$10:$B$68,0),
      MATCH("DICIEMBRE",[2]BEV!$C$9:$O$9,0)),
   0)-IF(B41=100873,
   IFERROR(VLOOKUP("DICIEMBRE",[2]BEV!$B$80:$C$93,2,0),
      0),
   0)</f>
        <v>0</v>
      </c>
      <c r="AO41" s="285">
        <f t="shared" ca="1" si="61"/>
        <v>0</v>
      </c>
      <c r="AP41" s="21">
        <f t="shared" ref="AP41:AQ43" ca="1" si="76">IFERROR(IF($AP$4="ENERO",F41,IF($AP$4="FEBRERO",F41+I41,IF($AP$4="MARZO",F41+I41+L41,IF($AP$4="ABRIL",F41+I41+L41+O41,IF($AP$4="MAYO",F41+I41+L41+O41+R41,IF($AP$4="JUNIO",F41+I41+L41+O41+R41+U41,IF($AP$4="JULIO",F41+I41+L41+O41+R41+U41+X41,IF($AP$4="AGOSTO",F41+I41+L41+O41+R41+U41+X41+AA41,IF($AP$4="SEPTIEMBRE",F41+I41+L41+O41+R41+U41+X41+AA41+AD41,IF($AP$4="OCTUBRE",F41+I41+L41+O41+R41+U41+X41+AA41+AD41+AG41,IF($AP$4="NOVIEMBRE",F41+I41+L41+O41+R41+U41+X41+AA41+AD41+AG41+AJ41,IF($AP$4="DICIEMBRE",F41+I41+L41+O41+R41+U41+X41+AA41+AD41+AG41+AJ41+AM41,"")))))))))))),0)</f>
        <v>70</v>
      </c>
      <c r="AQ41" s="22">
        <f t="shared" si="76"/>
        <v>93</v>
      </c>
      <c r="AR41" s="129">
        <f t="shared" ca="1" si="62"/>
        <v>1.3285714285714285</v>
      </c>
      <c r="AS41" s="21">
        <f t="shared" ref="AS41:AT43" ca="1" si="77">IFERROR(SUM(AM41,AJ41,AG41,AD41,AA41,X41,U41,R41,O41,L41,I41,F41),0)</f>
        <v>70</v>
      </c>
      <c r="AT41" s="22">
        <f t="shared" si="77"/>
        <v>93</v>
      </c>
      <c r="AU41" s="129">
        <f t="shared" ca="1" si="63"/>
        <v>1.3285714285714285</v>
      </c>
      <c r="AV41" s="25"/>
      <c r="AW41" s="27"/>
      <c r="AX41" s="287"/>
      <c r="AY41" s="291"/>
      <c r="AZ41" s="287"/>
      <c r="BA41" s="27"/>
      <c r="BB41" s="129"/>
      <c r="BC41" s="21">
        <f t="shared" ref="BC41:BD43" ca="1" si="78">IFERROR(IF($BC$5="S 1",F41+I41+L41+O41+R41+U41,
IF($BC$5="S 2",X41+AA41+AD41+AG41+AJ41+AM41,0)),0)</f>
        <v>70</v>
      </c>
      <c r="BD41" s="22">
        <f t="shared" si="78"/>
        <v>93</v>
      </c>
      <c r="BE41" s="130">
        <f t="shared" ca="1" si="64"/>
        <v>1.3285714285714285</v>
      </c>
      <c r="BF41" s="34">
        <f t="shared" ref="BF41:BG43" ca="1" si="79">IFERROR(IF($BF$5="S 1",F41+I41+L41+O41+R41+U41,
IF($BF$5="S 2",X41+AA41+AD41+AG41+AJ41+AM41,0)),0)</f>
        <v>0</v>
      </c>
      <c r="BG41" s="22">
        <f t="shared" si="79"/>
        <v>0</v>
      </c>
      <c r="BH41" s="130">
        <f t="shared" ca="1" si="65"/>
        <v>0</v>
      </c>
      <c r="BI41" s="4">
        <v>1</v>
      </c>
      <c r="BK41" s="4">
        <f ca="1"/>
        <v>95</v>
      </c>
      <c r="BL41" s="4">
        <v>100</v>
      </c>
      <c r="BM41" s="508">
        <f ca="1"/>
        <v>1.0666666666666667</v>
      </c>
      <c r="BO41" s="15">
        <f t="shared" ca="1" si="74"/>
        <v>37</v>
      </c>
      <c r="BP41" s="15">
        <f t="shared" si="75"/>
        <v>43</v>
      </c>
    </row>
    <row r="42" spans="1:68" s="4" customFormat="1" ht="15" customHeight="1" x14ac:dyDescent="0.3">
      <c r="A42" s="4">
        <f>_xlfn.XLOOKUP(B42,'WHOLESALE BMW 2026'!$B$7:$B$67,'WHOLESALE BMW 2026'!$A$7:$A$67)</f>
        <v>6</v>
      </c>
      <c r="B42" s="8">
        <v>100728</v>
      </c>
      <c r="C42" s="369" t="s">
        <v>24</v>
      </c>
      <c r="D42" s="125"/>
      <c r="E42" s="309" t="s">
        <v>94</v>
      </c>
      <c r="F42" s="21">
        <f ca="1">SUMIF('UC BMW 2026'!$B$5:$B$81,B42,'UC BMW 2026'!$F$5:$F$72)</f>
        <v>30</v>
      </c>
      <c r="G42" s="24">
        <f>IFERROR(INDEX([2]BEV!$C$10:$O$68,
      MATCH(B42,[2]BEV!$B$10:$B$68,0),
      MATCH("ENERO",[2]BEV!$C$9:$O$9,0)),
   0)-IF(B42=100873,
   IFERROR(VLOOKUP("ENERO",[2]BEV!$B$80:$C$93,2,0),
      0),
   0)</f>
        <v>27</v>
      </c>
      <c r="H42" s="285">
        <f t="shared" ca="1" si="50"/>
        <v>0.9</v>
      </c>
      <c r="I42" s="21">
        <f ca="1">SUMIF('UC BMW 2026'!$B$5:$B$81,B42,'UC BMW 2026'!$H$5:$H$72)</f>
        <v>31</v>
      </c>
      <c r="J42" s="24">
        <f>IFERROR(INDEX([2]BEV!$C$10:$O$68,
      MATCH(B42,[2]BEV!$B$10:$B$68,0),
      MATCH("FEBRERO",[2]BEV!$C$9:$O$9,0)),
   0)-IF(B42=100873,
   IFERROR(VLOOKUP("FEBRERO",[2]BEV!$B$80:$C$93,2,0),
      0),
   0)</f>
        <v>30</v>
      </c>
      <c r="K42" s="285">
        <f t="shared" ca="1" si="51"/>
        <v>0.967741935483871</v>
      </c>
      <c r="L42" s="21">
        <f ca="1">SUMIF('UC BMW 2026'!$B$5:$B$81,B42,'UC BMW 2026'!$J$5:$J$72)</f>
        <v>31</v>
      </c>
      <c r="M42" s="24">
        <f>IFERROR(INDEX([2]BEV!$C$10:$O$68,
      MATCH(B42,[2]BEV!$B$10:$B$68,0),
      MATCH("MARZO",[2]BEV!$C$9:$O$9,0)),
   0)-IF(B42=100873,
   IFERROR(VLOOKUP("MARZO",[2]BEV!$B$80:$C$93,2,0),
      0),
   0)</f>
        <v>34</v>
      </c>
      <c r="N42" s="285">
        <f t="shared" ca="1" si="52"/>
        <v>1.096774193548387</v>
      </c>
      <c r="O42" s="21">
        <f ca="1">SUMIF('UC BMW 2026'!$B$5:$B$81,B42,'UC BMW 2026'!$L$5:$L$72)</f>
        <v>31</v>
      </c>
      <c r="P42" s="24">
        <f>IFERROR(INDEX([2]BEV!$C$10:$O$68,
      MATCH(B42,[2]BEV!$B$10:$B$68,0),
      MATCH("ABRIL",[2]BEV!$C$9:$O$9,0)),
   0)-IF(B42=100873,
   IFERROR(VLOOKUP("ABRIL",[2]BEV!$B$80:$C$93,2,0),
      0),
   0)</f>
        <v>48</v>
      </c>
      <c r="Q42" s="285">
        <f t="shared" ca="1" si="53"/>
        <v>1.5483870967741935</v>
      </c>
      <c r="R42" s="21">
        <f ca="1">SUMIF('UC BMW 2026'!$B$5:$B$81,B42,'UC BMW 2026'!$N$5:$N$72)</f>
        <v>31</v>
      </c>
      <c r="S42" s="24">
        <f>IFERROR(INDEX([2]BEV!$C$10:$O$68,
      MATCH(B42,[2]BEV!$B$10:$B$68,0),
      MATCH("MAYO",[2]BEV!$C$9:$O$9,0)),
   0)-IF(B42=100873,
   IFERROR(VLOOKUP("MAYO",[2]BEV!$B$80:$C$93,2,0),
      0),
   0)</f>
        <v>25</v>
      </c>
      <c r="T42" s="285">
        <f t="shared" ca="1" si="54"/>
        <v>0.80645161290322576</v>
      </c>
      <c r="U42" s="21">
        <f ca="1">SUMIF('UC BMW 2026'!$B$5:$B$81,B42,'UC BMW 2026'!$P$5:$P$72)</f>
        <v>31</v>
      </c>
      <c r="V42" s="24">
        <f>IFERROR(INDEX([2]BEV!$C$10:$O$68,
      MATCH(B42,[2]BEV!$B$10:$B$68,0),
      MATCH("JUNIO",[2]BEV!$C$9:$O$9,0)),
   0)-IF(B42=100873,
   IFERROR(VLOOKUP("JUNIO",[2]BEV!$B$80:$C$93,2,0),
      0),
   0)</f>
        <v>70</v>
      </c>
      <c r="W42" s="285">
        <f t="shared" ca="1" si="55"/>
        <v>2.2580645161290325</v>
      </c>
      <c r="X42" s="21">
        <f ca="1">SUMIF('UC BMW 2026'!$B$5:$B$81,B42,'UC BMW 2026'!$R$5:$R$72)</f>
        <v>32</v>
      </c>
      <c r="Y42" s="24">
        <f>IFERROR(INDEX([2]BEV!$C$10:$O$68,
      MATCH(B42,[2]BEV!$B$10:$B$68,0),
      MATCH("JULIO",[2]BEV!$C$9:$O$9,0)),
   0)-IF(B42=100873,
   IFERROR(VLOOKUP("JULIO",[2]BEV!$B$80:$C$93,2,0),
      0),
   0)</f>
        <v>0</v>
      </c>
      <c r="Z42" s="285">
        <f t="shared" ca="1" si="56"/>
        <v>0</v>
      </c>
      <c r="AA42" s="21">
        <f ca="1">SUMIF('UC BMW 2026'!$B$5:$B$81,B42,'UC BMW 2026'!$T$5:$T$72)</f>
        <v>32</v>
      </c>
      <c r="AB42" s="24">
        <f>IFERROR(INDEX([2]BEV!$C$10:$O$68,
      MATCH(B42,[2]BEV!$B$10:$B$68,0),
      MATCH("AGOSTO",[2]BEV!$C$9:$O$9,0)),
   0)-IF(B42=100873,
   IFERROR(VLOOKUP("AGOSTO",[2]BEV!$B$80:$C$93,2,0),
      0),
   0)</f>
        <v>0</v>
      </c>
      <c r="AC42" s="285">
        <f t="shared" ca="1" si="57"/>
        <v>0</v>
      </c>
      <c r="AD42" s="21">
        <f ca="1">SUMIF('UC BMW 2026'!$B$5:$B$81,B42,'UC BMW 2026'!$V$5:$V$72)</f>
        <v>32</v>
      </c>
      <c r="AE42" s="24">
        <f>IFERROR(INDEX([2]BEV!$C$10:$O$68,
      MATCH(B42,[2]BEV!$B$10:$B$68,0),
      MATCH("SEPTIEMBRE",[2]BEV!$C$9:$O$9,0)),
   0)-IF(B42=100873,
   IFERROR(VLOOKUP("SEPTIEMBRE",[2]BEV!$B$80:$C$93,2,0),
      0),
   0)</f>
        <v>0</v>
      </c>
      <c r="AF42" s="285">
        <f t="shared" ca="1" si="58"/>
        <v>0</v>
      </c>
      <c r="AG42" s="21">
        <f ca="1">SUMIF('UC BMW 2026'!$B$5:$B$81,B42,'UC BMW 2026'!$X$5:$X$72)</f>
        <v>32</v>
      </c>
      <c r="AH42" s="24">
        <f>IFERROR(INDEX([2]BEV!$C$10:$O$68,
      MATCH(B42,[2]BEV!$B$10:$B$68,0),
      MATCH("OCTUBRE",[2]BEV!$C$9:$O$9,0)),
   0)-IF(B42=100873,
   IFERROR(VLOOKUP("OCTUBRE",[2]BEV!$B$80:$C$93,2,0),
      0),
   0)</f>
        <v>0</v>
      </c>
      <c r="AI42" s="285">
        <f t="shared" ca="1" si="59"/>
        <v>0</v>
      </c>
      <c r="AJ42" s="21">
        <f ca="1">SUMIF('UC BMW 2026'!$B$5:$B$81,B42,'UC BMW 2026'!$Z$5:$Z$72)</f>
        <v>32</v>
      </c>
      <c r="AK42" s="24">
        <f>IFERROR(INDEX([2]BEV!$C$10:$O$68,
      MATCH(B42,[2]BEV!$B$10:$B$68,0),
      MATCH("NOVIEMBRE",[2]BEV!$C$9:$O$9,0)),
   0)-IF(B42=100873,
   IFERROR(VLOOKUP("NOVIEMBRE",[2]BEV!$B$80:$C$93,2,0),
      0),
   0)</f>
        <v>0</v>
      </c>
      <c r="AL42" s="285">
        <f t="shared" ca="1" si="60"/>
        <v>0</v>
      </c>
      <c r="AM42" s="21">
        <f ca="1">SUMIF('UC BMW 2026'!$B$5:$B$81,B42,'UC BMW 2026'!$AB$5:$AB$72)</f>
        <v>30</v>
      </c>
      <c r="AN42" s="24">
        <f>IFERROR(INDEX([2]BEV!$C$10:$O$68,
      MATCH(B42,[2]BEV!$B$10:$B$68,0),
      MATCH("DICIEMBRE",[2]BEV!$C$9:$O$9,0)),
   0)-IF(B42=100873,
   IFERROR(VLOOKUP("DICIEMBRE",[2]BEV!$B$80:$C$93,2,0),
      0),
   0)</f>
        <v>0</v>
      </c>
      <c r="AO42" s="285">
        <f t="shared" ca="1" si="61"/>
        <v>0</v>
      </c>
      <c r="AP42" s="21">
        <f t="shared" ca="1" si="76"/>
        <v>185</v>
      </c>
      <c r="AQ42" s="22">
        <f t="shared" si="76"/>
        <v>234</v>
      </c>
      <c r="AR42" s="129">
        <f t="shared" ca="1" si="62"/>
        <v>1.2648648648648648</v>
      </c>
      <c r="AS42" s="21">
        <f t="shared" ca="1" si="77"/>
        <v>375</v>
      </c>
      <c r="AT42" s="22">
        <f t="shared" si="77"/>
        <v>234</v>
      </c>
      <c r="AU42" s="129">
        <f t="shared" ca="1" si="63"/>
        <v>0.624</v>
      </c>
      <c r="AV42" s="25"/>
      <c r="AW42" s="27"/>
      <c r="AX42" s="287"/>
      <c r="AY42" s="291"/>
      <c r="AZ42" s="287"/>
      <c r="BA42" s="27"/>
      <c r="BB42" s="129"/>
      <c r="BC42" s="21">
        <f t="shared" ca="1" si="78"/>
        <v>185</v>
      </c>
      <c r="BD42" s="22">
        <f t="shared" si="78"/>
        <v>234</v>
      </c>
      <c r="BE42" s="130">
        <f t="shared" ca="1" si="64"/>
        <v>1.2648648648648648</v>
      </c>
      <c r="BF42" s="34">
        <f t="shared" ca="1" si="79"/>
        <v>190</v>
      </c>
      <c r="BG42" s="22">
        <f t="shared" si="79"/>
        <v>0</v>
      </c>
      <c r="BH42" s="130">
        <f t="shared" ca="1" si="65"/>
        <v>0</v>
      </c>
      <c r="BI42" s="4">
        <v>1</v>
      </c>
      <c r="BK42" s="4">
        <f ca="1"/>
        <v>90</v>
      </c>
      <c r="BL42" s="4">
        <v>96</v>
      </c>
      <c r="BM42" s="508">
        <f ca="1"/>
        <v>1.0526315789473684</v>
      </c>
      <c r="BO42" s="15">
        <f t="shared" ca="1" si="74"/>
        <v>93</v>
      </c>
      <c r="BP42" s="15">
        <f t="shared" si="75"/>
        <v>143</v>
      </c>
    </row>
    <row r="43" spans="1:68" s="4" customFormat="1" ht="15" customHeight="1" thickBot="1" x14ac:dyDescent="0.35">
      <c r="A43" s="4">
        <f>_xlfn.XLOOKUP(B43,'WHOLESALE BMW 2026'!$B$7:$B$67,'WHOLESALE BMW 2026'!$A$7:$A$67)</f>
        <v>6</v>
      </c>
      <c r="B43" s="8">
        <v>100817</v>
      </c>
      <c r="C43" s="369" t="s">
        <v>69</v>
      </c>
      <c r="D43" s="125"/>
      <c r="E43" s="309" t="s">
        <v>94</v>
      </c>
      <c r="F43" s="21">
        <f ca="1">SUMIF('UC BMW 2026'!$B$5:$B$81,B43,'UC BMW 2026'!$F$5:$F$72)</f>
        <v>30</v>
      </c>
      <c r="G43" s="24">
        <f>IFERROR(INDEX([2]BEV!$C$10:$O$68,
      MATCH(B43,[2]BEV!$B$10:$B$68,0),
      MATCH("ENERO",[2]BEV!$C$9:$O$9,0)),
   0)-IF(B43=100873,
   IFERROR(VLOOKUP("ENERO",[2]BEV!$B$80:$C$93,2,0),
      0),
   0)</f>
        <v>45</v>
      </c>
      <c r="H43" s="285">
        <f t="shared" ca="1" si="50"/>
        <v>1.5</v>
      </c>
      <c r="I43" s="21">
        <f ca="1">SUMIF('UC BMW 2026'!$B$5:$B$81,B43,'UC BMW 2026'!$H$5:$H$72)</f>
        <v>30</v>
      </c>
      <c r="J43" s="24">
        <f>IFERROR(INDEX([2]BEV!$C$10:$O$68,
      MATCH(B43,[2]BEV!$B$10:$B$68,0),
      MATCH("FEBRERO",[2]BEV!$C$9:$O$9,0)),
   0)-IF(B43=100873,
   IFERROR(VLOOKUP("FEBRERO",[2]BEV!$B$80:$C$93,2,0),
      0),
   0)</f>
        <v>28</v>
      </c>
      <c r="K43" s="285">
        <f t="shared" ca="1" si="51"/>
        <v>0.93333333333333335</v>
      </c>
      <c r="L43" s="21">
        <f ca="1">SUMIF('UC BMW 2026'!$B$5:$B$81,B43,'UC BMW 2026'!$J$5:$J$72)</f>
        <v>30</v>
      </c>
      <c r="M43" s="24">
        <f>IFERROR(INDEX([2]BEV!$C$10:$O$68,
      MATCH(B43,[2]BEV!$B$10:$B$68,0),
      MATCH("MARZO",[2]BEV!$C$9:$O$9,0)),
   0)-IF(B43=100873,
   IFERROR(VLOOKUP("MARZO",[2]BEV!$B$80:$C$93,2,0),
      0),
   0)</f>
        <v>50</v>
      </c>
      <c r="N43" s="285">
        <f t="shared" ca="1" si="52"/>
        <v>1.6666666666666667</v>
      </c>
      <c r="O43" s="21">
        <f ca="1">SUMIF('UC BMW 2026'!$B$5:$B$81,B43,'UC BMW 2026'!$L$5:$L$72)</f>
        <v>30</v>
      </c>
      <c r="P43" s="24">
        <f>IFERROR(INDEX([2]BEV!$C$10:$O$68,
      MATCH(B43,[2]BEV!$B$10:$B$68,0),
      MATCH("ABRIL",[2]BEV!$C$9:$O$9,0)),
   0)-IF(B43=100873,
   IFERROR(VLOOKUP("ABRIL",[2]BEV!$B$80:$C$93,2,0),
      0),
   0)</f>
        <v>54</v>
      </c>
      <c r="Q43" s="285">
        <f t="shared" ca="1" si="53"/>
        <v>1.8</v>
      </c>
      <c r="R43" s="21">
        <f ca="1">SUMIF('UC BMW 2026'!$B$5:$B$81,B43,'UC BMW 2026'!$N$5:$N$72)</f>
        <v>30</v>
      </c>
      <c r="S43" s="24">
        <f>IFERROR(INDEX([2]BEV!$C$10:$O$68,
      MATCH(B43,[2]BEV!$B$10:$B$68,0),
      MATCH("MAYO",[2]BEV!$C$9:$O$9,0)),
   0)-IF(B43=100873,
   IFERROR(VLOOKUP("MAYO",[2]BEV!$B$80:$C$93,2,0),
      0),
   0)</f>
        <v>52</v>
      </c>
      <c r="T43" s="285">
        <f t="shared" ca="1" si="54"/>
        <v>1.7333333333333334</v>
      </c>
      <c r="U43" s="21">
        <f ca="1">SUMIF('UC BMW 2026'!$B$5:$B$81,B43,'UC BMW 2026'!$P$5:$P$72)</f>
        <v>30</v>
      </c>
      <c r="V43" s="24">
        <f>IFERROR(INDEX([2]BEV!$C$10:$O$68,
      MATCH(B43,[2]BEV!$B$10:$B$68,0),
      MATCH("JUNIO",[2]BEV!$C$9:$O$9,0)),
   0)-IF(B43=100873,
   IFERROR(VLOOKUP("JUNIO",[2]BEV!$B$80:$C$93,2,0),
      0),
   0)</f>
        <v>50</v>
      </c>
      <c r="W43" s="285">
        <f t="shared" ca="1" si="55"/>
        <v>1.6666666666666667</v>
      </c>
      <c r="X43" s="21">
        <f ca="1">SUMIF('UC BMW 2026'!$B$5:$B$81,B43,'UC BMW 2026'!$R$5:$R$72)</f>
        <v>33</v>
      </c>
      <c r="Y43" s="24">
        <f>IFERROR(INDEX([2]BEV!$C$10:$O$68,
      MATCH(B43,[2]BEV!$B$10:$B$68,0),
      MATCH("JULIO",[2]BEV!$C$9:$O$9,0)),
   0)-IF(B43=100873,
   IFERROR(VLOOKUP("JULIO",[2]BEV!$B$80:$C$93,2,0),
      0),
   0)</f>
        <v>0</v>
      </c>
      <c r="Z43" s="285">
        <f t="shared" ca="1" si="56"/>
        <v>0</v>
      </c>
      <c r="AA43" s="21">
        <f ca="1">SUMIF('UC BMW 2026'!$B$5:$B$81,B43,'UC BMW 2026'!$T$5:$T$72)</f>
        <v>33</v>
      </c>
      <c r="AB43" s="24">
        <f>IFERROR(INDEX([2]BEV!$C$10:$O$68,
      MATCH(B43,[2]BEV!$B$10:$B$68,0),
      MATCH("AGOSTO",[2]BEV!$C$9:$O$9,0)),
   0)-IF(B43=100873,
   IFERROR(VLOOKUP("AGOSTO",[2]BEV!$B$80:$C$93,2,0),
      0),
   0)</f>
        <v>0</v>
      </c>
      <c r="AC43" s="285">
        <f t="shared" ca="1" si="57"/>
        <v>0</v>
      </c>
      <c r="AD43" s="21">
        <f ca="1">SUMIF('UC BMW 2026'!$B$5:$B$81,B43,'UC BMW 2026'!$V$5:$V$72)</f>
        <v>33</v>
      </c>
      <c r="AE43" s="24">
        <f>IFERROR(INDEX([2]BEV!$C$10:$O$68,
      MATCH(B43,[2]BEV!$B$10:$B$68,0),
      MATCH("SEPTIEMBRE",[2]BEV!$C$9:$O$9,0)),
   0)-IF(B43=100873,
   IFERROR(VLOOKUP("SEPTIEMBRE",[2]BEV!$B$80:$C$93,2,0),
      0),
   0)</f>
        <v>0</v>
      </c>
      <c r="AF43" s="285">
        <f t="shared" ca="1" si="58"/>
        <v>0</v>
      </c>
      <c r="AG43" s="21">
        <f ca="1">SUMIF('UC BMW 2026'!$B$5:$B$81,B43,'UC BMW 2026'!$X$5:$X$72)</f>
        <v>33</v>
      </c>
      <c r="AH43" s="24">
        <f>IFERROR(INDEX([2]BEV!$C$10:$O$68,
      MATCH(B43,[2]BEV!$B$10:$B$68,0),
      MATCH("OCTUBRE",[2]BEV!$C$9:$O$9,0)),
   0)-IF(B43=100873,
   IFERROR(VLOOKUP("OCTUBRE",[2]BEV!$B$80:$C$93,2,0),
      0),
   0)</f>
        <v>0</v>
      </c>
      <c r="AI43" s="285">
        <f t="shared" ca="1" si="59"/>
        <v>0</v>
      </c>
      <c r="AJ43" s="21">
        <f ca="1">SUMIF('UC BMW 2026'!$B$5:$B$81,B43,'UC BMW 2026'!$Z$5:$Z$72)</f>
        <v>33</v>
      </c>
      <c r="AK43" s="24">
        <f>IFERROR(INDEX([2]BEV!$C$10:$O$68,
      MATCH(B43,[2]BEV!$B$10:$B$68,0),
      MATCH("NOVIEMBRE",[2]BEV!$C$9:$O$9,0)),
   0)-IF(B43=100873,
   IFERROR(VLOOKUP("NOVIEMBRE",[2]BEV!$B$80:$C$93,2,0),
      0),
   0)</f>
        <v>0</v>
      </c>
      <c r="AL43" s="285">
        <f t="shared" ca="1" si="60"/>
        <v>0</v>
      </c>
      <c r="AM43" s="21">
        <f ca="1">SUMIF('UC BMW 2026'!$B$5:$B$81,B43,'UC BMW 2026'!$AB$5:$AB$72)</f>
        <v>35</v>
      </c>
      <c r="AN43" s="24">
        <f>IFERROR(INDEX([2]BEV!$C$10:$O$68,
      MATCH(B43,[2]BEV!$B$10:$B$68,0),
      MATCH("DICIEMBRE",[2]BEV!$C$9:$O$9,0)),
   0)-IF(B43=100873,
   IFERROR(VLOOKUP("DICIEMBRE",[2]BEV!$B$80:$C$93,2,0),
      0),
   0)</f>
        <v>0</v>
      </c>
      <c r="AO43" s="285">
        <f t="shared" ca="1" si="61"/>
        <v>0</v>
      </c>
      <c r="AP43" s="21">
        <f t="shared" ca="1" si="76"/>
        <v>180</v>
      </c>
      <c r="AQ43" s="22">
        <f t="shared" si="76"/>
        <v>279</v>
      </c>
      <c r="AR43" s="129">
        <f t="shared" ca="1" si="62"/>
        <v>1.55</v>
      </c>
      <c r="AS43" s="21">
        <f t="shared" ca="1" si="77"/>
        <v>380</v>
      </c>
      <c r="AT43" s="22">
        <f t="shared" si="77"/>
        <v>279</v>
      </c>
      <c r="AU43" s="129">
        <f t="shared" ca="1" si="63"/>
        <v>0.73421052631578942</v>
      </c>
      <c r="AV43" s="25"/>
      <c r="AW43" s="27"/>
      <c r="AX43" s="287"/>
      <c r="AY43" s="291"/>
      <c r="AZ43" s="287"/>
      <c r="BA43" s="27"/>
      <c r="BB43" s="129"/>
      <c r="BC43" s="21">
        <f t="shared" ca="1" si="78"/>
        <v>180</v>
      </c>
      <c r="BD43" s="22">
        <f t="shared" si="78"/>
        <v>279</v>
      </c>
      <c r="BE43" s="130">
        <f t="shared" ca="1" si="64"/>
        <v>1.55</v>
      </c>
      <c r="BF43" s="34">
        <f t="shared" ca="1" si="79"/>
        <v>200</v>
      </c>
      <c r="BG43" s="22">
        <f t="shared" si="79"/>
        <v>0</v>
      </c>
      <c r="BH43" s="130">
        <f t="shared" ca="1" si="65"/>
        <v>0</v>
      </c>
      <c r="BI43" s="4">
        <v>1</v>
      </c>
      <c r="BK43" s="4">
        <f ca="1"/>
        <v>75</v>
      </c>
      <c r="BL43" s="4">
        <v>93</v>
      </c>
      <c r="BM43" s="508">
        <f ca="1"/>
        <v>1.0416666666666667</v>
      </c>
      <c r="BO43" s="15">
        <f t="shared" ca="1" si="74"/>
        <v>90</v>
      </c>
      <c r="BP43" s="15">
        <f t="shared" si="75"/>
        <v>156</v>
      </c>
    </row>
    <row r="44" spans="1:68" s="4" customFormat="1" ht="15" customHeight="1" thickBot="1" x14ac:dyDescent="0.3">
      <c r="A44" s="4">
        <f>_xlfn.XLOOKUP(B44,'WHOLESALE BMW 2026'!$B$7:$B$67,'WHOLESALE BMW 2026'!$A$7:$A$67)</f>
        <v>0</v>
      </c>
      <c r="B44" s="7" t="s">
        <v>268</v>
      </c>
      <c r="C44" s="28"/>
      <c r="D44" s="125"/>
      <c r="E44" s="7"/>
      <c r="F44" s="277">
        <f ca="1">SUM(F38:F43)</f>
        <v>107</v>
      </c>
      <c r="G44" s="277">
        <f>SUM(G38:G43)</f>
        <v>140</v>
      </c>
      <c r="H44" s="132">
        <f t="shared" ca="1" si="50"/>
        <v>1.308411214953271</v>
      </c>
      <c r="I44" s="277">
        <f ca="1">SUM(I38:I43)</f>
        <v>110</v>
      </c>
      <c r="J44" s="277">
        <f>SUM(J38:J43)</f>
        <v>130</v>
      </c>
      <c r="K44" s="132">
        <f t="shared" ca="1" si="51"/>
        <v>1.1818181818181819</v>
      </c>
      <c r="L44" s="277">
        <f ca="1">SUM(L38:L43)</f>
        <v>112</v>
      </c>
      <c r="M44" s="277">
        <f>SUM(M38:M43)</f>
        <v>151</v>
      </c>
      <c r="N44" s="132">
        <f t="shared" ca="1" si="52"/>
        <v>1.3482142857142858</v>
      </c>
      <c r="O44" s="277">
        <f ca="1">SUM(O38:O43)</f>
        <v>111</v>
      </c>
      <c r="P44" s="277">
        <f>SUM(P38:P43)</f>
        <v>175</v>
      </c>
      <c r="Q44" s="132">
        <f t="shared" ca="1" si="53"/>
        <v>1.5765765765765767</v>
      </c>
      <c r="R44" s="277">
        <f ca="1">SUM(R38:R43)</f>
        <v>111</v>
      </c>
      <c r="S44" s="277">
        <f>SUM(S38:S43)</f>
        <v>146</v>
      </c>
      <c r="T44" s="132">
        <f t="shared" ca="1" si="54"/>
        <v>1.3153153153153154</v>
      </c>
      <c r="U44" s="277">
        <f ca="1">SUM(U38:U43)</f>
        <v>114</v>
      </c>
      <c r="V44" s="277">
        <f>SUM(V38:V43)</f>
        <v>213</v>
      </c>
      <c r="W44" s="132">
        <f t="shared" ca="1" si="55"/>
        <v>1.868421052631579</v>
      </c>
      <c r="X44" s="277">
        <f ca="1">SUM(X38:X43)</f>
        <v>77</v>
      </c>
      <c r="Y44" s="277">
        <f>SUM(Y38:Y43)</f>
        <v>0</v>
      </c>
      <c r="Z44" s="132">
        <f t="shared" ca="1" si="56"/>
        <v>0</v>
      </c>
      <c r="AA44" s="277">
        <f ca="1">SUM(AA38:AA43)</f>
        <v>77</v>
      </c>
      <c r="AB44" s="277">
        <f>SUM(AB38:AB43)</f>
        <v>0</v>
      </c>
      <c r="AC44" s="132">
        <f t="shared" ca="1" si="57"/>
        <v>0</v>
      </c>
      <c r="AD44" s="277">
        <f ca="1">SUM(AD38:AD43)</f>
        <v>77</v>
      </c>
      <c r="AE44" s="277">
        <f>SUM(AE38:AE43)</f>
        <v>0</v>
      </c>
      <c r="AF44" s="132">
        <f t="shared" ca="1" si="58"/>
        <v>0</v>
      </c>
      <c r="AG44" s="277">
        <f ca="1">SUM(AG38:AG43)</f>
        <v>77</v>
      </c>
      <c r="AH44" s="277">
        <f>SUM(AH38:AH43)</f>
        <v>0</v>
      </c>
      <c r="AI44" s="132">
        <f t="shared" ca="1" si="59"/>
        <v>0</v>
      </c>
      <c r="AJ44" s="277">
        <f ca="1">SUM(AJ38:AJ43)</f>
        <v>77</v>
      </c>
      <c r="AK44" s="277">
        <f>SUM(AK38:AK43)</f>
        <v>0</v>
      </c>
      <c r="AL44" s="132">
        <f t="shared" ca="1" si="60"/>
        <v>0</v>
      </c>
      <c r="AM44" s="277">
        <f ca="1">SUM(AM38:AM43)</f>
        <v>80</v>
      </c>
      <c r="AN44" s="277">
        <f>SUM(AN38:AN43)</f>
        <v>0</v>
      </c>
      <c r="AO44" s="132">
        <f t="shared" ca="1" si="61"/>
        <v>0</v>
      </c>
      <c r="AP44" s="277">
        <f t="shared" ref="AP44:AQ48" ca="1" si="80">IFERROR(IF($AP$4="ENERO",F44,IF($AP$4="FEBRERO",F44+I44,IF($AP$4="MARZO",F44+I44+L44,IF($AP$4="ABRIL",F44+I44+L44+O44,IF($AP$4="MAYO",F44+I44+L44+O44+R44,IF($AP$4="JUNIO",F44+I44+L44+O44+R44+U44,IF($AP$4="JULIO",F44+I44+L44+O44+R44+U44+X44,IF($AP$4="AGOSTO",F44+I44+L44+O44+R44+U44+X44+AA44,IF($AP$4="SEPTIEMBRE",F44+I44+L44+O44+R44+U44+X44+AA44+AD44,IF($AP$4="OCTUBRE",F44+I44+L44+O44+R44+U44+X44+AA44+AD44+AG44,IF($AP$4="NOVIEMBRE",F44+I44+L44+O44+R44+U44+X44+AA44+AD44+AG44+AJ44,IF($AP$4="DICIEMBRE",F44+I44+L44+O44+R44+U44+X44+AA44+AD44+AG44+AJ44+AM44,"")))))))))))),0)</f>
        <v>665</v>
      </c>
      <c r="AQ44" s="410">
        <f t="shared" si="80"/>
        <v>955</v>
      </c>
      <c r="AR44" s="131">
        <f t="shared" ca="1" si="62"/>
        <v>1.4360902255639099</v>
      </c>
      <c r="AS44" s="277">
        <f t="shared" ref="AS44:AT48" ca="1" si="81">IFERROR(SUM(AM44,AJ44,AG44,AD44,AA44,X44,U44,R44,O44,L44,I44,F44),0)</f>
        <v>1130</v>
      </c>
      <c r="AT44" s="410">
        <f t="shared" si="81"/>
        <v>955</v>
      </c>
      <c r="AU44" s="131">
        <f t="shared" ca="1" si="63"/>
        <v>0.84513274336283184</v>
      </c>
      <c r="AV44" s="200"/>
      <c r="AW44" s="258"/>
      <c r="AX44" s="132"/>
      <c r="AY44" s="278"/>
      <c r="AZ44" s="132"/>
      <c r="BA44" s="258"/>
      <c r="BB44" s="131"/>
      <c r="BC44" s="277">
        <f t="shared" ref="BC44:BD48" ca="1" si="82">IFERROR(IF($BC$5="S 1",F44+I44+L44+O44+R44+U44,
IF($BC$5="S 2",X44+AA44+AD44+AG44+AJ44+AM44,0)),0)</f>
        <v>665</v>
      </c>
      <c r="BD44" s="410">
        <f t="shared" si="82"/>
        <v>955</v>
      </c>
      <c r="BE44" s="275">
        <f t="shared" ca="1" si="64"/>
        <v>1.4360902255639099</v>
      </c>
      <c r="BF44" s="277">
        <f ca="1">IFERROR(SUM(BF38:BF43),0)</f>
        <v>465</v>
      </c>
      <c r="BG44" s="277">
        <f>IFERROR(SUM(BG38:BG43),0)</f>
        <v>0</v>
      </c>
      <c r="BH44" s="275">
        <f t="shared" ca="1" si="65"/>
        <v>0</v>
      </c>
      <c r="BI44" s="4">
        <v>0</v>
      </c>
      <c r="BK44" s="4">
        <f ca="1"/>
        <v>70</v>
      </c>
      <c r="BL44" s="4">
        <v>76</v>
      </c>
      <c r="BM44" s="508">
        <f ca="1"/>
        <v>1.0166666666666666</v>
      </c>
      <c r="BO44" s="15"/>
      <c r="BP44" s="15"/>
    </row>
    <row r="45" spans="1:68" s="4" customFormat="1" ht="15" customHeight="1" x14ac:dyDescent="0.3">
      <c r="A45" s="4">
        <f>_xlfn.XLOOKUP(B45,'WHOLESALE BMW 2026'!$B$7:$B$67,'WHOLESALE BMW 2026'!$A$7:$A$67)</f>
        <v>7</v>
      </c>
      <c r="B45" s="8">
        <v>100909</v>
      </c>
      <c r="C45" s="369" t="s">
        <v>255</v>
      </c>
      <c r="D45" s="125"/>
      <c r="E45" s="309" t="s">
        <v>254</v>
      </c>
      <c r="F45" s="21">
        <f ca="1">SUMIF('UC BMW 2026'!$B$5:$B$81,B45,'UC BMW 2026'!$F$5:$F$72)</f>
        <v>28</v>
      </c>
      <c r="G45" s="24">
        <f>IFERROR(INDEX([2]BEV!$C$10:$O$68,
      MATCH(B45,[2]BEV!$B$10:$B$68,0),
      MATCH("ENERO",[2]BEV!$C$9:$O$9,0)),
   0)-IF(B45=100873,
   IFERROR(VLOOKUP("ENERO",[2]BEV!$B$80:$C$93,2,0),
      0),
   0)</f>
        <v>20</v>
      </c>
      <c r="H45" s="284">
        <f t="shared" ca="1" si="50"/>
        <v>0.7142857142857143</v>
      </c>
      <c r="I45" s="21">
        <f ca="1">SUMIF('UC BMW 2026'!$B$5:$B$81,B45,'UC BMW 2026'!$H$5:$H$72)</f>
        <v>28</v>
      </c>
      <c r="J45" s="24">
        <f>IFERROR(INDEX([2]BEV!$C$10:$O$68,
      MATCH(B45,[2]BEV!$B$10:$B$68,0),
      MATCH("FEBRERO",[2]BEV!$C$9:$O$9,0)),
   0)-IF(B45=100873,
   IFERROR(VLOOKUP("FEBRERO",[2]BEV!$B$80:$C$93,2,0),
      0),
   0)</f>
        <v>16</v>
      </c>
      <c r="K45" s="284">
        <f t="shared" ca="1" si="51"/>
        <v>0.5714285714285714</v>
      </c>
      <c r="L45" s="21">
        <f ca="1">SUMIF('UC BMW 2026'!$B$5:$B$81,B45,'UC BMW 2026'!$J$5:$J$72)</f>
        <v>28</v>
      </c>
      <c r="M45" s="24">
        <f>IFERROR(INDEX([2]BEV!$C$10:$O$68,
      MATCH(B45,[2]BEV!$B$10:$B$68,0),
      MATCH("MARZO",[2]BEV!$C$9:$O$9,0)),
   0)-IF(B45=100873,
   IFERROR(VLOOKUP("MARZO",[2]BEV!$B$80:$C$93,2,0),
      0),
   0)</f>
        <v>29</v>
      </c>
      <c r="N45" s="284">
        <f t="shared" ca="1" si="52"/>
        <v>1.0357142857142858</v>
      </c>
      <c r="O45" s="21">
        <f ca="1">SUMIF('UC BMW 2026'!$B$5:$B$81,B45,'UC BMW 2026'!$L$5:$L$72)</f>
        <v>28</v>
      </c>
      <c r="P45" s="24">
        <f>IFERROR(INDEX([2]BEV!$C$10:$O$68,
      MATCH(B45,[2]BEV!$B$10:$B$68,0),
      MATCH("ABRIL",[2]BEV!$C$9:$O$9,0)),
   0)-IF(B45=100873,
   IFERROR(VLOOKUP("ABRIL",[2]BEV!$B$80:$C$93,2,0),
      0),
   0)</f>
        <v>22</v>
      </c>
      <c r="Q45" s="284">
        <f t="shared" ca="1" si="53"/>
        <v>0.7857142857142857</v>
      </c>
      <c r="R45" s="21">
        <f ca="1">SUMIF('UC BMW 2026'!$B$5:$B$81,B45,'UC BMW 2026'!$N$5:$N$72)</f>
        <v>28</v>
      </c>
      <c r="S45" s="24">
        <f>IFERROR(INDEX([2]BEV!$C$10:$O$68,
      MATCH(B45,[2]BEV!$B$10:$B$68,0),
      MATCH("MAYO",[2]BEV!$C$9:$O$9,0)),
   0)-IF(B45=100873,
   IFERROR(VLOOKUP("MAYO",[2]BEV!$B$80:$C$93,2,0),
      0),
   0)</f>
        <v>27</v>
      </c>
      <c r="T45" s="284">
        <f t="shared" ca="1" si="54"/>
        <v>0.9642857142857143</v>
      </c>
      <c r="U45" s="21">
        <f ca="1">SUMIF('UC BMW 2026'!$B$5:$B$81,B45,'UC BMW 2026'!$P$5:$P$72)</f>
        <v>28</v>
      </c>
      <c r="V45" s="24">
        <f>IFERROR(INDEX([2]BEV!$C$10:$O$68,
      MATCH(B45,[2]BEV!$B$10:$B$68,0),
      MATCH("JUNIO",[2]BEV!$C$9:$O$9,0)),
   0)-IF(B45=100873,
   IFERROR(VLOOKUP("JUNIO",[2]BEV!$B$80:$C$93,2,0),
      0),
   0)</f>
        <v>20</v>
      </c>
      <c r="W45" s="284">
        <f t="shared" ca="1" si="55"/>
        <v>0.7142857142857143</v>
      </c>
      <c r="X45" s="21">
        <f ca="1">SUMIF('UC BMW 2026'!$B$5:$B$81,B45,'UC BMW 2026'!$R$5:$R$72)</f>
        <v>0</v>
      </c>
      <c r="Y45" s="24">
        <f>IFERROR(INDEX([2]BEV!$C$10:$O$68,
      MATCH(B45,[2]BEV!$B$10:$B$68,0),
      MATCH("JULIO",[2]BEV!$C$9:$O$9,0)),
   0)-IF(B45=100873,
   IFERROR(VLOOKUP("JULIO",[2]BEV!$B$80:$C$93,2,0),
      0),
   0)</f>
        <v>0</v>
      </c>
      <c r="Z45" s="284">
        <f t="shared" ca="1" si="56"/>
        <v>0</v>
      </c>
      <c r="AA45" s="21">
        <f ca="1">SUMIF('UC BMW 2026'!$B$5:$B$81,B45,'UC BMW 2026'!$T$5:$T$72)</f>
        <v>0</v>
      </c>
      <c r="AB45" s="24">
        <f>IFERROR(INDEX([2]BEV!$C$10:$O$68,
      MATCH(B45,[2]BEV!$B$10:$B$68,0),
      MATCH("AGOSTO",[2]BEV!$C$9:$O$9,0)),
   0)-IF(B45=100873,
   IFERROR(VLOOKUP("AGOSTO",[2]BEV!$B$80:$C$93,2,0),
      0),
   0)</f>
        <v>0</v>
      </c>
      <c r="AC45" s="284">
        <f t="shared" ca="1" si="57"/>
        <v>0</v>
      </c>
      <c r="AD45" s="21">
        <f ca="1">SUMIF('UC BMW 2026'!$B$5:$B$81,B45,'UC BMW 2026'!$V$5:$V$72)</f>
        <v>0</v>
      </c>
      <c r="AE45" s="24">
        <f>IFERROR(INDEX([2]BEV!$C$10:$O$68,
      MATCH(B45,[2]BEV!$B$10:$B$68,0),
      MATCH("SEPTIEMBRE",[2]BEV!$C$9:$O$9,0)),
   0)-IF(B45=100873,
   IFERROR(VLOOKUP("SEPTIEMBRE",[2]BEV!$B$80:$C$93,2,0),
      0),
   0)</f>
        <v>0</v>
      </c>
      <c r="AF45" s="284">
        <f t="shared" ca="1" si="58"/>
        <v>0</v>
      </c>
      <c r="AG45" s="21">
        <f ca="1">SUMIF('UC BMW 2026'!$B$5:$B$81,B45,'UC BMW 2026'!$X$5:$X$72)</f>
        <v>0</v>
      </c>
      <c r="AH45" s="24">
        <f>IFERROR(INDEX([2]BEV!$C$10:$O$68,
      MATCH(B45,[2]BEV!$B$10:$B$68,0),
      MATCH("OCTUBRE",[2]BEV!$C$9:$O$9,0)),
   0)-IF(B45=100873,
   IFERROR(VLOOKUP("OCTUBRE",[2]BEV!$B$80:$C$93,2,0),
      0),
   0)</f>
        <v>0</v>
      </c>
      <c r="AI45" s="284">
        <f t="shared" ca="1" si="59"/>
        <v>0</v>
      </c>
      <c r="AJ45" s="21">
        <f ca="1">SUMIF('UC BMW 2026'!$B$5:$B$81,B45,'UC BMW 2026'!$Z$5:$Z$72)</f>
        <v>0</v>
      </c>
      <c r="AK45" s="24">
        <f>IFERROR(INDEX([2]BEV!$C$10:$O$68,
      MATCH(B45,[2]BEV!$B$10:$B$68,0),
      MATCH("NOVIEMBRE",[2]BEV!$C$9:$O$9,0)),
   0)-IF(B45=100873,
   IFERROR(VLOOKUP("NOVIEMBRE",[2]BEV!$B$80:$C$93,2,0),
      0),
   0)</f>
        <v>0</v>
      </c>
      <c r="AL45" s="284">
        <f t="shared" ca="1" si="60"/>
        <v>0</v>
      </c>
      <c r="AM45" s="21">
        <f ca="1">SUMIF('UC BMW 2026'!$B$5:$B$81,B45,'UC BMW 2026'!$AB$5:$AB$72)</f>
        <v>0</v>
      </c>
      <c r="AN45" s="24">
        <f>IFERROR(INDEX([2]BEV!$C$10:$O$68,
      MATCH(B45,[2]BEV!$B$10:$B$68,0),
      MATCH("DICIEMBRE",[2]BEV!$C$9:$O$9,0)),
   0)-IF(B45=100873,
   IFERROR(VLOOKUP("DICIEMBRE",[2]BEV!$B$80:$C$93,2,0),
      0),
   0)</f>
        <v>0</v>
      </c>
      <c r="AO45" s="284">
        <f t="shared" ca="1" si="61"/>
        <v>0</v>
      </c>
      <c r="AP45" s="34">
        <f t="shared" ca="1" si="80"/>
        <v>168</v>
      </c>
      <c r="AQ45" s="18">
        <f t="shared" si="80"/>
        <v>134</v>
      </c>
      <c r="AR45" s="186">
        <f t="shared" ca="1" si="62"/>
        <v>0.79761904761904767</v>
      </c>
      <c r="AS45" s="34">
        <f t="shared" ca="1" si="81"/>
        <v>168</v>
      </c>
      <c r="AT45" s="18">
        <f t="shared" si="81"/>
        <v>134</v>
      </c>
      <c r="AU45" s="186">
        <f t="shared" ca="1" si="63"/>
        <v>0.79761904761904767</v>
      </c>
      <c r="AV45" s="25"/>
      <c r="AW45" s="27"/>
      <c r="AX45" s="289"/>
      <c r="AY45" s="151"/>
      <c r="AZ45" s="281"/>
      <c r="BA45" s="27"/>
      <c r="BB45" s="186"/>
      <c r="BC45" s="34">
        <f t="shared" ca="1" si="82"/>
        <v>168</v>
      </c>
      <c r="BD45" s="18">
        <f t="shared" si="82"/>
        <v>134</v>
      </c>
      <c r="BE45" s="187">
        <f t="shared" ca="1" si="64"/>
        <v>0.79761904761904767</v>
      </c>
      <c r="BF45" s="34">
        <f t="shared" ref="BF45:BG47" ca="1" si="83">IFERROR(IF($BF$5="S 1",F45+I45+L45+O45+R45+U45,
IF($BF$5="S 2",X45+AA45+AD45+AG45+AJ45+AM45,0)),0)</f>
        <v>0</v>
      </c>
      <c r="BG45" s="18">
        <f t="shared" si="83"/>
        <v>0</v>
      </c>
      <c r="BH45" s="187">
        <f t="shared" ca="1" si="65"/>
        <v>0</v>
      </c>
      <c r="BI45" s="4">
        <v>1</v>
      </c>
      <c r="BK45" s="4">
        <f ca="1"/>
        <v>70</v>
      </c>
      <c r="BL45" s="4">
        <v>74</v>
      </c>
      <c r="BM45" s="508">
        <f ca="1"/>
        <v>1.0133333333333334</v>
      </c>
      <c r="BO45" s="15">
        <f ca="1">SUM(O45,R45,U45)</f>
        <v>84</v>
      </c>
      <c r="BP45" s="15">
        <f>SUM(V45,S45,P45)</f>
        <v>69</v>
      </c>
    </row>
    <row r="46" spans="1:68" s="4" customFormat="1" ht="15" customHeight="1" x14ac:dyDescent="0.3">
      <c r="A46" s="4">
        <f>_xlfn.XLOOKUP(B46,'WHOLESALE BMW 2026'!$B$7:$B$67,'WHOLESALE BMW 2026'!$A$7:$A$67)</f>
        <v>7</v>
      </c>
      <c r="B46" s="8">
        <v>100572</v>
      </c>
      <c r="C46" s="369" t="s">
        <v>55</v>
      </c>
      <c r="D46" s="125"/>
      <c r="E46" s="309" t="s">
        <v>274</v>
      </c>
      <c r="F46" s="21">
        <f ca="1">SUMIF('UC BMW 2026'!$B$5:$B$81,B46,'UC BMW 2026'!$F$5:$F$72)</f>
        <v>67</v>
      </c>
      <c r="G46" s="24">
        <f>IFERROR(INDEX([2]BEV!$C$10:$O$68,
      MATCH(B46,[2]BEV!$B$10:$B$68,0),
      MATCH("ENERO",[2]BEV!$C$9:$O$9,0)),
   0)-IF(B46=100873,
   IFERROR(VLOOKUP("ENERO",[2]BEV!$B$80:$C$93,2,0),
      0),
   0)</f>
        <v>48</v>
      </c>
      <c r="H46" s="285">
        <f t="shared" ca="1" si="50"/>
        <v>0.71641791044776115</v>
      </c>
      <c r="I46" s="21">
        <f ca="1">SUMIF('UC BMW 2026'!$B$5:$B$81,B46,'UC BMW 2026'!$H$5:$H$72)</f>
        <v>67</v>
      </c>
      <c r="J46" s="24">
        <f>IFERROR(INDEX([2]BEV!$C$10:$O$68,
      MATCH(B46,[2]BEV!$B$10:$B$68,0),
      MATCH("FEBRERO",[2]BEV!$C$9:$O$9,0)),
   0)-IF(B46=100873,
   IFERROR(VLOOKUP("FEBRERO",[2]BEV!$B$80:$C$93,2,0),
      0),
   0)</f>
        <v>60</v>
      </c>
      <c r="K46" s="285">
        <f t="shared" ca="1" si="51"/>
        <v>0.89552238805970152</v>
      </c>
      <c r="L46" s="21">
        <f ca="1">SUMIF('UC BMW 2026'!$B$5:$B$81,B46,'UC BMW 2026'!$J$5:$J$72)</f>
        <v>67</v>
      </c>
      <c r="M46" s="24">
        <f>IFERROR(INDEX([2]BEV!$C$10:$O$68,
      MATCH(B46,[2]BEV!$B$10:$B$68,0),
      MATCH("MARZO",[2]BEV!$C$9:$O$9,0)),
   0)-IF(B46=100873,
   IFERROR(VLOOKUP("MARZO",[2]BEV!$B$80:$C$93,2,0),
      0),
   0)</f>
        <v>59</v>
      </c>
      <c r="N46" s="285">
        <f t="shared" ca="1" si="52"/>
        <v>0.88059701492537312</v>
      </c>
      <c r="O46" s="21">
        <f ca="1">SUMIF('UC BMW 2026'!$B$5:$B$81,B46,'UC BMW 2026'!$L$5:$L$72)</f>
        <v>67</v>
      </c>
      <c r="P46" s="24">
        <f>IFERROR(INDEX([2]BEV!$C$10:$O$68,
      MATCH(B46,[2]BEV!$B$10:$B$68,0),
      MATCH("ABRIL",[2]BEV!$C$9:$O$9,0)),
   0)-IF(B46=100873,
   IFERROR(VLOOKUP("ABRIL",[2]BEV!$B$80:$C$93,2,0),
      0),
   0)</f>
        <v>41</v>
      </c>
      <c r="Q46" s="285">
        <f t="shared" ca="1" si="53"/>
        <v>0.61194029850746268</v>
      </c>
      <c r="R46" s="21">
        <f ca="1">SUMIF('UC BMW 2026'!$B$5:$B$81,B46,'UC BMW 2026'!$N$5:$N$72)</f>
        <v>67</v>
      </c>
      <c r="S46" s="24">
        <f>IFERROR(INDEX([2]BEV!$C$10:$O$68,
      MATCH(B46,[2]BEV!$B$10:$B$68,0),
      MATCH("MAYO",[2]BEV!$C$9:$O$9,0)),
   0)-IF(B46=100873,
   IFERROR(VLOOKUP("MAYO",[2]BEV!$B$80:$C$93,2,0),
      0),
   0)</f>
        <v>48</v>
      </c>
      <c r="T46" s="285">
        <f t="shared" ca="1" si="54"/>
        <v>0.71641791044776115</v>
      </c>
      <c r="U46" s="21">
        <f ca="1">SUMIF('UC BMW 2026'!$B$5:$B$81,B46,'UC BMW 2026'!$P$5:$P$72)</f>
        <v>67</v>
      </c>
      <c r="V46" s="24">
        <f>IFERROR(INDEX([2]BEV!$C$10:$O$68,
      MATCH(B46,[2]BEV!$B$10:$B$68,0),
      MATCH("JUNIO",[2]BEV!$C$9:$O$9,0)),
   0)-IF(B46=100873,
   IFERROR(VLOOKUP("JUNIO",[2]BEV!$B$80:$C$93,2,0),
      0),
   0)</f>
        <v>58</v>
      </c>
      <c r="W46" s="285">
        <f t="shared" ca="1" si="55"/>
        <v>0.86567164179104472</v>
      </c>
      <c r="X46" s="21">
        <f ca="1">SUMIF('UC BMW 2026'!$B$5:$B$81,B46,'UC BMW 2026'!$R$5:$R$72)</f>
        <v>0</v>
      </c>
      <c r="Y46" s="24">
        <f>IFERROR(INDEX([2]BEV!$C$10:$O$68,
      MATCH(B46,[2]BEV!$B$10:$B$68,0),
      MATCH("JULIO",[2]BEV!$C$9:$O$9,0)),
   0)-IF(B46=100873,
   IFERROR(VLOOKUP("JULIO",[2]BEV!$B$80:$C$93,2,0),
      0),
   0)</f>
        <v>0</v>
      </c>
      <c r="Z46" s="285">
        <f t="shared" ca="1" si="56"/>
        <v>0</v>
      </c>
      <c r="AA46" s="21">
        <f ca="1">SUMIF('UC BMW 2026'!$B$5:$B$81,B46,'UC BMW 2026'!$T$5:$T$72)</f>
        <v>0</v>
      </c>
      <c r="AB46" s="24">
        <f>IFERROR(INDEX([2]BEV!$C$10:$O$68,
      MATCH(B46,[2]BEV!$B$10:$B$68,0),
      MATCH("AGOSTO",[2]BEV!$C$9:$O$9,0)),
   0)-IF(B46=100873,
   IFERROR(VLOOKUP("AGOSTO",[2]BEV!$B$80:$C$93,2,0),
      0),
   0)</f>
        <v>0</v>
      </c>
      <c r="AC46" s="285">
        <f t="shared" ca="1" si="57"/>
        <v>0</v>
      </c>
      <c r="AD46" s="21">
        <f ca="1">SUMIF('UC BMW 2026'!$B$5:$B$81,B46,'UC BMW 2026'!$V$5:$V$72)</f>
        <v>0</v>
      </c>
      <c r="AE46" s="24">
        <f>IFERROR(INDEX([2]BEV!$C$10:$O$68,
      MATCH(B46,[2]BEV!$B$10:$B$68,0),
      MATCH("SEPTIEMBRE",[2]BEV!$C$9:$O$9,0)),
   0)-IF(B46=100873,
   IFERROR(VLOOKUP("SEPTIEMBRE",[2]BEV!$B$80:$C$93,2,0),
      0),
   0)</f>
        <v>0</v>
      </c>
      <c r="AF46" s="285">
        <f t="shared" ca="1" si="58"/>
        <v>0</v>
      </c>
      <c r="AG46" s="21">
        <f ca="1">SUMIF('UC BMW 2026'!$B$5:$B$81,B46,'UC BMW 2026'!$X$5:$X$72)</f>
        <v>0</v>
      </c>
      <c r="AH46" s="24">
        <f>IFERROR(INDEX([2]BEV!$C$10:$O$68,
      MATCH(B46,[2]BEV!$B$10:$B$68,0),
      MATCH("OCTUBRE",[2]BEV!$C$9:$O$9,0)),
   0)-IF(B46=100873,
   IFERROR(VLOOKUP("OCTUBRE",[2]BEV!$B$80:$C$93,2,0),
      0),
   0)</f>
        <v>0</v>
      </c>
      <c r="AI46" s="285">
        <f t="shared" ca="1" si="59"/>
        <v>0</v>
      </c>
      <c r="AJ46" s="21">
        <f ca="1">SUMIF('UC BMW 2026'!$B$5:$B$81,B46,'UC BMW 2026'!$Z$5:$Z$72)</f>
        <v>0</v>
      </c>
      <c r="AK46" s="24">
        <f>IFERROR(INDEX([2]BEV!$C$10:$O$68,
      MATCH(B46,[2]BEV!$B$10:$B$68,0),
      MATCH("NOVIEMBRE",[2]BEV!$C$9:$O$9,0)),
   0)-IF(B46=100873,
   IFERROR(VLOOKUP("NOVIEMBRE",[2]BEV!$B$80:$C$93,2,0),
      0),
   0)</f>
        <v>0</v>
      </c>
      <c r="AL46" s="285">
        <f t="shared" ca="1" si="60"/>
        <v>0</v>
      </c>
      <c r="AM46" s="21">
        <f ca="1">SUMIF('UC BMW 2026'!$B$5:$B$81,B46,'UC BMW 2026'!$AB$5:$AB$72)</f>
        <v>0</v>
      </c>
      <c r="AN46" s="24">
        <f>IFERROR(INDEX([2]BEV!$C$10:$O$68,
      MATCH(B46,[2]BEV!$B$10:$B$68,0),
      MATCH("DICIEMBRE",[2]BEV!$C$9:$O$9,0)),
   0)-IF(B46=100873,
   IFERROR(VLOOKUP("DICIEMBRE",[2]BEV!$B$80:$C$93,2,0),
      0),
   0)</f>
        <v>0</v>
      </c>
      <c r="AO46" s="285">
        <f t="shared" ca="1" si="61"/>
        <v>0</v>
      </c>
      <c r="AP46" s="21">
        <f t="shared" ca="1" si="80"/>
        <v>402</v>
      </c>
      <c r="AQ46" s="22">
        <f t="shared" si="80"/>
        <v>314</v>
      </c>
      <c r="AR46" s="129">
        <f t="shared" ca="1" si="62"/>
        <v>0.78109452736318408</v>
      </c>
      <c r="AS46" s="21">
        <f t="shared" ca="1" si="81"/>
        <v>402</v>
      </c>
      <c r="AT46" s="22">
        <f t="shared" si="81"/>
        <v>314</v>
      </c>
      <c r="AU46" s="129">
        <f t="shared" ca="1" si="63"/>
        <v>0.78109452736318408</v>
      </c>
      <c r="AV46" s="25"/>
      <c r="AW46" s="27"/>
      <c r="AX46" s="287"/>
      <c r="AY46" s="291"/>
      <c r="AZ46" s="287"/>
      <c r="BA46" s="27"/>
      <c r="BB46" s="129"/>
      <c r="BC46" s="21">
        <f t="shared" ca="1" si="82"/>
        <v>402</v>
      </c>
      <c r="BD46" s="22">
        <f t="shared" si="82"/>
        <v>314</v>
      </c>
      <c r="BE46" s="130">
        <f t="shared" ca="1" si="64"/>
        <v>0.78109452736318408</v>
      </c>
      <c r="BF46" s="34">
        <f t="shared" ca="1" si="83"/>
        <v>0</v>
      </c>
      <c r="BG46" s="22">
        <f t="shared" si="83"/>
        <v>0</v>
      </c>
      <c r="BH46" s="130">
        <f t="shared" ca="1" si="65"/>
        <v>0</v>
      </c>
      <c r="BI46" s="4">
        <v>1</v>
      </c>
      <c r="BK46" s="4">
        <f ca="1"/>
        <v>68</v>
      </c>
      <c r="BL46" s="4">
        <v>67</v>
      </c>
      <c r="BM46" s="508">
        <f ca="1"/>
        <v>1</v>
      </c>
      <c r="BO46" s="15">
        <f ca="1">SUM(O46,R46,U46)</f>
        <v>201</v>
      </c>
      <c r="BP46" s="15">
        <f>SUM(V46,S46,P46)</f>
        <v>147</v>
      </c>
    </row>
    <row r="47" spans="1:68" s="4" customFormat="1" ht="15" customHeight="1" thickBot="1" x14ac:dyDescent="0.35">
      <c r="A47" s="4">
        <f>_xlfn.XLOOKUP(B47,'WHOLESALE BMW 2026'!$B$7:$B$67,'WHOLESALE BMW 2026'!$A$7:$A$67)</f>
        <v>7</v>
      </c>
      <c r="B47" s="8">
        <v>100584</v>
      </c>
      <c r="C47" s="369" t="s">
        <v>8</v>
      </c>
      <c r="D47" s="125"/>
      <c r="E47" s="309" t="s">
        <v>92</v>
      </c>
      <c r="F47" s="21">
        <f ca="1">SUMIF('UC BMW 2026'!$B$5:$B$81,B47,'UC BMW 2026'!$F$5:$F$72)</f>
        <v>16</v>
      </c>
      <c r="G47" s="24">
        <f>IFERROR(INDEX([2]BEV!$C$10:$O$68,
      MATCH(B47,[2]BEV!$B$10:$B$68,0),
      MATCH("ENERO",[2]BEV!$C$9:$O$9,0)),
   0)-IF(B47=100873,
   IFERROR(VLOOKUP("ENERO",[2]BEV!$B$80:$C$93,2,0),
      0),
   0)</f>
        <v>16</v>
      </c>
      <c r="H47" s="285">
        <f t="shared" ca="1" si="50"/>
        <v>1</v>
      </c>
      <c r="I47" s="21">
        <f ca="1">SUMIF('UC BMW 2026'!$B$5:$B$81,B47,'UC BMW 2026'!$H$5:$H$72)</f>
        <v>16</v>
      </c>
      <c r="J47" s="24">
        <f>IFERROR(INDEX([2]BEV!$C$10:$O$68,
      MATCH(B47,[2]BEV!$B$10:$B$68,0),
      MATCH("FEBRERO",[2]BEV!$C$9:$O$9,0)),
   0)-IF(B47=100873,
   IFERROR(VLOOKUP("FEBRERO",[2]BEV!$B$80:$C$93,2,0),
      0),
   0)</f>
        <v>16</v>
      </c>
      <c r="K47" s="285">
        <f t="shared" ca="1" si="51"/>
        <v>1</v>
      </c>
      <c r="L47" s="21">
        <f ca="1">SUMIF('UC BMW 2026'!$B$5:$B$81,B47,'UC BMW 2026'!$J$5:$J$72)</f>
        <v>16</v>
      </c>
      <c r="M47" s="24">
        <f>IFERROR(INDEX([2]BEV!$C$10:$O$68,
      MATCH(B47,[2]BEV!$B$10:$B$68,0),
      MATCH("MARZO",[2]BEV!$C$9:$O$9,0)),
   0)-IF(B47=100873,
   IFERROR(VLOOKUP("MARZO",[2]BEV!$B$80:$C$93,2,0),
      0),
   0)</f>
        <v>14</v>
      </c>
      <c r="N47" s="285">
        <f t="shared" ca="1" si="52"/>
        <v>0.875</v>
      </c>
      <c r="O47" s="21">
        <f ca="1">SUMIF('UC BMW 2026'!$B$5:$B$81,B47,'UC BMW 2026'!$L$5:$L$72)</f>
        <v>16</v>
      </c>
      <c r="P47" s="24">
        <f>IFERROR(INDEX([2]BEV!$C$10:$O$68,
      MATCH(B47,[2]BEV!$B$10:$B$68,0),
      MATCH("ABRIL",[2]BEV!$C$9:$O$9,0)),
   0)-IF(B47=100873,
   IFERROR(VLOOKUP("ABRIL",[2]BEV!$B$80:$C$93,2,0),
      0),
   0)</f>
        <v>18</v>
      </c>
      <c r="Q47" s="285">
        <f t="shared" ca="1" si="53"/>
        <v>1.125</v>
      </c>
      <c r="R47" s="21">
        <f ca="1">SUMIF('UC BMW 2026'!$B$5:$B$81,B47,'UC BMW 2026'!$N$5:$N$72)</f>
        <v>16</v>
      </c>
      <c r="S47" s="24">
        <f>IFERROR(INDEX([2]BEV!$C$10:$O$68,
      MATCH(B47,[2]BEV!$B$10:$B$68,0),
      MATCH("MAYO",[2]BEV!$C$9:$O$9,0)),
   0)-IF(B47=100873,
   IFERROR(VLOOKUP("MAYO",[2]BEV!$B$80:$C$93,2,0),
      0),
   0)</f>
        <v>21</v>
      </c>
      <c r="T47" s="285">
        <f t="shared" ca="1" si="54"/>
        <v>1.3125</v>
      </c>
      <c r="U47" s="21">
        <f ca="1">SUMIF('UC BMW 2026'!$B$5:$B$81,B47,'UC BMW 2026'!$P$5:$P$72)</f>
        <v>17</v>
      </c>
      <c r="V47" s="24">
        <f>IFERROR(INDEX([2]BEV!$C$10:$O$68,
      MATCH(B47,[2]BEV!$B$10:$B$68,0),
      MATCH("JUNIO",[2]BEV!$C$9:$O$9,0)),
   0)-IF(B47=100873,
   IFERROR(VLOOKUP("JUNIO",[2]BEV!$B$80:$C$93,2,0),
      0),
   0)</f>
        <v>44</v>
      </c>
      <c r="W47" s="285">
        <f t="shared" ca="1" si="55"/>
        <v>2.5882352941176472</v>
      </c>
      <c r="X47" s="21">
        <f ca="1">SUMIF('UC BMW 2026'!$B$5:$B$81,B47,'UC BMW 2026'!$R$5:$R$72)</f>
        <v>0</v>
      </c>
      <c r="Y47" s="24">
        <f>IFERROR(INDEX([2]BEV!$C$10:$O$68,
      MATCH(B47,[2]BEV!$B$10:$B$68,0),
      MATCH("JULIO",[2]BEV!$C$9:$O$9,0)),
   0)-IF(B47=100873,
   IFERROR(VLOOKUP("JULIO",[2]BEV!$B$80:$C$93,2,0),
      0),
   0)</f>
        <v>0</v>
      </c>
      <c r="Z47" s="285">
        <f t="shared" ca="1" si="56"/>
        <v>0</v>
      </c>
      <c r="AA47" s="21">
        <f ca="1">SUMIF('UC BMW 2026'!$B$5:$B$81,B47,'UC BMW 2026'!$T$5:$T$72)</f>
        <v>0</v>
      </c>
      <c r="AB47" s="24">
        <f>IFERROR(INDEX([2]BEV!$C$10:$O$68,
      MATCH(B47,[2]BEV!$B$10:$B$68,0),
      MATCH("AGOSTO",[2]BEV!$C$9:$O$9,0)),
   0)-IF(B47=100873,
   IFERROR(VLOOKUP("AGOSTO",[2]BEV!$B$80:$C$93,2,0),
      0),
   0)</f>
        <v>0</v>
      </c>
      <c r="AC47" s="285">
        <f t="shared" ca="1" si="57"/>
        <v>0</v>
      </c>
      <c r="AD47" s="21">
        <f ca="1">SUMIF('UC BMW 2026'!$B$5:$B$81,B47,'UC BMW 2026'!$V$5:$V$72)</f>
        <v>0</v>
      </c>
      <c r="AE47" s="24">
        <f>IFERROR(INDEX([2]BEV!$C$10:$O$68,
      MATCH(B47,[2]BEV!$B$10:$B$68,0),
      MATCH("SEPTIEMBRE",[2]BEV!$C$9:$O$9,0)),
   0)-IF(B47=100873,
   IFERROR(VLOOKUP("SEPTIEMBRE",[2]BEV!$B$80:$C$93,2,0),
      0),
   0)</f>
        <v>0</v>
      </c>
      <c r="AF47" s="285">
        <f t="shared" ca="1" si="58"/>
        <v>0</v>
      </c>
      <c r="AG47" s="21">
        <f ca="1">SUMIF('UC BMW 2026'!$B$5:$B$81,B47,'UC BMW 2026'!$X$5:$X$72)</f>
        <v>0</v>
      </c>
      <c r="AH47" s="24">
        <f>IFERROR(INDEX([2]BEV!$C$10:$O$68,
      MATCH(B47,[2]BEV!$B$10:$B$68,0),
      MATCH("OCTUBRE",[2]BEV!$C$9:$O$9,0)),
   0)-IF(B47=100873,
   IFERROR(VLOOKUP("OCTUBRE",[2]BEV!$B$80:$C$93,2,0),
      0),
   0)</f>
        <v>0</v>
      </c>
      <c r="AI47" s="285">
        <f t="shared" ca="1" si="59"/>
        <v>0</v>
      </c>
      <c r="AJ47" s="21">
        <f ca="1">SUMIF('UC BMW 2026'!$B$5:$B$81,B47,'UC BMW 2026'!$Z$5:$Z$72)</f>
        <v>0</v>
      </c>
      <c r="AK47" s="24">
        <f>IFERROR(INDEX([2]BEV!$C$10:$O$68,
      MATCH(B47,[2]BEV!$B$10:$B$68,0),
      MATCH("NOVIEMBRE",[2]BEV!$C$9:$O$9,0)),
   0)-IF(B47=100873,
   IFERROR(VLOOKUP("NOVIEMBRE",[2]BEV!$B$80:$C$93,2,0),
      0),
   0)</f>
        <v>0</v>
      </c>
      <c r="AL47" s="285">
        <f t="shared" ca="1" si="60"/>
        <v>0</v>
      </c>
      <c r="AM47" s="21">
        <f ca="1">SUMIF('UC BMW 2026'!$B$5:$B$81,B47,'UC BMW 2026'!$AB$5:$AB$72)</f>
        <v>0</v>
      </c>
      <c r="AN47" s="24">
        <f>IFERROR(INDEX([2]BEV!$C$10:$O$68,
      MATCH(B47,[2]BEV!$B$10:$B$68,0),
      MATCH("DICIEMBRE",[2]BEV!$C$9:$O$9,0)),
   0)-IF(B47=100873,
   IFERROR(VLOOKUP("DICIEMBRE",[2]BEV!$B$80:$C$93,2,0),
      0),
   0)</f>
        <v>0</v>
      </c>
      <c r="AO47" s="285">
        <f t="shared" ca="1" si="61"/>
        <v>0</v>
      </c>
      <c r="AP47" s="21">
        <f t="shared" ca="1" si="80"/>
        <v>97</v>
      </c>
      <c r="AQ47" s="22">
        <f t="shared" si="80"/>
        <v>129</v>
      </c>
      <c r="AR47" s="129">
        <f t="shared" ca="1" si="62"/>
        <v>1.3298969072164948</v>
      </c>
      <c r="AS47" s="21">
        <f t="shared" ca="1" si="81"/>
        <v>97</v>
      </c>
      <c r="AT47" s="22">
        <f t="shared" si="81"/>
        <v>129</v>
      </c>
      <c r="AU47" s="129">
        <f t="shared" ca="1" si="63"/>
        <v>1.3298969072164948</v>
      </c>
      <c r="AV47" s="25"/>
      <c r="AW47" s="27"/>
      <c r="AX47" s="287"/>
      <c r="AY47" s="291"/>
      <c r="AZ47" s="287"/>
      <c r="BA47" s="27"/>
      <c r="BB47" s="129"/>
      <c r="BC47" s="21">
        <f t="shared" ca="1" si="82"/>
        <v>97</v>
      </c>
      <c r="BD47" s="22">
        <f t="shared" si="82"/>
        <v>129</v>
      </c>
      <c r="BE47" s="130">
        <f t="shared" ca="1" si="64"/>
        <v>1.3298969072164948</v>
      </c>
      <c r="BF47" s="34">
        <f t="shared" ca="1" si="83"/>
        <v>0</v>
      </c>
      <c r="BG47" s="22">
        <f t="shared" si="83"/>
        <v>0</v>
      </c>
      <c r="BH47" s="130">
        <f t="shared" ca="1" si="65"/>
        <v>0</v>
      </c>
      <c r="BI47" s="4">
        <v>1</v>
      </c>
      <c r="BK47" s="4">
        <f ca="1"/>
        <v>62</v>
      </c>
      <c r="BL47" s="4">
        <v>65</v>
      </c>
      <c r="BM47" s="508">
        <f ca="1"/>
        <v>0.98518518518518516</v>
      </c>
      <c r="BO47" s="15">
        <f ca="1">SUM(O47,R47,U47)</f>
        <v>49</v>
      </c>
      <c r="BP47" s="15">
        <f>SUM(V47,S47,P47)</f>
        <v>83</v>
      </c>
    </row>
    <row r="48" spans="1:68" s="4" customFormat="1" ht="15" customHeight="1" thickBot="1" x14ac:dyDescent="0.3">
      <c r="A48" s="4">
        <f>_xlfn.XLOOKUP(B48,'WHOLESALE BMW 2026'!$B$7:$B$67,'WHOLESALE BMW 2026'!$A$7:$A$67)</f>
        <v>0</v>
      </c>
      <c r="B48" s="7" t="s">
        <v>269</v>
      </c>
      <c r="C48" s="28"/>
      <c r="D48" s="125"/>
      <c r="E48" s="7"/>
      <c r="F48" s="277">
        <f ca="1">SUM(F45:F47)</f>
        <v>111</v>
      </c>
      <c r="G48" s="277">
        <f>SUM(G45:G47)</f>
        <v>84</v>
      </c>
      <c r="H48" s="132">
        <f t="shared" ca="1" si="50"/>
        <v>0.7567567567567568</v>
      </c>
      <c r="I48" s="277">
        <f ca="1">SUM(I45:I47)</f>
        <v>111</v>
      </c>
      <c r="J48" s="277">
        <f>SUM(J45:J47)</f>
        <v>92</v>
      </c>
      <c r="K48" s="132">
        <f t="shared" ca="1" si="51"/>
        <v>0.8288288288288288</v>
      </c>
      <c r="L48" s="277">
        <f ca="1">SUM(L45:L47)</f>
        <v>111</v>
      </c>
      <c r="M48" s="277">
        <f>SUM(M45:M47)</f>
        <v>102</v>
      </c>
      <c r="N48" s="132">
        <f t="shared" ca="1" si="52"/>
        <v>0.91891891891891897</v>
      </c>
      <c r="O48" s="277">
        <f ca="1">SUM(O45:O47)</f>
        <v>111</v>
      </c>
      <c r="P48" s="277">
        <f>SUM(P45:P47)</f>
        <v>81</v>
      </c>
      <c r="Q48" s="132">
        <f t="shared" ca="1" si="53"/>
        <v>0.72972972972972971</v>
      </c>
      <c r="R48" s="277">
        <f ca="1">SUM(R45:R47)</f>
        <v>111</v>
      </c>
      <c r="S48" s="277">
        <f>SUM(S45:S47)</f>
        <v>96</v>
      </c>
      <c r="T48" s="132">
        <f t="shared" ca="1" si="54"/>
        <v>0.86486486486486491</v>
      </c>
      <c r="U48" s="277">
        <f ca="1">SUM(U45:U47)</f>
        <v>112</v>
      </c>
      <c r="V48" s="277">
        <f>SUM(V45:V47)</f>
        <v>122</v>
      </c>
      <c r="W48" s="132">
        <f t="shared" ca="1" si="55"/>
        <v>1.0892857142857142</v>
      </c>
      <c r="X48" s="277">
        <f ca="1">SUM(X45:X47)</f>
        <v>0</v>
      </c>
      <c r="Y48" s="277">
        <f>SUM(Y45:Y47)</f>
        <v>0</v>
      </c>
      <c r="Z48" s="132">
        <f t="shared" ca="1" si="56"/>
        <v>0</v>
      </c>
      <c r="AA48" s="277">
        <f ca="1">SUM(AA45:AA47)</f>
        <v>0</v>
      </c>
      <c r="AB48" s="277">
        <f>SUM(AB45:AB47)</f>
        <v>0</v>
      </c>
      <c r="AC48" s="132">
        <f t="shared" ca="1" si="57"/>
        <v>0</v>
      </c>
      <c r="AD48" s="277">
        <f ca="1">SUM(AD45:AD47)</f>
        <v>0</v>
      </c>
      <c r="AE48" s="277">
        <f>SUM(AE45:AE47)</f>
        <v>0</v>
      </c>
      <c r="AF48" s="132">
        <f t="shared" ca="1" si="58"/>
        <v>0</v>
      </c>
      <c r="AG48" s="277">
        <f ca="1">SUM(AG45:AG47)</f>
        <v>0</v>
      </c>
      <c r="AH48" s="277">
        <f>SUM(AH45:AH47)</f>
        <v>0</v>
      </c>
      <c r="AI48" s="132">
        <f t="shared" ca="1" si="59"/>
        <v>0</v>
      </c>
      <c r="AJ48" s="277">
        <f ca="1">SUM(AJ45:AJ47)</f>
        <v>0</v>
      </c>
      <c r="AK48" s="277">
        <f>SUM(AK45:AK47)</f>
        <v>0</v>
      </c>
      <c r="AL48" s="132">
        <f t="shared" ca="1" si="60"/>
        <v>0</v>
      </c>
      <c r="AM48" s="277">
        <f ca="1">SUM(AM45:AM47)</f>
        <v>0</v>
      </c>
      <c r="AN48" s="277">
        <f>SUM(AN45:AN47)</f>
        <v>0</v>
      </c>
      <c r="AO48" s="132">
        <f t="shared" ca="1" si="61"/>
        <v>0</v>
      </c>
      <c r="AP48" s="277">
        <f t="shared" ca="1" si="80"/>
        <v>667</v>
      </c>
      <c r="AQ48" s="410">
        <f t="shared" si="80"/>
        <v>577</v>
      </c>
      <c r="AR48" s="131">
        <f t="shared" ca="1" si="62"/>
        <v>0.86506746626686659</v>
      </c>
      <c r="AS48" s="277">
        <f t="shared" ca="1" si="81"/>
        <v>667</v>
      </c>
      <c r="AT48" s="410">
        <f t="shared" si="81"/>
        <v>577</v>
      </c>
      <c r="AU48" s="131">
        <f t="shared" ca="1" si="63"/>
        <v>0.86506746626686659</v>
      </c>
      <c r="AV48" s="200"/>
      <c r="AW48" s="258"/>
      <c r="AX48" s="132"/>
      <c r="AY48" s="278"/>
      <c r="AZ48" s="132"/>
      <c r="BA48" s="258"/>
      <c r="BB48" s="131"/>
      <c r="BC48" s="277">
        <f t="shared" ca="1" si="82"/>
        <v>667</v>
      </c>
      <c r="BD48" s="410">
        <f t="shared" si="82"/>
        <v>577</v>
      </c>
      <c r="BE48" s="275">
        <f t="shared" ca="1" si="64"/>
        <v>0.86506746626686659</v>
      </c>
      <c r="BF48" s="277">
        <f ca="1">IFERROR(SUM(BF45:BF47),0)</f>
        <v>0</v>
      </c>
      <c r="BG48" s="277">
        <f>IFERROR(SUM(BG45:BG47),0)</f>
        <v>0</v>
      </c>
      <c r="BH48" s="275">
        <f t="shared" ca="1" si="65"/>
        <v>0</v>
      </c>
      <c r="BI48" s="4">
        <v>0</v>
      </c>
      <c r="BK48" s="4">
        <f ca="1"/>
        <v>60</v>
      </c>
      <c r="BL48" s="4">
        <v>61</v>
      </c>
      <c r="BM48" s="508">
        <f ca="1"/>
        <v>0.96666666666666667</v>
      </c>
      <c r="BO48" s="15"/>
      <c r="BP48" s="15"/>
    </row>
    <row r="49" spans="1:68" s="4" customFormat="1" ht="15" customHeight="1" x14ac:dyDescent="0.3">
      <c r="A49" s="4">
        <f>_xlfn.XLOOKUP(B49,'WHOLESALE BMW 2026'!$B$7:$B$67,'WHOLESALE BMW 2026'!$A$7:$A$67)</f>
        <v>8</v>
      </c>
      <c r="B49" s="8">
        <v>100765</v>
      </c>
      <c r="C49" s="369" t="s">
        <v>60</v>
      </c>
      <c r="D49" s="125"/>
      <c r="E49" s="309" t="s">
        <v>90</v>
      </c>
      <c r="F49" s="21">
        <f ca="1">SUMIF('UC BMW 2026'!$B$5:$B$81,B49,'UC BMW 2026'!$F$5:$F$72)</f>
        <v>4</v>
      </c>
      <c r="G49" s="24">
        <f>IFERROR(INDEX([2]BEV!$C$10:$O$68,
      MATCH(B49,[2]BEV!$B$10:$B$68,0),
      MATCH("ENERO",[2]BEV!$C$9:$O$9,0)),
   0)-IF(B49=100873,
   IFERROR(VLOOKUP("ENERO",[2]BEV!$B$80:$C$93,2,0),
      0),
   0)</f>
        <v>3</v>
      </c>
      <c r="H49" s="284">
        <f t="shared" ref="H49:H56" ca="1" si="84">IFERROR(G49/F49,0)</f>
        <v>0.75</v>
      </c>
      <c r="I49" s="21">
        <f ca="1">SUMIF('UC BMW 2026'!$B$5:$B$81,B49,'UC BMW 2026'!$H$5:$H$72)</f>
        <v>4</v>
      </c>
      <c r="J49" s="24">
        <f>IFERROR(INDEX([2]BEV!$C$10:$O$68,
      MATCH(B49,[2]BEV!$B$10:$B$68,0),
      MATCH("FEBRERO",[2]BEV!$C$9:$O$9,0)),
   0)-IF(B49=100873,
   IFERROR(VLOOKUP("FEBRERO",[2]BEV!$B$80:$C$93,2,0),
      0),
   0)</f>
        <v>5</v>
      </c>
      <c r="K49" s="284">
        <f t="shared" ref="K49:K56" ca="1" si="85">IFERROR(J49/I49,0)</f>
        <v>1.25</v>
      </c>
      <c r="L49" s="21">
        <f ca="1">SUMIF('UC BMW 2026'!$B$5:$B$81,B49,'UC BMW 2026'!$J$5:$J$72)</f>
        <v>5</v>
      </c>
      <c r="M49" s="24">
        <f>IFERROR(INDEX([2]BEV!$C$10:$O$68,
      MATCH(B49,[2]BEV!$B$10:$B$68,0),
      MATCH("MARZO",[2]BEV!$C$9:$O$9,0)),
   0)-IF(B49=100873,
   IFERROR(VLOOKUP("MARZO",[2]BEV!$B$80:$C$93,2,0),
      0),
   0)</f>
        <v>4</v>
      </c>
      <c r="N49" s="284">
        <f t="shared" ref="N49:N56" ca="1" si="86">IFERROR(M49/L49,0)</f>
        <v>0.8</v>
      </c>
      <c r="O49" s="21">
        <f ca="1">SUMIF('UC BMW 2026'!$B$5:$B$81,B49,'UC BMW 2026'!$L$5:$L$72)</f>
        <v>4</v>
      </c>
      <c r="P49" s="24">
        <f>IFERROR(INDEX([2]BEV!$C$10:$O$68,
      MATCH(B49,[2]BEV!$B$10:$B$68,0),
      MATCH("ABRIL",[2]BEV!$C$9:$O$9,0)),
   0)-IF(B49=100873,
   IFERROR(VLOOKUP("ABRIL",[2]BEV!$B$80:$C$93,2,0),
      0),
   0)</f>
        <v>4</v>
      </c>
      <c r="Q49" s="284">
        <f t="shared" ref="Q49:Q56" ca="1" si="87">IFERROR(P49/O49,0)</f>
        <v>1</v>
      </c>
      <c r="R49" s="21">
        <f ca="1">SUMIF('UC BMW 2026'!$B$5:$B$81,B49,'UC BMW 2026'!$N$5:$N$72)</f>
        <v>5</v>
      </c>
      <c r="S49" s="24">
        <f>IFERROR(INDEX([2]BEV!$C$10:$O$68,
      MATCH(B49,[2]BEV!$B$10:$B$68,0),
      MATCH("MAYO",[2]BEV!$C$9:$O$9,0)),
   0)-IF(B49=100873,
   IFERROR(VLOOKUP("MAYO",[2]BEV!$B$80:$C$93,2,0),
      0),
   0)</f>
        <v>7</v>
      </c>
      <c r="T49" s="284">
        <f t="shared" ref="T49:T56" ca="1" si="88">IFERROR(S49/R49,0)</f>
        <v>1.4</v>
      </c>
      <c r="U49" s="21">
        <f ca="1">SUMIF('UC BMW 2026'!$B$5:$B$81,B49,'UC BMW 2026'!$P$5:$P$72)</f>
        <v>5</v>
      </c>
      <c r="V49" s="24">
        <f>IFERROR(INDEX([2]BEV!$C$10:$O$68,
      MATCH(B49,[2]BEV!$B$10:$B$68,0),
      MATCH("JUNIO",[2]BEV!$C$9:$O$9,0)),
   0)-IF(B49=100873,
   IFERROR(VLOOKUP("JUNIO",[2]BEV!$B$80:$C$93,2,0),
      0),
   0)</f>
        <v>6</v>
      </c>
      <c r="W49" s="284">
        <f t="shared" ref="W49:W56" ca="1" si="89">IFERROR(V49/U49,0)</f>
        <v>1.2</v>
      </c>
      <c r="X49" s="21">
        <f ca="1">SUMIF('UC BMW 2026'!$B$5:$B$81,B49,'UC BMW 2026'!$R$5:$R$72)</f>
        <v>0</v>
      </c>
      <c r="Y49" s="24">
        <f>IFERROR(INDEX([2]BEV!$C$10:$O$68,
      MATCH(B49,[2]BEV!$B$10:$B$68,0),
      MATCH("JULIO",[2]BEV!$C$9:$O$9,0)),
   0)-IF(B49=100873,
   IFERROR(VLOOKUP("JULIO",[2]BEV!$B$80:$C$93,2,0),
      0),
   0)</f>
        <v>0</v>
      </c>
      <c r="Z49" s="284">
        <f t="shared" ref="Z49:Z56" ca="1" si="90">IFERROR(Y49/X49,0)</f>
        <v>0</v>
      </c>
      <c r="AA49" s="21">
        <f ca="1">SUMIF('UC BMW 2026'!$B$5:$B$81,B49,'UC BMW 2026'!$T$5:$T$72)</f>
        <v>0</v>
      </c>
      <c r="AB49" s="24">
        <f>IFERROR(INDEX([2]BEV!$C$10:$O$68,
      MATCH(B49,[2]BEV!$B$10:$B$68,0),
      MATCH("AGOSTO",[2]BEV!$C$9:$O$9,0)),
   0)-IF(B49=100873,
   IFERROR(VLOOKUP("AGOSTO",[2]BEV!$B$80:$C$93,2,0),
      0),
   0)</f>
        <v>0</v>
      </c>
      <c r="AC49" s="284">
        <f t="shared" ref="AC49:AC56" ca="1" si="91">IFERROR(AB49/AA49,0)</f>
        <v>0</v>
      </c>
      <c r="AD49" s="21">
        <f ca="1">SUMIF('UC BMW 2026'!$B$5:$B$81,B49,'UC BMW 2026'!$V$5:$V$72)</f>
        <v>0</v>
      </c>
      <c r="AE49" s="24">
        <f>IFERROR(INDEX([2]BEV!$C$10:$O$68,
      MATCH(B49,[2]BEV!$B$10:$B$68,0),
      MATCH("SEPTIEMBRE",[2]BEV!$C$9:$O$9,0)),
   0)-IF(B49=100873,
   IFERROR(VLOOKUP("SEPTIEMBRE",[2]BEV!$B$80:$C$93,2,0),
      0),
   0)</f>
        <v>0</v>
      </c>
      <c r="AF49" s="284">
        <f t="shared" ref="AF49:AF56" ca="1" si="92">IFERROR(AE49/AD49,0)</f>
        <v>0</v>
      </c>
      <c r="AG49" s="21">
        <f ca="1">SUMIF('UC BMW 2026'!$B$5:$B$81,B49,'UC BMW 2026'!$X$5:$X$72)</f>
        <v>0</v>
      </c>
      <c r="AH49" s="24">
        <f>IFERROR(INDEX([2]BEV!$C$10:$O$68,
      MATCH(B49,[2]BEV!$B$10:$B$68,0),
      MATCH("OCTUBRE",[2]BEV!$C$9:$O$9,0)),
   0)-IF(B49=100873,
   IFERROR(VLOOKUP("OCTUBRE",[2]BEV!$B$80:$C$93,2,0),
      0),
   0)</f>
        <v>0</v>
      </c>
      <c r="AI49" s="284">
        <f t="shared" ref="AI49:AI56" ca="1" si="93">IFERROR(AH49/AG49,0)</f>
        <v>0</v>
      </c>
      <c r="AJ49" s="21">
        <f ca="1">SUMIF('UC BMW 2026'!$B$5:$B$81,B49,'UC BMW 2026'!$Z$5:$Z$72)</f>
        <v>0</v>
      </c>
      <c r="AK49" s="24">
        <f>IFERROR(INDEX([2]BEV!$C$10:$O$68,
      MATCH(B49,[2]BEV!$B$10:$B$68,0),
      MATCH("NOVIEMBRE",[2]BEV!$C$9:$O$9,0)),
   0)-IF(B49=100873,
   IFERROR(VLOOKUP("NOVIEMBRE",[2]BEV!$B$80:$C$93,2,0),
      0),
   0)</f>
        <v>0</v>
      </c>
      <c r="AL49" s="284">
        <f t="shared" ref="AL49:AL56" ca="1" si="94">IFERROR(AK49/AJ49,0)</f>
        <v>0</v>
      </c>
      <c r="AM49" s="21">
        <f ca="1">SUMIF('UC BMW 2026'!$B$5:$B$81,B49,'UC BMW 2026'!$AB$5:$AB$72)</f>
        <v>0</v>
      </c>
      <c r="AN49" s="24">
        <f>IFERROR(INDEX([2]BEV!$C$10:$O$68,
      MATCH(B49,[2]BEV!$B$10:$B$68,0),
      MATCH("DICIEMBRE",[2]BEV!$C$9:$O$9,0)),
   0)-IF(B49=100873,
   IFERROR(VLOOKUP("DICIEMBRE",[2]BEV!$B$80:$C$93,2,0),
      0),
   0)</f>
        <v>0</v>
      </c>
      <c r="AO49" s="284">
        <f t="shared" ref="AO49:AO56" ca="1" si="95">IFERROR(AN49/AM49,0)</f>
        <v>0</v>
      </c>
      <c r="AP49" s="34">
        <f t="shared" ref="AP49:AQ56" ca="1" si="96">IFERROR(IF($AP$4="ENERO",F49,IF($AP$4="FEBRERO",F49+I49,IF($AP$4="MARZO",F49+I49+L49,IF($AP$4="ABRIL",F49+I49+L49+O49,IF($AP$4="MAYO",F49+I49+L49+O49+R49,IF($AP$4="JUNIO",F49+I49+L49+O49+R49+U49,IF($AP$4="JULIO",F49+I49+L49+O49+R49+U49+X49,IF($AP$4="AGOSTO",F49+I49+L49+O49+R49+U49+X49+AA49,IF($AP$4="SEPTIEMBRE",F49+I49+L49+O49+R49+U49+X49+AA49+AD49,IF($AP$4="OCTUBRE",F49+I49+L49+O49+R49+U49+X49+AA49+AD49+AG49,IF($AP$4="NOVIEMBRE",F49+I49+L49+O49+R49+U49+X49+AA49+AD49+AG49+AJ49,IF($AP$4="DICIEMBRE",F49+I49+L49+O49+R49+U49+X49+AA49+AD49+AG49+AJ49+AM49,"")))))))))))),0)</f>
        <v>27</v>
      </c>
      <c r="AQ49" s="18">
        <f t="shared" si="96"/>
        <v>29</v>
      </c>
      <c r="AR49" s="186">
        <f t="shared" ref="AR49:AR56" ca="1" si="97">IFERROR(AQ49/AP49,0)</f>
        <v>1.0740740740740742</v>
      </c>
      <c r="AS49" s="34">
        <f t="shared" ref="AS49:AT56" ca="1" si="98">IFERROR(SUM(AM49,AJ49,AG49,AD49,AA49,X49,U49,R49,O49,L49,I49,F49),0)</f>
        <v>27</v>
      </c>
      <c r="AT49" s="18">
        <f t="shared" si="98"/>
        <v>29</v>
      </c>
      <c r="AU49" s="186">
        <f t="shared" ref="AU49:AU56" ca="1" si="99">IFERROR(AT49/AS49,0)</f>
        <v>1.0740740740740742</v>
      </c>
      <c r="AV49" s="25"/>
      <c r="AW49" s="27"/>
      <c r="AX49" s="289"/>
      <c r="AY49" s="151"/>
      <c r="AZ49" s="281"/>
      <c r="BA49" s="27"/>
      <c r="BB49" s="186"/>
      <c r="BC49" s="34">
        <f t="shared" ref="BC49:BD56" ca="1" si="100">IFERROR(IF($BC$5="S 1",F49+I49+L49+O49+R49+U49,
IF($BC$5="S 2",X49+AA49+AD49+AG49+AJ49+AM49,0)),0)</f>
        <v>27</v>
      </c>
      <c r="BD49" s="18">
        <f t="shared" si="100"/>
        <v>29</v>
      </c>
      <c r="BE49" s="187">
        <f t="shared" ref="BE49:BE56" ca="1" si="101">IFERROR(BD49/BC49,0)</f>
        <v>1.0740740740740742</v>
      </c>
      <c r="BF49" s="34">
        <f t="shared" ref="BF49:BG54" ca="1" si="102">IFERROR(IF($BF$5="S 1",F49+I49+L49+O49+R49+U49,
IF($BF$5="S 2",X49+AA49+AD49+AG49+AJ49+AM49,0)),0)</f>
        <v>0</v>
      </c>
      <c r="BG49" s="18">
        <f t="shared" si="102"/>
        <v>0</v>
      </c>
      <c r="BH49" s="187">
        <f t="shared" ref="BH49:BH56" ca="1" si="103">IFERROR(BG49/BF49,0)</f>
        <v>0</v>
      </c>
      <c r="BI49" s="4">
        <v>1</v>
      </c>
      <c r="BK49" s="4">
        <f ca="1"/>
        <v>60</v>
      </c>
      <c r="BL49" s="4">
        <v>58</v>
      </c>
      <c r="BM49" s="508">
        <f ca="1"/>
        <v>0.96330275229357798</v>
      </c>
      <c r="BO49" s="15">
        <f t="shared" ref="BO49:BO54" ca="1" si="104">SUM(O49,R49,U49)</f>
        <v>14</v>
      </c>
      <c r="BP49" s="15">
        <f t="shared" ref="BP49:BP54" si="105">SUM(V49,S49,P49)</f>
        <v>17</v>
      </c>
    </row>
    <row r="50" spans="1:68" s="4" customFormat="1" ht="15" customHeight="1" x14ac:dyDescent="0.3">
      <c r="A50" s="4">
        <f>_xlfn.XLOOKUP(B50,'WHOLESALE BMW 2026'!$B$7:$B$67,'WHOLESALE BMW 2026'!$A$7:$A$67)</f>
        <v>8</v>
      </c>
      <c r="B50" s="8">
        <v>100002</v>
      </c>
      <c r="C50" s="369" t="s">
        <v>61</v>
      </c>
      <c r="D50" s="125"/>
      <c r="E50" s="309" t="s">
        <v>96</v>
      </c>
      <c r="F50" s="21">
        <f ca="1">SUMIF('UC BMW 2026'!$B$5:$B$81,B50,'UC BMW 2026'!$F$5:$F$72)</f>
        <v>19</v>
      </c>
      <c r="G50" s="24">
        <f>IFERROR(INDEX([2]BEV!$C$10:$O$68,
      MATCH(B50,[2]BEV!$B$10:$B$68,0),
      MATCH("ENERO",[2]BEV!$C$9:$O$9,0)),
   0)-IF(B50=100873,
   IFERROR(VLOOKUP("ENERO",[2]BEV!$B$80:$C$93,2,0),
      0),
   0)</f>
        <v>19</v>
      </c>
      <c r="H50" s="285">
        <f t="shared" ca="1" si="84"/>
        <v>1</v>
      </c>
      <c r="I50" s="21">
        <f ca="1">SUMIF('UC BMW 2026'!$B$5:$B$81,B50,'UC BMW 2026'!$H$5:$H$72)</f>
        <v>19</v>
      </c>
      <c r="J50" s="24">
        <f>IFERROR(INDEX([2]BEV!$C$10:$O$68,
      MATCH(B50,[2]BEV!$B$10:$B$68,0),
      MATCH("FEBRERO",[2]BEV!$C$9:$O$9,0)),
   0)-IF(B50=100873,
   IFERROR(VLOOKUP("FEBRERO",[2]BEV!$B$80:$C$93,2,0),
      0),
   0)</f>
        <v>17</v>
      </c>
      <c r="K50" s="285">
        <f t="shared" ca="1" si="85"/>
        <v>0.89473684210526316</v>
      </c>
      <c r="L50" s="21">
        <f ca="1">SUMIF('UC BMW 2026'!$B$5:$B$81,B50,'UC BMW 2026'!$J$5:$J$72)</f>
        <v>19</v>
      </c>
      <c r="M50" s="24">
        <f>IFERROR(INDEX([2]BEV!$C$10:$O$68,
      MATCH(B50,[2]BEV!$B$10:$B$68,0),
      MATCH("MARZO",[2]BEV!$C$9:$O$9,0)),
   0)-IF(B50=100873,
   IFERROR(VLOOKUP("MARZO",[2]BEV!$B$80:$C$93,2,0),
      0),
   0)</f>
        <v>20</v>
      </c>
      <c r="N50" s="285">
        <f t="shared" ca="1" si="86"/>
        <v>1.0526315789473684</v>
      </c>
      <c r="O50" s="21">
        <f ca="1">SUMIF('UC BMW 2026'!$B$5:$B$81,B50,'UC BMW 2026'!$L$5:$L$72)</f>
        <v>19</v>
      </c>
      <c r="P50" s="24">
        <f>IFERROR(INDEX([2]BEV!$C$10:$O$68,
      MATCH(B50,[2]BEV!$B$10:$B$68,0),
      MATCH("ABRIL",[2]BEV!$C$9:$O$9,0)),
   0)-IF(B50=100873,
   IFERROR(VLOOKUP("ABRIL",[2]BEV!$B$80:$C$93,2,0),
      0),
   0)</f>
        <v>18</v>
      </c>
      <c r="Q50" s="285">
        <f t="shared" ca="1" si="87"/>
        <v>0.94736842105263153</v>
      </c>
      <c r="R50" s="21">
        <f ca="1">SUMIF('UC BMW 2026'!$B$5:$B$81,B50,'UC BMW 2026'!$N$5:$N$72)</f>
        <v>19</v>
      </c>
      <c r="S50" s="24">
        <f>IFERROR(INDEX([2]BEV!$C$10:$O$68,
      MATCH(B50,[2]BEV!$B$10:$B$68,0),
      MATCH("MAYO",[2]BEV!$C$9:$O$9,0)),
   0)-IF(B50=100873,
   IFERROR(VLOOKUP("MAYO",[2]BEV!$B$80:$C$93,2,0),
      0),
   0)</f>
        <v>16</v>
      </c>
      <c r="T50" s="285">
        <f t="shared" ca="1" si="88"/>
        <v>0.84210526315789469</v>
      </c>
      <c r="U50" s="21">
        <f ca="1">SUMIF('UC BMW 2026'!$B$5:$B$81,B50,'UC BMW 2026'!$P$5:$P$72)</f>
        <v>20</v>
      </c>
      <c r="V50" s="24">
        <f>IFERROR(INDEX([2]BEV!$C$10:$O$68,
      MATCH(B50,[2]BEV!$B$10:$B$68,0),
      MATCH("JUNIO",[2]BEV!$C$9:$O$9,0)),
   0)-IF(B50=100873,
   IFERROR(VLOOKUP("JUNIO",[2]BEV!$B$80:$C$93,2,0),
      0),
   0)</f>
        <v>18</v>
      </c>
      <c r="W50" s="285">
        <f t="shared" ca="1" si="89"/>
        <v>0.9</v>
      </c>
      <c r="X50" s="21">
        <f ca="1">SUMIF('UC BMW 2026'!$B$5:$B$81,B50,'UC BMW 2026'!$R$5:$R$72)</f>
        <v>0</v>
      </c>
      <c r="Y50" s="24">
        <f>IFERROR(INDEX([2]BEV!$C$10:$O$68,
      MATCH(B50,[2]BEV!$B$10:$B$68,0),
      MATCH("JULIO",[2]BEV!$C$9:$O$9,0)),
   0)-IF(B50=100873,
   IFERROR(VLOOKUP("JULIO",[2]BEV!$B$80:$C$93,2,0),
      0),
   0)</f>
        <v>0</v>
      </c>
      <c r="Z50" s="285">
        <f t="shared" ca="1" si="90"/>
        <v>0</v>
      </c>
      <c r="AA50" s="21">
        <f ca="1">SUMIF('UC BMW 2026'!$B$5:$B$81,B50,'UC BMW 2026'!$T$5:$T$72)</f>
        <v>0</v>
      </c>
      <c r="AB50" s="24">
        <f>IFERROR(INDEX([2]BEV!$C$10:$O$68,
      MATCH(B50,[2]BEV!$B$10:$B$68,0),
      MATCH("AGOSTO",[2]BEV!$C$9:$O$9,0)),
   0)-IF(B50=100873,
   IFERROR(VLOOKUP("AGOSTO",[2]BEV!$B$80:$C$93,2,0),
      0),
   0)</f>
        <v>0</v>
      </c>
      <c r="AC50" s="285">
        <f t="shared" ca="1" si="91"/>
        <v>0</v>
      </c>
      <c r="AD50" s="21">
        <f ca="1">SUMIF('UC BMW 2026'!$B$5:$B$81,B50,'UC BMW 2026'!$V$5:$V$72)</f>
        <v>0</v>
      </c>
      <c r="AE50" s="24">
        <f>IFERROR(INDEX([2]BEV!$C$10:$O$68,
      MATCH(B50,[2]BEV!$B$10:$B$68,0),
      MATCH("SEPTIEMBRE",[2]BEV!$C$9:$O$9,0)),
   0)-IF(B50=100873,
   IFERROR(VLOOKUP("SEPTIEMBRE",[2]BEV!$B$80:$C$93,2,0),
      0),
   0)</f>
        <v>0</v>
      </c>
      <c r="AF50" s="285">
        <f t="shared" ca="1" si="92"/>
        <v>0</v>
      </c>
      <c r="AG50" s="21">
        <f ca="1">SUMIF('UC BMW 2026'!$B$5:$B$81,B50,'UC BMW 2026'!$X$5:$X$72)</f>
        <v>0</v>
      </c>
      <c r="AH50" s="24">
        <f>IFERROR(INDEX([2]BEV!$C$10:$O$68,
      MATCH(B50,[2]BEV!$B$10:$B$68,0),
      MATCH("OCTUBRE",[2]BEV!$C$9:$O$9,0)),
   0)-IF(B50=100873,
   IFERROR(VLOOKUP("OCTUBRE",[2]BEV!$B$80:$C$93,2,0),
      0),
   0)</f>
        <v>0</v>
      </c>
      <c r="AI50" s="285">
        <f t="shared" ca="1" si="93"/>
        <v>0</v>
      </c>
      <c r="AJ50" s="21">
        <f ca="1">SUMIF('UC BMW 2026'!$B$5:$B$81,B50,'UC BMW 2026'!$Z$5:$Z$72)</f>
        <v>0</v>
      </c>
      <c r="AK50" s="24">
        <f>IFERROR(INDEX([2]BEV!$C$10:$O$68,
      MATCH(B50,[2]BEV!$B$10:$B$68,0),
      MATCH("NOVIEMBRE",[2]BEV!$C$9:$O$9,0)),
   0)-IF(B50=100873,
   IFERROR(VLOOKUP("NOVIEMBRE",[2]BEV!$B$80:$C$93,2,0),
      0),
   0)</f>
        <v>0</v>
      </c>
      <c r="AL50" s="285">
        <f t="shared" ca="1" si="94"/>
        <v>0</v>
      </c>
      <c r="AM50" s="21">
        <f ca="1">SUMIF('UC BMW 2026'!$B$5:$B$81,B50,'UC BMW 2026'!$AB$5:$AB$72)</f>
        <v>0</v>
      </c>
      <c r="AN50" s="24">
        <f>IFERROR(INDEX([2]BEV!$C$10:$O$68,
      MATCH(B50,[2]BEV!$B$10:$B$68,0),
      MATCH("DICIEMBRE",[2]BEV!$C$9:$O$9,0)),
   0)-IF(B50=100873,
   IFERROR(VLOOKUP("DICIEMBRE",[2]BEV!$B$80:$C$93,2,0),
      0),
   0)</f>
        <v>0</v>
      </c>
      <c r="AO50" s="285">
        <f t="shared" ca="1" si="95"/>
        <v>0</v>
      </c>
      <c r="AP50" s="21">
        <f t="shared" ca="1" si="96"/>
        <v>115</v>
      </c>
      <c r="AQ50" s="22">
        <f t="shared" si="96"/>
        <v>108</v>
      </c>
      <c r="AR50" s="129">
        <f t="shared" ca="1" si="97"/>
        <v>0.93913043478260871</v>
      </c>
      <c r="AS50" s="21">
        <f t="shared" ca="1" si="98"/>
        <v>115</v>
      </c>
      <c r="AT50" s="22">
        <f t="shared" si="98"/>
        <v>108</v>
      </c>
      <c r="AU50" s="129">
        <f t="shared" ca="1" si="99"/>
        <v>0.93913043478260871</v>
      </c>
      <c r="AV50" s="25"/>
      <c r="AW50" s="27"/>
      <c r="AX50" s="287"/>
      <c r="AY50" s="291"/>
      <c r="AZ50" s="287"/>
      <c r="BA50" s="27"/>
      <c r="BB50" s="129"/>
      <c r="BC50" s="21">
        <f t="shared" ca="1" si="100"/>
        <v>115</v>
      </c>
      <c r="BD50" s="22">
        <f t="shared" si="100"/>
        <v>108</v>
      </c>
      <c r="BE50" s="130">
        <f t="shared" ca="1" si="101"/>
        <v>0.93913043478260871</v>
      </c>
      <c r="BF50" s="34">
        <f t="shared" ca="1" si="102"/>
        <v>0</v>
      </c>
      <c r="BG50" s="22">
        <f t="shared" si="102"/>
        <v>0</v>
      </c>
      <c r="BH50" s="130">
        <f t="shared" ca="1" si="103"/>
        <v>0</v>
      </c>
      <c r="BI50" s="4">
        <v>1</v>
      </c>
      <c r="BK50" s="4">
        <f ca="1"/>
        <v>60</v>
      </c>
      <c r="BL50" s="4">
        <v>58</v>
      </c>
      <c r="BM50" s="508">
        <f ca="1"/>
        <v>0.93913043478260871</v>
      </c>
      <c r="BO50" s="15">
        <f t="shared" ca="1" si="104"/>
        <v>58</v>
      </c>
      <c r="BP50" s="15">
        <f t="shared" si="105"/>
        <v>52</v>
      </c>
    </row>
    <row r="51" spans="1:68" s="4" customFormat="1" ht="15" customHeight="1" x14ac:dyDescent="0.3">
      <c r="A51" s="4">
        <f>_xlfn.XLOOKUP(B51,'WHOLESALE BMW 2026'!$B$7:$B$67,'WHOLESALE BMW 2026'!$A$7:$A$67)</f>
        <v>8</v>
      </c>
      <c r="B51" s="8">
        <v>100062</v>
      </c>
      <c r="C51" s="369" t="s">
        <v>62</v>
      </c>
      <c r="D51" s="125"/>
      <c r="E51" s="309" t="s">
        <v>97</v>
      </c>
      <c r="F51" s="21">
        <f ca="1">SUMIF('UC BMW 2026'!$B$5:$B$81,B51,'UC BMW 2026'!$F$5:$F$72)</f>
        <v>39</v>
      </c>
      <c r="G51" s="24">
        <f>IFERROR(INDEX([2]BEV!$C$10:$O$68,
      MATCH(B51,[2]BEV!$B$10:$B$68,0),
      MATCH("ENERO",[2]BEV!$C$9:$O$9,0)),
   0)-IF(B51=100873,
   IFERROR(VLOOKUP("ENERO",[2]BEV!$B$80:$C$93,2,0),
      0),
   0)</f>
        <v>20</v>
      </c>
      <c r="H51" s="282">
        <f t="shared" ca="1" si="84"/>
        <v>0.51282051282051277</v>
      </c>
      <c r="I51" s="21">
        <f ca="1">SUMIF('UC BMW 2026'!$B$5:$B$81,B51,'UC BMW 2026'!$H$5:$H$72)</f>
        <v>39</v>
      </c>
      <c r="J51" s="24">
        <f>IFERROR(INDEX([2]BEV!$C$10:$O$68,
      MATCH(B51,[2]BEV!$B$10:$B$68,0),
      MATCH("FEBRERO",[2]BEV!$C$9:$O$9,0)),
   0)-IF(B51=100873,
   IFERROR(VLOOKUP("FEBRERO",[2]BEV!$B$80:$C$93,2,0),
      0),
   0)</f>
        <v>33</v>
      </c>
      <c r="K51" s="282">
        <f t="shared" ca="1" si="85"/>
        <v>0.84615384615384615</v>
      </c>
      <c r="L51" s="21">
        <f ca="1">SUMIF('UC BMW 2026'!$B$5:$B$81,B51,'UC BMW 2026'!$J$5:$J$72)</f>
        <v>39</v>
      </c>
      <c r="M51" s="24">
        <f>IFERROR(INDEX([2]BEV!$C$10:$O$68,
      MATCH(B51,[2]BEV!$B$10:$B$68,0),
      MATCH("MARZO",[2]BEV!$C$9:$O$9,0)),
   0)-IF(B51=100873,
   IFERROR(VLOOKUP("MARZO",[2]BEV!$B$80:$C$93,2,0),
      0),
   0)</f>
        <v>46</v>
      </c>
      <c r="N51" s="282">
        <f t="shared" ca="1" si="86"/>
        <v>1.1794871794871795</v>
      </c>
      <c r="O51" s="21">
        <f ca="1">SUMIF('UC BMW 2026'!$B$5:$B$81,B51,'UC BMW 2026'!$L$5:$L$72)</f>
        <v>39</v>
      </c>
      <c r="P51" s="24">
        <f>IFERROR(INDEX([2]BEV!$C$10:$O$68,
      MATCH(B51,[2]BEV!$B$10:$B$68,0),
      MATCH("ABRIL",[2]BEV!$C$9:$O$9,0)),
   0)-IF(B51=100873,
   IFERROR(VLOOKUP("ABRIL",[2]BEV!$B$80:$C$93,2,0),
      0),
   0)</f>
        <v>32</v>
      </c>
      <c r="Q51" s="282">
        <f t="shared" ca="1" si="87"/>
        <v>0.82051282051282048</v>
      </c>
      <c r="R51" s="21">
        <f ca="1">SUMIF('UC BMW 2026'!$B$5:$B$81,B51,'UC BMW 2026'!$N$5:$N$72)</f>
        <v>39</v>
      </c>
      <c r="S51" s="24">
        <f>IFERROR(INDEX([2]BEV!$C$10:$O$68,
      MATCH(B51,[2]BEV!$B$10:$B$68,0),
      MATCH("MAYO",[2]BEV!$C$9:$O$9,0)),
   0)-IF(B51=100873,
   IFERROR(VLOOKUP("MAYO",[2]BEV!$B$80:$C$93,2,0),
      0),
   0)</f>
        <v>45</v>
      </c>
      <c r="T51" s="282">
        <f t="shared" ca="1" si="88"/>
        <v>1.1538461538461537</v>
      </c>
      <c r="U51" s="21">
        <f ca="1">SUMIF('UC BMW 2026'!$B$5:$B$81,B51,'UC BMW 2026'!$P$5:$P$72)</f>
        <v>39</v>
      </c>
      <c r="V51" s="24">
        <f>IFERROR(INDEX([2]BEV!$C$10:$O$68,
      MATCH(B51,[2]BEV!$B$10:$B$68,0),
      MATCH("JUNIO",[2]BEV!$C$9:$O$9,0)),
   0)-IF(B51=100873,
   IFERROR(VLOOKUP("JUNIO",[2]BEV!$B$80:$C$93,2,0),
      0),
   0)</f>
        <v>88</v>
      </c>
      <c r="W51" s="282">
        <f t="shared" ca="1" si="89"/>
        <v>2.2564102564102564</v>
      </c>
      <c r="X51" s="21">
        <f ca="1">SUMIF('UC BMW 2026'!$B$5:$B$81,B51,'UC BMW 2026'!$R$5:$R$72)</f>
        <v>0</v>
      </c>
      <c r="Y51" s="24">
        <f>IFERROR(INDEX([2]BEV!$C$10:$O$68,
      MATCH(B51,[2]BEV!$B$10:$B$68,0),
      MATCH("JULIO",[2]BEV!$C$9:$O$9,0)),
   0)-IF(B51=100873,
   IFERROR(VLOOKUP("JULIO",[2]BEV!$B$80:$C$93,2,0),
      0),
   0)</f>
        <v>0</v>
      </c>
      <c r="Z51" s="282">
        <f t="shared" ca="1" si="90"/>
        <v>0</v>
      </c>
      <c r="AA51" s="21">
        <f ca="1">SUMIF('UC BMW 2026'!$B$5:$B$81,B51,'UC BMW 2026'!$T$5:$T$72)</f>
        <v>0</v>
      </c>
      <c r="AB51" s="24">
        <f>IFERROR(INDEX([2]BEV!$C$10:$O$68,
      MATCH(B51,[2]BEV!$B$10:$B$68,0),
      MATCH("AGOSTO",[2]BEV!$C$9:$O$9,0)),
   0)-IF(B51=100873,
   IFERROR(VLOOKUP("AGOSTO",[2]BEV!$B$80:$C$93,2,0),
      0),
   0)</f>
        <v>0</v>
      </c>
      <c r="AC51" s="282">
        <f t="shared" ca="1" si="91"/>
        <v>0</v>
      </c>
      <c r="AD51" s="21">
        <f ca="1">SUMIF('UC BMW 2026'!$B$5:$B$81,B51,'UC BMW 2026'!$V$5:$V$72)</f>
        <v>0</v>
      </c>
      <c r="AE51" s="24">
        <f>IFERROR(INDEX([2]BEV!$C$10:$O$68,
      MATCH(B51,[2]BEV!$B$10:$B$68,0),
      MATCH("SEPTIEMBRE",[2]BEV!$C$9:$O$9,0)),
   0)-IF(B51=100873,
   IFERROR(VLOOKUP("SEPTIEMBRE",[2]BEV!$B$80:$C$93,2,0),
      0),
   0)</f>
        <v>0</v>
      </c>
      <c r="AF51" s="282">
        <f t="shared" ca="1" si="92"/>
        <v>0</v>
      </c>
      <c r="AG51" s="21">
        <f ca="1">SUMIF('UC BMW 2026'!$B$5:$B$81,B51,'UC BMW 2026'!$X$5:$X$72)</f>
        <v>0</v>
      </c>
      <c r="AH51" s="24">
        <f>IFERROR(INDEX([2]BEV!$C$10:$O$68,
      MATCH(B51,[2]BEV!$B$10:$B$68,0),
      MATCH("OCTUBRE",[2]BEV!$C$9:$O$9,0)),
   0)-IF(B51=100873,
   IFERROR(VLOOKUP("OCTUBRE",[2]BEV!$B$80:$C$93,2,0),
      0),
   0)</f>
        <v>0</v>
      </c>
      <c r="AI51" s="282">
        <f t="shared" ca="1" si="93"/>
        <v>0</v>
      </c>
      <c r="AJ51" s="21">
        <f ca="1">SUMIF('UC BMW 2026'!$B$5:$B$81,B51,'UC BMW 2026'!$Z$5:$Z$72)</f>
        <v>0</v>
      </c>
      <c r="AK51" s="24">
        <f>IFERROR(INDEX([2]BEV!$C$10:$O$68,
      MATCH(B51,[2]BEV!$B$10:$B$68,0),
      MATCH("NOVIEMBRE",[2]BEV!$C$9:$O$9,0)),
   0)-IF(B51=100873,
   IFERROR(VLOOKUP("NOVIEMBRE",[2]BEV!$B$80:$C$93,2,0),
      0),
   0)</f>
        <v>0</v>
      </c>
      <c r="AL51" s="282">
        <f t="shared" ca="1" si="94"/>
        <v>0</v>
      </c>
      <c r="AM51" s="21">
        <f ca="1">SUMIF('UC BMW 2026'!$B$5:$B$81,B51,'UC BMW 2026'!$AB$5:$AB$72)</f>
        <v>0</v>
      </c>
      <c r="AN51" s="24">
        <f>IFERROR(INDEX([2]BEV!$C$10:$O$68,
      MATCH(B51,[2]BEV!$B$10:$B$68,0),
      MATCH("DICIEMBRE",[2]BEV!$C$9:$O$9,0)),
   0)-IF(B51=100873,
   IFERROR(VLOOKUP("DICIEMBRE",[2]BEV!$B$80:$C$93,2,0),
      0),
   0)</f>
        <v>0</v>
      </c>
      <c r="AO51" s="282">
        <f t="shared" ca="1" si="95"/>
        <v>0</v>
      </c>
      <c r="AP51" s="21">
        <f t="shared" ca="1" si="96"/>
        <v>234</v>
      </c>
      <c r="AQ51" s="24">
        <f t="shared" si="96"/>
        <v>264</v>
      </c>
      <c r="AR51" s="129">
        <f t="shared" ca="1" si="97"/>
        <v>1.1282051282051282</v>
      </c>
      <c r="AS51" s="21">
        <f t="shared" ca="1" si="98"/>
        <v>234</v>
      </c>
      <c r="AT51" s="24">
        <f t="shared" si="98"/>
        <v>264</v>
      </c>
      <c r="AU51" s="129">
        <f t="shared" ca="1" si="99"/>
        <v>1.1282051282051282</v>
      </c>
      <c r="AV51" s="25"/>
      <c r="AW51" s="27"/>
      <c r="AX51" s="287"/>
      <c r="AY51" s="294"/>
      <c r="AZ51" s="287"/>
      <c r="BA51" s="27"/>
      <c r="BB51" s="129"/>
      <c r="BC51" s="21">
        <f t="shared" ca="1" si="100"/>
        <v>234</v>
      </c>
      <c r="BD51" s="24">
        <f t="shared" si="100"/>
        <v>264</v>
      </c>
      <c r="BE51" s="130">
        <f t="shared" ca="1" si="101"/>
        <v>1.1282051282051282</v>
      </c>
      <c r="BF51" s="34">
        <f t="shared" ca="1" si="102"/>
        <v>0</v>
      </c>
      <c r="BG51" s="24">
        <f t="shared" si="102"/>
        <v>0</v>
      </c>
      <c r="BH51" s="130">
        <f t="shared" ca="1" si="103"/>
        <v>0</v>
      </c>
      <c r="BI51" s="4">
        <v>1</v>
      </c>
      <c r="BK51" s="4">
        <f ca="1"/>
        <v>45</v>
      </c>
      <c r="BL51" s="4">
        <v>55</v>
      </c>
      <c r="BM51" s="508">
        <f ca="1"/>
        <v>0.88095238095238093</v>
      </c>
      <c r="BO51" s="15">
        <f t="shared" ca="1" si="104"/>
        <v>117</v>
      </c>
      <c r="BP51" s="15">
        <f t="shared" si="105"/>
        <v>165</v>
      </c>
    </row>
    <row r="52" spans="1:68" s="4" customFormat="1" ht="15" customHeight="1" x14ac:dyDescent="0.3">
      <c r="A52" s="4">
        <f>_xlfn.XLOOKUP(B52,'WHOLESALE BMW 2026'!$B$7:$B$67,'WHOLESALE BMW 2026'!$A$7:$A$67)</f>
        <v>8</v>
      </c>
      <c r="B52" s="8">
        <v>100206</v>
      </c>
      <c r="C52" s="369" t="s">
        <v>63</v>
      </c>
      <c r="D52" s="125"/>
      <c r="E52" s="309" t="s">
        <v>97</v>
      </c>
      <c r="F52" s="21">
        <f ca="1">SUMIF('UC BMW 2026'!$B$5:$B$81,B52,'UC BMW 2026'!$F$5:$F$72)</f>
        <v>25</v>
      </c>
      <c r="G52" s="24">
        <f>IFERROR(INDEX([2]BEV!$C$10:$O$68,
      MATCH(B52,[2]BEV!$B$10:$B$68,0),
      MATCH("ENERO",[2]BEV!$C$9:$O$9,0)),
   0)-IF(B52=100873,
   IFERROR(VLOOKUP("ENERO",[2]BEV!$B$80:$C$93,2,0),
      0),
   0)</f>
        <v>25</v>
      </c>
      <c r="H52" s="282">
        <f t="shared" ca="1" si="84"/>
        <v>1</v>
      </c>
      <c r="I52" s="21">
        <f ca="1">SUMIF('UC BMW 2026'!$B$5:$B$81,B52,'UC BMW 2026'!$H$5:$H$72)</f>
        <v>25</v>
      </c>
      <c r="J52" s="24">
        <f>IFERROR(INDEX([2]BEV!$C$10:$O$68,
      MATCH(B52,[2]BEV!$B$10:$B$68,0),
      MATCH("FEBRERO",[2]BEV!$C$9:$O$9,0)),
   0)-IF(B52=100873,
   IFERROR(VLOOKUP("FEBRERO",[2]BEV!$B$80:$C$93,2,0),
      0),
   0)</f>
        <v>44</v>
      </c>
      <c r="K52" s="282">
        <f t="shared" ca="1" si="85"/>
        <v>1.76</v>
      </c>
      <c r="L52" s="21">
        <f ca="1">SUMIF('UC BMW 2026'!$B$5:$B$81,B52,'UC BMW 2026'!$J$5:$J$72)</f>
        <v>25</v>
      </c>
      <c r="M52" s="24">
        <f>IFERROR(INDEX([2]BEV!$C$10:$O$68,
      MATCH(B52,[2]BEV!$B$10:$B$68,0),
      MATCH("MARZO",[2]BEV!$C$9:$O$9,0)),
   0)-IF(B52=100873,
   IFERROR(VLOOKUP("MARZO",[2]BEV!$B$80:$C$93,2,0),
      0),
   0)</f>
        <v>37</v>
      </c>
      <c r="N52" s="282">
        <f t="shared" ca="1" si="86"/>
        <v>1.48</v>
      </c>
      <c r="O52" s="21">
        <f ca="1">SUMIF('UC BMW 2026'!$B$5:$B$81,B52,'UC BMW 2026'!$L$5:$L$72)</f>
        <v>25</v>
      </c>
      <c r="P52" s="24">
        <f>IFERROR(INDEX([2]BEV!$C$10:$O$68,
      MATCH(B52,[2]BEV!$B$10:$B$68,0),
      MATCH("ABRIL",[2]BEV!$C$9:$O$9,0)),
   0)-IF(B52=100873,
   IFERROR(VLOOKUP("ABRIL",[2]BEV!$B$80:$C$93,2,0),
      0),
   0)</f>
        <v>36</v>
      </c>
      <c r="Q52" s="282">
        <f t="shared" ca="1" si="87"/>
        <v>1.44</v>
      </c>
      <c r="R52" s="21">
        <f ca="1">SUMIF('UC BMW 2026'!$B$5:$B$81,B52,'UC BMW 2026'!$N$5:$N$72)</f>
        <v>25</v>
      </c>
      <c r="S52" s="24">
        <f>IFERROR(INDEX([2]BEV!$C$10:$O$68,
      MATCH(B52,[2]BEV!$B$10:$B$68,0),
      MATCH("MAYO",[2]BEV!$C$9:$O$9,0)),
   0)-IF(B52=100873,
   IFERROR(VLOOKUP("MAYO",[2]BEV!$B$80:$C$93,2,0),
      0),
   0)</f>
        <v>31</v>
      </c>
      <c r="T52" s="282">
        <f t="shared" ca="1" si="88"/>
        <v>1.24</v>
      </c>
      <c r="U52" s="21">
        <f ca="1">SUMIF('UC BMW 2026'!$B$5:$B$81,B52,'UC BMW 2026'!$P$5:$P$72)</f>
        <v>25</v>
      </c>
      <c r="V52" s="24">
        <f>IFERROR(INDEX([2]BEV!$C$10:$O$68,
      MATCH(B52,[2]BEV!$B$10:$B$68,0),
      MATCH("JUNIO",[2]BEV!$C$9:$O$9,0)),
   0)-IF(B52=100873,
   IFERROR(VLOOKUP("JUNIO",[2]BEV!$B$80:$C$93,2,0),
      0),
   0)</f>
        <v>40</v>
      </c>
      <c r="W52" s="282">
        <f t="shared" ca="1" si="89"/>
        <v>1.6</v>
      </c>
      <c r="X52" s="21">
        <f ca="1">SUMIF('UC BMW 2026'!$B$5:$B$81,B52,'UC BMW 2026'!$R$5:$R$72)</f>
        <v>0</v>
      </c>
      <c r="Y52" s="24">
        <f>IFERROR(INDEX([2]BEV!$C$10:$O$68,
      MATCH(B52,[2]BEV!$B$10:$B$68,0),
      MATCH("JULIO",[2]BEV!$C$9:$O$9,0)),
   0)-IF(B52=100873,
   IFERROR(VLOOKUP("JULIO",[2]BEV!$B$80:$C$93,2,0),
      0),
   0)</f>
        <v>0</v>
      </c>
      <c r="Z52" s="282">
        <f t="shared" ca="1" si="90"/>
        <v>0</v>
      </c>
      <c r="AA52" s="21">
        <f ca="1">SUMIF('UC BMW 2026'!$B$5:$B$81,B52,'UC BMW 2026'!$T$5:$T$72)</f>
        <v>0</v>
      </c>
      <c r="AB52" s="24">
        <f>IFERROR(INDEX([2]BEV!$C$10:$O$68,
      MATCH(B52,[2]BEV!$B$10:$B$68,0),
      MATCH("AGOSTO",[2]BEV!$C$9:$O$9,0)),
   0)-IF(B52=100873,
   IFERROR(VLOOKUP("AGOSTO",[2]BEV!$B$80:$C$93,2,0),
      0),
   0)</f>
        <v>0</v>
      </c>
      <c r="AC52" s="282">
        <f t="shared" ca="1" si="91"/>
        <v>0</v>
      </c>
      <c r="AD52" s="21">
        <f ca="1">SUMIF('UC BMW 2026'!$B$5:$B$81,B52,'UC BMW 2026'!$V$5:$V$72)</f>
        <v>0</v>
      </c>
      <c r="AE52" s="24">
        <f>IFERROR(INDEX([2]BEV!$C$10:$O$68,
      MATCH(B52,[2]BEV!$B$10:$B$68,0),
      MATCH("SEPTIEMBRE",[2]BEV!$C$9:$O$9,0)),
   0)-IF(B52=100873,
   IFERROR(VLOOKUP("SEPTIEMBRE",[2]BEV!$B$80:$C$93,2,0),
      0),
   0)</f>
        <v>0</v>
      </c>
      <c r="AF52" s="282">
        <f t="shared" ca="1" si="92"/>
        <v>0</v>
      </c>
      <c r="AG52" s="21">
        <f ca="1">SUMIF('UC BMW 2026'!$B$5:$B$81,B52,'UC BMW 2026'!$X$5:$X$72)</f>
        <v>0</v>
      </c>
      <c r="AH52" s="24">
        <f>IFERROR(INDEX([2]BEV!$C$10:$O$68,
      MATCH(B52,[2]BEV!$B$10:$B$68,0),
      MATCH("OCTUBRE",[2]BEV!$C$9:$O$9,0)),
   0)-IF(B52=100873,
   IFERROR(VLOOKUP("OCTUBRE",[2]BEV!$B$80:$C$93,2,0),
      0),
   0)</f>
        <v>0</v>
      </c>
      <c r="AI52" s="282">
        <f t="shared" ca="1" si="93"/>
        <v>0</v>
      </c>
      <c r="AJ52" s="21">
        <f ca="1">SUMIF('UC BMW 2026'!$B$5:$B$81,B52,'UC BMW 2026'!$Z$5:$Z$72)</f>
        <v>0</v>
      </c>
      <c r="AK52" s="24">
        <f>IFERROR(INDEX([2]BEV!$C$10:$O$68,
      MATCH(B52,[2]BEV!$B$10:$B$68,0),
      MATCH("NOVIEMBRE",[2]BEV!$C$9:$O$9,0)),
   0)-IF(B52=100873,
   IFERROR(VLOOKUP("NOVIEMBRE",[2]BEV!$B$80:$C$93,2,0),
      0),
   0)</f>
        <v>0</v>
      </c>
      <c r="AL52" s="282">
        <f t="shared" ca="1" si="94"/>
        <v>0</v>
      </c>
      <c r="AM52" s="21">
        <f ca="1">SUMIF('UC BMW 2026'!$B$5:$B$81,B52,'UC BMW 2026'!$AB$5:$AB$72)</f>
        <v>0</v>
      </c>
      <c r="AN52" s="24">
        <f>IFERROR(INDEX([2]BEV!$C$10:$O$68,
      MATCH(B52,[2]BEV!$B$10:$B$68,0),
      MATCH("DICIEMBRE",[2]BEV!$C$9:$O$9,0)),
   0)-IF(B52=100873,
   IFERROR(VLOOKUP("DICIEMBRE",[2]BEV!$B$80:$C$93,2,0),
      0),
   0)</f>
        <v>0</v>
      </c>
      <c r="AO52" s="282">
        <f t="shared" ca="1" si="95"/>
        <v>0</v>
      </c>
      <c r="AP52" s="21">
        <f t="shared" ca="1" si="96"/>
        <v>150</v>
      </c>
      <c r="AQ52" s="24">
        <f t="shared" si="96"/>
        <v>213</v>
      </c>
      <c r="AR52" s="129">
        <f t="shared" ca="1" si="97"/>
        <v>1.42</v>
      </c>
      <c r="AS52" s="21">
        <f t="shared" ca="1" si="98"/>
        <v>150</v>
      </c>
      <c r="AT52" s="24">
        <f t="shared" si="98"/>
        <v>213</v>
      </c>
      <c r="AU52" s="129">
        <f t="shared" ca="1" si="99"/>
        <v>1.42</v>
      </c>
      <c r="AV52" s="25"/>
      <c r="AW52" s="27"/>
      <c r="AX52" s="287"/>
      <c r="AY52" s="294"/>
      <c r="AZ52" s="287"/>
      <c r="BA52" s="27"/>
      <c r="BB52" s="129"/>
      <c r="BC52" s="21">
        <f t="shared" ca="1" si="100"/>
        <v>150</v>
      </c>
      <c r="BD52" s="24">
        <f t="shared" si="100"/>
        <v>213</v>
      </c>
      <c r="BE52" s="130">
        <f t="shared" ca="1" si="101"/>
        <v>1.42</v>
      </c>
      <c r="BF52" s="34">
        <f t="shared" ca="1" si="102"/>
        <v>0</v>
      </c>
      <c r="BG52" s="24">
        <f t="shared" si="102"/>
        <v>0</v>
      </c>
      <c r="BH52" s="130">
        <f t="shared" ca="1" si="103"/>
        <v>0</v>
      </c>
      <c r="BI52" s="4">
        <v>1</v>
      </c>
      <c r="BK52" s="4">
        <f ca="1"/>
        <v>45</v>
      </c>
      <c r="BL52" s="4">
        <v>54</v>
      </c>
      <c r="BM52" s="508">
        <f ca="1"/>
        <v>0.81463414634146336</v>
      </c>
      <c r="BO52" s="15">
        <f t="shared" ca="1" si="104"/>
        <v>75</v>
      </c>
      <c r="BP52" s="15">
        <f t="shared" si="105"/>
        <v>107</v>
      </c>
    </row>
    <row r="53" spans="1:68" s="4" customFormat="1" ht="15" customHeight="1" x14ac:dyDescent="0.3">
      <c r="A53" s="4">
        <f>_xlfn.XLOOKUP(B53,'WHOLESALE BMW 2026'!$B$7:$B$67,'WHOLESALE BMW 2026'!$A$7:$A$67)</f>
        <v>8</v>
      </c>
      <c r="B53" s="9">
        <v>100394</v>
      </c>
      <c r="C53" s="374" t="s">
        <v>64</v>
      </c>
      <c r="D53" s="125"/>
      <c r="E53" s="309" t="s">
        <v>96</v>
      </c>
      <c r="F53" s="21">
        <f ca="1">SUMIF('UC BMW 2026'!$B$5:$B$81,B53,'UC BMW 2026'!$F$5:$F$72)</f>
        <v>10</v>
      </c>
      <c r="G53" s="24">
        <f>IFERROR(INDEX([2]BEV!$C$10:$O$68,
      MATCH(B53,[2]BEV!$B$10:$B$68,0),
      MATCH("ENERO",[2]BEV!$C$9:$O$9,0)),
   0)-IF(B53=100873,
   IFERROR(VLOOKUP("ENERO",[2]BEV!$B$80:$C$93,2,0),
      0),
   0)</f>
        <v>5</v>
      </c>
      <c r="H53" s="282">
        <f t="shared" ca="1" si="84"/>
        <v>0.5</v>
      </c>
      <c r="I53" s="21">
        <f ca="1">SUMIF('UC BMW 2026'!$B$5:$B$81,B53,'UC BMW 2026'!$H$5:$H$72)</f>
        <v>10</v>
      </c>
      <c r="J53" s="24">
        <f>IFERROR(INDEX([2]BEV!$C$10:$O$68,
      MATCH(B53,[2]BEV!$B$10:$B$68,0),
      MATCH("FEBRERO",[2]BEV!$C$9:$O$9,0)),
   0)-IF(B53=100873,
   IFERROR(VLOOKUP("FEBRERO",[2]BEV!$B$80:$C$93,2,0),
      0),
   0)</f>
        <v>19</v>
      </c>
      <c r="K53" s="282">
        <f t="shared" ca="1" si="85"/>
        <v>1.9</v>
      </c>
      <c r="L53" s="21">
        <f ca="1">SUMIF('UC BMW 2026'!$B$5:$B$81,B53,'UC BMW 2026'!$J$5:$J$72)</f>
        <v>10</v>
      </c>
      <c r="M53" s="24">
        <f>IFERROR(INDEX([2]BEV!$C$10:$O$68,
      MATCH(B53,[2]BEV!$B$10:$B$68,0),
      MATCH("MARZO",[2]BEV!$C$9:$O$9,0)),
   0)-IF(B53=100873,
   IFERROR(VLOOKUP("MARZO",[2]BEV!$B$80:$C$93,2,0),
      0),
   0)</f>
        <v>6</v>
      </c>
      <c r="N53" s="282">
        <f t="shared" ca="1" si="86"/>
        <v>0.6</v>
      </c>
      <c r="O53" s="21">
        <f ca="1">SUMIF('UC BMW 2026'!$B$5:$B$81,B53,'UC BMW 2026'!$L$5:$L$72)</f>
        <v>10</v>
      </c>
      <c r="P53" s="24">
        <f>IFERROR(INDEX([2]BEV!$C$10:$O$68,
      MATCH(B53,[2]BEV!$B$10:$B$68,0),
      MATCH("ABRIL",[2]BEV!$C$9:$O$9,0)),
   0)-IF(B53=100873,
   IFERROR(VLOOKUP("ABRIL",[2]BEV!$B$80:$C$93,2,0),
      0),
   0)</f>
        <v>16</v>
      </c>
      <c r="Q53" s="282">
        <f t="shared" ca="1" si="87"/>
        <v>1.6</v>
      </c>
      <c r="R53" s="21">
        <f ca="1">SUMIF('UC BMW 2026'!$B$5:$B$81,B53,'UC BMW 2026'!$N$5:$N$72)</f>
        <v>10</v>
      </c>
      <c r="S53" s="24">
        <f>IFERROR(INDEX([2]BEV!$C$10:$O$68,
      MATCH(B53,[2]BEV!$B$10:$B$68,0),
      MATCH("MAYO",[2]BEV!$C$9:$O$9,0)),
   0)-IF(B53=100873,
   IFERROR(VLOOKUP("MAYO",[2]BEV!$B$80:$C$93,2,0),
      0),
   0)</f>
        <v>4</v>
      </c>
      <c r="T53" s="282">
        <f t="shared" ca="1" si="88"/>
        <v>0.4</v>
      </c>
      <c r="U53" s="21">
        <f ca="1">SUMIF('UC BMW 2026'!$B$5:$B$81,B53,'UC BMW 2026'!$P$5:$P$72)</f>
        <v>10</v>
      </c>
      <c r="V53" s="24">
        <f>IFERROR(INDEX([2]BEV!$C$10:$O$68,
      MATCH(B53,[2]BEV!$B$10:$B$68,0),
      MATCH("JUNIO",[2]BEV!$C$9:$O$9,0)),
   0)-IF(B53=100873,
   IFERROR(VLOOKUP("JUNIO",[2]BEV!$B$80:$C$93,2,0),
      0),
   0)</f>
        <v>11</v>
      </c>
      <c r="W53" s="282">
        <f t="shared" ca="1" si="89"/>
        <v>1.1000000000000001</v>
      </c>
      <c r="X53" s="21">
        <f ca="1">SUMIF('UC BMW 2026'!$B$5:$B$81,B53,'UC BMW 2026'!$R$5:$R$72)</f>
        <v>0</v>
      </c>
      <c r="Y53" s="24">
        <f>IFERROR(INDEX([2]BEV!$C$10:$O$68,
      MATCH(B53,[2]BEV!$B$10:$B$68,0),
      MATCH("JULIO",[2]BEV!$C$9:$O$9,0)),
   0)-IF(B53=100873,
   IFERROR(VLOOKUP("JULIO",[2]BEV!$B$80:$C$93,2,0),
      0),
   0)</f>
        <v>0</v>
      </c>
      <c r="Z53" s="282">
        <f t="shared" ca="1" si="90"/>
        <v>0</v>
      </c>
      <c r="AA53" s="21">
        <f ca="1">SUMIF('UC BMW 2026'!$B$5:$B$81,B53,'UC BMW 2026'!$T$5:$T$72)</f>
        <v>0</v>
      </c>
      <c r="AB53" s="24">
        <f>IFERROR(INDEX([2]BEV!$C$10:$O$68,
      MATCH(B53,[2]BEV!$B$10:$B$68,0),
      MATCH("AGOSTO",[2]BEV!$C$9:$O$9,0)),
   0)-IF(B53=100873,
   IFERROR(VLOOKUP("AGOSTO",[2]BEV!$B$80:$C$93,2,0),
      0),
   0)</f>
        <v>0</v>
      </c>
      <c r="AC53" s="282">
        <f t="shared" ca="1" si="91"/>
        <v>0</v>
      </c>
      <c r="AD53" s="21">
        <f ca="1">SUMIF('UC BMW 2026'!$B$5:$B$81,B53,'UC BMW 2026'!$V$5:$V$72)</f>
        <v>0</v>
      </c>
      <c r="AE53" s="24">
        <f>IFERROR(INDEX([2]BEV!$C$10:$O$68,
      MATCH(B53,[2]BEV!$B$10:$B$68,0),
      MATCH("SEPTIEMBRE",[2]BEV!$C$9:$O$9,0)),
   0)-IF(B53=100873,
   IFERROR(VLOOKUP("SEPTIEMBRE",[2]BEV!$B$80:$C$93,2,0),
      0),
   0)</f>
        <v>0</v>
      </c>
      <c r="AF53" s="282">
        <f t="shared" ca="1" si="92"/>
        <v>0</v>
      </c>
      <c r="AG53" s="21">
        <f ca="1">SUMIF('UC BMW 2026'!$B$5:$B$81,B53,'UC BMW 2026'!$X$5:$X$72)</f>
        <v>0</v>
      </c>
      <c r="AH53" s="24">
        <f>IFERROR(INDEX([2]BEV!$C$10:$O$68,
      MATCH(B53,[2]BEV!$B$10:$B$68,0),
      MATCH("OCTUBRE",[2]BEV!$C$9:$O$9,0)),
   0)-IF(B53=100873,
   IFERROR(VLOOKUP("OCTUBRE",[2]BEV!$B$80:$C$93,2,0),
      0),
   0)</f>
        <v>0</v>
      </c>
      <c r="AI53" s="282">
        <f t="shared" ca="1" si="93"/>
        <v>0</v>
      </c>
      <c r="AJ53" s="21">
        <f ca="1">SUMIF('UC BMW 2026'!$B$5:$B$81,B53,'UC BMW 2026'!$Z$5:$Z$72)</f>
        <v>0</v>
      </c>
      <c r="AK53" s="24">
        <f>IFERROR(INDEX([2]BEV!$C$10:$O$68,
      MATCH(B53,[2]BEV!$B$10:$B$68,0),
      MATCH("NOVIEMBRE",[2]BEV!$C$9:$O$9,0)),
   0)-IF(B53=100873,
   IFERROR(VLOOKUP("NOVIEMBRE",[2]BEV!$B$80:$C$93,2,0),
      0),
   0)</f>
        <v>0</v>
      </c>
      <c r="AL53" s="282">
        <f t="shared" ca="1" si="94"/>
        <v>0</v>
      </c>
      <c r="AM53" s="21">
        <f ca="1">SUMIF('UC BMW 2026'!$B$5:$B$81,B53,'UC BMW 2026'!$AB$5:$AB$72)</f>
        <v>0</v>
      </c>
      <c r="AN53" s="24">
        <f>IFERROR(INDEX([2]BEV!$C$10:$O$68,
      MATCH(B53,[2]BEV!$B$10:$B$68,0),
      MATCH("DICIEMBRE",[2]BEV!$C$9:$O$9,0)),
   0)-IF(B53=100873,
   IFERROR(VLOOKUP("DICIEMBRE",[2]BEV!$B$80:$C$93,2,0),
      0),
   0)</f>
        <v>0</v>
      </c>
      <c r="AO53" s="282">
        <f t="shared" ca="1" si="95"/>
        <v>0</v>
      </c>
      <c r="AP53" s="21">
        <f t="shared" ca="1" si="96"/>
        <v>60</v>
      </c>
      <c r="AQ53" s="24">
        <f t="shared" si="96"/>
        <v>61</v>
      </c>
      <c r="AR53" s="129">
        <f t="shared" ca="1" si="97"/>
        <v>1.0166666666666666</v>
      </c>
      <c r="AS53" s="21">
        <f t="shared" ca="1" si="98"/>
        <v>60</v>
      </c>
      <c r="AT53" s="24">
        <f t="shared" si="98"/>
        <v>61</v>
      </c>
      <c r="AU53" s="129">
        <f t="shared" ca="1" si="99"/>
        <v>1.0166666666666666</v>
      </c>
      <c r="AV53" s="25"/>
      <c r="AW53" s="27"/>
      <c r="AX53" s="287"/>
      <c r="AY53" s="294"/>
      <c r="AZ53" s="287"/>
      <c r="BA53" s="27"/>
      <c r="BB53" s="129"/>
      <c r="BC53" s="21">
        <f t="shared" ca="1" si="100"/>
        <v>60</v>
      </c>
      <c r="BD53" s="24">
        <f t="shared" si="100"/>
        <v>61</v>
      </c>
      <c r="BE53" s="130">
        <f t="shared" ca="1" si="101"/>
        <v>1.0166666666666666</v>
      </c>
      <c r="BF53" s="34">
        <f t="shared" ca="1" si="102"/>
        <v>0</v>
      </c>
      <c r="BG53" s="24">
        <f t="shared" si="102"/>
        <v>0</v>
      </c>
      <c r="BH53" s="130">
        <f t="shared" ca="1" si="103"/>
        <v>0</v>
      </c>
      <c r="BI53" s="4">
        <v>1</v>
      </c>
      <c r="BK53" s="4">
        <f ca="1"/>
        <v>42</v>
      </c>
      <c r="BL53" s="4">
        <v>50</v>
      </c>
      <c r="BM53" s="4">
        <f ca="1"/>
        <v>0.80882352941176472</v>
      </c>
      <c r="BO53" s="15">
        <f t="shared" ca="1" si="104"/>
        <v>30</v>
      </c>
      <c r="BP53" s="15">
        <f t="shared" si="105"/>
        <v>31</v>
      </c>
    </row>
    <row r="54" spans="1:68" s="4" customFormat="1" ht="15" customHeight="1" thickBot="1" x14ac:dyDescent="0.35">
      <c r="A54" s="4">
        <f>_xlfn.XLOOKUP(B54,'WHOLESALE BMW 2026'!$B$7:$B$67,'WHOLESALE BMW 2026'!$A$7:$A$67)</f>
        <v>8</v>
      </c>
      <c r="B54" s="9">
        <v>100468</v>
      </c>
      <c r="C54" s="374" t="s">
        <v>65</v>
      </c>
      <c r="D54" s="125"/>
      <c r="E54" s="309" t="s">
        <v>97</v>
      </c>
      <c r="F54" s="21">
        <f ca="1">SUMIF('UC BMW 2026'!$B$5:$B$81,B54,'UC BMW 2026'!$F$5:$F$72)</f>
        <v>28</v>
      </c>
      <c r="G54" s="24">
        <f>IFERROR(INDEX([2]BEV!$C$10:$O$68,
      MATCH(B54,[2]BEV!$B$10:$B$68,0),
      MATCH("ENERO",[2]BEV!$C$9:$O$9,0)),
   0)-IF(B54=100873,
   IFERROR(VLOOKUP("ENERO",[2]BEV!$B$80:$C$93,2,0),
      0),
   0)</f>
        <v>44</v>
      </c>
      <c r="H54" s="282">
        <f t="shared" ca="1" si="84"/>
        <v>1.5714285714285714</v>
      </c>
      <c r="I54" s="21">
        <f ca="1">SUMIF('UC BMW 2026'!$B$5:$B$81,B54,'UC BMW 2026'!$H$5:$H$72)</f>
        <v>28</v>
      </c>
      <c r="J54" s="24">
        <f>IFERROR(INDEX([2]BEV!$C$10:$O$68,
      MATCH(B54,[2]BEV!$B$10:$B$68,0),
      MATCH("FEBRERO",[2]BEV!$C$9:$O$9,0)),
   0)-IF(B54=100873,
   IFERROR(VLOOKUP("FEBRERO",[2]BEV!$B$80:$C$93,2,0),
      0),
   0)</f>
        <v>44</v>
      </c>
      <c r="K54" s="282">
        <f t="shared" ca="1" si="85"/>
        <v>1.5714285714285714</v>
      </c>
      <c r="L54" s="21">
        <f ca="1">SUMIF('UC BMW 2026'!$B$5:$B$81,B54,'UC BMW 2026'!$J$5:$J$72)</f>
        <v>29</v>
      </c>
      <c r="M54" s="24">
        <f>IFERROR(INDEX([2]BEV!$C$10:$O$68,
      MATCH(B54,[2]BEV!$B$10:$B$68,0),
      MATCH("MARZO",[2]BEV!$C$9:$O$9,0)),
   0)-IF(B54=100873,
   IFERROR(VLOOKUP("MARZO",[2]BEV!$B$80:$C$93,2,0),
      0),
   0)</f>
        <v>59</v>
      </c>
      <c r="N54" s="282">
        <f t="shared" ca="1" si="86"/>
        <v>2.0344827586206895</v>
      </c>
      <c r="O54" s="21">
        <f ca="1">SUMIF('UC BMW 2026'!$B$5:$B$81,B54,'UC BMW 2026'!$L$5:$L$72)</f>
        <v>28</v>
      </c>
      <c r="P54" s="24">
        <f>IFERROR(INDEX([2]BEV!$C$10:$O$68,
      MATCH(B54,[2]BEV!$B$10:$B$68,0),
      MATCH("ABRIL",[2]BEV!$C$9:$O$9,0)),
   0)-IF(B54=100873,
   IFERROR(VLOOKUP("ABRIL",[2]BEV!$B$80:$C$93,2,0),
      0),
   0)</f>
        <v>43</v>
      </c>
      <c r="Q54" s="282">
        <f t="shared" ca="1" si="87"/>
        <v>1.5357142857142858</v>
      </c>
      <c r="R54" s="21">
        <f ca="1">SUMIF('UC BMW 2026'!$B$5:$B$81,B54,'UC BMW 2026'!$N$5:$N$72)</f>
        <v>29</v>
      </c>
      <c r="S54" s="24">
        <f>IFERROR(INDEX([2]BEV!$C$10:$O$68,
      MATCH(B54,[2]BEV!$B$10:$B$68,0),
      MATCH("MAYO",[2]BEV!$C$9:$O$9,0)),
   0)-IF(B54=100873,
   IFERROR(VLOOKUP("MAYO",[2]BEV!$B$80:$C$93,2,0),
      0),
   0)</f>
        <v>44</v>
      </c>
      <c r="T54" s="282">
        <f t="shared" ca="1" si="88"/>
        <v>1.5172413793103448</v>
      </c>
      <c r="U54" s="21">
        <f ca="1">SUMIF('UC BMW 2026'!$B$5:$B$81,B54,'UC BMW 2026'!$P$5:$P$72)</f>
        <v>29</v>
      </c>
      <c r="V54" s="24">
        <f>IFERROR(INDEX([2]BEV!$C$10:$O$68,
      MATCH(B54,[2]BEV!$B$10:$B$68,0),
      MATCH("JUNIO",[2]BEV!$C$9:$O$9,0)),
   0)-IF(B54=100873,
   IFERROR(VLOOKUP("JUNIO",[2]BEV!$B$80:$C$93,2,0),
      0),
   0)</f>
        <v>48</v>
      </c>
      <c r="W54" s="282">
        <f t="shared" ca="1" si="89"/>
        <v>1.6551724137931034</v>
      </c>
      <c r="X54" s="21">
        <f ca="1">SUMIF('UC BMW 2026'!$B$5:$B$81,B54,'UC BMW 2026'!$R$5:$R$72)</f>
        <v>0</v>
      </c>
      <c r="Y54" s="24">
        <f>IFERROR(INDEX([2]BEV!$C$10:$O$68,
      MATCH(B54,[2]BEV!$B$10:$B$68,0),
      MATCH("JULIO",[2]BEV!$C$9:$O$9,0)),
   0)-IF(B54=100873,
   IFERROR(VLOOKUP("JULIO",[2]BEV!$B$80:$C$93,2,0),
      0),
   0)</f>
        <v>0</v>
      </c>
      <c r="Z54" s="282">
        <f t="shared" ca="1" si="90"/>
        <v>0</v>
      </c>
      <c r="AA54" s="21">
        <f ca="1">SUMIF('UC BMW 2026'!$B$5:$B$81,B54,'UC BMW 2026'!$T$5:$T$72)</f>
        <v>0</v>
      </c>
      <c r="AB54" s="24">
        <f>IFERROR(INDEX([2]BEV!$C$10:$O$68,
      MATCH(B54,[2]BEV!$B$10:$B$68,0),
      MATCH("AGOSTO",[2]BEV!$C$9:$O$9,0)),
   0)-IF(B54=100873,
   IFERROR(VLOOKUP("AGOSTO",[2]BEV!$B$80:$C$93,2,0),
      0),
   0)</f>
        <v>0</v>
      </c>
      <c r="AC54" s="282">
        <f t="shared" ca="1" si="91"/>
        <v>0</v>
      </c>
      <c r="AD54" s="21">
        <f ca="1">SUMIF('UC BMW 2026'!$B$5:$B$81,B54,'UC BMW 2026'!$V$5:$V$72)</f>
        <v>0</v>
      </c>
      <c r="AE54" s="24">
        <f>IFERROR(INDEX([2]BEV!$C$10:$O$68,
      MATCH(B54,[2]BEV!$B$10:$B$68,0),
      MATCH("SEPTIEMBRE",[2]BEV!$C$9:$O$9,0)),
   0)-IF(B54=100873,
   IFERROR(VLOOKUP("SEPTIEMBRE",[2]BEV!$B$80:$C$93,2,0),
      0),
   0)</f>
        <v>0</v>
      </c>
      <c r="AF54" s="282">
        <f t="shared" ca="1" si="92"/>
        <v>0</v>
      </c>
      <c r="AG54" s="21">
        <f ca="1">SUMIF('UC BMW 2026'!$B$5:$B$81,B54,'UC BMW 2026'!$X$5:$X$72)</f>
        <v>0</v>
      </c>
      <c r="AH54" s="24">
        <f>IFERROR(INDEX([2]BEV!$C$10:$O$68,
      MATCH(B54,[2]BEV!$B$10:$B$68,0),
      MATCH("OCTUBRE",[2]BEV!$C$9:$O$9,0)),
   0)-IF(B54=100873,
   IFERROR(VLOOKUP("OCTUBRE",[2]BEV!$B$80:$C$93,2,0),
      0),
   0)</f>
        <v>0</v>
      </c>
      <c r="AI54" s="282">
        <f t="shared" ca="1" si="93"/>
        <v>0</v>
      </c>
      <c r="AJ54" s="21">
        <f ca="1">SUMIF('UC BMW 2026'!$B$5:$B$81,B54,'UC BMW 2026'!$Z$5:$Z$72)</f>
        <v>0</v>
      </c>
      <c r="AK54" s="24">
        <f>IFERROR(INDEX([2]BEV!$C$10:$O$68,
      MATCH(B54,[2]BEV!$B$10:$B$68,0),
      MATCH("NOVIEMBRE",[2]BEV!$C$9:$O$9,0)),
   0)-IF(B54=100873,
   IFERROR(VLOOKUP("NOVIEMBRE",[2]BEV!$B$80:$C$93,2,0),
      0),
   0)</f>
        <v>0</v>
      </c>
      <c r="AL54" s="282">
        <f t="shared" ca="1" si="94"/>
        <v>0</v>
      </c>
      <c r="AM54" s="21">
        <f ca="1">SUMIF('UC BMW 2026'!$B$5:$B$81,B54,'UC BMW 2026'!$AB$5:$AB$72)</f>
        <v>0</v>
      </c>
      <c r="AN54" s="24">
        <f>IFERROR(INDEX([2]BEV!$C$10:$O$68,
      MATCH(B54,[2]BEV!$B$10:$B$68,0),
      MATCH("DICIEMBRE",[2]BEV!$C$9:$O$9,0)),
   0)-IF(B54=100873,
   IFERROR(VLOOKUP("DICIEMBRE",[2]BEV!$B$80:$C$93,2,0),
      0),
   0)</f>
        <v>0</v>
      </c>
      <c r="AO54" s="282">
        <f t="shared" ca="1" si="95"/>
        <v>0</v>
      </c>
      <c r="AP54" s="21">
        <f t="shared" ca="1" si="96"/>
        <v>171</v>
      </c>
      <c r="AQ54" s="24">
        <f t="shared" si="96"/>
        <v>282</v>
      </c>
      <c r="AR54" s="129">
        <f t="shared" ca="1" si="97"/>
        <v>1.6491228070175439</v>
      </c>
      <c r="AS54" s="21">
        <f t="shared" ca="1" si="98"/>
        <v>171</v>
      </c>
      <c r="AT54" s="24">
        <f t="shared" si="98"/>
        <v>282</v>
      </c>
      <c r="AU54" s="129">
        <f t="shared" ca="1" si="99"/>
        <v>1.6491228070175439</v>
      </c>
      <c r="AV54" s="25"/>
      <c r="AW54" s="27"/>
      <c r="AX54" s="287"/>
      <c r="AY54" s="294"/>
      <c r="AZ54" s="287"/>
      <c r="BA54" s="27"/>
      <c r="BB54" s="129"/>
      <c r="BC54" s="21">
        <f t="shared" ca="1" si="100"/>
        <v>171</v>
      </c>
      <c r="BD54" s="24">
        <f t="shared" si="100"/>
        <v>282</v>
      </c>
      <c r="BE54" s="130">
        <f t="shared" ca="1" si="101"/>
        <v>1.6491228070175439</v>
      </c>
      <c r="BF54" s="34">
        <f t="shared" ca="1" si="102"/>
        <v>0</v>
      </c>
      <c r="BG54" s="24">
        <f t="shared" si="102"/>
        <v>0</v>
      </c>
      <c r="BH54" s="130">
        <f t="shared" ca="1" si="103"/>
        <v>0</v>
      </c>
      <c r="BI54" s="4">
        <v>1</v>
      </c>
      <c r="BK54" s="4">
        <f ca="1"/>
        <v>42</v>
      </c>
      <c r="BL54" s="4">
        <v>45</v>
      </c>
      <c r="BM54" s="4">
        <f ca="1"/>
        <v>0.79761904761904767</v>
      </c>
      <c r="BO54" s="15">
        <f t="shared" ca="1" si="104"/>
        <v>86</v>
      </c>
      <c r="BP54" s="15">
        <f t="shared" si="105"/>
        <v>135</v>
      </c>
    </row>
    <row r="55" spans="1:68" s="4" customFormat="1" ht="15" customHeight="1" thickBot="1" x14ac:dyDescent="0.3">
      <c r="A55" s="4">
        <f>_xlfn.XLOOKUP(B55,'WHOLESALE BMW 2026'!$B$7:$B$67,'WHOLESALE BMW 2026'!$A$7:$A$67)</f>
        <v>0</v>
      </c>
      <c r="B55" s="7" t="s">
        <v>270</v>
      </c>
      <c r="C55" s="28"/>
      <c r="D55" s="125"/>
      <c r="E55" s="7"/>
      <c r="F55" s="277">
        <f ca="1">SUM(F49:F54)</f>
        <v>125</v>
      </c>
      <c r="G55" s="277">
        <f>SUM(G49:G54)</f>
        <v>116</v>
      </c>
      <c r="H55" s="132">
        <f t="shared" ca="1" si="84"/>
        <v>0.92800000000000005</v>
      </c>
      <c r="I55" s="277">
        <f ca="1">SUM(I49:I54)</f>
        <v>125</v>
      </c>
      <c r="J55" s="277">
        <f>SUM(J49:J54)</f>
        <v>162</v>
      </c>
      <c r="K55" s="132">
        <f t="shared" ca="1" si="85"/>
        <v>1.296</v>
      </c>
      <c r="L55" s="277">
        <f ca="1">SUM(L49:L54)</f>
        <v>127</v>
      </c>
      <c r="M55" s="277">
        <f>SUM(M49:M54)</f>
        <v>172</v>
      </c>
      <c r="N55" s="132">
        <f t="shared" ca="1" si="86"/>
        <v>1.3543307086614174</v>
      </c>
      <c r="O55" s="277">
        <f ca="1">SUM(O49:O54)</f>
        <v>125</v>
      </c>
      <c r="P55" s="277">
        <f>SUM(P49:P54)</f>
        <v>149</v>
      </c>
      <c r="Q55" s="132">
        <f t="shared" ca="1" si="87"/>
        <v>1.1919999999999999</v>
      </c>
      <c r="R55" s="277">
        <f ca="1">SUM(R49:R54)</f>
        <v>127</v>
      </c>
      <c r="S55" s="277">
        <f>SUM(S49:S54)</f>
        <v>147</v>
      </c>
      <c r="T55" s="132">
        <f t="shared" ca="1" si="88"/>
        <v>1.1574803149606299</v>
      </c>
      <c r="U55" s="277">
        <f ca="1">SUM(U49:U54)</f>
        <v>128</v>
      </c>
      <c r="V55" s="277">
        <f>SUM(V49:V54)</f>
        <v>211</v>
      </c>
      <c r="W55" s="132">
        <f t="shared" ca="1" si="89"/>
        <v>1.6484375</v>
      </c>
      <c r="X55" s="277">
        <f ca="1">SUM(X49:X54)</f>
        <v>0</v>
      </c>
      <c r="Y55" s="277">
        <f>SUM(Y49:Y54)</f>
        <v>0</v>
      </c>
      <c r="Z55" s="132">
        <f t="shared" ca="1" si="90"/>
        <v>0</v>
      </c>
      <c r="AA55" s="277">
        <f ca="1">SUM(AA49:AA54)</f>
        <v>0</v>
      </c>
      <c r="AB55" s="277">
        <f>SUM(AB49:AB54)</f>
        <v>0</v>
      </c>
      <c r="AC55" s="132">
        <f t="shared" ca="1" si="91"/>
        <v>0</v>
      </c>
      <c r="AD55" s="277">
        <f ca="1">SUM(AD49:AD54)</f>
        <v>0</v>
      </c>
      <c r="AE55" s="277">
        <f>SUM(AE49:AE54)</f>
        <v>0</v>
      </c>
      <c r="AF55" s="132">
        <f t="shared" ca="1" si="92"/>
        <v>0</v>
      </c>
      <c r="AG55" s="277">
        <f ca="1">SUM(AG49:AG54)</f>
        <v>0</v>
      </c>
      <c r="AH55" s="277">
        <f>SUM(AH49:AH54)</f>
        <v>0</v>
      </c>
      <c r="AI55" s="132">
        <f t="shared" ca="1" si="93"/>
        <v>0</v>
      </c>
      <c r="AJ55" s="277">
        <f ca="1">SUM(AJ49:AJ54)</f>
        <v>0</v>
      </c>
      <c r="AK55" s="277">
        <f>SUM(AK49:AK54)</f>
        <v>0</v>
      </c>
      <c r="AL55" s="132">
        <f t="shared" ca="1" si="94"/>
        <v>0</v>
      </c>
      <c r="AM55" s="277">
        <f ca="1">SUM(AM49:AM54)</f>
        <v>0</v>
      </c>
      <c r="AN55" s="277">
        <f>SUM(AN49:AN54)</f>
        <v>0</v>
      </c>
      <c r="AO55" s="132">
        <f t="shared" ca="1" si="95"/>
        <v>0</v>
      </c>
      <c r="AP55" s="277">
        <f t="shared" ca="1" si="96"/>
        <v>757</v>
      </c>
      <c r="AQ55" s="410">
        <f t="shared" si="96"/>
        <v>957</v>
      </c>
      <c r="AR55" s="131">
        <f t="shared" ca="1" si="97"/>
        <v>1.2642007926023777</v>
      </c>
      <c r="AS55" s="277">
        <f t="shared" ca="1" si="98"/>
        <v>757</v>
      </c>
      <c r="AT55" s="410">
        <f t="shared" si="98"/>
        <v>957</v>
      </c>
      <c r="AU55" s="131">
        <f t="shared" ca="1" si="99"/>
        <v>1.2642007926023777</v>
      </c>
      <c r="AV55" s="200"/>
      <c r="AW55" s="258"/>
      <c r="AX55" s="132"/>
      <c r="AY55" s="278"/>
      <c r="AZ55" s="132"/>
      <c r="BA55" s="258"/>
      <c r="BB55" s="131"/>
      <c r="BC55" s="277">
        <f t="shared" ca="1" si="100"/>
        <v>757</v>
      </c>
      <c r="BD55" s="410">
        <f t="shared" si="100"/>
        <v>957</v>
      </c>
      <c r="BE55" s="275">
        <f t="shared" ca="1" si="101"/>
        <v>1.2642007926023777</v>
      </c>
      <c r="BF55" s="277">
        <f ca="1">IFERROR(SUM(BF49:BF54),0)</f>
        <v>0</v>
      </c>
      <c r="BG55" s="277">
        <f>IFERROR(SUM(BG49:BG54),0)</f>
        <v>0</v>
      </c>
      <c r="BH55" s="275">
        <f t="shared" ca="1" si="103"/>
        <v>0</v>
      </c>
      <c r="BI55" s="4">
        <v>0</v>
      </c>
      <c r="BK55" s="4">
        <f ca="1"/>
        <v>38</v>
      </c>
      <c r="BL55" s="4">
        <v>37</v>
      </c>
      <c r="BM55" s="508">
        <f ca="1"/>
        <v>0.78109452736318408</v>
      </c>
      <c r="BO55" s="15"/>
      <c r="BP55" s="15"/>
    </row>
    <row r="56" spans="1:68" s="4" customFormat="1" ht="15" customHeight="1" x14ac:dyDescent="0.3">
      <c r="A56" s="4">
        <f>_xlfn.XLOOKUP(B56,'WHOLESALE BMW 2026'!$B$7:$B$67,'WHOLESALE BMW 2026'!$A$7:$A$67)</f>
        <v>9</v>
      </c>
      <c r="B56" s="8">
        <v>100734</v>
      </c>
      <c r="C56" s="369" t="s">
        <v>59</v>
      </c>
      <c r="D56" s="125"/>
      <c r="E56" s="309" t="s">
        <v>95</v>
      </c>
      <c r="F56" s="21">
        <f ca="1">SUMIF('UC BMW 2026'!$B$5:$B$81,B56,'UC BMW 2026'!$F$5:$F$72)</f>
        <v>33</v>
      </c>
      <c r="G56" s="24">
        <f>IFERROR(INDEX([2]BEV!$C$10:$O$68,
      MATCH(B56,[2]BEV!$B$10:$B$68,0),
      MATCH("ENERO",[2]BEV!$C$9:$O$9,0)),
   0)-IF(B56=100873,
   IFERROR(VLOOKUP("ENERO",[2]BEV!$B$80:$C$93,2,0),
      0),
   0)</f>
        <v>30</v>
      </c>
      <c r="H56" s="285">
        <f t="shared" ca="1" si="84"/>
        <v>0.90909090909090906</v>
      </c>
      <c r="I56" s="21">
        <f ca="1">SUMIF('UC BMW 2026'!$B$5:$B$81,B56,'UC BMW 2026'!$H$5:$H$72)</f>
        <v>33</v>
      </c>
      <c r="J56" s="24">
        <f>IFERROR(INDEX([2]BEV!$C$10:$O$68,
      MATCH(B56,[2]BEV!$B$10:$B$68,0),
      MATCH("FEBRERO",[2]BEV!$C$9:$O$9,0)),
   0)-IF(B56=100873,
   IFERROR(VLOOKUP("FEBRERO",[2]BEV!$B$80:$C$93,2,0),
      0),
   0)</f>
        <v>42</v>
      </c>
      <c r="K56" s="285">
        <f t="shared" ca="1" si="85"/>
        <v>1.2727272727272727</v>
      </c>
      <c r="L56" s="21">
        <f ca="1">SUMIF('UC BMW 2026'!$B$5:$B$81,B56,'UC BMW 2026'!$J$5:$J$72)</f>
        <v>34</v>
      </c>
      <c r="M56" s="24">
        <f>IFERROR(INDEX([2]BEV!$C$10:$O$68,
      MATCH(B56,[2]BEV!$B$10:$B$68,0),
      MATCH("MARZO",[2]BEV!$C$9:$O$9,0)),
   0)-IF(B56=100873,
   IFERROR(VLOOKUP("MARZO",[2]BEV!$B$80:$C$93,2,0),
      0),
   0)</f>
        <v>45</v>
      </c>
      <c r="N56" s="285">
        <f t="shared" ca="1" si="86"/>
        <v>1.3235294117647058</v>
      </c>
      <c r="O56" s="21">
        <f ca="1">SUMIF('UC BMW 2026'!$B$5:$B$81,B56,'UC BMW 2026'!$L$5:$L$72)</f>
        <v>33</v>
      </c>
      <c r="P56" s="24">
        <f>IFERROR(INDEX([2]BEV!$C$10:$O$68,
      MATCH(B56,[2]BEV!$B$10:$B$68,0),
      MATCH("ABRIL",[2]BEV!$C$9:$O$9,0)),
   0)-IF(B56=100873,
   IFERROR(VLOOKUP("ABRIL",[2]BEV!$B$80:$C$93,2,0),
      0),
   0)</f>
        <v>31</v>
      </c>
      <c r="Q56" s="285">
        <f t="shared" ca="1" si="87"/>
        <v>0.93939393939393945</v>
      </c>
      <c r="R56" s="21">
        <f ca="1">SUMIF('UC BMW 2026'!$B$5:$B$81,B56,'UC BMW 2026'!$N$5:$N$72)</f>
        <v>33</v>
      </c>
      <c r="S56" s="24">
        <f>IFERROR(INDEX([2]BEV!$C$10:$O$68,
      MATCH(B56,[2]BEV!$B$10:$B$68,0),
      MATCH("MAYO",[2]BEV!$C$9:$O$9,0)),
   0)-IF(B56=100873,
   IFERROR(VLOOKUP("MAYO",[2]BEV!$B$80:$C$93,2,0),
      0),
   0)</f>
        <v>42</v>
      </c>
      <c r="T56" s="285">
        <f t="shared" ca="1" si="88"/>
        <v>1.2727272727272727</v>
      </c>
      <c r="U56" s="21">
        <f ca="1">SUMIF('UC BMW 2026'!$B$5:$B$81,B56,'UC BMW 2026'!$P$5:$P$72)</f>
        <v>34</v>
      </c>
      <c r="V56" s="24">
        <f>IFERROR(INDEX([2]BEV!$C$10:$O$68,
      MATCH(B56,[2]BEV!$B$10:$B$68,0),
      MATCH("JUNIO",[2]BEV!$C$9:$O$9,0)),
   0)-IF(B56=100873,
   IFERROR(VLOOKUP("JUNIO",[2]BEV!$B$80:$C$93,2,0),
      0),
   0)</f>
        <v>62</v>
      </c>
      <c r="W56" s="285">
        <f t="shared" ca="1" si="89"/>
        <v>1.8235294117647058</v>
      </c>
      <c r="X56" s="21">
        <f ca="1">SUMIF('UC BMW 2026'!$B$5:$B$81,B56,'UC BMW 2026'!$R$5:$R$72)</f>
        <v>0</v>
      </c>
      <c r="Y56" s="24">
        <f>IFERROR(INDEX([2]BEV!$C$10:$O$68,
      MATCH(B56,[2]BEV!$B$10:$B$68,0),
      MATCH("JULIO",[2]BEV!$C$9:$O$9,0)),
   0)-IF(B56=100873,
   IFERROR(VLOOKUP("JULIO",[2]BEV!$B$80:$C$93,2,0),
      0),
   0)</f>
        <v>0</v>
      </c>
      <c r="Z56" s="285">
        <f t="shared" ca="1" si="90"/>
        <v>0</v>
      </c>
      <c r="AA56" s="21">
        <f ca="1">SUMIF('UC BMW 2026'!$B$5:$B$81,B56,'UC BMW 2026'!$T$5:$T$72)</f>
        <v>0</v>
      </c>
      <c r="AB56" s="24">
        <f>IFERROR(INDEX([2]BEV!$C$10:$O$68,
      MATCH(B56,[2]BEV!$B$10:$B$68,0),
      MATCH("AGOSTO",[2]BEV!$C$9:$O$9,0)),
   0)-IF(B56=100873,
   IFERROR(VLOOKUP("AGOSTO",[2]BEV!$B$80:$C$93,2,0),
      0),
   0)</f>
        <v>0</v>
      </c>
      <c r="AC56" s="285">
        <f t="shared" ca="1" si="91"/>
        <v>0</v>
      </c>
      <c r="AD56" s="21">
        <f ca="1">SUMIF('UC BMW 2026'!$B$5:$B$81,B56,'UC BMW 2026'!$V$5:$V$72)</f>
        <v>0</v>
      </c>
      <c r="AE56" s="24">
        <f>IFERROR(INDEX([2]BEV!$C$10:$O$68,
      MATCH(B56,[2]BEV!$B$10:$B$68,0),
      MATCH("SEPTIEMBRE",[2]BEV!$C$9:$O$9,0)),
   0)-IF(B56=100873,
   IFERROR(VLOOKUP("SEPTIEMBRE",[2]BEV!$B$80:$C$93,2,0),
      0),
   0)</f>
        <v>0</v>
      </c>
      <c r="AF56" s="285">
        <f t="shared" ca="1" si="92"/>
        <v>0</v>
      </c>
      <c r="AG56" s="21">
        <f ca="1">SUMIF('UC BMW 2026'!$B$5:$B$81,B56,'UC BMW 2026'!$X$5:$X$72)</f>
        <v>0</v>
      </c>
      <c r="AH56" s="24">
        <f>IFERROR(INDEX([2]BEV!$C$10:$O$68,
      MATCH(B56,[2]BEV!$B$10:$B$68,0),
      MATCH("OCTUBRE",[2]BEV!$C$9:$O$9,0)),
   0)-IF(B56=100873,
   IFERROR(VLOOKUP("OCTUBRE",[2]BEV!$B$80:$C$93,2,0),
      0),
   0)</f>
        <v>0</v>
      </c>
      <c r="AI56" s="285">
        <f t="shared" ca="1" si="93"/>
        <v>0</v>
      </c>
      <c r="AJ56" s="21">
        <f ca="1">SUMIF('UC BMW 2026'!$B$5:$B$81,B56,'UC BMW 2026'!$Z$5:$Z$72)</f>
        <v>0</v>
      </c>
      <c r="AK56" s="24">
        <f>IFERROR(INDEX([2]BEV!$C$10:$O$68,
      MATCH(B56,[2]BEV!$B$10:$B$68,0),
      MATCH("NOVIEMBRE",[2]BEV!$C$9:$O$9,0)),
   0)-IF(B56=100873,
   IFERROR(VLOOKUP("NOVIEMBRE",[2]BEV!$B$80:$C$93,2,0),
      0),
   0)</f>
        <v>0</v>
      </c>
      <c r="AL56" s="285">
        <f t="shared" ca="1" si="94"/>
        <v>0</v>
      </c>
      <c r="AM56" s="21">
        <f ca="1">SUMIF('UC BMW 2026'!$B$5:$B$81,B56,'UC BMW 2026'!$AB$5:$AB$72)</f>
        <v>0</v>
      </c>
      <c r="AN56" s="24">
        <f>IFERROR(INDEX([2]BEV!$C$10:$O$68,
      MATCH(B56,[2]BEV!$B$10:$B$68,0),
      MATCH("DICIEMBRE",[2]BEV!$C$9:$O$9,0)),
   0)-IF(B56=100873,
   IFERROR(VLOOKUP("DICIEMBRE",[2]BEV!$B$80:$C$93,2,0),
      0),
   0)</f>
        <v>0</v>
      </c>
      <c r="AO56" s="285">
        <f t="shared" ca="1" si="95"/>
        <v>0</v>
      </c>
      <c r="AP56" s="21">
        <f t="shared" ca="1" si="96"/>
        <v>200</v>
      </c>
      <c r="AQ56" s="22">
        <f t="shared" si="96"/>
        <v>252</v>
      </c>
      <c r="AR56" s="129">
        <f t="shared" ca="1" si="97"/>
        <v>1.26</v>
      </c>
      <c r="AS56" s="21">
        <f t="shared" ca="1" si="98"/>
        <v>200</v>
      </c>
      <c r="AT56" s="22">
        <f t="shared" si="98"/>
        <v>252</v>
      </c>
      <c r="AU56" s="129">
        <f t="shared" ca="1" si="99"/>
        <v>1.26</v>
      </c>
      <c r="AV56" s="25"/>
      <c r="AW56" s="27"/>
      <c r="AX56" s="287"/>
      <c r="AY56" s="291"/>
      <c r="AZ56" s="287"/>
      <c r="BA56" s="27"/>
      <c r="BB56" s="129"/>
      <c r="BC56" s="21">
        <f t="shared" ca="1" si="100"/>
        <v>200</v>
      </c>
      <c r="BD56" s="22">
        <f t="shared" si="100"/>
        <v>252</v>
      </c>
      <c r="BE56" s="130">
        <f t="shared" ca="1" si="101"/>
        <v>1.26</v>
      </c>
      <c r="BF56" s="34">
        <f t="shared" ref="BF56:BG60" ca="1" si="106">IFERROR(IF($BF$5="S 1",F56+I56+L56+O56+R56+U56,
IF($BF$5="S 2",X56+AA56+AD56+AG56+AJ56+AM56,0)),0)</f>
        <v>0</v>
      </c>
      <c r="BG56" s="22">
        <f t="shared" si="106"/>
        <v>0</v>
      </c>
      <c r="BH56" s="130">
        <f t="shared" ca="1" si="103"/>
        <v>0</v>
      </c>
      <c r="BI56" s="4">
        <v>1</v>
      </c>
      <c r="BK56" s="4">
        <f ca="1"/>
        <v>37</v>
      </c>
      <c r="BL56" s="4">
        <v>30</v>
      </c>
      <c r="BM56" s="508">
        <f ca="1"/>
        <v>0.73124999999999996</v>
      </c>
      <c r="BO56" s="15">
        <f ca="1">SUM(O56,R56,U56)</f>
        <v>100</v>
      </c>
      <c r="BP56" s="15">
        <f>SUM(V56,S56,P56)</f>
        <v>135</v>
      </c>
    </row>
    <row r="57" spans="1:68" s="4" customFormat="1" ht="15" customHeight="1" x14ac:dyDescent="0.3">
      <c r="A57" s="4">
        <f>_xlfn.XLOOKUP(B57,'WHOLESALE BMW 2026'!$B$7:$B$67,'WHOLESALE BMW 2026'!$A$7:$A$67)</f>
        <v>9</v>
      </c>
      <c r="B57" s="8">
        <v>100311</v>
      </c>
      <c r="C57" s="369" t="s">
        <v>12</v>
      </c>
      <c r="D57" s="125"/>
      <c r="E57" s="309" t="s">
        <v>201</v>
      </c>
      <c r="F57" s="21">
        <f ca="1">SUMIF('UC BMW 2026'!$B$5:$B$81,B57,'UC BMW 2026'!$F$5:$F$72)</f>
        <v>26</v>
      </c>
      <c r="G57" s="24">
        <f>IFERROR(INDEX([2]BEV!$C$10:$O$68,
      MATCH(B57,[2]BEV!$B$10:$B$68,0),
      MATCH("ENERO",[2]BEV!$C$9:$O$9,0)),
   0)-IF(B57=100873,
   IFERROR(VLOOKUP("ENERO",[2]BEV!$B$80:$C$93,2,0),
      0),
   0)</f>
        <v>15</v>
      </c>
      <c r="H57" s="282">
        <f t="shared" ref="H57:H68" ca="1" si="107">IFERROR(G57/F57,0)</f>
        <v>0.57692307692307687</v>
      </c>
      <c r="I57" s="21">
        <f ca="1">SUMIF('UC BMW 2026'!$B$5:$B$81,B57,'UC BMW 2026'!$H$5:$H$72)</f>
        <v>26</v>
      </c>
      <c r="J57" s="24">
        <f>IFERROR(INDEX([2]BEV!$C$10:$O$68,
      MATCH(B57,[2]BEV!$B$10:$B$68,0),
      MATCH("FEBRERO",[2]BEV!$C$9:$O$9,0)),
   0)-IF(B57=100873,
   IFERROR(VLOOKUP("FEBRERO",[2]BEV!$B$80:$C$93,2,0),
      0),
   0)</f>
        <v>16</v>
      </c>
      <c r="K57" s="282">
        <f t="shared" ref="K57:K68" ca="1" si="108">IFERROR(J57/I57,0)</f>
        <v>0.61538461538461542</v>
      </c>
      <c r="L57" s="21">
        <f ca="1">SUMIF('UC BMW 2026'!$B$5:$B$81,B57,'UC BMW 2026'!$J$5:$J$72)</f>
        <v>26</v>
      </c>
      <c r="M57" s="24">
        <f>IFERROR(INDEX([2]BEV!$C$10:$O$68,
      MATCH(B57,[2]BEV!$B$10:$B$68,0),
      MATCH("MARZO",[2]BEV!$C$9:$O$9,0)),
   0)-IF(B57=100873,
   IFERROR(VLOOKUP("MARZO",[2]BEV!$B$80:$C$93,2,0),
      0),
   0)</f>
        <v>29</v>
      </c>
      <c r="N57" s="282">
        <f t="shared" ref="N57:N68" ca="1" si="109">IFERROR(M57/L57,0)</f>
        <v>1.1153846153846154</v>
      </c>
      <c r="O57" s="21">
        <f ca="1">SUMIF('UC BMW 2026'!$B$5:$B$81,B57,'UC BMW 2026'!$L$5:$L$72)</f>
        <v>27</v>
      </c>
      <c r="P57" s="24">
        <f>IFERROR(INDEX([2]BEV!$C$10:$O$68,
      MATCH(B57,[2]BEV!$B$10:$B$68,0),
      MATCH("ABRIL",[2]BEV!$C$9:$O$9,0)),
   0)-IF(B57=100873,
   IFERROR(VLOOKUP("ABRIL",[2]BEV!$B$80:$C$93,2,0),
      0),
   0)</f>
        <v>13</v>
      </c>
      <c r="Q57" s="282">
        <f t="shared" ref="Q57:Q68" ca="1" si="110">IFERROR(P57/O57,0)</f>
        <v>0.48148148148148145</v>
      </c>
      <c r="R57" s="21">
        <f ca="1">SUMIF('UC BMW 2026'!$B$5:$B$81,B57,'UC BMW 2026'!$N$5:$N$72)</f>
        <v>27</v>
      </c>
      <c r="S57" s="24">
        <f>IFERROR(INDEX([2]BEV!$C$10:$O$68,
      MATCH(B57,[2]BEV!$B$10:$B$68,0),
      MATCH("MAYO",[2]BEV!$C$9:$O$9,0)),
   0)-IF(B57=100873,
   IFERROR(VLOOKUP("MAYO",[2]BEV!$B$80:$C$93,2,0),
      0),
   0)</f>
        <v>27</v>
      </c>
      <c r="T57" s="282">
        <f t="shared" ref="T57:T68" ca="1" si="111">IFERROR(S57/R57,0)</f>
        <v>1</v>
      </c>
      <c r="U57" s="21">
        <f ca="1">SUMIF('UC BMW 2026'!$B$5:$B$81,B57,'UC BMW 2026'!$P$5:$P$72)</f>
        <v>28</v>
      </c>
      <c r="V57" s="24">
        <f>IFERROR(INDEX([2]BEV!$C$10:$O$68,
      MATCH(B57,[2]BEV!$B$10:$B$68,0),
      MATCH("JUNIO",[2]BEV!$C$9:$O$9,0)),
   0)-IF(B57=100873,
   IFERROR(VLOOKUP("JUNIO",[2]BEV!$B$80:$C$93,2,0),
      0),
   0)</f>
        <v>17</v>
      </c>
      <c r="W57" s="282">
        <f t="shared" ref="W57:W68" ca="1" si="112">IFERROR(V57/U57,0)</f>
        <v>0.6071428571428571</v>
      </c>
      <c r="X57" s="21">
        <f ca="1">SUMIF('UC BMW 2026'!$B$5:$B$81,B57,'UC BMW 2026'!$R$5:$R$72)</f>
        <v>26</v>
      </c>
      <c r="Y57" s="24">
        <f>IFERROR(INDEX([2]BEV!$C$10:$O$68,
      MATCH(B57,[2]BEV!$B$10:$B$68,0),
      MATCH("JULIO",[2]BEV!$C$9:$O$9,0)),
   0)-IF(B57=100873,
   IFERROR(VLOOKUP("JULIO",[2]BEV!$B$80:$C$93,2,0),
      0),
   0)</f>
        <v>0</v>
      </c>
      <c r="Z57" s="282">
        <f t="shared" ref="Z57:Z68" ca="1" si="113">IFERROR(Y57/X57,0)</f>
        <v>0</v>
      </c>
      <c r="AA57" s="21">
        <f ca="1">SUMIF('UC BMW 2026'!$B$5:$B$81,B57,'UC BMW 2026'!$T$5:$T$72)</f>
        <v>23</v>
      </c>
      <c r="AB57" s="24">
        <f>IFERROR(INDEX([2]BEV!$C$10:$O$68,
      MATCH(B57,[2]BEV!$B$10:$B$68,0),
      MATCH("AGOSTO",[2]BEV!$C$9:$O$9,0)),
   0)-IF(B57=100873,
   IFERROR(VLOOKUP("AGOSTO",[2]BEV!$B$80:$C$93,2,0),
      0),
   0)</f>
        <v>0</v>
      </c>
      <c r="AC57" s="282">
        <f t="shared" ref="AC57:AC68" ca="1" si="114">IFERROR(AB57/AA57,0)</f>
        <v>0</v>
      </c>
      <c r="AD57" s="21">
        <f ca="1">SUMIF('UC BMW 2026'!$B$5:$B$81,B57,'UC BMW 2026'!$V$5:$V$72)</f>
        <v>26</v>
      </c>
      <c r="AE57" s="24">
        <f>IFERROR(INDEX([2]BEV!$C$10:$O$68,
      MATCH(B57,[2]BEV!$B$10:$B$68,0),
      MATCH("SEPTIEMBRE",[2]BEV!$C$9:$O$9,0)),
   0)-IF(B57=100873,
   IFERROR(VLOOKUP("SEPTIEMBRE",[2]BEV!$B$80:$C$93,2,0),
      0),
   0)</f>
        <v>0</v>
      </c>
      <c r="AF57" s="282">
        <f t="shared" ref="AF57:AF68" ca="1" si="115">IFERROR(AE57/AD57,0)</f>
        <v>0</v>
      </c>
      <c r="AG57" s="21">
        <f ca="1">SUMIF('UC BMW 2026'!$B$5:$B$81,B57,'UC BMW 2026'!$X$5:$X$72)</f>
        <v>30</v>
      </c>
      <c r="AH57" s="24">
        <f>IFERROR(INDEX([2]BEV!$C$10:$O$68,
      MATCH(B57,[2]BEV!$B$10:$B$68,0),
      MATCH("OCTUBRE",[2]BEV!$C$9:$O$9,0)),
   0)-IF(B57=100873,
   IFERROR(VLOOKUP("OCTUBRE",[2]BEV!$B$80:$C$93,2,0),
      0),
   0)</f>
        <v>0</v>
      </c>
      <c r="AI57" s="282">
        <f t="shared" ref="AI57:AI68" ca="1" si="116">IFERROR(AH57/AG57,0)</f>
        <v>0</v>
      </c>
      <c r="AJ57" s="21">
        <f ca="1">SUMIF('UC BMW 2026'!$B$5:$B$81,B57,'UC BMW 2026'!$Z$5:$Z$72)</f>
        <v>30</v>
      </c>
      <c r="AK57" s="24">
        <f>IFERROR(INDEX([2]BEV!$C$10:$O$68,
      MATCH(B57,[2]BEV!$B$10:$B$68,0),
      MATCH("NOVIEMBRE",[2]BEV!$C$9:$O$9,0)),
   0)-IF(B57=100873,
   IFERROR(VLOOKUP("NOVIEMBRE",[2]BEV!$B$80:$C$93,2,0),
      0),
   0)</f>
        <v>0</v>
      </c>
      <c r="AL57" s="282">
        <f t="shared" ref="AL57:AL68" ca="1" si="117">IFERROR(AK57/AJ57,0)</f>
        <v>0</v>
      </c>
      <c r="AM57" s="21">
        <f ca="1">SUMIF('UC BMW 2026'!$B$5:$B$81,B57,'UC BMW 2026'!$AB$5:$AB$72)</f>
        <v>25</v>
      </c>
      <c r="AN57" s="24">
        <f>IFERROR(INDEX([2]BEV!$C$10:$O$68,
      MATCH(B57,[2]BEV!$B$10:$B$68,0),
      MATCH("DICIEMBRE",[2]BEV!$C$9:$O$9,0)),
   0)-IF(B57=100873,
   IFERROR(VLOOKUP("DICIEMBRE",[2]BEV!$B$80:$C$93,2,0),
      0),
   0)</f>
        <v>0</v>
      </c>
      <c r="AO57" s="282">
        <f t="shared" ref="AO57:AO68" ca="1" si="118">IFERROR(AN57/AM57,0)</f>
        <v>0</v>
      </c>
      <c r="AP57" s="21">
        <f t="shared" ref="AP57:AP69" ca="1" si="119">IFERROR(IF($AP$4="ENERO",F57,IF($AP$4="FEBRERO",F57+I57,IF($AP$4="MARZO",F57+I57+L57,IF($AP$4="ABRIL",F57+I57+L57+O57,IF($AP$4="MAYO",F57+I57+L57+O57+R57,IF($AP$4="JUNIO",F57+I57+L57+O57+R57+U57,IF($AP$4="JULIO",F57+I57+L57+O57+R57+U57+X57,IF($AP$4="AGOSTO",F57+I57+L57+O57+R57+U57+X57+AA57,IF($AP$4="SEPTIEMBRE",F57+I57+L57+O57+R57+U57+X57+AA57+AD57,IF($AP$4="OCTUBRE",F57+I57+L57+O57+R57+U57+X57+AA57+AD57+AG57,IF($AP$4="NOVIEMBRE",F57+I57+L57+O57+R57+U57+X57+AA57+AD57+AG57+AJ57,IF($AP$4="DICIEMBRE",F57+I57+L57+O57+R57+U57+X57+AA57+AD57+AG57+AJ57+AM57,"")))))))))))),0)</f>
        <v>160</v>
      </c>
      <c r="AQ57" s="24">
        <f t="shared" ref="AQ57:AQ69" si="120">IFERROR(IF($AP$4="ENERO",G57,IF($AP$4="FEBRERO",G57+J57,IF($AP$4="MARZO",G57+J57+M57,IF($AP$4="ABRIL",G57+J57+M57+P57,IF($AP$4="MAYO",G57+J57+M57+P57+S57,IF($AP$4="JUNIO",G57+J57+M57+P57+S57+V57,IF($AP$4="JULIO",G57+J57+M57+P57+S57+V57+Y57,IF($AP$4="AGOSTO",G57+J57+M57+P57+S57+V57+Y57+AB57,IF($AP$4="SEPTIEMBRE",G57+J57+M57+P57+S57+V57+Y57+AB57+AE57,IF($AP$4="OCTUBRE",G57+J57+M57+P57+S57+V57+Y57+AB57+AE57+AH57,IF($AP$4="NOVIEMBRE",G57+J57+M57+P57+S57+V57+Y57+AB57+AE57+AH57+AK57,IF($AP$4="DICIEMBRE",G57+J57+M57+P57+S57+V57+Y57+AB57+AE57+AH57+AK57+AN57,"")))))))))))),0)</f>
        <v>117</v>
      </c>
      <c r="AR57" s="129">
        <f t="shared" ref="AR57:AR70" ca="1" si="121">IFERROR(AQ57/AP57,0)</f>
        <v>0.73124999999999996</v>
      </c>
      <c r="AS57" s="21">
        <f t="shared" ref="AS57:AS69" ca="1" si="122">IFERROR(SUM(AM57,AJ57,AG57,AD57,AA57,X57,U57,R57,O57,L57,I57,F57),0)</f>
        <v>320</v>
      </c>
      <c r="AT57" s="24">
        <f t="shared" ref="AT57:AT69" si="123">IFERROR(SUM(AN57,AK57,AH57,AE57,AB57,Y57,V57,S57,P57,M57,J57,G57),0)</f>
        <v>117</v>
      </c>
      <c r="AU57" s="129">
        <f t="shared" ref="AU57:AU70" ca="1" si="124">IFERROR(AT57/AS57,0)</f>
        <v>0.36562499999999998</v>
      </c>
      <c r="AV57" s="25"/>
      <c r="AW57" s="27"/>
      <c r="AX57" s="287"/>
      <c r="AY57" s="294"/>
      <c r="AZ57" s="287"/>
      <c r="BA57" s="27"/>
      <c r="BB57" s="129"/>
      <c r="BC57" s="21">
        <f ca="1">IFERROR(IF($BC$5="S 1",F57+I57+L57+O57+R57+U57,
IF($BC$5="S 2",X57+AA57+AD57+AG57+AJ57+AM57,0)),0)</f>
        <v>160</v>
      </c>
      <c r="BD57" s="24">
        <f>IFERROR(IF($BC$5="S 1",G57+J57+M57+P57+S57+V57,
IF($BC$5="S 2",Y57+AB57+AE57+AH57+AK57+AN57,0)),0)</f>
        <v>117</v>
      </c>
      <c r="BE57" s="130">
        <f t="shared" ref="BE57:BE70" ca="1" si="125">IFERROR(BD57/BC57,0)</f>
        <v>0.73124999999999996</v>
      </c>
      <c r="BF57" s="34">
        <f t="shared" ca="1" si="106"/>
        <v>160</v>
      </c>
      <c r="BG57" s="24">
        <f t="shared" si="106"/>
        <v>0</v>
      </c>
      <c r="BH57" s="130">
        <f t="shared" ref="BH57:BH70" ca="1" si="126">IFERROR(BG57/BF57,0)</f>
        <v>0</v>
      </c>
      <c r="BI57" s="4">
        <v>1</v>
      </c>
      <c r="BK57" s="4">
        <f ca="1"/>
        <v>36</v>
      </c>
      <c r="BL57" s="4">
        <v>29</v>
      </c>
      <c r="BM57" s="4">
        <f ca="1"/>
        <v>0.66666666666666663</v>
      </c>
      <c r="BO57" s="15">
        <f ca="1">SUM(O57,R57,U57)</f>
        <v>82</v>
      </c>
      <c r="BP57" s="15">
        <f>SUM(V57,S57,P57)</f>
        <v>57</v>
      </c>
    </row>
    <row r="58" spans="1:68" s="14" customFormat="1" ht="15" customHeight="1" x14ac:dyDescent="0.3">
      <c r="A58" s="4">
        <f>_xlfn.XLOOKUP(B58,'WHOLESALE BMW 2026'!$B$7:$B$67,'WHOLESALE BMW 2026'!$A$7:$A$67)</f>
        <v>9</v>
      </c>
      <c r="B58" s="13">
        <v>100393</v>
      </c>
      <c r="C58" s="374" t="s">
        <v>75</v>
      </c>
      <c r="D58" s="125"/>
      <c r="E58" s="309" t="s">
        <v>201</v>
      </c>
      <c r="F58" s="21">
        <f ca="1">SUMIF('UC BMW 2026'!$B$5:$B$81,B58,'UC BMW 2026'!$F$5:$F$72)</f>
        <v>34</v>
      </c>
      <c r="G58" s="24">
        <f>IFERROR(INDEX([2]BEV!$C$10:$O$68,
      MATCH(B58,[2]BEV!$B$10:$B$68,0),
      MATCH("ENERO",[2]BEV!$C$9:$O$9,0)),
   0)-IF(B58=100873,
   IFERROR(VLOOKUP("ENERO",[2]BEV!$B$80:$C$93,2,0),
      0),
   0)</f>
        <v>39</v>
      </c>
      <c r="H58" s="282">
        <f t="shared" ca="1" si="107"/>
        <v>1.1470588235294117</v>
      </c>
      <c r="I58" s="21">
        <f ca="1">SUMIF('UC BMW 2026'!$B$5:$B$81,B58,'UC BMW 2026'!$H$5:$H$72)</f>
        <v>34</v>
      </c>
      <c r="J58" s="24">
        <f>IFERROR(INDEX([2]BEV!$C$10:$O$68,
      MATCH(B58,[2]BEV!$B$10:$B$68,0),
      MATCH("FEBRERO",[2]BEV!$C$9:$O$9,0)),
   0)-IF(B58=100873,
   IFERROR(VLOOKUP("FEBRERO",[2]BEV!$B$80:$C$93,2,0),
      0),
   0)</f>
        <v>18</v>
      </c>
      <c r="K58" s="282">
        <f t="shared" ca="1" si="108"/>
        <v>0.52941176470588236</v>
      </c>
      <c r="L58" s="21">
        <f ca="1">SUMIF('UC BMW 2026'!$B$5:$B$81,B58,'UC BMW 2026'!$J$5:$J$72)</f>
        <v>34</v>
      </c>
      <c r="M58" s="24">
        <f>IFERROR(INDEX([2]BEV!$C$10:$O$68,
      MATCH(B58,[2]BEV!$B$10:$B$68,0),
      MATCH("MARZO",[2]BEV!$C$9:$O$9,0)),
   0)-IF(B58=100873,
   IFERROR(VLOOKUP("MARZO",[2]BEV!$B$80:$C$93,2,0),
      0),
   0)</f>
        <v>25</v>
      </c>
      <c r="N58" s="282">
        <f t="shared" ca="1" si="109"/>
        <v>0.73529411764705888</v>
      </c>
      <c r="O58" s="21">
        <f ca="1">SUMIF('UC BMW 2026'!$B$5:$B$81,B58,'UC BMW 2026'!$L$5:$L$72)</f>
        <v>34</v>
      </c>
      <c r="P58" s="24">
        <f>IFERROR(INDEX([2]BEV!$C$10:$O$68,
      MATCH(B58,[2]BEV!$B$10:$B$68,0),
      MATCH("ABRIL",[2]BEV!$C$9:$O$9,0)),
   0)-IF(B58=100873,
   IFERROR(VLOOKUP("ABRIL",[2]BEV!$B$80:$C$93,2,0),
      0),
   0)</f>
        <v>34</v>
      </c>
      <c r="Q58" s="282">
        <f t="shared" ca="1" si="110"/>
        <v>1</v>
      </c>
      <c r="R58" s="21">
        <f ca="1">SUMIF('UC BMW 2026'!$B$5:$B$81,B58,'UC BMW 2026'!$N$5:$N$72)</f>
        <v>34</v>
      </c>
      <c r="S58" s="24">
        <f>IFERROR(INDEX([2]BEV!$C$10:$O$68,
      MATCH(B58,[2]BEV!$B$10:$B$68,0),
      MATCH("MAYO",[2]BEV!$C$9:$O$9,0)),
   0)-IF(B58=100873,
   IFERROR(VLOOKUP("MAYO",[2]BEV!$B$80:$C$93,2,0),
      0),
   0)</f>
        <v>31</v>
      </c>
      <c r="T58" s="282">
        <f t="shared" ca="1" si="111"/>
        <v>0.91176470588235292</v>
      </c>
      <c r="U58" s="21">
        <f ca="1">SUMIF('UC BMW 2026'!$B$5:$B$81,B58,'UC BMW 2026'!$P$5:$P$72)</f>
        <v>35</v>
      </c>
      <c r="V58" s="24">
        <f>IFERROR(INDEX([2]BEV!$C$10:$O$68,
      MATCH(B58,[2]BEV!$B$10:$B$68,0),
      MATCH("JUNIO",[2]BEV!$C$9:$O$9,0)),
   0)-IF(B58=100873,
   IFERROR(VLOOKUP("JUNIO",[2]BEV!$B$80:$C$93,2,0),
      0),
   0)</f>
        <v>20</v>
      </c>
      <c r="W58" s="282">
        <f t="shared" ca="1" si="112"/>
        <v>0.5714285714285714</v>
      </c>
      <c r="X58" s="21">
        <f ca="1">SUMIF('UC BMW 2026'!$B$5:$B$81,B58,'UC BMW 2026'!$R$5:$R$72)</f>
        <v>0</v>
      </c>
      <c r="Y58" s="24">
        <f>IFERROR(INDEX([2]BEV!$C$10:$O$68,
      MATCH(B58,[2]BEV!$B$10:$B$68,0),
      MATCH("JULIO",[2]BEV!$C$9:$O$9,0)),
   0)-IF(B58=100873,
   IFERROR(VLOOKUP("JULIO",[2]BEV!$B$80:$C$93,2,0),
      0),
   0)</f>
        <v>0</v>
      </c>
      <c r="Z58" s="282">
        <f t="shared" ca="1" si="113"/>
        <v>0</v>
      </c>
      <c r="AA58" s="21">
        <f ca="1">SUMIF('UC BMW 2026'!$B$5:$B$81,B58,'UC BMW 2026'!$T$5:$T$72)</f>
        <v>0</v>
      </c>
      <c r="AB58" s="24">
        <f>IFERROR(INDEX([2]BEV!$C$10:$O$68,
      MATCH(B58,[2]BEV!$B$10:$B$68,0),
      MATCH("AGOSTO",[2]BEV!$C$9:$O$9,0)),
   0)-IF(B58=100873,
   IFERROR(VLOOKUP("AGOSTO",[2]BEV!$B$80:$C$93,2,0),
      0),
   0)</f>
        <v>0</v>
      </c>
      <c r="AC58" s="282">
        <f t="shared" ca="1" si="114"/>
        <v>0</v>
      </c>
      <c r="AD58" s="21">
        <f ca="1">SUMIF('UC BMW 2026'!$B$5:$B$81,B58,'UC BMW 2026'!$V$5:$V$72)</f>
        <v>0</v>
      </c>
      <c r="AE58" s="24">
        <f>IFERROR(INDEX([2]BEV!$C$10:$O$68,
      MATCH(B58,[2]BEV!$B$10:$B$68,0),
      MATCH("SEPTIEMBRE",[2]BEV!$C$9:$O$9,0)),
   0)-IF(B58=100873,
   IFERROR(VLOOKUP("SEPTIEMBRE",[2]BEV!$B$80:$C$93,2,0),
      0),
   0)</f>
        <v>0</v>
      </c>
      <c r="AF58" s="282">
        <f t="shared" ca="1" si="115"/>
        <v>0</v>
      </c>
      <c r="AG58" s="21">
        <f ca="1">SUMIF('UC BMW 2026'!$B$5:$B$81,B58,'UC BMW 2026'!$X$5:$X$72)</f>
        <v>0</v>
      </c>
      <c r="AH58" s="24">
        <f>IFERROR(INDEX([2]BEV!$C$10:$O$68,
      MATCH(B58,[2]BEV!$B$10:$B$68,0),
      MATCH("OCTUBRE",[2]BEV!$C$9:$O$9,0)),
   0)-IF(B58=100873,
   IFERROR(VLOOKUP("OCTUBRE",[2]BEV!$B$80:$C$93,2,0),
      0),
   0)</f>
        <v>0</v>
      </c>
      <c r="AI58" s="282">
        <f t="shared" ca="1" si="116"/>
        <v>0</v>
      </c>
      <c r="AJ58" s="21">
        <f ca="1">SUMIF('UC BMW 2026'!$B$5:$B$81,B58,'UC BMW 2026'!$Z$5:$Z$72)</f>
        <v>0</v>
      </c>
      <c r="AK58" s="24">
        <f>IFERROR(INDEX([2]BEV!$C$10:$O$68,
      MATCH(B58,[2]BEV!$B$10:$B$68,0),
      MATCH("NOVIEMBRE",[2]BEV!$C$9:$O$9,0)),
   0)-IF(B58=100873,
   IFERROR(VLOOKUP("NOVIEMBRE",[2]BEV!$B$80:$C$93,2,0),
      0),
   0)</f>
        <v>0</v>
      </c>
      <c r="AL58" s="282">
        <f t="shared" ca="1" si="117"/>
        <v>0</v>
      </c>
      <c r="AM58" s="21">
        <f ca="1">SUMIF('UC BMW 2026'!$B$5:$B$81,B58,'UC BMW 2026'!$AB$5:$AB$72)</f>
        <v>0</v>
      </c>
      <c r="AN58" s="24">
        <f>IFERROR(INDEX([2]BEV!$C$10:$O$68,
      MATCH(B58,[2]BEV!$B$10:$B$68,0),
      MATCH("DICIEMBRE",[2]BEV!$C$9:$O$9,0)),
   0)-IF(B58=100873,
   IFERROR(VLOOKUP("DICIEMBRE",[2]BEV!$B$80:$C$93,2,0),
      0),
   0)</f>
        <v>0</v>
      </c>
      <c r="AO58" s="282">
        <f t="shared" ca="1" si="118"/>
        <v>0</v>
      </c>
      <c r="AP58" s="21">
        <f t="shared" ca="1" si="119"/>
        <v>205</v>
      </c>
      <c r="AQ58" s="24">
        <f t="shared" si="120"/>
        <v>167</v>
      </c>
      <c r="AR58" s="129">
        <f t="shared" ca="1" si="121"/>
        <v>0.81463414634146336</v>
      </c>
      <c r="AS58" s="21">
        <f t="shared" ca="1" si="122"/>
        <v>205</v>
      </c>
      <c r="AT58" s="24">
        <f t="shared" si="123"/>
        <v>167</v>
      </c>
      <c r="AU58" s="129">
        <f t="shared" ca="1" si="124"/>
        <v>0.81463414634146336</v>
      </c>
      <c r="AV58" s="25"/>
      <c r="AW58" s="27"/>
      <c r="AX58" s="287"/>
      <c r="AY58" s="294"/>
      <c r="AZ58" s="287"/>
      <c r="BA58" s="27"/>
      <c r="BB58" s="129"/>
      <c r="BC58" s="21">
        <f ca="1">IFERROR(IF($BC$5="S 1",F58+I58+L58+O58+R58+U58,
IF($BC$5="S 2",X58+AA58+AD58+AG58+AJ58+AM58,0)),0)</f>
        <v>205</v>
      </c>
      <c r="BD58" s="24">
        <f>IFERROR(IF($BC$5="S 1",G58+J58+M58+P58+S58+V58,
IF($BC$5="S 2",Y58+AB58+AE58+AH58+AK58+AN58,0)),0)</f>
        <v>167</v>
      </c>
      <c r="BE58" s="130">
        <f t="shared" ca="1" si="125"/>
        <v>0.81463414634146336</v>
      </c>
      <c r="BF58" s="34">
        <f t="shared" ca="1" si="106"/>
        <v>0</v>
      </c>
      <c r="BG58" s="24">
        <f t="shared" si="106"/>
        <v>0</v>
      </c>
      <c r="BH58" s="130">
        <f t="shared" ca="1" si="126"/>
        <v>0</v>
      </c>
      <c r="BI58" s="4">
        <v>1</v>
      </c>
      <c r="BK58" s="14">
        <f ca="1"/>
        <v>27</v>
      </c>
      <c r="BL58" s="14">
        <v>25</v>
      </c>
      <c r="BM58" s="14">
        <f ca="1"/>
        <v>0.65</v>
      </c>
      <c r="BO58" s="15">
        <f ca="1">SUM(O58,R58,U58)</f>
        <v>103</v>
      </c>
      <c r="BP58" s="15">
        <f>SUM(V58,S58,P58)</f>
        <v>85</v>
      </c>
    </row>
    <row r="59" spans="1:68" s="4" customFormat="1" ht="15" customHeight="1" x14ac:dyDescent="0.3">
      <c r="A59" s="4">
        <f>_xlfn.XLOOKUP(B59,'WHOLESALE BMW 2026'!$B$7:$B$67,'WHOLESALE BMW 2026'!$A$7:$A$67)</f>
        <v>9</v>
      </c>
      <c r="B59" s="8">
        <v>100586</v>
      </c>
      <c r="C59" s="369" t="s">
        <v>67</v>
      </c>
      <c r="D59" s="125"/>
      <c r="E59" s="309" t="s">
        <v>98</v>
      </c>
      <c r="F59" s="21">
        <f ca="1">SUMIF('UC BMW 2026'!$B$5:$B$81,B59,'UC BMW 2026'!$F$5:$F$72)</f>
        <v>39</v>
      </c>
      <c r="G59" s="24">
        <f>IFERROR(INDEX([2]BEV!$C$10:$O$68,
      MATCH(B59,[2]BEV!$B$10:$B$68,0),
      MATCH("ENERO",[2]BEV!$C$9:$O$9,0)),
   0)-IF(B59=100873,
   IFERROR(VLOOKUP("ENERO",[2]BEV!$B$80:$C$93,2,0),
      0),
   0)</f>
        <v>41</v>
      </c>
      <c r="H59" s="285">
        <f t="shared" ca="1" si="107"/>
        <v>1.0512820512820513</v>
      </c>
      <c r="I59" s="21">
        <f ca="1">SUMIF('UC BMW 2026'!$B$5:$B$81,B59,'UC BMW 2026'!$H$5:$H$72)</f>
        <v>39</v>
      </c>
      <c r="J59" s="24">
        <f>IFERROR(INDEX([2]BEV!$C$10:$O$68,
      MATCH(B59,[2]BEV!$B$10:$B$68,0),
      MATCH("FEBRERO",[2]BEV!$C$9:$O$9,0)),
   0)-IF(B59=100873,
   IFERROR(VLOOKUP("FEBRERO",[2]BEV!$B$80:$C$93,2,0),
      0),
   0)</f>
        <v>66</v>
      </c>
      <c r="K59" s="285">
        <f t="shared" ca="1" si="108"/>
        <v>1.6923076923076923</v>
      </c>
      <c r="L59" s="21">
        <f ca="1">SUMIF('UC BMW 2026'!$B$5:$B$81,B59,'UC BMW 2026'!$J$5:$J$72)</f>
        <v>39</v>
      </c>
      <c r="M59" s="24">
        <f>IFERROR(INDEX([2]BEV!$C$10:$O$68,
      MATCH(B59,[2]BEV!$B$10:$B$68,0),
      MATCH("MARZO",[2]BEV!$C$9:$O$9,0)),
   0)-IF(B59=100873,
   IFERROR(VLOOKUP("MARZO",[2]BEV!$B$80:$C$93,2,0),
      0),
   0)</f>
        <v>58</v>
      </c>
      <c r="N59" s="285">
        <f t="shared" ca="1" si="109"/>
        <v>1.4871794871794872</v>
      </c>
      <c r="O59" s="21">
        <f ca="1">SUMIF('UC BMW 2026'!$B$5:$B$81,B59,'UC BMW 2026'!$L$5:$L$72)</f>
        <v>39</v>
      </c>
      <c r="P59" s="24">
        <f>IFERROR(INDEX([2]BEV!$C$10:$O$68,
      MATCH(B59,[2]BEV!$B$10:$B$68,0),
      MATCH("ABRIL",[2]BEV!$C$9:$O$9,0)),
   0)-IF(B59=100873,
   IFERROR(VLOOKUP("ABRIL",[2]BEV!$B$80:$C$93,2,0),
      0),
   0)</f>
        <v>43</v>
      </c>
      <c r="Q59" s="285">
        <f t="shared" ca="1" si="110"/>
        <v>1.1025641025641026</v>
      </c>
      <c r="R59" s="21">
        <f ca="1">SUMIF('UC BMW 2026'!$B$5:$B$81,B59,'UC BMW 2026'!$N$5:$N$72)</f>
        <v>39</v>
      </c>
      <c r="S59" s="24">
        <f>IFERROR(INDEX([2]BEV!$C$10:$O$68,
      MATCH(B59,[2]BEV!$B$10:$B$68,0),
      MATCH("MAYO",[2]BEV!$C$9:$O$9,0)),
   0)-IF(B59=100873,
   IFERROR(VLOOKUP("MAYO",[2]BEV!$B$80:$C$93,2,0),
      0),
   0)</f>
        <v>56</v>
      </c>
      <c r="T59" s="285">
        <f t="shared" ca="1" si="111"/>
        <v>1.4358974358974359</v>
      </c>
      <c r="U59" s="21">
        <f ca="1">SUMIF('UC BMW 2026'!$B$5:$B$81,B59,'UC BMW 2026'!$P$5:$P$72)</f>
        <v>40</v>
      </c>
      <c r="V59" s="24">
        <f>IFERROR(INDEX([2]BEV!$C$10:$O$68,
      MATCH(B59,[2]BEV!$B$10:$B$68,0),
      MATCH("JUNIO",[2]BEV!$C$9:$O$9,0)),
   0)-IF(B59=100873,
   IFERROR(VLOOKUP("JUNIO",[2]BEV!$B$80:$C$93,2,0),
      0),
   0)</f>
        <v>45</v>
      </c>
      <c r="W59" s="285">
        <f t="shared" ca="1" si="112"/>
        <v>1.125</v>
      </c>
      <c r="X59" s="21">
        <f ca="1">SUMIF('UC BMW 2026'!$B$5:$B$81,B59,'UC BMW 2026'!$R$5:$R$72)</f>
        <v>0</v>
      </c>
      <c r="Y59" s="24">
        <f>IFERROR(INDEX([2]BEV!$C$10:$O$68,
      MATCH(B59,[2]BEV!$B$10:$B$68,0),
      MATCH("JULIO",[2]BEV!$C$9:$O$9,0)),
   0)-IF(B59=100873,
   IFERROR(VLOOKUP("JULIO",[2]BEV!$B$80:$C$93,2,0),
      0),
   0)</f>
        <v>0</v>
      </c>
      <c r="Z59" s="285">
        <f t="shared" ca="1" si="113"/>
        <v>0</v>
      </c>
      <c r="AA59" s="21">
        <f ca="1">SUMIF('UC BMW 2026'!$B$5:$B$81,B59,'UC BMW 2026'!$T$5:$T$72)</f>
        <v>0</v>
      </c>
      <c r="AB59" s="24">
        <f>IFERROR(INDEX([2]BEV!$C$10:$O$68,
      MATCH(B59,[2]BEV!$B$10:$B$68,0),
      MATCH("AGOSTO",[2]BEV!$C$9:$O$9,0)),
   0)-IF(B59=100873,
   IFERROR(VLOOKUP("AGOSTO",[2]BEV!$B$80:$C$93,2,0),
      0),
   0)</f>
        <v>0</v>
      </c>
      <c r="AC59" s="285">
        <f t="shared" ca="1" si="114"/>
        <v>0</v>
      </c>
      <c r="AD59" s="21">
        <f ca="1">SUMIF('UC BMW 2026'!$B$5:$B$81,B59,'UC BMW 2026'!$V$5:$V$72)</f>
        <v>0</v>
      </c>
      <c r="AE59" s="24">
        <f>IFERROR(INDEX([2]BEV!$C$10:$O$68,
      MATCH(B59,[2]BEV!$B$10:$B$68,0),
      MATCH("SEPTIEMBRE",[2]BEV!$C$9:$O$9,0)),
   0)-IF(B59=100873,
   IFERROR(VLOOKUP("SEPTIEMBRE",[2]BEV!$B$80:$C$93,2,0),
      0),
   0)</f>
        <v>0</v>
      </c>
      <c r="AF59" s="285">
        <f t="shared" ca="1" si="115"/>
        <v>0</v>
      </c>
      <c r="AG59" s="21">
        <f ca="1">SUMIF('UC BMW 2026'!$B$5:$B$81,B59,'UC BMW 2026'!$X$5:$X$72)</f>
        <v>0</v>
      </c>
      <c r="AH59" s="24">
        <f>IFERROR(INDEX([2]BEV!$C$10:$O$68,
      MATCH(B59,[2]BEV!$B$10:$B$68,0),
      MATCH("OCTUBRE",[2]BEV!$C$9:$O$9,0)),
   0)-IF(B59=100873,
   IFERROR(VLOOKUP("OCTUBRE",[2]BEV!$B$80:$C$93,2,0),
      0),
   0)</f>
        <v>0</v>
      </c>
      <c r="AI59" s="285">
        <f t="shared" ca="1" si="116"/>
        <v>0</v>
      </c>
      <c r="AJ59" s="21">
        <f ca="1">SUMIF('UC BMW 2026'!$B$5:$B$81,B59,'UC BMW 2026'!$Z$5:$Z$72)</f>
        <v>0</v>
      </c>
      <c r="AK59" s="24">
        <f>IFERROR(INDEX([2]BEV!$C$10:$O$68,
      MATCH(B59,[2]BEV!$B$10:$B$68,0),
      MATCH("NOVIEMBRE",[2]BEV!$C$9:$O$9,0)),
   0)-IF(B59=100873,
   IFERROR(VLOOKUP("NOVIEMBRE",[2]BEV!$B$80:$C$93,2,0),
      0),
   0)</f>
        <v>0</v>
      </c>
      <c r="AL59" s="285">
        <f t="shared" ca="1" si="117"/>
        <v>0</v>
      </c>
      <c r="AM59" s="21">
        <f ca="1">SUMIF('UC BMW 2026'!$B$5:$B$81,B59,'UC BMW 2026'!$AB$5:$AB$72)</f>
        <v>0</v>
      </c>
      <c r="AN59" s="24">
        <f>IFERROR(INDEX([2]BEV!$C$10:$O$68,
      MATCH(B59,[2]BEV!$B$10:$B$68,0),
      MATCH("DICIEMBRE",[2]BEV!$C$9:$O$9,0)),
   0)-IF(B59=100873,
   IFERROR(VLOOKUP("DICIEMBRE",[2]BEV!$B$80:$C$93,2,0),
      0),
   0)</f>
        <v>0</v>
      </c>
      <c r="AO59" s="285">
        <f t="shared" ca="1" si="118"/>
        <v>0</v>
      </c>
      <c r="AP59" s="21">
        <f t="shared" ca="1" si="119"/>
        <v>235</v>
      </c>
      <c r="AQ59" s="22">
        <f t="shared" si="120"/>
        <v>309</v>
      </c>
      <c r="AR59" s="129">
        <f t="shared" ca="1" si="121"/>
        <v>1.3148936170212766</v>
      </c>
      <c r="AS59" s="21">
        <f t="shared" ca="1" si="122"/>
        <v>235</v>
      </c>
      <c r="AT59" s="22">
        <f t="shared" si="123"/>
        <v>309</v>
      </c>
      <c r="AU59" s="129">
        <f t="shared" ca="1" si="124"/>
        <v>1.3148936170212766</v>
      </c>
      <c r="AV59" s="25"/>
      <c r="AW59" s="27"/>
      <c r="AX59" s="287"/>
      <c r="AY59" s="291"/>
      <c r="AZ59" s="287"/>
      <c r="BA59" s="27"/>
      <c r="BB59" s="129"/>
      <c r="BC59" s="21">
        <f t="shared" ref="BC59:BD61" ca="1" si="127">IFERROR(IF($BC$5="S 1",F59+I59+L59+O59+R59+U59,
IF($BC$5="S 2",X59+AA59+AD59+AG59+AJ59+AM59,0)),0)</f>
        <v>235</v>
      </c>
      <c r="BD59" s="22">
        <f t="shared" si="127"/>
        <v>309</v>
      </c>
      <c r="BE59" s="130">
        <f t="shared" ca="1" si="125"/>
        <v>1.3148936170212766</v>
      </c>
      <c r="BF59" s="34">
        <f t="shared" ca="1" si="106"/>
        <v>0</v>
      </c>
      <c r="BG59" s="22">
        <f t="shared" si="106"/>
        <v>0</v>
      </c>
      <c r="BH59" s="130">
        <f t="shared" ca="1" si="126"/>
        <v>0</v>
      </c>
      <c r="BI59" s="4">
        <v>1</v>
      </c>
      <c r="BK59" s="4">
        <f ca="1"/>
        <v>24</v>
      </c>
      <c r="BL59" s="4">
        <v>11</v>
      </c>
      <c r="BM59" s="4">
        <f ca="1"/>
        <v>0.30555555555555558</v>
      </c>
      <c r="BO59" s="15">
        <f ca="1">SUM(O59,R59,U59)</f>
        <v>118</v>
      </c>
      <c r="BP59" s="15">
        <f>SUM(V59,S59,P59)</f>
        <v>144</v>
      </c>
    </row>
    <row r="60" spans="1:68" s="4" customFormat="1" ht="15" customHeight="1" thickBot="1" x14ac:dyDescent="0.35">
      <c r="A60" s="4">
        <f>_xlfn.XLOOKUP(B60,'WHOLESALE BMW 2026'!$B$7:$B$67,'WHOLESALE BMW 2026'!$A$7:$A$67)</f>
        <v>9</v>
      </c>
      <c r="B60" s="36">
        <v>100813</v>
      </c>
      <c r="C60" s="375" t="s">
        <v>68</v>
      </c>
      <c r="D60" s="125"/>
      <c r="E60" s="309" t="s">
        <v>98</v>
      </c>
      <c r="F60" s="21">
        <f ca="1">SUMIF('UC BMW 2026'!$B$5:$B$81,B60,'UC BMW 2026'!$F$5:$F$72)</f>
        <v>22</v>
      </c>
      <c r="G60" s="24">
        <f>IFERROR(INDEX([2]BEV!$C$10:$O$68,
      MATCH(B60,[2]BEV!$B$10:$B$68,0),
      MATCH("ENERO",[2]BEV!$C$9:$O$9,0)),
   0)-IF(B60=100873,
   IFERROR(VLOOKUP("ENERO",[2]BEV!$B$80:$C$93,2,0),
      0),
   0)</f>
        <v>38</v>
      </c>
      <c r="H60" s="285">
        <f t="shared" ca="1" si="107"/>
        <v>1.7272727272727273</v>
      </c>
      <c r="I60" s="21">
        <f ca="1">SUMIF('UC BMW 2026'!$B$5:$B$81,B60,'UC BMW 2026'!$H$5:$H$72)</f>
        <v>22</v>
      </c>
      <c r="J60" s="24">
        <f>IFERROR(INDEX([2]BEV!$C$10:$O$68,
      MATCH(B60,[2]BEV!$B$10:$B$68,0),
      MATCH("FEBRERO",[2]BEV!$C$9:$O$9,0)),
   0)-IF(B60=100873,
   IFERROR(VLOOKUP("FEBRERO",[2]BEV!$B$80:$C$93,2,0),
      0),
   0)</f>
        <v>43</v>
      </c>
      <c r="K60" s="285">
        <f t="shared" ca="1" si="108"/>
        <v>1.9545454545454546</v>
      </c>
      <c r="L60" s="21">
        <f ca="1">SUMIF('UC BMW 2026'!$B$5:$B$81,B60,'UC BMW 2026'!$J$5:$J$72)</f>
        <v>22</v>
      </c>
      <c r="M60" s="24">
        <f>IFERROR(INDEX([2]BEV!$C$10:$O$68,
      MATCH(B60,[2]BEV!$B$10:$B$68,0),
      MATCH("MARZO",[2]BEV!$C$9:$O$9,0)),
   0)-IF(B60=100873,
   IFERROR(VLOOKUP("MARZO",[2]BEV!$B$80:$C$93,2,0),
      0),
   0)</f>
        <v>38</v>
      </c>
      <c r="N60" s="285">
        <f t="shared" ca="1" si="109"/>
        <v>1.7272727272727273</v>
      </c>
      <c r="O60" s="21">
        <f ca="1">SUMIF('UC BMW 2026'!$B$5:$B$81,B60,'UC BMW 2026'!$L$5:$L$72)</f>
        <v>23</v>
      </c>
      <c r="P60" s="24">
        <f>IFERROR(INDEX([2]BEV!$C$10:$O$68,
      MATCH(B60,[2]BEV!$B$10:$B$68,0),
      MATCH("ABRIL",[2]BEV!$C$9:$O$9,0)),
   0)-IF(B60=100873,
   IFERROR(VLOOKUP("ABRIL",[2]BEV!$B$80:$C$93,2,0),
      0),
   0)</f>
        <v>37</v>
      </c>
      <c r="Q60" s="285">
        <f t="shared" ca="1" si="110"/>
        <v>1.6086956521739131</v>
      </c>
      <c r="R60" s="21">
        <f ca="1">SUMIF('UC BMW 2026'!$B$5:$B$81,B60,'UC BMW 2026'!$N$5:$N$72)</f>
        <v>23</v>
      </c>
      <c r="S60" s="24">
        <f>IFERROR(INDEX([2]BEV!$C$10:$O$68,
      MATCH(B60,[2]BEV!$B$10:$B$68,0),
      MATCH("MAYO",[2]BEV!$C$9:$O$9,0)),
   0)-IF(B60=100873,
   IFERROR(VLOOKUP("MAYO",[2]BEV!$B$80:$C$93,2,0),
      0),
   0)</f>
        <v>26</v>
      </c>
      <c r="T60" s="285">
        <f t="shared" ca="1" si="111"/>
        <v>1.1304347826086956</v>
      </c>
      <c r="U60" s="21">
        <f ca="1">SUMIF('UC BMW 2026'!$B$5:$B$81,B60,'UC BMW 2026'!$P$5:$P$72)</f>
        <v>23</v>
      </c>
      <c r="V60" s="24">
        <f>IFERROR(INDEX([2]BEV!$C$10:$O$68,
      MATCH(B60,[2]BEV!$B$10:$B$68,0),
      MATCH("JUNIO",[2]BEV!$C$9:$O$9,0)),
   0)-IF(B60=100873,
   IFERROR(VLOOKUP("JUNIO",[2]BEV!$B$80:$C$93,2,0),
      0),
   0)</f>
        <v>42</v>
      </c>
      <c r="W60" s="285">
        <f t="shared" ca="1" si="112"/>
        <v>1.826086956521739</v>
      </c>
      <c r="X60" s="21">
        <f ca="1">SUMIF('UC BMW 2026'!$B$5:$B$81,B60,'UC BMW 2026'!$R$5:$R$72)</f>
        <v>0</v>
      </c>
      <c r="Y60" s="24">
        <f>IFERROR(INDEX([2]BEV!$C$10:$O$68,
      MATCH(B60,[2]BEV!$B$10:$B$68,0),
      MATCH("JULIO",[2]BEV!$C$9:$O$9,0)),
   0)-IF(B60=100873,
   IFERROR(VLOOKUP("JULIO",[2]BEV!$B$80:$C$93,2,0),
      0),
   0)</f>
        <v>0</v>
      </c>
      <c r="Z60" s="285">
        <f t="shared" ca="1" si="113"/>
        <v>0</v>
      </c>
      <c r="AA60" s="21">
        <f ca="1">SUMIF('UC BMW 2026'!$B$5:$B$81,B60,'UC BMW 2026'!$T$5:$T$72)</f>
        <v>0</v>
      </c>
      <c r="AB60" s="24">
        <f>IFERROR(INDEX([2]BEV!$C$10:$O$68,
      MATCH(B60,[2]BEV!$B$10:$B$68,0),
      MATCH("AGOSTO",[2]BEV!$C$9:$O$9,0)),
   0)-IF(B60=100873,
   IFERROR(VLOOKUP("AGOSTO",[2]BEV!$B$80:$C$93,2,0),
      0),
   0)</f>
        <v>0</v>
      </c>
      <c r="AC60" s="285">
        <f t="shared" ca="1" si="114"/>
        <v>0</v>
      </c>
      <c r="AD60" s="21">
        <f ca="1">SUMIF('UC BMW 2026'!$B$5:$B$81,B60,'UC BMW 2026'!$V$5:$V$72)</f>
        <v>0</v>
      </c>
      <c r="AE60" s="24">
        <f>IFERROR(INDEX([2]BEV!$C$10:$O$68,
      MATCH(B60,[2]BEV!$B$10:$B$68,0),
      MATCH("SEPTIEMBRE",[2]BEV!$C$9:$O$9,0)),
   0)-IF(B60=100873,
   IFERROR(VLOOKUP("SEPTIEMBRE",[2]BEV!$B$80:$C$93,2,0),
      0),
   0)</f>
        <v>0</v>
      </c>
      <c r="AF60" s="285">
        <f t="shared" ca="1" si="115"/>
        <v>0</v>
      </c>
      <c r="AG60" s="21">
        <f ca="1">SUMIF('UC BMW 2026'!$B$5:$B$81,B60,'UC BMW 2026'!$X$5:$X$72)</f>
        <v>0</v>
      </c>
      <c r="AH60" s="24">
        <f>IFERROR(INDEX([2]BEV!$C$10:$O$68,
      MATCH(B60,[2]BEV!$B$10:$B$68,0),
      MATCH("OCTUBRE",[2]BEV!$C$9:$O$9,0)),
   0)-IF(B60=100873,
   IFERROR(VLOOKUP("OCTUBRE",[2]BEV!$B$80:$C$93,2,0),
      0),
   0)</f>
        <v>0</v>
      </c>
      <c r="AI60" s="285">
        <f t="shared" ca="1" si="116"/>
        <v>0</v>
      </c>
      <c r="AJ60" s="21">
        <f ca="1">SUMIF('UC BMW 2026'!$B$5:$B$81,B60,'UC BMW 2026'!$Z$5:$Z$72)</f>
        <v>0</v>
      </c>
      <c r="AK60" s="24">
        <f>IFERROR(INDEX([2]BEV!$C$10:$O$68,
      MATCH(B60,[2]BEV!$B$10:$B$68,0),
      MATCH("NOVIEMBRE",[2]BEV!$C$9:$O$9,0)),
   0)-IF(B60=100873,
   IFERROR(VLOOKUP("NOVIEMBRE",[2]BEV!$B$80:$C$93,2,0),
      0),
   0)</f>
        <v>0</v>
      </c>
      <c r="AL60" s="285">
        <f t="shared" ca="1" si="117"/>
        <v>0</v>
      </c>
      <c r="AM60" s="21">
        <f ca="1">SUMIF('UC BMW 2026'!$B$5:$B$81,B60,'UC BMW 2026'!$AB$5:$AB$72)</f>
        <v>0</v>
      </c>
      <c r="AN60" s="24">
        <f>IFERROR(INDEX([2]BEV!$C$10:$O$68,
      MATCH(B60,[2]BEV!$B$10:$B$68,0),
      MATCH("DICIEMBRE",[2]BEV!$C$9:$O$9,0)),
   0)-IF(B60=100873,
   IFERROR(VLOOKUP("DICIEMBRE",[2]BEV!$B$80:$C$93,2,0),
      0),
   0)</f>
        <v>0</v>
      </c>
      <c r="AO60" s="285">
        <f t="shared" ca="1" si="118"/>
        <v>0</v>
      </c>
      <c r="AP60" s="21">
        <f t="shared" ca="1" si="119"/>
        <v>135</v>
      </c>
      <c r="AQ60" s="22">
        <f t="shared" si="120"/>
        <v>224</v>
      </c>
      <c r="AR60" s="129">
        <f t="shared" ca="1" si="121"/>
        <v>1.6592592592592592</v>
      </c>
      <c r="AS60" s="21">
        <f t="shared" ca="1" si="122"/>
        <v>135</v>
      </c>
      <c r="AT60" s="22">
        <f t="shared" si="123"/>
        <v>224</v>
      </c>
      <c r="AU60" s="129">
        <f t="shared" ca="1" si="124"/>
        <v>1.6592592592592592</v>
      </c>
      <c r="AV60" s="25"/>
      <c r="AW60" s="27"/>
      <c r="AX60" s="287"/>
      <c r="AY60" s="291"/>
      <c r="AZ60" s="287"/>
      <c r="BA60" s="27"/>
      <c r="BB60" s="129"/>
      <c r="BC60" s="21">
        <f t="shared" ca="1" si="127"/>
        <v>135</v>
      </c>
      <c r="BD60" s="22">
        <f t="shared" si="127"/>
        <v>224</v>
      </c>
      <c r="BE60" s="130">
        <f t="shared" ca="1" si="125"/>
        <v>1.6592592592592592</v>
      </c>
      <c r="BF60" s="34">
        <f t="shared" ca="1" si="106"/>
        <v>0</v>
      </c>
      <c r="BG60" s="22">
        <f t="shared" si="106"/>
        <v>0</v>
      </c>
      <c r="BH60" s="130">
        <f t="shared" ca="1" si="126"/>
        <v>0</v>
      </c>
      <c r="BI60" s="4">
        <v>1</v>
      </c>
      <c r="BO60" s="15">
        <f ca="1">SUM(O60,R60,U60)</f>
        <v>69</v>
      </c>
      <c r="BP60" s="15">
        <f>SUM(V60,S60,P60)</f>
        <v>105</v>
      </c>
    </row>
    <row r="61" spans="1:68" s="4" customFormat="1" ht="15" customHeight="1" thickBot="1" x14ac:dyDescent="0.3">
      <c r="A61" s="4">
        <f>_xlfn.XLOOKUP(B61,'WHOLESALE BMW 2026'!$B$7:$B$67,'WHOLESALE BMW 2026'!$A$7:$A$67)</f>
        <v>0</v>
      </c>
      <c r="B61" s="7" t="s">
        <v>271</v>
      </c>
      <c r="C61" s="28"/>
      <c r="D61" s="125"/>
      <c r="E61" s="7"/>
      <c r="F61" s="277">
        <f ca="1">SUM(F56:F60)</f>
        <v>154</v>
      </c>
      <c r="G61" s="277">
        <f>SUM(G56:G60)</f>
        <v>163</v>
      </c>
      <c r="H61" s="132">
        <f t="shared" ca="1" si="107"/>
        <v>1.0584415584415585</v>
      </c>
      <c r="I61" s="277">
        <f ca="1">SUM(I56:I60)</f>
        <v>154</v>
      </c>
      <c r="J61" s="277">
        <f>SUM(J56:J60)</f>
        <v>185</v>
      </c>
      <c r="K61" s="132">
        <f t="shared" ca="1" si="108"/>
        <v>1.2012987012987013</v>
      </c>
      <c r="L61" s="277">
        <f ca="1">SUM(L56:L60)</f>
        <v>155</v>
      </c>
      <c r="M61" s="277">
        <f>SUM(M56:M60)</f>
        <v>195</v>
      </c>
      <c r="N61" s="132">
        <f t="shared" ca="1" si="109"/>
        <v>1.2580645161290323</v>
      </c>
      <c r="O61" s="277">
        <f ca="1">SUM(O56:O60)</f>
        <v>156</v>
      </c>
      <c r="P61" s="277">
        <f>SUM(P56:P60)</f>
        <v>158</v>
      </c>
      <c r="Q61" s="132">
        <f t="shared" ca="1" si="110"/>
        <v>1.0128205128205128</v>
      </c>
      <c r="R61" s="277">
        <f ca="1">SUM(R56:R60)</f>
        <v>156</v>
      </c>
      <c r="S61" s="277">
        <f>SUM(S56:S60)</f>
        <v>182</v>
      </c>
      <c r="T61" s="132">
        <f t="shared" ca="1" si="111"/>
        <v>1.1666666666666667</v>
      </c>
      <c r="U61" s="277">
        <f ca="1">SUM(U56:U60)</f>
        <v>160</v>
      </c>
      <c r="V61" s="277">
        <f>SUM(V56:V60)</f>
        <v>186</v>
      </c>
      <c r="W61" s="132">
        <f t="shared" ca="1" si="112"/>
        <v>1.1625000000000001</v>
      </c>
      <c r="X61" s="277">
        <f ca="1">SUM(X56:X60)</f>
        <v>26</v>
      </c>
      <c r="Y61" s="277">
        <f>SUM(Y56:Y60)</f>
        <v>0</v>
      </c>
      <c r="Z61" s="132">
        <f t="shared" ca="1" si="113"/>
        <v>0</v>
      </c>
      <c r="AA61" s="277">
        <f ca="1">SUM(AA56:AA60)</f>
        <v>23</v>
      </c>
      <c r="AB61" s="277">
        <f>SUM(AB56:AB60)</f>
        <v>0</v>
      </c>
      <c r="AC61" s="132">
        <f t="shared" ca="1" si="114"/>
        <v>0</v>
      </c>
      <c r="AD61" s="277">
        <f ca="1">SUM(AD56:AD60)</f>
        <v>26</v>
      </c>
      <c r="AE61" s="277">
        <f>SUM(AE56:AE60)</f>
        <v>0</v>
      </c>
      <c r="AF61" s="132">
        <f t="shared" ca="1" si="115"/>
        <v>0</v>
      </c>
      <c r="AG61" s="277">
        <f ca="1">SUM(AG56:AG60)</f>
        <v>30</v>
      </c>
      <c r="AH61" s="277">
        <f>SUM(AH56:AH60)</f>
        <v>0</v>
      </c>
      <c r="AI61" s="132">
        <f t="shared" ca="1" si="116"/>
        <v>0</v>
      </c>
      <c r="AJ61" s="277">
        <f ca="1">SUM(AJ56:AJ60)</f>
        <v>30</v>
      </c>
      <c r="AK61" s="277">
        <f>SUM(AK56:AK60)</f>
        <v>0</v>
      </c>
      <c r="AL61" s="132">
        <f t="shared" ca="1" si="117"/>
        <v>0</v>
      </c>
      <c r="AM61" s="277">
        <f ca="1">SUM(AM56:AM60)</f>
        <v>25</v>
      </c>
      <c r="AN61" s="277">
        <f>SUM(AN56:AN60)</f>
        <v>0</v>
      </c>
      <c r="AO61" s="132">
        <f t="shared" ca="1" si="118"/>
        <v>0</v>
      </c>
      <c r="AP61" s="277">
        <f t="shared" ca="1" si="119"/>
        <v>935</v>
      </c>
      <c r="AQ61" s="410">
        <f t="shared" si="120"/>
        <v>1069</v>
      </c>
      <c r="AR61" s="131">
        <f t="shared" ca="1" si="121"/>
        <v>1.1433155080213904</v>
      </c>
      <c r="AS61" s="277">
        <f t="shared" ca="1" si="122"/>
        <v>1095</v>
      </c>
      <c r="AT61" s="410">
        <f t="shared" si="123"/>
        <v>1069</v>
      </c>
      <c r="AU61" s="131">
        <f t="shared" ca="1" si="124"/>
        <v>0.9762557077625571</v>
      </c>
      <c r="AV61" s="200"/>
      <c r="AW61" s="258"/>
      <c r="AX61" s="132"/>
      <c r="AY61" s="278"/>
      <c r="AZ61" s="132"/>
      <c r="BA61" s="258"/>
      <c r="BB61" s="131"/>
      <c r="BC61" s="277">
        <f t="shared" ca="1" si="127"/>
        <v>935</v>
      </c>
      <c r="BD61" s="410">
        <f t="shared" si="127"/>
        <v>1069</v>
      </c>
      <c r="BE61" s="275">
        <f t="shared" ca="1" si="125"/>
        <v>1.1433155080213904</v>
      </c>
      <c r="BF61" s="277">
        <f ca="1">IFERROR(SUM(BF56:BF60),0)</f>
        <v>160</v>
      </c>
      <c r="BG61" s="277">
        <f>IFERROR(SUM(BG56:BG60),0)</f>
        <v>0</v>
      </c>
      <c r="BH61" s="275">
        <f t="shared" ca="1" si="126"/>
        <v>0</v>
      </c>
      <c r="BI61" s="4">
        <v>0</v>
      </c>
      <c r="BO61" s="15"/>
      <c r="BP61" s="15"/>
    </row>
    <row r="62" spans="1:68" s="4" customFormat="1" ht="15" customHeight="1" x14ac:dyDescent="0.3">
      <c r="A62" s="4">
        <f>_xlfn.XLOOKUP(B62,'WHOLESALE BMW 2026'!$B$7:$B$67,'WHOLESALE BMW 2026'!$A$7:$A$67)</f>
        <v>10</v>
      </c>
      <c r="B62" s="8">
        <v>100344</v>
      </c>
      <c r="C62" s="369" t="s">
        <v>25</v>
      </c>
      <c r="D62" s="125"/>
      <c r="E62" s="309" t="s">
        <v>202</v>
      </c>
      <c r="F62" s="21">
        <f ca="1">SUMIF('UC BMW 2026'!$B$5:$B$81,B62,'UC BMW 2026'!$F$5:$F$72)</f>
        <v>33</v>
      </c>
      <c r="G62" s="24">
        <f>IFERROR(INDEX([2]BEV!$C$10:$O$68,
      MATCH(B62,[2]BEV!$B$10:$B$68,0),
      MATCH("ENERO",[2]BEV!$C$9:$O$9,0)),
   0)-IF(B62=100873,
   IFERROR(VLOOKUP("ENERO",[2]BEV!$B$80:$C$93,2,0),
      0),
   0)</f>
        <v>41</v>
      </c>
      <c r="H62" s="284">
        <f t="shared" ca="1" si="107"/>
        <v>1.2424242424242424</v>
      </c>
      <c r="I62" s="21">
        <f ca="1">SUMIF('UC BMW 2026'!$B$5:$B$81,B62,'UC BMW 2026'!$H$5:$H$72)</f>
        <v>33</v>
      </c>
      <c r="J62" s="24">
        <f>IFERROR(INDEX([2]BEV!$C$10:$O$68,
      MATCH(B62,[2]BEV!$B$10:$B$68,0),
      MATCH("FEBRERO",[2]BEV!$C$9:$O$9,0)),
   0)-IF(B62=100873,
   IFERROR(VLOOKUP("FEBRERO",[2]BEV!$B$80:$C$93,2,0),
      0),
   0)</f>
        <v>42</v>
      </c>
      <c r="K62" s="284">
        <f t="shared" ca="1" si="108"/>
        <v>1.2727272727272727</v>
      </c>
      <c r="L62" s="21">
        <f ca="1">SUMIF('UC BMW 2026'!$B$5:$B$81,B62,'UC BMW 2026'!$J$5:$J$72)</f>
        <v>33</v>
      </c>
      <c r="M62" s="24">
        <f>IFERROR(INDEX([2]BEV!$C$10:$O$68,
      MATCH(B62,[2]BEV!$B$10:$B$68,0),
      MATCH("MARZO",[2]BEV!$C$9:$O$9,0)),
   0)-IF(B62=100873,
   IFERROR(VLOOKUP("MARZO",[2]BEV!$B$80:$C$93,2,0),
      0),
   0)</f>
        <v>44</v>
      </c>
      <c r="N62" s="284">
        <f t="shared" ca="1" si="109"/>
        <v>1.3333333333333333</v>
      </c>
      <c r="O62" s="21">
        <f ca="1">SUMIF('UC BMW 2026'!$B$5:$B$81,B62,'UC BMW 2026'!$L$5:$L$72)</f>
        <v>33</v>
      </c>
      <c r="P62" s="24">
        <f>IFERROR(INDEX([2]BEV!$C$10:$O$68,
      MATCH(B62,[2]BEV!$B$10:$B$68,0),
      MATCH("ABRIL",[2]BEV!$C$9:$O$9,0)),
   0)-IF(B62=100873,
   IFERROR(VLOOKUP("ABRIL",[2]BEV!$B$80:$C$93,2,0),
      0),
   0)</f>
        <v>35</v>
      </c>
      <c r="Q62" s="284">
        <f t="shared" ca="1" si="110"/>
        <v>1.0606060606060606</v>
      </c>
      <c r="R62" s="21">
        <f ca="1">SUMIF('UC BMW 2026'!$B$5:$B$81,B62,'UC BMW 2026'!$N$5:$N$72)</f>
        <v>34</v>
      </c>
      <c r="S62" s="24">
        <f>IFERROR(INDEX([2]BEV!$C$10:$O$68,
      MATCH(B62,[2]BEV!$B$10:$B$68,0),
      MATCH("MAYO",[2]BEV!$C$9:$O$9,0)),
   0)-IF(B62=100873,
   IFERROR(VLOOKUP("MAYO",[2]BEV!$B$80:$C$93,2,0),
      0),
   0)</f>
        <v>36</v>
      </c>
      <c r="T62" s="284">
        <f t="shared" ca="1" si="111"/>
        <v>1.0588235294117647</v>
      </c>
      <c r="U62" s="21">
        <f ca="1">SUMIF('UC BMW 2026'!$B$5:$B$81,B62,'UC BMW 2026'!$P$5:$P$72)</f>
        <v>34</v>
      </c>
      <c r="V62" s="24">
        <f>IFERROR(INDEX([2]BEV!$C$10:$O$68,
      MATCH(B62,[2]BEV!$B$10:$B$68,0),
      MATCH("JUNIO",[2]BEV!$C$9:$O$9,0)),
   0)-IF(B62=100873,
   IFERROR(VLOOKUP("JUNIO",[2]BEV!$B$80:$C$93,2,0),
      0),
   0)</f>
        <v>36</v>
      </c>
      <c r="W62" s="284">
        <f t="shared" ca="1" si="112"/>
        <v>1.0588235294117647</v>
      </c>
      <c r="X62" s="21">
        <f ca="1">SUMIF('UC BMW 2026'!$B$5:$B$81,B62,'UC BMW 2026'!$R$5:$R$72)</f>
        <v>0</v>
      </c>
      <c r="Y62" s="24">
        <f>IFERROR(INDEX([2]BEV!$C$10:$O$68,
      MATCH(B62,[2]BEV!$B$10:$B$68,0),
      MATCH("JULIO",[2]BEV!$C$9:$O$9,0)),
   0)-IF(B62=100873,
   IFERROR(VLOOKUP("JULIO",[2]BEV!$B$80:$C$93,2,0),
      0),
   0)</f>
        <v>0</v>
      </c>
      <c r="Z62" s="284">
        <f t="shared" ca="1" si="113"/>
        <v>0</v>
      </c>
      <c r="AA62" s="21">
        <f ca="1">SUMIF('UC BMW 2026'!$B$5:$B$81,B62,'UC BMW 2026'!$T$5:$T$72)</f>
        <v>0</v>
      </c>
      <c r="AB62" s="24">
        <f>IFERROR(INDEX([2]BEV!$C$10:$O$68,
      MATCH(B62,[2]BEV!$B$10:$B$68,0),
      MATCH("AGOSTO",[2]BEV!$C$9:$O$9,0)),
   0)-IF(B62=100873,
   IFERROR(VLOOKUP("AGOSTO",[2]BEV!$B$80:$C$93,2,0),
      0),
   0)</f>
        <v>0</v>
      </c>
      <c r="AC62" s="284">
        <f t="shared" ca="1" si="114"/>
        <v>0</v>
      </c>
      <c r="AD62" s="21">
        <f ca="1">SUMIF('UC BMW 2026'!$B$5:$B$81,B62,'UC BMW 2026'!$V$5:$V$72)</f>
        <v>0</v>
      </c>
      <c r="AE62" s="24">
        <f>IFERROR(INDEX([2]BEV!$C$10:$O$68,
      MATCH(B62,[2]BEV!$B$10:$B$68,0),
      MATCH("SEPTIEMBRE",[2]BEV!$C$9:$O$9,0)),
   0)-IF(B62=100873,
   IFERROR(VLOOKUP("SEPTIEMBRE",[2]BEV!$B$80:$C$93,2,0),
      0),
   0)</f>
        <v>0</v>
      </c>
      <c r="AF62" s="284">
        <f t="shared" ca="1" si="115"/>
        <v>0</v>
      </c>
      <c r="AG62" s="21">
        <f ca="1">SUMIF('UC BMW 2026'!$B$5:$B$81,B62,'UC BMW 2026'!$X$5:$X$72)</f>
        <v>0</v>
      </c>
      <c r="AH62" s="24">
        <f>IFERROR(INDEX([2]BEV!$C$10:$O$68,
      MATCH(B62,[2]BEV!$B$10:$B$68,0),
      MATCH("OCTUBRE",[2]BEV!$C$9:$O$9,0)),
   0)-IF(B62=100873,
   IFERROR(VLOOKUP("OCTUBRE",[2]BEV!$B$80:$C$93,2,0),
      0),
   0)</f>
        <v>0</v>
      </c>
      <c r="AI62" s="284">
        <f t="shared" ca="1" si="116"/>
        <v>0</v>
      </c>
      <c r="AJ62" s="21">
        <f ca="1">SUMIF('UC BMW 2026'!$B$5:$B$81,B62,'UC BMW 2026'!$Z$5:$Z$72)</f>
        <v>0</v>
      </c>
      <c r="AK62" s="24">
        <f>IFERROR(INDEX([2]BEV!$C$10:$O$68,
      MATCH(B62,[2]BEV!$B$10:$B$68,0),
      MATCH("NOVIEMBRE",[2]BEV!$C$9:$O$9,0)),
   0)-IF(B62=100873,
   IFERROR(VLOOKUP("NOVIEMBRE",[2]BEV!$B$80:$C$93,2,0),
      0),
   0)</f>
        <v>0</v>
      </c>
      <c r="AL62" s="284">
        <f t="shared" ca="1" si="117"/>
        <v>0</v>
      </c>
      <c r="AM62" s="21">
        <f ca="1">SUMIF('UC BMW 2026'!$B$5:$B$81,B62,'UC BMW 2026'!$AB$5:$AB$72)</f>
        <v>0</v>
      </c>
      <c r="AN62" s="24">
        <f>IFERROR(INDEX([2]BEV!$C$10:$O$68,
      MATCH(B62,[2]BEV!$B$10:$B$68,0),
      MATCH("DICIEMBRE",[2]BEV!$C$9:$O$9,0)),
   0)-IF(B62=100873,
   IFERROR(VLOOKUP("DICIEMBRE",[2]BEV!$B$80:$C$93,2,0),
      0),
   0)</f>
        <v>0</v>
      </c>
      <c r="AO62" s="284">
        <f t="shared" ca="1" si="118"/>
        <v>0</v>
      </c>
      <c r="AP62" s="34">
        <f t="shared" ca="1" si="119"/>
        <v>200</v>
      </c>
      <c r="AQ62" s="18">
        <f t="shared" si="120"/>
        <v>234</v>
      </c>
      <c r="AR62" s="186">
        <f t="shared" ca="1" si="121"/>
        <v>1.17</v>
      </c>
      <c r="AS62" s="34">
        <f t="shared" ca="1" si="122"/>
        <v>200</v>
      </c>
      <c r="AT62" s="18">
        <f t="shared" si="123"/>
        <v>234</v>
      </c>
      <c r="AU62" s="186">
        <f t="shared" ca="1" si="124"/>
        <v>1.17</v>
      </c>
      <c r="AV62" s="25"/>
      <c r="AW62" s="27"/>
      <c r="AX62" s="289"/>
      <c r="AY62" s="290"/>
      <c r="AZ62" s="289"/>
      <c r="BA62" s="27"/>
      <c r="BB62" s="186"/>
      <c r="BC62" s="34">
        <f t="shared" ref="BC62:BD69" ca="1" si="128">IFERROR(IF($BC$5="S 1",F62+I62+L62+O62+R62+U62,
IF($BC$5="S 2",X62+AA62+AD62+AG62+AJ62+AM62,0)),0)</f>
        <v>200</v>
      </c>
      <c r="BD62" s="18">
        <f t="shared" si="128"/>
        <v>234</v>
      </c>
      <c r="BE62" s="187">
        <f t="shared" ca="1" si="125"/>
        <v>1.17</v>
      </c>
      <c r="BF62" s="34">
        <f t="shared" ref="BF62:BG67" ca="1" si="129">IFERROR(IF($BF$5="S 1",F62+I62+L62+O62+R62+U62,
IF($BF$5="S 2",X62+AA62+AD62+AG62+AJ62+AM62,0)),0)</f>
        <v>0</v>
      </c>
      <c r="BG62" s="18">
        <f t="shared" si="129"/>
        <v>0</v>
      </c>
      <c r="BH62" s="187">
        <f t="shared" ca="1" si="126"/>
        <v>0</v>
      </c>
      <c r="BI62" s="4">
        <v>1</v>
      </c>
      <c r="BO62" s="15">
        <f t="shared" ref="BO62:BO67" ca="1" si="130">SUM(O62,R62,U62)</f>
        <v>101</v>
      </c>
      <c r="BP62" s="15">
        <f t="shared" ref="BP62:BP67" si="131">SUM(V62,S62,P62)</f>
        <v>107</v>
      </c>
    </row>
    <row r="63" spans="1:68" s="4" customFormat="1" ht="15" customHeight="1" x14ac:dyDescent="0.3">
      <c r="A63" s="4">
        <f>_xlfn.XLOOKUP(B63,'WHOLESALE BMW 2026'!$B$7:$B$67,'WHOLESALE BMW 2026'!$A$7:$A$67)</f>
        <v>10</v>
      </c>
      <c r="B63" s="8">
        <v>100422</v>
      </c>
      <c r="C63" s="369" t="s">
        <v>20</v>
      </c>
      <c r="D63" s="125"/>
      <c r="E63" s="309" t="s">
        <v>202</v>
      </c>
      <c r="F63" s="21">
        <f ca="1">SUMIF('UC BMW 2026'!$B$5:$B$81,B63,'UC BMW 2026'!$F$5:$F$72)</f>
        <v>15</v>
      </c>
      <c r="G63" s="24">
        <f>IFERROR(INDEX([2]BEV!$C$10:$O$68,
      MATCH(B63,[2]BEV!$B$10:$B$68,0),
      MATCH("ENERO",[2]BEV!$C$9:$O$9,0)),
   0)-IF(B63=100873,
   IFERROR(VLOOKUP("ENERO",[2]BEV!$B$80:$C$93,2,0),
      0),
   0)</f>
        <v>10</v>
      </c>
      <c r="H63" s="285">
        <f t="shared" ca="1" si="107"/>
        <v>0.66666666666666663</v>
      </c>
      <c r="I63" s="21">
        <f ca="1">SUMIF('UC BMW 2026'!$B$5:$B$81,B63,'UC BMW 2026'!$H$5:$H$72)</f>
        <v>15</v>
      </c>
      <c r="J63" s="24">
        <f>IFERROR(INDEX([2]BEV!$C$10:$O$68,
      MATCH(B63,[2]BEV!$B$10:$B$68,0),
      MATCH("FEBRERO",[2]BEV!$C$9:$O$9,0)),
   0)-IF(B63=100873,
   IFERROR(VLOOKUP("FEBRERO",[2]BEV!$B$80:$C$93,2,0),
      0),
   0)</f>
        <v>19</v>
      </c>
      <c r="K63" s="285">
        <f t="shared" ca="1" si="108"/>
        <v>1.2666666666666666</v>
      </c>
      <c r="L63" s="21">
        <f ca="1">SUMIF('UC BMW 2026'!$B$5:$B$81,B63,'UC BMW 2026'!$J$5:$J$72)</f>
        <v>15</v>
      </c>
      <c r="M63" s="24">
        <f>IFERROR(INDEX([2]BEV!$C$10:$O$68,
      MATCH(B63,[2]BEV!$B$10:$B$68,0),
      MATCH("MARZO",[2]BEV!$C$9:$O$9,0)),
   0)-IF(B63=100873,
   IFERROR(VLOOKUP("MARZO",[2]BEV!$B$80:$C$93,2,0),
      0),
   0)</f>
        <v>17</v>
      </c>
      <c r="N63" s="285">
        <f t="shared" ca="1" si="109"/>
        <v>1.1333333333333333</v>
      </c>
      <c r="O63" s="21">
        <f ca="1">SUMIF('UC BMW 2026'!$B$5:$B$81,B63,'UC BMW 2026'!$L$5:$L$72)</f>
        <v>15</v>
      </c>
      <c r="P63" s="24">
        <f>IFERROR(INDEX([2]BEV!$C$10:$O$68,
      MATCH(B63,[2]BEV!$B$10:$B$68,0),
      MATCH("ABRIL",[2]BEV!$C$9:$O$9,0)),
   0)-IF(B63=100873,
   IFERROR(VLOOKUP("ABRIL",[2]BEV!$B$80:$C$93,2,0),
      0),
   0)</f>
        <v>19</v>
      </c>
      <c r="Q63" s="285">
        <f t="shared" ca="1" si="110"/>
        <v>1.2666666666666666</v>
      </c>
      <c r="R63" s="21">
        <f ca="1">SUMIF('UC BMW 2026'!$B$5:$B$81,B63,'UC BMW 2026'!$N$5:$N$72)</f>
        <v>15</v>
      </c>
      <c r="S63" s="24">
        <f>IFERROR(INDEX([2]BEV!$C$10:$O$68,
      MATCH(B63,[2]BEV!$B$10:$B$68,0),
      MATCH("MAYO",[2]BEV!$C$9:$O$9,0)),
   0)-IF(B63=100873,
   IFERROR(VLOOKUP("MAYO",[2]BEV!$B$80:$C$93,2,0),
      0),
   0)</f>
        <v>13</v>
      </c>
      <c r="T63" s="285">
        <f t="shared" ca="1" si="111"/>
        <v>0.8666666666666667</v>
      </c>
      <c r="U63" s="21">
        <f ca="1">SUMIF('UC BMW 2026'!$B$5:$B$81,B63,'UC BMW 2026'!$P$5:$P$72)</f>
        <v>15</v>
      </c>
      <c r="V63" s="24">
        <f>IFERROR(INDEX([2]BEV!$C$10:$O$68,
      MATCH(B63,[2]BEV!$B$10:$B$68,0),
      MATCH("JUNIO",[2]BEV!$C$9:$O$9,0)),
   0)-IF(B63=100873,
   IFERROR(VLOOKUP("JUNIO",[2]BEV!$B$80:$C$93,2,0),
      0),
   0)</f>
        <v>18</v>
      </c>
      <c r="W63" s="285">
        <f t="shared" ca="1" si="112"/>
        <v>1.2</v>
      </c>
      <c r="X63" s="21">
        <f ca="1">SUMIF('UC BMW 2026'!$B$5:$B$81,B63,'UC BMW 2026'!$R$5:$R$72)</f>
        <v>0</v>
      </c>
      <c r="Y63" s="24">
        <f>IFERROR(INDEX([2]BEV!$C$10:$O$68,
      MATCH(B63,[2]BEV!$B$10:$B$68,0),
      MATCH("JULIO",[2]BEV!$C$9:$O$9,0)),
   0)-IF(B63=100873,
   IFERROR(VLOOKUP("JULIO",[2]BEV!$B$80:$C$93,2,0),
      0),
   0)</f>
        <v>0</v>
      </c>
      <c r="Z63" s="285">
        <f t="shared" ca="1" si="113"/>
        <v>0</v>
      </c>
      <c r="AA63" s="21">
        <f ca="1">SUMIF('UC BMW 2026'!$B$5:$B$81,B63,'UC BMW 2026'!$T$5:$T$72)</f>
        <v>0</v>
      </c>
      <c r="AB63" s="24">
        <f>IFERROR(INDEX([2]BEV!$C$10:$O$68,
      MATCH(B63,[2]BEV!$B$10:$B$68,0),
      MATCH("AGOSTO",[2]BEV!$C$9:$O$9,0)),
   0)-IF(B63=100873,
   IFERROR(VLOOKUP("AGOSTO",[2]BEV!$B$80:$C$93,2,0),
      0),
   0)</f>
        <v>0</v>
      </c>
      <c r="AC63" s="285">
        <f t="shared" ca="1" si="114"/>
        <v>0</v>
      </c>
      <c r="AD63" s="21">
        <f ca="1">SUMIF('UC BMW 2026'!$B$5:$B$81,B63,'UC BMW 2026'!$V$5:$V$72)</f>
        <v>0</v>
      </c>
      <c r="AE63" s="24">
        <f>IFERROR(INDEX([2]BEV!$C$10:$O$68,
      MATCH(B63,[2]BEV!$B$10:$B$68,0),
      MATCH("SEPTIEMBRE",[2]BEV!$C$9:$O$9,0)),
   0)-IF(B63=100873,
   IFERROR(VLOOKUP("SEPTIEMBRE",[2]BEV!$B$80:$C$93,2,0),
      0),
   0)</f>
        <v>0</v>
      </c>
      <c r="AF63" s="285">
        <f t="shared" ca="1" si="115"/>
        <v>0</v>
      </c>
      <c r="AG63" s="21">
        <f ca="1">SUMIF('UC BMW 2026'!$B$5:$B$81,B63,'UC BMW 2026'!$X$5:$X$72)</f>
        <v>0</v>
      </c>
      <c r="AH63" s="24">
        <f>IFERROR(INDEX([2]BEV!$C$10:$O$68,
      MATCH(B63,[2]BEV!$B$10:$B$68,0),
      MATCH("OCTUBRE",[2]BEV!$C$9:$O$9,0)),
   0)-IF(B63=100873,
   IFERROR(VLOOKUP("OCTUBRE",[2]BEV!$B$80:$C$93,2,0),
      0),
   0)</f>
        <v>0</v>
      </c>
      <c r="AI63" s="285">
        <f t="shared" ca="1" si="116"/>
        <v>0</v>
      </c>
      <c r="AJ63" s="21">
        <f ca="1">SUMIF('UC BMW 2026'!$B$5:$B$81,B63,'UC BMW 2026'!$Z$5:$Z$72)</f>
        <v>0</v>
      </c>
      <c r="AK63" s="24">
        <f>IFERROR(INDEX([2]BEV!$C$10:$O$68,
      MATCH(B63,[2]BEV!$B$10:$B$68,0),
      MATCH("NOVIEMBRE",[2]BEV!$C$9:$O$9,0)),
   0)-IF(B63=100873,
   IFERROR(VLOOKUP("NOVIEMBRE",[2]BEV!$B$80:$C$93,2,0),
      0),
   0)</f>
        <v>0</v>
      </c>
      <c r="AL63" s="285">
        <f t="shared" ca="1" si="117"/>
        <v>0</v>
      </c>
      <c r="AM63" s="21">
        <f ca="1">SUMIF('UC BMW 2026'!$B$5:$B$81,B63,'UC BMW 2026'!$AB$5:$AB$72)</f>
        <v>0</v>
      </c>
      <c r="AN63" s="24">
        <f>IFERROR(INDEX([2]BEV!$C$10:$O$68,
      MATCH(B63,[2]BEV!$B$10:$B$68,0),
      MATCH("DICIEMBRE",[2]BEV!$C$9:$O$9,0)),
   0)-IF(B63=100873,
   IFERROR(VLOOKUP("DICIEMBRE",[2]BEV!$B$80:$C$93,2,0),
      0),
   0)</f>
        <v>0</v>
      </c>
      <c r="AO63" s="285">
        <f t="shared" ca="1" si="118"/>
        <v>0</v>
      </c>
      <c r="AP63" s="21">
        <f t="shared" ca="1" si="119"/>
        <v>90</v>
      </c>
      <c r="AQ63" s="22">
        <f t="shared" si="120"/>
        <v>96</v>
      </c>
      <c r="AR63" s="129">
        <f t="shared" ca="1" si="121"/>
        <v>1.0666666666666667</v>
      </c>
      <c r="AS63" s="21">
        <f t="shared" ca="1" si="122"/>
        <v>90</v>
      </c>
      <c r="AT63" s="22">
        <f t="shared" si="123"/>
        <v>96</v>
      </c>
      <c r="AU63" s="129">
        <f t="shared" ca="1" si="124"/>
        <v>1.0666666666666667</v>
      </c>
      <c r="AV63" s="25"/>
      <c r="AW63" s="27"/>
      <c r="AX63" s="287"/>
      <c r="AY63" s="291"/>
      <c r="AZ63" s="287"/>
      <c r="BA63" s="27"/>
      <c r="BB63" s="129"/>
      <c r="BC63" s="21">
        <f t="shared" ca="1" si="128"/>
        <v>90</v>
      </c>
      <c r="BD63" s="22">
        <f t="shared" si="128"/>
        <v>96</v>
      </c>
      <c r="BE63" s="130">
        <f t="shared" ca="1" si="125"/>
        <v>1.0666666666666667</v>
      </c>
      <c r="BF63" s="34">
        <f t="shared" ca="1" si="129"/>
        <v>0</v>
      </c>
      <c r="BG63" s="22">
        <f t="shared" si="129"/>
        <v>0</v>
      </c>
      <c r="BH63" s="130">
        <f t="shared" ca="1" si="126"/>
        <v>0</v>
      </c>
      <c r="BI63" s="4">
        <v>1</v>
      </c>
      <c r="BO63" s="15">
        <f t="shared" ca="1" si="130"/>
        <v>45</v>
      </c>
      <c r="BP63" s="15">
        <f t="shared" si="131"/>
        <v>50</v>
      </c>
    </row>
    <row r="64" spans="1:68" s="4" customFormat="1" ht="15" customHeight="1" x14ac:dyDescent="0.3">
      <c r="A64" s="4">
        <f>_xlfn.XLOOKUP(B64,'WHOLESALE BMW 2026'!$B$7:$B$67,'WHOLESALE BMW 2026'!$A$7:$A$67)</f>
        <v>10</v>
      </c>
      <c r="B64" s="8">
        <v>100549</v>
      </c>
      <c r="C64" s="369" t="s">
        <v>66</v>
      </c>
      <c r="D64" s="125"/>
      <c r="E64" s="309" t="s">
        <v>202</v>
      </c>
      <c r="F64" s="21">
        <f ca="1">SUMIF('UC BMW 2026'!$B$5:$B$81,B64,'UC BMW 2026'!$F$5:$F$72)</f>
        <v>7</v>
      </c>
      <c r="G64" s="24">
        <f>IFERROR(INDEX([2]BEV!$C$10:$O$68,
      MATCH(B64,[2]BEV!$B$10:$B$68,0),
      MATCH("ENERO",[2]BEV!$C$9:$O$9,0)),
   0)-IF(B64=100873,
   IFERROR(VLOOKUP("ENERO",[2]BEV!$B$80:$C$93,2,0),
      0),
   0)</f>
        <v>8</v>
      </c>
      <c r="H64" s="285">
        <f t="shared" ca="1" si="107"/>
        <v>1.1428571428571428</v>
      </c>
      <c r="I64" s="21">
        <f ca="1">SUMIF('UC BMW 2026'!$B$5:$B$81,B64,'UC BMW 2026'!$H$5:$H$72)</f>
        <v>7</v>
      </c>
      <c r="J64" s="24">
        <f>IFERROR(INDEX([2]BEV!$C$10:$O$68,
      MATCH(B64,[2]BEV!$B$10:$B$68,0),
      MATCH("FEBRERO",[2]BEV!$C$9:$O$9,0)),
   0)-IF(B64=100873,
   IFERROR(VLOOKUP("FEBRERO",[2]BEV!$B$80:$C$93,2,0),
      0),
   0)</f>
        <v>7</v>
      </c>
      <c r="K64" s="285">
        <f t="shared" ca="1" si="108"/>
        <v>1</v>
      </c>
      <c r="L64" s="21">
        <f ca="1">SUMIF('UC BMW 2026'!$B$5:$B$81,B64,'UC BMW 2026'!$J$5:$J$72)</f>
        <v>7</v>
      </c>
      <c r="M64" s="24">
        <f>IFERROR(INDEX([2]BEV!$C$10:$O$68,
      MATCH(B64,[2]BEV!$B$10:$B$68,0),
      MATCH("MARZO",[2]BEV!$C$9:$O$9,0)),
   0)-IF(B64=100873,
   IFERROR(VLOOKUP("MARZO",[2]BEV!$B$80:$C$93,2,0),
      0),
   0)</f>
        <v>14</v>
      </c>
      <c r="N64" s="285">
        <f t="shared" ca="1" si="109"/>
        <v>2</v>
      </c>
      <c r="O64" s="21">
        <f ca="1">SUMIF('UC BMW 2026'!$B$5:$B$81,B64,'UC BMW 2026'!$L$5:$L$72)</f>
        <v>7</v>
      </c>
      <c r="P64" s="24">
        <f>IFERROR(INDEX([2]BEV!$C$10:$O$68,
      MATCH(B64,[2]BEV!$B$10:$B$68,0),
      MATCH("ABRIL",[2]BEV!$C$9:$O$9,0)),
   0)-IF(B64=100873,
   IFERROR(VLOOKUP("ABRIL",[2]BEV!$B$80:$C$93,2,0),
      0),
   0)</f>
        <v>8</v>
      </c>
      <c r="Q64" s="285">
        <f t="shared" ca="1" si="110"/>
        <v>1.1428571428571428</v>
      </c>
      <c r="R64" s="21">
        <f ca="1">SUMIF('UC BMW 2026'!$B$5:$B$81,B64,'UC BMW 2026'!$N$5:$N$72)</f>
        <v>7</v>
      </c>
      <c r="S64" s="24">
        <f>IFERROR(INDEX([2]BEV!$C$10:$O$68,
      MATCH(B64,[2]BEV!$B$10:$B$68,0),
      MATCH("MAYO",[2]BEV!$C$9:$O$9,0)),
   0)-IF(B64=100873,
   IFERROR(VLOOKUP("MAYO",[2]BEV!$B$80:$C$93,2,0),
      0),
   0)</f>
        <v>13</v>
      </c>
      <c r="T64" s="285">
        <f t="shared" ca="1" si="111"/>
        <v>1.8571428571428572</v>
      </c>
      <c r="U64" s="21">
        <f ca="1">SUMIF('UC BMW 2026'!$B$5:$B$81,B64,'UC BMW 2026'!$P$5:$P$72)</f>
        <v>7</v>
      </c>
      <c r="V64" s="24">
        <f>IFERROR(INDEX([2]BEV!$C$10:$O$68,
      MATCH(B64,[2]BEV!$B$10:$B$68,0),
      MATCH("JUNIO",[2]BEV!$C$9:$O$9,0)),
   0)-IF(B64=100873,
   IFERROR(VLOOKUP("JUNIO",[2]BEV!$B$80:$C$93,2,0),
      0),
   0)</f>
        <v>8</v>
      </c>
      <c r="W64" s="285">
        <f t="shared" ca="1" si="112"/>
        <v>1.1428571428571428</v>
      </c>
      <c r="X64" s="21">
        <f ca="1">SUMIF('UC BMW 2026'!$B$5:$B$81,B64,'UC BMW 2026'!$R$5:$R$72)</f>
        <v>0</v>
      </c>
      <c r="Y64" s="24">
        <f>IFERROR(INDEX([2]BEV!$C$10:$O$68,
      MATCH(B64,[2]BEV!$B$10:$B$68,0),
      MATCH("JULIO",[2]BEV!$C$9:$O$9,0)),
   0)-IF(B64=100873,
   IFERROR(VLOOKUP("JULIO",[2]BEV!$B$80:$C$93,2,0),
      0),
   0)</f>
        <v>0</v>
      </c>
      <c r="Z64" s="285">
        <f t="shared" ca="1" si="113"/>
        <v>0</v>
      </c>
      <c r="AA64" s="21">
        <f ca="1">SUMIF('UC BMW 2026'!$B$5:$B$81,B64,'UC BMW 2026'!$T$5:$T$72)</f>
        <v>0</v>
      </c>
      <c r="AB64" s="24">
        <f>IFERROR(INDEX([2]BEV!$C$10:$O$68,
      MATCH(B64,[2]BEV!$B$10:$B$68,0),
      MATCH("AGOSTO",[2]BEV!$C$9:$O$9,0)),
   0)-IF(B64=100873,
   IFERROR(VLOOKUP("AGOSTO",[2]BEV!$B$80:$C$93,2,0),
      0),
   0)</f>
        <v>0</v>
      </c>
      <c r="AC64" s="285">
        <f t="shared" ca="1" si="114"/>
        <v>0</v>
      </c>
      <c r="AD64" s="21">
        <f ca="1">SUMIF('UC BMW 2026'!$B$5:$B$81,B64,'UC BMW 2026'!$V$5:$V$72)</f>
        <v>0</v>
      </c>
      <c r="AE64" s="24">
        <f>IFERROR(INDEX([2]BEV!$C$10:$O$68,
      MATCH(B64,[2]BEV!$B$10:$B$68,0),
      MATCH("SEPTIEMBRE",[2]BEV!$C$9:$O$9,0)),
   0)-IF(B64=100873,
   IFERROR(VLOOKUP("SEPTIEMBRE",[2]BEV!$B$80:$C$93,2,0),
      0),
   0)</f>
        <v>0</v>
      </c>
      <c r="AF64" s="285">
        <f t="shared" ca="1" si="115"/>
        <v>0</v>
      </c>
      <c r="AG64" s="21">
        <f ca="1">SUMIF('UC BMW 2026'!$B$5:$B$81,B64,'UC BMW 2026'!$X$5:$X$72)</f>
        <v>0</v>
      </c>
      <c r="AH64" s="24">
        <f>IFERROR(INDEX([2]BEV!$C$10:$O$68,
      MATCH(B64,[2]BEV!$B$10:$B$68,0),
      MATCH("OCTUBRE",[2]BEV!$C$9:$O$9,0)),
   0)-IF(B64=100873,
   IFERROR(VLOOKUP("OCTUBRE",[2]BEV!$B$80:$C$93,2,0),
      0),
   0)</f>
        <v>0</v>
      </c>
      <c r="AI64" s="285">
        <f t="shared" ca="1" si="116"/>
        <v>0</v>
      </c>
      <c r="AJ64" s="21">
        <f ca="1">SUMIF('UC BMW 2026'!$B$5:$B$81,B64,'UC BMW 2026'!$Z$5:$Z$72)</f>
        <v>0</v>
      </c>
      <c r="AK64" s="24">
        <f>IFERROR(INDEX([2]BEV!$C$10:$O$68,
      MATCH(B64,[2]BEV!$B$10:$B$68,0),
      MATCH("NOVIEMBRE",[2]BEV!$C$9:$O$9,0)),
   0)-IF(B64=100873,
   IFERROR(VLOOKUP("NOVIEMBRE",[2]BEV!$B$80:$C$93,2,0),
      0),
   0)</f>
        <v>0</v>
      </c>
      <c r="AL64" s="285">
        <f t="shared" ca="1" si="117"/>
        <v>0</v>
      </c>
      <c r="AM64" s="21">
        <f ca="1">SUMIF('UC BMW 2026'!$B$5:$B$81,B64,'UC BMW 2026'!$AB$5:$AB$72)</f>
        <v>0</v>
      </c>
      <c r="AN64" s="24">
        <f>IFERROR(INDEX([2]BEV!$C$10:$O$68,
      MATCH(B64,[2]BEV!$B$10:$B$68,0),
      MATCH("DICIEMBRE",[2]BEV!$C$9:$O$9,0)),
   0)-IF(B64=100873,
   IFERROR(VLOOKUP("DICIEMBRE",[2]BEV!$B$80:$C$93,2,0),
      0),
   0)</f>
        <v>0</v>
      </c>
      <c r="AO64" s="285">
        <f t="shared" ca="1" si="118"/>
        <v>0</v>
      </c>
      <c r="AP64" s="21">
        <f t="shared" ca="1" si="119"/>
        <v>42</v>
      </c>
      <c r="AQ64" s="22">
        <f t="shared" si="120"/>
        <v>58</v>
      </c>
      <c r="AR64" s="129">
        <f t="shared" ca="1" si="121"/>
        <v>1.3809523809523809</v>
      </c>
      <c r="AS64" s="21">
        <f t="shared" ca="1" si="122"/>
        <v>42</v>
      </c>
      <c r="AT64" s="22">
        <f t="shared" si="123"/>
        <v>58</v>
      </c>
      <c r="AU64" s="129">
        <f t="shared" ca="1" si="124"/>
        <v>1.3809523809523809</v>
      </c>
      <c r="AV64" s="25"/>
      <c r="AW64" s="27"/>
      <c r="AX64" s="287"/>
      <c r="AY64" s="291"/>
      <c r="AZ64" s="287"/>
      <c r="BA64" s="27"/>
      <c r="BB64" s="129"/>
      <c r="BC64" s="21">
        <f t="shared" ca="1" si="128"/>
        <v>42</v>
      </c>
      <c r="BD64" s="22">
        <f t="shared" si="128"/>
        <v>58</v>
      </c>
      <c r="BE64" s="130">
        <f t="shared" ca="1" si="125"/>
        <v>1.3809523809523809</v>
      </c>
      <c r="BF64" s="34">
        <f t="shared" ca="1" si="129"/>
        <v>0</v>
      </c>
      <c r="BG64" s="22">
        <f t="shared" si="129"/>
        <v>0</v>
      </c>
      <c r="BH64" s="130">
        <f t="shared" ca="1" si="126"/>
        <v>0</v>
      </c>
      <c r="BI64" s="4">
        <v>1</v>
      </c>
      <c r="BO64" s="15">
        <f t="shared" ca="1" si="130"/>
        <v>21</v>
      </c>
      <c r="BP64" s="15">
        <f t="shared" si="131"/>
        <v>29</v>
      </c>
    </row>
    <row r="65" spans="1:68" s="4" customFormat="1" ht="15" customHeight="1" x14ac:dyDescent="0.3">
      <c r="A65" s="4">
        <f>_xlfn.XLOOKUP(B65,'WHOLESALE BMW 2026'!$B$7:$B$67,'WHOLESALE BMW 2026'!$A$7:$A$67)</f>
        <v>10</v>
      </c>
      <c r="B65" s="8">
        <v>100589</v>
      </c>
      <c r="C65" s="369" t="s">
        <v>17</v>
      </c>
      <c r="D65" s="125"/>
      <c r="E65" s="309" t="s">
        <v>202</v>
      </c>
      <c r="F65" s="21">
        <f ca="1">SUMIF('UC BMW 2026'!$B$5:$B$81,B65,'UC BMW 2026'!$F$5:$F$72)</f>
        <v>22</v>
      </c>
      <c r="G65" s="24">
        <f>IFERROR(INDEX([2]BEV!$C$10:$O$68,
      MATCH(B65,[2]BEV!$B$10:$B$68,0),
      MATCH("ENERO",[2]BEV!$C$9:$O$9,0)),
   0)-IF(B65=100873,
   IFERROR(VLOOKUP("ENERO",[2]BEV!$B$80:$C$93,2,0),
      0),
   0)</f>
        <v>25</v>
      </c>
      <c r="H65" s="285">
        <f t="shared" ca="1" si="107"/>
        <v>1.1363636363636365</v>
      </c>
      <c r="I65" s="21">
        <f ca="1">SUMIF('UC BMW 2026'!$B$5:$B$81,B65,'UC BMW 2026'!$H$5:$H$72)</f>
        <v>22</v>
      </c>
      <c r="J65" s="24">
        <f>IFERROR(INDEX([2]BEV!$C$10:$O$68,
      MATCH(B65,[2]BEV!$B$10:$B$68,0),
      MATCH("FEBRERO",[2]BEV!$C$9:$O$9,0)),
   0)-IF(B65=100873,
   IFERROR(VLOOKUP("FEBRERO",[2]BEV!$B$80:$C$93,2,0),
      0),
   0)</f>
        <v>36</v>
      </c>
      <c r="K65" s="285">
        <f t="shared" ca="1" si="108"/>
        <v>1.6363636363636365</v>
      </c>
      <c r="L65" s="21">
        <f ca="1">SUMIF('UC BMW 2026'!$B$5:$B$81,B65,'UC BMW 2026'!$J$5:$J$72)</f>
        <v>22</v>
      </c>
      <c r="M65" s="24">
        <f>IFERROR(INDEX([2]BEV!$C$10:$O$68,
      MATCH(B65,[2]BEV!$B$10:$B$68,0),
      MATCH("MARZO",[2]BEV!$C$9:$O$9,0)),
   0)-IF(B65=100873,
   IFERROR(VLOOKUP("MARZO",[2]BEV!$B$80:$C$93,2,0),
      0),
   0)</f>
        <v>32</v>
      </c>
      <c r="N65" s="285">
        <f t="shared" ca="1" si="109"/>
        <v>1.4545454545454546</v>
      </c>
      <c r="O65" s="21">
        <f ca="1">SUMIF('UC BMW 2026'!$B$5:$B$81,B65,'UC BMW 2026'!$L$5:$L$72)</f>
        <v>23</v>
      </c>
      <c r="P65" s="24">
        <f>IFERROR(INDEX([2]BEV!$C$10:$O$68,
      MATCH(B65,[2]BEV!$B$10:$B$68,0),
      MATCH("ABRIL",[2]BEV!$C$9:$O$9,0)),
   0)-IF(B65=100873,
   IFERROR(VLOOKUP("ABRIL",[2]BEV!$B$80:$C$93,2,0),
      0),
   0)</f>
        <v>23</v>
      </c>
      <c r="Q65" s="285">
        <f t="shared" ca="1" si="110"/>
        <v>1</v>
      </c>
      <c r="R65" s="21">
        <f ca="1">SUMIF('UC BMW 2026'!$B$5:$B$81,B65,'UC BMW 2026'!$N$5:$N$72)</f>
        <v>23</v>
      </c>
      <c r="S65" s="24">
        <f>IFERROR(INDEX([2]BEV!$C$10:$O$68,
      MATCH(B65,[2]BEV!$B$10:$B$68,0),
      MATCH("MAYO",[2]BEV!$C$9:$O$9,0)),
   0)-IF(B65=100873,
   IFERROR(VLOOKUP("MAYO",[2]BEV!$B$80:$C$93,2,0),
      0),
   0)</f>
        <v>19</v>
      </c>
      <c r="T65" s="285">
        <f t="shared" ca="1" si="111"/>
        <v>0.82608695652173914</v>
      </c>
      <c r="U65" s="21">
        <f ca="1">SUMIF('UC BMW 2026'!$B$5:$B$81,B65,'UC BMW 2026'!$P$5:$P$72)</f>
        <v>23</v>
      </c>
      <c r="V65" s="24">
        <f>IFERROR(INDEX([2]BEV!$C$10:$O$68,
      MATCH(B65,[2]BEV!$B$10:$B$68,0),
      MATCH("JUNIO",[2]BEV!$C$9:$O$9,0)),
   0)-IF(B65=100873,
   IFERROR(VLOOKUP("JUNIO",[2]BEV!$B$80:$C$93,2,0),
      0),
   0)</f>
        <v>21</v>
      </c>
      <c r="W65" s="285">
        <f t="shared" ca="1" si="112"/>
        <v>0.91304347826086951</v>
      </c>
      <c r="X65" s="21">
        <f ca="1">SUMIF('UC BMW 2026'!$B$5:$B$81,B65,'UC BMW 2026'!$R$5:$R$72)</f>
        <v>0</v>
      </c>
      <c r="Y65" s="24">
        <f>IFERROR(INDEX([2]BEV!$C$10:$O$68,
      MATCH(B65,[2]BEV!$B$10:$B$68,0),
      MATCH("JULIO",[2]BEV!$C$9:$O$9,0)),
   0)-IF(B65=100873,
   IFERROR(VLOOKUP("JULIO",[2]BEV!$B$80:$C$93,2,0),
      0),
   0)</f>
        <v>0</v>
      </c>
      <c r="Z65" s="285">
        <f t="shared" ca="1" si="113"/>
        <v>0</v>
      </c>
      <c r="AA65" s="21">
        <f ca="1">SUMIF('UC BMW 2026'!$B$5:$B$81,B65,'UC BMW 2026'!$T$5:$T$72)</f>
        <v>0</v>
      </c>
      <c r="AB65" s="24">
        <f>IFERROR(INDEX([2]BEV!$C$10:$O$68,
      MATCH(B65,[2]BEV!$B$10:$B$68,0),
      MATCH("AGOSTO",[2]BEV!$C$9:$O$9,0)),
   0)-IF(B65=100873,
   IFERROR(VLOOKUP("AGOSTO",[2]BEV!$B$80:$C$93,2,0),
      0),
   0)</f>
        <v>0</v>
      </c>
      <c r="AC65" s="285">
        <f t="shared" ca="1" si="114"/>
        <v>0</v>
      </c>
      <c r="AD65" s="21">
        <f ca="1">SUMIF('UC BMW 2026'!$B$5:$B$81,B65,'UC BMW 2026'!$V$5:$V$72)</f>
        <v>0</v>
      </c>
      <c r="AE65" s="24">
        <f>IFERROR(INDEX([2]BEV!$C$10:$O$68,
      MATCH(B65,[2]BEV!$B$10:$B$68,0),
      MATCH("SEPTIEMBRE",[2]BEV!$C$9:$O$9,0)),
   0)-IF(B65=100873,
   IFERROR(VLOOKUP("SEPTIEMBRE",[2]BEV!$B$80:$C$93,2,0),
      0),
   0)</f>
        <v>0</v>
      </c>
      <c r="AF65" s="285">
        <f t="shared" ca="1" si="115"/>
        <v>0</v>
      </c>
      <c r="AG65" s="21">
        <f ca="1">SUMIF('UC BMW 2026'!$B$5:$B$81,B65,'UC BMW 2026'!$X$5:$X$72)</f>
        <v>0</v>
      </c>
      <c r="AH65" s="24">
        <f>IFERROR(INDEX([2]BEV!$C$10:$O$68,
      MATCH(B65,[2]BEV!$B$10:$B$68,0),
      MATCH("OCTUBRE",[2]BEV!$C$9:$O$9,0)),
   0)-IF(B65=100873,
   IFERROR(VLOOKUP("OCTUBRE",[2]BEV!$B$80:$C$93,2,0),
      0),
   0)</f>
        <v>0</v>
      </c>
      <c r="AI65" s="285">
        <f t="shared" ca="1" si="116"/>
        <v>0</v>
      </c>
      <c r="AJ65" s="21">
        <f ca="1">SUMIF('UC BMW 2026'!$B$5:$B$81,B65,'UC BMW 2026'!$Z$5:$Z$72)</f>
        <v>0</v>
      </c>
      <c r="AK65" s="24">
        <f>IFERROR(INDEX([2]BEV!$C$10:$O$68,
      MATCH(B65,[2]BEV!$B$10:$B$68,0),
      MATCH("NOVIEMBRE",[2]BEV!$C$9:$O$9,0)),
   0)-IF(B65=100873,
   IFERROR(VLOOKUP("NOVIEMBRE",[2]BEV!$B$80:$C$93,2,0),
      0),
   0)</f>
        <v>0</v>
      </c>
      <c r="AL65" s="285">
        <f t="shared" ca="1" si="117"/>
        <v>0</v>
      </c>
      <c r="AM65" s="21">
        <f ca="1">SUMIF('UC BMW 2026'!$B$5:$B$81,B65,'UC BMW 2026'!$AB$5:$AB$72)</f>
        <v>0</v>
      </c>
      <c r="AN65" s="24">
        <f>IFERROR(INDEX([2]BEV!$C$10:$O$68,
      MATCH(B65,[2]BEV!$B$10:$B$68,0),
      MATCH("DICIEMBRE",[2]BEV!$C$9:$O$9,0)),
   0)-IF(B65=100873,
   IFERROR(VLOOKUP("DICIEMBRE",[2]BEV!$B$80:$C$93,2,0),
      0),
   0)</f>
        <v>0</v>
      </c>
      <c r="AO65" s="285">
        <f t="shared" ca="1" si="118"/>
        <v>0</v>
      </c>
      <c r="AP65" s="21">
        <f t="shared" ca="1" si="119"/>
        <v>135</v>
      </c>
      <c r="AQ65" s="22">
        <f t="shared" si="120"/>
        <v>156</v>
      </c>
      <c r="AR65" s="129">
        <f t="shared" ca="1" si="121"/>
        <v>1.1555555555555554</v>
      </c>
      <c r="AS65" s="21">
        <f t="shared" ca="1" si="122"/>
        <v>135</v>
      </c>
      <c r="AT65" s="22">
        <f t="shared" si="123"/>
        <v>156</v>
      </c>
      <c r="AU65" s="129">
        <f t="shared" ca="1" si="124"/>
        <v>1.1555555555555554</v>
      </c>
      <c r="AV65" s="25"/>
      <c r="AW65" s="27"/>
      <c r="AX65" s="287"/>
      <c r="AY65" s="291"/>
      <c r="AZ65" s="287"/>
      <c r="BA65" s="27"/>
      <c r="BB65" s="129"/>
      <c r="BC65" s="21">
        <f t="shared" ca="1" si="128"/>
        <v>135</v>
      </c>
      <c r="BD65" s="22">
        <f t="shared" si="128"/>
        <v>156</v>
      </c>
      <c r="BE65" s="130">
        <f t="shared" ca="1" si="125"/>
        <v>1.1555555555555554</v>
      </c>
      <c r="BF65" s="34">
        <f t="shared" ca="1" si="129"/>
        <v>0</v>
      </c>
      <c r="BG65" s="22">
        <f t="shared" si="129"/>
        <v>0</v>
      </c>
      <c r="BH65" s="130">
        <f t="shared" ca="1" si="126"/>
        <v>0</v>
      </c>
      <c r="BI65" s="4">
        <v>1</v>
      </c>
      <c r="BO65" s="15">
        <f t="shared" ca="1" si="130"/>
        <v>69</v>
      </c>
      <c r="BP65" s="15">
        <f t="shared" si="131"/>
        <v>63</v>
      </c>
    </row>
    <row r="66" spans="1:68" s="4" customFormat="1" ht="15" customHeight="1" x14ac:dyDescent="0.3">
      <c r="A66" s="4">
        <f>_xlfn.XLOOKUP(B66,'WHOLESALE BMW 2026'!$B$7:$B$67,'WHOLESALE BMW 2026'!$A$7:$A$67)</f>
        <v>10</v>
      </c>
      <c r="B66" s="8">
        <v>100819</v>
      </c>
      <c r="C66" s="369" t="s">
        <v>74</v>
      </c>
      <c r="D66" s="125"/>
      <c r="E66" s="309" t="s">
        <v>202</v>
      </c>
      <c r="F66" s="21">
        <f ca="1">SUMIF('UC BMW 2026'!$B$5:$B$81,B66,'UC BMW 2026'!$F$5:$F$72)</f>
        <v>18</v>
      </c>
      <c r="G66" s="24">
        <f>IFERROR(INDEX([2]BEV!$C$10:$O$68,
      MATCH(B66,[2]BEV!$B$10:$B$68,0),
      MATCH("ENERO",[2]BEV!$C$9:$O$9,0)),
   0)-IF(B66=100873,
   IFERROR(VLOOKUP("ENERO",[2]BEV!$B$80:$C$93,2,0),
      0),
   0)</f>
        <v>175</v>
      </c>
      <c r="H66" s="285">
        <f t="shared" ca="1" si="107"/>
        <v>9.7222222222222214</v>
      </c>
      <c r="I66" s="21">
        <f ca="1">SUMIF('UC BMW 2026'!$B$5:$B$81,B66,'UC BMW 2026'!$H$5:$H$72)</f>
        <v>18</v>
      </c>
      <c r="J66" s="24">
        <f>IFERROR(INDEX([2]BEV!$C$10:$O$68,
      MATCH(B66,[2]BEV!$B$10:$B$68,0),
      MATCH("FEBRERO",[2]BEV!$C$9:$O$9,0)),
   0)-IF(B66=100873,
   IFERROR(VLOOKUP("FEBRERO",[2]BEV!$B$80:$C$93,2,0),
      0),
   0)</f>
        <v>184</v>
      </c>
      <c r="K66" s="285">
        <f t="shared" ca="1" si="108"/>
        <v>10.222222222222221</v>
      </c>
      <c r="L66" s="21">
        <f ca="1">SUMIF('UC BMW 2026'!$B$5:$B$81,B66,'UC BMW 2026'!$J$5:$J$72)</f>
        <v>18</v>
      </c>
      <c r="M66" s="24">
        <f>IFERROR(INDEX([2]BEV!$C$10:$O$68,
      MATCH(B66,[2]BEV!$B$10:$B$68,0),
      MATCH("MARZO",[2]BEV!$C$9:$O$9,0)),
   0)-IF(B66=100873,
   IFERROR(VLOOKUP("MARZO",[2]BEV!$B$80:$C$93,2,0),
      0),
   0)</f>
        <v>241</v>
      </c>
      <c r="N66" s="285">
        <f t="shared" ca="1" si="109"/>
        <v>13.388888888888889</v>
      </c>
      <c r="O66" s="21">
        <f ca="1">SUMIF('UC BMW 2026'!$B$5:$B$81,B66,'UC BMW 2026'!$L$5:$L$72)</f>
        <v>18</v>
      </c>
      <c r="P66" s="24">
        <f>IFERROR(INDEX([2]BEV!$C$10:$O$68,
      MATCH(B66,[2]BEV!$B$10:$B$68,0),
      MATCH("ABRIL",[2]BEV!$C$9:$O$9,0)),
   0)-IF(B66=100873,
   IFERROR(VLOOKUP("ABRIL",[2]BEV!$B$80:$C$93,2,0),
      0),
   0)</f>
        <v>187</v>
      </c>
      <c r="Q66" s="285">
        <f t="shared" ca="1" si="110"/>
        <v>10.388888888888889</v>
      </c>
      <c r="R66" s="21">
        <f ca="1">SUMIF('UC BMW 2026'!$B$5:$B$81,B66,'UC BMW 2026'!$N$5:$N$72)</f>
        <v>19</v>
      </c>
      <c r="S66" s="24">
        <f>IFERROR(INDEX([2]BEV!$C$10:$O$68,
      MATCH(B66,[2]BEV!$B$10:$B$68,0),
      MATCH("MAYO",[2]BEV!$C$9:$O$9,0)),
   0)-IF(B66=100873,
   IFERROR(VLOOKUP("MAYO",[2]BEV!$B$80:$C$93,2,0),
      0),
   0)</f>
        <v>207</v>
      </c>
      <c r="T66" s="285">
        <f t="shared" ca="1" si="111"/>
        <v>10.894736842105264</v>
      </c>
      <c r="U66" s="21">
        <f ca="1">SUMIF('UC BMW 2026'!$B$5:$B$81,B66,'UC BMW 2026'!$P$5:$P$72)</f>
        <v>19</v>
      </c>
      <c r="V66" s="24">
        <f>IFERROR(INDEX([2]BEV!$C$10:$O$68,
      MATCH(B66,[2]BEV!$B$10:$B$68,0),
      MATCH("JUNIO",[2]BEV!$C$9:$O$9,0)),
   0)-IF(B66=100873,
   IFERROR(VLOOKUP("JUNIO",[2]BEV!$B$80:$C$93,2,0),
      0),
   0)</f>
        <v>209</v>
      </c>
      <c r="W66" s="285">
        <f t="shared" ca="1" si="112"/>
        <v>11</v>
      </c>
      <c r="X66" s="21">
        <f ca="1">SUMIF('UC BMW 2026'!$B$5:$B$81,B66,'UC BMW 2026'!$R$5:$R$72)</f>
        <v>0</v>
      </c>
      <c r="Y66" s="24">
        <f>IFERROR(INDEX([2]BEV!$C$10:$O$68,
      MATCH(B66,[2]BEV!$B$10:$B$68,0),
      MATCH("JULIO",[2]BEV!$C$9:$O$9,0)),
   0)-IF(B66=100873,
   IFERROR(VLOOKUP("JULIO",[2]BEV!$B$80:$C$93,2,0),
      0),
   0)</f>
        <v>0</v>
      </c>
      <c r="Z66" s="285">
        <f t="shared" ca="1" si="113"/>
        <v>0</v>
      </c>
      <c r="AA66" s="21">
        <f ca="1">SUMIF('UC BMW 2026'!$B$5:$B$81,B66,'UC BMW 2026'!$T$5:$T$72)</f>
        <v>0</v>
      </c>
      <c r="AB66" s="24">
        <f>IFERROR(INDEX([2]BEV!$C$10:$O$68,
      MATCH(B66,[2]BEV!$B$10:$B$68,0),
      MATCH("AGOSTO",[2]BEV!$C$9:$O$9,0)),
   0)-IF(B66=100873,
   IFERROR(VLOOKUP("AGOSTO",[2]BEV!$B$80:$C$93,2,0),
      0),
   0)</f>
        <v>0</v>
      </c>
      <c r="AC66" s="285">
        <f t="shared" ca="1" si="114"/>
        <v>0</v>
      </c>
      <c r="AD66" s="21">
        <f ca="1">SUMIF('UC BMW 2026'!$B$5:$B$81,B66,'UC BMW 2026'!$V$5:$V$72)</f>
        <v>0</v>
      </c>
      <c r="AE66" s="24">
        <f>IFERROR(INDEX([2]BEV!$C$10:$O$68,
      MATCH(B66,[2]BEV!$B$10:$B$68,0),
      MATCH("SEPTIEMBRE",[2]BEV!$C$9:$O$9,0)),
   0)-IF(B66=100873,
   IFERROR(VLOOKUP("SEPTIEMBRE",[2]BEV!$B$80:$C$93,2,0),
      0),
   0)</f>
        <v>0</v>
      </c>
      <c r="AF66" s="285">
        <f t="shared" ca="1" si="115"/>
        <v>0</v>
      </c>
      <c r="AG66" s="21">
        <f ca="1">SUMIF('UC BMW 2026'!$B$5:$B$81,B66,'UC BMW 2026'!$X$5:$X$72)</f>
        <v>0</v>
      </c>
      <c r="AH66" s="24">
        <f>IFERROR(INDEX([2]BEV!$C$10:$O$68,
      MATCH(B66,[2]BEV!$B$10:$B$68,0),
      MATCH("OCTUBRE",[2]BEV!$C$9:$O$9,0)),
   0)-IF(B66=100873,
   IFERROR(VLOOKUP("OCTUBRE",[2]BEV!$B$80:$C$93,2,0),
      0),
   0)</f>
        <v>0</v>
      </c>
      <c r="AI66" s="285">
        <f t="shared" ca="1" si="116"/>
        <v>0</v>
      </c>
      <c r="AJ66" s="21">
        <f ca="1">SUMIF('UC BMW 2026'!$B$5:$B$81,B66,'UC BMW 2026'!$Z$5:$Z$72)</f>
        <v>0</v>
      </c>
      <c r="AK66" s="24">
        <f>IFERROR(INDEX([2]BEV!$C$10:$O$68,
      MATCH(B66,[2]BEV!$B$10:$B$68,0),
      MATCH("NOVIEMBRE",[2]BEV!$C$9:$O$9,0)),
   0)-IF(B66=100873,
   IFERROR(VLOOKUP("NOVIEMBRE",[2]BEV!$B$80:$C$93,2,0),
      0),
   0)</f>
        <v>0</v>
      </c>
      <c r="AL66" s="285">
        <f t="shared" ca="1" si="117"/>
        <v>0</v>
      </c>
      <c r="AM66" s="21">
        <f ca="1">SUMIF('UC BMW 2026'!$B$5:$B$81,B66,'UC BMW 2026'!$AB$5:$AB$72)</f>
        <v>0</v>
      </c>
      <c r="AN66" s="24">
        <f>IFERROR(INDEX([2]BEV!$C$10:$O$68,
      MATCH(B66,[2]BEV!$B$10:$B$68,0),
      MATCH("DICIEMBRE",[2]BEV!$C$9:$O$9,0)),
   0)-IF(B66=100873,
   IFERROR(VLOOKUP("DICIEMBRE",[2]BEV!$B$80:$C$93,2,0),
      0),
   0)</f>
        <v>0</v>
      </c>
      <c r="AO66" s="285">
        <f t="shared" ca="1" si="118"/>
        <v>0</v>
      </c>
      <c r="AP66" s="21">
        <f t="shared" ca="1" si="119"/>
        <v>110</v>
      </c>
      <c r="AQ66" s="22">
        <f t="shared" si="120"/>
        <v>1203</v>
      </c>
      <c r="AR66" s="129">
        <f t="shared" ca="1" si="121"/>
        <v>10.936363636363636</v>
      </c>
      <c r="AS66" s="21">
        <f t="shared" ca="1" si="122"/>
        <v>110</v>
      </c>
      <c r="AT66" s="22">
        <f t="shared" si="123"/>
        <v>1203</v>
      </c>
      <c r="AU66" s="129">
        <f t="shared" ca="1" si="124"/>
        <v>10.936363636363636</v>
      </c>
      <c r="AV66" s="25"/>
      <c r="AW66" s="27"/>
      <c r="AX66" s="287"/>
      <c r="AY66" s="291"/>
      <c r="AZ66" s="287"/>
      <c r="BA66" s="27"/>
      <c r="BB66" s="129"/>
      <c r="BC66" s="21">
        <f t="shared" ca="1" si="128"/>
        <v>110</v>
      </c>
      <c r="BD66" s="22">
        <f t="shared" si="128"/>
        <v>1203</v>
      </c>
      <c r="BE66" s="130">
        <f t="shared" ca="1" si="125"/>
        <v>10.936363636363636</v>
      </c>
      <c r="BF66" s="34">
        <f t="shared" ca="1" si="129"/>
        <v>0</v>
      </c>
      <c r="BG66" s="22">
        <f t="shared" si="129"/>
        <v>0</v>
      </c>
      <c r="BH66" s="130">
        <f t="shared" ca="1" si="126"/>
        <v>0</v>
      </c>
      <c r="BI66" s="4">
        <v>1</v>
      </c>
      <c r="BO66" s="15">
        <f t="shared" ca="1" si="130"/>
        <v>56</v>
      </c>
      <c r="BP66" s="15">
        <f t="shared" si="131"/>
        <v>603</v>
      </c>
    </row>
    <row r="67" spans="1:68" s="4" customFormat="1" ht="15" customHeight="1" thickBot="1" x14ac:dyDescent="0.35">
      <c r="A67" s="4">
        <f>_xlfn.XLOOKUP(B67,'WHOLESALE BMW 2026'!$B$7:$B$67,'WHOLESALE BMW 2026'!$A$7:$A$67)</f>
        <v>10</v>
      </c>
      <c r="B67" s="8">
        <v>100881</v>
      </c>
      <c r="C67" s="369" t="s">
        <v>163</v>
      </c>
      <c r="D67" s="125"/>
      <c r="E67" s="309" t="s">
        <v>164</v>
      </c>
      <c r="F67" s="21">
        <f ca="1">SUMIF('UC BMW 2026'!$B$5:$B$81,B67,'UC BMW 2026'!$F$5:$F$72)</f>
        <v>26</v>
      </c>
      <c r="G67" s="24">
        <f>IFERROR(INDEX([2]BEV!$C$10:$O$68,
      MATCH(B67,[2]BEV!$B$10:$B$68,0),
      MATCH("ENERO",[2]BEV!$C$9:$O$9,0)),
   0)-IF(B67=100873,
   IFERROR(VLOOKUP("ENERO",[2]BEV!$B$80:$C$93,2,0),
      0),
   0)</f>
        <v>21</v>
      </c>
      <c r="H67" s="286">
        <f t="shared" ca="1" si="107"/>
        <v>0.80769230769230771</v>
      </c>
      <c r="I67" s="21">
        <f ca="1">SUMIF('UC BMW 2026'!$B$5:$B$81,B67,'UC BMW 2026'!$H$5:$H$72)</f>
        <v>26</v>
      </c>
      <c r="J67" s="24">
        <f>IFERROR(INDEX([2]BEV!$C$10:$O$68,
      MATCH(B67,[2]BEV!$B$10:$B$68,0),
      MATCH("FEBRERO",[2]BEV!$C$9:$O$9,0)),
   0)-IF(B67=100873,
   IFERROR(VLOOKUP("FEBRERO",[2]BEV!$B$80:$C$93,2,0),
      0),
   0)</f>
        <v>20</v>
      </c>
      <c r="K67" s="286">
        <f t="shared" ca="1" si="108"/>
        <v>0.76923076923076927</v>
      </c>
      <c r="L67" s="21">
        <f ca="1">SUMIF('UC BMW 2026'!$B$5:$B$81,B67,'UC BMW 2026'!$J$5:$J$72)</f>
        <v>27</v>
      </c>
      <c r="M67" s="24">
        <f>IFERROR(INDEX([2]BEV!$C$10:$O$68,
      MATCH(B67,[2]BEV!$B$10:$B$68,0),
      MATCH("MARZO",[2]BEV!$C$9:$O$9,0)),
   0)-IF(B67=100873,
   IFERROR(VLOOKUP("MARZO",[2]BEV!$B$80:$C$93,2,0),
      0),
   0)</f>
        <v>34</v>
      </c>
      <c r="N67" s="286">
        <f t="shared" ca="1" si="109"/>
        <v>1.2592592592592593</v>
      </c>
      <c r="O67" s="21">
        <f ca="1">SUMIF('UC BMW 2026'!$B$5:$B$81,B67,'UC BMW 2026'!$L$5:$L$72)</f>
        <v>27</v>
      </c>
      <c r="P67" s="24">
        <f>IFERROR(INDEX([2]BEV!$C$10:$O$68,
      MATCH(B67,[2]BEV!$B$10:$B$68,0),
      MATCH("ABRIL",[2]BEV!$C$9:$O$9,0)),
   0)-IF(B67=100873,
   IFERROR(VLOOKUP("ABRIL",[2]BEV!$B$80:$C$93,2,0),
      0),
   0)</f>
        <v>44</v>
      </c>
      <c r="Q67" s="286">
        <f t="shared" ca="1" si="110"/>
        <v>1.6296296296296295</v>
      </c>
      <c r="R67" s="21">
        <f ca="1">SUMIF('UC BMW 2026'!$B$5:$B$81,B67,'UC BMW 2026'!$N$5:$N$72)</f>
        <v>27</v>
      </c>
      <c r="S67" s="24">
        <f>IFERROR(INDEX([2]BEV!$C$10:$O$68,
      MATCH(B67,[2]BEV!$B$10:$B$68,0),
      MATCH("MAYO",[2]BEV!$C$9:$O$9,0)),
   0)-IF(B67=100873,
   IFERROR(VLOOKUP("MAYO",[2]BEV!$B$80:$C$93,2,0),
      0),
   0)</f>
        <v>30</v>
      </c>
      <c r="T67" s="286">
        <f t="shared" ca="1" si="111"/>
        <v>1.1111111111111112</v>
      </c>
      <c r="U67" s="21">
        <f ca="1">SUMIF('UC BMW 2026'!$B$5:$B$81,B67,'UC BMW 2026'!$P$5:$P$72)</f>
        <v>27</v>
      </c>
      <c r="V67" s="24">
        <f>IFERROR(INDEX([2]BEV!$C$10:$O$68,
      MATCH(B67,[2]BEV!$B$10:$B$68,0),
      MATCH("JUNIO",[2]BEV!$C$9:$O$9,0)),
   0)-IF(B67=100873,
   IFERROR(VLOOKUP("JUNIO",[2]BEV!$B$80:$C$93,2,0),
      0),
   0)</f>
        <v>37</v>
      </c>
      <c r="W67" s="286">
        <f t="shared" ca="1" si="112"/>
        <v>1.3703703703703705</v>
      </c>
      <c r="X67" s="21">
        <f ca="1">SUMIF('UC BMW 2026'!$B$5:$B$81,B67,'UC BMW 2026'!$R$5:$R$72)</f>
        <v>0</v>
      </c>
      <c r="Y67" s="24">
        <f>IFERROR(INDEX([2]BEV!$C$10:$O$68,
      MATCH(B67,[2]BEV!$B$10:$B$68,0),
      MATCH("JULIO",[2]BEV!$C$9:$O$9,0)),
   0)-IF(B67=100873,
   IFERROR(VLOOKUP("JULIO",[2]BEV!$B$80:$C$93,2,0),
      0),
   0)</f>
        <v>0</v>
      </c>
      <c r="Z67" s="286">
        <f t="shared" ca="1" si="113"/>
        <v>0</v>
      </c>
      <c r="AA67" s="21">
        <f ca="1">SUMIF('UC BMW 2026'!$B$5:$B$81,B67,'UC BMW 2026'!$T$5:$T$72)</f>
        <v>0</v>
      </c>
      <c r="AB67" s="24">
        <f>IFERROR(INDEX([2]BEV!$C$10:$O$68,
      MATCH(B67,[2]BEV!$B$10:$B$68,0),
      MATCH("AGOSTO",[2]BEV!$C$9:$O$9,0)),
   0)-IF(B67=100873,
   IFERROR(VLOOKUP("AGOSTO",[2]BEV!$B$80:$C$93,2,0),
      0),
   0)</f>
        <v>0</v>
      </c>
      <c r="AC67" s="286">
        <f t="shared" ca="1" si="114"/>
        <v>0</v>
      </c>
      <c r="AD67" s="21">
        <f ca="1">SUMIF('UC BMW 2026'!$B$5:$B$81,B67,'UC BMW 2026'!$V$5:$V$72)</f>
        <v>0</v>
      </c>
      <c r="AE67" s="24">
        <f>IFERROR(INDEX([2]BEV!$C$10:$O$68,
      MATCH(B67,[2]BEV!$B$10:$B$68,0),
      MATCH("SEPTIEMBRE",[2]BEV!$C$9:$O$9,0)),
   0)-IF(B67=100873,
   IFERROR(VLOOKUP("SEPTIEMBRE",[2]BEV!$B$80:$C$93,2,0),
      0),
   0)</f>
        <v>0</v>
      </c>
      <c r="AF67" s="286">
        <f t="shared" ca="1" si="115"/>
        <v>0</v>
      </c>
      <c r="AG67" s="21">
        <f ca="1">SUMIF('UC BMW 2026'!$B$5:$B$81,B67,'UC BMW 2026'!$X$5:$X$72)</f>
        <v>0</v>
      </c>
      <c r="AH67" s="24">
        <f>IFERROR(INDEX([2]BEV!$C$10:$O$68,
      MATCH(B67,[2]BEV!$B$10:$B$68,0),
      MATCH("OCTUBRE",[2]BEV!$C$9:$O$9,0)),
   0)-IF(B67=100873,
   IFERROR(VLOOKUP("OCTUBRE",[2]BEV!$B$80:$C$93,2,0),
      0),
   0)</f>
        <v>0</v>
      </c>
      <c r="AI67" s="286">
        <f t="shared" ca="1" si="116"/>
        <v>0</v>
      </c>
      <c r="AJ67" s="21">
        <f ca="1">SUMIF('UC BMW 2026'!$B$5:$B$81,B67,'UC BMW 2026'!$Z$5:$Z$72)</f>
        <v>0</v>
      </c>
      <c r="AK67" s="24">
        <f>IFERROR(INDEX([2]BEV!$C$10:$O$68,
      MATCH(B67,[2]BEV!$B$10:$B$68,0),
      MATCH("NOVIEMBRE",[2]BEV!$C$9:$O$9,0)),
   0)-IF(B67=100873,
   IFERROR(VLOOKUP("NOVIEMBRE",[2]BEV!$B$80:$C$93,2,0),
      0),
   0)</f>
        <v>0</v>
      </c>
      <c r="AL67" s="286">
        <f t="shared" ca="1" si="117"/>
        <v>0</v>
      </c>
      <c r="AM67" s="21">
        <f ca="1">SUMIF('UC BMW 2026'!$B$5:$B$81,B67,'UC BMW 2026'!$AB$5:$AB$72)</f>
        <v>0</v>
      </c>
      <c r="AN67" s="24">
        <f>IFERROR(INDEX([2]BEV!$C$10:$O$68,
      MATCH(B67,[2]BEV!$B$10:$B$68,0),
      MATCH("DICIEMBRE",[2]BEV!$C$9:$O$9,0)),
   0)-IF(B67=100873,
   IFERROR(VLOOKUP("DICIEMBRE",[2]BEV!$B$80:$C$93,2,0),
      0),
   0)</f>
        <v>0</v>
      </c>
      <c r="AO67" s="286">
        <f t="shared" ca="1" si="118"/>
        <v>0</v>
      </c>
      <c r="AP67" s="21">
        <f t="shared" ca="1" si="119"/>
        <v>160</v>
      </c>
      <c r="AQ67" s="279">
        <f t="shared" si="120"/>
        <v>186</v>
      </c>
      <c r="AR67" s="129">
        <f t="shared" ca="1" si="121"/>
        <v>1.1625000000000001</v>
      </c>
      <c r="AS67" s="21">
        <f t="shared" ca="1" si="122"/>
        <v>160</v>
      </c>
      <c r="AT67" s="279">
        <f t="shared" si="123"/>
        <v>186</v>
      </c>
      <c r="AU67" s="129">
        <f t="shared" ca="1" si="124"/>
        <v>1.1625000000000001</v>
      </c>
      <c r="AV67" s="25"/>
      <c r="AW67" s="27"/>
      <c r="AX67" s="283"/>
      <c r="AY67" s="292"/>
      <c r="AZ67" s="283"/>
      <c r="BA67" s="27"/>
      <c r="BB67" s="129"/>
      <c r="BC67" s="21">
        <f t="shared" ca="1" si="128"/>
        <v>160</v>
      </c>
      <c r="BD67" s="279">
        <f t="shared" si="128"/>
        <v>186</v>
      </c>
      <c r="BE67" s="130">
        <f t="shared" ca="1" si="125"/>
        <v>1.1625000000000001</v>
      </c>
      <c r="BF67" s="34">
        <f t="shared" ca="1" si="129"/>
        <v>0</v>
      </c>
      <c r="BG67" s="279">
        <f t="shared" si="129"/>
        <v>0</v>
      </c>
      <c r="BH67" s="130">
        <f t="shared" ca="1" si="126"/>
        <v>0</v>
      </c>
      <c r="BI67" s="4">
        <v>1</v>
      </c>
      <c r="BO67" s="15">
        <f t="shared" ca="1" si="130"/>
        <v>81</v>
      </c>
      <c r="BP67" s="15">
        <f t="shared" si="131"/>
        <v>111</v>
      </c>
    </row>
    <row r="68" spans="1:68" s="4" customFormat="1" ht="15" customHeight="1" thickBot="1" x14ac:dyDescent="0.3">
      <c r="B68" s="7" t="s">
        <v>272</v>
      </c>
      <c r="C68" s="28"/>
      <c r="D68" s="125"/>
      <c r="E68" s="7"/>
      <c r="F68" s="277">
        <f ca="1">SUM(F62:F67)</f>
        <v>121</v>
      </c>
      <c r="G68" s="410">
        <f>SUM(G62:G67)</f>
        <v>280</v>
      </c>
      <c r="H68" s="132">
        <f t="shared" ca="1" si="107"/>
        <v>2.3140495867768593</v>
      </c>
      <c r="I68" s="277">
        <f ca="1">SUM(I62:I67)</f>
        <v>121</v>
      </c>
      <c r="J68" s="410">
        <f>SUM(J62:J67)</f>
        <v>308</v>
      </c>
      <c r="K68" s="132">
        <f t="shared" ca="1" si="108"/>
        <v>2.5454545454545454</v>
      </c>
      <c r="L68" s="277">
        <f ca="1">SUM(L62:L67)</f>
        <v>122</v>
      </c>
      <c r="M68" s="410">
        <f>SUM(M62:M67)</f>
        <v>382</v>
      </c>
      <c r="N68" s="132">
        <f t="shared" ca="1" si="109"/>
        <v>3.1311475409836067</v>
      </c>
      <c r="O68" s="277">
        <f ca="1">SUM(O62:O67)</f>
        <v>123</v>
      </c>
      <c r="P68" s="410">
        <f>SUM(P62:P67)</f>
        <v>316</v>
      </c>
      <c r="Q68" s="132">
        <f t="shared" ca="1" si="110"/>
        <v>2.5691056910569108</v>
      </c>
      <c r="R68" s="277">
        <f ca="1">SUM(R62:R67)</f>
        <v>125</v>
      </c>
      <c r="S68" s="410">
        <f>SUM(S62:S67)</f>
        <v>318</v>
      </c>
      <c r="T68" s="132">
        <f t="shared" ca="1" si="111"/>
        <v>2.544</v>
      </c>
      <c r="U68" s="277">
        <f ca="1">SUM(U62:U67)</f>
        <v>125</v>
      </c>
      <c r="V68" s="410">
        <f>SUM(V62:V67)</f>
        <v>329</v>
      </c>
      <c r="W68" s="132">
        <f t="shared" ca="1" si="112"/>
        <v>2.6320000000000001</v>
      </c>
      <c r="X68" s="277">
        <f ca="1">SUM(X62:X67)</f>
        <v>0</v>
      </c>
      <c r="Y68" s="410">
        <f>SUM(Y62:Y67)</f>
        <v>0</v>
      </c>
      <c r="Z68" s="132">
        <f t="shared" ca="1" si="113"/>
        <v>0</v>
      </c>
      <c r="AA68" s="277">
        <f ca="1">SUM(AA62:AA67)</f>
        <v>0</v>
      </c>
      <c r="AB68" s="410">
        <f>SUM(AB62:AB67)</f>
        <v>0</v>
      </c>
      <c r="AC68" s="132">
        <f t="shared" ca="1" si="114"/>
        <v>0</v>
      </c>
      <c r="AD68" s="277">
        <f ca="1">SUM(AD62:AD67)</f>
        <v>0</v>
      </c>
      <c r="AE68" s="410">
        <f>SUM(AE62:AE67)</f>
        <v>0</v>
      </c>
      <c r="AF68" s="132">
        <f t="shared" ca="1" si="115"/>
        <v>0</v>
      </c>
      <c r="AG68" s="277">
        <f ca="1">SUM(AG62:AG67)</f>
        <v>0</v>
      </c>
      <c r="AH68" s="410">
        <f>SUM(AH62:AH67)</f>
        <v>0</v>
      </c>
      <c r="AI68" s="132">
        <f t="shared" ca="1" si="116"/>
        <v>0</v>
      </c>
      <c r="AJ68" s="277">
        <f ca="1">SUM(AJ62:AJ67)</f>
        <v>0</v>
      </c>
      <c r="AK68" s="410">
        <f>SUM(AK62:AK67)</f>
        <v>0</v>
      </c>
      <c r="AL68" s="132">
        <f t="shared" ca="1" si="117"/>
        <v>0</v>
      </c>
      <c r="AM68" s="277">
        <f ca="1">SUM(AM62:AM67)</f>
        <v>0</v>
      </c>
      <c r="AN68" s="410">
        <f>SUM(AN62:AN67)</f>
        <v>0</v>
      </c>
      <c r="AO68" s="132">
        <f t="shared" ca="1" si="118"/>
        <v>0</v>
      </c>
      <c r="AP68" s="277">
        <f t="shared" ca="1" si="119"/>
        <v>737</v>
      </c>
      <c r="AQ68" s="410">
        <f t="shared" si="120"/>
        <v>1933</v>
      </c>
      <c r="AR68" s="131">
        <f t="shared" ca="1" si="121"/>
        <v>2.6227951153324289</v>
      </c>
      <c r="AS68" s="277">
        <f t="shared" ca="1" si="122"/>
        <v>737</v>
      </c>
      <c r="AT68" s="410">
        <f t="shared" si="123"/>
        <v>1933</v>
      </c>
      <c r="AU68" s="131">
        <f t="shared" ca="1" si="124"/>
        <v>2.6227951153324289</v>
      </c>
      <c r="AV68" s="200"/>
      <c r="AW68" s="258"/>
      <c r="AX68" s="132"/>
      <c r="AY68" s="278"/>
      <c r="AZ68" s="132"/>
      <c r="BA68" s="258"/>
      <c r="BB68" s="131"/>
      <c r="BC68" s="277">
        <f t="shared" ca="1" si="128"/>
        <v>737</v>
      </c>
      <c r="BD68" s="410">
        <f t="shared" si="128"/>
        <v>1933</v>
      </c>
      <c r="BE68" s="275">
        <f t="shared" ca="1" si="125"/>
        <v>2.6227951153324289</v>
      </c>
      <c r="BF68" s="277">
        <f ca="1">IFERROR(SUM(BF62:BF67),0)</f>
        <v>0</v>
      </c>
      <c r="BG68" s="277">
        <f>IFERROR(SUM(BG62:BG67),0)</f>
        <v>0</v>
      </c>
      <c r="BH68" s="275">
        <f t="shared" ca="1" si="126"/>
        <v>0</v>
      </c>
    </row>
    <row r="69" spans="1:68" s="4" customFormat="1" ht="15" customHeight="1" thickBot="1" x14ac:dyDescent="0.35">
      <c r="B69" s="8">
        <v>12345</v>
      </c>
      <c r="C69" s="369" t="s">
        <v>278</v>
      </c>
      <c r="D69" s="125"/>
      <c r="E69" s="309"/>
      <c r="F69" s="21">
        <f ca="1">SUMIF('UC BMW 2026'!$B$5:$B$81,B69,'UC BMW 2026'!$F$5:$F$72)</f>
        <v>0</v>
      </c>
      <c r="G69" s="22">
        <f>IFERROR(VLOOKUP("ENERO",[2]BEV!$B$80:$C$93,2,0),0)</f>
        <v>2</v>
      </c>
      <c r="H69" s="285"/>
      <c r="I69" s="21">
        <f ca="1">SUMIF('UC BMW 2026'!$B$5:$B$81,B69,'UC BMW 2026'!$H$5:$H$72)</f>
        <v>0</v>
      </c>
      <c r="J69" s="24">
        <f>IFERROR(VLOOKUP("FEBRERO",[2]BEV!$B$80:$C$93,2,0),0)</f>
        <v>3</v>
      </c>
      <c r="K69" s="285"/>
      <c r="L69" s="21">
        <f ca="1">SUMIF('UC BMW 2026'!$B$5:$B$81,B69,'UC BMW 2026'!$J$5:$J$72)</f>
        <v>0</v>
      </c>
      <c r="M69" s="22">
        <f>IFERROR(VLOOKUP("MARZO",[2]BEV!$B$80:$C$93,2,0),0)</f>
        <v>2</v>
      </c>
      <c r="N69" s="285"/>
      <c r="O69" s="21">
        <f ca="1">SUMIF('UC BMW 2026'!$B$5:$B$81,B69,'UC BMW 2026'!$L$5:$L$72)</f>
        <v>0</v>
      </c>
      <c r="P69" s="22">
        <f>IFERROR(VLOOKUP("ABRIL",[2]BEV!$B$80:$C$93,2,0),0)</f>
        <v>2</v>
      </c>
      <c r="Q69" s="285"/>
      <c r="R69" s="21">
        <f ca="1">SUMIF('UC BMW 2026'!$B$5:$B$81,B69,'UC BMW 2026'!$N$5:$N$72)</f>
        <v>0</v>
      </c>
      <c r="S69" s="22">
        <f>IFERROR(VLOOKUP("MAYO",[2]BEV!$B$80:$C$93,2,0),0)</f>
        <v>2</v>
      </c>
      <c r="T69" s="285"/>
      <c r="U69" s="21">
        <f ca="1">SUMIF('UC BMW 2026'!$B$5:$B$81,B69,'UC BMW 2026'!$P$5:$P$72)</f>
        <v>0</v>
      </c>
      <c r="V69" s="22">
        <f>IFERROR(VLOOKUP("JUNIO",[2]BEV!$B$80:$C$93,2,0),0)</f>
        <v>7</v>
      </c>
      <c r="W69" s="285"/>
      <c r="X69" s="21">
        <f ca="1">SUMIF('UC BMW 2026'!$B$5:$B$81,B69,'UC BMW 2026'!$R$5:$R$72)</f>
        <v>0</v>
      </c>
      <c r="Y69" s="22">
        <f>IFERROR(VLOOKUP("JULIO",[2]BEV!$B$80:$C$93,2,0),0)</f>
        <v>0</v>
      </c>
      <c r="Z69" s="285"/>
      <c r="AA69" s="21">
        <f ca="1">SUMIF('UC BMW 2026'!$B$5:$B$81,B69,'UC BMW 2026'!$T$5:$T$72)</f>
        <v>0</v>
      </c>
      <c r="AB69" s="22">
        <f>IFERROR(VLOOKUP("AGOSTO",[2]BEV!$B$80:$C$93,2,0),0)</f>
        <v>0</v>
      </c>
      <c r="AC69" s="285"/>
      <c r="AD69" s="21">
        <f ca="1">SUMIF('UC BMW 2026'!$B$5:$B$81,B69,'UC BMW 2026'!$V$5:$V$72)</f>
        <v>0</v>
      </c>
      <c r="AE69" s="22">
        <f>IFERROR(VLOOKUP("SEPTIEMBRE",[2]BEV!$B$80:$C$93,2,0),0)</f>
        <v>0</v>
      </c>
      <c r="AF69" s="285"/>
      <c r="AG69" s="21">
        <f ca="1">SUMIF('UC BMW 2026'!$B$5:$B$81,B69,'UC BMW 2026'!$X$5:$X$72)</f>
        <v>0</v>
      </c>
      <c r="AH69" s="22">
        <f>IFERROR(VLOOKUP("OCTUBRE",[2]BEV!$B$80:$C$93,2,0),0)</f>
        <v>0</v>
      </c>
      <c r="AI69" s="285"/>
      <c r="AJ69" s="21">
        <f ca="1">SUMIF('UC BMW 2026'!$B$5:$B$81,B69,'UC BMW 2026'!$Z$5:$Z$72)</f>
        <v>0</v>
      </c>
      <c r="AK69" s="22">
        <f>IFERROR(VLOOKUP("NOVIEMBRE",[2]BEV!$B$80:$C$93,2,0),0)</f>
        <v>0</v>
      </c>
      <c r="AL69" s="285"/>
      <c r="AM69" s="21">
        <f ca="1">SUMIF('UC BMW 2026'!$B$5:$B$81,B69,'UC BMW 2026'!$AB$5:$AB$72)</f>
        <v>0</v>
      </c>
      <c r="AN69" s="22">
        <f>IFERROR(VLOOKUP("DICIEMBRE",[2]BEV!$B$80:$C$93,2,0),0)</f>
        <v>0</v>
      </c>
      <c r="AO69" s="285"/>
      <c r="AP69" s="21">
        <f t="shared" ca="1" si="119"/>
        <v>0</v>
      </c>
      <c r="AQ69" s="279">
        <f t="shared" si="120"/>
        <v>18</v>
      </c>
      <c r="AR69" s="129">
        <f t="shared" ca="1" si="121"/>
        <v>0</v>
      </c>
      <c r="AS69" s="21">
        <f t="shared" ca="1" si="122"/>
        <v>0</v>
      </c>
      <c r="AT69" s="279">
        <f t="shared" si="123"/>
        <v>18</v>
      </c>
      <c r="AU69" s="129">
        <f t="shared" ca="1" si="124"/>
        <v>0</v>
      </c>
      <c r="AV69" s="25"/>
      <c r="AW69" s="27"/>
      <c r="AX69" s="287"/>
      <c r="AY69" s="291"/>
      <c r="AZ69" s="287"/>
      <c r="BA69" s="27"/>
      <c r="BB69" s="129"/>
      <c r="BC69" s="21">
        <f t="shared" ca="1" si="128"/>
        <v>0</v>
      </c>
      <c r="BD69" s="279">
        <f t="shared" si="128"/>
        <v>18</v>
      </c>
      <c r="BE69" s="130">
        <f t="shared" ca="1" si="125"/>
        <v>0</v>
      </c>
      <c r="BF69" s="34">
        <f ca="1">IFERROR(IF($BF$5="S 1",F69+I69+L69+O69+R69+U69,
IF($BF$5="S 2",X69+AA69+AD69+AG69+AJ69+AM69,0)),0)</f>
        <v>0</v>
      </c>
      <c r="BG69" s="279">
        <f>IFERROR(IF($BF$5="S 1",G69+J69+M69+P69+S69+V69,
IF($BF$5="S 2",Y69+AB69+AE69+AH69+AK69+AN69,0)),0)</f>
        <v>0</v>
      </c>
      <c r="BH69" s="130">
        <f t="shared" ca="1" si="126"/>
        <v>0</v>
      </c>
      <c r="BO69" s="15"/>
      <c r="BP69" s="15"/>
    </row>
    <row r="70" spans="1:68" s="4" customFormat="1" ht="15" customHeight="1" thickBot="1" x14ac:dyDescent="0.3">
      <c r="B70" s="6" t="s">
        <v>27</v>
      </c>
      <c r="C70" s="37"/>
      <c r="D70" s="125"/>
      <c r="E70" s="38"/>
      <c r="F70" s="39">
        <f ca="1">F11+F17+F23+F31+F37+F44+F48+F55+F61+F68+F69</f>
        <v>1098</v>
      </c>
      <c r="G70" s="39">
        <f>G11+G17+G23+G31+G37+G44+G48+G55+G61+G68+G69</f>
        <v>1318</v>
      </c>
      <c r="H70" s="135">
        <f ca="1">IFERROR(G70/F70,0)</f>
        <v>1.2003642987249545</v>
      </c>
      <c r="I70" s="39">
        <f ca="1">I11+I17+I23+I31+I37+I44+I48+I55+I61+I68+I69</f>
        <v>1108</v>
      </c>
      <c r="J70" s="39">
        <f>J11+J17+J23+J31+J37+J44+J48+J55+J61+J68+J69</f>
        <v>1554</v>
      </c>
      <c r="K70" s="135">
        <f ca="1">IFERROR(J70/I70,0)</f>
        <v>1.4025270758122743</v>
      </c>
      <c r="L70" s="39">
        <f ca="1">L11+L17+L23+L31+L37+L44+L48+L55+L61+L68+L69</f>
        <v>1135</v>
      </c>
      <c r="M70" s="39">
        <f>M11+M17+M23+M31+M37+M44+M48+M55+M61+M68+M69</f>
        <v>1754</v>
      </c>
      <c r="N70" s="135">
        <f ca="1">IFERROR(M70/L70,0)</f>
        <v>1.545374449339207</v>
      </c>
      <c r="O70" s="39">
        <f ca="1">O11+O17+O23+O31+O37+O44+O48+O55+O61+O68+O69</f>
        <v>1132</v>
      </c>
      <c r="P70" s="39">
        <f>P11+P17+P23+P31+P37+P44+P48+P55+P61+P68+P69</f>
        <v>1568</v>
      </c>
      <c r="Q70" s="135">
        <f ca="1">IFERROR(P70/O70,0)</f>
        <v>1.3851590106007068</v>
      </c>
      <c r="R70" s="39">
        <f ca="1">R11+R17+R23+R31+R37+R44+R48+R55+R61+R68+R69</f>
        <v>1156</v>
      </c>
      <c r="S70" s="39">
        <f>S11+S17+S23+S31+S37+S44+S48+S55+S61+S68+S69</f>
        <v>1550</v>
      </c>
      <c r="T70" s="135">
        <f ca="1">IFERROR(S70/R70,0)</f>
        <v>1.3408304498269896</v>
      </c>
      <c r="U70" s="39">
        <f ca="1">U11+U17+U23+U31+U37+U44+U48+U55+U61+U68+U69</f>
        <v>1169</v>
      </c>
      <c r="V70" s="39">
        <f>V11+V17+V23+V31+V37+V44+V48+V55+V61+V68+V69</f>
        <v>1977</v>
      </c>
      <c r="W70" s="135">
        <f ca="1">IFERROR(V70/U70,0)</f>
        <v>1.6911890504704876</v>
      </c>
      <c r="X70" s="39">
        <f ca="1">X11+X17+X23+X31+X37+X44+X48+X55+X61+X68+X69</f>
        <v>183</v>
      </c>
      <c r="Y70" s="39">
        <f>Y11+Y17+Y23+Y31+Y37+Y44+Y48+Y55+Y61+Y68+Y69</f>
        <v>0</v>
      </c>
      <c r="Z70" s="135">
        <f ca="1">IFERROR(Y70/X70,0)</f>
        <v>0</v>
      </c>
      <c r="AA70" s="39">
        <f ca="1">AA11+AA17+AA23+AA31+AA37+AA44+AA48+AA55+AA61+AA68+AA69</f>
        <v>170</v>
      </c>
      <c r="AB70" s="39">
        <f>AB11+AB17+AB23+AB31+AB37+AB44+AB48+AB55+AB61+AB68+AB69</f>
        <v>0</v>
      </c>
      <c r="AC70" s="135">
        <f ca="1">IFERROR(AB70/AA70,0)</f>
        <v>0</v>
      </c>
      <c r="AD70" s="39">
        <f ca="1">AD11+AD17+AD23+AD31+AD37+AD44+AD48+AD55+AD61+AD68+AD69</f>
        <v>188</v>
      </c>
      <c r="AE70" s="39">
        <f>AE11+AE17+AE23+AE31+AE37+AE44+AE48+AE55+AE61+AE68+AE69</f>
        <v>0</v>
      </c>
      <c r="AF70" s="135">
        <f ca="1">IFERROR(AE70/AD70,0)</f>
        <v>0</v>
      </c>
      <c r="AG70" s="39">
        <f ca="1">AG11+AG17+AG23+AG31+AG37+AG44+AG48+AG55+AG61+AG68+AG69</f>
        <v>202</v>
      </c>
      <c r="AH70" s="39">
        <f>AH11+AH17+AH23+AH31+AH37+AH44+AH48+AH55+AH61+AH68+AH69</f>
        <v>0</v>
      </c>
      <c r="AI70" s="135">
        <f ca="1">IFERROR(AH70/AG70,0)</f>
        <v>0</v>
      </c>
      <c r="AJ70" s="39">
        <f ca="1">AJ11+AJ17+AJ23+AJ31+AJ37+AJ44+AJ48+AJ55+AJ61+AJ68+AJ69</f>
        <v>201</v>
      </c>
      <c r="AK70" s="39">
        <f>AK11+AK17+AK23+AK31+AK37+AK44+AK48+AK55+AK61+AK68+AK69</f>
        <v>0</v>
      </c>
      <c r="AL70" s="135">
        <f ca="1">IFERROR(AK70/AJ70,0)</f>
        <v>0</v>
      </c>
      <c r="AM70" s="39">
        <f ca="1">AM11+AM17+AM23+AM31+AM37+AM44+AM48+AM55+AM61+AM68+AM69</f>
        <v>193</v>
      </c>
      <c r="AN70" s="39">
        <f>AN11+AN17+AN23+AN31+AN37+AN44+AN48+AN55+AN61+AN68+AN69</f>
        <v>0</v>
      </c>
      <c r="AO70" s="135">
        <f ca="1">IFERROR(AN70/AM70,0)</f>
        <v>0</v>
      </c>
      <c r="AP70" s="39">
        <f ca="1">AP11+AP17+AP23+AP31+AP37+AP44+AP48+AP55+AP61+AP68+AP69</f>
        <v>6798</v>
      </c>
      <c r="AQ70" s="39">
        <f>AQ11+AQ17+AQ23+AQ31+AQ37+AQ44+AQ48+AQ55+AQ61+AQ68+AQ69</f>
        <v>9721</v>
      </c>
      <c r="AR70" s="135">
        <f t="shared" ca="1" si="121"/>
        <v>1.429979405707561</v>
      </c>
      <c r="AS70" s="39">
        <f ca="1">AS11+AS17+AS23+AS31+AS37+AS44+AS48+AS55+AS61+AS68+AS69</f>
        <v>7935</v>
      </c>
      <c r="AT70" s="39">
        <f>AT11+AT17+AT23+AT31+AT37+AT44+AT48+AT55+AT61+AT68+AT69</f>
        <v>9721</v>
      </c>
      <c r="AU70" s="135">
        <f t="shared" ca="1" si="124"/>
        <v>1.2250787649653434</v>
      </c>
      <c r="AV70" s="39">
        <f ca="1">IF($AV$5="Q1",F70+I70+L70,IF($AV$5="Q2",O70+R70++U70,IF($AV$5="Q3",X70+AA70+AD70,IF($AV$5="Q4",AG70+AJ70+AM70,0))))</f>
        <v>3341</v>
      </c>
      <c r="AW70" s="40">
        <f>IF($AV$5="Q1",G70+J70+M70,IF($AV$5="Q2",P70+S70++V70,IF($AV$5="Q3",Y70+AB70+AE70,IF($AV$5="Q4",AH70+AK70+AN70,0))))</f>
        <v>4626</v>
      </c>
      <c r="AX70" s="137">
        <f ca="1">IFERROR((AW70/AV70),0)</f>
        <v>1.3846153846153846</v>
      </c>
      <c r="AY70" s="138" t="e">
        <f>SUM(AY68,AY61,AY55,#REF!,AY37,AY17)</f>
        <v>#REF!</v>
      </c>
      <c r="AZ70" s="353" t="e">
        <f>IF(AW70=0,"N.D.",AY70/AW70)</f>
        <v>#REF!</v>
      </c>
      <c r="BA70" s="138">
        <f>SUM(BA68+BA61+BA55+BA37+BA17)</f>
        <v>0</v>
      </c>
      <c r="BB70" s="344">
        <f ca="1">IFERROR(BA70/AV70,0)</f>
        <v>0</v>
      </c>
      <c r="BC70" s="39">
        <f ca="1">BC11+BC17+BC23+BC31+BC37+BC44+BC48+BC55+BC61+BC68+BC69</f>
        <v>6798</v>
      </c>
      <c r="BD70" s="39">
        <f>BD11+BD17+BD23+BD31+BD37+BD44+BD48+BD55+BD61+BD68+BD69</f>
        <v>9721</v>
      </c>
      <c r="BE70" s="135">
        <f t="shared" ca="1" si="125"/>
        <v>1.429979405707561</v>
      </c>
      <c r="BF70" s="39">
        <f ca="1">BF11+BF17+BF23+BF31+BF37+BF44+BF48+BF55+BF61+BF68+BF69</f>
        <v>1137</v>
      </c>
      <c r="BG70" s="39">
        <f>BG11+BG17+BG23+BG31+BG37+BG44+BG48+BG55+BG61+BG68+BG69</f>
        <v>0</v>
      </c>
      <c r="BH70" s="135">
        <f t="shared" ca="1" si="126"/>
        <v>0</v>
      </c>
    </row>
    <row r="71" spans="1:68" s="4" customFormat="1" x14ac:dyDescent="0.35">
      <c r="B71" s="5"/>
      <c r="D71" s="139"/>
      <c r="H71" s="15"/>
      <c r="K71" s="15"/>
      <c r="N71" s="15"/>
      <c r="Q71" s="15"/>
      <c r="T71" s="15"/>
      <c r="W71" s="15"/>
      <c r="Z71" s="15"/>
      <c r="AC71" s="15"/>
      <c r="AF71" s="15"/>
      <c r="AI71" s="15"/>
      <c r="AL71" s="15"/>
      <c r="AO71" s="15"/>
    </row>
    <row r="77" spans="1:68" ht="15" thickBot="1" x14ac:dyDescent="0.4">
      <c r="T77"/>
      <c r="U77"/>
      <c r="V77"/>
    </row>
    <row r="78" spans="1:68" ht="14.5" x14ac:dyDescent="0.35">
      <c r="T78"/>
      <c r="U78" s="618" t="s">
        <v>211</v>
      </c>
      <c r="V78" s="620"/>
      <c r="W78" s="174"/>
      <c r="X78" s="174"/>
      <c r="Y78" s="174"/>
      <c r="Z78" s="356"/>
      <c r="AA78" s="356"/>
      <c r="AB78" s="357"/>
    </row>
    <row r="79" spans="1:68" ht="15" thickBot="1" x14ac:dyDescent="0.4">
      <c r="T79"/>
      <c r="U79" s="621"/>
      <c r="V79" s="623"/>
      <c r="W79"/>
      <c r="X79"/>
      <c r="Y79"/>
      <c r="AB79" s="358"/>
    </row>
    <row r="80" spans="1:68" ht="14.5" x14ac:dyDescent="0.35">
      <c r="F80"/>
      <c r="G80"/>
      <c r="H80"/>
      <c r="T80"/>
      <c r="U80" s="359"/>
      <c r="V80"/>
      <c r="W80"/>
      <c r="X80"/>
      <c r="Y80" t="str">
        <f>CONCATENATE("2 - Cierre ventas YTD_",
CHOOSE(MATCH(AP4,{"Enero";"Febrero";"Marzo";"Abril";"Mayo";"Junio";"Julio";"Agosto";"Septiembre";"Octubre";"Noviembre";"Diciembre"},0),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AB80" s="358"/>
    </row>
    <row r="81" spans="20:28" ht="14.5" x14ac:dyDescent="0.35">
      <c r="T81" s="354"/>
      <c r="U81" s="359" t="s">
        <v>175</v>
      </c>
      <c r="V81" t="str">
        <f>Y80</f>
        <v>2 - Cierre ventas YTD_JUN_2026.xlsx</v>
      </c>
      <c r="W81"/>
      <c r="X81">
        <v>2025</v>
      </c>
      <c r="Y81" s="360" t="str">
        <f>HYPERLINK(
    "O:\USED CAR &amp; REMARKETING\03-VO\2025\Informe Seguimiento Concesionarios 2025\ESPANHA\"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&amp;V81,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AB81" s="358"/>
    </row>
    <row r="82" spans="20:28" ht="14.5" customHeight="1" x14ac:dyDescent="0.35">
      <c r="T82" s="354"/>
      <c r="U82" s="359" t="s">
        <v>176</v>
      </c>
      <c r="V82" t="s">
        <v>205</v>
      </c>
      <c r="W82"/>
      <c r="X82">
        <v>2026</v>
      </c>
      <c r="Y82" s="360" t="str">
        <f>HYPERLINK(
    "O:\USED CAR &amp; REMARKETING\03-VO\2026\Informe Seguimiento Concesionarios 2026\ESPAÑA\"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&amp;V81,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AB82" s="358"/>
    </row>
    <row r="83" spans="20:28" ht="14.5" x14ac:dyDescent="0.35">
      <c r="T83"/>
      <c r="U83" s="361" t="s">
        <v>177</v>
      </c>
      <c r="V83" t="s">
        <v>213</v>
      </c>
      <c r="W83"/>
      <c r="X83"/>
      <c r="Y83"/>
      <c r="AB83" s="358"/>
    </row>
    <row r="84" spans="20:28" ht="14.5" x14ac:dyDescent="0.35">
      <c r="U84" s="361"/>
      <c r="V84"/>
      <c r="W84"/>
      <c r="X84" s="376"/>
      <c r="Y84"/>
      <c r="AB84" s="358"/>
    </row>
    <row r="85" spans="20:28" ht="14.5" x14ac:dyDescent="0.35">
      <c r="U85" s="359"/>
      <c r="V85" s="2" t="str">
        <f>CONCATENATE("'[", V81, "]", V82, "'",V83)</f>
        <v>'[2 - Cierre ventas YTD_JUN_2026.xlsx]BEV'!$C$9:$H$65</v>
      </c>
      <c r="W85"/>
      <c r="X85"/>
      <c r="Y85"/>
      <c r="AB85" s="358"/>
    </row>
    <row r="86" spans="20:28" ht="13" thickBot="1" x14ac:dyDescent="0.3">
      <c r="U86" s="362"/>
      <c r="V86" s="363"/>
      <c r="W86" s="363"/>
      <c r="X86" s="363"/>
      <c r="Y86" s="363"/>
      <c r="Z86" s="363"/>
      <c r="AA86" s="363"/>
      <c r="AB86" s="364"/>
    </row>
    <row r="88" spans="20:28" x14ac:dyDescent="0.25">
      <c r="T88" s="2" t="s">
        <v>205</v>
      </c>
      <c r="V88" s="2" t="s">
        <v>210</v>
      </c>
    </row>
    <row r="90" spans="20:28" x14ac:dyDescent="0.25">
      <c r="T90" s="2" t="s">
        <v>214</v>
      </c>
      <c r="V90" s="2" t="s">
        <v>215</v>
      </c>
    </row>
  </sheetData>
  <mergeCells count="23">
    <mergeCell ref="A3:AW3"/>
    <mergeCell ref="B5:B6"/>
    <mergeCell ref="C5:C6"/>
    <mergeCell ref="E5:E6"/>
    <mergeCell ref="F5:H5"/>
    <mergeCell ref="I5:K5"/>
    <mergeCell ref="L5:N5"/>
    <mergeCell ref="O5:Q5"/>
    <mergeCell ref="R5:T5"/>
    <mergeCell ref="U5:W5"/>
    <mergeCell ref="AP5:AR5"/>
    <mergeCell ref="AS5:AU5"/>
    <mergeCell ref="AV5:BB5"/>
    <mergeCell ref="AJ5:AL5"/>
    <mergeCell ref="BK5:BM5"/>
    <mergeCell ref="AM5:AO5"/>
    <mergeCell ref="U78:V79"/>
    <mergeCell ref="X5:Z5"/>
    <mergeCell ref="AA5:AC5"/>
    <mergeCell ref="AD5:AF5"/>
    <mergeCell ref="AG5:AI5"/>
    <mergeCell ref="BF5:BH5"/>
    <mergeCell ref="BC5:BE5"/>
  </mergeCells>
  <conditionalFormatting sqref="AX3 A3">
    <cfRule type="duplicateValues" dxfId="230" priority="22"/>
  </conditionalFormatting>
  <conditionalFormatting sqref="B68 B61 B55 B17 B4:B5 B37 B11 B23 B31 B44 B48 B70:B1048576">
    <cfRule type="duplicateValues" dxfId="229" priority="36"/>
  </conditionalFormatting>
  <conditionalFormatting sqref="F5 I5 L5 O5 R5 X5 AA5 AD5 AG5 AJ5 AM5 U5">
    <cfRule type="expression" dxfId="228" priority="24">
      <formula>IF($AP$4="DICIEMBRE","VERDADERO")</formula>
    </cfRule>
  </conditionalFormatting>
  <conditionalFormatting sqref="F5 I5 L5 O5 R5 X5 AA5 AD5 AG5 AJ5 U5">
    <cfRule type="expression" dxfId="227" priority="25">
      <formula>IF($AP$4="NOVIEMBRE","VERDADERO")</formula>
    </cfRule>
  </conditionalFormatting>
  <conditionalFormatting sqref="F5 I5 L5 O5 R5 X5 AA5 AD5 AG5 U5">
    <cfRule type="expression" dxfId="226" priority="26">
      <formula>IF($AP$4="OCTUBRE","VERDADERO")</formula>
    </cfRule>
  </conditionalFormatting>
  <conditionalFormatting sqref="F5 I5 L5 O5 R5 X5 AA5 AD5 U5">
    <cfRule type="expression" dxfId="225" priority="27">
      <formula>IF($AP$4="SEPTIEMBRE","VERDADERO")</formula>
    </cfRule>
  </conditionalFormatting>
  <conditionalFormatting sqref="F5 I5 L5 O5 R5 X5 AA5 U5">
    <cfRule type="expression" dxfId="224" priority="28">
      <formula>IF($AP$4="AGOSTO","VERDADERO")</formula>
    </cfRule>
  </conditionalFormatting>
  <conditionalFormatting sqref="F5 I5 L5 O5 R5 X5 U5">
    <cfRule type="expression" dxfId="223" priority="29">
      <formula>IF($AP$4="JULIO","VERDADERO")</formula>
    </cfRule>
  </conditionalFormatting>
  <conditionalFormatting sqref="F5 I5 L5 O5 R5">
    <cfRule type="expression" dxfId="222" priority="30">
      <formula>IF($AP$4="JUNIO","VERDADERO")</formula>
    </cfRule>
  </conditionalFormatting>
  <conditionalFormatting sqref="F5 I5 L5 O5 R5">
    <cfRule type="expression" dxfId="221" priority="31">
      <formula>IF($AP$4="MAYO","VERDADERO")</formula>
    </cfRule>
  </conditionalFormatting>
  <conditionalFormatting sqref="F5 I5 L5 O5">
    <cfRule type="expression" dxfId="220" priority="32">
      <formula>IF($AP$4="ABRIL","VERDADERO")</formula>
    </cfRule>
  </conditionalFormatting>
  <conditionalFormatting sqref="F5 I5 L5">
    <cfRule type="expression" dxfId="219" priority="33">
      <formula>IF($AP$4="MARZO","VERDADERO")</formula>
    </cfRule>
  </conditionalFormatting>
  <conditionalFormatting sqref="F5 I5">
    <cfRule type="expression" dxfId="218" priority="34">
      <formula>IF($AP$4="FEBRERO","VERDADERO")</formula>
    </cfRule>
  </conditionalFormatting>
  <conditionalFormatting sqref="F5">
    <cfRule type="expression" dxfId="217" priority="35">
      <formula>IF($AP$4="ENERO","VERDADERO")</formula>
    </cfRule>
  </conditionalFormatting>
  <conditionalFormatting sqref="K3 N3 Q3 T3 W3 Z3 AC3 AF3 H72:H79 AQ80:AR81 F80:G80 T77:U77 I80:S80 P81:S81 AD80:AO81 W77:AC77 H93:H1048576 V87:V88 V90 AZ7:AZ70 BB7:BB70">
    <cfRule type="cellIs" dxfId="216" priority="21" operator="greaterThan">
      <formula>1</formula>
    </cfRule>
  </conditionalFormatting>
  <conditionalFormatting sqref="AX7:AX69">
    <cfRule type="cellIs" dxfId="215" priority="19" operator="lessThan">
      <formula>1</formula>
    </cfRule>
    <cfRule type="cellIs" dxfId="214" priority="20" operator="greaterThanOrEqual">
      <formula>1</formula>
    </cfRule>
  </conditionalFormatting>
  <conditionalFormatting sqref="AZ7:AZ69">
    <cfRule type="cellIs" dxfId="213" priority="17" operator="greaterThanOrEqual">
      <formula>0.8</formula>
    </cfRule>
    <cfRule type="cellIs" dxfId="212" priority="18" operator="lessThan">
      <formula>0.8</formula>
    </cfRule>
  </conditionalFormatting>
  <conditionalFormatting sqref="BB7:BB69">
    <cfRule type="cellIs" dxfId="211" priority="12" operator="lessThan">
      <formula>0.15</formula>
    </cfRule>
    <cfRule type="cellIs" dxfId="210" priority="14" operator="lessThan">
      <formula>0.15</formula>
    </cfRule>
    <cfRule type="cellIs" dxfId="209" priority="15" operator="between">
      <formula>0.15</formula>
      <formula>0.25</formula>
    </cfRule>
    <cfRule type="cellIs" dxfId="208" priority="16" operator="greaterThanOrEqual">
      <formula>0.25</formula>
    </cfRule>
  </conditionalFormatting>
  <conditionalFormatting sqref="K3 N3 Q3 T3 W3 Z3 AC3 AF3 H72:H79 AQ80:AR81 F80:G80 T77:U77 I80:S80 P81:S81 AD80:AO81 W77:AC77 H93:H1048576 V87:V88 V90 BB7:BB69 AZ7:AZ69">
    <cfRule type="containsText" dxfId="207" priority="13" operator="containsText" text="N.D">
      <formula>NOT(ISERROR(SEARCH("N.D",F3)))</formula>
    </cfRule>
  </conditionalFormatting>
  <conditionalFormatting sqref="V78:V80 V86">
    <cfRule type="cellIs" dxfId="206" priority="11" operator="greaterThan">
      <formula>1</formula>
    </cfRule>
  </conditionalFormatting>
  <conditionalFormatting sqref="AR7:AR69 AU7:AU69 BE7:BE69 BH7:BH69">
    <cfRule type="cellIs" dxfId="205" priority="3" operator="lessThan">
      <formula>0.05</formula>
    </cfRule>
    <cfRule type="cellIs" dxfId="204" priority="4" operator="between">
      <formula>0.05</formula>
      <formula>0.1</formula>
    </cfRule>
    <cfRule type="cellIs" dxfId="203" priority="5" operator="greaterThanOrEqual">
      <formula>0.1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5502860-1AB9-483E-B0BF-660036ED4ECB}">
          <x14:formula1>
            <xm:f>MAESTRO!$H$3:$H$14</xm:f>
          </x14:formula1>
          <xm:sqref>AP4</xm:sqref>
        </x14:dataValidation>
        <x14:dataValidation type="list" allowBlank="1" showInputMessage="1" showErrorMessage="1" xr:uid="{B2A10E29-392A-43F8-A8A8-DA78EE987DB4}">
          <x14:formula1>
            <xm:f>MAESTRO!$D$3:$D$4</xm:f>
          </x14:formula1>
          <xm:sqref>BC5:BH5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887F-D9C9-4F50-8FD8-61F19E1EE2AC}">
  <sheetPr>
    <tabColor theme="3" tint="0.59999389629810485"/>
  </sheetPr>
  <dimension ref="A1:BR90"/>
  <sheetViews>
    <sheetView topLeftCell="A3" zoomScale="90" zoomScaleNormal="90" workbookViewId="0">
      <pane xSplit="1" topLeftCell="G1" activePane="topRight" state="frozen"/>
      <selection activeCell="P15" sqref="P15"/>
      <selection pane="topRight" activeCell="AP69" sqref="AP69"/>
    </sheetView>
  </sheetViews>
  <sheetFormatPr baseColWidth="10" defaultColWidth="11.453125" defaultRowHeight="12.5" x14ac:dyDescent="0.25"/>
  <cols>
    <col min="1" max="1" width="2.90625" style="2" customWidth="1"/>
    <col min="2" max="2" width="10.54296875" style="3" customWidth="1"/>
    <col min="3" max="3" width="21.81640625" style="2" customWidth="1"/>
    <col min="4" max="4" width="2.1796875" style="2" customWidth="1"/>
    <col min="5" max="5" width="22.1796875" style="2" customWidth="1"/>
    <col min="6" max="6" width="8.36328125" style="2" customWidth="1"/>
    <col min="7" max="7" width="6.54296875" style="2" customWidth="1"/>
    <col min="8" max="8" width="10.1796875" style="2" customWidth="1"/>
    <col min="9" max="41" width="6.54296875" style="2" customWidth="1"/>
    <col min="42" max="47" width="10.54296875" style="2" customWidth="1"/>
    <col min="48" max="50" width="10.54296875" style="2" hidden="1" customWidth="1"/>
    <col min="51" max="54" width="0" style="2" hidden="1" customWidth="1"/>
    <col min="55" max="69" width="11.453125" style="2"/>
    <col min="70" max="70" width="13.54296875" style="2" customWidth="1"/>
    <col min="71" max="16384" width="11.453125" style="2"/>
  </cols>
  <sheetData>
    <row r="1" spans="1:69" ht="14.15" hidden="1" customHeight="1" x14ac:dyDescent="0.25">
      <c r="E1" s="117" t="s">
        <v>109</v>
      </c>
      <c r="F1" s="2" t="s">
        <v>0</v>
      </c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6</v>
      </c>
      <c r="Y1" s="2" t="s">
        <v>6</v>
      </c>
      <c r="Z1" s="2" t="s">
        <v>6</v>
      </c>
      <c r="AA1" s="2" t="s">
        <v>7</v>
      </c>
      <c r="AB1" s="2" t="s">
        <v>7</v>
      </c>
      <c r="AC1" s="2" t="s">
        <v>7</v>
      </c>
      <c r="AD1" s="2" t="s">
        <v>101</v>
      </c>
      <c r="AE1" s="2" t="s">
        <v>101</v>
      </c>
      <c r="AF1" s="2" t="s">
        <v>101</v>
      </c>
      <c r="AG1" s="2" t="s">
        <v>102</v>
      </c>
      <c r="AH1" s="2" t="s">
        <v>102</v>
      </c>
      <c r="AI1" s="2" t="s">
        <v>102</v>
      </c>
      <c r="AJ1" s="2" t="s">
        <v>103</v>
      </c>
      <c r="AK1" s="2" t="s">
        <v>103</v>
      </c>
      <c r="AL1" s="2" t="s">
        <v>103</v>
      </c>
      <c r="AM1" s="2" t="s">
        <v>104</v>
      </c>
      <c r="AN1" s="2" t="s">
        <v>104</v>
      </c>
      <c r="AO1" s="2" t="s">
        <v>104</v>
      </c>
    </row>
    <row r="2" spans="1:69" hidden="1" x14ac:dyDescent="0.25">
      <c r="E2" s="117" t="s">
        <v>108</v>
      </c>
      <c r="F2" s="118" t="str">
        <f>$AP$4</f>
        <v>JUNIO</v>
      </c>
      <c r="G2" s="118" t="str">
        <f>$AP$4</f>
        <v>JUNIO</v>
      </c>
      <c r="H2" s="118" t="str">
        <f>$AP$4</f>
        <v>JUNIO</v>
      </c>
      <c r="I2" s="118" t="str">
        <f>IF($AP$4="ENERO",0,$AP$4)</f>
        <v>JUNIO</v>
      </c>
      <c r="J2" s="118" t="str">
        <f>IF($AP$4="ENERO",0,$AP$4)</f>
        <v>JUNIO</v>
      </c>
      <c r="K2" s="118" t="str">
        <f>IF($AP$4="ENERO",0,$AP$4)</f>
        <v>JUNIO</v>
      </c>
      <c r="L2" s="118" t="str">
        <f>IF(OR($AP$4="ENERO",$AP$4="FEBRERO"),0,$AP$4)</f>
        <v>JUNIO</v>
      </c>
      <c r="M2" s="118" t="str">
        <f>IF(OR($AP$4="ENERO",$AP$4="FEBRERO"),0,$AP$4)</f>
        <v>JUNIO</v>
      </c>
      <c r="N2" s="118" t="str">
        <f>IF(OR($AP$4="ENERO",$AP$4="FEBRERO"),0,$AP$4)</f>
        <v>JUNIO</v>
      </c>
      <c r="O2" s="118" t="str">
        <f>IF(OR($AP$4="ENERO",$AP$4="FEBRERO",$AP$4="MARZO"),0,$AP$4)</f>
        <v>JUNIO</v>
      </c>
      <c r="P2" s="118" t="str">
        <f>IF(OR($AP$4="ENERO",$AP$4="FEBRERO",$AP$4="MARZO"),0,$AP$4)</f>
        <v>JUNIO</v>
      </c>
      <c r="Q2" s="118" t="str">
        <f>IF(OR($AP$4="ENERO",$AP$4="FEBRERO",$AP$4="MARZO"),0,$AP$4)</f>
        <v>JUNIO</v>
      </c>
      <c r="R2" s="118" t="str">
        <f>IF(OR($AP$4="ENERO",$AP$4="FEBRERO",$AP$4="MARZO",$AP$4="ABRIL"),0,$AP$4)</f>
        <v>JUNIO</v>
      </c>
      <c r="S2" s="118" t="str">
        <f>IF(OR($AP$4="ENERO",$AP$4="FEBRERO",$AP$4="MARZO",$AP$4="ABRIL"),0,$AP$4)</f>
        <v>JUNIO</v>
      </c>
      <c r="T2" s="118" t="str">
        <f>IF(OR($AP$4="ENERO",$AP$4="FEBRERO",$AP$4="MARZO",$AP$4="ABRIL"),0,$AP$4)</f>
        <v>JUNIO</v>
      </c>
      <c r="U2" s="118" t="str">
        <f>IF(OR($AP$4="ENERO",$AP$4="FEBRERO",$AP$4="MARZO",$AP$4="ABRIL",$AP$4="MAYO"),0,$AP$4)</f>
        <v>JUNIO</v>
      </c>
      <c r="V2" s="118" t="str">
        <f>IF(OR($AP$4="ENERO",$AP$4="FEBRERO",$AP$4="MARZO",$AP$4="ABRIL",$AP$4="MAYO"),0,$AP$4)</f>
        <v>JUNIO</v>
      </c>
      <c r="W2" s="118" t="str">
        <f>IF(OR($AP$4="ENERO",$AP$4="FEBRERO",$AP$4="MARZO",$AP$4="ABRIL",$AP$4="MAYO"),0,$AP$4)</f>
        <v>JUNIO</v>
      </c>
      <c r="X2" s="118">
        <f>IF(OR($AP$4="ENERO",$AP$4="FEBRERO",$AP$4="MARZO",$AP$4="ABRIL",$AP$4="MAYO",$AP$4="JUNIO"),0,$AP$4)</f>
        <v>0</v>
      </c>
      <c r="Y2" s="118">
        <f>IF(OR($AP$4="ENERO",$AP$4="FEBRERO",$AP$4="MARZO",$AP$4="ABRIL",$AP$4="MAYO",$AP$4="JUNIO"),0,$AP$4)</f>
        <v>0</v>
      </c>
      <c r="Z2" s="118">
        <f>IF(OR($AP$4="ENERO",$AP$4="FEBRERO",$AP$4="MARZO",$AP$4="ABRIL",$AP$4="MAYO",$AP$4="JUNIO"),0,$AP$4)</f>
        <v>0</v>
      </c>
      <c r="AA2" s="118">
        <f>IF(OR($AP$4="ENERO",$AP$4="FEBRERO",$AP$4="MARZO",$AP$4="ABRIL",$AP$4="MAYO",$AP$4="JUNIO",$AP$4="JULIO"),0,$AP$4)</f>
        <v>0</v>
      </c>
      <c r="AB2" s="118">
        <f>IF(OR($AP$4="ENERO",$AP$4="FEBRERO",$AP$4="MARZO",$AP$4="ABRIL",$AP$4="MAYO",$AP$4="JUNIO",$AP$4="JULIO"),0,$AP$4)</f>
        <v>0</v>
      </c>
      <c r="AC2" s="118">
        <f>IF(OR($AP$4="ENERO",$AP$4="FEBRERO",$AP$4="MARZO",$AP$4="ABRIL",$AP$4="MAYO",$AP$4="JUNIO",$AP$4="JULIO"),0,$AP$4)</f>
        <v>0</v>
      </c>
      <c r="AD2" s="118">
        <f>IF(OR($AP$4="ENERO",$AP$4="FEBRERO",$AP$4="MARZO",$AP$4="ABRIL",$AP$4="MAYO",$AP$4="JUNIO",$AP$4="JULIO",$AP$4="AGOSTO"),0,$AP$4)</f>
        <v>0</v>
      </c>
      <c r="AE2" s="118">
        <f>IF(OR($AP$4="ENERO",$AP$4="FEBRERO",$AP$4="MARZO",$AP$4="ABRIL",$AP$4="MAYO",$AP$4="JUNIO",$AP$4="JULIO",$AP$4="AGOSTO"),0,$AP$4)</f>
        <v>0</v>
      </c>
      <c r="AF2" s="118">
        <f>IF(OR($AP$4="ENERO",$AP$4="FEBRERO",$AP$4="MARZO",$AP$4="ABRIL",$AP$4="MAYO",$AP$4="JUNIO",$AP$4="JULIO",$AP$4="AGOSTO"),0,$AP$4)</f>
        <v>0</v>
      </c>
      <c r="AG2" s="118">
        <f>IF(OR($AP$4="ENERO",$AP$4="FEBRERO",$AP$4="MARZO",$AP$4="ABRIL",$AP$4="MAYO",$AP$4="JUNIO",$AP$4="JULIO",$AP$4="AGOSTO",$AP$4="SEPTIEMBRE"),0,$AP$4)</f>
        <v>0</v>
      </c>
      <c r="AH2" s="118">
        <f>IF(OR($AP$4="ENERO",$AP$4="FEBRERO",$AP$4="MARZO",$AP$4="ABRIL",$AP$4="MAYO",$AP$4="JUNIO",$AP$4="JULIO",$AP$4="AGOSTO",$AP$4="SEPTIEMBRE"),0,$AP$4)</f>
        <v>0</v>
      </c>
      <c r="AI2" s="118">
        <f>IF(OR($AP$4="ENERO",$AP$4="FEBRERO",$AP$4="MARZO",$AP$4="ABRIL",$AP$4="MAYO",$AP$4="JUNIO",$AP$4="JULIO",$AP$4="AGOSTO",$AP$4="SEPTIEMBRE"),0,$AP$4)</f>
        <v>0</v>
      </c>
      <c r="AJ2" s="118">
        <f>IF(OR($AP$4="ENERO",$AP$4="FEBRERO",$AP$4="MARZO",$AP$4="ABRIL",$AP$4="MAYO",$AP$4="JUNIO",$AP$4="JULIO",$AP$4="AGOSTO",$AP$4="SEPTIEMBRE",$AP$4="OCTUBRE"),0,$AP$4)</f>
        <v>0</v>
      </c>
      <c r="AK2" s="118">
        <f>IF(OR($AP$4="ENERO",$AP$4="FEBRERO",$AP$4="MARZO",$AP$4="ABRIL",$AP$4="MAYO",$AP$4="JUNIO",$AP$4="JULIO",$AP$4="AGOSTO",$AP$4="SEPTIEMBRE",$AP$4="OCTUBRE"),0,$AP$4)</f>
        <v>0</v>
      </c>
      <c r="AL2" s="118">
        <f>IF(OR($AP$4="ENERO",$AP$4="FEBRERO",$AP$4="MARZO",$AP$4="ABRIL",$AP$4="MAYO",$AP$4="JUNIO",$AP$4="JULIO",$AP$4="AGOSTO",$AP$4="SEPTIEMBRE",$AP$4="OCTUBRE"),0,$AP$4)</f>
        <v>0</v>
      </c>
      <c r="AM2" s="118">
        <f>IF(OR($AP$4="ENERO",$AP$4="FEBRERO",$AP$4="MARZO",$AP$4="ABRIL",$AP$4="MAYO",$AP$4="JUNIO",$AP$4="JULIO",$AP$4="AGOSTO",$AP$4="SEPTIEMBRE",$AP$4="OCTUBRE",$AP$4="NOVIEMBRE"),0,$AP$4)</f>
        <v>0</v>
      </c>
      <c r="AN2" s="118">
        <f>IF(OR($AP$4="ENERO",$AP$4="FEBRERO",$AP$4="MARZO",$AP$4="ABRIL",$AP$4="MAYO",$AP$4="JUNIO",$AP$4="JULIO",$AP$4="AGOSTO",$AP$4="SEPTIEMBRE",$AP$4="OCTUBRE",$AP$4="NOVIEMBRE"),0,$AP$4)</f>
        <v>0</v>
      </c>
      <c r="AO2" s="118">
        <f>IF(OR($AP$4="ENERO",$AP$4="FEBRERO",$AP$4="MARZO",$AP$4="ABRIL",$AP$4="MAYO",$AP$4="JUNIO",$AP$4="JULIO",$AP$4="AGOSTO",$AP$4="SEPTIEMBRE",$AP$4="OCTUBRE",$AP$4="NOVIEMBRE"),0,$AP$4)</f>
        <v>0</v>
      </c>
    </row>
    <row r="3" spans="1:69" s="16" customFormat="1" ht="18.5" thickBot="1" x14ac:dyDescent="0.3">
      <c r="A3" s="710" t="s">
        <v>258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  <c r="Y3" s="710"/>
      <c r="Z3" s="710"/>
      <c r="AA3" s="710"/>
      <c r="AB3" s="710"/>
      <c r="AC3" s="710"/>
      <c r="AD3" s="710"/>
      <c r="AE3" s="710"/>
      <c r="AF3" s="710"/>
      <c r="AG3" s="710"/>
      <c r="AH3" s="710"/>
      <c r="AI3" s="710"/>
      <c r="AJ3" s="710"/>
      <c r="AK3" s="710"/>
      <c r="AL3" s="710"/>
      <c r="AM3" s="710"/>
      <c r="AN3" s="710"/>
      <c r="AO3" s="710"/>
      <c r="AP3" s="710"/>
      <c r="AQ3" s="710"/>
      <c r="AR3" s="710"/>
      <c r="AS3" s="710"/>
      <c r="AT3" s="710"/>
      <c r="AU3" s="710"/>
      <c r="AV3" s="710"/>
      <c r="AW3" s="710"/>
      <c r="AX3" s="367"/>
    </row>
    <row r="4" spans="1:69" s="119" customFormat="1" ht="13" thickBot="1" x14ac:dyDescent="0.3">
      <c r="B4" s="120"/>
      <c r="F4" s="119">
        <v>5</v>
      </c>
      <c r="G4" s="119">
        <v>3</v>
      </c>
      <c r="I4" s="119">
        <f>F4+2</f>
        <v>7</v>
      </c>
      <c r="J4" s="119">
        <v>8</v>
      </c>
      <c r="K4" s="119">
        <v>9</v>
      </c>
      <c r="L4" s="119">
        <f>I4+2</f>
        <v>9</v>
      </c>
      <c r="M4" s="119">
        <v>13</v>
      </c>
      <c r="N4" s="119">
        <v>14</v>
      </c>
      <c r="O4" s="119">
        <f>L4+2</f>
        <v>11</v>
      </c>
      <c r="P4" s="119">
        <f>O4+1</f>
        <v>12</v>
      </c>
      <c r="Q4" s="119">
        <f>N4+1</f>
        <v>15</v>
      </c>
      <c r="R4" s="119">
        <f>O4+2</f>
        <v>13</v>
      </c>
      <c r="S4" s="119">
        <f>R4+1</f>
        <v>14</v>
      </c>
      <c r="T4" s="119">
        <f>Q4+1</f>
        <v>16</v>
      </c>
      <c r="U4" s="119">
        <f>R4+2</f>
        <v>15</v>
      </c>
      <c r="V4" s="119">
        <f>U4+1</f>
        <v>16</v>
      </c>
      <c r="W4" s="119">
        <f>T4+1</f>
        <v>17</v>
      </c>
      <c r="X4" s="119">
        <f>U4+2</f>
        <v>17</v>
      </c>
      <c r="Y4" s="119">
        <f>X4+1</f>
        <v>18</v>
      </c>
      <c r="Z4" s="119">
        <f>W4+1</f>
        <v>18</v>
      </c>
      <c r="AA4" s="119">
        <f>X4+2</f>
        <v>19</v>
      </c>
      <c r="AB4" s="119">
        <f>AA4+1</f>
        <v>20</v>
      </c>
      <c r="AC4" s="119">
        <f>Z4+1</f>
        <v>19</v>
      </c>
      <c r="AD4" s="119">
        <f>AA4+2</f>
        <v>21</v>
      </c>
      <c r="AE4" s="119">
        <f>AD4+1</f>
        <v>22</v>
      </c>
      <c r="AF4" s="119">
        <f>AC4+1</f>
        <v>20</v>
      </c>
      <c r="AG4" s="119">
        <f>AD4+2</f>
        <v>23</v>
      </c>
      <c r="AH4" s="119">
        <f>AG4+1</f>
        <v>24</v>
      </c>
      <c r="AI4" s="119">
        <f>AF4+1</f>
        <v>21</v>
      </c>
      <c r="AJ4" s="119">
        <f>AG4+2</f>
        <v>25</v>
      </c>
      <c r="AK4" s="119">
        <f>AJ4+1</f>
        <v>26</v>
      </c>
      <c r="AM4" s="119">
        <f>AJ4+2</f>
        <v>27</v>
      </c>
      <c r="AN4" s="119">
        <f>AM4+1</f>
        <v>28</v>
      </c>
      <c r="AO4" s="121"/>
      <c r="AP4" s="341" t="s">
        <v>5</v>
      </c>
    </row>
    <row r="5" spans="1:69" ht="15" customHeight="1" thickBot="1" x14ac:dyDescent="0.3">
      <c r="B5" s="695" t="s">
        <v>35</v>
      </c>
      <c r="C5" s="697" t="s">
        <v>36</v>
      </c>
      <c r="D5" s="122"/>
      <c r="E5" s="699" t="s">
        <v>76</v>
      </c>
      <c r="F5" s="709" t="s">
        <v>0</v>
      </c>
      <c r="G5" s="707"/>
      <c r="H5" s="707"/>
      <c r="I5" s="709" t="s">
        <v>1</v>
      </c>
      <c r="J5" s="707"/>
      <c r="K5" s="707"/>
      <c r="L5" s="709" t="s">
        <v>2</v>
      </c>
      <c r="M5" s="707"/>
      <c r="N5" s="707"/>
      <c r="O5" s="709" t="s">
        <v>3</v>
      </c>
      <c r="P5" s="707"/>
      <c r="Q5" s="707"/>
      <c r="R5" s="709" t="s">
        <v>4</v>
      </c>
      <c r="S5" s="707"/>
      <c r="T5" s="708"/>
      <c r="U5" s="709" t="s">
        <v>5</v>
      </c>
      <c r="V5" s="707"/>
      <c r="W5" s="708"/>
      <c r="X5" s="709" t="s">
        <v>6</v>
      </c>
      <c r="Y5" s="707"/>
      <c r="Z5" s="708"/>
      <c r="AA5" s="707" t="s">
        <v>7</v>
      </c>
      <c r="AB5" s="707"/>
      <c r="AC5" s="707"/>
      <c r="AD5" s="709" t="s">
        <v>29</v>
      </c>
      <c r="AE5" s="707"/>
      <c r="AF5" s="708"/>
      <c r="AG5" s="707" t="s">
        <v>30</v>
      </c>
      <c r="AH5" s="707"/>
      <c r="AI5" s="707"/>
      <c r="AJ5" s="709" t="s">
        <v>31</v>
      </c>
      <c r="AK5" s="707"/>
      <c r="AL5" s="708"/>
      <c r="AM5" s="707" t="s">
        <v>32</v>
      </c>
      <c r="AN5" s="707"/>
      <c r="AO5" s="707"/>
      <c r="AP5" s="704" t="s">
        <v>33</v>
      </c>
      <c r="AQ5" s="705"/>
      <c r="AR5" s="705"/>
      <c r="AS5" s="704" t="s">
        <v>34</v>
      </c>
      <c r="AT5" s="705"/>
      <c r="AU5" s="705"/>
      <c r="AV5" s="704" t="s">
        <v>70</v>
      </c>
      <c r="AW5" s="705"/>
      <c r="AX5" s="705"/>
      <c r="AY5" s="705"/>
      <c r="AZ5" s="705"/>
      <c r="BA5" s="705"/>
      <c r="BB5" s="706"/>
      <c r="BC5" s="704" t="s">
        <v>171</v>
      </c>
      <c r="BD5" s="705"/>
      <c r="BE5" s="706"/>
      <c r="BF5" s="704" t="s">
        <v>172</v>
      </c>
      <c r="BG5" s="705"/>
      <c r="BH5" s="706"/>
    </row>
    <row r="6" spans="1:69" s="340" customFormat="1" ht="38" thickBot="1" x14ac:dyDescent="0.3">
      <c r="A6" s="2"/>
      <c r="B6" s="696"/>
      <c r="C6" s="698"/>
      <c r="D6" s="122"/>
      <c r="E6" s="701"/>
      <c r="F6" s="334" t="s">
        <v>293</v>
      </c>
      <c r="G6" s="415" t="s">
        <v>294</v>
      </c>
      <c r="H6" s="416" t="s">
        <v>295</v>
      </c>
      <c r="I6" s="334" t="s">
        <v>293</v>
      </c>
      <c r="J6" s="415" t="s">
        <v>294</v>
      </c>
      <c r="K6" s="416" t="s">
        <v>295</v>
      </c>
      <c r="L6" s="334" t="s">
        <v>293</v>
      </c>
      <c r="M6" s="415" t="s">
        <v>294</v>
      </c>
      <c r="N6" s="416" t="s">
        <v>295</v>
      </c>
      <c r="O6" s="334" t="s">
        <v>293</v>
      </c>
      <c r="P6" s="415" t="s">
        <v>294</v>
      </c>
      <c r="Q6" s="416" t="s">
        <v>295</v>
      </c>
      <c r="R6" s="334" t="s">
        <v>293</v>
      </c>
      <c r="S6" s="415" t="s">
        <v>294</v>
      </c>
      <c r="T6" s="416" t="s">
        <v>295</v>
      </c>
      <c r="U6" s="334" t="s">
        <v>293</v>
      </c>
      <c r="V6" s="415" t="s">
        <v>294</v>
      </c>
      <c r="W6" s="416" t="s">
        <v>295</v>
      </c>
      <c r="X6" s="334" t="s">
        <v>293</v>
      </c>
      <c r="Y6" s="415" t="s">
        <v>294</v>
      </c>
      <c r="Z6" s="416" t="s">
        <v>295</v>
      </c>
      <c r="AA6" s="334" t="s">
        <v>293</v>
      </c>
      <c r="AB6" s="415" t="s">
        <v>294</v>
      </c>
      <c r="AC6" s="416" t="s">
        <v>295</v>
      </c>
      <c r="AD6" s="334" t="s">
        <v>293</v>
      </c>
      <c r="AE6" s="415" t="s">
        <v>294</v>
      </c>
      <c r="AF6" s="416" t="s">
        <v>295</v>
      </c>
      <c r="AG6" s="334" t="s">
        <v>293</v>
      </c>
      <c r="AH6" s="415" t="s">
        <v>294</v>
      </c>
      <c r="AI6" s="416" t="s">
        <v>295</v>
      </c>
      <c r="AJ6" s="334" t="s">
        <v>293</v>
      </c>
      <c r="AK6" s="415" t="s">
        <v>294</v>
      </c>
      <c r="AL6" s="416" t="s">
        <v>295</v>
      </c>
      <c r="AM6" s="334" t="s">
        <v>293</v>
      </c>
      <c r="AN6" s="415" t="s">
        <v>294</v>
      </c>
      <c r="AO6" s="416" t="s">
        <v>295</v>
      </c>
      <c r="AP6" s="334" t="s">
        <v>293</v>
      </c>
      <c r="AQ6" s="415" t="s">
        <v>294</v>
      </c>
      <c r="AR6" s="416" t="s">
        <v>295</v>
      </c>
      <c r="AS6" s="334" t="s">
        <v>293</v>
      </c>
      <c r="AT6" s="415" t="s">
        <v>294</v>
      </c>
      <c r="AU6" s="416" t="s">
        <v>295</v>
      </c>
      <c r="AV6" s="334"/>
      <c r="AW6" s="335"/>
      <c r="AX6" s="338"/>
      <c r="AY6" s="336"/>
      <c r="AZ6" s="336"/>
      <c r="BA6" s="336"/>
      <c r="BB6" s="337"/>
      <c r="BC6" s="334" t="s">
        <v>293</v>
      </c>
      <c r="BD6" s="415" t="s">
        <v>294</v>
      </c>
      <c r="BE6" s="416" t="s">
        <v>295</v>
      </c>
      <c r="BF6" s="334" t="s">
        <v>293</v>
      </c>
      <c r="BG6" s="415" t="s">
        <v>294</v>
      </c>
      <c r="BH6" s="416" t="s">
        <v>295</v>
      </c>
    </row>
    <row r="7" spans="1:69" s="4" customFormat="1" ht="15" customHeight="1" thickBot="1" x14ac:dyDescent="0.4">
      <c r="A7" s="4">
        <f>_xlfn.XLOOKUP(B7,'WHOLESALE BMW 2026'!$B$7:$B$67,'WHOLESALE BMW 2026'!$A$7:$A$67)</f>
        <v>1</v>
      </c>
      <c r="B7" s="8">
        <v>100323</v>
      </c>
      <c r="C7" s="369" t="s">
        <v>165</v>
      </c>
      <c r="D7" s="125"/>
      <c r="E7" s="309" t="s">
        <v>274</v>
      </c>
      <c r="F7" s="21">
        <v>124</v>
      </c>
      <c r="G7" s="24">
        <f ca="1">SUMIF('UC BMW 2026'!$B$5:$B$77,'UC BMW 2026'!B5,'UC BMW 2026'!$G$5:$G$72)</f>
        <v>39</v>
      </c>
      <c r="H7" s="282">
        <f t="shared" ref="H7:H69" ca="1" si="0">IFERROR(G7/F7,0)</f>
        <v>0.31451612903225806</v>
      </c>
      <c r="I7" s="21">
        <v>159</v>
      </c>
      <c r="J7" s="24">
        <f ca="1">SUMIF('UC BMW 2026'!$B$5:$B$77,'UC BMW 2026'!$B5,'UC BMW 2026'!$I$5:$I$72)</f>
        <v>42</v>
      </c>
      <c r="K7" s="282">
        <f t="shared" ref="K7:K69" ca="1" si="1">IFERROR(J7/I7,0)</f>
        <v>0.26415094339622641</v>
      </c>
      <c r="L7" s="21">
        <f>VLOOKUP(B7,'[4]% Penetración Mdo MAR26'!$B$7:$D$59,3,0)-F7-I7</f>
        <v>171</v>
      </c>
      <c r="M7" s="24">
        <f ca="1">SUMIF('UC BMW 2026'!$B$5:$B$77,'UC BMW 2026'!$B5,'UC BMW 2026'!$K$5:$K$72)</f>
        <v>42</v>
      </c>
      <c r="N7" s="282">
        <f t="shared" ref="N7:N69" ca="1" si="2">IFERROR(M7/L7,0)</f>
        <v>0.24561403508771928</v>
      </c>
      <c r="O7" s="21">
        <f>VLOOKUP(B7,'[5]% Penetración Mdo ABR26'!$B$7:$D$59,3,0)-F7-I7-L7</f>
        <v>158</v>
      </c>
      <c r="P7" s="24">
        <f ca="1">SUMIF('UC BMW 2026'!$B$5:$B$77,'UC BMW 2026'!$B5,'UC BMW 2026'!$M$5:$M$72)</f>
        <v>34</v>
      </c>
      <c r="Q7" s="282">
        <f t="shared" ref="Q7:Q69" ca="1" si="3">IFERROR(P7/O7,0)</f>
        <v>0.21518987341772153</v>
      </c>
      <c r="R7" s="21">
        <f>VLOOKUP(B7,'[6]% Penetración Mdo MAY26'!$B$7:$G$65,3,0)-F7-I7-L7-O7</f>
        <v>166</v>
      </c>
      <c r="S7" s="24">
        <f ca="1">SUMIF('UC BMW 2026'!$B$5:$B$77,'UC BMW 2026'!$B5,'UC BMW 2026'!$O$5:$O$72)</f>
        <v>34</v>
      </c>
      <c r="T7" s="282">
        <f t="shared" ref="T7:T69" ca="1" si="4">IFERROR(S7/R7,0)</f>
        <v>0.20481927710843373</v>
      </c>
      <c r="U7" s="21">
        <f>VLOOKUP(B7,'[7]% Penetración Mdo JUN26'!$B$7:$K$59,3,0)-F7-I7-L7-O7-R7</f>
        <v>173</v>
      </c>
      <c r="V7" s="24">
        <f ca="1">SUMIF('UC BMW 2026'!$B$5:$B$77,'UC BMW 2026'!$B5,'UC BMW 2026'!$Q$5:$Q$72)</f>
        <v>39</v>
      </c>
      <c r="W7" s="282">
        <f t="shared" ref="W7:W69" ca="1" si="5">IFERROR(V7/U7,0)</f>
        <v>0.22543352601156069</v>
      </c>
      <c r="X7" s="21"/>
      <c r="Y7" s="24">
        <f ca="1">SUMIF('UC BMW 2026'!$B$5:$B$77,'UC BMW 2026'!$B5,'UC BMW 2026'!$S$5:$S$72)</f>
        <v>0</v>
      </c>
      <c r="Z7" s="282">
        <f t="shared" ref="Z7:Z22" ca="1" si="6">IFERROR(Y7/X7,0)</f>
        <v>0</v>
      </c>
      <c r="AA7" s="21"/>
      <c r="AB7" s="24">
        <f ca="1">SUMIF('UC BMW 2026'!$B$5:$B$77,'UC BMW 2026'!$B5,'UC BMW 2026'!$U$5:$U$72)</f>
        <v>0</v>
      </c>
      <c r="AC7" s="282">
        <f t="shared" ref="AC7:AC22" ca="1" si="7">IFERROR(AB7/AA7,0)</f>
        <v>0</v>
      </c>
      <c r="AD7" s="21"/>
      <c r="AE7" s="24">
        <f ca="1">SUMIF('UC BMW 2026'!$B$5:$B$77,'UC BMW 2026'!$B5,'UC BMW 2026'!$W$5:$W$72)</f>
        <v>0</v>
      </c>
      <c r="AF7" s="282">
        <f t="shared" ref="AF7:AF22" ca="1" si="8">IFERROR(AE7/AD7,0)</f>
        <v>0</v>
      </c>
      <c r="AG7" s="21"/>
      <c r="AH7" s="24">
        <f ca="1">SUMIF('UC BMW 2026'!$B$5:$B$77,'UC BMW 2026'!$B5,'UC BMW 2026'!$Y$5:$Y$72)</f>
        <v>0</v>
      </c>
      <c r="AI7" s="282">
        <f t="shared" ref="AI7:AI22" ca="1" si="9">IFERROR(AH7/AG7,0)</f>
        <v>0</v>
      </c>
      <c r="AJ7" s="21"/>
      <c r="AK7" s="24">
        <f ca="1">SUMIF('UC BMW 2026'!$B$5:$B$77,'UC BMW 2026'!$B5,'UC BMW 2026'!$AA$5:$AA$72)</f>
        <v>0</v>
      </c>
      <c r="AL7" s="282">
        <f t="shared" ref="AL7:AL22" ca="1" si="10">IFERROR(AK7/AJ7,0)</f>
        <v>0</v>
      </c>
      <c r="AM7" s="21"/>
      <c r="AN7" s="24">
        <f ca="1">SUMIF('UC BMW 2026'!$B$5:$B$77,'UC BMW 2026'!$B5,'UC BMW 2026'!$AC$5:$AC$72)</f>
        <v>0</v>
      </c>
      <c r="AO7" s="282">
        <f t="shared" ref="AO7:AO22" ca="1" si="11">IFERROR(AN7/AM7,0)</f>
        <v>0</v>
      </c>
      <c r="AP7" s="21">
        <f t="shared" ref="AP7:AQ21" si="12">IFERROR(IF($AP$4="ENERO",F7,IF($AP$4="FEBRERO",F7+I7,IF($AP$4="MARZO",F7+I7+L7,IF($AP$4="ABRIL",F7+I7+L7+O7,IF($AP$4="MAYO",F7+I7+L7+O7+R7,IF($AP$4="JUNIO",F7+I7+L7+O7+R7+U7,IF($AP$4="JULIO",F7+I7+L7+O7+R7+U7+X7,IF($AP$4="AGOSTO",F7+I7+L7+O7+R7+U7+X7+AA7,IF($AP$4="SEPTIEMBRE",F7+I7+L7+O7+R7+U7+X7+AA7+AD7,IF($AP$4="OCTUBRE",F7+I7+L7+O7+R7+U7+X7+AA7+AD7+AG7,IF($AP$4="NOVIEMBRE",F7+I7+L7+O7+R7+U7+X7+AA7+AD7+AG7+AJ7,IF($AP$4="DICIEMBRE",F7+I7+L7+O7+R7+U7+X7+AA7+AD7+AG7+AJ7+AM7,"")))))))))))),0)</f>
        <v>951</v>
      </c>
      <c r="AQ7" s="24">
        <f t="shared" ca="1" si="12"/>
        <v>230</v>
      </c>
      <c r="AR7" s="129">
        <f ca="1">IFERROR(AQ7/AP7,0)</f>
        <v>0.24185068349106204</v>
      </c>
      <c r="AS7" s="21">
        <f t="shared" ref="AS7:AT21" si="13">IFERROR(SUM(AM7,AJ7,AG7,AD7,AA7,X7,U7,R7,O7,L7,I7,F7),0)</f>
        <v>951</v>
      </c>
      <c r="AT7" s="24">
        <f t="shared" ca="1" si="13"/>
        <v>230</v>
      </c>
      <c r="AU7" s="129">
        <f ca="1">IFERROR(AT7/AS7,0)</f>
        <v>0.24185068349106204</v>
      </c>
      <c r="AV7" s="25"/>
      <c r="AW7" s="27"/>
      <c r="AX7" s="287"/>
      <c r="AY7" s="291"/>
      <c r="AZ7" s="129"/>
      <c r="BA7" s="27"/>
      <c r="BB7" s="129"/>
      <c r="BC7" s="21">
        <f t="shared" ref="BC7:BD21" si="14">IFERROR(IF($BC$5="S 1",F7+I7+L7+O7+R7+U7,
IF($BC$5="S 2",X7+AA7+AD7+AG7+AJ7+AM7,0)),0)</f>
        <v>951</v>
      </c>
      <c r="BD7" s="24">
        <f t="shared" ca="1" si="14"/>
        <v>230</v>
      </c>
      <c r="BE7" s="130">
        <f ca="1">IFERROR(BD7/BC7,0)</f>
        <v>0.24185068349106204</v>
      </c>
      <c r="BF7" s="34">
        <f t="shared" ref="BF7:BG10" si="15">IFERROR(IF($BF$5="S 1",F7+I7+L7+O7+R7+U7,
IF($BF$5="S 2",X7+AA7+AD7+AG7+AJ7+AM7,0)),0)</f>
        <v>0</v>
      </c>
      <c r="BG7" s="24">
        <f t="shared" ca="1" si="15"/>
        <v>0</v>
      </c>
      <c r="BH7" s="130">
        <f ca="1">IFERROR(BG7/BF7,0)</f>
        <v>0</v>
      </c>
      <c r="BJ7" s="565"/>
      <c r="BK7" s="565"/>
      <c r="BL7" s="565"/>
      <c r="BM7" s="565"/>
      <c r="BN7" s="565"/>
      <c r="BO7" s="565"/>
      <c r="BP7"/>
      <c r="BQ7"/>
    </row>
    <row r="8" spans="1:69" s="4" customFormat="1" ht="15" customHeight="1" thickBot="1" x14ac:dyDescent="0.4">
      <c r="A8" s="4">
        <f>_xlfn.XLOOKUP(B8,'WHOLESALE BMW 2026'!$B$7:$B$67,'WHOLESALE BMW 2026'!$A$7:$A$67)</f>
        <v>1</v>
      </c>
      <c r="B8" s="8">
        <v>100873</v>
      </c>
      <c r="C8" s="369" t="s">
        <v>166</v>
      </c>
      <c r="D8" s="125"/>
      <c r="E8" s="309" t="s">
        <v>156</v>
      </c>
      <c r="F8" s="21">
        <v>157</v>
      </c>
      <c r="G8" s="24">
        <f ca="1">SUMIF('UC BMW 2026'!$B$5:$B$77,'UC BMW 2026'!B6,'UC BMW 2026'!$G$5:$G$72)</f>
        <v>36</v>
      </c>
      <c r="H8" s="282">
        <f t="shared" ca="1" si="0"/>
        <v>0.22929936305732485</v>
      </c>
      <c r="I8" s="21">
        <v>202</v>
      </c>
      <c r="J8" s="24">
        <f ca="1">SUMIF('UC BMW 2026'!$B$5:$B$77,'UC BMW 2026'!$B6,'UC BMW 2026'!$I$5:$I$72)</f>
        <v>49</v>
      </c>
      <c r="K8" s="282">
        <f t="shared" ca="1" si="1"/>
        <v>0.24257425742574257</v>
      </c>
      <c r="L8" s="21">
        <f>VLOOKUP(B8,'[4]% Penetración Mdo MAR26'!$B$7:$D$59,3,0)-F8-I8</f>
        <v>136</v>
      </c>
      <c r="M8" s="24">
        <f ca="1">SUMIF('UC BMW 2026'!$B$5:$B$77,'UC BMW 2026'!$B6,'UC BMW 2026'!$K$5:$K$72)</f>
        <v>66</v>
      </c>
      <c r="N8" s="282">
        <f t="shared" ca="1" si="2"/>
        <v>0.48529411764705882</v>
      </c>
      <c r="O8" s="21">
        <f>VLOOKUP(B8,'[5]% Penetración Mdo ABR26'!$B$7:$D$59,3,0)-F8-I8-L8</f>
        <v>154</v>
      </c>
      <c r="P8" s="24">
        <f ca="1">SUMIF('UC BMW 2026'!$B$5:$B$77,'UC BMW 2026'!$B6,'UC BMW 2026'!$M$5:$M$72)</f>
        <v>51</v>
      </c>
      <c r="Q8" s="282">
        <f t="shared" ca="1" si="3"/>
        <v>0.33116883116883117</v>
      </c>
      <c r="R8" s="21">
        <f>VLOOKUP(B8,'[6]% Penetración Mdo MAY26'!$B$7:$G$65,3,0)-F8-I8-L8-O8</f>
        <v>108</v>
      </c>
      <c r="S8" s="24">
        <f ca="1">SUMIF('UC BMW 2026'!$B$5:$B$77,'UC BMW 2026'!$B6,'UC BMW 2026'!$O$5:$O$72)</f>
        <v>53</v>
      </c>
      <c r="T8" s="282">
        <f t="shared" ca="1" si="4"/>
        <v>0.49074074074074076</v>
      </c>
      <c r="U8" s="21">
        <f>VLOOKUP(B8,'[7]% Penetración Mdo JUN26'!$B$7:$K$59,3,0)-F8-I8-L8-O8-R8</f>
        <v>45</v>
      </c>
      <c r="V8" s="24">
        <f ca="1">SUMIF('UC BMW 2026'!$B$5:$B$77,'UC BMW 2026'!$B6,'UC BMW 2026'!$Q$5:$Q$72)</f>
        <v>57</v>
      </c>
      <c r="W8" s="282">
        <f t="shared" ca="1" si="5"/>
        <v>1.2666666666666666</v>
      </c>
      <c r="X8" s="21"/>
      <c r="Y8" s="24">
        <f ca="1">SUMIF('UC BMW 2026'!$B$5:$B$77,'UC BMW 2026'!$B6,'UC BMW 2026'!$S$5:$S$72)</f>
        <v>0</v>
      </c>
      <c r="Z8" s="282">
        <f t="shared" ca="1" si="6"/>
        <v>0</v>
      </c>
      <c r="AA8" s="21"/>
      <c r="AB8" s="24">
        <f ca="1">SUMIF('UC BMW 2026'!$B$5:$B$77,'UC BMW 2026'!$B6,'UC BMW 2026'!$U$5:$U$72)</f>
        <v>0</v>
      </c>
      <c r="AC8" s="282">
        <f t="shared" ca="1" si="7"/>
        <v>0</v>
      </c>
      <c r="AD8" s="21"/>
      <c r="AE8" s="24">
        <f ca="1">SUMIF('UC BMW 2026'!$B$5:$B$77,'UC BMW 2026'!$B6,'UC BMW 2026'!$W$5:$W$72)</f>
        <v>0</v>
      </c>
      <c r="AF8" s="282">
        <f t="shared" ca="1" si="8"/>
        <v>0</v>
      </c>
      <c r="AG8" s="21"/>
      <c r="AH8" s="24">
        <f ca="1">SUMIF('UC BMW 2026'!$B$5:$B$77,'UC BMW 2026'!$B6,'UC BMW 2026'!$Y$5:$Y$72)</f>
        <v>0</v>
      </c>
      <c r="AI8" s="282">
        <f t="shared" ca="1" si="9"/>
        <v>0</v>
      </c>
      <c r="AJ8" s="21"/>
      <c r="AK8" s="24">
        <f ca="1">SUMIF('UC BMW 2026'!$B$5:$B$77,'UC BMW 2026'!$B6,'UC BMW 2026'!$AA$5:$AA$72)</f>
        <v>0</v>
      </c>
      <c r="AL8" s="282">
        <f t="shared" ca="1" si="10"/>
        <v>0</v>
      </c>
      <c r="AM8" s="21"/>
      <c r="AN8" s="24">
        <f ca="1">SUMIF('UC BMW 2026'!$B$5:$B$77,'UC BMW 2026'!$B6,'UC BMW 2026'!$AC$5:$AC$72)</f>
        <v>0</v>
      </c>
      <c r="AO8" s="282">
        <f t="shared" ca="1" si="11"/>
        <v>0</v>
      </c>
      <c r="AP8" s="21">
        <f t="shared" si="12"/>
        <v>802</v>
      </c>
      <c r="AQ8" s="24">
        <f t="shared" ca="1" si="12"/>
        <v>312</v>
      </c>
      <c r="AR8" s="129">
        <f ca="1">IFERROR(AQ8/AP8,0)</f>
        <v>0.38902743142144636</v>
      </c>
      <c r="AS8" s="21">
        <f t="shared" si="13"/>
        <v>802</v>
      </c>
      <c r="AT8" s="24">
        <f t="shared" ca="1" si="13"/>
        <v>312</v>
      </c>
      <c r="AU8" s="129">
        <f ca="1">IFERROR(AT8/AS8,0)</f>
        <v>0.38902743142144636</v>
      </c>
      <c r="AV8" s="25"/>
      <c r="AW8" s="27"/>
      <c r="AX8" s="287"/>
      <c r="AY8" s="291"/>
      <c r="AZ8" s="129"/>
      <c r="BA8" s="27"/>
      <c r="BB8" s="129"/>
      <c r="BC8" s="21">
        <f t="shared" si="14"/>
        <v>802</v>
      </c>
      <c r="BD8" s="24">
        <f t="shared" ca="1" si="14"/>
        <v>312</v>
      </c>
      <c r="BE8" s="130">
        <f ca="1">IFERROR(BD8/BC8,0)</f>
        <v>0.38902743142144636</v>
      </c>
      <c r="BF8" s="34">
        <f t="shared" si="15"/>
        <v>0</v>
      </c>
      <c r="BG8" s="24">
        <f t="shared" ca="1" si="15"/>
        <v>0</v>
      </c>
      <c r="BH8" s="130">
        <f ca="1">IFERROR(BG8/BF8,0)</f>
        <v>0</v>
      </c>
      <c r="BJ8" s="565"/>
      <c r="BK8" s="725" t="s">
        <v>225</v>
      </c>
      <c r="BL8" s="726"/>
      <c r="BM8" s="726"/>
      <c r="BN8" s="726"/>
      <c r="BO8" s="727"/>
      <c r="BP8"/>
      <c r="BQ8"/>
    </row>
    <row r="9" spans="1:69" s="4" customFormat="1" ht="15" customHeight="1" thickBot="1" x14ac:dyDescent="0.35">
      <c r="A9" s="4">
        <f>_xlfn.XLOOKUP(B9,'WHOLESALE BMW 2026'!$B$7:$B$67,'WHOLESALE BMW 2026'!$A$7:$A$67)</f>
        <v>1</v>
      </c>
      <c r="B9" s="8">
        <v>100389</v>
      </c>
      <c r="C9" s="369" t="s">
        <v>40</v>
      </c>
      <c r="D9" s="125"/>
      <c r="E9" s="309" t="s">
        <v>275</v>
      </c>
      <c r="F9" s="21">
        <v>31</v>
      </c>
      <c r="G9" s="24">
        <f ca="1">SUMIF('UC BMW 2026'!$B$5:$B$77,'UC BMW 2026'!B7,'UC BMW 2026'!$G$5:$G$72)</f>
        <v>4</v>
      </c>
      <c r="H9" s="285">
        <f t="shared" ca="1" si="0"/>
        <v>0.12903225806451613</v>
      </c>
      <c r="I9" s="21">
        <v>48</v>
      </c>
      <c r="J9" s="24">
        <f ca="1">SUMIF('UC BMW 2026'!$B$5:$B$77,'UC BMW 2026'!$B7,'UC BMW 2026'!$I$5:$I$72)</f>
        <v>42</v>
      </c>
      <c r="K9" s="285">
        <f t="shared" ca="1" si="1"/>
        <v>0.875</v>
      </c>
      <c r="L9" s="21">
        <f>VLOOKUP(B9,'[4]% Penetración Mdo MAR26'!$B$7:$D$59,3,0)-F9-I9</f>
        <v>57</v>
      </c>
      <c r="M9" s="24">
        <f ca="1">SUMIF('UC BMW 2026'!$B$5:$B$77,'UC BMW 2026'!$B7,'UC BMW 2026'!$K$5:$K$72)</f>
        <v>25</v>
      </c>
      <c r="N9" s="285">
        <f t="shared" ca="1" si="2"/>
        <v>0.43859649122807015</v>
      </c>
      <c r="O9" s="21">
        <f>VLOOKUP(B9,'[5]% Penetración Mdo ABR26'!$B$7:$D$59,3,0)-F9-I9-L9</f>
        <v>55</v>
      </c>
      <c r="P9" s="24">
        <f ca="1">SUMIF('UC BMW 2026'!$B$5:$B$77,'UC BMW 2026'!$B7,'UC BMW 2026'!$M$5:$M$72)</f>
        <v>18</v>
      </c>
      <c r="Q9" s="285">
        <f t="shared" ca="1" si="3"/>
        <v>0.32727272727272727</v>
      </c>
      <c r="R9" s="21">
        <f>VLOOKUP(B9,'[6]% Penetración Mdo MAY26'!$B$7:$G$65,3,0)-F9-I9-L9-O9</f>
        <v>36</v>
      </c>
      <c r="S9" s="24">
        <f ca="1">SUMIF('UC BMW 2026'!$B$5:$B$77,'UC BMW 2026'!$B7,'UC BMW 2026'!$O$5:$O$72)</f>
        <v>18</v>
      </c>
      <c r="T9" s="285">
        <f t="shared" ca="1" si="4"/>
        <v>0.5</v>
      </c>
      <c r="U9" s="21">
        <f>VLOOKUP(B9,'[7]% Penetración Mdo JUN26'!$B$7:$K$59,3,0)-F9-I9-L9-O9-R9</f>
        <v>46</v>
      </c>
      <c r="V9" s="24">
        <f ca="1">SUMIF('UC BMW 2026'!$B$5:$B$77,'UC BMW 2026'!$B7,'UC BMW 2026'!$Q$5:$Q$72)</f>
        <v>32</v>
      </c>
      <c r="W9" s="285">
        <f t="shared" ca="1" si="5"/>
        <v>0.69565217391304346</v>
      </c>
      <c r="X9" s="21"/>
      <c r="Y9" s="24">
        <f ca="1">SUMIF('UC BMW 2026'!$B$5:$B$77,'UC BMW 2026'!$B7,'UC BMW 2026'!$S$5:$S$72)</f>
        <v>0</v>
      </c>
      <c r="Z9" s="282">
        <f t="shared" ca="1" si="6"/>
        <v>0</v>
      </c>
      <c r="AA9" s="21"/>
      <c r="AB9" s="24">
        <f ca="1">SUMIF('UC BMW 2026'!$B$5:$B$77,'UC BMW 2026'!$B7,'UC BMW 2026'!$U$5:$U$72)</f>
        <v>0</v>
      </c>
      <c r="AC9" s="282">
        <f t="shared" ca="1" si="7"/>
        <v>0</v>
      </c>
      <c r="AD9" s="21"/>
      <c r="AE9" s="24">
        <f ca="1">SUMIF('UC BMW 2026'!$B$5:$B$77,'UC BMW 2026'!$B7,'UC BMW 2026'!$W$5:$W$72)</f>
        <v>0</v>
      </c>
      <c r="AF9" s="282">
        <f t="shared" ca="1" si="8"/>
        <v>0</v>
      </c>
      <c r="AG9" s="21"/>
      <c r="AH9" s="24">
        <f ca="1">SUMIF('UC BMW 2026'!$B$5:$B$77,'UC BMW 2026'!$B7,'UC BMW 2026'!$Y$5:$Y$72)</f>
        <v>0</v>
      </c>
      <c r="AI9" s="282">
        <f t="shared" ca="1" si="9"/>
        <v>0</v>
      </c>
      <c r="AJ9" s="21"/>
      <c r="AK9" s="24">
        <f ca="1">SUMIF('UC BMW 2026'!$B$5:$B$77,'UC BMW 2026'!$B7,'UC BMW 2026'!$AA$5:$AA$72)</f>
        <v>0</v>
      </c>
      <c r="AL9" s="282">
        <f t="shared" ca="1" si="10"/>
        <v>0</v>
      </c>
      <c r="AM9" s="21"/>
      <c r="AN9" s="24">
        <f ca="1">SUMIF('UC BMW 2026'!$B$5:$B$77,'UC BMW 2026'!$B7,'UC BMW 2026'!$AC$5:$AC$72)</f>
        <v>0</v>
      </c>
      <c r="AO9" s="282">
        <f t="shared" ca="1" si="11"/>
        <v>0</v>
      </c>
      <c r="AP9" s="21">
        <f t="shared" si="12"/>
        <v>273</v>
      </c>
      <c r="AQ9" s="24">
        <f t="shared" ca="1" si="12"/>
        <v>139</v>
      </c>
      <c r="AR9" s="126">
        <f ca="1">IFERROR(AQ9/AP9,0)</f>
        <v>0.50915750915750912</v>
      </c>
      <c r="AS9" s="21">
        <f t="shared" si="13"/>
        <v>273</v>
      </c>
      <c r="AT9" s="24">
        <f t="shared" ca="1" si="13"/>
        <v>139</v>
      </c>
      <c r="AU9" s="126">
        <f ca="1">IFERROR(AT9/AS9,0)</f>
        <v>0.50915750915750912</v>
      </c>
      <c r="AV9" s="21"/>
      <c r="AW9" s="24"/>
      <c r="AX9" s="282"/>
      <c r="AY9" s="291"/>
      <c r="AZ9" s="126"/>
      <c r="BA9" s="24"/>
      <c r="BB9" s="126"/>
      <c r="BC9" s="21">
        <f t="shared" si="14"/>
        <v>273</v>
      </c>
      <c r="BD9" s="24">
        <f t="shared" ca="1" si="14"/>
        <v>139</v>
      </c>
      <c r="BE9" s="127">
        <f ca="1">IFERROR(BD9/BC9,0)</f>
        <v>0.50915750915750912</v>
      </c>
      <c r="BF9" s="21">
        <f t="shared" si="15"/>
        <v>0</v>
      </c>
      <c r="BG9" s="22">
        <f t="shared" ca="1" si="15"/>
        <v>0</v>
      </c>
      <c r="BH9" s="127">
        <f ca="1">IFERROR(BG9/BF9,0)</f>
        <v>0</v>
      </c>
      <c r="BJ9" s="565"/>
      <c r="BK9" s="728"/>
      <c r="BL9" s="729"/>
      <c r="BM9" s="729"/>
      <c r="BN9" s="729"/>
      <c r="BO9" s="730"/>
      <c r="BP9" s="585" t="s">
        <v>293</v>
      </c>
      <c r="BQ9" s="585" t="s">
        <v>294</v>
      </c>
    </row>
    <row r="10" spans="1:69" s="4" customFormat="1" ht="15" customHeight="1" thickBot="1" x14ac:dyDescent="0.4">
      <c r="A10" s="4">
        <f>_xlfn.XLOOKUP(B10,'WHOLESALE BMW 2026'!$B$7:$B$67,'WHOLESALE BMW 2026'!$A$7:$A$67)</f>
        <v>1</v>
      </c>
      <c r="B10" s="8">
        <v>100738</v>
      </c>
      <c r="C10" s="369" t="s">
        <v>42</v>
      </c>
      <c r="D10" s="125"/>
      <c r="E10" s="309" t="s">
        <v>89</v>
      </c>
      <c r="F10" s="21">
        <v>38</v>
      </c>
      <c r="G10" s="24">
        <f ca="1">SUMIF('UC BMW 2026'!$B$5:$B$77,'UC BMW 2026'!B8,'UC BMW 2026'!$G$5:$G$72)</f>
        <v>11</v>
      </c>
      <c r="H10" s="282">
        <f t="shared" ca="1" si="0"/>
        <v>0.28947368421052633</v>
      </c>
      <c r="I10" s="21">
        <v>52</v>
      </c>
      <c r="J10" s="24">
        <f ca="1">SUMIF('UC BMW 2026'!$B$5:$B$77,'UC BMW 2026'!$B8,'UC BMW 2026'!$I$5:$I$72)</f>
        <v>7</v>
      </c>
      <c r="K10" s="282">
        <f t="shared" ca="1" si="1"/>
        <v>0.13461538461538461</v>
      </c>
      <c r="L10" s="21">
        <f>VLOOKUP(B10,'[4]% Penetración Mdo MAR26'!$B$7:$D$59,3,0)-F10-I10</f>
        <v>55</v>
      </c>
      <c r="M10" s="24">
        <f ca="1">SUMIF('UC BMW 2026'!$B$5:$B$77,'UC BMW 2026'!$B8,'UC BMW 2026'!$K$5:$K$72)</f>
        <v>14</v>
      </c>
      <c r="N10" s="282">
        <f t="shared" ca="1" si="2"/>
        <v>0.25454545454545452</v>
      </c>
      <c r="O10" s="21">
        <f>VLOOKUP(B10,'[5]% Penetración Mdo ABR26'!$B$7:$D$59,3,0)-F10-I10-L10</f>
        <v>57</v>
      </c>
      <c r="P10" s="24">
        <f ca="1">SUMIF('UC BMW 2026'!$B$5:$B$77,'UC BMW 2026'!$B8,'UC BMW 2026'!$M$5:$M$72)</f>
        <v>11</v>
      </c>
      <c r="Q10" s="282">
        <f t="shared" ca="1" si="3"/>
        <v>0.19298245614035087</v>
      </c>
      <c r="R10" s="21">
        <f>VLOOKUP(B10,'[6]% Penetración Mdo MAY26'!$B$7:$G$65,3,0)-F10-I10-L10-O10</f>
        <v>59</v>
      </c>
      <c r="S10" s="24">
        <f ca="1">SUMIF('UC BMW 2026'!$B$5:$B$77,'UC BMW 2026'!$B8,'UC BMW 2026'!$O$5:$O$72)</f>
        <v>12</v>
      </c>
      <c r="T10" s="282">
        <f t="shared" ca="1" si="4"/>
        <v>0.20338983050847459</v>
      </c>
      <c r="U10" s="21">
        <f>VLOOKUP(B10,'[7]% Penetración Mdo JUN26'!$B$7:$K$59,3,0)-F10-I10-L10-O10-R10</f>
        <v>58</v>
      </c>
      <c r="V10" s="24">
        <f ca="1">SUMIF('UC BMW 2026'!$B$5:$B$77,'UC BMW 2026'!$B8,'UC BMW 2026'!$Q$5:$Q$72)</f>
        <v>9</v>
      </c>
      <c r="W10" s="282">
        <f t="shared" ca="1" si="5"/>
        <v>0.15517241379310345</v>
      </c>
      <c r="X10" s="21"/>
      <c r="Y10" s="24">
        <f ca="1">SUMIF('UC BMW 2026'!$B$5:$B$77,'UC BMW 2026'!$B8,'UC BMW 2026'!$S$5:$S$72)</f>
        <v>0</v>
      </c>
      <c r="Z10" s="282">
        <f t="shared" ca="1" si="6"/>
        <v>0</v>
      </c>
      <c r="AA10" s="21"/>
      <c r="AB10" s="24">
        <f ca="1">SUMIF('UC BMW 2026'!$B$5:$B$77,'UC BMW 2026'!$B8,'UC BMW 2026'!$U$5:$U$72)</f>
        <v>0</v>
      </c>
      <c r="AC10" s="282">
        <f t="shared" ca="1" si="7"/>
        <v>0</v>
      </c>
      <c r="AD10" s="21"/>
      <c r="AE10" s="24">
        <f ca="1">SUMIF('UC BMW 2026'!$B$5:$B$77,'UC BMW 2026'!$B8,'UC BMW 2026'!$W$5:$W$72)</f>
        <v>0</v>
      </c>
      <c r="AF10" s="282">
        <f t="shared" ca="1" si="8"/>
        <v>0</v>
      </c>
      <c r="AG10" s="21"/>
      <c r="AH10" s="24">
        <f ca="1">SUMIF('UC BMW 2026'!$B$5:$B$77,'UC BMW 2026'!$B8,'UC BMW 2026'!$Y$5:$Y$72)</f>
        <v>0</v>
      </c>
      <c r="AI10" s="282">
        <f t="shared" ca="1" si="9"/>
        <v>0</v>
      </c>
      <c r="AJ10" s="21"/>
      <c r="AK10" s="24">
        <f ca="1">SUMIF('UC BMW 2026'!$B$5:$B$77,'UC BMW 2026'!$B8,'UC BMW 2026'!$AA$5:$AA$72)</f>
        <v>0</v>
      </c>
      <c r="AL10" s="282">
        <f t="shared" ca="1" si="10"/>
        <v>0</v>
      </c>
      <c r="AM10" s="21"/>
      <c r="AN10" s="24">
        <f ca="1">SUMIF('UC BMW 2026'!$B$5:$B$77,'UC BMW 2026'!$B8,'UC BMW 2026'!$AC$5:$AC$72)</f>
        <v>0</v>
      </c>
      <c r="AO10" s="282">
        <f t="shared" ca="1" si="11"/>
        <v>0</v>
      </c>
      <c r="AP10" s="21">
        <f t="shared" si="12"/>
        <v>319</v>
      </c>
      <c r="AQ10" s="24">
        <f t="shared" ca="1" si="12"/>
        <v>64</v>
      </c>
      <c r="AR10" s="129">
        <f ca="1">IFERROR(AQ10/AP10,0)</f>
        <v>0.20062695924764889</v>
      </c>
      <c r="AS10" s="21">
        <f t="shared" si="13"/>
        <v>319</v>
      </c>
      <c r="AT10" s="24">
        <f t="shared" ca="1" si="13"/>
        <v>64</v>
      </c>
      <c r="AU10" s="129">
        <f ca="1">IFERROR(AT10/AS10,0)</f>
        <v>0.20062695924764889</v>
      </c>
      <c r="AV10" s="25"/>
      <c r="AW10" s="27"/>
      <c r="AX10" s="287"/>
      <c r="AY10" s="294"/>
      <c r="AZ10" s="129"/>
      <c r="BA10" s="27"/>
      <c r="BB10" s="129"/>
      <c r="BC10" s="21">
        <f t="shared" si="14"/>
        <v>319</v>
      </c>
      <c r="BD10" s="24">
        <f t="shared" ca="1" si="14"/>
        <v>64</v>
      </c>
      <c r="BE10" s="130">
        <f ca="1">IFERROR(BD10/BC10,0)</f>
        <v>0.20062695924764889</v>
      </c>
      <c r="BF10" s="21">
        <f t="shared" si="15"/>
        <v>0</v>
      </c>
      <c r="BG10" s="24">
        <f t="shared" ca="1" si="15"/>
        <v>0</v>
      </c>
      <c r="BH10" s="130">
        <f ca="1">IFERROR(BG10/BF10,0)</f>
        <v>0</v>
      </c>
      <c r="BJ10" s="566"/>
      <c r="BK10" s="567">
        <v>1</v>
      </c>
      <c r="BL10" s="568" cm="1">
        <f t="array" aca="1" ref="BL10" ca="1">LARGE(_xlfn._xlws.FILTER(AR$7:AR$69, NOT(ISNUMBER(SEARCH("Total Distrito", B$7:B$69)))),ROW(A1))</f>
        <v>1</v>
      </c>
      <c r="BM10" s="569" t="str">
        <f ca="1">IFERROR(INDEX(C$7:C$69, MATCH(BL10, AR$7:AR$69, 0)), "")</f>
        <v>TRIOCAR</v>
      </c>
      <c r="BN10" s="570">
        <f ca="1">IFERROR(VLOOKUP(BM10,$C$7:$AQ$69,40,0),0)</f>
        <v>119</v>
      </c>
      <c r="BO10" s="571">
        <f ca="1">IFERROR(VLOOKUP(BM10,$C$7:$AQ$69,41,0),0)</f>
        <v>119</v>
      </c>
      <c r="BP10" s="572">
        <f ca="1">SUM(BN10:BN28)</f>
        <v>2114</v>
      </c>
      <c r="BQ10" s="573">
        <f ca="1">SUM(BO10:BO28)</f>
        <v>1394</v>
      </c>
    </row>
    <row r="11" spans="1:69" s="4" customFormat="1" ht="15" customHeight="1" thickBot="1" x14ac:dyDescent="0.4">
      <c r="A11" s="4">
        <f>_xlfn.XLOOKUP(B11,'WHOLESALE BMW 2026'!$B$7:$B$67,'WHOLESALE BMW 2026'!$A$7:$A$67)</f>
        <v>0</v>
      </c>
      <c r="B11" s="7" t="s">
        <v>264</v>
      </c>
      <c r="C11" s="28"/>
      <c r="D11" s="125"/>
      <c r="E11" s="7"/>
      <c r="F11" s="277">
        <f>SUM(F7:F10)</f>
        <v>350</v>
      </c>
      <c r="G11" s="410">
        <f ca="1">SUM(G7:G10)</f>
        <v>90</v>
      </c>
      <c r="H11" s="132">
        <f t="shared" ca="1" si="0"/>
        <v>0.25714285714285712</v>
      </c>
      <c r="I11" s="277">
        <f>SUM(I7:I10)</f>
        <v>461</v>
      </c>
      <c r="J11" s="410">
        <f ca="1">SUM(J7:J10)</f>
        <v>140</v>
      </c>
      <c r="K11" s="132">
        <f t="shared" ca="1" si="1"/>
        <v>0.3036876355748373</v>
      </c>
      <c r="L11" s="277">
        <f>SUM(L7:L10)</f>
        <v>419</v>
      </c>
      <c r="M11" s="277">
        <f ca="1">SUM(M7:M10)</f>
        <v>147</v>
      </c>
      <c r="N11" s="132">
        <f t="shared" ca="1" si="2"/>
        <v>0.35083532219570407</v>
      </c>
      <c r="O11" s="277">
        <f>SUM(O7:O10)</f>
        <v>424</v>
      </c>
      <c r="P11" s="410">
        <f ca="1">SUM(P7:P10)</f>
        <v>114</v>
      </c>
      <c r="Q11" s="132">
        <f t="shared" ca="1" si="3"/>
        <v>0.26886792452830188</v>
      </c>
      <c r="R11" s="277">
        <f>SUM(R7:R10)</f>
        <v>369</v>
      </c>
      <c r="S11" s="410">
        <f ca="1">SUM(S7:S10)</f>
        <v>117</v>
      </c>
      <c r="T11" s="132">
        <f t="shared" ca="1" si="4"/>
        <v>0.31707317073170732</v>
      </c>
      <c r="U11" s="277">
        <f>SUM(U7:U10)</f>
        <v>322</v>
      </c>
      <c r="V11" s="410">
        <f ca="1">SUM(V7:V10)</f>
        <v>137</v>
      </c>
      <c r="W11" s="132">
        <f t="shared" ca="1" si="5"/>
        <v>0.4254658385093168</v>
      </c>
      <c r="X11" s="277">
        <f>SUM(X7:X10)</f>
        <v>0</v>
      </c>
      <c r="Y11" s="410">
        <f ca="1">SUM(Y7:Y10)</f>
        <v>0</v>
      </c>
      <c r="Z11" s="132">
        <f t="shared" ca="1" si="6"/>
        <v>0</v>
      </c>
      <c r="AA11" s="277">
        <f>SUM(AA7:AA10)</f>
        <v>0</v>
      </c>
      <c r="AB11" s="410">
        <f ca="1">SUM(AB7:AB10)</f>
        <v>0</v>
      </c>
      <c r="AC11" s="132">
        <f t="shared" ca="1" si="7"/>
        <v>0</v>
      </c>
      <c r="AD11" s="277">
        <f>SUM(AD7:AD10)</f>
        <v>0</v>
      </c>
      <c r="AE11" s="410">
        <f ca="1">SUM(AE7:AE10)</f>
        <v>0</v>
      </c>
      <c r="AF11" s="132">
        <f t="shared" ca="1" si="8"/>
        <v>0</v>
      </c>
      <c r="AG11" s="277">
        <f>SUM(AG7:AG10)</f>
        <v>0</v>
      </c>
      <c r="AH11" s="410">
        <f ca="1">SUM(AH7:AH10)</f>
        <v>0</v>
      </c>
      <c r="AI11" s="132">
        <f t="shared" ca="1" si="9"/>
        <v>0</v>
      </c>
      <c r="AJ11" s="277">
        <f>SUM(AJ7:AJ10)</f>
        <v>0</v>
      </c>
      <c r="AK11" s="410">
        <f ca="1">SUM(AK7:AK10)</f>
        <v>0</v>
      </c>
      <c r="AL11" s="132">
        <f t="shared" ca="1" si="10"/>
        <v>0</v>
      </c>
      <c r="AM11" s="277">
        <f>SUM(AM7:AM10)</f>
        <v>0</v>
      </c>
      <c r="AN11" s="410">
        <f ca="1">SUM(AN7:AN10)</f>
        <v>0</v>
      </c>
      <c r="AO11" s="132">
        <f t="shared" ca="1" si="11"/>
        <v>0</v>
      </c>
      <c r="AP11" s="277">
        <f t="shared" si="12"/>
        <v>2345</v>
      </c>
      <c r="AQ11" s="410">
        <f t="shared" ca="1" si="12"/>
        <v>745</v>
      </c>
      <c r="AR11" s="131">
        <f t="shared" ref="AR11:AR67" ca="1" si="16">IFERROR(AQ11/AP11,0)</f>
        <v>0.31769722814498935</v>
      </c>
      <c r="AS11" s="277">
        <f t="shared" si="13"/>
        <v>2345</v>
      </c>
      <c r="AT11" s="410">
        <f t="shared" ca="1" si="13"/>
        <v>745</v>
      </c>
      <c r="AU11" s="131">
        <f t="shared" ref="AU11:AU67" ca="1" si="17">IFERROR(AT11/AS11,0)</f>
        <v>0.31769722814498935</v>
      </c>
      <c r="AV11" s="200"/>
      <c r="AW11" s="258"/>
      <c r="AX11" s="132"/>
      <c r="AY11" s="278"/>
      <c r="AZ11" s="132"/>
      <c r="BA11" s="258"/>
      <c r="BB11" s="131"/>
      <c r="BC11" s="277">
        <f t="shared" si="14"/>
        <v>2345</v>
      </c>
      <c r="BD11" s="410">
        <f t="shared" ca="1" si="14"/>
        <v>745</v>
      </c>
      <c r="BE11" s="275">
        <f t="shared" ref="BE11:BE67" ca="1" si="18">IFERROR(BD11/BC11,0)</f>
        <v>0.31769722814498935</v>
      </c>
      <c r="BF11" s="277">
        <f>IFERROR(SUM(BF7:BF10),0)</f>
        <v>0</v>
      </c>
      <c r="BG11" s="277">
        <f ca="1">IFERROR(SUM(BG7:BG10),0)</f>
        <v>0</v>
      </c>
      <c r="BH11" s="275">
        <f t="shared" ref="BH11:BH67" ca="1" si="19">IFERROR(BG11/BF11,0)</f>
        <v>0</v>
      </c>
      <c r="BJ11" s="566"/>
      <c r="BK11" s="574">
        <v>2</v>
      </c>
      <c r="BL11" s="575" cm="1">
        <f t="array" aca="1" ref="BL11" ca="1">LARGE(_xlfn._xlws.FILTER(AR$7:AR$69, NOT(ISNUMBER(SEARCH("Total Distrito", B$7:B$69)))),ROW(A2))</f>
        <v>0.95067264573991028</v>
      </c>
      <c r="BM11" s="576" t="str">
        <f t="shared" ref="BM11:BM19" ca="1" si="20">IFERROR(INDEX(C$7:C$69, MATCH(BL11, AR$7:AR$69, 0)), "")</f>
        <v>MÓVIL BEGAR</v>
      </c>
      <c r="BN11" s="577">
        <f t="shared" ref="BN11:BN19" ca="1" si="21">IFERROR(VLOOKUP(BM11,$C$7:$AQ$69,40,0),0)</f>
        <v>223</v>
      </c>
      <c r="BO11" s="578">
        <f t="shared" ref="BO11:BO18" ca="1" si="22">IFERROR(VLOOKUP(BM11,$C$7:$AQ$69,41,0),0)</f>
        <v>212</v>
      </c>
      <c r="BP11"/>
      <c r="BQ11"/>
    </row>
    <row r="12" spans="1:69" s="4" customFormat="1" ht="15" customHeight="1" x14ac:dyDescent="0.35">
      <c r="A12" s="4">
        <f>_xlfn.XLOOKUP(B12,'WHOLESALE BMW 2026'!$B$7:$B$67,'WHOLESALE BMW 2026'!$A$7:$A$67)</f>
        <v>2</v>
      </c>
      <c r="B12" s="8">
        <v>100213</v>
      </c>
      <c r="C12" s="369" t="s">
        <v>15</v>
      </c>
      <c r="D12" s="125"/>
      <c r="E12" s="309" t="s">
        <v>276</v>
      </c>
      <c r="F12" s="21">
        <v>113</v>
      </c>
      <c r="G12" s="24">
        <f ca="1">SUMIF('UC BMW 2026'!$B$5:$B$77,'UC BMW 2026'!B10,'UC BMW 2026'!$G$5:$G$72)</f>
        <v>38</v>
      </c>
      <c r="H12" s="282">
        <f t="shared" ca="1" si="0"/>
        <v>0.33628318584070799</v>
      </c>
      <c r="I12" s="21">
        <v>188</v>
      </c>
      <c r="J12" s="24">
        <f ca="1">SUMIF('UC BMW 2026'!$B$5:$B$77,'UC BMW 2026'!$B10,'UC BMW 2026'!$I$5:$I$72)</f>
        <v>51</v>
      </c>
      <c r="K12" s="282">
        <f t="shared" ca="1" si="1"/>
        <v>0.27127659574468083</v>
      </c>
      <c r="L12" s="21">
        <f>VLOOKUP(B12,'[4]% Penetración Mdo MAR26'!$B$7:$D$59,3,0)-F12-I12</f>
        <v>205</v>
      </c>
      <c r="M12" s="24">
        <f ca="1">SUMIF('UC BMW 2026'!$B$5:$B$77,'UC BMW 2026'!$B10,'UC BMW 2026'!$K$5:$K$72)</f>
        <v>63</v>
      </c>
      <c r="N12" s="282">
        <f t="shared" ca="1" si="2"/>
        <v>0.3073170731707317</v>
      </c>
      <c r="O12" s="21">
        <f>VLOOKUP(B12,'[5]% Penetración Mdo ABR26'!$B$7:$D$59,3,0)-F12-I12-L12</f>
        <v>128</v>
      </c>
      <c r="P12" s="24">
        <f ca="1">SUMIF('UC BMW 2026'!$B$5:$B$77,'UC BMW 2026'!$B10,'UC BMW 2026'!$M$5:$M$72)</f>
        <v>48</v>
      </c>
      <c r="Q12" s="282">
        <f t="shared" ca="1" si="3"/>
        <v>0.375</v>
      </c>
      <c r="R12" s="21">
        <f>VLOOKUP(B12,'[6]% Penetración Mdo MAY26'!$B$7:$G$65,3,0)-F12-I12-L12-O12</f>
        <v>76</v>
      </c>
      <c r="S12" s="24">
        <f ca="1">SUMIF('UC BMW 2026'!$B$5:$B$77,'UC BMW 2026'!$B10,'UC BMW 2026'!$O$5:$O$72)</f>
        <v>50</v>
      </c>
      <c r="T12" s="282">
        <f t="shared" ca="1" si="4"/>
        <v>0.65789473684210531</v>
      </c>
      <c r="U12" s="21">
        <f>VLOOKUP(B12,'[7]% Penetración Mdo JUN26'!$B$7:$K$59,3,0)-F12-I12-L12-O12-R12</f>
        <v>112</v>
      </c>
      <c r="V12" s="24">
        <f ca="1">SUMIF('UC BMW 2026'!$B$5:$B$77,'UC BMW 2026'!$B10,'UC BMW 2026'!$Q$5:$Q$72)</f>
        <v>49</v>
      </c>
      <c r="W12" s="282">
        <f t="shared" ca="1" si="5"/>
        <v>0.4375</v>
      </c>
      <c r="X12" s="21"/>
      <c r="Y12" s="24">
        <f ca="1">SUMIF('UC BMW 2026'!$B$5:$B$77,'UC BMW 2026'!$B10,'UC BMW 2026'!$S$5:$S$72)</f>
        <v>0</v>
      </c>
      <c r="Z12" s="282">
        <f t="shared" ca="1" si="6"/>
        <v>0</v>
      </c>
      <c r="AA12" s="21"/>
      <c r="AB12" s="24">
        <f ca="1">SUMIF('UC BMW 2026'!$B$5:$B$77,'UC BMW 2026'!$B10,'UC BMW 2026'!$U$5:$U$72)</f>
        <v>0</v>
      </c>
      <c r="AC12" s="282">
        <f t="shared" ca="1" si="7"/>
        <v>0</v>
      </c>
      <c r="AD12" s="21"/>
      <c r="AE12" s="24">
        <f ca="1">SUMIF('UC BMW 2026'!$B$5:$B$77,'UC BMW 2026'!$B10,'UC BMW 2026'!$W$5:$W$72)</f>
        <v>0</v>
      </c>
      <c r="AF12" s="282">
        <f t="shared" ca="1" si="8"/>
        <v>0</v>
      </c>
      <c r="AG12" s="21"/>
      <c r="AH12" s="24">
        <f ca="1">SUMIF('UC BMW 2026'!$B$5:$B$77,'UC BMW 2026'!$B10,'UC BMW 2026'!$Y$5:$Y$72)</f>
        <v>0</v>
      </c>
      <c r="AI12" s="282">
        <f t="shared" ca="1" si="9"/>
        <v>0</v>
      </c>
      <c r="AJ12" s="21"/>
      <c r="AK12" s="24">
        <f ca="1">SUMIF('UC BMW 2026'!$B$5:$B$77,'UC BMW 2026'!$B10,'UC BMW 2026'!$AA$5:$AA$72)</f>
        <v>0</v>
      </c>
      <c r="AL12" s="282">
        <f t="shared" ca="1" si="10"/>
        <v>0</v>
      </c>
      <c r="AM12" s="21"/>
      <c r="AN12" s="24">
        <f ca="1">SUMIF('UC BMW 2026'!$B$5:$B$77,'UC BMW 2026'!$B10,'UC BMW 2026'!$AC$5:$AC$72)</f>
        <v>0</v>
      </c>
      <c r="AO12" s="282">
        <f t="shared" ca="1" si="11"/>
        <v>0</v>
      </c>
      <c r="AP12" s="21">
        <f t="shared" si="12"/>
        <v>822</v>
      </c>
      <c r="AQ12" s="24">
        <f t="shared" ca="1" si="12"/>
        <v>299</v>
      </c>
      <c r="AR12" s="129">
        <f t="shared" ca="1" si="16"/>
        <v>0.36374695863746959</v>
      </c>
      <c r="AS12" s="21">
        <f t="shared" si="13"/>
        <v>822</v>
      </c>
      <c r="AT12" s="24">
        <f t="shared" ca="1" si="13"/>
        <v>299</v>
      </c>
      <c r="AU12" s="129">
        <f t="shared" ca="1" si="17"/>
        <v>0.36374695863746959</v>
      </c>
      <c r="AV12" s="25"/>
      <c r="AW12" s="27"/>
      <c r="AX12" s="287"/>
      <c r="AY12" s="291"/>
      <c r="AZ12" s="129"/>
      <c r="BA12" s="27"/>
      <c r="BB12" s="129"/>
      <c r="BC12" s="21">
        <f t="shared" si="14"/>
        <v>822</v>
      </c>
      <c r="BD12" s="24">
        <f t="shared" ca="1" si="14"/>
        <v>299</v>
      </c>
      <c r="BE12" s="130">
        <f t="shared" ca="1" si="18"/>
        <v>0.36374695863746959</v>
      </c>
      <c r="BF12" s="34">
        <f t="shared" ref="BF12:BG16" si="23">IFERROR(IF($BF$5="S 1",F12+I12+L12+O12+R12+U12,
IF($BF$5="S 2",X12+AA12+AD12+AG12+AJ12+AM12,0)),0)</f>
        <v>0</v>
      </c>
      <c r="BG12" s="24">
        <f t="shared" ca="1" si="23"/>
        <v>0</v>
      </c>
      <c r="BH12" s="130">
        <f t="shared" ca="1" si="19"/>
        <v>0</v>
      </c>
      <c r="BJ12" s="566"/>
      <c r="BK12" s="574">
        <v>3</v>
      </c>
      <c r="BL12" s="575" cm="1">
        <f t="array" aca="1" ref="BL12" ca="1">LARGE(_xlfn._xlws.FILTER(AR$7:AR$69, NOT(ISNUMBER(SEARCH("Total Distrito", B$7:B$69)))),ROW(A3))</f>
        <v>0.6728395061728395</v>
      </c>
      <c r="BM12" s="576" t="str">
        <f t="shared" ca="1" si="20"/>
        <v>AUTOMOTOR COSTA</v>
      </c>
      <c r="BN12" s="577">
        <f t="shared" ca="1" si="21"/>
        <v>324</v>
      </c>
      <c r="BO12" s="578">
        <f t="shared" ca="1" si="22"/>
        <v>218</v>
      </c>
      <c r="BP12"/>
      <c r="BQ12"/>
    </row>
    <row r="13" spans="1:69" s="4" customFormat="1" ht="15" customHeight="1" x14ac:dyDescent="0.35">
      <c r="A13" s="4">
        <f>_xlfn.XLOOKUP(B13,'WHOLESALE BMW 2026'!$B$7:$B$67,'WHOLESALE BMW 2026'!$A$7:$A$67)</f>
        <v>2</v>
      </c>
      <c r="B13" s="8">
        <v>100319</v>
      </c>
      <c r="C13" s="369" t="s">
        <v>16</v>
      </c>
      <c r="D13" s="125"/>
      <c r="E13" s="309" t="s">
        <v>276</v>
      </c>
      <c r="F13" s="21">
        <v>123</v>
      </c>
      <c r="G13" s="24">
        <f ca="1">SUMIF('UC BMW 2026'!$B$5:$B$77,'UC BMW 2026'!B11,'UC BMW 2026'!$G$5:$G$72)</f>
        <v>50</v>
      </c>
      <c r="H13" s="282">
        <f t="shared" ca="1" si="0"/>
        <v>0.4065040650406504</v>
      </c>
      <c r="I13" s="21">
        <v>110</v>
      </c>
      <c r="J13" s="24">
        <f ca="1">SUMIF('UC BMW 2026'!$B$5:$B$77,'UC BMW 2026'!$B11,'UC BMW 2026'!$I$5:$I$72)</f>
        <v>57</v>
      </c>
      <c r="K13" s="282">
        <f t="shared" ca="1" si="1"/>
        <v>0.51818181818181819</v>
      </c>
      <c r="L13" s="21">
        <f>VLOOKUP(B13,'[4]% Penetración Mdo MAR26'!$B$7:$D$59,3,0)-F13-I13</f>
        <v>160</v>
      </c>
      <c r="M13" s="24">
        <f ca="1">SUMIF('UC BMW 2026'!$B$5:$B$77,'UC BMW 2026'!$B11,'UC BMW 2026'!$K$5:$K$72)</f>
        <v>63</v>
      </c>
      <c r="N13" s="282">
        <f t="shared" ca="1" si="2"/>
        <v>0.39374999999999999</v>
      </c>
      <c r="O13" s="21">
        <f>VLOOKUP(B13,'[5]% Penetración Mdo ABR26'!$B$7:$D$59,3,0)-F13-I13-L13</f>
        <v>130</v>
      </c>
      <c r="P13" s="24">
        <f ca="1">SUMIF('UC BMW 2026'!$B$5:$B$77,'UC BMW 2026'!$B11,'UC BMW 2026'!$M$5:$M$72)</f>
        <v>56</v>
      </c>
      <c r="Q13" s="282">
        <f t="shared" ca="1" si="3"/>
        <v>0.43076923076923079</v>
      </c>
      <c r="R13" s="21">
        <f>VLOOKUP(B13,'[6]% Penetración Mdo MAY26'!$B$7:$G$65,3,0)-F13-I13-L13-O13</f>
        <v>108</v>
      </c>
      <c r="S13" s="24">
        <f ca="1">SUMIF('UC BMW 2026'!$B$5:$B$77,'UC BMW 2026'!$B11,'UC BMW 2026'!$O$5:$O$72)</f>
        <v>44</v>
      </c>
      <c r="T13" s="282">
        <f t="shared" ca="1" si="4"/>
        <v>0.40740740740740738</v>
      </c>
      <c r="U13" s="21">
        <f>VLOOKUP(B13,'[7]% Penetración Mdo JUN26'!$B$7:$K$59,3,0)-F13-I13-L13-O13-R13</f>
        <v>163</v>
      </c>
      <c r="V13" s="24">
        <f ca="1">SUMIF('UC BMW 2026'!$B$5:$B$77,'UC BMW 2026'!$B11,'UC BMW 2026'!$Q$5:$Q$72)</f>
        <v>60</v>
      </c>
      <c r="W13" s="282">
        <f t="shared" ca="1" si="5"/>
        <v>0.36809815950920244</v>
      </c>
      <c r="X13" s="21"/>
      <c r="Y13" s="24">
        <f ca="1">SUMIF('UC BMW 2026'!$B$5:$B$77,'UC BMW 2026'!$B11,'UC BMW 2026'!$S$5:$S$72)</f>
        <v>0</v>
      </c>
      <c r="Z13" s="282">
        <f t="shared" ca="1" si="6"/>
        <v>0</v>
      </c>
      <c r="AA13" s="21"/>
      <c r="AB13" s="24">
        <f ca="1">SUMIF('UC BMW 2026'!$B$5:$B$77,'UC BMW 2026'!$B11,'UC BMW 2026'!$U$5:$U$72)</f>
        <v>0</v>
      </c>
      <c r="AC13" s="282">
        <f t="shared" ca="1" si="7"/>
        <v>0</v>
      </c>
      <c r="AD13" s="21"/>
      <c r="AE13" s="24">
        <f ca="1">SUMIF('UC BMW 2026'!$B$5:$B$77,'UC BMW 2026'!$B11,'UC BMW 2026'!$W$5:$W$72)</f>
        <v>0</v>
      </c>
      <c r="AF13" s="282">
        <f t="shared" ca="1" si="8"/>
        <v>0</v>
      </c>
      <c r="AG13" s="21"/>
      <c r="AH13" s="24">
        <f ca="1">SUMIF('UC BMW 2026'!$B$5:$B$77,'UC BMW 2026'!$B11,'UC BMW 2026'!$Y$5:$Y$72)</f>
        <v>0</v>
      </c>
      <c r="AI13" s="282">
        <f t="shared" ca="1" si="9"/>
        <v>0</v>
      </c>
      <c r="AJ13" s="21"/>
      <c r="AK13" s="24">
        <f ca="1">SUMIF('UC BMW 2026'!$B$5:$B$77,'UC BMW 2026'!$B11,'UC BMW 2026'!$AA$5:$AA$72)</f>
        <v>0</v>
      </c>
      <c r="AL13" s="282">
        <f t="shared" ca="1" si="10"/>
        <v>0</v>
      </c>
      <c r="AM13" s="21"/>
      <c r="AN13" s="24">
        <f ca="1">SUMIF('UC BMW 2026'!$B$5:$B$77,'UC BMW 2026'!$B11,'UC BMW 2026'!$AC$5:$AC$72)</f>
        <v>0</v>
      </c>
      <c r="AO13" s="282">
        <f t="shared" ca="1" si="11"/>
        <v>0</v>
      </c>
      <c r="AP13" s="21">
        <f t="shared" si="12"/>
        <v>794</v>
      </c>
      <c r="AQ13" s="24">
        <f t="shared" ca="1" si="12"/>
        <v>330</v>
      </c>
      <c r="AR13" s="129">
        <f t="shared" ca="1" si="16"/>
        <v>0.41561712846347609</v>
      </c>
      <c r="AS13" s="21">
        <f t="shared" si="13"/>
        <v>794</v>
      </c>
      <c r="AT13" s="24">
        <f t="shared" ca="1" si="13"/>
        <v>330</v>
      </c>
      <c r="AU13" s="129">
        <f t="shared" ca="1" si="17"/>
        <v>0.41561712846347609</v>
      </c>
      <c r="AV13" s="25"/>
      <c r="AW13" s="27"/>
      <c r="AX13" s="287"/>
      <c r="AY13" s="291"/>
      <c r="AZ13" s="129"/>
      <c r="BA13" s="27"/>
      <c r="BB13" s="129"/>
      <c r="BC13" s="21">
        <f t="shared" si="14"/>
        <v>794</v>
      </c>
      <c r="BD13" s="24">
        <f t="shared" ca="1" si="14"/>
        <v>330</v>
      </c>
      <c r="BE13" s="130">
        <f t="shared" ca="1" si="18"/>
        <v>0.41561712846347609</v>
      </c>
      <c r="BF13" s="34">
        <f t="shared" si="23"/>
        <v>0</v>
      </c>
      <c r="BG13" s="24">
        <f t="shared" ca="1" si="23"/>
        <v>0</v>
      </c>
      <c r="BH13" s="130">
        <f t="shared" ca="1" si="19"/>
        <v>0</v>
      </c>
      <c r="BJ13" s="566"/>
      <c r="BK13" s="574">
        <v>4</v>
      </c>
      <c r="BL13" s="575" cm="1">
        <f t="array" aca="1" ref="BL13" ca="1">LARGE(_xlfn._xlws.FILTER(AR$7:AR$69, NOT(ISNUMBER(SEARCH("Total Distrito", B$7:B$69)))),ROW(A4))</f>
        <v>0.65909090909090906</v>
      </c>
      <c r="BM13" s="576" t="str">
        <f t="shared" ca="1" si="20"/>
        <v>LIZAGA MOTOR</v>
      </c>
      <c r="BN13" s="577">
        <f t="shared" ca="1" si="21"/>
        <v>44</v>
      </c>
      <c r="BO13" s="578">
        <f t="shared" ca="1" si="22"/>
        <v>29</v>
      </c>
      <c r="BP13"/>
      <c r="BQ13"/>
    </row>
    <row r="14" spans="1:69" s="4" customFormat="1" ht="15" customHeight="1" x14ac:dyDescent="0.35">
      <c r="A14" s="4">
        <f>_xlfn.XLOOKUP(B14,'WHOLESALE BMW 2026'!$B$7:$B$67,'WHOLESALE BMW 2026'!$A$7:$A$67)</f>
        <v>2</v>
      </c>
      <c r="B14" s="8">
        <v>100349</v>
      </c>
      <c r="C14" s="369" t="s">
        <v>10</v>
      </c>
      <c r="D14" s="125"/>
      <c r="E14" s="309" t="s">
        <v>276</v>
      </c>
      <c r="F14" s="21">
        <v>129</v>
      </c>
      <c r="G14" s="24">
        <f ca="1">SUMIF('UC BMW 2026'!$B$5:$B$77,'UC BMW 2026'!B12,'UC BMW 2026'!$G$5:$G$72)</f>
        <v>36</v>
      </c>
      <c r="H14" s="285">
        <f t="shared" ca="1" si="0"/>
        <v>0.27906976744186046</v>
      </c>
      <c r="I14" s="21">
        <v>206</v>
      </c>
      <c r="J14" s="24">
        <f ca="1">SUMIF('UC BMW 2026'!$B$5:$B$77,'UC BMW 2026'!$B12,'UC BMW 2026'!$I$5:$I$72)</f>
        <v>60</v>
      </c>
      <c r="K14" s="285">
        <f t="shared" ca="1" si="1"/>
        <v>0.29126213592233008</v>
      </c>
      <c r="L14" s="21">
        <f>VLOOKUP(B14,'[4]% Penetración Mdo MAR26'!$B$7:$D$59,3,0)-F14-I14</f>
        <v>158</v>
      </c>
      <c r="M14" s="24">
        <f ca="1">SUMIF('UC BMW 2026'!$B$5:$B$77,'UC BMW 2026'!$B12,'UC BMW 2026'!$K$5:$K$72)</f>
        <v>67</v>
      </c>
      <c r="N14" s="285">
        <f t="shared" ca="1" si="2"/>
        <v>0.42405063291139239</v>
      </c>
      <c r="O14" s="21">
        <f>VLOOKUP(B14,'[5]% Penetración Mdo ABR26'!$B$7:$D$59,3,0)-F14-I14-L14</f>
        <v>114</v>
      </c>
      <c r="P14" s="24">
        <f ca="1">SUMIF('UC BMW 2026'!$B$5:$B$77,'UC BMW 2026'!$B12,'UC BMW 2026'!$M$5:$M$72)</f>
        <v>71</v>
      </c>
      <c r="Q14" s="285">
        <f t="shared" ca="1" si="3"/>
        <v>0.6228070175438597</v>
      </c>
      <c r="R14" s="21">
        <f>VLOOKUP(B14,'[6]% Penetración Mdo MAY26'!$B$7:$G$65,3,0)-F14-I14-L14-O14</f>
        <v>97</v>
      </c>
      <c r="S14" s="24">
        <f ca="1">SUMIF('UC BMW 2026'!$B$5:$B$77,'UC BMW 2026'!$B12,'UC BMW 2026'!$O$5:$O$72)</f>
        <v>44</v>
      </c>
      <c r="T14" s="285">
        <f t="shared" ca="1" si="4"/>
        <v>0.45360824742268041</v>
      </c>
      <c r="U14" s="21">
        <f>VLOOKUP(B14,'[7]% Penetración Mdo JUN26'!$B$7:$K$59,3,0)-F14-I14-L14-O14-R14</f>
        <v>138</v>
      </c>
      <c r="V14" s="24">
        <f ca="1">SUMIF('UC BMW 2026'!$B$5:$B$77,'UC BMW 2026'!$B12,'UC BMW 2026'!$Q$5:$Q$72)</f>
        <v>60</v>
      </c>
      <c r="W14" s="285">
        <f t="shared" ca="1" si="5"/>
        <v>0.43478260869565216</v>
      </c>
      <c r="X14" s="21"/>
      <c r="Y14" s="24">
        <f ca="1">SUMIF('UC BMW 2026'!$B$5:$B$77,'UC BMW 2026'!$B12,'UC BMW 2026'!$S$5:$S$72)</f>
        <v>0</v>
      </c>
      <c r="Z14" s="282">
        <f t="shared" ca="1" si="6"/>
        <v>0</v>
      </c>
      <c r="AA14" s="21"/>
      <c r="AB14" s="24">
        <f ca="1">SUMIF('UC BMW 2026'!$B$5:$B$77,'UC BMW 2026'!$B12,'UC BMW 2026'!$U$5:$U$72)</f>
        <v>0</v>
      </c>
      <c r="AC14" s="282">
        <f t="shared" ca="1" si="7"/>
        <v>0</v>
      </c>
      <c r="AD14" s="21"/>
      <c r="AE14" s="24">
        <f ca="1">SUMIF('UC BMW 2026'!$B$5:$B$77,'UC BMW 2026'!$B12,'UC BMW 2026'!$W$5:$W$72)</f>
        <v>0</v>
      </c>
      <c r="AF14" s="282">
        <f t="shared" ca="1" si="8"/>
        <v>0</v>
      </c>
      <c r="AG14" s="21"/>
      <c r="AH14" s="24">
        <f ca="1">SUMIF('UC BMW 2026'!$B$5:$B$77,'UC BMW 2026'!$B12,'UC BMW 2026'!$Y$5:$Y$72)</f>
        <v>0</v>
      </c>
      <c r="AI14" s="282">
        <f t="shared" ca="1" si="9"/>
        <v>0</v>
      </c>
      <c r="AJ14" s="21"/>
      <c r="AK14" s="24">
        <f ca="1">SUMIF('UC BMW 2026'!$B$5:$B$77,'UC BMW 2026'!$B12,'UC BMW 2026'!$AA$5:$AA$72)</f>
        <v>0</v>
      </c>
      <c r="AL14" s="282">
        <f t="shared" ca="1" si="10"/>
        <v>0</v>
      </c>
      <c r="AM14" s="21"/>
      <c r="AN14" s="24">
        <f ca="1">SUMIF('UC BMW 2026'!$B$5:$B$77,'UC BMW 2026'!$B12,'UC BMW 2026'!$AC$5:$AC$72)</f>
        <v>0</v>
      </c>
      <c r="AO14" s="282">
        <f t="shared" ca="1" si="11"/>
        <v>0</v>
      </c>
      <c r="AP14" s="21">
        <f t="shared" si="12"/>
        <v>842</v>
      </c>
      <c r="AQ14" s="24">
        <f t="shared" ca="1" si="12"/>
        <v>338</v>
      </c>
      <c r="AR14" s="126">
        <f t="shared" ca="1" si="16"/>
        <v>0.40142517814726841</v>
      </c>
      <c r="AS14" s="21">
        <f t="shared" si="13"/>
        <v>842</v>
      </c>
      <c r="AT14" s="24">
        <f t="shared" ca="1" si="13"/>
        <v>338</v>
      </c>
      <c r="AU14" s="126">
        <f t="shared" ca="1" si="17"/>
        <v>0.40142517814726841</v>
      </c>
      <c r="AV14" s="21"/>
      <c r="AW14" s="24"/>
      <c r="AX14" s="282"/>
      <c r="AY14" s="291"/>
      <c r="AZ14" s="126"/>
      <c r="BA14" s="24"/>
      <c r="BB14" s="126"/>
      <c r="BC14" s="21">
        <f t="shared" si="14"/>
        <v>842</v>
      </c>
      <c r="BD14" s="24">
        <f t="shared" ca="1" si="14"/>
        <v>338</v>
      </c>
      <c r="BE14" s="127">
        <f t="shared" ca="1" si="18"/>
        <v>0.40142517814726841</v>
      </c>
      <c r="BF14" s="21">
        <f t="shared" si="23"/>
        <v>0</v>
      </c>
      <c r="BG14" s="22">
        <f t="shared" ca="1" si="23"/>
        <v>0</v>
      </c>
      <c r="BH14" s="127">
        <f t="shared" ca="1" si="19"/>
        <v>0</v>
      </c>
      <c r="BJ14" s="566"/>
      <c r="BK14" s="574">
        <v>5</v>
      </c>
      <c r="BL14" s="575" cm="1">
        <f t="array" aca="1" ref="BL14" ca="1">LARGE(_xlfn._xlws.FILTER(AR$7:AR$69, NOT(ISNUMBER(SEARCH("Total Distrito", B$7:B$69)))),ROW(A5))</f>
        <v>0.64437689969604861</v>
      </c>
      <c r="BM14" s="576" t="str">
        <f t="shared" ca="1" si="20"/>
        <v>OLIVA MOTOR</v>
      </c>
      <c r="BN14" s="577">
        <f t="shared" ca="1" si="21"/>
        <v>329</v>
      </c>
      <c r="BO14" s="578">
        <f t="shared" ca="1" si="22"/>
        <v>212</v>
      </c>
      <c r="BP14"/>
      <c r="BQ14"/>
    </row>
    <row r="15" spans="1:69" s="4" customFormat="1" ht="15" customHeight="1" x14ac:dyDescent="0.35">
      <c r="A15" s="4">
        <f>_xlfn.XLOOKUP(B15,'WHOLESALE BMW 2026'!$B$7:$B$67,'WHOLESALE BMW 2026'!$A$7:$A$67)</f>
        <v>2</v>
      </c>
      <c r="B15" s="8">
        <v>100917</v>
      </c>
      <c r="C15" s="369" t="s">
        <v>263</v>
      </c>
      <c r="D15" s="125"/>
      <c r="E15" s="309" t="s">
        <v>276</v>
      </c>
      <c r="F15" s="21">
        <v>61</v>
      </c>
      <c r="G15" s="24">
        <f ca="1">SUMIF('UC BMW 2026'!$B$5:$B$77,'UC BMW 2026'!B13,'UC BMW 2026'!$G$5:$G$72)</f>
        <v>0</v>
      </c>
      <c r="H15" s="282">
        <f t="shared" ca="1" si="0"/>
        <v>0</v>
      </c>
      <c r="I15" s="21">
        <v>75</v>
      </c>
      <c r="J15" s="24">
        <f ca="1">SUMIF('UC BMW 2026'!$B$5:$B$77,'UC BMW 2026'!$B13,'UC BMW 2026'!$I$5:$I$72)</f>
        <v>0</v>
      </c>
      <c r="K15" s="282">
        <f t="shared" ca="1" si="1"/>
        <v>0</v>
      </c>
      <c r="L15" s="21">
        <v>119</v>
      </c>
      <c r="M15" s="24">
        <f ca="1">SUMIF('UC BMW 2026'!$B$5:$B$77,'UC BMW 2026'!$B13,'UC BMW 2026'!$K$5:$K$72)</f>
        <v>0</v>
      </c>
      <c r="N15" s="282">
        <f t="shared" ca="1" si="2"/>
        <v>0</v>
      </c>
      <c r="O15" s="21">
        <f>VLOOKUP(B15,'[5]% Penetración Mdo ABR26'!$B$7:$D$59,3,0)-F15-I15-L15</f>
        <v>113</v>
      </c>
      <c r="P15" s="24">
        <f ca="1">SUMIF('UC BMW 2026'!$B$5:$B$77,'UC BMW 2026'!$B13,'UC BMW 2026'!$M$5:$M$72)</f>
        <v>7</v>
      </c>
      <c r="Q15" s="282">
        <f t="shared" ca="1" si="3"/>
        <v>6.1946902654867256E-2</v>
      </c>
      <c r="R15" s="21">
        <f>VLOOKUP(B15,'[6]% Penetración Mdo MAY26'!$B$7:$G$65,3,0)-F15-I15-L15-O15</f>
        <v>98</v>
      </c>
      <c r="S15" s="24">
        <f ca="1">SUMIF('UC BMW 2026'!$B$5:$B$77,'UC BMW 2026'!$B13,'UC BMW 2026'!$O$5:$O$72)</f>
        <v>14</v>
      </c>
      <c r="T15" s="282">
        <f t="shared" ca="1" si="4"/>
        <v>0.14285714285714285</v>
      </c>
      <c r="U15" s="21">
        <f>VLOOKUP(B15,'[7]% Penetración Mdo JUN26'!$B$7:$K$59,3,0)-F15-I15-L15-O15-R15</f>
        <v>145</v>
      </c>
      <c r="V15" s="24">
        <f ca="1">SUMIF('UC BMW 2026'!$B$5:$B$77,'UC BMW 2026'!$B13,'UC BMW 2026'!$Q$5:$Q$72)</f>
        <v>27</v>
      </c>
      <c r="W15" s="282">
        <f t="shared" ca="1" si="5"/>
        <v>0.18620689655172415</v>
      </c>
      <c r="X15" s="21"/>
      <c r="Y15" s="24">
        <f ca="1">SUMIF('UC BMW 2026'!$B$5:$B$77,'UC BMW 2026'!$B13,'UC BMW 2026'!$S$5:$S$72)</f>
        <v>0</v>
      </c>
      <c r="Z15" s="282">
        <f t="shared" ca="1" si="6"/>
        <v>0</v>
      </c>
      <c r="AA15" s="21"/>
      <c r="AB15" s="24">
        <f ca="1">SUMIF('UC BMW 2026'!$B$5:$B$77,'UC BMW 2026'!$B13,'UC BMW 2026'!$U$5:$U$72)</f>
        <v>0</v>
      </c>
      <c r="AC15" s="282">
        <f t="shared" ca="1" si="7"/>
        <v>0</v>
      </c>
      <c r="AD15" s="21"/>
      <c r="AE15" s="24">
        <f ca="1">SUMIF('UC BMW 2026'!$B$5:$B$77,'UC BMW 2026'!$B13,'UC BMW 2026'!$W$5:$W$72)</f>
        <v>0</v>
      </c>
      <c r="AF15" s="282">
        <f t="shared" ca="1" si="8"/>
        <v>0</v>
      </c>
      <c r="AG15" s="21"/>
      <c r="AH15" s="24">
        <f ca="1">SUMIF('UC BMW 2026'!$B$5:$B$77,'UC BMW 2026'!$B13,'UC BMW 2026'!$Y$5:$Y$72)</f>
        <v>0</v>
      </c>
      <c r="AI15" s="282">
        <f t="shared" ca="1" si="9"/>
        <v>0</v>
      </c>
      <c r="AJ15" s="21"/>
      <c r="AK15" s="24">
        <f ca="1">SUMIF('UC BMW 2026'!$B$5:$B$77,'UC BMW 2026'!$B13,'UC BMW 2026'!$AA$5:$AA$72)</f>
        <v>0</v>
      </c>
      <c r="AL15" s="282">
        <f t="shared" ca="1" si="10"/>
        <v>0</v>
      </c>
      <c r="AM15" s="21"/>
      <c r="AN15" s="24">
        <f ca="1">SUMIF('UC BMW 2026'!$B$5:$B$77,'UC BMW 2026'!$B13,'UC BMW 2026'!$AC$5:$AC$72)</f>
        <v>0</v>
      </c>
      <c r="AO15" s="282">
        <f t="shared" ca="1" si="11"/>
        <v>0</v>
      </c>
      <c r="AP15" s="21">
        <f t="shared" si="12"/>
        <v>611</v>
      </c>
      <c r="AQ15" s="24">
        <f t="shared" ca="1" si="12"/>
        <v>48</v>
      </c>
      <c r="AR15" s="129">
        <f t="shared" ca="1" si="16"/>
        <v>7.855973813420622E-2</v>
      </c>
      <c r="AS15" s="21">
        <f t="shared" si="13"/>
        <v>611</v>
      </c>
      <c r="AT15" s="24">
        <f t="shared" ca="1" si="13"/>
        <v>48</v>
      </c>
      <c r="AU15" s="129">
        <f t="shared" ca="1" si="17"/>
        <v>7.855973813420622E-2</v>
      </c>
      <c r="AV15" s="25"/>
      <c r="AW15" s="27"/>
      <c r="AX15" s="287"/>
      <c r="AY15" s="294"/>
      <c r="AZ15" s="129"/>
      <c r="BA15" s="27"/>
      <c r="BB15" s="129"/>
      <c r="BC15" s="21">
        <f t="shared" si="14"/>
        <v>611</v>
      </c>
      <c r="BD15" s="24">
        <f t="shared" ca="1" si="14"/>
        <v>48</v>
      </c>
      <c r="BE15" s="130">
        <f t="shared" ca="1" si="18"/>
        <v>7.855973813420622E-2</v>
      </c>
      <c r="BF15" s="21">
        <f t="shared" si="23"/>
        <v>0</v>
      </c>
      <c r="BG15" s="24">
        <f t="shared" ca="1" si="23"/>
        <v>0</v>
      </c>
      <c r="BH15" s="130">
        <f t="shared" ca="1" si="19"/>
        <v>0</v>
      </c>
      <c r="BJ15" s="566"/>
      <c r="BK15" s="574">
        <v>6</v>
      </c>
      <c r="BL15" s="575" cm="1">
        <f t="array" aca="1" ref="BL15" ca="1">LARGE(_xlfn._xlws.FILTER(AR$7:AR$69, NOT(ISNUMBER(SEARCH("Total Distrito", B$7:B$69)))),ROW(A6))</f>
        <v>0.60526315789473684</v>
      </c>
      <c r="BM15" s="576" t="str">
        <f t="shared" ca="1" si="20"/>
        <v>CARTEYA MOTOR</v>
      </c>
      <c r="BN15" s="577">
        <f t="shared" ca="1" si="21"/>
        <v>76</v>
      </c>
      <c r="BO15" s="578">
        <f t="shared" ca="1" si="22"/>
        <v>46</v>
      </c>
      <c r="BP15"/>
      <c r="BQ15" s="579"/>
    </row>
    <row r="16" spans="1:69" s="4" customFormat="1" ht="15" customHeight="1" thickBot="1" x14ac:dyDescent="0.4">
      <c r="A16" s="4">
        <f>_xlfn.XLOOKUP(B16,'WHOLESALE BMW 2026'!$B$7:$B$67,'WHOLESALE BMW 2026'!$A$7:$A$67)</f>
        <v>2</v>
      </c>
      <c r="B16" s="8">
        <v>100726</v>
      </c>
      <c r="C16" s="369" t="s">
        <v>19</v>
      </c>
      <c r="D16" s="125"/>
      <c r="E16" s="309" t="s">
        <v>88</v>
      </c>
      <c r="F16" s="21">
        <v>24</v>
      </c>
      <c r="G16" s="24">
        <f ca="1">SUMIF('UC BMW 2026'!$B$5:$B$77,'UC BMW 2026'!B14,'UC BMW 2026'!$G$5:$G$72)</f>
        <v>7</v>
      </c>
      <c r="H16" s="282">
        <f t="shared" ca="1" si="0"/>
        <v>0.29166666666666669</v>
      </c>
      <c r="I16" s="21">
        <v>40</v>
      </c>
      <c r="J16" s="24">
        <f ca="1">SUMIF('UC BMW 2026'!$B$5:$B$77,'UC BMW 2026'!$B14,'UC BMW 2026'!$I$5:$I$72)</f>
        <v>12</v>
      </c>
      <c r="K16" s="282">
        <f t="shared" ca="1" si="1"/>
        <v>0.3</v>
      </c>
      <c r="L16" s="21">
        <f>VLOOKUP(B16,'[4]% Penetración Mdo MAR26'!$B$7:$D$59,3,0)-F16-I16</f>
        <v>37</v>
      </c>
      <c r="M16" s="24">
        <f ca="1">SUMIF('UC BMW 2026'!$B$5:$B$77,'UC BMW 2026'!$B14,'UC BMW 2026'!$K$5:$K$72)</f>
        <v>24</v>
      </c>
      <c r="N16" s="282">
        <f t="shared" ca="1" si="2"/>
        <v>0.64864864864864868</v>
      </c>
      <c r="O16" s="21">
        <f>VLOOKUP(B16,'[5]% Penetración Mdo ABR26'!$B$7:$D$59,3,0)-F16-I16-L16</f>
        <v>21</v>
      </c>
      <c r="P16" s="24">
        <f ca="1">SUMIF('UC BMW 2026'!$B$5:$B$77,'UC BMW 2026'!$B14,'UC BMW 2026'!$M$5:$M$72)</f>
        <v>14</v>
      </c>
      <c r="Q16" s="282">
        <f t="shared" ca="1" si="3"/>
        <v>0.66666666666666663</v>
      </c>
      <c r="R16" s="21">
        <f>VLOOKUP(B16,'[6]% Penetración Mdo MAY26'!$B$7:$G$65,3,0)-F16-I16-L16-O16</f>
        <v>32</v>
      </c>
      <c r="S16" s="24">
        <f ca="1">SUMIF('UC BMW 2026'!$B$5:$B$77,'UC BMW 2026'!$B14,'UC BMW 2026'!$O$5:$O$72)</f>
        <v>9</v>
      </c>
      <c r="T16" s="282">
        <f t="shared" ca="1" si="4"/>
        <v>0.28125</v>
      </c>
      <c r="U16" s="21">
        <f>VLOOKUP(B16,'[7]% Penetración Mdo JUN26'!$B$7:$K$59,3,0)-F16-I16-L16-O16-R16</f>
        <v>20</v>
      </c>
      <c r="V16" s="24">
        <f ca="1">SUMIF('UC BMW 2026'!$B$5:$B$77,'UC BMW 2026'!$B14,'UC BMW 2026'!$Q$5:$Q$72)</f>
        <v>25</v>
      </c>
      <c r="W16" s="282">
        <f t="shared" ca="1" si="5"/>
        <v>1.25</v>
      </c>
      <c r="X16" s="21"/>
      <c r="Y16" s="24">
        <f ca="1">SUMIF('UC BMW 2026'!$B$5:$B$77,'UC BMW 2026'!$B14,'UC BMW 2026'!$S$5:$S$72)</f>
        <v>0</v>
      </c>
      <c r="Z16" s="282">
        <f t="shared" ca="1" si="6"/>
        <v>0</v>
      </c>
      <c r="AA16" s="21"/>
      <c r="AB16" s="24">
        <f ca="1">SUMIF('UC BMW 2026'!$B$5:$B$77,'UC BMW 2026'!$B14,'UC BMW 2026'!$U$5:$U$72)</f>
        <v>0</v>
      </c>
      <c r="AC16" s="282">
        <f t="shared" ca="1" si="7"/>
        <v>0</v>
      </c>
      <c r="AD16" s="21"/>
      <c r="AE16" s="24">
        <f ca="1">SUMIF('UC BMW 2026'!$B$5:$B$77,'UC BMW 2026'!$B14,'UC BMW 2026'!$W$5:$W$72)</f>
        <v>0</v>
      </c>
      <c r="AF16" s="282">
        <f t="shared" ca="1" si="8"/>
        <v>0</v>
      </c>
      <c r="AG16" s="21"/>
      <c r="AH16" s="24">
        <f ca="1">SUMIF('UC BMW 2026'!$B$5:$B$77,'UC BMW 2026'!$B14,'UC BMW 2026'!$Y$5:$Y$72)</f>
        <v>0</v>
      </c>
      <c r="AI16" s="282">
        <f t="shared" ca="1" si="9"/>
        <v>0</v>
      </c>
      <c r="AJ16" s="21"/>
      <c r="AK16" s="24">
        <f ca="1">SUMIF('UC BMW 2026'!$B$5:$B$77,'UC BMW 2026'!$B14,'UC BMW 2026'!$AA$5:$AA$72)</f>
        <v>0</v>
      </c>
      <c r="AL16" s="282">
        <f t="shared" ca="1" si="10"/>
        <v>0</v>
      </c>
      <c r="AM16" s="21"/>
      <c r="AN16" s="24">
        <f ca="1">SUMIF('UC BMW 2026'!$B$5:$B$77,'UC BMW 2026'!$B14,'UC BMW 2026'!$AC$5:$AC$72)</f>
        <v>0</v>
      </c>
      <c r="AO16" s="282">
        <f t="shared" ca="1" si="11"/>
        <v>0</v>
      </c>
      <c r="AP16" s="21">
        <f t="shared" si="12"/>
        <v>174</v>
      </c>
      <c r="AQ16" s="24">
        <f t="shared" ca="1" si="12"/>
        <v>91</v>
      </c>
      <c r="AR16" s="129">
        <f t="shared" ca="1" si="16"/>
        <v>0.52298850574712641</v>
      </c>
      <c r="AS16" s="21">
        <f t="shared" si="13"/>
        <v>174</v>
      </c>
      <c r="AT16" s="24">
        <f t="shared" ca="1" si="13"/>
        <v>91</v>
      </c>
      <c r="AU16" s="129">
        <f t="shared" ca="1" si="17"/>
        <v>0.52298850574712641</v>
      </c>
      <c r="AV16" s="25"/>
      <c r="AW16" s="27"/>
      <c r="AX16" s="287"/>
      <c r="AY16" s="294"/>
      <c r="AZ16" s="129"/>
      <c r="BA16" s="27"/>
      <c r="BB16" s="129"/>
      <c r="BC16" s="21">
        <f t="shared" si="14"/>
        <v>174</v>
      </c>
      <c r="BD16" s="24">
        <f t="shared" ca="1" si="14"/>
        <v>91</v>
      </c>
      <c r="BE16" s="130">
        <f t="shared" ca="1" si="18"/>
        <v>0.52298850574712641</v>
      </c>
      <c r="BF16" s="21">
        <f t="shared" si="23"/>
        <v>0</v>
      </c>
      <c r="BG16" s="24">
        <f t="shared" ca="1" si="23"/>
        <v>0</v>
      </c>
      <c r="BH16" s="130">
        <f t="shared" ca="1" si="19"/>
        <v>0</v>
      </c>
      <c r="BJ16"/>
      <c r="BK16" s="574">
        <v>7</v>
      </c>
      <c r="BL16" s="575" cm="1">
        <f t="array" aca="1" ref="BL16" ca="1">LARGE(_xlfn._xlws.FILTER(AR$7:AR$69, NOT(ISNUMBER(SEARCH("Total Distrito", B$7:B$69)))),ROW(A7))</f>
        <v>0.58602150537634412</v>
      </c>
      <c r="BM16" s="576" t="str">
        <f t="shared" ca="1" si="20"/>
        <v>OLIVA MOTOR GIRONA</v>
      </c>
      <c r="BN16" s="577">
        <f t="shared" ca="1" si="21"/>
        <v>372</v>
      </c>
      <c r="BO16" s="578">
        <f t="shared" ca="1" si="22"/>
        <v>218</v>
      </c>
      <c r="BP16"/>
      <c r="BQ16" s="579"/>
    </row>
    <row r="17" spans="1:70" s="4" customFormat="1" ht="15" customHeight="1" thickBot="1" x14ac:dyDescent="0.4">
      <c r="A17" s="4">
        <f>_xlfn.XLOOKUP(B17,'WHOLESALE BMW 2026'!$B$7:$B$67,'WHOLESALE BMW 2026'!$A$7:$A$67)</f>
        <v>0</v>
      </c>
      <c r="B17" s="7" t="s">
        <v>265</v>
      </c>
      <c r="C17" s="28"/>
      <c r="D17" s="125"/>
      <c r="E17" s="7"/>
      <c r="F17" s="277">
        <f>SUM(F12:F16)</f>
        <v>450</v>
      </c>
      <c r="G17" s="277">
        <f ca="1">SUM(G12:G16)</f>
        <v>131</v>
      </c>
      <c r="H17" s="132">
        <f t="shared" ca="1" si="0"/>
        <v>0.2911111111111111</v>
      </c>
      <c r="I17" s="277">
        <f>SUM(I12:I16)</f>
        <v>619</v>
      </c>
      <c r="J17" s="277">
        <f ca="1">SUM(J12:J16)</f>
        <v>180</v>
      </c>
      <c r="K17" s="132">
        <f t="shared" ca="1" si="1"/>
        <v>0.29079159935379645</v>
      </c>
      <c r="L17" s="277">
        <f>SUM(L12:L16)</f>
        <v>679</v>
      </c>
      <c r="M17" s="88">
        <f ca="1">SUM(M12:M16)</f>
        <v>217</v>
      </c>
      <c r="N17" s="132">
        <f t="shared" ca="1" si="2"/>
        <v>0.31958762886597936</v>
      </c>
      <c r="O17" s="277">
        <f>SUM(O12:O16)</f>
        <v>506</v>
      </c>
      <c r="P17" s="277">
        <f ca="1">SUM(P12:P16)</f>
        <v>196</v>
      </c>
      <c r="Q17" s="132">
        <f t="shared" ca="1" si="3"/>
        <v>0.38735177865612647</v>
      </c>
      <c r="R17" s="277">
        <f>SUM(R12:R16)</f>
        <v>411</v>
      </c>
      <c r="S17" s="277">
        <f ca="1">SUM(S12:S16)</f>
        <v>161</v>
      </c>
      <c r="T17" s="132">
        <f t="shared" ca="1" si="4"/>
        <v>0.39172749391727496</v>
      </c>
      <c r="U17" s="277">
        <f>SUM(U12:U16)</f>
        <v>578</v>
      </c>
      <c r="V17" s="277">
        <f ca="1">SUM(V12:V16)</f>
        <v>221</v>
      </c>
      <c r="W17" s="132">
        <f t="shared" ca="1" si="5"/>
        <v>0.38235294117647056</v>
      </c>
      <c r="X17" s="277">
        <f>SUM(X12:X16)</f>
        <v>0</v>
      </c>
      <c r="Y17" s="277">
        <f ca="1">SUM(Y12:Y16)</f>
        <v>0</v>
      </c>
      <c r="Z17" s="132">
        <f t="shared" ca="1" si="6"/>
        <v>0</v>
      </c>
      <c r="AA17" s="277">
        <f>SUM(AA12:AA16)</f>
        <v>0</v>
      </c>
      <c r="AB17" s="277">
        <f ca="1">SUM(AB12:AB16)</f>
        <v>0</v>
      </c>
      <c r="AC17" s="132">
        <f t="shared" ca="1" si="7"/>
        <v>0</v>
      </c>
      <c r="AD17" s="277">
        <f>SUM(AD12:AD16)</f>
        <v>0</v>
      </c>
      <c r="AE17" s="277">
        <f ca="1">SUM(AE12:AE16)</f>
        <v>0</v>
      </c>
      <c r="AF17" s="132">
        <f t="shared" ca="1" si="8"/>
        <v>0</v>
      </c>
      <c r="AG17" s="277">
        <f>SUM(AG12:AG16)</f>
        <v>0</v>
      </c>
      <c r="AH17" s="277">
        <f ca="1">SUM(AH12:AH16)</f>
        <v>0</v>
      </c>
      <c r="AI17" s="132">
        <f t="shared" ca="1" si="9"/>
        <v>0</v>
      </c>
      <c r="AJ17" s="277">
        <f>SUM(AJ12:AJ16)</f>
        <v>0</v>
      </c>
      <c r="AK17" s="277">
        <f ca="1">SUM(AK12:AK16)</f>
        <v>0</v>
      </c>
      <c r="AL17" s="132">
        <f t="shared" ca="1" si="10"/>
        <v>0</v>
      </c>
      <c r="AM17" s="277">
        <f>SUM(AM12:AM16)</f>
        <v>0</v>
      </c>
      <c r="AN17" s="277">
        <f ca="1">SUM(AN12:AN16)</f>
        <v>0</v>
      </c>
      <c r="AO17" s="132">
        <f t="shared" ca="1" si="11"/>
        <v>0</v>
      </c>
      <c r="AP17" s="277">
        <f t="shared" si="12"/>
        <v>3243</v>
      </c>
      <c r="AQ17" s="410">
        <f t="shared" ca="1" si="12"/>
        <v>1106</v>
      </c>
      <c r="AR17" s="131">
        <f t="shared" ca="1" si="16"/>
        <v>0.34104224483502932</v>
      </c>
      <c r="AS17" s="277">
        <f t="shared" si="13"/>
        <v>3243</v>
      </c>
      <c r="AT17" s="410">
        <f t="shared" ca="1" si="13"/>
        <v>1106</v>
      </c>
      <c r="AU17" s="131">
        <f t="shared" ca="1" si="17"/>
        <v>0.34104224483502932</v>
      </c>
      <c r="AV17" s="200"/>
      <c r="AW17" s="258"/>
      <c r="AX17" s="132"/>
      <c r="AY17" s="278"/>
      <c r="AZ17" s="132"/>
      <c r="BA17" s="258"/>
      <c r="BB17" s="131"/>
      <c r="BC17" s="277">
        <f>IFERROR(IF($BC$5="S 1",F17+I17+L17+O17+R17+U17,
IF($BC$5="S 2",X17+AA17+AD17+AG17+AJ17+AM17,0)),0)</f>
        <v>3243</v>
      </c>
      <c r="BD17" s="410">
        <f t="shared" ca="1" si="14"/>
        <v>1106</v>
      </c>
      <c r="BE17" s="275">
        <f t="shared" ca="1" si="18"/>
        <v>0.34104224483502932</v>
      </c>
      <c r="BF17" s="277">
        <f>IFERROR(SUM(BF12:BF16),0)</f>
        <v>0</v>
      </c>
      <c r="BG17" s="277">
        <f ca="1">IFERROR(SUM(BG12:BG16),0)</f>
        <v>0</v>
      </c>
      <c r="BH17" s="275">
        <f t="shared" ca="1" si="19"/>
        <v>0</v>
      </c>
      <c r="BJ17"/>
      <c r="BK17" s="574">
        <v>8</v>
      </c>
      <c r="BL17" s="575" cm="1">
        <f t="array" aca="1" ref="BL17" ca="1">LARGE(_xlfn._xlws.FILTER(AR$7:AR$69, NOT(ISNUMBER(SEARCH("Total Distrito", B$7:B$69)))),ROW(A8))</f>
        <v>0.55813953488372092</v>
      </c>
      <c r="BM17" s="576" t="str">
        <f t="shared" ca="1" si="20"/>
        <v>NOVOMÓVIL</v>
      </c>
      <c r="BN17" s="577">
        <f t="shared" ca="1" si="21"/>
        <v>172</v>
      </c>
      <c r="BO17" s="578">
        <f t="shared" ca="1" si="22"/>
        <v>96</v>
      </c>
      <c r="BP17"/>
      <c r="BQ17" s="579"/>
    </row>
    <row r="18" spans="1:70" s="4" customFormat="1" ht="15" customHeight="1" x14ac:dyDescent="0.35">
      <c r="A18" s="4">
        <f>_xlfn.XLOOKUP(B18,'WHOLESALE BMW 2026'!$B$7:$B$67,'WHOLESALE BMW 2026'!$A$7:$A$67)</f>
        <v>3</v>
      </c>
      <c r="B18" s="8">
        <v>100307</v>
      </c>
      <c r="C18" s="369" t="s">
        <v>39</v>
      </c>
      <c r="D18" s="125"/>
      <c r="E18" s="309" t="s">
        <v>83</v>
      </c>
      <c r="F18" s="21">
        <v>31</v>
      </c>
      <c r="G18" s="24">
        <f ca="1">SUMIF('UC BMW 2026'!$B$5:$B$77,'UC BMW 2026'!B16,'UC BMW 2026'!$G$5:$G$72)</f>
        <v>2</v>
      </c>
      <c r="H18" s="282">
        <f t="shared" ca="1" si="0"/>
        <v>6.4516129032258063E-2</v>
      </c>
      <c r="I18" s="21">
        <v>17</v>
      </c>
      <c r="J18" s="24">
        <f ca="1">SUMIF('UC BMW 2026'!$B$5:$B$77,'UC BMW 2026'!$B16,'UC BMW 2026'!$I$5:$I$72)</f>
        <v>5</v>
      </c>
      <c r="K18" s="282">
        <f t="shared" ca="1" si="1"/>
        <v>0.29411764705882354</v>
      </c>
      <c r="L18" s="21">
        <f>VLOOKUP(B18,'[4]% Penetración Mdo MAR26'!$B$7:$D$59,3,0)-F18-I18</f>
        <v>44</v>
      </c>
      <c r="M18" s="24">
        <f ca="1">SUMIF('UC BMW 2026'!$B$5:$B$77,'UC BMW 2026'!$B16,'UC BMW 2026'!$K$5:$K$72)</f>
        <v>8</v>
      </c>
      <c r="N18" s="282">
        <f t="shared" ca="1" si="2"/>
        <v>0.18181818181818182</v>
      </c>
      <c r="O18" s="21">
        <f>VLOOKUP(B18,'[5]% Penetración Mdo ABR26'!$B$7:$D$59,3,0)-F18-I18-L18</f>
        <v>29</v>
      </c>
      <c r="P18" s="24">
        <f ca="1">SUMIF('UC BMW 2026'!$B$5:$B$77,'UC BMW 2026'!$B16,'UC BMW 2026'!$M$5:$M$72)</f>
        <v>6</v>
      </c>
      <c r="Q18" s="282">
        <f t="shared" ca="1" si="3"/>
        <v>0.20689655172413793</v>
      </c>
      <c r="R18" s="21">
        <f>VLOOKUP(B18,'[6]% Penetración Mdo MAY26'!$B$7:$G$65,3,0)-F18-I18-L18-O18</f>
        <v>16</v>
      </c>
      <c r="S18" s="24">
        <f ca="1">SUMIF('UC BMW 2026'!$B$5:$B$77,'UC BMW 2026'!$B16,'UC BMW 2026'!$O$5:$O$72)</f>
        <v>4</v>
      </c>
      <c r="T18" s="282">
        <f t="shared" ca="1" si="4"/>
        <v>0.25</v>
      </c>
      <c r="U18" s="21">
        <f>VLOOKUP(B18,'[7]% Penetración Mdo JUN26'!$B$7:$K$59,3,0)-F18-I18-L18-O18-R18</f>
        <v>42</v>
      </c>
      <c r="V18" s="24">
        <f ca="1">SUMIF('UC BMW 2026'!$B$5:$B$77,'UC BMW 2026'!$B16,'UC BMW 2026'!$Q$5:$Q$72)</f>
        <v>20</v>
      </c>
      <c r="W18" s="282">
        <f t="shared" ca="1" si="5"/>
        <v>0.47619047619047616</v>
      </c>
      <c r="X18" s="21"/>
      <c r="Y18" s="24">
        <f ca="1">SUMIF('UC BMW 2026'!$B$5:$B$77,'UC BMW 2026'!$B16,'UC BMW 2026'!$S$5:$S$72)</f>
        <v>0</v>
      </c>
      <c r="Z18" s="282">
        <f t="shared" ca="1" si="6"/>
        <v>0</v>
      </c>
      <c r="AA18" s="21"/>
      <c r="AB18" s="24">
        <f ca="1">SUMIF('UC BMW 2026'!$B$5:$B$77,'UC BMW 2026'!$B16,'UC BMW 2026'!$U$5:$U$72)</f>
        <v>0</v>
      </c>
      <c r="AC18" s="282">
        <f t="shared" ca="1" si="7"/>
        <v>0</v>
      </c>
      <c r="AD18" s="21"/>
      <c r="AE18" s="24">
        <f ca="1">SUMIF('UC BMW 2026'!$B$5:$B$77,'UC BMW 2026'!$B16,'UC BMW 2026'!$W$5:$W$72)</f>
        <v>0</v>
      </c>
      <c r="AF18" s="282">
        <f t="shared" ca="1" si="8"/>
        <v>0</v>
      </c>
      <c r="AG18" s="21"/>
      <c r="AH18" s="24">
        <f ca="1">SUMIF('UC BMW 2026'!$B$5:$B$77,'UC BMW 2026'!$B16,'UC BMW 2026'!$Y$5:$Y$72)</f>
        <v>0</v>
      </c>
      <c r="AI18" s="282">
        <f t="shared" ca="1" si="9"/>
        <v>0</v>
      </c>
      <c r="AJ18" s="21"/>
      <c r="AK18" s="24">
        <f ca="1">SUMIF('UC BMW 2026'!$B$5:$B$77,'UC BMW 2026'!$B16,'UC BMW 2026'!$AA$5:$AA$72)</f>
        <v>0</v>
      </c>
      <c r="AL18" s="282">
        <f t="shared" ca="1" si="10"/>
        <v>0</v>
      </c>
      <c r="AM18" s="21"/>
      <c r="AN18" s="24">
        <f ca="1">SUMIF('UC BMW 2026'!$B$5:$B$77,'UC BMW 2026'!$B16,'UC BMW 2026'!$AC$5:$AC$72)</f>
        <v>0</v>
      </c>
      <c r="AO18" s="282">
        <f t="shared" ca="1" si="11"/>
        <v>0</v>
      </c>
      <c r="AP18" s="21">
        <f t="shared" si="12"/>
        <v>179</v>
      </c>
      <c r="AQ18" s="24">
        <f t="shared" ca="1" si="12"/>
        <v>45</v>
      </c>
      <c r="AR18" s="129">
        <f t="shared" ca="1" si="16"/>
        <v>0.25139664804469275</v>
      </c>
      <c r="AS18" s="21">
        <f t="shared" si="13"/>
        <v>179</v>
      </c>
      <c r="AT18" s="24">
        <f t="shared" ca="1" si="13"/>
        <v>45</v>
      </c>
      <c r="AU18" s="129">
        <f t="shared" ca="1" si="17"/>
        <v>0.25139664804469275</v>
      </c>
      <c r="AV18" s="25"/>
      <c r="AW18" s="27"/>
      <c r="AX18" s="287"/>
      <c r="AY18" s="291"/>
      <c r="AZ18" s="129"/>
      <c r="BA18" s="27"/>
      <c r="BB18" s="129"/>
      <c r="BC18" s="21">
        <f t="shared" si="14"/>
        <v>179</v>
      </c>
      <c r="BD18" s="24">
        <f t="shared" ca="1" si="14"/>
        <v>45</v>
      </c>
      <c r="BE18" s="130">
        <f t="shared" ca="1" si="18"/>
        <v>0.25139664804469275</v>
      </c>
      <c r="BF18" s="34">
        <f>IFERROR(IF($BF$5="S 1",F18+I18+L18+O18+R18+U18,
IF($BF$5="S 2",X18+AA18+AD18+AG18+AJ18+AM18,0)),0)</f>
        <v>0</v>
      </c>
      <c r="BG18" s="24">
        <f ca="1">IFERROR(IF($BF$5="S 1",G18+J18+M18+P18+S18+V18,
IF($BF$5="S 2",Y18+AB18+AE18+AH18+AK18+AN18,0)),0)</f>
        <v>0</v>
      </c>
      <c r="BH18" s="130">
        <f t="shared" ca="1" si="19"/>
        <v>0</v>
      </c>
      <c r="BJ18"/>
      <c r="BK18" s="574">
        <v>9</v>
      </c>
      <c r="BL18" s="575" cm="1">
        <f t="array" aca="1" ref="BL18" ca="1">LARGE(_xlfn._xlws.FILTER(AR$7:AR$69, NOT(ISNUMBER(SEARCH("Total Distrito", B$7:B$69)))),ROW(A9))</f>
        <v>0.55128205128205132</v>
      </c>
      <c r="BM18" s="576" t="str">
        <f t="shared" ca="1" si="20"/>
        <v>CABRERO MOTORSP.</v>
      </c>
      <c r="BN18" s="577">
        <f t="shared" ca="1" si="21"/>
        <v>78</v>
      </c>
      <c r="BO18" s="578">
        <f t="shared" ca="1" si="22"/>
        <v>43</v>
      </c>
      <c r="BP18"/>
      <c r="BQ18" s="579"/>
    </row>
    <row r="19" spans="1:70" s="4" customFormat="1" ht="15" customHeight="1" x14ac:dyDescent="0.35">
      <c r="A19" s="4">
        <f>_xlfn.XLOOKUP(B19,'WHOLESALE BMW 2026'!$B$7:$B$67,'WHOLESALE BMW 2026'!$A$7:$A$67)</f>
        <v>3</v>
      </c>
      <c r="B19" s="8">
        <v>100380</v>
      </c>
      <c r="C19" s="369" t="s">
        <v>11</v>
      </c>
      <c r="D19" s="125"/>
      <c r="E19" s="309" t="s">
        <v>78</v>
      </c>
      <c r="F19" s="21">
        <v>52</v>
      </c>
      <c r="G19" s="24">
        <f ca="1">SUMIF('UC BMW 2026'!$B$5:$B$77,'UC BMW 2026'!B17,'UC BMW 2026'!$G$5:$G$72)</f>
        <v>11</v>
      </c>
      <c r="H19" s="285">
        <f t="shared" ca="1" si="0"/>
        <v>0.21153846153846154</v>
      </c>
      <c r="I19" s="21">
        <v>82</v>
      </c>
      <c r="J19" s="24">
        <f ca="1">SUMIF('UC BMW 2026'!$B$5:$B$77,'UC BMW 2026'!$B17,'UC BMW 2026'!$I$5:$I$72)</f>
        <v>22</v>
      </c>
      <c r="K19" s="285">
        <f t="shared" ca="1" si="1"/>
        <v>0.26829268292682928</v>
      </c>
      <c r="L19" s="21">
        <f>VLOOKUP(B19,'[4]% Penetración Mdo MAR26'!$B$7:$D$59,3,0)-F19-I19</f>
        <v>56</v>
      </c>
      <c r="M19" s="24">
        <f ca="1">SUMIF('UC BMW 2026'!$B$5:$B$77,'UC BMW 2026'!$B17,'UC BMW 2026'!$K$5:$K$72)</f>
        <v>26</v>
      </c>
      <c r="N19" s="285">
        <f t="shared" ca="1" si="2"/>
        <v>0.4642857142857143</v>
      </c>
      <c r="O19" s="21">
        <f>VLOOKUP(B19,'[5]% Penetración Mdo ABR26'!$B$7:$D$59,3,0)-F19-I19-L19</f>
        <v>40</v>
      </c>
      <c r="P19" s="24">
        <f ca="1">SUMIF('UC BMW 2026'!$B$5:$B$77,'UC BMW 2026'!$B17,'UC BMW 2026'!$M$5:$M$72)</f>
        <v>25</v>
      </c>
      <c r="Q19" s="285">
        <f t="shared" ca="1" si="3"/>
        <v>0.625</v>
      </c>
      <c r="R19" s="21">
        <f>VLOOKUP(B19,'[6]% Penetración Mdo MAY26'!$B$7:$G$65,3,0)-F19-I19-L19-O19</f>
        <v>45</v>
      </c>
      <c r="S19" s="24">
        <f ca="1">SUMIF('UC BMW 2026'!$B$5:$B$77,'UC BMW 2026'!$B17,'UC BMW 2026'!$O$5:$O$72)</f>
        <v>11</v>
      </c>
      <c r="T19" s="285">
        <f t="shared" ca="1" si="4"/>
        <v>0.24444444444444444</v>
      </c>
      <c r="U19" s="21">
        <f>VLOOKUP(B19,'[7]% Penetración Mdo JUN26'!$B$7:$K$59,3,0)-F19-I19-L19-O19-R19</f>
        <v>72</v>
      </c>
      <c r="V19" s="24">
        <f ca="1">SUMIF('UC BMW 2026'!$B$5:$B$77,'UC BMW 2026'!$B17,'UC BMW 2026'!$Q$5:$Q$72)</f>
        <v>27</v>
      </c>
      <c r="W19" s="285">
        <f t="shared" ca="1" si="5"/>
        <v>0.375</v>
      </c>
      <c r="X19" s="21"/>
      <c r="Y19" s="24">
        <f ca="1">SUMIF('UC BMW 2026'!$B$5:$B$77,'UC BMW 2026'!$B17,'UC BMW 2026'!$S$5:$S$72)</f>
        <v>0</v>
      </c>
      <c r="Z19" s="282">
        <f t="shared" ca="1" si="6"/>
        <v>0</v>
      </c>
      <c r="AA19" s="21"/>
      <c r="AB19" s="24">
        <f ca="1">SUMIF('UC BMW 2026'!$B$5:$B$77,'UC BMW 2026'!$B17,'UC BMW 2026'!$U$5:$U$72)</f>
        <v>0</v>
      </c>
      <c r="AC19" s="282">
        <f t="shared" ca="1" si="7"/>
        <v>0</v>
      </c>
      <c r="AD19" s="21"/>
      <c r="AE19" s="24">
        <f ca="1">SUMIF('UC BMW 2026'!$B$5:$B$77,'UC BMW 2026'!$B17,'UC BMW 2026'!$W$5:$W$72)</f>
        <v>0</v>
      </c>
      <c r="AF19" s="282">
        <f t="shared" ca="1" si="8"/>
        <v>0</v>
      </c>
      <c r="AG19" s="21"/>
      <c r="AH19" s="24">
        <f ca="1">SUMIF('UC BMW 2026'!$B$5:$B$77,'UC BMW 2026'!$B17,'UC BMW 2026'!$Y$5:$Y$72)</f>
        <v>0</v>
      </c>
      <c r="AI19" s="282">
        <f t="shared" ca="1" si="9"/>
        <v>0</v>
      </c>
      <c r="AJ19" s="21"/>
      <c r="AK19" s="24">
        <f ca="1">SUMIF('UC BMW 2026'!$B$5:$B$77,'UC BMW 2026'!$B17,'UC BMW 2026'!$AA$5:$AA$72)</f>
        <v>0</v>
      </c>
      <c r="AL19" s="282">
        <f t="shared" ca="1" si="10"/>
        <v>0</v>
      </c>
      <c r="AM19" s="21"/>
      <c r="AN19" s="24">
        <f ca="1">SUMIF('UC BMW 2026'!$B$5:$B$77,'UC BMW 2026'!$B17,'UC BMW 2026'!$AC$5:$AC$72)</f>
        <v>0</v>
      </c>
      <c r="AO19" s="282">
        <f t="shared" ca="1" si="11"/>
        <v>0</v>
      </c>
      <c r="AP19" s="25">
        <f t="shared" si="12"/>
        <v>347</v>
      </c>
      <c r="AQ19" s="24">
        <f t="shared" ca="1" si="12"/>
        <v>122</v>
      </c>
      <c r="AR19" s="129">
        <f t="shared" ca="1" si="16"/>
        <v>0.35158501440922191</v>
      </c>
      <c r="AS19" s="25">
        <f t="shared" si="13"/>
        <v>347</v>
      </c>
      <c r="AT19" s="24">
        <f t="shared" ca="1" si="13"/>
        <v>122</v>
      </c>
      <c r="AU19" s="129">
        <f t="shared" ca="1" si="17"/>
        <v>0.35158501440922191</v>
      </c>
      <c r="AV19" s="25"/>
      <c r="AW19" s="27"/>
      <c r="AX19" s="287"/>
      <c r="AY19" s="291"/>
      <c r="AZ19" s="287"/>
      <c r="BA19" s="27"/>
      <c r="BB19" s="129"/>
      <c r="BC19" s="25">
        <f t="shared" si="14"/>
        <v>347</v>
      </c>
      <c r="BD19" s="24">
        <f t="shared" ca="1" si="14"/>
        <v>122</v>
      </c>
      <c r="BE19" s="130">
        <f t="shared" ca="1" si="18"/>
        <v>0.35158501440922191</v>
      </c>
      <c r="BF19" s="21">
        <f t="shared" ref="BF19:BG21" si="24">IFERROR(IF($BF$5="S 1",F19+I19+L19+O19+R19+U19,
IF($BF$5="S 2",X19+AA19+AD19+AG19+AJ19+AM19,0)),0)</f>
        <v>0</v>
      </c>
      <c r="BG19" s="22">
        <f t="shared" ca="1" si="24"/>
        <v>0</v>
      </c>
      <c r="BH19" s="130">
        <f t="shared" ca="1" si="19"/>
        <v>0</v>
      </c>
      <c r="BJ19"/>
      <c r="BK19" s="574">
        <v>10</v>
      </c>
      <c r="BL19" s="575" cm="1">
        <f t="array" aca="1" ref="BL19" ca="1">LARGE(_xlfn._xlws.FILTER(AR$7:AR$69, NOT(ISNUMBER(SEARCH("Total Distrito", B$7:B$69)))),ROW(A10))</f>
        <v>0.53315649867374004</v>
      </c>
      <c r="BM19" s="576" t="str">
        <f t="shared" ca="1" si="20"/>
        <v>PROA PREMIUM</v>
      </c>
      <c r="BN19" s="577">
        <f t="shared" ca="1" si="21"/>
        <v>377</v>
      </c>
      <c r="BO19" s="578">
        <f ca="1">IFERROR(VLOOKUP(BM19,$C$7:$AQ$69,41,0),0)</f>
        <v>201</v>
      </c>
      <c r="BP19"/>
      <c r="BQ19" s="579"/>
    </row>
    <row r="20" spans="1:70" s="4" customFormat="1" ht="15" customHeight="1" x14ac:dyDescent="0.35">
      <c r="A20" s="4">
        <f>_xlfn.XLOOKUP(B20,'WHOLESALE BMW 2026'!$B$7:$B$67,'WHOLESALE BMW 2026'!$A$7:$A$67)</f>
        <v>3</v>
      </c>
      <c r="B20" s="8">
        <v>100418</v>
      </c>
      <c r="C20" s="369" t="s">
        <v>13</v>
      </c>
      <c r="D20" s="125"/>
      <c r="E20" s="309" t="s">
        <v>83</v>
      </c>
      <c r="F20" s="21">
        <v>43</v>
      </c>
      <c r="G20" s="24">
        <f ca="1">SUMIF('UC BMW 2026'!$B$5:$B$77,'UC BMW 2026'!B18,'UC BMW 2026'!$G$5:$G$72)</f>
        <v>1</v>
      </c>
      <c r="H20" s="285">
        <f t="shared" ca="1" si="0"/>
        <v>2.3255813953488372E-2</v>
      </c>
      <c r="I20" s="21">
        <v>35</v>
      </c>
      <c r="J20" s="24">
        <f ca="1">SUMIF('UC BMW 2026'!$B$5:$B$77,'UC BMW 2026'!$B18,'UC BMW 2026'!$I$5:$I$72)</f>
        <v>14</v>
      </c>
      <c r="K20" s="285">
        <f t="shared" ca="1" si="1"/>
        <v>0.4</v>
      </c>
      <c r="L20" s="21">
        <f>VLOOKUP(B20,'[4]% Penetración Mdo MAR26'!$B$7:$D$59,3,0)-F20-I20</f>
        <v>37</v>
      </c>
      <c r="M20" s="24">
        <f ca="1">SUMIF('UC BMW 2026'!$B$5:$B$77,'UC BMW 2026'!$B18,'UC BMW 2026'!$K$5:$K$72)</f>
        <v>10</v>
      </c>
      <c r="N20" s="285">
        <f t="shared" ca="1" si="2"/>
        <v>0.27027027027027029</v>
      </c>
      <c r="O20" s="21">
        <f>VLOOKUP(B20,'[5]% Penetración Mdo ABR26'!$B$7:$D$59,3,0)-F20-I20-L20</f>
        <v>26</v>
      </c>
      <c r="P20" s="24">
        <f ca="1">SUMIF('UC BMW 2026'!$B$5:$B$77,'UC BMW 2026'!$B18,'UC BMW 2026'!$M$5:$M$72)</f>
        <v>9</v>
      </c>
      <c r="Q20" s="285">
        <f t="shared" ca="1" si="3"/>
        <v>0.34615384615384615</v>
      </c>
      <c r="R20" s="21">
        <f>VLOOKUP(B20,'[6]% Penetración Mdo MAY26'!$B$7:$G$65,3,0)-F20-I20-L20-O20</f>
        <v>33</v>
      </c>
      <c r="S20" s="24">
        <f ca="1">SUMIF('UC BMW 2026'!$B$5:$B$77,'UC BMW 2026'!$B18,'UC BMW 2026'!$O$5:$O$72)</f>
        <v>6</v>
      </c>
      <c r="T20" s="285">
        <f t="shared" ca="1" si="4"/>
        <v>0.18181818181818182</v>
      </c>
      <c r="U20" s="21">
        <f>VLOOKUP(B20,'[7]% Penetración Mdo JUN26'!$B$7:$K$59,3,0)-F20-I20-L20-O20-R20</f>
        <v>53</v>
      </c>
      <c r="V20" s="24">
        <f ca="1">SUMIF('UC BMW 2026'!$B$5:$B$77,'UC BMW 2026'!$B18,'UC BMW 2026'!$Q$5:$Q$72)</f>
        <v>14</v>
      </c>
      <c r="W20" s="285">
        <f t="shared" ca="1" si="5"/>
        <v>0.26415094339622641</v>
      </c>
      <c r="X20" s="21"/>
      <c r="Y20" s="24">
        <f ca="1">SUMIF('UC BMW 2026'!$B$5:$B$77,'UC BMW 2026'!$B18,'UC BMW 2026'!$S$5:$S$72)</f>
        <v>0</v>
      </c>
      <c r="Z20" s="282">
        <f t="shared" ca="1" si="6"/>
        <v>0</v>
      </c>
      <c r="AA20" s="21"/>
      <c r="AB20" s="24">
        <f ca="1">SUMIF('UC BMW 2026'!$B$5:$B$77,'UC BMW 2026'!$B18,'UC BMW 2026'!$U$5:$U$72)</f>
        <v>0</v>
      </c>
      <c r="AC20" s="282">
        <f t="shared" ca="1" si="7"/>
        <v>0</v>
      </c>
      <c r="AD20" s="21"/>
      <c r="AE20" s="24">
        <f ca="1">SUMIF('UC BMW 2026'!$B$5:$B$77,'UC BMW 2026'!$B18,'UC BMW 2026'!$W$5:$W$72)</f>
        <v>0</v>
      </c>
      <c r="AF20" s="282">
        <f t="shared" ca="1" si="8"/>
        <v>0</v>
      </c>
      <c r="AG20" s="21"/>
      <c r="AH20" s="24">
        <f ca="1">SUMIF('UC BMW 2026'!$B$5:$B$77,'UC BMW 2026'!$B18,'UC BMW 2026'!$Y$5:$Y$72)</f>
        <v>0</v>
      </c>
      <c r="AI20" s="282">
        <f t="shared" ca="1" si="9"/>
        <v>0</v>
      </c>
      <c r="AJ20" s="21"/>
      <c r="AK20" s="24">
        <f ca="1">SUMIF('UC BMW 2026'!$B$5:$B$77,'UC BMW 2026'!$B18,'UC BMW 2026'!$AA$5:$AA$72)</f>
        <v>0</v>
      </c>
      <c r="AL20" s="282">
        <f t="shared" ca="1" si="10"/>
        <v>0</v>
      </c>
      <c r="AM20" s="21"/>
      <c r="AN20" s="24">
        <f ca="1">SUMIF('UC BMW 2026'!$B$5:$B$77,'UC BMW 2026'!$B18,'UC BMW 2026'!$AC$5:$AC$72)</f>
        <v>0</v>
      </c>
      <c r="AO20" s="282">
        <f t="shared" ca="1" si="11"/>
        <v>0</v>
      </c>
      <c r="AP20" s="25">
        <f t="shared" si="12"/>
        <v>227</v>
      </c>
      <c r="AQ20" s="24">
        <f t="shared" ca="1" si="12"/>
        <v>54</v>
      </c>
      <c r="AR20" s="130">
        <f t="shared" ca="1" si="16"/>
        <v>0.23788546255506607</v>
      </c>
      <c r="AS20" s="25">
        <f t="shared" si="13"/>
        <v>227</v>
      </c>
      <c r="AT20" s="24">
        <f t="shared" ca="1" si="13"/>
        <v>54</v>
      </c>
      <c r="AU20" s="130">
        <f t="shared" ca="1" si="17"/>
        <v>0.23788546255506607</v>
      </c>
      <c r="AV20" s="25"/>
      <c r="AW20" s="24"/>
      <c r="AX20" s="287"/>
      <c r="AY20" s="291"/>
      <c r="AZ20" s="282"/>
      <c r="BA20" s="24"/>
      <c r="BB20" s="130"/>
      <c r="BC20" s="25">
        <f t="shared" si="14"/>
        <v>227</v>
      </c>
      <c r="BD20" s="24">
        <f t="shared" ca="1" si="14"/>
        <v>54</v>
      </c>
      <c r="BE20" s="130">
        <f t="shared" ca="1" si="18"/>
        <v>0.23788546255506607</v>
      </c>
      <c r="BF20" s="21">
        <f t="shared" si="24"/>
        <v>0</v>
      </c>
      <c r="BG20" s="22">
        <f t="shared" ca="1" si="24"/>
        <v>0</v>
      </c>
      <c r="BH20" s="130">
        <f t="shared" ca="1" si="19"/>
        <v>0</v>
      </c>
      <c r="BJ20"/>
      <c r="BK20" s="574">
        <v>11</v>
      </c>
      <c r="BL20" s="575" cm="1">
        <f t="array" aca="1" ref="BL20" ca="1">LARGE(_xlfn._xlws.FILTER(AR$7:AR$69, NOT(ISNUMBER(SEARCH("Total Distrito", B$7:B$69)))),ROW(A11))</f>
        <v>0.52298850574712641</v>
      </c>
      <c r="BM20" s="576"/>
      <c r="BN20" s="577"/>
      <c r="BO20" s="578"/>
      <c r="BP20"/>
      <c r="BQ20" s="579"/>
    </row>
    <row r="21" spans="1:70" s="4" customFormat="1" ht="15" customHeight="1" x14ac:dyDescent="0.35">
      <c r="A21" s="4">
        <f>_xlfn.XLOOKUP(B21,'WHOLESALE BMW 2026'!$B$7:$B$67,'WHOLESALE BMW 2026'!$A$7:$A$67)</f>
        <v>3</v>
      </c>
      <c r="B21" s="8">
        <v>100730</v>
      </c>
      <c r="C21" s="369" t="s">
        <v>41</v>
      </c>
      <c r="D21" s="125"/>
      <c r="E21" s="309" t="s">
        <v>78</v>
      </c>
      <c r="F21" s="21">
        <v>38</v>
      </c>
      <c r="G21" s="24">
        <f ca="1">SUMIF('UC BMW 2026'!$B$5:$B$77,'UC BMW 2026'!B19,'UC BMW 2026'!$G$5:$G$72)</f>
        <v>11</v>
      </c>
      <c r="H21" s="285">
        <f t="shared" ca="1" si="0"/>
        <v>0.28947368421052633</v>
      </c>
      <c r="I21" s="21">
        <v>80</v>
      </c>
      <c r="J21" s="24">
        <f ca="1">SUMIF('UC BMW 2026'!$B$5:$B$77,'UC BMW 2026'!$B19,'UC BMW 2026'!$I$5:$I$72)</f>
        <v>19</v>
      </c>
      <c r="K21" s="285">
        <f t="shared" ca="1" si="1"/>
        <v>0.23749999999999999</v>
      </c>
      <c r="L21" s="21">
        <f>VLOOKUP(B21,'[4]% Penetración Mdo MAR26'!$B$7:$D$59,3,0)-F21-I21</f>
        <v>71</v>
      </c>
      <c r="M21" s="24">
        <f ca="1">SUMIF('UC BMW 2026'!$B$5:$B$77,'UC BMW 2026'!$B19,'UC BMW 2026'!$K$5:$K$72)</f>
        <v>18</v>
      </c>
      <c r="N21" s="285">
        <f t="shared" ca="1" si="2"/>
        <v>0.25352112676056338</v>
      </c>
      <c r="O21" s="21">
        <f>VLOOKUP(B21,'[5]% Penetración Mdo ABR26'!$B$7:$D$59,3,0)-F21-I21-L21</f>
        <v>86</v>
      </c>
      <c r="P21" s="24">
        <f ca="1">SUMIF('UC BMW 2026'!$B$5:$B$77,'UC BMW 2026'!$B19,'UC BMW 2026'!$M$5:$M$72)</f>
        <v>9</v>
      </c>
      <c r="Q21" s="285">
        <f t="shared" ca="1" si="3"/>
        <v>0.10465116279069768</v>
      </c>
      <c r="R21" s="21">
        <f>VLOOKUP(B21,'[6]% Penetración Mdo MAY26'!$B$7:$G$65,3,0)-F21-I21-L21-O21</f>
        <v>56</v>
      </c>
      <c r="S21" s="24">
        <f ca="1">SUMIF('UC BMW 2026'!$B$5:$B$77,'UC BMW 2026'!$B19,'UC BMW 2026'!$O$5:$O$72)</f>
        <v>16</v>
      </c>
      <c r="T21" s="285">
        <f t="shared" ca="1" si="4"/>
        <v>0.2857142857142857</v>
      </c>
      <c r="U21" s="21">
        <f>VLOOKUP(B21,'[7]% Penetración Mdo JUN26'!$B$7:$K$59,3,0)-F21-I21-L21-O21-R21</f>
        <v>84</v>
      </c>
      <c r="V21" s="24">
        <f ca="1">SUMIF('UC BMW 2026'!$B$5:$B$77,'UC BMW 2026'!$B19,'UC BMW 2026'!$Q$5:$Q$72)</f>
        <v>25</v>
      </c>
      <c r="W21" s="285">
        <f t="shared" ca="1" si="5"/>
        <v>0.29761904761904762</v>
      </c>
      <c r="X21" s="21"/>
      <c r="Y21" s="24">
        <f ca="1">SUMIF('UC BMW 2026'!$B$5:$B$77,'UC BMW 2026'!$B19,'UC BMW 2026'!$S$5:$S$72)</f>
        <v>0</v>
      </c>
      <c r="Z21" s="282">
        <f t="shared" ca="1" si="6"/>
        <v>0</v>
      </c>
      <c r="AA21" s="21"/>
      <c r="AB21" s="24">
        <f ca="1">SUMIF('UC BMW 2026'!$B$5:$B$77,'UC BMW 2026'!$B19,'UC BMW 2026'!$U$5:$U$72)</f>
        <v>0</v>
      </c>
      <c r="AC21" s="282">
        <f t="shared" ca="1" si="7"/>
        <v>0</v>
      </c>
      <c r="AD21" s="21"/>
      <c r="AE21" s="24">
        <f ca="1">SUMIF('UC BMW 2026'!$B$5:$B$77,'UC BMW 2026'!$B19,'UC BMW 2026'!$W$5:$W$72)</f>
        <v>0</v>
      </c>
      <c r="AF21" s="282">
        <f t="shared" ca="1" si="8"/>
        <v>0</v>
      </c>
      <c r="AG21" s="21"/>
      <c r="AH21" s="24">
        <f ca="1">SUMIF('UC BMW 2026'!$B$5:$B$77,'UC BMW 2026'!$B19,'UC BMW 2026'!$Y$5:$Y$72)</f>
        <v>0</v>
      </c>
      <c r="AI21" s="282">
        <f t="shared" ca="1" si="9"/>
        <v>0</v>
      </c>
      <c r="AJ21" s="21"/>
      <c r="AK21" s="24">
        <f ca="1">SUMIF('UC BMW 2026'!$B$5:$B$77,'UC BMW 2026'!$B19,'UC BMW 2026'!$AA$5:$AA$72)</f>
        <v>0</v>
      </c>
      <c r="AL21" s="282">
        <f t="shared" ca="1" si="10"/>
        <v>0</v>
      </c>
      <c r="AM21" s="21"/>
      <c r="AN21" s="24">
        <f ca="1">SUMIF('UC BMW 2026'!$B$5:$B$77,'UC BMW 2026'!$B19,'UC BMW 2026'!$AC$5:$AC$72)</f>
        <v>0</v>
      </c>
      <c r="AO21" s="282">
        <f t="shared" ca="1" si="11"/>
        <v>0</v>
      </c>
      <c r="AP21" s="25">
        <f t="shared" si="12"/>
        <v>415</v>
      </c>
      <c r="AQ21" s="24">
        <f t="shared" ca="1" si="12"/>
        <v>98</v>
      </c>
      <c r="AR21" s="127">
        <f t="shared" ca="1" si="16"/>
        <v>0.236144578313253</v>
      </c>
      <c r="AS21" s="25">
        <f t="shared" si="13"/>
        <v>415</v>
      </c>
      <c r="AT21" s="24">
        <f t="shared" ca="1" si="13"/>
        <v>98</v>
      </c>
      <c r="AU21" s="127">
        <f t="shared" ca="1" si="17"/>
        <v>0.236144578313253</v>
      </c>
      <c r="AV21" s="25"/>
      <c r="AW21" s="182"/>
      <c r="AX21" s="282"/>
      <c r="AY21" s="291"/>
      <c r="AZ21" s="288"/>
      <c r="BA21" s="182"/>
      <c r="BB21" s="127"/>
      <c r="BC21" s="25">
        <f t="shared" si="14"/>
        <v>415</v>
      </c>
      <c r="BD21" s="24">
        <f t="shared" ca="1" si="14"/>
        <v>98</v>
      </c>
      <c r="BE21" s="127">
        <f t="shared" ca="1" si="18"/>
        <v>0.236144578313253</v>
      </c>
      <c r="BF21" s="21">
        <f t="shared" si="24"/>
        <v>0</v>
      </c>
      <c r="BG21" s="22">
        <f t="shared" ca="1" si="24"/>
        <v>0</v>
      </c>
      <c r="BH21" s="127">
        <f t="shared" ca="1" si="19"/>
        <v>0</v>
      </c>
      <c r="BJ21"/>
      <c r="BK21" s="574">
        <v>12</v>
      </c>
      <c r="BL21" s="575" cm="1">
        <f t="array" aca="1" ref="BL21" ca="1">LARGE(_xlfn._xlws.FILTER(AR$7:AR$69, NOT(ISNUMBER(SEARCH("Total Distrito", B$7:B$69)))),ROW(A12))</f>
        <v>0.51530612244897955</v>
      </c>
      <c r="BM21" s="576"/>
      <c r="BN21" s="577"/>
      <c r="BO21" s="578"/>
      <c r="BP21"/>
      <c r="BQ21" s="579"/>
    </row>
    <row r="22" spans="1:70" s="4" customFormat="1" ht="15" customHeight="1" thickBot="1" x14ac:dyDescent="0.4">
      <c r="A22" s="4">
        <f>_xlfn.XLOOKUP(B22,'WHOLESALE BMW 2026'!$B$7:$B$67,'WHOLESALE BMW 2026'!$A$7:$A$67)</f>
        <v>3</v>
      </c>
      <c r="B22" s="8">
        <v>100764</v>
      </c>
      <c r="C22" s="369" t="s">
        <v>26</v>
      </c>
      <c r="D22" s="125"/>
      <c r="E22" s="309" t="s">
        <v>277</v>
      </c>
      <c r="F22" s="21">
        <v>51</v>
      </c>
      <c r="G22" s="24">
        <f ca="1">SUMIF('UC BMW 2026'!$B$5:$B$77,'UC BMW 2026'!B20,'UC BMW 2026'!$G$5:$G$72)</f>
        <v>17</v>
      </c>
      <c r="H22" s="283">
        <f ca="1">IFERROR(G22/F22,0)</f>
        <v>0.33333333333333331</v>
      </c>
      <c r="I22" s="21">
        <v>62</v>
      </c>
      <c r="J22" s="24">
        <f ca="1">SUMIF('UC BMW 2026'!$B$5:$B$77,'UC BMW 2026'!$B20,'UC BMW 2026'!$I$5:$I$72)</f>
        <v>21</v>
      </c>
      <c r="K22" s="283">
        <f ca="1">IFERROR(J22/I22,0)</f>
        <v>0.33870967741935482</v>
      </c>
      <c r="L22" s="21">
        <f>VLOOKUP(B22,'[4]% Penetración Mdo MAR26'!$B$7:$D$59,3,0)-F22-I22</f>
        <v>67</v>
      </c>
      <c r="M22" s="24">
        <f ca="1">SUMIF('UC BMW 2026'!$B$5:$B$77,'UC BMW 2026'!$B20,'UC BMW 2026'!$K$5:$K$72)</f>
        <v>14</v>
      </c>
      <c r="N22" s="283">
        <f ca="1">IFERROR(M22/L22,0)</f>
        <v>0.20895522388059701</v>
      </c>
      <c r="O22" s="21">
        <f>VLOOKUP(B22,'[5]% Penetración Mdo ABR26'!$B$7:$D$59,3,0)-F22-I22-L22</f>
        <v>68</v>
      </c>
      <c r="P22" s="24">
        <f ca="1">SUMIF('UC BMW 2026'!$B$5:$B$77,'UC BMW 2026'!$B20,'UC BMW 2026'!$M$5:$M$72)</f>
        <v>13</v>
      </c>
      <c r="Q22" s="283">
        <f ca="1">IFERROR(P22/O22,0)</f>
        <v>0.19117647058823528</v>
      </c>
      <c r="R22" s="21">
        <f>VLOOKUP(B22,'[6]% Penetración Mdo MAY26'!$B$7:$G$65,3,0)-F22-I22-L22-O22</f>
        <v>55</v>
      </c>
      <c r="S22" s="24">
        <f ca="1">SUMIF('UC BMW 2026'!$B$5:$B$77,'UC BMW 2026'!$B20,'UC BMW 2026'!$O$5:$O$72)</f>
        <v>19</v>
      </c>
      <c r="T22" s="283">
        <f ca="1">IFERROR(S22/R22,0)</f>
        <v>0.34545454545454546</v>
      </c>
      <c r="U22" s="21">
        <f>VLOOKUP(B22,'[7]% Penetración Mdo JUN26'!$B$7:$K$59,3,0)-F22-I22-L22-O22-R22</f>
        <v>54</v>
      </c>
      <c r="V22" s="24">
        <f ca="1">SUMIF('UC BMW 2026'!$B$5:$B$77,'UC BMW 2026'!$B20,'UC BMW 2026'!$Q$5:$Q$72)</f>
        <v>37</v>
      </c>
      <c r="W22" s="283">
        <f ca="1">IFERROR(V22/U22,0)</f>
        <v>0.68518518518518523</v>
      </c>
      <c r="X22" s="21"/>
      <c r="Y22" s="24">
        <f ca="1">SUMIF('UC BMW 2026'!$B$5:$B$77,'UC BMW 2026'!$B20,'UC BMW 2026'!$S$5:$S$72)</f>
        <v>0</v>
      </c>
      <c r="Z22" s="282">
        <f t="shared" ca="1" si="6"/>
        <v>0</v>
      </c>
      <c r="AA22" s="21"/>
      <c r="AB22" s="24">
        <f ca="1">SUMIF('UC BMW 2026'!$B$5:$B$77,'UC BMW 2026'!$B20,'UC BMW 2026'!$U$5:$U$72)</f>
        <v>0</v>
      </c>
      <c r="AC22" s="282">
        <f t="shared" ca="1" si="7"/>
        <v>0</v>
      </c>
      <c r="AD22" s="21"/>
      <c r="AE22" s="24">
        <f ca="1">SUMIF('UC BMW 2026'!$B$5:$B$77,'UC BMW 2026'!$B20,'UC BMW 2026'!$W$5:$W$72)</f>
        <v>0</v>
      </c>
      <c r="AF22" s="282">
        <f t="shared" ca="1" si="8"/>
        <v>0</v>
      </c>
      <c r="AG22" s="21"/>
      <c r="AH22" s="24">
        <f ca="1">SUMIF('UC BMW 2026'!$B$5:$B$77,'UC BMW 2026'!$B20,'UC BMW 2026'!$Y$5:$Y$72)</f>
        <v>0</v>
      </c>
      <c r="AI22" s="282">
        <f t="shared" ca="1" si="9"/>
        <v>0</v>
      </c>
      <c r="AJ22" s="21"/>
      <c r="AK22" s="24">
        <f ca="1">SUMIF('UC BMW 2026'!$B$5:$B$77,'UC BMW 2026'!$B20,'UC BMW 2026'!$AA$5:$AA$72)</f>
        <v>0</v>
      </c>
      <c r="AL22" s="282">
        <f t="shared" ca="1" si="10"/>
        <v>0</v>
      </c>
      <c r="AM22" s="21"/>
      <c r="AN22" s="24">
        <f ca="1">SUMIF('UC BMW 2026'!$B$5:$B$77,'UC BMW 2026'!$B20,'UC BMW 2026'!$AC$5:$AC$72)</f>
        <v>0</v>
      </c>
      <c r="AO22" s="282">
        <f t="shared" ca="1" si="11"/>
        <v>0</v>
      </c>
      <c r="AP22" s="21">
        <f>IFERROR(IF($AP$4="ENERO",F22,IF($AP$4="FEBRERO",F22+I22,IF($AP$4="MARZO",F22+I22+L22,IF($AP$4="ABRIL",F22+I22+L22+O22,IF($AP$4="MAYO",F22+I22+L22+O22+R22,IF($AP$4="JUNIO",F22+I22+L22+O22+R22+U22,IF($AP$4="JULIO",F22+I22+L22+O22+R22+U22+X22,IF($AP$4="AGOSTO",F22+I22+L22+O22+R22+U22+X22+AA22,IF($AP$4="SEPTIEMBRE",F22+I22+L22+O22+R22+U22+X22+AA22+AD22,IF($AP$4="OCTUBRE",F22+I22+L22+O22+R22+U22+X22+AA22+AD22+AG22,IF($AP$4="NOVIEMBRE",F22+I22+L22+O22+R22+U22+X22+AA22+AD22+AG22+AJ22,IF($AP$4="DICIEMBRE",F22+I22+L22+O22+R22+U22+X22+AA22+AD22+AG22+AJ22+AM22,"")))))))))))),0)</f>
        <v>357</v>
      </c>
      <c r="AQ22" s="280">
        <f ca="1">IFERROR(IF($AP$4="ENERO",G22,IF($AP$4="FEBRERO",G22+J22,IF($AP$4="MARZO",G22+J22+M22,IF($AP$4="ABRIL",G22+J22+M22+P22,IF($AP$4="MAYO",G22+J22+M22+P22+S22,IF($AP$4="JUNIO",G22+J22+M22+P22+S22+V22,IF($AP$4="JULIO",G22+J22+M22+P22+S22+V22+Y22,IF($AP$4="AGOSTO",G22+J22+M22+P22+S22+V22+Y22+AB22,IF($AP$4="SEPTIEMBRE",G22+J22+M22+P22+S22+V22+Y22+AB22+AE22,IF($AP$4="OCTUBRE",G22+J22+M22+P22+S22+V22+Y22+AB22+AE22+AH22,IF($AP$4="NOVIEMBRE",G22+J22+M22+P22+S22+V22+Y22+AB22+AE22+AH22+AK22,IF($AP$4="DICIEMBRE",G22+J22+M22+P22+S22+V22+Y22+AB22+AE22+AH22+AK22+AN22,"")))))))))))),0)</f>
        <v>121</v>
      </c>
      <c r="AR22" s="129">
        <f ca="1">IFERROR(AQ22/AP22,0)</f>
        <v>0.33893557422969189</v>
      </c>
      <c r="AS22" s="21">
        <f>IFERROR(SUM(AM22,AJ22,AG22,AD22,AA22,X22,U22,R22,O22,L22,I22,F22),0)</f>
        <v>357</v>
      </c>
      <c r="AT22" s="280">
        <f ca="1">IFERROR(SUM(AN22,AK22,AH22,AE22,AB22,Y22,V22,S22,P22,M22,J22,G22),0)</f>
        <v>121</v>
      </c>
      <c r="AU22" s="129">
        <f ca="1">IFERROR(AT22/AS22,0)</f>
        <v>0.33893557422969189</v>
      </c>
      <c r="AV22" s="25"/>
      <c r="AW22" s="27"/>
      <c r="AX22" s="283"/>
      <c r="AY22" s="295"/>
      <c r="AZ22" s="283"/>
      <c r="BA22" s="27"/>
      <c r="BB22" s="129"/>
      <c r="BC22" s="21">
        <f>IFERROR(IF($BC$5="S 1",F22+I22+L22+O22+R22+U22,
IF($BC$5="S 2",X22+AA22+AD22+AG22+AJ22+AM22,0)),0)</f>
        <v>357</v>
      </c>
      <c r="BD22" s="280">
        <f ca="1">IFERROR(IF($BC$5="S 1",G22+J22+M22+P22+S22+V22,
IF($BC$5="S 2",Y22+AB22+AE22+AH22+AK22+AN22,0)),0)</f>
        <v>121</v>
      </c>
      <c r="BE22" s="130">
        <f ca="1">IFERROR(BD22/BC22,0)</f>
        <v>0.33893557422969189</v>
      </c>
      <c r="BF22" s="34">
        <f>IFERROR(IF($BF$5="S 1",F22+I22+L22+O22+R22+U22,
IF($BF$5="S 2",X22+AA22+AD22+AG22+AJ22+AM22,0)),0)</f>
        <v>0</v>
      </c>
      <c r="BG22" s="280">
        <f ca="1">IFERROR(IF($BF$5="S 1",G22+J22+M22+P22+S22+V22,
IF($BF$5="S 2",Y22+AB22+AE22+AH22+AK22+AN22,0)),0)</f>
        <v>0</v>
      </c>
      <c r="BH22" s="130">
        <f ca="1">IFERROR(BG22/BF22,0)</f>
        <v>0</v>
      </c>
      <c r="BJ22"/>
      <c r="BK22" s="574">
        <v>13</v>
      </c>
      <c r="BL22" s="575" cm="1">
        <f t="array" aca="1" ref="BL22" ca="1">LARGE(_xlfn._xlws.FILTER(AR$7:AR$69, NOT(ISNUMBER(SEARCH("Total Distrito", B$7:B$69)))),ROW(A13))</f>
        <v>0.50915750915750912</v>
      </c>
      <c r="BM22" s="576"/>
      <c r="BN22" s="577"/>
      <c r="BO22" s="578"/>
      <c r="BP22"/>
      <c r="BQ22" s="579"/>
    </row>
    <row r="23" spans="1:70" s="4" customFormat="1" ht="15" customHeight="1" thickBot="1" x14ac:dyDescent="0.4">
      <c r="A23" s="4">
        <f>_xlfn.XLOOKUP(B23,'WHOLESALE BMW 2026'!$B$7:$B$67,'WHOLESALE BMW 2026'!$A$7:$A$67)</f>
        <v>0</v>
      </c>
      <c r="B23" s="7" t="s">
        <v>273</v>
      </c>
      <c r="C23" s="28"/>
      <c r="D23" s="125"/>
      <c r="E23" s="7"/>
      <c r="F23" s="277">
        <f>SUM(F18:F22)</f>
        <v>215</v>
      </c>
      <c r="G23" s="277">
        <f ca="1">SUM(G18:G22)</f>
        <v>42</v>
      </c>
      <c r="H23" s="132">
        <f t="shared" ref="H23:H31" ca="1" si="25">IFERROR(G23/F23,0)</f>
        <v>0.19534883720930232</v>
      </c>
      <c r="I23" s="277">
        <f>SUM(I18:I22)</f>
        <v>276</v>
      </c>
      <c r="J23" s="277">
        <f ca="1">SUM(J18:J22)</f>
        <v>81</v>
      </c>
      <c r="K23" s="132">
        <f t="shared" ref="K23:K31" ca="1" si="26">IFERROR(J23/I23,0)</f>
        <v>0.29347826086956524</v>
      </c>
      <c r="L23" s="277">
        <f>SUM(L18:L22)</f>
        <v>275</v>
      </c>
      <c r="M23" s="277">
        <f ca="1">SUM(M18:M22)</f>
        <v>76</v>
      </c>
      <c r="N23" s="132">
        <f t="shared" ref="N23:N31" ca="1" si="27">IFERROR(M23/L23,0)</f>
        <v>0.27636363636363637</v>
      </c>
      <c r="O23" s="277">
        <f>SUM(O18:O22)</f>
        <v>249</v>
      </c>
      <c r="P23" s="277">
        <f ca="1">SUM(P18:P22)</f>
        <v>62</v>
      </c>
      <c r="Q23" s="132">
        <f t="shared" ref="Q23:Q31" ca="1" si="28">IFERROR(P23/O23,0)</f>
        <v>0.24899598393574296</v>
      </c>
      <c r="R23" s="277">
        <f>SUM(R18:R22)</f>
        <v>205</v>
      </c>
      <c r="S23" s="277">
        <f ca="1">SUM(S18:S22)</f>
        <v>56</v>
      </c>
      <c r="T23" s="132">
        <f t="shared" ref="T23:T31" ca="1" si="29">IFERROR(S23/R23,0)</f>
        <v>0.27317073170731709</v>
      </c>
      <c r="U23" s="277">
        <f>SUM(U18:U22)</f>
        <v>305</v>
      </c>
      <c r="V23" s="277">
        <f ca="1">SUM(V18:V22)</f>
        <v>123</v>
      </c>
      <c r="W23" s="132">
        <f t="shared" ref="W23:W31" ca="1" si="30">IFERROR(V23/U23,0)</f>
        <v>0.40327868852459015</v>
      </c>
      <c r="X23" s="277">
        <f>SUM(X18:X22)</f>
        <v>0</v>
      </c>
      <c r="Y23" s="277">
        <f ca="1">SUM(Y18:Y22)</f>
        <v>0</v>
      </c>
      <c r="Z23" s="132">
        <f t="shared" ref="Z23:Z36" ca="1" si="31">IFERROR(Y23/X23,0)</f>
        <v>0</v>
      </c>
      <c r="AA23" s="277">
        <f>SUM(AA18:AA22)</f>
        <v>0</v>
      </c>
      <c r="AB23" s="277">
        <f ca="1">SUM(AB18:AB22)</f>
        <v>0</v>
      </c>
      <c r="AC23" s="132">
        <f t="shared" ref="AC23:AC36" ca="1" si="32">IFERROR(AB23/AA23,0)</f>
        <v>0</v>
      </c>
      <c r="AD23" s="277">
        <f>SUM(AD18:AD22)</f>
        <v>0</v>
      </c>
      <c r="AE23" s="277">
        <f ca="1">SUM(AE18:AE22)</f>
        <v>0</v>
      </c>
      <c r="AF23" s="132">
        <f t="shared" ref="AF23:AF36" ca="1" si="33">IFERROR(AE23/AD23,0)</f>
        <v>0</v>
      </c>
      <c r="AG23" s="277">
        <f>SUM(AG18:AG22)</f>
        <v>0</v>
      </c>
      <c r="AH23" s="277">
        <f ca="1">SUM(AH18:AH22)</f>
        <v>0</v>
      </c>
      <c r="AI23" s="132">
        <f t="shared" ref="AI23:AI36" ca="1" si="34">IFERROR(AH23/AG23,0)</f>
        <v>0</v>
      </c>
      <c r="AJ23" s="277">
        <f>SUM(AJ18:AJ22)</f>
        <v>0</v>
      </c>
      <c r="AK23" s="277">
        <f ca="1">SUM(AK18:AK22)</f>
        <v>0</v>
      </c>
      <c r="AL23" s="132">
        <f t="shared" ref="AL23:AL36" ca="1" si="35">IFERROR(AK23/AJ23,0)</f>
        <v>0</v>
      </c>
      <c r="AM23" s="277">
        <f>SUM(AM18:AM22)</f>
        <v>0</v>
      </c>
      <c r="AN23" s="277">
        <f ca="1">SUM(AN18:AN22)</f>
        <v>0</v>
      </c>
      <c r="AO23" s="132">
        <f t="shared" ref="AO23:AO36" ca="1" si="36">IFERROR(AN23/AM23,0)</f>
        <v>0</v>
      </c>
      <c r="AP23" s="277">
        <f t="shared" ref="AP23:AQ38" si="37">IFERROR(IF($AP$4="ENERO",F23,IF($AP$4="FEBRERO",F23+I23,IF($AP$4="MARZO",F23+I23+L23,IF($AP$4="ABRIL",F23+I23+L23+O23,IF($AP$4="MAYO",F23+I23+L23+O23+R23,IF($AP$4="JUNIO",F23+I23+L23+O23+R23+U23,IF($AP$4="JULIO",F23+I23+L23+O23+R23+U23+X23,IF($AP$4="AGOSTO",F23+I23+L23+O23+R23+U23+X23+AA23,IF($AP$4="SEPTIEMBRE",F23+I23+L23+O23+R23+U23+X23+AA23+AD23,IF($AP$4="OCTUBRE",F23+I23+L23+O23+R23+U23+X23+AA23+AD23+AG23,IF($AP$4="NOVIEMBRE",F23+I23+L23+O23+R23+U23+X23+AA23+AD23+AG23+AJ23,IF($AP$4="DICIEMBRE",F23+I23+L23+O23+R23+U23+X23+AA23+AD23+AG23+AJ23+AM23,"")))))))))))),0)</f>
        <v>1525</v>
      </c>
      <c r="AQ23" s="410">
        <f t="shared" ca="1" si="37"/>
        <v>440</v>
      </c>
      <c r="AR23" s="131">
        <f t="shared" ref="AR23:AR31" ca="1" si="38">IFERROR(AQ23/AP23,0)</f>
        <v>0.28852459016393445</v>
      </c>
      <c r="AS23" s="277">
        <f t="shared" ref="AS23:AT38" si="39">IFERROR(SUM(AM23,AJ23,AG23,AD23,AA23,X23,U23,R23,O23,L23,I23,F23),0)</f>
        <v>1525</v>
      </c>
      <c r="AT23" s="410">
        <f t="shared" ca="1" si="39"/>
        <v>440</v>
      </c>
      <c r="AU23" s="131">
        <f t="shared" ref="AU23:AU31" ca="1" si="40">IFERROR(AT23/AS23,0)</f>
        <v>0.28852459016393445</v>
      </c>
      <c r="AV23" s="200"/>
      <c r="AW23" s="258"/>
      <c r="AX23" s="132"/>
      <c r="AY23" s="278"/>
      <c r="AZ23" s="132"/>
      <c r="BA23" s="258"/>
      <c r="BB23" s="131"/>
      <c r="BC23" s="277">
        <f t="shared" ref="BC23:BD38" si="41">IFERROR(IF($BC$5="S 1",F23+I23+L23+O23+R23+U23,
IF($BC$5="S 2",X23+AA23+AD23+AG23+AJ23+AM23,0)),0)</f>
        <v>1525</v>
      </c>
      <c r="BD23" s="410">
        <f t="shared" ca="1" si="41"/>
        <v>440</v>
      </c>
      <c r="BE23" s="275">
        <f t="shared" ref="BE23:BE31" ca="1" si="42">IFERROR(BD23/BC23,0)</f>
        <v>0.28852459016393445</v>
      </c>
      <c r="BF23" s="277">
        <f>IFERROR(SUM(BF18:BF22),0)</f>
        <v>0</v>
      </c>
      <c r="BG23" s="277">
        <f ca="1">IFERROR(SUM(BG18:BG22),0)</f>
        <v>0</v>
      </c>
      <c r="BH23" s="275">
        <f t="shared" ref="BH23:BH31" ca="1" si="43">IFERROR(BG23/BF23,0)</f>
        <v>0</v>
      </c>
      <c r="BJ23"/>
      <c r="BK23" s="574">
        <v>14</v>
      </c>
      <c r="BL23" s="575" cm="1">
        <f t="array" aca="1" ref="BL23" ca="1">LARGE(_xlfn._xlws.FILTER(AR$7:AR$69, NOT(ISNUMBER(SEARCH("Total Distrito", B$7:B$69)))),ROW(A14))</f>
        <v>0.49145299145299143</v>
      </c>
      <c r="BM23" s="576"/>
      <c r="BN23" s="577"/>
      <c r="BO23" s="578"/>
      <c r="BP23"/>
      <c r="BQ23" s="579"/>
    </row>
    <row r="24" spans="1:70" s="4" customFormat="1" ht="15" customHeight="1" x14ac:dyDescent="0.35">
      <c r="A24" s="4">
        <f>_xlfn.XLOOKUP(B24,'WHOLESALE BMW 2026'!$B$7:$B$67,'WHOLESALE BMW 2026'!$A$7:$A$67)</f>
        <v>4</v>
      </c>
      <c r="B24" s="8">
        <v>100120</v>
      </c>
      <c r="C24" s="369" t="s">
        <v>44</v>
      </c>
      <c r="D24" s="125"/>
      <c r="E24" s="309" t="s">
        <v>80</v>
      </c>
      <c r="F24" s="21">
        <v>7</v>
      </c>
      <c r="G24" s="24">
        <f ca="1">SUMIF('UC BMW 2026'!$B$5:$B$77,'UC BMW 2026'!B22,'UC BMW 2026'!$G$5:$G$72)</f>
        <v>0</v>
      </c>
      <c r="H24" s="282">
        <f t="shared" ca="1" si="25"/>
        <v>0</v>
      </c>
      <c r="I24" s="21">
        <v>10</v>
      </c>
      <c r="J24" s="24">
        <f ca="1">SUMIF('UC BMW 2026'!$B$5:$B$77,'UC BMW 2026'!$B22,'UC BMW 2026'!$I$5:$I$72)</f>
        <v>3</v>
      </c>
      <c r="K24" s="282">
        <f t="shared" ca="1" si="26"/>
        <v>0.3</v>
      </c>
      <c r="L24" s="21">
        <f>VLOOKUP(B24,'[4]% Penetración Mdo MAR26'!$B$7:$D$59,3,0)-F24-I24</f>
        <v>13</v>
      </c>
      <c r="M24" s="24">
        <f ca="1">SUMIF('UC BMW 2026'!$B$5:$B$77,'UC BMW 2026'!$B22,'UC BMW 2026'!$K$5:$K$72)</f>
        <v>4</v>
      </c>
      <c r="N24" s="282">
        <f t="shared" ca="1" si="27"/>
        <v>0.30769230769230771</v>
      </c>
      <c r="O24" s="21">
        <f>VLOOKUP(B24,'[5]% Penetración Mdo ABR26'!$B$7:$D$59,3,0)-F24-I24-L24</f>
        <v>13</v>
      </c>
      <c r="P24" s="24">
        <f ca="1">SUMIF('UC BMW 2026'!$B$5:$B$77,'UC BMW 2026'!$B22,'UC BMW 2026'!$M$5:$M$72)</f>
        <v>5</v>
      </c>
      <c r="Q24" s="282">
        <f t="shared" ca="1" si="28"/>
        <v>0.38461538461538464</v>
      </c>
      <c r="R24" s="21">
        <f>VLOOKUP(B24,'[6]% Penetración Mdo MAY26'!$B$7:$G$65,3,0)-F24-I24-L24-O24</f>
        <v>22</v>
      </c>
      <c r="S24" s="24">
        <f ca="1">SUMIF('UC BMW 2026'!$B$5:$B$77,'UC BMW 2026'!$B22,'UC BMW 2026'!$O$5:$O$72)</f>
        <v>10</v>
      </c>
      <c r="T24" s="282">
        <f t="shared" ca="1" si="29"/>
        <v>0.45454545454545453</v>
      </c>
      <c r="U24" s="21">
        <f>VLOOKUP(B24,'[7]% Penetración Mdo JUN26'!$B$7:$K$59,3,0)-F24-I24-L24-O24-R24</f>
        <v>16</v>
      </c>
      <c r="V24" s="24">
        <f ca="1">SUMIF('UC BMW 2026'!$B$5:$B$77,'UC BMW 2026'!$B22,'UC BMW 2026'!$Q$5:$Q$72)</f>
        <v>10</v>
      </c>
      <c r="W24" s="282">
        <f t="shared" ca="1" si="30"/>
        <v>0.625</v>
      </c>
      <c r="X24" s="21"/>
      <c r="Y24" s="24">
        <f ca="1">SUMIF('UC BMW 2026'!$B$5:$B$77,'UC BMW 2026'!$B22,'UC BMW 2026'!$S$5:$S$72)</f>
        <v>0</v>
      </c>
      <c r="Z24" s="282">
        <f t="shared" ca="1" si="31"/>
        <v>0</v>
      </c>
      <c r="AA24" s="21"/>
      <c r="AB24" s="24">
        <f ca="1">SUMIF('UC BMW 2026'!$B$5:$B$77,'UC BMW 2026'!$B22,'UC BMW 2026'!$U$5:$U$72)</f>
        <v>0</v>
      </c>
      <c r="AC24" s="282">
        <f t="shared" ca="1" si="32"/>
        <v>0</v>
      </c>
      <c r="AD24" s="21"/>
      <c r="AE24" s="24">
        <f ca="1">SUMIF('UC BMW 2026'!$B$5:$B$77,'UC BMW 2026'!$B22,'UC BMW 2026'!$W$5:$W$72)</f>
        <v>0</v>
      </c>
      <c r="AF24" s="282">
        <f t="shared" ca="1" si="33"/>
        <v>0</v>
      </c>
      <c r="AG24" s="21"/>
      <c r="AH24" s="24">
        <f ca="1">SUMIF('UC BMW 2026'!$B$5:$B$77,'UC BMW 2026'!$B22,'UC BMW 2026'!$Y$5:$Y$72)</f>
        <v>0</v>
      </c>
      <c r="AI24" s="282">
        <f t="shared" ca="1" si="34"/>
        <v>0</v>
      </c>
      <c r="AJ24" s="21"/>
      <c r="AK24" s="24">
        <f ca="1">SUMIF('UC BMW 2026'!$B$5:$B$77,'UC BMW 2026'!$B22,'UC BMW 2026'!$AA$5:$AA$72)</f>
        <v>0</v>
      </c>
      <c r="AL24" s="282">
        <f t="shared" ca="1" si="35"/>
        <v>0</v>
      </c>
      <c r="AM24" s="21"/>
      <c r="AN24" s="24">
        <f ca="1">SUMIF('UC BMW 2026'!$B$5:$B$77,'UC BMW 2026'!$B22,'UC BMW 2026'!$AC$5:$AC$72)</f>
        <v>0</v>
      </c>
      <c r="AO24" s="282">
        <f t="shared" ca="1" si="36"/>
        <v>0</v>
      </c>
      <c r="AP24" s="21">
        <f t="shared" si="37"/>
        <v>81</v>
      </c>
      <c r="AQ24" s="24">
        <f t="shared" ca="1" si="37"/>
        <v>32</v>
      </c>
      <c r="AR24" s="129">
        <f t="shared" ca="1" si="38"/>
        <v>0.39506172839506171</v>
      </c>
      <c r="AS24" s="21">
        <f t="shared" si="39"/>
        <v>81</v>
      </c>
      <c r="AT24" s="24">
        <f t="shared" ca="1" si="39"/>
        <v>32</v>
      </c>
      <c r="AU24" s="129">
        <f t="shared" ca="1" si="40"/>
        <v>0.39506172839506171</v>
      </c>
      <c r="AV24" s="25"/>
      <c r="AW24" s="27"/>
      <c r="AX24" s="287"/>
      <c r="AY24" s="291"/>
      <c r="AZ24" s="129"/>
      <c r="BA24" s="27"/>
      <c r="BB24" s="129"/>
      <c r="BC24" s="21">
        <f t="shared" si="41"/>
        <v>81</v>
      </c>
      <c r="BD24" s="24">
        <f t="shared" ca="1" si="41"/>
        <v>32</v>
      </c>
      <c r="BE24" s="130">
        <f t="shared" ca="1" si="42"/>
        <v>0.39506172839506171</v>
      </c>
      <c r="BF24" s="34">
        <f t="shared" ref="BF24:BG30" si="44">IFERROR(IF($BF$5="S 1",F24+I24+L24+O24+R24+U24,
IF($BF$5="S 2",X24+AA24+AD24+AG24+AJ24+AM24,0)),0)</f>
        <v>0</v>
      </c>
      <c r="BG24" s="24">
        <f t="shared" ca="1" si="44"/>
        <v>0</v>
      </c>
      <c r="BH24" s="130">
        <f t="shared" ca="1" si="43"/>
        <v>0</v>
      </c>
      <c r="BJ24"/>
      <c r="BK24" s="574">
        <v>15</v>
      </c>
      <c r="BL24" s="575" cm="1">
        <f t="array" aca="1" ref="BL24" ca="1">LARGE(_xlfn._xlws.FILTER(AR$7:AR$69, NOT(ISNUMBER(SEARCH("Total Distrito", B$7:B$69)))),ROW(A15))</f>
        <v>0.48749999999999999</v>
      </c>
      <c r="BM24" s="576"/>
      <c r="BN24" s="577"/>
      <c r="BO24" s="578"/>
      <c r="BP24"/>
      <c r="BQ24" s="579"/>
    </row>
    <row r="25" spans="1:70" s="4" customFormat="1" ht="15" customHeight="1" x14ac:dyDescent="0.35">
      <c r="A25" s="4">
        <f>_xlfn.XLOOKUP(B25,'WHOLESALE BMW 2026'!$B$7:$B$67,'WHOLESALE BMW 2026'!$A$7:$A$67)</f>
        <v>4</v>
      </c>
      <c r="B25" s="8">
        <v>100146</v>
      </c>
      <c r="C25" s="369" t="s">
        <v>18</v>
      </c>
      <c r="D25" s="125"/>
      <c r="E25" s="309" t="s">
        <v>81</v>
      </c>
      <c r="F25" s="21">
        <v>13</v>
      </c>
      <c r="G25" s="24">
        <f ca="1">SUMIF('UC BMW 2026'!$B$5:$B$77,'UC BMW 2026'!B23,'UC BMW 2026'!$G$5:$G$72)</f>
        <v>12</v>
      </c>
      <c r="H25" s="282">
        <f t="shared" ca="1" si="25"/>
        <v>0.92307692307692313</v>
      </c>
      <c r="I25" s="21">
        <v>22</v>
      </c>
      <c r="J25" s="24">
        <f ca="1">SUMIF('UC BMW 2026'!$B$5:$B$77,'UC BMW 2026'!$B23,'UC BMW 2026'!$I$5:$I$72)</f>
        <v>4</v>
      </c>
      <c r="K25" s="282">
        <f t="shared" ca="1" si="26"/>
        <v>0.18181818181818182</v>
      </c>
      <c r="L25" s="21">
        <f>VLOOKUP(B25,'[4]% Penetración Mdo MAR26'!$B$7:$D$59,3,0)-F25-I25</f>
        <v>17</v>
      </c>
      <c r="M25" s="24">
        <f ca="1">SUMIF('UC BMW 2026'!$B$5:$B$77,'UC BMW 2026'!$B23,'UC BMW 2026'!$K$5:$K$72)</f>
        <v>0</v>
      </c>
      <c r="N25" s="282">
        <f t="shared" ca="1" si="27"/>
        <v>0</v>
      </c>
      <c r="O25" s="21">
        <f>VLOOKUP(B25,'[5]% Penetración Mdo ABR26'!$B$7:$D$59,3,0)-F25-I25-L25</f>
        <v>12</v>
      </c>
      <c r="P25" s="24">
        <f ca="1">SUMIF('UC BMW 2026'!$B$5:$B$77,'UC BMW 2026'!$B23,'UC BMW 2026'!$M$5:$M$72)</f>
        <v>5</v>
      </c>
      <c r="Q25" s="282">
        <f t="shared" ca="1" si="28"/>
        <v>0.41666666666666669</v>
      </c>
      <c r="R25" s="21">
        <f>VLOOKUP(B25,'[6]% Penetración Mdo MAY26'!$B$7:$G$65,3,0)-F25-I25-L25-O25</f>
        <v>15</v>
      </c>
      <c r="S25" s="24">
        <f ca="1">SUMIF('UC BMW 2026'!$B$5:$B$77,'UC BMW 2026'!$B23,'UC BMW 2026'!$O$5:$O$72)</f>
        <v>1</v>
      </c>
      <c r="T25" s="282">
        <f t="shared" ca="1" si="29"/>
        <v>6.6666666666666666E-2</v>
      </c>
      <c r="U25" s="21">
        <f>VLOOKUP(B25,'[7]% Penetración Mdo JUN26'!$B$7:$K$59,3,0)-F25-I25-L25-O25-R25</f>
        <v>16</v>
      </c>
      <c r="V25" s="24">
        <f ca="1">SUMIF('UC BMW 2026'!$B$5:$B$77,'UC BMW 2026'!$B23,'UC BMW 2026'!$Q$5:$Q$72)</f>
        <v>3</v>
      </c>
      <c r="W25" s="282">
        <f t="shared" ca="1" si="30"/>
        <v>0.1875</v>
      </c>
      <c r="X25" s="21"/>
      <c r="Y25" s="24">
        <f ca="1">SUMIF('UC BMW 2026'!$B$5:$B$77,'UC BMW 2026'!$B23,'UC BMW 2026'!$S$5:$S$72)</f>
        <v>0</v>
      </c>
      <c r="Z25" s="282">
        <f t="shared" ca="1" si="31"/>
        <v>0</v>
      </c>
      <c r="AA25" s="21"/>
      <c r="AB25" s="24">
        <f ca="1">SUMIF('UC BMW 2026'!$B$5:$B$77,'UC BMW 2026'!$B23,'UC BMW 2026'!$U$5:$U$72)</f>
        <v>0</v>
      </c>
      <c r="AC25" s="282">
        <f t="shared" ca="1" si="32"/>
        <v>0</v>
      </c>
      <c r="AD25" s="21"/>
      <c r="AE25" s="24">
        <f ca="1">SUMIF('UC BMW 2026'!$B$5:$B$77,'UC BMW 2026'!$B23,'UC BMW 2026'!$W$5:$W$72)</f>
        <v>0</v>
      </c>
      <c r="AF25" s="282">
        <f t="shared" ca="1" si="33"/>
        <v>0</v>
      </c>
      <c r="AG25" s="21"/>
      <c r="AH25" s="24">
        <f ca="1">SUMIF('UC BMW 2026'!$B$5:$B$77,'UC BMW 2026'!$B23,'UC BMW 2026'!$Y$5:$Y$72)</f>
        <v>0</v>
      </c>
      <c r="AI25" s="282">
        <f t="shared" ca="1" si="34"/>
        <v>0</v>
      </c>
      <c r="AJ25" s="21"/>
      <c r="AK25" s="24">
        <f ca="1">SUMIF('UC BMW 2026'!$B$5:$B$77,'UC BMW 2026'!$B23,'UC BMW 2026'!$AA$5:$AA$72)</f>
        <v>0</v>
      </c>
      <c r="AL25" s="282">
        <f t="shared" ca="1" si="35"/>
        <v>0</v>
      </c>
      <c r="AM25" s="21"/>
      <c r="AN25" s="24">
        <f ca="1">SUMIF('UC BMW 2026'!$B$5:$B$77,'UC BMW 2026'!$B23,'UC BMW 2026'!$AC$5:$AC$72)</f>
        <v>0</v>
      </c>
      <c r="AO25" s="282">
        <f t="shared" ca="1" si="36"/>
        <v>0</v>
      </c>
      <c r="AP25" s="21">
        <f t="shared" si="37"/>
        <v>95</v>
      </c>
      <c r="AQ25" s="24">
        <f t="shared" ca="1" si="37"/>
        <v>25</v>
      </c>
      <c r="AR25" s="129">
        <f t="shared" ca="1" si="38"/>
        <v>0.26315789473684209</v>
      </c>
      <c r="AS25" s="21">
        <f t="shared" si="39"/>
        <v>95</v>
      </c>
      <c r="AT25" s="24">
        <f t="shared" ca="1" si="39"/>
        <v>25</v>
      </c>
      <c r="AU25" s="129">
        <f t="shared" ca="1" si="40"/>
        <v>0.26315789473684209</v>
      </c>
      <c r="AV25" s="25"/>
      <c r="AW25" s="27"/>
      <c r="AX25" s="287"/>
      <c r="AY25" s="291"/>
      <c r="AZ25" s="129"/>
      <c r="BA25" s="27"/>
      <c r="BB25" s="129"/>
      <c r="BC25" s="21">
        <f t="shared" si="41"/>
        <v>95</v>
      </c>
      <c r="BD25" s="24">
        <f t="shared" ca="1" si="41"/>
        <v>25</v>
      </c>
      <c r="BE25" s="130">
        <f t="shared" ca="1" si="42"/>
        <v>0.26315789473684209</v>
      </c>
      <c r="BF25" s="34">
        <f t="shared" si="44"/>
        <v>0</v>
      </c>
      <c r="BG25" s="24">
        <f t="shared" ca="1" si="44"/>
        <v>0</v>
      </c>
      <c r="BH25" s="130">
        <f t="shared" ca="1" si="43"/>
        <v>0</v>
      </c>
      <c r="BJ25"/>
      <c r="BK25" s="574">
        <v>16</v>
      </c>
      <c r="BL25" s="575" cm="1">
        <f t="array" aca="1" ref="BL25" ca="1">LARGE(_xlfn._xlws.FILTER(AR$7:AR$69, NOT(ISNUMBER(SEARCH("Total Distrito", B$7:B$69)))),ROW(A16))</f>
        <v>0.46349206349206351</v>
      </c>
      <c r="BM25" s="576"/>
      <c r="BN25" s="577"/>
      <c r="BO25" s="578"/>
      <c r="BP25"/>
      <c r="BQ25" s="579"/>
    </row>
    <row r="26" spans="1:70" s="4" customFormat="1" ht="15" customHeight="1" x14ac:dyDescent="0.35">
      <c r="A26" s="4">
        <f>_xlfn.XLOOKUP(B26,'WHOLESALE BMW 2026'!$B$7:$B$67,'WHOLESALE BMW 2026'!$A$7:$A$67)</f>
        <v>4</v>
      </c>
      <c r="B26" s="8">
        <v>100155</v>
      </c>
      <c r="C26" s="369" t="s">
        <v>243</v>
      </c>
      <c r="D26" s="125"/>
      <c r="E26" s="309" t="s">
        <v>82</v>
      </c>
      <c r="F26" s="21">
        <v>16</v>
      </c>
      <c r="G26" s="24">
        <f ca="1">SUMIF('UC BMW 2026'!$B$5:$B$77,'UC BMW 2026'!B24,'UC BMW 2026'!$G$5:$G$72)</f>
        <v>5</v>
      </c>
      <c r="H26" s="282">
        <f t="shared" ca="1" si="25"/>
        <v>0.3125</v>
      </c>
      <c r="I26" s="21">
        <v>31</v>
      </c>
      <c r="J26" s="24">
        <f ca="1">SUMIF('UC BMW 2026'!$B$5:$B$77,'UC BMW 2026'!$B24,'UC BMW 2026'!$I$5:$I$72)</f>
        <v>11</v>
      </c>
      <c r="K26" s="282">
        <f t="shared" ca="1" si="26"/>
        <v>0.35483870967741937</v>
      </c>
      <c r="L26" s="21">
        <f>VLOOKUP(B26,'[4]% Penetración Mdo MAR26'!$B$7:$D$59,3,0)-F26-I26</f>
        <v>31</v>
      </c>
      <c r="M26" s="24">
        <f ca="1">SUMIF('UC BMW 2026'!$B$5:$B$77,'UC BMW 2026'!$B24,'UC BMW 2026'!$K$5:$K$72)</f>
        <v>15</v>
      </c>
      <c r="N26" s="282">
        <f t="shared" ca="1" si="27"/>
        <v>0.4838709677419355</v>
      </c>
      <c r="O26" s="21">
        <f>VLOOKUP(B26,'[5]% Penetración Mdo ABR26'!$B$7:$D$59,3,0)-F26-I26-L26</f>
        <v>23</v>
      </c>
      <c r="P26" s="24">
        <f ca="1">SUMIF('UC BMW 2026'!$B$5:$B$77,'UC BMW 2026'!$B24,'UC BMW 2026'!$M$5:$M$72)</f>
        <v>11</v>
      </c>
      <c r="Q26" s="282">
        <f t="shared" ca="1" si="28"/>
        <v>0.47826086956521741</v>
      </c>
      <c r="R26" s="21">
        <f>VLOOKUP(B26,'[6]% Penetración Mdo MAY26'!$B$7:$G$65,3,0)-F26-I26-L26-O26</f>
        <v>32</v>
      </c>
      <c r="S26" s="24">
        <f ca="1">SUMIF('UC BMW 2026'!$B$5:$B$77,'UC BMW 2026'!$B24,'UC BMW 2026'!$O$5:$O$72)</f>
        <v>6</v>
      </c>
      <c r="T26" s="282">
        <f t="shared" ca="1" si="29"/>
        <v>0.1875</v>
      </c>
      <c r="U26" s="21">
        <f>VLOOKUP(B26,'[7]% Penetración Mdo JUN26'!$B$7:$K$59,3,0)-F26-I26-L26-O26-R26</f>
        <v>26</v>
      </c>
      <c r="V26" s="24">
        <f ca="1">SUMIF('UC BMW 2026'!$B$5:$B$77,'UC BMW 2026'!$B24,'UC BMW 2026'!$Q$5:$Q$72)</f>
        <v>14</v>
      </c>
      <c r="W26" s="282">
        <f t="shared" ca="1" si="30"/>
        <v>0.53846153846153844</v>
      </c>
      <c r="X26" s="21"/>
      <c r="Y26" s="24">
        <f ca="1">SUMIF('UC BMW 2026'!$B$5:$B$77,'UC BMW 2026'!$B24,'UC BMW 2026'!$S$5:$S$72)</f>
        <v>0</v>
      </c>
      <c r="Z26" s="282">
        <f t="shared" ca="1" si="31"/>
        <v>0</v>
      </c>
      <c r="AA26" s="21"/>
      <c r="AB26" s="24">
        <f ca="1">SUMIF('UC BMW 2026'!$B$5:$B$77,'UC BMW 2026'!$B24,'UC BMW 2026'!$U$5:$U$72)</f>
        <v>0</v>
      </c>
      <c r="AC26" s="282">
        <f t="shared" ca="1" si="32"/>
        <v>0</v>
      </c>
      <c r="AD26" s="21"/>
      <c r="AE26" s="24">
        <f ca="1">SUMIF('UC BMW 2026'!$B$5:$B$77,'UC BMW 2026'!$B24,'UC BMW 2026'!$W$5:$W$72)</f>
        <v>0</v>
      </c>
      <c r="AF26" s="282">
        <f t="shared" ca="1" si="33"/>
        <v>0</v>
      </c>
      <c r="AG26" s="21"/>
      <c r="AH26" s="24">
        <f ca="1">SUMIF('UC BMW 2026'!$B$5:$B$77,'UC BMW 2026'!$B24,'UC BMW 2026'!$Y$5:$Y$72)</f>
        <v>0</v>
      </c>
      <c r="AI26" s="282">
        <f t="shared" ca="1" si="34"/>
        <v>0</v>
      </c>
      <c r="AJ26" s="21"/>
      <c r="AK26" s="24">
        <f ca="1">SUMIF('UC BMW 2026'!$B$5:$B$77,'UC BMW 2026'!$B24,'UC BMW 2026'!$AA$5:$AA$72)</f>
        <v>0</v>
      </c>
      <c r="AL26" s="282">
        <f t="shared" ca="1" si="35"/>
        <v>0</v>
      </c>
      <c r="AM26" s="21"/>
      <c r="AN26" s="24">
        <f ca="1">SUMIF('UC BMW 2026'!$B$5:$B$77,'UC BMW 2026'!$B24,'UC BMW 2026'!$AC$5:$AC$72)</f>
        <v>0</v>
      </c>
      <c r="AO26" s="282">
        <f t="shared" ca="1" si="36"/>
        <v>0</v>
      </c>
      <c r="AP26" s="21">
        <f t="shared" si="37"/>
        <v>159</v>
      </c>
      <c r="AQ26" s="24">
        <f t="shared" ca="1" si="37"/>
        <v>62</v>
      </c>
      <c r="AR26" s="129">
        <f t="shared" ca="1" si="38"/>
        <v>0.38993710691823902</v>
      </c>
      <c r="AS26" s="21">
        <f t="shared" si="39"/>
        <v>159</v>
      </c>
      <c r="AT26" s="24">
        <f t="shared" ca="1" si="39"/>
        <v>62</v>
      </c>
      <c r="AU26" s="129">
        <f t="shared" ca="1" si="40"/>
        <v>0.38993710691823902</v>
      </c>
      <c r="AV26" s="25"/>
      <c r="AW26" s="27"/>
      <c r="AX26" s="287"/>
      <c r="AY26" s="291"/>
      <c r="AZ26" s="129"/>
      <c r="BA26" s="27"/>
      <c r="BB26" s="129"/>
      <c r="BC26" s="21">
        <f t="shared" si="41"/>
        <v>159</v>
      </c>
      <c r="BD26" s="24">
        <f t="shared" ca="1" si="41"/>
        <v>62</v>
      </c>
      <c r="BE26" s="130">
        <f t="shared" ca="1" si="42"/>
        <v>0.38993710691823902</v>
      </c>
      <c r="BF26" s="34">
        <f t="shared" si="44"/>
        <v>0</v>
      </c>
      <c r="BG26" s="24">
        <f t="shared" ca="1" si="44"/>
        <v>0</v>
      </c>
      <c r="BH26" s="130">
        <f t="shared" ca="1" si="43"/>
        <v>0</v>
      </c>
      <c r="BJ26"/>
      <c r="BK26" s="574">
        <v>17</v>
      </c>
      <c r="BL26" s="575" cm="1">
        <f t="array" aca="1" ref="BL26" ca="1">LARGE(_xlfn._xlws.FILTER(AR$7:AR$69, NOT(ISNUMBER(SEARCH("Total Distrito", B$7:B$69)))),ROW(A17))</f>
        <v>0.45219638242894056</v>
      </c>
      <c r="BM26" s="576"/>
      <c r="BN26" s="577"/>
      <c r="BO26" s="578"/>
      <c r="BP26"/>
      <c r="BQ26"/>
    </row>
    <row r="27" spans="1:70" s="4" customFormat="1" ht="15" customHeight="1" x14ac:dyDescent="0.35">
      <c r="A27" s="4">
        <f>_xlfn.XLOOKUP(B27,'WHOLESALE BMW 2026'!$B$7:$B$67,'WHOLESALE BMW 2026'!$A$7:$A$67)</f>
        <v>4</v>
      </c>
      <c r="B27" s="8">
        <v>100304</v>
      </c>
      <c r="C27" s="369" t="s">
        <v>45</v>
      </c>
      <c r="D27" s="125"/>
      <c r="E27" s="309" t="s">
        <v>81</v>
      </c>
      <c r="F27" s="21">
        <v>19</v>
      </c>
      <c r="G27" s="24">
        <f ca="1">SUMIF('UC BMW 2026'!$B$5:$B$77,'UC BMW 2026'!B25,'UC BMW 2026'!$G$5:$G$72)</f>
        <v>8</v>
      </c>
      <c r="H27" s="282">
        <f t="shared" ca="1" si="25"/>
        <v>0.42105263157894735</v>
      </c>
      <c r="I27" s="21">
        <v>27</v>
      </c>
      <c r="J27" s="24">
        <f ca="1">SUMIF('UC BMW 2026'!$B$5:$B$77,'UC BMW 2026'!$B25,'UC BMW 2026'!$I$5:$I$72)</f>
        <v>9</v>
      </c>
      <c r="K27" s="282">
        <f t="shared" ca="1" si="26"/>
        <v>0.33333333333333331</v>
      </c>
      <c r="L27" s="21">
        <f>VLOOKUP(B27,'[4]% Penetración Mdo MAR26'!$B$7:$D$59,3,0)-F27-I27</f>
        <v>33</v>
      </c>
      <c r="M27" s="24">
        <f ca="1">SUMIF('UC BMW 2026'!$B$5:$B$77,'UC BMW 2026'!$B25,'UC BMW 2026'!$K$5:$K$72)</f>
        <v>10</v>
      </c>
      <c r="N27" s="282">
        <f t="shared" ca="1" si="27"/>
        <v>0.30303030303030304</v>
      </c>
      <c r="O27" s="21">
        <f>VLOOKUP(B27,'[5]% Penetración Mdo ABR26'!$B$7:$D$59,3,0)-F27-I27-L27</f>
        <v>27</v>
      </c>
      <c r="P27" s="24">
        <f ca="1">SUMIF('UC BMW 2026'!$B$5:$B$77,'UC BMW 2026'!$B25,'UC BMW 2026'!$M$5:$M$72)</f>
        <v>17</v>
      </c>
      <c r="Q27" s="282">
        <f t="shared" ca="1" si="28"/>
        <v>0.62962962962962965</v>
      </c>
      <c r="R27" s="21">
        <f>VLOOKUP(B27,'[6]% Penetración Mdo MAY26'!$B$7:$G$65,3,0)-F27-I27-L27-O27</f>
        <v>39</v>
      </c>
      <c r="S27" s="24">
        <f ca="1">SUMIF('UC BMW 2026'!$B$5:$B$77,'UC BMW 2026'!$B25,'UC BMW 2026'!$O$5:$O$72)</f>
        <v>14</v>
      </c>
      <c r="T27" s="282">
        <f t="shared" ca="1" si="29"/>
        <v>0.35897435897435898</v>
      </c>
      <c r="U27" s="21">
        <f>VLOOKUP(B27,'[7]% Penetración Mdo JUN26'!$B$7:$K$59,3,0)-F27-I27-L27-O27-R27</f>
        <v>27</v>
      </c>
      <c r="V27" s="24">
        <f ca="1">SUMIF('UC BMW 2026'!$B$5:$B$77,'UC BMW 2026'!$B25,'UC BMW 2026'!$Q$5:$Q$72)</f>
        <v>38</v>
      </c>
      <c r="W27" s="282">
        <f t="shared" ca="1" si="30"/>
        <v>1.4074074074074074</v>
      </c>
      <c r="X27" s="21"/>
      <c r="Y27" s="24">
        <f ca="1">SUMIF('UC BMW 2026'!$B$5:$B$77,'UC BMW 2026'!$B25,'UC BMW 2026'!$S$5:$S$72)</f>
        <v>0</v>
      </c>
      <c r="Z27" s="282">
        <f t="shared" ca="1" si="31"/>
        <v>0</v>
      </c>
      <c r="AA27" s="21"/>
      <c r="AB27" s="24">
        <f ca="1">SUMIF('UC BMW 2026'!$B$5:$B$77,'UC BMW 2026'!$B25,'UC BMW 2026'!$U$5:$U$72)</f>
        <v>0</v>
      </c>
      <c r="AC27" s="282">
        <f t="shared" ca="1" si="32"/>
        <v>0</v>
      </c>
      <c r="AD27" s="21"/>
      <c r="AE27" s="24">
        <f ca="1">SUMIF('UC BMW 2026'!$B$5:$B$77,'UC BMW 2026'!$B25,'UC BMW 2026'!$W$5:$W$72)</f>
        <v>0</v>
      </c>
      <c r="AF27" s="282">
        <f t="shared" ca="1" si="33"/>
        <v>0</v>
      </c>
      <c r="AG27" s="21"/>
      <c r="AH27" s="24">
        <f ca="1">SUMIF('UC BMW 2026'!$B$5:$B$77,'UC BMW 2026'!$B25,'UC BMW 2026'!$Y$5:$Y$72)</f>
        <v>0</v>
      </c>
      <c r="AI27" s="282">
        <f t="shared" ca="1" si="34"/>
        <v>0</v>
      </c>
      <c r="AJ27" s="21"/>
      <c r="AK27" s="24">
        <f ca="1">SUMIF('UC BMW 2026'!$B$5:$B$77,'UC BMW 2026'!$B25,'UC BMW 2026'!$AA$5:$AA$72)</f>
        <v>0</v>
      </c>
      <c r="AL27" s="282">
        <f t="shared" ca="1" si="35"/>
        <v>0</v>
      </c>
      <c r="AM27" s="21"/>
      <c r="AN27" s="24">
        <f ca="1">SUMIF('UC BMW 2026'!$B$5:$B$77,'UC BMW 2026'!$B25,'UC BMW 2026'!$AC$5:$AC$72)</f>
        <v>0</v>
      </c>
      <c r="AO27" s="282">
        <f t="shared" ca="1" si="36"/>
        <v>0</v>
      </c>
      <c r="AP27" s="21">
        <f t="shared" si="37"/>
        <v>172</v>
      </c>
      <c r="AQ27" s="24">
        <f t="shared" ca="1" si="37"/>
        <v>96</v>
      </c>
      <c r="AR27" s="129">
        <f t="shared" ca="1" si="38"/>
        <v>0.55813953488372092</v>
      </c>
      <c r="AS27" s="21">
        <f t="shared" si="39"/>
        <v>172</v>
      </c>
      <c r="AT27" s="24">
        <f t="shared" ca="1" si="39"/>
        <v>96</v>
      </c>
      <c r="AU27" s="129">
        <f t="shared" ca="1" si="40"/>
        <v>0.55813953488372092</v>
      </c>
      <c r="AV27" s="25"/>
      <c r="AW27" s="27"/>
      <c r="AX27" s="287"/>
      <c r="AY27" s="291"/>
      <c r="AZ27" s="129"/>
      <c r="BA27" s="27"/>
      <c r="BB27" s="129"/>
      <c r="BC27" s="21">
        <f t="shared" si="41"/>
        <v>172</v>
      </c>
      <c r="BD27" s="24">
        <f t="shared" ca="1" si="41"/>
        <v>96</v>
      </c>
      <c r="BE27" s="130">
        <f t="shared" ca="1" si="42"/>
        <v>0.55813953488372092</v>
      </c>
      <c r="BF27" s="34">
        <f t="shared" si="44"/>
        <v>0</v>
      </c>
      <c r="BG27" s="24">
        <f t="shared" ca="1" si="44"/>
        <v>0</v>
      </c>
      <c r="BH27" s="130">
        <f t="shared" ca="1" si="43"/>
        <v>0</v>
      </c>
      <c r="BJ27"/>
      <c r="BK27" s="574">
        <v>18</v>
      </c>
      <c r="BL27" s="575"/>
      <c r="BM27" s="576"/>
      <c r="BN27" s="577"/>
      <c r="BO27" s="578"/>
      <c r="BP27"/>
      <c r="BQ27"/>
    </row>
    <row r="28" spans="1:70" s="4" customFormat="1" ht="15" customHeight="1" thickBot="1" x14ac:dyDescent="0.4">
      <c r="A28" s="4">
        <f>_xlfn.XLOOKUP(B28,'WHOLESALE BMW 2026'!$B$7:$B$67,'WHOLESALE BMW 2026'!$A$7:$A$67)</f>
        <v>4</v>
      </c>
      <c r="B28" s="8">
        <v>100346</v>
      </c>
      <c r="C28" s="369" t="s">
        <v>46</v>
      </c>
      <c r="D28" s="125"/>
      <c r="E28" s="309" t="s">
        <v>81</v>
      </c>
      <c r="F28" s="21">
        <v>22</v>
      </c>
      <c r="G28" s="24">
        <f ca="1">SUMIF('UC BMW 2026'!$B$5:$B$77,'UC BMW 2026'!B26,'UC BMW 2026'!$G$5:$G$72)</f>
        <v>4</v>
      </c>
      <c r="H28" s="282">
        <f t="shared" ca="1" si="25"/>
        <v>0.18181818181818182</v>
      </c>
      <c r="I28" s="21">
        <v>26</v>
      </c>
      <c r="J28" s="24">
        <f ca="1">SUMIF('UC BMW 2026'!$B$5:$B$77,'UC BMW 2026'!$B26,'UC BMW 2026'!$I$5:$I$72)</f>
        <v>7</v>
      </c>
      <c r="K28" s="282">
        <f t="shared" ca="1" si="26"/>
        <v>0.26923076923076922</v>
      </c>
      <c r="L28" s="21">
        <f>VLOOKUP(B28,'[4]% Penetración Mdo MAR26'!$B$7:$D$59,3,0)-F28-I28</f>
        <v>35</v>
      </c>
      <c r="M28" s="24">
        <f ca="1">SUMIF('UC BMW 2026'!$B$5:$B$77,'UC BMW 2026'!$B26,'UC BMW 2026'!$K$5:$K$72)</f>
        <v>4</v>
      </c>
      <c r="N28" s="282">
        <f t="shared" ca="1" si="27"/>
        <v>0.11428571428571428</v>
      </c>
      <c r="O28" s="21">
        <f>VLOOKUP(B28,'[5]% Penetración Mdo ABR26'!$B$7:$D$59,3,0)-F28-I28-L28</f>
        <v>29</v>
      </c>
      <c r="P28" s="24">
        <f ca="1">SUMIF('UC BMW 2026'!$B$5:$B$77,'UC BMW 2026'!$B26,'UC BMW 2026'!$M$5:$M$72)</f>
        <v>5</v>
      </c>
      <c r="Q28" s="282">
        <f t="shared" ca="1" si="28"/>
        <v>0.17241379310344829</v>
      </c>
      <c r="R28" s="21">
        <f>VLOOKUP(B28,'[6]% Penetración Mdo MAY26'!$B$7:$G$65,3,0)-F28-I28-L28-O28</f>
        <v>25</v>
      </c>
      <c r="S28" s="24">
        <f ca="1">SUMIF('UC BMW 2026'!$B$5:$B$77,'UC BMW 2026'!$B26,'UC BMW 2026'!$O$5:$O$72)</f>
        <v>2</v>
      </c>
      <c r="T28" s="282">
        <f t="shared" ca="1" si="29"/>
        <v>0.08</v>
      </c>
      <c r="U28" s="21">
        <f>VLOOKUP(B28,'[7]% Penetración Mdo JUN26'!$B$7:$K$59,3,0)-F28-I28-L28-O28-R28</f>
        <v>25</v>
      </c>
      <c r="V28" s="24">
        <f ca="1">SUMIF('UC BMW 2026'!$B$5:$B$77,'UC BMW 2026'!$B26,'UC BMW 2026'!$Q$5:$Q$72)</f>
        <v>4</v>
      </c>
      <c r="W28" s="282">
        <f t="shared" ca="1" si="30"/>
        <v>0.16</v>
      </c>
      <c r="X28" s="21"/>
      <c r="Y28" s="24">
        <f ca="1">SUMIF('UC BMW 2026'!$B$5:$B$77,'UC BMW 2026'!$B26,'UC BMW 2026'!$S$5:$S$72)</f>
        <v>0</v>
      </c>
      <c r="Z28" s="282">
        <f t="shared" ca="1" si="31"/>
        <v>0</v>
      </c>
      <c r="AA28" s="21"/>
      <c r="AB28" s="24">
        <f ca="1">SUMIF('UC BMW 2026'!$B$5:$B$77,'UC BMW 2026'!$B26,'UC BMW 2026'!$U$5:$U$72)</f>
        <v>0</v>
      </c>
      <c r="AC28" s="282">
        <f t="shared" ca="1" si="32"/>
        <v>0</v>
      </c>
      <c r="AD28" s="21"/>
      <c r="AE28" s="24">
        <f ca="1">SUMIF('UC BMW 2026'!$B$5:$B$77,'UC BMW 2026'!$B26,'UC BMW 2026'!$W$5:$W$72)</f>
        <v>0</v>
      </c>
      <c r="AF28" s="282">
        <f t="shared" ca="1" si="33"/>
        <v>0</v>
      </c>
      <c r="AG28" s="21"/>
      <c r="AH28" s="24">
        <f ca="1">SUMIF('UC BMW 2026'!$B$5:$B$77,'UC BMW 2026'!$B26,'UC BMW 2026'!$Y$5:$Y$72)</f>
        <v>0</v>
      </c>
      <c r="AI28" s="282">
        <f t="shared" ca="1" si="34"/>
        <v>0</v>
      </c>
      <c r="AJ28" s="21"/>
      <c r="AK28" s="24">
        <f ca="1">SUMIF('UC BMW 2026'!$B$5:$B$77,'UC BMW 2026'!$B26,'UC BMW 2026'!$AA$5:$AA$72)</f>
        <v>0</v>
      </c>
      <c r="AL28" s="282">
        <f t="shared" ca="1" si="35"/>
        <v>0</v>
      </c>
      <c r="AM28" s="21"/>
      <c r="AN28" s="24">
        <f ca="1">SUMIF('UC BMW 2026'!$B$5:$B$77,'UC BMW 2026'!$B26,'UC BMW 2026'!$AC$5:$AC$72)</f>
        <v>0</v>
      </c>
      <c r="AO28" s="282">
        <f t="shared" ca="1" si="36"/>
        <v>0</v>
      </c>
      <c r="AP28" s="21">
        <f t="shared" si="37"/>
        <v>162</v>
      </c>
      <c r="AQ28" s="24">
        <f t="shared" ca="1" si="37"/>
        <v>26</v>
      </c>
      <c r="AR28" s="129">
        <f t="shared" ca="1" si="38"/>
        <v>0.16049382716049382</v>
      </c>
      <c r="AS28" s="21">
        <f t="shared" si="39"/>
        <v>162</v>
      </c>
      <c r="AT28" s="24">
        <f t="shared" ca="1" si="39"/>
        <v>26</v>
      </c>
      <c r="AU28" s="129">
        <f t="shared" ca="1" si="40"/>
        <v>0.16049382716049382</v>
      </c>
      <c r="AV28" s="25"/>
      <c r="AW28" s="27"/>
      <c r="AX28" s="287"/>
      <c r="AY28" s="291"/>
      <c r="AZ28" s="129"/>
      <c r="BA28" s="27"/>
      <c r="BB28" s="129"/>
      <c r="BC28" s="21">
        <f t="shared" si="41"/>
        <v>162</v>
      </c>
      <c r="BD28" s="24">
        <f t="shared" ca="1" si="41"/>
        <v>26</v>
      </c>
      <c r="BE28" s="130">
        <f t="shared" ca="1" si="42"/>
        <v>0.16049382716049382</v>
      </c>
      <c r="BF28" s="34">
        <f t="shared" si="44"/>
        <v>0</v>
      </c>
      <c r="BG28" s="24">
        <f t="shared" ca="1" si="44"/>
        <v>0</v>
      </c>
      <c r="BH28" s="130">
        <f t="shared" ca="1" si="43"/>
        <v>0</v>
      </c>
      <c r="BJ28"/>
      <c r="BK28" s="580">
        <v>19</v>
      </c>
      <c r="BL28" s="581"/>
      <c r="BM28" s="582"/>
      <c r="BN28" s="583"/>
      <c r="BO28" s="584"/>
      <c r="BP28"/>
      <c r="BQ28"/>
    </row>
    <row r="29" spans="1:70" s="4" customFormat="1" ht="15" customHeight="1" thickBot="1" x14ac:dyDescent="0.4">
      <c r="A29" s="4">
        <f>_xlfn.XLOOKUP(B29,'WHOLESALE BMW 2026'!$B$7:$B$67,'WHOLESALE BMW 2026'!$A$7:$A$67)</f>
        <v>4</v>
      </c>
      <c r="B29" s="8">
        <v>100454</v>
      </c>
      <c r="C29" s="369" t="s">
        <v>47</v>
      </c>
      <c r="D29" s="125"/>
      <c r="E29" s="309" t="s">
        <v>84</v>
      </c>
      <c r="F29" s="21">
        <v>4</v>
      </c>
      <c r="G29" s="24">
        <f ca="1">SUMIF('UC BMW 2026'!$B$5:$B$77,'UC BMW 2026'!B27,'UC BMW 2026'!$G$5:$G$72)</f>
        <v>8</v>
      </c>
      <c r="H29" s="282">
        <f t="shared" ca="1" si="25"/>
        <v>2</v>
      </c>
      <c r="I29" s="21">
        <v>16</v>
      </c>
      <c r="J29" s="24">
        <f ca="1">SUMIF('UC BMW 2026'!$B$5:$B$77,'UC BMW 2026'!$B27,'UC BMW 2026'!$I$5:$I$72)</f>
        <v>2</v>
      </c>
      <c r="K29" s="282">
        <f t="shared" ca="1" si="26"/>
        <v>0.125</v>
      </c>
      <c r="L29" s="21">
        <f>VLOOKUP(B29,'[4]% Penetración Mdo MAR26'!$B$7:$D$59,3,0)-F29-I29</f>
        <v>14</v>
      </c>
      <c r="M29" s="24">
        <f ca="1">SUMIF('UC BMW 2026'!$B$5:$B$77,'UC BMW 2026'!$B27,'UC BMW 2026'!$K$5:$K$72)</f>
        <v>2</v>
      </c>
      <c r="N29" s="282">
        <f t="shared" ca="1" si="27"/>
        <v>0.14285714285714285</v>
      </c>
      <c r="O29" s="21">
        <f>VLOOKUP(B29,'[5]% Penetración Mdo ABR26'!$B$7:$D$59,3,0)-F29-I29-L29</f>
        <v>10</v>
      </c>
      <c r="P29" s="24">
        <f ca="1">SUMIF('UC BMW 2026'!$B$5:$B$77,'UC BMW 2026'!$B27,'UC BMW 2026'!$M$5:$M$72)</f>
        <v>3</v>
      </c>
      <c r="Q29" s="282">
        <f t="shared" ca="1" si="28"/>
        <v>0.3</v>
      </c>
      <c r="R29" s="21">
        <f>VLOOKUP(B29,'[6]% Penetración Mdo MAY26'!$B$7:$G$65,3,0)-F29-I29-L29-O29</f>
        <v>11</v>
      </c>
      <c r="S29" s="24">
        <f ca="1">SUMIF('UC BMW 2026'!$B$5:$B$77,'UC BMW 2026'!$B27,'UC BMW 2026'!$O$5:$O$72)</f>
        <v>1</v>
      </c>
      <c r="T29" s="282">
        <f t="shared" ca="1" si="29"/>
        <v>9.0909090909090912E-2</v>
      </c>
      <c r="U29" s="21">
        <f>VLOOKUP(B29,'[7]% Penetración Mdo JUN26'!$B$7:$K$59,3,0)-F29-I29-L29-O29-R29</f>
        <v>13</v>
      </c>
      <c r="V29" s="24">
        <f ca="1">SUMIF('UC BMW 2026'!$B$5:$B$77,'UC BMW 2026'!$B27,'UC BMW 2026'!$Q$5:$Q$72)</f>
        <v>3</v>
      </c>
      <c r="W29" s="282">
        <f t="shared" ca="1" si="30"/>
        <v>0.23076923076923078</v>
      </c>
      <c r="X29" s="21"/>
      <c r="Y29" s="24">
        <f ca="1">SUMIF('UC BMW 2026'!$B$5:$B$77,'UC BMW 2026'!$B27,'UC BMW 2026'!$S$5:$S$72)</f>
        <v>0</v>
      </c>
      <c r="Z29" s="282">
        <f t="shared" ca="1" si="31"/>
        <v>0</v>
      </c>
      <c r="AA29" s="21"/>
      <c r="AB29" s="24">
        <f ca="1">SUMIF('UC BMW 2026'!$B$5:$B$77,'UC BMW 2026'!$B27,'UC BMW 2026'!$U$5:$U$72)</f>
        <v>0</v>
      </c>
      <c r="AC29" s="282">
        <f t="shared" ca="1" si="32"/>
        <v>0</v>
      </c>
      <c r="AD29" s="21"/>
      <c r="AE29" s="24">
        <f ca="1">SUMIF('UC BMW 2026'!$B$5:$B$77,'UC BMW 2026'!$B27,'UC BMW 2026'!$W$5:$W$72)</f>
        <v>0</v>
      </c>
      <c r="AF29" s="282">
        <f t="shared" ca="1" si="33"/>
        <v>0</v>
      </c>
      <c r="AG29" s="21"/>
      <c r="AH29" s="24">
        <f ca="1">SUMIF('UC BMW 2026'!$B$5:$B$77,'UC BMW 2026'!$B27,'UC BMW 2026'!$Y$5:$Y$72)</f>
        <v>0</v>
      </c>
      <c r="AI29" s="282">
        <f t="shared" ca="1" si="34"/>
        <v>0</v>
      </c>
      <c r="AJ29" s="21"/>
      <c r="AK29" s="24">
        <f ca="1">SUMIF('UC BMW 2026'!$B$5:$B$77,'UC BMW 2026'!$B27,'UC BMW 2026'!$AA$5:$AA$72)</f>
        <v>0</v>
      </c>
      <c r="AL29" s="282">
        <f t="shared" ca="1" si="35"/>
        <v>0</v>
      </c>
      <c r="AM29" s="21"/>
      <c r="AN29" s="24">
        <f ca="1">SUMIF('UC BMW 2026'!$B$5:$B$77,'UC BMW 2026'!$B27,'UC BMW 2026'!$AC$5:$AC$72)</f>
        <v>0</v>
      </c>
      <c r="AO29" s="282">
        <f t="shared" ca="1" si="36"/>
        <v>0</v>
      </c>
      <c r="AP29" s="21">
        <f t="shared" si="37"/>
        <v>68</v>
      </c>
      <c r="AQ29" s="24">
        <f t="shared" ca="1" si="37"/>
        <v>19</v>
      </c>
      <c r="AR29" s="129">
        <f t="shared" ca="1" si="38"/>
        <v>0.27941176470588236</v>
      </c>
      <c r="AS29" s="21">
        <f t="shared" si="39"/>
        <v>68</v>
      </c>
      <c r="AT29" s="24">
        <f t="shared" ca="1" si="39"/>
        <v>19</v>
      </c>
      <c r="AU29" s="129">
        <f t="shared" ca="1" si="40"/>
        <v>0.27941176470588236</v>
      </c>
      <c r="AV29" s="25"/>
      <c r="AW29" s="27"/>
      <c r="AX29" s="287"/>
      <c r="AY29" s="291"/>
      <c r="AZ29" s="129"/>
      <c r="BA29" s="27"/>
      <c r="BB29" s="129"/>
      <c r="BC29" s="21">
        <f t="shared" si="41"/>
        <v>68</v>
      </c>
      <c r="BD29" s="24">
        <f t="shared" ca="1" si="41"/>
        <v>19</v>
      </c>
      <c r="BE29" s="130">
        <f t="shared" ca="1" si="42"/>
        <v>0.27941176470588236</v>
      </c>
      <c r="BF29" s="34">
        <f t="shared" si="44"/>
        <v>0</v>
      </c>
      <c r="BG29" s="24">
        <f t="shared" ca="1" si="44"/>
        <v>0</v>
      </c>
      <c r="BH29" s="130">
        <f t="shared" ca="1" si="43"/>
        <v>0</v>
      </c>
      <c r="BJ29"/>
      <c r="BK29"/>
      <c r="BL29" s="566"/>
      <c r="BM29" s="566"/>
      <c r="BN29" s="566"/>
      <c r="BO29" s="566"/>
      <c r="BP29"/>
      <c r="BQ29"/>
    </row>
    <row r="30" spans="1:70" s="4" customFormat="1" ht="15" customHeight="1" thickBot="1" x14ac:dyDescent="0.4">
      <c r="A30" s="4">
        <f>_xlfn.XLOOKUP(B30,'WHOLESALE BMW 2026'!$B$7:$B$67,'WHOLESALE BMW 2026'!$A$7:$A$67)</f>
        <v>4</v>
      </c>
      <c r="B30" s="8">
        <v>100571</v>
      </c>
      <c r="C30" s="369" t="s">
        <v>48</v>
      </c>
      <c r="D30" s="125"/>
      <c r="E30" s="309" t="s">
        <v>82</v>
      </c>
      <c r="F30" s="21">
        <v>16</v>
      </c>
      <c r="G30" s="24">
        <f ca="1">SUMIF('UC BMW 2026'!$B$5:$B$77,'UC BMW 2026'!B28,'UC BMW 2026'!$G$5:$G$72)</f>
        <v>1</v>
      </c>
      <c r="H30" s="282">
        <f t="shared" ca="1" si="25"/>
        <v>6.25E-2</v>
      </c>
      <c r="I30" s="21">
        <v>24</v>
      </c>
      <c r="J30" s="24">
        <f ca="1">SUMIF('UC BMW 2026'!$B$5:$B$77,'UC BMW 2026'!$B28,'UC BMW 2026'!$I$5:$I$72)</f>
        <v>2</v>
      </c>
      <c r="K30" s="282">
        <f t="shared" ca="1" si="26"/>
        <v>8.3333333333333329E-2</v>
      </c>
      <c r="L30" s="21">
        <f>VLOOKUP(B30,'[4]% Penetración Mdo MAR26'!$B$7:$D$59,3,0)-F30-I30</f>
        <v>23</v>
      </c>
      <c r="M30" s="24">
        <f ca="1">SUMIF('UC BMW 2026'!$B$5:$B$77,'UC BMW 2026'!$B28,'UC BMW 2026'!$K$5:$K$72)</f>
        <v>2</v>
      </c>
      <c r="N30" s="282">
        <f t="shared" ca="1" si="27"/>
        <v>8.6956521739130432E-2</v>
      </c>
      <c r="O30" s="21">
        <f>VLOOKUP(B30,'[5]% Penetración Mdo ABR26'!$B$7:$D$59,3,0)-F30-I30-L30</f>
        <v>31</v>
      </c>
      <c r="P30" s="24">
        <f ca="1">SUMIF('UC BMW 2026'!$B$5:$B$77,'UC BMW 2026'!$B28,'UC BMW 2026'!$M$5:$M$72)</f>
        <v>0</v>
      </c>
      <c r="Q30" s="282">
        <f t="shared" ca="1" si="28"/>
        <v>0</v>
      </c>
      <c r="R30" s="21">
        <f>VLOOKUP(B30,'[6]% Penetración Mdo MAY26'!$B$7:$G$65,3,0)-F30-I30-L30-O30</f>
        <v>14</v>
      </c>
      <c r="S30" s="24">
        <f ca="1">SUMIF('UC BMW 2026'!$B$5:$B$77,'UC BMW 2026'!$B28,'UC BMW 2026'!$O$5:$O$72)</f>
        <v>0</v>
      </c>
      <c r="T30" s="282">
        <f t="shared" ca="1" si="29"/>
        <v>0</v>
      </c>
      <c r="U30" s="21">
        <f>VLOOKUP(B30,'[7]% Penetración Mdo JUN26'!$B$7:$K$59,3,0)-F30-I30-L30-O30-R30</f>
        <v>14</v>
      </c>
      <c r="V30" s="24">
        <f ca="1">SUMIF('UC BMW 2026'!$B$5:$B$77,'UC BMW 2026'!$B28,'UC BMW 2026'!$Q$5:$Q$72)</f>
        <v>3</v>
      </c>
      <c r="W30" s="282">
        <f t="shared" ca="1" si="30"/>
        <v>0.21428571428571427</v>
      </c>
      <c r="X30" s="21"/>
      <c r="Y30" s="24">
        <f ca="1">SUMIF('UC BMW 2026'!$B$5:$B$77,'UC BMW 2026'!$B28,'UC BMW 2026'!$S$5:$S$72)</f>
        <v>0</v>
      </c>
      <c r="Z30" s="282">
        <f t="shared" ca="1" si="31"/>
        <v>0</v>
      </c>
      <c r="AA30" s="21"/>
      <c r="AB30" s="24">
        <f ca="1">SUMIF('UC BMW 2026'!$B$5:$B$77,'UC BMW 2026'!$B28,'UC BMW 2026'!$U$5:$U$72)</f>
        <v>0</v>
      </c>
      <c r="AC30" s="282">
        <f t="shared" ca="1" si="32"/>
        <v>0</v>
      </c>
      <c r="AD30" s="21"/>
      <c r="AE30" s="24">
        <f ca="1">SUMIF('UC BMW 2026'!$B$5:$B$77,'UC BMW 2026'!$B28,'UC BMW 2026'!$W$5:$W$72)</f>
        <v>0</v>
      </c>
      <c r="AF30" s="282">
        <f t="shared" ca="1" si="33"/>
        <v>0</v>
      </c>
      <c r="AG30" s="21"/>
      <c r="AH30" s="24">
        <f ca="1">SUMIF('UC BMW 2026'!$B$5:$B$77,'UC BMW 2026'!$B28,'UC BMW 2026'!$Y$5:$Y$72)</f>
        <v>0</v>
      </c>
      <c r="AI30" s="282">
        <f t="shared" ca="1" si="34"/>
        <v>0</v>
      </c>
      <c r="AJ30" s="21"/>
      <c r="AK30" s="24">
        <f ca="1">SUMIF('UC BMW 2026'!$B$5:$B$77,'UC BMW 2026'!$B28,'UC BMW 2026'!$AA$5:$AA$72)</f>
        <v>0</v>
      </c>
      <c r="AL30" s="282">
        <f t="shared" ca="1" si="35"/>
        <v>0</v>
      </c>
      <c r="AM30" s="21"/>
      <c r="AN30" s="24">
        <f ca="1">SUMIF('UC BMW 2026'!$B$5:$B$77,'UC BMW 2026'!$B28,'UC BMW 2026'!$AC$5:$AC$72)</f>
        <v>0</v>
      </c>
      <c r="AO30" s="282">
        <f t="shared" ca="1" si="36"/>
        <v>0</v>
      </c>
      <c r="AP30" s="21">
        <f t="shared" si="37"/>
        <v>122</v>
      </c>
      <c r="AQ30" s="24">
        <f t="shared" ca="1" si="37"/>
        <v>8</v>
      </c>
      <c r="AR30" s="129">
        <f t="shared" ca="1" si="38"/>
        <v>6.5573770491803282E-2</v>
      </c>
      <c r="AS30" s="21">
        <f t="shared" si="39"/>
        <v>122</v>
      </c>
      <c r="AT30" s="24">
        <f t="shared" ca="1" si="39"/>
        <v>8</v>
      </c>
      <c r="AU30" s="129">
        <f t="shared" ca="1" si="40"/>
        <v>6.5573770491803282E-2</v>
      </c>
      <c r="AV30" s="25"/>
      <c r="AW30" s="27"/>
      <c r="AX30" s="287"/>
      <c r="AY30" s="291"/>
      <c r="AZ30" s="129"/>
      <c r="BA30" s="27"/>
      <c r="BB30" s="129"/>
      <c r="BC30" s="21">
        <f t="shared" si="41"/>
        <v>122</v>
      </c>
      <c r="BD30" s="24">
        <f t="shared" ca="1" si="41"/>
        <v>8</v>
      </c>
      <c r="BE30" s="130">
        <f t="shared" ca="1" si="42"/>
        <v>6.5573770491803282E-2</v>
      </c>
      <c r="BF30" s="34">
        <f t="shared" si="44"/>
        <v>0</v>
      </c>
      <c r="BG30" s="24">
        <f t="shared" ca="1" si="44"/>
        <v>0</v>
      </c>
      <c r="BH30" s="130">
        <f t="shared" ca="1" si="43"/>
        <v>0</v>
      </c>
      <c r="BJ30"/>
      <c r="BK30"/>
      <c r="BL30"/>
      <c r="BM30"/>
      <c r="BN30" s="566"/>
      <c r="BO30" s="566"/>
      <c r="BP30" s="585" t="s">
        <v>293</v>
      </c>
      <c r="BQ30" s="585" t="s">
        <v>294</v>
      </c>
      <c r="BR30" s="585" t="s">
        <v>295</v>
      </c>
    </row>
    <row r="31" spans="1:70" s="4" customFormat="1" ht="15" customHeight="1" thickBot="1" x14ac:dyDescent="0.4">
      <c r="A31" s="4">
        <f>_xlfn.XLOOKUP(B31,'WHOLESALE BMW 2026'!$B$7:$B$67,'WHOLESALE BMW 2026'!$A$7:$A$67)</f>
        <v>0</v>
      </c>
      <c r="B31" s="7" t="s">
        <v>266</v>
      </c>
      <c r="C31" s="28"/>
      <c r="D31" s="125"/>
      <c r="E31" s="7"/>
      <c r="F31" s="277">
        <f>SUM(F24:F30)</f>
        <v>97</v>
      </c>
      <c r="G31" s="277">
        <f ca="1">SUM(G24:G30)</f>
        <v>38</v>
      </c>
      <c r="H31" s="132">
        <f t="shared" ca="1" si="25"/>
        <v>0.39175257731958762</v>
      </c>
      <c r="I31" s="277">
        <f>SUM(I24:I30)</f>
        <v>156</v>
      </c>
      <c r="J31" s="277">
        <f ca="1">SUM(J24:J30)</f>
        <v>38</v>
      </c>
      <c r="K31" s="132">
        <f t="shared" ca="1" si="26"/>
        <v>0.24358974358974358</v>
      </c>
      <c r="L31" s="277">
        <f>SUM(L24:L30)</f>
        <v>166</v>
      </c>
      <c r="M31" s="88">
        <f ca="1">SUM(M24:M30)</f>
        <v>37</v>
      </c>
      <c r="N31" s="132">
        <f t="shared" ca="1" si="27"/>
        <v>0.22289156626506024</v>
      </c>
      <c r="O31" s="277">
        <f>SUM(O24:O30)</f>
        <v>145</v>
      </c>
      <c r="P31" s="277">
        <f ca="1">SUM(P24:P30)</f>
        <v>46</v>
      </c>
      <c r="Q31" s="132">
        <f t="shared" ca="1" si="28"/>
        <v>0.31724137931034485</v>
      </c>
      <c r="R31" s="277">
        <f>SUM(R24:R30)</f>
        <v>158</v>
      </c>
      <c r="S31" s="277">
        <f ca="1">SUM(S24:S30)</f>
        <v>34</v>
      </c>
      <c r="T31" s="132">
        <f t="shared" ca="1" si="29"/>
        <v>0.21518987341772153</v>
      </c>
      <c r="U31" s="277">
        <f>SUM(U24:U30)</f>
        <v>137</v>
      </c>
      <c r="V31" s="277">
        <f ca="1">SUM(V24:V30)</f>
        <v>75</v>
      </c>
      <c r="W31" s="132">
        <f t="shared" ca="1" si="30"/>
        <v>0.54744525547445255</v>
      </c>
      <c r="X31" s="277">
        <f>SUM(X24:X30)</f>
        <v>0</v>
      </c>
      <c r="Y31" s="277">
        <f ca="1">SUM(Y24:Y30)</f>
        <v>0</v>
      </c>
      <c r="Z31" s="132">
        <f t="shared" ca="1" si="31"/>
        <v>0</v>
      </c>
      <c r="AA31" s="277">
        <f>SUM(AA24:AA30)</f>
        <v>0</v>
      </c>
      <c r="AB31" s="277">
        <f ca="1">SUM(AB24:AB30)</f>
        <v>0</v>
      </c>
      <c r="AC31" s="132">
        <f t="shared" ca="1" si="32"/>
        <v>0</v>
      </c>
      <c r="AD31" s="277">
        <f>SUM(AD24:AD30)</f>
        <v>0</v>
      </c>
      <c r="AE31" s="277">
        <f ca="1">SUM(AE24:AE30)</f>
        <v>0</v>
      </c>
      <c r="AF31" s="132">
        <f t="shared" ca="1" si="33"/>
        <v>0</v>
      </c>
      <c r="AG31" s="277">
        <f>SUM(AG24:AG30)</f>
        <v>0</v>
      </c>
      <c r="AH31" s="277">
        <f ca="1">SUM(AH24:AH30)</f>
        <v>0</v>
      </c>
      <c r="AI31" s="132">
        <f t="shared" ca="1" si="34"/>
        <v>0</v>
      </c>
      <c r="AJ31" s="277">
        <f>SUM(AJ24:AJ30)</f>
        <v>0</v>
      </c>
      <c r="AK31" s="277">
        <f ca="1">SUM(AK24:AK30)</f>
        <v>0</v>
      </c>
      <c r="AL31" s="132">
        <f t="shared" ca="1" si="35"/>
        <v>0</v>
      </c>
      <c r="AM31" s="277">
        <f>SUM(AM24:AM30)</f>
        <v>0</v>
      </c>
      <c r="AN31" s="277">
        <f ca="1">SUM(AN24:AN30)</f>
        <v>0</v>
      </c>
      <c r="AO31" s="132">
        <f t="shared" ca="1" si="36"/>
        <v>0</v>
      </c>
      <c r="AP31" s="277">
        <f t="shared" si="37"/>
        <v>859</v>
      </c>
      <c r="AQ31" s="410">
        <f t="shared" ca="1" si="37"/>
        <v>268</v>
      </c>
      <c r="AR31" s="131">
        <f t="shared" ca="1" si="38"/>
        <v>0.31199068684516879</v>
      </c>
      <c r="AS31" s="277">
        <f t="shared" si="39"/>
        <v>859</v>
      </c>
      <c r="AT31" s="410">
        <f t="shared" ca="1" si="39"/>
        <v>268</v>
      </c>
      <c r="AU31" s="131">
        <f t="shared" ca="1" si="40"/>
        <v>0.31199068684516879</v>
      </c>
      <c r="AV31" s="200"/>
      <c r="AW31" s="258"/>
      <c r="AX31" s="132"/>
      <c r="AY31" s="278"/>
      <c r="AZ31" s="132"/>
      <c r="BA31" s="258"/>
      <c r="BB31" s="131"/>
      <c r="BC31" s="277">
        <f t="shared" si="41"/>
        <v>859</v>
      </c>
      <c r="BD31" s="410">
        <f t="shared" ca="1" si="41"/>
        <v>268</v>
      </c>
      <c r="BE31" s="275">
        <f t="shared" ca="1" si="42"/>
        <v>0.31199068684516879</v>
      </c>
      <c r="BF31" s="277">
        <f>IFERROR(SUM(BF24:BF30),0)</f>
        <v>0</v>
      </c>
      <c r="BG31" s="277">
        <f ca="1">IFERROR(SUM(BG24:BG30),0)</f>
        <v>0</v>
      </c>
      <c r="BH31" s="275">
        <f t="shared" ca="1" si="43"/>
        <v>0</v>
      </c>
      <c r="BJ31" s="566"/>
      <c r="BK31" s="722" t="s">
        <v>246</v>
      </c>
      <c r="BL31" s="723"/>
      <c r="BM31" s="723"/>
      <c r="BN31" s="723"/>
      <c r="BO31" s="724"/>
      <c r="BP31" s="588">
        <f ca="1">BP10</f>
        <v>2114</v>
      </c>
      <c r="BQ31" s="588">
        <f ca="1">BQ10</f>
        <v>1394</v>
      </c>
      <c r="BR31" s="589">
        <f ca="1">BQ31/BP31</f>
        <v>0.65941343424787136</v>
      </c>
    </row>
    <row r="32" spans="1:70" s="4" customFormat="1" ht="15" customHeight="1" x14ac:dyDescent="0.35">
      <c r="A32" s="4">
        <f>_xlfn.XLOOKUP(B32,'WHOLESALE BMW 2026'!$B$7:$B$67,'WHOLESALE BMW 2026'!$A$7:$A$67)</f>
        <v>5</v>
      </c>
      <c r="B32" s="8">
        <v>100015</v>
      </c>
      <c r="C32" s="369" t="s">
        <v>51</v>
      </c>
      <c r="D32" s="125"/>
      <c r="E32" s="309" t="s">
        <v>79</v>
      </c>
      <c r="F32" s="21">
        <v>22</v>
      </c>
      <c r="G32" s="24">
        <f ca="1">SUMIF('UC BMW 2026'!$B$5:$B$77,'UC BMW 2026'!B30,'UC BMW 2026'!$G$5:$G$72)</f>
        <v>9</v>
      </c>
      <c r="H32" s="282">
        <f ca="1">IFERROR(G32/F32,0)</f>
        <v>0.40909090909090912</v>
      </c>
      <c r="I32" s="21">
        <v>34</v>
      </c>
      <c r="J32" s="24">
        <f ca="1">SUMIF('UC BMW 2026'!$B$5:$B$77,'UC BMW 2026'!$B30,'UC BMW 2026'!$I$5:$I$72)</f>
        <v>8</v>
      </c>
      <c r="K32" s="282">
        <f t="shared" ref="K32:K37" ca="1" si="45">IFERROR(J32/I32,0)</f>
        <v>0.23529411764705882</v>
      </c>
      <c r="L32" s="21">
        <f>VLOOKUP(B32,'[4]% Penetración Mdo MAR26'!$B$7:$D$59,3,0)-F32-I32</f>
        <v>31</v>
      </c>
      <c r="M32" s="24">
        <f ca="1">SUMIF('UC BMW 2026'!$B$5:$B$77,'UC BMW 2026'!$B30,'UC BMW 2026'!$K$5:$K$72)</f>
        <v>9</v>
      </c>
      <c r="N32" s="282">
        <f t="shared" ref="N32:N37" ca="1" si="46">IFERROR(M32/L32,0)</f>
        <v>0.29032258064516131</v>
      </c>
      <c r="O32" s="21">
        <f>VLOOKUP(B32,'[5]% Penetración Mdo ABR26'!$B$7:$D$59,3,0)-F32-I32-L32</f>
        <v>22</v>
      </c>
      <c r="P32" s="24">
        <f ca="1">SUMIF('UC BMW 2026'!$B$5:$B$77,'UC BMW 2026'!$B30,'UC BMW 2026'!$M$5:$M$72)</f>
        <v>9</v>
      </c>
      <c r="Q32" s="282">
        <f t="shared" ref="Q32:Q37" ca="1" si="47">IFERROR(P32/O32,0)</f>
        <v>0.40909090909090912</v>
      </c>
      <c r="R32" s="21">
        <f>VLOOKUP(B32,'[6]% Penetración Mdo MAY26'!$B$7:$G$65,3,0)-F32-I32-L32-O32</f>
        <v>26</v>
      </c>
      <c r="S32" s="24">
        <f ca="1">SUMIF('UC BMW 2026'!$B$5:$B$77,'UC BMW 2026'!$B30,'UC BMW 2026'!$O$5:$O$72)</f>
        <v>10</v>
      </c>
      <c r="T32" s="282">
        <f t="shared" ref="T32:T37" ca="1" si="48">IFERROR(S32/R32,0)</f>
        <v>0.38461538461538464</v>
      </c>
      <c r="U32" s="21">
        <f>VLOOKUP(B32,'[7]% Penetración Mdo JUN26'!$B$7:$K$59,3,0)-F32-I32-L32-O32-R32</f>
        <v>36</v>
      </c>
      <c r="V32" s="24">
        <f ca="1">SUMIF('UC BMW 2026'!$B$5:$B$77,'UC BMW 2026'!$B30,'UC BMW 2026'!$Q$5:$Q$72)</f>
        <v>22</v>
      </c>
      <c r="W32" s="282">
        <f t="shared" ref="W32:W37" ca="1" si="49">IFERROR(V32/U32,0)</f>
        <v>0.61111111111111116</v>
      </c>
      <c r="X32" s="21"/>
      <c r="Y32" s="24">
        <f ca="1">SUMIF('UC BMW 2026'!$B$5:$B$77,'UC BMW 2026'!$B30,'UC BMW 2026'!$S$5:$S$72)</f>
        <v>0</v>
      </c>
      <c r="Z32" s="282">
        <f t="shared" ca="1" si="31"/>
        <v>0</v>
      </c>
      <c r="AA32" s="21"/>
      <c r="AB32" s="24">
        <f ca="1">SUMIF('UC BMW 2026'!$B$5:$B$77,'UC BMW 2026'!$B30,'UC BMW 2026'!$U$5:$U$72)</f>
        <v>0</v>
      </c>
      <c r="AC32" s="282">
        <f t="shared" ca="1" si="32"/>
        <v>0</v>
      </c>
      <c r="AD32" s="21"/>
      <c r="AE32" s="24">
        <f ca="1">SUMIF('UC BMW 2026'!$B$5:$B$77,'UC BMW 2026'!$B30,'UC BMW 2026'!$W$5:$W$72)</f>
        <v>0</v>
      </c>
      <c r="AF32" s="282">
        <f t="shared" ca="1" si="33"/>
        <v>0</v>
      </c>
      <c r="AG32" s="21"/>
      <c r="AH32" s="24">
        <f ca="1">SUMIF('UC BMW 2026'!$B$5:$B$77,'UC BMW 2026'!$B30,'UC BMW 2026'!$Y$5:$Y$72)</f>
        <v>0</v>
      </c>
      <c r="AI32" s="282">
        <f t="shared" ca="1" si="34"/>
        <v>0</v>
      </c>
      <c r="AJ32" s="21"/>
      <c r="AK32" s="24">
        <f ca="1">SUMIF('UC BMW 2026'!$B$5:$B$77,'UC BMW 2026'!$B30,'UC BMW 2026'!$AA$5:$AA$72)</f>
        <v>0</v>
      </c>
      <c r="AL32" s="282">
        <f t="shared" ca="1" si="35"/>
        <v>0</v>
      </c>
      <c r="AM32" s="21"/>
      <c r="AN32" s="24">
        <f ca="1">SUMIF('UC BMW 2026'!$B$5:$B$77,'UC BMW 2026'!$B30,'UC BMW 2026'!$AC$5:$AC$72)</f>
        <v>0</v>
      </c>
      <c r="AO32" s="282">
        <f t="shared" ca="1" si="36"/>
        <v>0</v>
      </c>
      <c r="AP32" s="21">
        <f t="shared" si="37"/>
        <v>171</v>
      </c>
      <c r="AQ32" s="24">
        <f t="shared" ca="1" si="37"/>
        <v>67</v>
      </c>
      <c r="AR32" s="129">
        <f ca="1">IFERROR(AQ32/AP32,0)</f>
        <v>0.391812865497076</v>
      </c>
      <c r="AS32" s="21">
        <f t="shared" si="39"/>
        <v>171</v>
      </c>
      <c r="AT32" s="24">
        <f t="shared" ca="1" si="39"/>
        <v>67</v>
      </c>
      <c r="AU32" s="129">
        <f ca="1">IFERROR(AT32/AS32,0)</f>
        <v>0.391812865497076</v>
      </c>
      <c r="AV32" s="25"/>
      <c r="AW32" s="27"/>
      <c r="AX32" s="287"/>
      <c r="AY32" s="291"/>
      <c r="AZ32" s="129"/>
      <c r="BA32" s="27"/>
      <c r="BB32" s="129"/>
      <c r="BC32" s="21">
        <f t="shared" si="41"/>
        <v>171</v>
      </c>
      <c r="BD32" s="24">
        <f t="shared" ca="1" si="41"/>
        <v>67</v>
      </c>
      <c r="BE32" s="130">
        <f ca="1">IFERROR(BD32/BC32,0)</f>
        <v>0.391812865497076</v>
      </c>
      <c r="BF32" s="34">
        <f t="shared" ref="BF32:BG36" si="50">IFERROR(IF($BF$5="S 1",F32+I32+L32+O32+R32+U32,
IF($BF$5="S 2",X32+AA32+AD32+AG32+AJ32+AM32,0)),0)</f>
        <v>0</v>
      </c>
      <c r="BG32" s="24">
        <f t="shared" ca="1" si="50"/>
        <v>0</v>
      </c>
      <c r="BH32" s="130">
        <f ca="1">IFERROR(BG32/BF32,0)</f>
        <v>0</v>
      </c>
      <c r="BJ32" s="566"/>
      <c r="BK32"/>
      <c r="BL32"/>
      <c r="BM32"/>
      <c r="BN32"/>
      <c r="BO32"/>
      <c r="BP32"/>
      <c r="BQ32"/>
      <c r="BR32" s="2"/>
    </row>
    <row r="33" spans="1:70" s="4" customFormat="1" ht="15" customHeight="1" x14ac:dyDescent="0.35">
      <c r="A33" s="4">
        <f>_xlfn.XLOOKUP(B33,'WHOLESALE BMW 2026'!$B$7:$B$67,'WHOLESALE BMW 2026'!$A$7:$A$67)</f>
        <v>5</v>
      </c>
      <c r="B33" s="8">
        <v>100190</v>
      </c>
      <c r="C33" s="369" t="s">
        <v>52</v>
      </c>
      <c r="D33" s="125"/>
      <c r="E33" s="309" t="s">
        <v>79</v>
      </c>
      <c r="F33" s="21">
        <v>16</v>
      </c>
      <c r="G33" s="24">
        <f ca="1">SUMIF('UC BMW 2026'!$B$5:$B$77,'UC BMW 2026'!B31,'UC BMW 2026'!$G$5:$G$72)</f>
        <v>13</v>
      </c>
      <c r="H33" s="282">
        <f ca="1">IFERROR(G33/F33,0)</f>
        <v>0.8125</v>
      </c>
      <c r="I33" s="21">
        <v>20</v>
      </c>
      <c r="J33" s="24">
        <f ca="1">SUMIF('UC BMW 2026'!$B$5:$B$77,'UC BMW 2026'!$B31,'UC BMW 2026'!$I$5:$I$72)</f>
        <v>11</v>
      </c>
      <c r="K33" s="282">
        <f t="shared" ca="1" si="45"/>
        <v>0.55000000000000004</v>
      </c>
      <c r="L33" s="21">
        <f>VLOOKUP(B33,'[4]% Penetración Mdo MAR26'!$B$7:$D$59,3,0)-F33-I33</f>
        <v>33</v>
      </c>
      <c r="M33" s="24">
        <f ca="1">SUMIF('UC BMW 2026'!$B$5:$B$77,'UC BMW 2026'!$B31,'UC BMW 2026'!$K$5:$K$72)</f>
        <v>15</v>
      </c>
      <c r="N33" s="282">
        <f t="shared" ca="1" si="46"/>
        <v>0.45454545454545453</v>
      </c>
      <c r="O33" s="21">
        <f>VLOOKUP(B33,'[5]% Penetración Mdo ABR26'!$B$7:$D$59,3,0)-F33-I33-L33</f>
        <v>38</v>
      </c>
      <c r="P33" s="24">
        <f ca="1">SUMIF('UC BMW 2026'!$B$5:$B$77,'UC BMW 2026'!$B31,'UC BMW 2026'!$M$5:$M$72)</f>
        <v>21</v>
      </c>
      <c r="Q33" s="282">
        <f t="shared" ca="1" si="47"/>
        <v>0.55263157894736847</v>
      </c>
      <c r="R33" s="21">
        <f>VLOOKUP(B33,'[6]% Penetración Mdo MAY26'!$B$7:$G$65,3,0)-F33-I33-L33-O33</f>
        <v>55</v>
      </c>
      <c r="S33" s="24">
        <f ca="1">SUMIF('UC BMW 2026'!$B$5:$B$77,'UC BMW 2026'!$B31,'UC BMW 2026'!$O$5:$O$72)</f>
        <v>17</v>
      </c>
      <c r="T33" s="282">
        <f t="shared" ca="1" si="48"/>
        <v>0.30909090909090908</v>
      </c>
      <c r="U33" s="21">
        <f>VLOOKUP(B33,'[7]% Penetración Mdo JUN26'!$B$7:$K$59,3,0)-F33-I33-L33-O33-R33</f>
        <v>34</v>
      </c>
      <c r="V33" s="24">
        <f ca="1">SUMIF('UC BMW 2026'!$B$5:$B$77,'UC BMW 2026'!$B31,'UC BMW 2026'!$Q$5:$Q$72)</f>
        <v>24</v>
      </c>
      <c r="W33" s="282">
        <f t="shared" ca="1" si="49"/>
        <v>0.70588235294117652</v>
      </c>
      <c r="X33" s="21"/>
      <c r="Y33" s="24">
        <f ca="1">SUMIF('UC BMW 2026'!$B$5:$B$77,'UC BMW 2026'!$B31,'UC BMW 2026'!$S$5:$S$72)</f>
        <v>0</v>
      </c>
      <c r="Z33" s="282">
        <f t="shared" ca="1" si="31"/>
        <v>0</v>
      </c>
      <c r="AA33" s="21"/>
      <c r="AB33" s="24">
        <f ca="1">SUMIF('UC BMW 2026'!$B$5:$B$77,'UC BMW 2026'!$B31,'UC BMW 2026'!$U$5:$U$72)</f>
        <v>0</v>
      </c>
      <c r="AC33" s="282">
        <f t="shared" ca="1" si="32"/>
        <v>0</v>
      </c>
      <c r="AD33" s="21"/>
      <c r="AE33" s="24">
        <f ca="1">SUMIF('UC BMW 2026'!$B$5:$B$77,'UC BMW 2026'!$B31,'UC BMW 2026'!$W$5:$W$72)</f>
        <v>0</v>
      </c>
      <c r="AF33" s="282">
        <f t="shared" ca="1" si="33"/>
        <v>0</v>
      </c>
      <c r="AG33" s="21"/>
      <c r="AH33" s="24">
        <f ca="1">SUMIF('UC BMW 2026'!$B$5:$B$77,'UC BMW 2026'!$B31,'UC BMW 2026'!$Y$5:$Y$72)</f>
        <v>0</v>
      </c>
      <c r="AI33" s="282">
        <f t="shared" ca="1" si="34"/>
        <v>0</v>
      </c>
      <c r="AJ33" s="21"/>
      <c r="AK33" s="24">
        <f ca="1">SUMIF('UC BMW 2026'!$B$5:$B$77,'UC BMW 2026'!$B31,'UC BMW 2026'!$AA$5:$AA$72)</f>
        <v>0</v>
      </c>
      <c r="AL33" s="282">
        <f t="shared" ca="1" si="35"/>
        <v>0</v>
      </c>
      <c r="AM33" s="21"/>
      <c r="AN33" s="24">
        <f ca="1">SUMIF('UC BMW 2026'!$B$5:$B$77,'UC BMW 2026'!$B31,'UC BMW 2026'!$AC$5:$AC$72)</f>
        <v>0</v>
      </c>
      <c r="AO33" s="282">
        <f t="shared" ca="1" si="36"/>
        <v>0</v>
      </c>
      <c r="AP33" s="21">
        <f t="shared" si="37"/>
        <v>196</v>
      </c>
      <c r="AQ33" s="24">
        <f t="shared" ca="1" si="37"/>
        <v>101</v>
      </c>
      <c r="AR33" s="129">
        <f ca="1">IFERROR(AQ33/AP33,0)</f>
        <v>0.51530612244897955</v>
      </c>
      <c r="AS33" s="21">
        <f t="shared" si="39"/>
        <v>196</v>
      </c>
      <c r="AT33" s="24">
        <f t="shared" ca="1" si="39"/>
        <v>101</v>
      </c>
      <c r="AU33" s="129">
        <f ca="1">IFERROR(AT33/AS33,0)</f>
        <v>0.51530612244897955</v>
      </c>
      <c r="AV33" s="25"/>
      <c r="AW33" s="27"/>
      <c r="AX33" s="287"/>
      <c r="AY33" s="291"/>
      <c r="AZ33" s="129"/>
      <c r="BA33" s="27"/>
      <c r="BB33" s="129"/>
      <c r="BC33" s="21">
        <f t="shared" si="41"/>
        <v>196</v>
      </c>
      <c r="BD33" s="24">
        <f t="shared" ca="1" si="41"/>
        <v>101</v>
      </c>
      <c r="BE33" s="130">
        <f ca="1">IFERROR(BD33/BC33,0)</f>
        <v>0.51530612244897955</v>
      </c>
      <c r="BF33" s="34">
        <f t="shared" si="50"/>
        <v>0</v>
      </c>
      <c r="BG33" s="24">
        <f t="shared" ca="1" si="50"/>
        <v>0</v>
      </c>
      <c r="BH33" s="130">
        <f ca="1">IFERROR(BG33/BF33,0)</f>
        <v>0</v>
      </c>
      <c r="BJ33" s="566"/>
      <c r="BK33" s="2"/>
      <c r="BL33" s="2"/>
      <c r="BM33" s="2"/>
      <c r="BN33" s="2"/>
      <c r="BO33" s="2"/>
      <c r="BP33" s="2"/>
      <c r="BQ33" s="2"/>
      <c r="BR33" s="2"/>
    </row>
    <row r="34" spans="1:70" s="4" customFormat="1" ht="15" customHeight="1" x14ac:dyDescent="0.3">
      <c r="A34" s="4">
        <f>_xlfn.XLOOKUP(B34,'WHOLESALE BMW 2026'!$B$7:$B$67,'WHOLESALE BMW 2026'!$A$7:$A$67)</f>
        <v>5</v>
      </c>
      <c r="B34" s="8">
        <v>100379</v>
      </c>
      <c r="C34" s="369" t="s">
        <v>9</v>
      </c>
      <c r="D34" s="125"/>
      <c r="E34" s="309" t="s">
        <v>79</v>
      </c>
      <c r="F34" s="21">
        <v>11</v>
      </c>
      <c r="G34" s="24">
        <f ca="1">SUMIF('UC BMW 2026'!$B$5:$B$77,'UC BMW 2026'!B32,'UC BMW 2026'!$G$5:$G$72)</f>
        <v>13</v>
      </c>
      <c r="H34" s="282">
        <f ca="1">IFERROR(G34/F34,0)</f>
        <v>1.1818181818181819</v>
      </c>
      <c r="I34" s="21">
        <v>20</v>
      </c>
      <c r="J34" s="24">
        <f ca="1">SUMIF('UC BMW 2026'!$B$5:$B$77,'UC BMW 2026'!$B32,'UC BMW 2026'!$I$5:$I$72)</f>
        <v>15</v>
      </c>
      <c r="K34" s="282">
        <f t="shared" ca="1" si="45"/>
        <v>0.75</v>
      </c>
      <c r="L34" s="21">
        <f>VLOOKUP(B34,'[4]% Penetración Mdo MAR26'!$B$7:$D$59,3,0)-F34-I34</f>
        <v>13</v>
      </c>
      <c r="M34" s="24">
        <f ca="1">SUMIF('UC BMW 2026'!$B$5:$B$77,'UC BMW 2026'!$B32,'UC BMW 2026'!$K$5:$K$72)</f>
        <v>20</v>
      </c>
      <c r="N34" s="282">
        <f t="shared" ca="1" si="46"/>
        <v>1.5384615384615385</v>
      </c>
      <c r="O34" s="21">
        <f>VLOOKUP(B34,'[5]% Penetración Mdo ABR26'!$B$7:$D$59,3,0)-F34-I34-L34</f>
        <v>18</v>
      </c>
      <c r="P34" s="24">
        <f ca="1">SUMIF('UC BMW 2026'!$B$5:$B$77,'UC BMW 2026'!$B32,'UC BMW 2026'!$M$5:$M$72)</f>
        <v>11</v>
      </c>
      <c r="Q34" s="282">
        <f t="shared" ca="1" si="47"/>
        <v>0.61111111111111116</v>
      </c>
      <c r="R34" s="21">
        <f>VLOOKUP(B34,'[6]% Penetración Mdo MAY26'!$B$7:$G$65,3,0)-F34-I34-L34-O34</f>
        <v>32</v>
      </c>
      <c r="S34" s="24">
        <f ca="1">SUMIF('UC BMW 2026'!$B$5:$B$77,'UC BMW 2026'!$B32,'UC BMW 2026'!$O$5:$O$72)</f>
        <v>27</v>
      </c>
      <c r="T34" s="282">
        <f t="shared" ca="1" si="48"/>
        <v>0.84375</v>
      </c>
      <c r="U34" s="21">
        <f>VLOOKUP(B34,'[7]% Penetración Mdo JUN26'!$B$7:$K$59,3,0)-F34-I34-L34-O34-R34</f>
        <v>25</v>
      </c>
      <c r="V34" s="24">
        <f ca="1">SUMIF('UC BMW 2026'!$B$5:$B$77,'UC BMW 2026'!$B32,'UC BMW 2026'!$Q$5:$Q$72)</f>
        <v>33</v>
      </c>
      <c r="W34" s="282">
        <f t="shared" ca="1" si="49"/>
        <v>1.32</v>
      </c>
      <c r="X34" s="21"/>
      <c r="Y34" s="24">
        <f ca="1">SUMIF('UC BMW 2026'!$B$5:$B$77,'UC BMW 2026'!$B32,'UC BMW 2026'!$S$5:$S$72)</f>
        <v>0</v>
      </c>
      <c r="Z34" s="282">
        <f t="shared" ca="1" si="31"/>
        <v>0</v>
      </c>
      <c r="AA34" s="21"/>
      <c r="AB34" s="24">
        <f ca="1">SUMIF('UC BMW 2026'!$B$5:$B$77,'UC BMW 2026'!$B32,'UC BMW 2026'!$U$5:$U$72)</f>
        <v>0</v>
      </c>
      <c r="AC34" s="282">
        <f t="shared" ca="1" si="32"/>
        <v>0</v>
      </c>
      <c r="AD34" s="21"/>
      <c r="AE34" s="24">
        <f ca="1">SUMIF('UC BMW 2026'!$B$5:$B$77,'UC BMW 2026'!$B32,'UC BMW 2026'!$W$5:$W$72)</f>
        <v>0</v>
      </c>
      <c r="AF34" s="282">
        <f t="shared" ca="1" si="33"/>
        <v>0</v>
      </c>
      <c r="AG34" s="21"/>
      <c r="AH34" s="24">
        <f ca="1">SUMIF('UC BMW 2026'!$B$5:$B$77,'UC BMW 2026'!$B32,'UC BMW 2026'!$Y$5:$Y$72)</f>
        <v>0</v>
      </c>
      <c r="AI34" s="282">
        <f t="shared" ca="1" si="34"/>
        <v>0</v>
      </c>
      <c r="AJ34" s="21"/>
      <c r="AK34" s="24">
        <f ca="1">SUMIF('UC BMW 2026'!$B$5:$B$77,'UC BMW 2026'!$B32,'UC BMW 2026'!$AA$5:$AA$72)</f>
        <v>0</v>
      </c>
      <c r="AL34" s="282">
        <f t="shared" ca="1" si="35"/>
        <v>0</v>
      </c>
      <c r="AM34" s="21"/>
      <c r="AN34" s="24">
        <f ca="1">SUMIF('UC BMW 2026'!$B$5:$B$77,'UC BMW 2026'!$B32,'UC BMW 2026'!$AC$5:$AC$72)</f>
        <v>0</v>
      </c>
      <c r="AO34" s="282">
        <f t="shared" ca="1" si="36"/>
        <v>0</v>
      </c>
      <c r="AP34" s="21">
        <f t="shared" si="37"/>
        <v>119</v>
      </c>
      <c r="AQ34" s="24">
        <f t="shared" ca="1" si="37"/>
        <v>119</v>
      </c>
      <c r="AR34" s="129">
        <f ca="1">IFERROR(AQ34/AP34,0)</f>
        <v>1</v>
      </c>
      <c r="AS34" s="21">
        <f t="shared" si="39"/>
        <v>119</v>
      </c>
      <c r="AT34" s="24">
        <f t="shared" ca="1" si="39"/>
        <v>119</v>
      </c>
      <c r="AU34" s="129">
        <f ca="1">IFERROR(AT34/AS34,0)</f>
        <v>1</v>
      </c>
      <c r="AV34" s="25"/>
      <c r="AW34" s="27"/>
      <c r="AX34" s="287"/>
      <c r="AY34" s="291"/>
      <c r="AZ34" s="129"/>
      <c r="BA34" s="27"/>
      <c r="BB34" s="129"/>
      <c r="BC34" s="21">
        <f t="shared" si="41"/>
        <v>119</v>
      </c>
      <c r="BD34" s="24">
        <f t="shared" ca="1" si="41"/>
        <v>119</v>
      </c>
      <c r="BE34" s="130">
        <f ca="1">IFERROR(BD34/BC34,0)</f>
        <v>1</v>
      </c>
      <c r="BF34" s="34">
        <f t="shared" si="50"/>
        <v>0</v>
      </c>
      <c r="BG34" s="24">
        <f t="shared" ca="1" si="50"/>
        <v>0</v>
      </c>
      <c r="BH34" s="130">
        <f ca="1">IFERROR(BG34/BF34,0)</f>
        <v>0</v>
      </c>
      <c r="BJ34" s="2"/>
      <c r="BK34" s="2"/>
      <c r="BL34" s="2"/>
      <c r="BM34" s="2"/>
      <c r="BN34" s="2"/>
      <c r="BO34" s="2"/>
      <c r="BP34" s="2"/>
      <c r="BQ34" s="2"/>
      <c r="BR34" s="2"/>
    </row>
    <row r="35" spans="1:70" s="4" customFormat="1" ht="15" customHeight="1" x14ac:dyDescent="0.3">
      <c r="A35" s="4">
        <f>_xlfn.XLOOKUP(B35,'WHOLESALE BMW 2026'!$B$7:$B$67,'WHOLESALE BMW 2026'!$A$7:$A$67)</f>
        <v>5</v>
      </c>
      <c r="B35" s="8">
        <v>100410</v>
      </c>
      <c r="C35" s="369" t="s">
        <v>22</v>
      </c>
      <c r="D35" s="125"/>
      <c r="E35" s="309" t="s">
        <v>79</v>
      </c>
      <c r="F35" s="21">
        <v>51</v>
      </c>
      <c r="G35" s="24">
        <f ca="1">SUMIF('UC BMW 2026'!$B$5:$B$77,'UC BMW 2026'!B33,'UC BMW 2026'!$G$5:$G$72)</f>
        <v>24</v>
      </c>
      <c r="H35" s="282">
        <f ca="1">IFERROR(G35/F35,0)</f>
        <v>0.47058823529411764</v>
      </c>
      <c r="I35" s="21">
        <v>43</v>
      </c>
      <c r="J35" s="24">
        <f ca="1">SUMIF('UC BMW 2026'!$B$5:$B$77,'UC BMW 2026'!$B33,'UC BMW 2026'!$I$5:$I$72)</f>
        <v>13</v>
      </c>
      <c r="K35" s="282">
        <f t="shared" ca="1" si="45"/>
        <v>0.30232558139534882</v>
      </c>
      <c r="L35" s="21">
        <f>VLOOKUP(B35,'[4]% Penetración Mdo MAR26'!$B$7:$D$59,3,0)-F35-I35</f>
        <v>44</v>
      </c>
      <c r="M35" s="24">
        <f ca="1">SUMIF('UC BMW 2026'!$B$5:$B$77,'UC BMW 2026'!$B33,'UC BMW 2026'!$K$5:$K$72)</f>
        <v>28</v>
      </c>
      <c r="N35" s="282">
        <f t="shared" ca="1" si="46"/>
        <v>0.63636363636363635</v>
      </c>
      <c r="O35" s="21">
        <f>VLOOKUP(B35,'[5]% Penetración Mdo ABR26'!$B$7:$D$59,3,0)-F35-I35-L35</f>
        <v>42</v>
      </c>
      <c r="P35" s="24">
        <f ca="1">SUMIF('UC BMW 2026'!$B$5:$B$77,'UC BMW 2026'!$B33,'UC BMW 2026'!$M$5:$M$72)</f>
        <v>12</v>
      </c>
      <c r="Q35" s="282">
        <f t="shared" ca="1" si="47"/>
        <v>0.2857142857142857</v>
      </c>
      <c r="R35" s="21">
        <f>VLOOKUP(B35,'[6]% Penetración Mdo MAY26'!$B$7:$G$65,3,0)-F35-I35-L35-O35</f>
        <v>72</v>
      </c>
      <c r="S35" s="24">
        <f ca="1">SUMIF('UC BMW 2026'!$B$5:$B$77,'UC BMW 2026'!$B33,'UC BMW 2026'!$O$5:$O$72)</f>
        <v>30</v>
      </c>
      <c r="T35" s="282">
        <f t="shared" ca="1" si="48"/>
        <v>0.41666666666666669</v>
      </c>
      <c r="U35" s="21">
        <f>VLOOKUP(B35,'[7]% Penetración Mdo JUN26'!$B$7:$K$59,3,0)-F35-I35-L35-O35-R35</f>
        <v>63</v>
      </c>
      <c r="V35" s="24">
        <f ca="1">SUMIF('UC BMW 2026'!$B$5:$B$77,'UC BMW 2026'!$B33,'UC BMW 2026'!$Q$5:$Q$72)</f>
        <v>39</v>
      </c>
      <c r="W35" s="282">
        <f t="shared" ca="1" si="49"/>
        <v>0.61904761904761907</v>
      </c>
      <c r="X35" s="21"/>
      <c r="Y35" s="24">
        <f ca="1">SUMIF('UC BMW 2026'!$B$5:$B$77,'UC BMW 2026'!$B33,'UC BMW 2026'!$S$5:$S$72)</f>
        <v>0</v>
      </c>
      <c r="Z35" s="282">
        <f t="shared" ca="1" si="31"/>
        <v>0</v>
      </c>
      <c r="AA35" s="21"/>
      <c r="AB35" s="24">
        <f ca="1">SUMIF('UC BMW 2026'!$B$5:$B$77,'UC BMW 2026'!$B33,'UC BMW 2026'!$U$5:$U$72)</f>
        <v>0</v>
      </c>
      <c r="AC35" s="282">
        <f t="shared" ca="1" si="32"/>
        <v>0</v>
      </c>
      <c r="AD35" s="21"/>
      <c r="AE35" s="24">
        <f ca="1">SUMIF('UC BMW 2026'!$B$5:$B$77,'UC BMW 2026'!$B33,'UC BMW 2026'!$W$5:$W$72)</f>
        <v>0</v>
      </c>
      <c r="AF35" s="282">
        <f t="shared" ca="1" si="33"/>
        <v>0</v>
      </c>
      <c r="AG35" s="21"/>
      <c r="AH35" s="24">
        <f ca="1">SUMIF('UC BMW 2026'!$B$5:$B$77,'UC BMW 2026'!$B33,'UC BMW 2026'!$Y$5:$Y$72)</f>
        <v>0</v>
      </c>
      <c r="AI35" s="282">
        <f t="shared" ca="1" si="34"/>
        <v>0</v>
      </c>
      <c r="AJ35" s="21"/>
      <c r="AK35" s="24">
        <f ca="1">SUMIF('UC BMW 2026'!$B$5:$B$77,'UC BMW 2026'!$B33,'UC BMW 2026'!$AA$5:$AA$72)</f>
        <v>0</v>
      </c>
      <c r="AL35" s="282">
        <f t="shared" ca="1" si="35"/>
        <v>0</v>
      </c>
      <c r="AM35" s="21"/>
      <c r="AN35" s="24">
        <f ca="1">SUMIF('UC BMW 2026'!$B$5:$B$77,'UC BMW 2026'!$B33,'UC BMW 2026'!$AC$5:$AC$72)</f>
        <v>0</v>
      </c>
      <c r="AO35" s="282">
        <f t="shared" ca="1" si="36"/>
        <v>0</v>
      </c>
      <c r="AP35" s="21">
        <f t="shared" si="37"/>
        <v>315</v>
      </c>
      <c r="AQ35" s="24">
        <f t="shared" ca="1" si="37"/>
        <v>146</v>
      </c>
      <c r="AR35" s="129">
        <f ca="1">IFERROR(AQ35/AP35,0)</f>
        <v>0.46349206349206351</v>
      </c>
      <c r="AS35" s="21">
        <f t="shared" si="39"/>
        <v>315</v>
      </c>
      <c r="AT35" s="24">
        <f t="shared" ca="1" si="39"/>
        <v>146</v>
      </c>
      <c r="AU35" s="129">
        <f ca="1">IFERROR(AT35/AS35,0)</f>
        <v>0.46349206349206351</v>
      </c>
      <c r="AV35" s="25"/>
      <c r="AW35" s="27"/>
      <c r="AX35" s="287"/>
      <c r="AY35" s="291"/>
      <c r="AZ35" s="129"/>
      <c r="BA35" s="27"/>
      <c r="BB35" s="129"/>
      <c r="BC35" s="21">
        <f t="shared" si="41"/>
        <v>315</v>
      </c>
      <c r="BD35" s="24">
        <f t="shared" ca="1" si="41"/>
        <v>146</v>
      </c>
      <c r="BE35" s="130">
        <f ca="1">IFERROR(BD35/BC35,0)</f>
        <v>0.46349206349206351</v>
      </c>
      <c r="BF35" s="34">
        <f t="shared" si="50"/>
        <v>0</v>
      </c>
      <c r="BG35" s="24">
        <f t="shared" ca="1" si="50"/>
        <v>0</v>
      </c>
      <c r="BH35" s="130">
        <f ca="1">IFERROR(BG35/BF35,0)</f>
        <v>0</v>
      </c>
      <c r="BJ35" s="2"/>
      <c r="BK35" s="2"/>
      <c r="BL35" s="2"/>
      <c r="BM35" s="2"/>
      <c r="BN35" s="2"/>
      <c r="BO35" s="2"/>
      <c r="BP35" s="2"/>
      <c r="BQ35" s="2"/>
      <c r="BR35" s="2"/>
    </row>
    <row r="36" spans="1:70" s="4" customFormat="1" ht="15" customHeight="1" thickBot="1" x14ac:dyDescent="0.35">
      <c r="A36" s="4">
        <f>_xlfn.XLOOKUP(B36,'WHOLESALE BMW 2026'!$B$7:$B$67,'WHOLESALE BMW 2026'!$A$7:$A$67)</f>
        <v>5</v>
      </c>
      <c r="B36" s="8">
        <v>100739</v>
      </c>
      <c r="C36" s="369" t="s">
        <v>49</v>
      </c>
      <c r="D36" s="125"/>
      <c r="E36" s="309" t="s">
        <v>79</v>
      </c>
      <c r="F36" s="21">
        <v>15</v>
      </c>
      <c r="G36" s="24">
        <f ca="1">SUMIF('UC BMW 2026'!$B$5:$B$77,'UC BMW 2026'!B34,'UC BMW 2026'!$G$5:$G$72)</f>
        <v>10</v>
      </c>
      <c r="H36" s="283">
        <f ca="1">IFERROR(G36/F36,0)</f>
        <v>0.66666666666666663</v>
      </c>
      <c r="I36" s="21">
        <v>20</v>
      </c>
      <c r="J36" s="24">
        <f ca="1">SUMIF('UC BMW 2026'!$B$5:$B$77,'UC BMW 2026'!$B34,'UC BMW 2026'!$I$5:$I$72)</f>
        <v>6</v>
      </c>
      <c r="K36" s="283">
        <f t="shared" ca="1" si="45"/>
        <v>0.3</v>
      </c>
      <c r="L36" s="21">
        <f>VLOOKUP(B36,'[4]% Penetración Mdo MAR26'!$B$7:$D$59,3,0)-F36-I36</f>
        <v>26</v>
      </c>
      <c r="M36" s="24">
        <f ca="1">SUMIF('UC BMW 2026'!$B$5:$B$77,'UC BMW 2026'!$B34,'UC BMW 2026'!$K$5:$K$72)</f>
        <v>13</v>
      </c>
      <c r="N36" s="283">
        <f t="shared" ca="1" si="46"/>
        <v>0.5</v>
      </c>
      <c r="O36" s="21">
        <f>VLOOKUP(B36,'[5]% Penetración Mdo ABR26'!$B$7:$D$59,3,0)-F36-I36-L36</f>
        <v>17</v>
      </c>
      <c r="P36" s="24">
        <f ca="1">SUMIF('UC BMW 2026'!$B$5:$B$77,'UC BMW 2026'!$B34,'UC BMW 2026'!$M$5:$M$72)</f>
        <v>5</v>
      </c>
      <c r="Q36" s="283">
        <f t="shared" ca="1" si="47"/>
        <v>0.29411764705882354</v>
      </c>
      <c r="R36" s="21">
        <f>VLOOKUP(B36,'[6]% Penetración Mdo MAY26'!$B$7:$G$65,3,0)-F36-I36-L36-O36</f>
        <v>28</v>
      </c>
      <c r="S36" s="24">
        <f ca="1">SUMIF('UC BMW 2026'!$B$5:$B$77,'UC BMW 2026'!$B34,'UC BMW 2026'!$O$5:$O$72)</f>
        <v>9</v>
      </c>
      <c r="T36" s="283">
        <f t="shared" ca="1" si="48"/>
        <v>0.32142857142857145</v>
      </c>
      <c r="U36" s="21">
        <f>VLOOKUP(B36,'[7]% Penetración Mdo JUN26'!$B$7:$K$59,3,0)-F36-I36-L36-O36-R36</f>
        <v>36</v>
      </c>
      <c r="V36" s="24">
        <f ca="1">SUMIF('UC BMW 2026'!$B$5:$B$77,'UC BMW 2026'!$B34,'UC BMW 2026'!$Q$5:$Q$72)</f>
        <v>12</v>
      </c>
      <c r="W36" s="283">
        <f t="shared" ca="1" si="49"/>
        <v>0.33333333333333331</v>
      </c>
      <c r="X36" s="21"/>
      <c r="Y36" s="24">
        <f ca="1">SUMIF('UC BMW 2026'!$B$5:$B$77,'UC BMW 2026'!$B34,'UC BMW 2026'!$S$5:$S$72)</f>
        <v>0</v>
      </c>
      <c r="Z36" s="282">
        <f t="shared" ca="1" si="31"/>
        <v>0</v>
      </c>
      <c r="AA36" s="21"/>
      <c r="AB36" s="24">
        <f ca="1">SUMIF('UC BMW 2026'!$B$5:$B$77,'UC BMW 2026'!$B34,'UC BMW 2026'!$U$5:$U$72)</f>
        <v>0</v>
      </c>
      <c r="AC36" s="282">
        <f t="shared" ca="1" si="32"/>
        <v>0</v>
      </c>
      <c r="AD36" s="21"/>
      <c r="AE36" s="24">
        <f ca="1">SUMIF('UC BMW 2026'!$B$5:$B$77,'UC BMW 2026'!$B34,'UC BMW 2026'!$W$5:$W$72)</f>
        <v>0</v>
      </c>
      <c r="AF36" s="282">
        <f t="shared" ca="1" si="33"/>
        <v>0</v>
      </c>
      <c r="AG36" s="21"/>
      <c r="AH36" s="24">
        <f ca="1">SUMIF('UC BMW 2026'!$B$5:$B$77,'UC BMW 2026'!$B34,'UC BMW 2026'!$Y$5:$Y$72)</f>
        <v>0</v>
      </c>
      <c r="AI36" s="282">
        <f t="shared" ca="1" si="34"/>
        <v>0</v>
      </c>
      <c r="AJ36" s="21"/>
      <c r="AK36" s="24">
        <f ca="1">SUMIF('UC BMW 2026'!$B$5:$B$77,'UC BMW 2026'!$B34,'UC BMW 2026'!$AA$5:$AA$72)</f>
        <v>0</v>
      </c>
      <c r="AL36" s="282">
        <f t="shared" ca="1" si="35"/>
        <v>0</v>
      </c>
      <c r="AM36" s="21"/>
      <c r="AN36" s="24">
        <f ca="1">SUMIF('UC BMW 2026'!$B$5:$B$77,'UC BMW 2026'!$B34,'UC BMW 2026'!$AC$5:$AC$72)</f>
        <v>0</v>
      </c>
      <c r="AO36" s="282">
        <f t="shared" ca="1" si="36"/>
        <v>0</v>
      </c>
      <c r="AP36" s="21">
        <f t="shared" si="37"/>
        <v>142</v>
      </c>
      <c r="AQ36" s="280">
        <f t="shared" ca="1" si="37"/>
        <v>55</v>
      </c>
      <c r="AR36" s="129">
        <f ca="1">IFERROR(AQ36/AP36,0)</f>
        <v>0.38732394366197181</v>
      </c>
      <c r="AS36" s="21">
        <f t="shared" si="39"/>
        <v>142</v>
      </c>
      <c r="AT36" s="280">
        <f t="shared" ca="1" si="39"/>
        <v>55</v>
      </c>
      <c r="AU36" s="129">
        <f ca="1">IFERROR(AT36/AS36,0)</f>
        <v>0.38732394366197181</v>
      </c>
      <c r="AV36" s="25"/>
      <c r="AW36" s="27"/>
      <c r="AX36" s="283"/>
      <c r="AY36" s="292"/>
      <c r="AZ36" s="129"/>
      <c r="BA36" s="27"/>
      <c r="BB36" s="129"/>
      <c r="BC36" s="21">
        <f t="shared" si="41"/>
        <v>142</v>
      </c>
      <c r="BD36" s="280">
        <f t="shared" ca="1" si="41"/>
        <v>55</v>
      </c>
      <c r="BE36" s="130">
        <f ca="1">IFERROR(BD36/BC36,0)</f>
        <v>0.38732394366197181</v>
      </c>
      <c r="BF36" s="34">
        <f t="shared" si="50"/>
        <v>0</v>
      </c>
      <c r="BG36" s="280">
        <f t="shared" ca="1" si="50"/>
        <v>0</v>
      </c>
      <c r="BH36" s="130">
        <f ca="1">IFERROR(BG36/BF36,0)</f>
        <v>0</v>
      </c>
      <c r="BJ36" s="2"/>
      <c r="BK36" s="2"/>
      <c r="BL36" s="2"/>
      <c r="BM36" s="2"/>
      <c r="BN36" s="2"/>
      <c r="BO36" s="2"/>
      <c r="BP36" s="2"/>
      <c r="BQ36" s="2"/>
      <c r="BR36" s="2"/>
    </row>
    <row r="37" spans="1:70" s="4" customFormat="1" ht="15" customHeight="1" thickBot="1" x14ac:dyDescent="0.3">
      <c r="A37" s="4">
        <f>_xlfn.XLOOKUP(B37,'WHOLESALE BMW 2026'!$B$7:$B$67,'WHOLESALE BMW 2026'!$A$7:$A$67)</f>
        <v>0</v>
      </c>
      <c r="B37" s="7" t="s">
        <v>267</v>
      </c>
      <c r="C37" s="28"/>
      <c r="D37" s="125"/>
      <c r="E37" s="7"/>
      <c r="F37" s="277">
        <f>SUM(F32:F36)</f>
        <v>115</v>
      </c>
      <c r="G37" s="277">
        <f ca="1">SUM(G32:G36)</f>
        <v>69</v>
      </c>
      <c r="H37" s="132">
        <f t="shared" ca="1" si="0"/>
        <v>0.6</v>
      </c>
      <c r="I37" s="277">
        <f>SUM(I32:I36)</f>
        <v>137</v>
      </c>
      <c r="J37" s="277">
        <f ca="1">SUM(J32:J36)</f>
        <v>53</v>
      </c>
      <c r="K37" s="132">
        <f t="shared" ca="1" si="45"/>
        <v>0.38686131386861317</v>
      </c>
      <c r="L37" s="277">
        <f>SUM(L32:L36)</f>
        <v>147</v>
      </c>
      <c r="M37" s="410">
        <f ca="1">SUM(M32:M36)</f>
        <v>85</v>
      </c>
      <c r="N37" s="132">
        <f t="shared" ca="1" si="46"/>
        <v>0.57823129251700678</v>
      </c>
      <c r="O37" s="277">
        <f>SUM(O32:O36)</f>
        <v>137</v>
      </c>
      <c r="P37" s="277">
        <f ca="1">SUM(P32:P36)</f>
        <v>58</v>
      </c>
      <c r="Q37" s="132">
        <f t="shared" ca="1" si="47"/>
        <v>0.42335766423357662</v>
      </c>
      <c r="R37" s="277">
        <f>SUM(R32:R36)</f>
        <v>213</v>
      </c>
      <c r="S37" s="277">
        <f ca="1">SUM(S32:S36)</f>
        <v>93</v>
      </c>
      <c r="T37" s="132">
        <f t="shared" ca="1" si="48"/>
        <v>0.43661971830985913</v>
      </c>
      <c r="U37" s="277">
        <f>SUM(U32:U36)</f>
        <v>194</v>
      </c>
      <c r="V37" s="277">
        <f ca="1">SUM(V32:V36)</f>
        <v>130</v>
      </c>
      <c r="W37" s="132">
        <f t="shared" ca="1" si="49"/>
        <v>0.67010309278350511</v>
      </c>
      <c r="X37" s="277">
        <f>SUM(X32:X36)</f>
        <v>0</v>
      </c>
      <c r="Y37" s="277">
        <f ca="1">SUM(Y32:Y36)</f>
        <v>0</v>
      </c>
      <c r="Z37" s="132">
        <f t="shared" ref="Z37:Z43" ca="1" si="51">IFERROR(Y37/X37,0)</f>
        <v>0</v>
      </c>
      <c r="AA37" s="277">
        <f>SUM(AA32:AA36)</f>
        <v>0</v>
      </c>
      <c r="AB37" s="277">
        <f ca="1">SUM(AB32:AB36)</f>
        <v>0</v>
      </c>
      <c r="AC37" s="132">
        <f t="shared" ref="AC37:AC43" ca="1" si="52">IFERROR(AB37/AA37,0)</f>
        <v>0</v>
      </c>
      <c r="AD37" s="277">
        <f>SUM(AD32:AD36)</f>
        <v>0</v>
      </c>
      <c r="AE37" s="277">
        <f ca="1">SUM(AE32:AE36)</f>
        <v>0</v>
      </c>
      <c r="AF37" s="132">
        <f t="shared" ref="AF37:AF43" ca="1" si="53">IFERROR(AE37/AD37,0)</f>
        <v>0</v>
      </c>
      <c r="AG37" s="277">
        <f>SUM(AG32:AG36)</f>
        <v>0</v>
      </c>
      <c r="AH37" s="277">
        <f ca="1">SUM(AH32:AH36)</f>
        <v>0</v>
      </c>
      <c r="AI37" s="132">
        <f t="shared" ref="AI37:AI43" ca="1" si="54">IFERROR(AH37/AG37,0)</f>
        <v>0</v>
      </c>
      <c r="AJ37" s="277">
        <f>SUM(AJ32:AJ36)</f>
        <v>0</v>
      </c>
      <c r="AK37" s="277">
        <f ca="1">SUM(AK32:AK36)</f>
        <v>0</v>
      </c>
      <c r="AL37" s="132">
        <f t="shared" ref="AL37:AL43" ca="1" si="55">IFERROR(AK37/AJ37,0)</f>
        <v>0</v>
      </c>
      <c r="AM37" s="277">
        <f>SUM(AM32:AM36)</f>
        <v>0</v>
      </c>
      <c r="AN37" s="277">
        <f ca="1">SUM(AN32:AN36)</f>
        <v>0</v>
      </c>
      <c r="AO37" s="132">
        <f t="shared" ref="AO37:AO43" ca="1" si="56">IFERROR(AN37/AM37,0)</f>
        <v>0</v>
      </c>
      <c r="AP37" s="277">
        <f t="shared" si="37"/>
        <v>943</v>
      </c>
      <c r="AQ37" s="410">
        <f t="shared" ca="1" si="37"/>
        <v>488</v>
      </c>
      <c r="AR37" s="131">
        <f t="shared" ca="1" si="16"/>
        <v>0.51749734888653232</v>
      </c>
      <c r="AS37" s="277">
        <f t="shared" si="39"/>
        <v>943</v>
      </c>
      <c r="AT37" s="410">
        <f t="shared" ca="1" si="39"/>
        <v>488</v>
      </c>
      <c r="AU37" s="131">
        <f t="shared" ca="1" si="17"/>
        <v>0.51749734888653232</v>
      </c>
      <c r="AV37" s="200"/>
      <c r="AW37" s="258"/>
      <c r="AX37" s="132"/>
      <c r="AY37" s="278"/>
      <c r="AZ37" s="132"/>
      <c r="BA37" s="258"/>
      <c r="BB37" s="131"/>
      <c r="BC37" s="277">
        <f t="shared" si="41"/>
        <v>943</v>
      </c>
      <c r="BD37" s="410">
        <f t="shared" ca="1" si="41"/>
        <v>488</v>
      </c>
      <c r="BE37" s="275">
        <f t="shared" ca="1" si="18"/>
        <v>0.51749734888653232</v>
      </c>
      <c r="BF37" s="277">
        <f>IFERROR(SUM(BF32:BF36),0)</f>
        <v>0</v>
      </c>
      <c r="BG37" s="277">
        <f ca="1">IFERROR(SUM(BG32:BG36),0)</f>
        <v>0</v>
      </c>
      <c r="BH37" s="275">
        <f t="shared" ca="1" si="19"/>
        <v>0</v>
      </c>
      <c r="BJ37" s="2"/>
      <c r="BK37" s="2"/>
      <c r="BL37" s="2"/>
      <c r="BM37" s="2"/>
      <c r="BN37" s="2"/>
      <c r="BO37" s="2"/>
      <c r="BP37" s="2"/>
      <c r="BQ37" s="2"/>
      <c r="BR37" s="2"/>
    </row>
    <row r="38" spans="1:70" s="4" customFormat="1" ht="15" customHeight="1" x14ac:dyDescent="0.3">
      <c r="A38" s="4">
        <f>_xlfn.XLOOKUP(B38,'WHOLESALE BMW 2026'!$B$7:$B$67,'WHOLESALE BMW 2026'!$A$7:$A$67)</f>
        <v>6</v>
      </c>
      <c r="B38" s="8">
        <v>100348</v>
      </c>
      <c r="C38" s="369" t="s">
        <v>56</v>
      </c>
      <c r="D38" s="125"/>
      <c r="E38" s="309" t="s">
        <v>105</v>
      </c>
      <c r="F38" s="21">
        <v>56</v>
      </c>
      <c r="G38" s="24">
        <f ca="1">SUMIF('UC BMW 2026'!$B$5:$B$77,'UC BMW 2026'!B36,'UC BMW 2026'!$G$5:$G$72)</f>
        <v>22</v>
      </c>
      <c r="H38" s="281">
        <f t="shared" ca="1" si="0"/>
        <v>0.39285714285714285</v>
      </c>
      <c r="I38" s="21">
        <v>74</v>
      </c>
      <c r="J38" s="24">
        <f ca="1">SUMIF('UC BMW 2026'!$B$5:$B$77,'UC BMW 2026'!$B36,'UC BMW 2026'!$I$5:$I$72)</f>
        <v>30</v>
      </c>
      <c r="K38" s="281">
        <f t="shared" ca="1" si="1"/>
        <v>0.40540540540540543</v>
      </c>
      <c r="L38" s="21">
        <f>VLOOKUP(B38,'[4]% Penetración Mdo MAR26'!$B$7:$D$59,3,0)-F38-I38</f>
        <v>74</v>
      </c>
      <c r="M38" s="24">
        <f ca="1">SUMIF('UC BMW 2026'!$B$5:$B$77,'UC BMW 2026'!$B36,'UC BMW 2026'!$K$5:$K$72)</f>
        <v>35</v>
      </c>
      <c r="N38" s="281">
        <f t="shared" ca="1" si="2"/>
        <v>0.47297297297297297</v>
      </c>
      <c r="O38" s="21">
        <f>VLOOKUP(B38,'[5]% Penetración Mdo ABR26'!$B$7:$D$59,3,0)-F38-I38-L38</f>
        <v>61</v>
      </c>
      <c r="P38" s="24">
        <f ca="1">SUMIF('UC BMW 2026'!$B$5:$B$77,'UC BMW 2026'!$B36,'UC BMW 2026'!$M$5:$M$72)</f>
        <v>33</v>
      </c>
      <c r="Q38" s="281">
        <f t="shared" ca="1" si="3"/>
        <v>0.54098360655737709</v>
      </c>
      <c r="R38" s="21">
        <f>VLOOKUP(B38,'[6]% Penetración Mdo MAY26'!$B$7:$G$65,3,0)-F38-I38-L38-O38</f>
        <v>60</v>
      </c>
      <c r="S38" s="24">
        <f ca="1">SUMIF('UC BMW 2026'!$B$5:$B$77,'UC BMW 2026'!$B36,'UC BMW 2026'!$O$5:$O$72)</f>
        <v>26</v>
      </c>
      <c r="T38" s="281">
        <f t="shared" ca="1" si="4"/>
        <v>0.43333333333333335</v>
      </c>
      <c r="U38" s="21">
        <f>VLOOKUP(B38,'[7]% Penetración Mdo JUN26'!$B$7:$K$59,3,0)-F38-I38-L38-O38-R38</f>
        <v>62</v>
      </c>
      <c r="V38" s="24">
        <f ca="1">SUMIF('UC BMW 2026'!$B$5:$B$77,'UC BMW 2026'!$B36,'UC BMW 2026'!$Q$5:$Q$72)</f>
        <v>29</v>
      </c>
      <c r="W38" s="281">
        <f t="shared" ca="1" si="5"/>
        <v>0.46774193548387094</v>
      </c>
      <c r="X38" s="21"/>
      <c r="Y38" s="24">
        <f ca="1">SUMIF('UC BMW 2026'!$B$5:$B$77,'UC BMW 2026'!$B36,'UC BMW 2026'!$S$5:$S$72)</f>
        <v>0</v>
      </c>
      <c r="Z38" s="282">
        <f t="shared" ca="1" si="51"/>
        <v>0</v>
      </c>
      <c r="AA38" s="21"/>
      <c r="AB38" s="24">
        <f ca="1">SUMIF('UC BMW 2026'!$B$5:$B$77,'UC BMW 2026'!$B36,'UC BMW 2026'!$U$5:$U$72)</f>
        <v>0</v>
      </c>
      <c r="AC38" s="282">
        <f t="shared" ca="1" si="52"/>
        <v>0</v>
      </c>
      <c r="AD38" s="21"/>
      <c r="AE38" s="24">
        <f ca="1">SUMIF('UC BMW 2026'!$B$5:$B$77,'UC BMW 2026'!$B36,'UC BMW 2026'!$W$5:$W$72)</f>
        <v>0</v>
      </c>
      <c r="AF38" s="282">
        <f t="shared" ca="1" si="53"/>
        <v>0</v>
      </c>
      <c r="AG38" s="21"/>
      <c r="AH38" s="24">
        <f ca="1">SUMIF('UC BMW 2026'!$B$5:$B$77,'UC BMW 2026'!$B36,'UC BMW 2026'!$Y$5:$Y$72)</f>
        <v>0</v>
      </c>
      <c r="AI38" s="282">
        <f t="shared" ca="1" si="54"/>
        <v>0</v>
      </c>
      <c r="AJ38" s="21"/>
      <c r="AK38" s="24">
        <f ca="1">SUMIF('UC BMW 2026'!$B$5:$B$77,'UC BMW 2026'!$B36,'UC BMW 2026'!$AA$5:$AA$72)</f>
        <v>0</v>
      </c>
      <c r="AL38" s="282">
        <f t="shared" ca="1" si="55"/>
        <v>0</v>
      </c>
      <c r="AM38" s="21"/>
      <c r="AN38" s="24">
        <f ca="1">SUMIF('UC BMW 2026'!$B$5:$B$77,'UC BMW 2026'!$B36,'UC BMW 2026'!$AC$5:$AC$72)</f>
        <v>0</v>
      </c>
      <c r="AO38" s="282">
        <f t="shared" ca="1" si="56"/>
        <v>0</v>
      </c>
      <c r="AP38" s="21">
        <f t="shared" si="37"/>
        <v>387</v>
      </c>
      <c r="AQ38" s="20">
        <f t="shared" ca="1" si="37"/>
        <v>175</v>
      </c>
      <c r="AR38" s="129">
        <f t="shared" ca="1" si="16"/>
        <v>0.45219638242894056</v>
      </c>
      <c r="AS38" s="21">
        <f t="shared" si="39"/>
        <v>387</v>
      </c>
      <c r="AT38" s="20">
        <f t="shared" ca="1" si="39"/>
        <v>175</v>
      </c>
      <c r="AU38" s="129">
        <f t="shared" ca="1" si="17"/>
        <v>0.45219638242894056</v>
      </c>
      <c r="AV38" s="25"/>
      <c r="AW38" s="27"/>
      <c r="AX38" s="128"/>
      <c r="AY38" s="293"/>
      <c r="AZ38" s="129"/>
      <c r="BA38" s="27"/>
      <c r="BB38" s="129"/>
      <c r="BC38" s="21">
        <f t="shared" si="41"/>
        <v>387</v>
      </c>
      <c r="BD38" s="20">
        <f t="shared" ca="1" si="41"/>
        <v>175</v>
      </c>
      <c r="BE38" s="130">
        <f t="shared" ca="1" si="18"/>
        <v>0.45219638242894056</v>
      </c>
      <c r="BF38" s="21">
        <f>IFERROR(IF($BF$5="S 1",F38+I38+L38+O38+R38+U38,
IF($BF$5="S 2",X38+AA38+AD38+AG38+AJ38+AM38,0)),0)</f>
        <v>0</v>
      </c>
      <c r="BG38" s="20">
        <f ca="1">IFERROR(IF($BF$5="S 1",G38+J38+M38+P38+S38+V38,
IF($BF$5="S 2",Y38+AB38+AE38+AH38+AK38+AN38,0)),0)</f>
        <v>0</v>
      </c>
      <c r="BH38" s="130">
        <f t="shared" ca="1" si="19"/>
        <v>0</v>
      </c>
      <c r="BJ38" s="2"/>
      <c r="BK38" s="2"/>
      <c r="BL38" s="2"/>
      <c r="BM38" s="2"/>
      <c r="BN38" s="2"/>
      <c r="BO38" s="2"/>
      <c r="BP38" s="2"/>
      <c r="BQ38" s="2"/>
      <c r="BR38" s="2"/>
    </row>
    <row r="39" spans="1:70" s="4" customFormat="1" ht="15" customHeight="1" x14ac:dyDescent="0.3">
      <c r="A39" s="4">
        <f>_xlfn.XLOOKUP(B39,'WHOLESALE BMW 2026'!$B$7:$B$67,'WHOLESALE BMW 2026'!$A$7:$A$67)</f>
        <v>6</v>
      </c>
      <c r="B39" s="8">
        <v>100585</v>
      </c>
      <c r="C39" s="369" t="s">
        <v>58</v>
      </c>
      <c r="D39" s="125"/>
      <c r="E39" s="309" t="s">
        <v>87</v>
      </c>
      <c r="F39" s="21">
        <v>5</v>
      </c>
      <c r="G39" s="24">
        <f ca="1">SUMIF('UC BMW 2026'!$B$5:$B$77,'UC BMW 2026'!B37,'UC BMW 2026'!$G$5:$G$72)</f>
        <v>6</v>
      </c>
      <c r="H39" s="282">
        <f t="shared" ca="1" si="0"/>
        <v>1.2</v>
      </c>
      <c r="I39" s="21">
        <v>15</v>
      </c>
      <c r="J39" s="24">
        <f ca="1">SUMIF('UC BMW 2026'!$B$5:$B$77,'UC BMW 2026'!$B37,'UC BMW 2026'!$I$5:$I$72)</f>
        <v>5</v>
      </c>
      <c r="K39" s="282">
        <f t="shared" ca="1" si="1"/>
        <v>0.33333333333333331</v>
      </c>
      <c r="L39" s="21">
        <f>VLOOKUP(B39,'[4]% Penetración Mdo MAR26'!$B$7:$D$59,3,0)-F39-I39</f>
        <v>18</v>
      </c>
      <c r="M39" s="24">
        <f ca="1">SUMIF('UC BMW 2026'!$B$5:$B$77,'UC BMW 2026'!$B37,'UC BMW 2026'!$K$5:$K$72)</f>
        <v>11</v>
      </c>
      <c r="N39" s="282">
        <f t="shared" ca="1" si="2"/>
        <v>0.61111111111111116</v>
      </c>
      <c r="O39" s="21">
        <f>VLOOKUP(B39,'[5]% Penetración Mdo ABR26'!$B$7:$D$59,3,0)-F39-I39-L39</f>
        <v>12</v>
      </c>
      <c r="P39" s="24">
        <f ca="1">SUMIF('UC BMW 2026'!$B$5:$B$77,'UC BMW 2026'!$B37,'UC BMW 2026'!$M$5:$M$72)</f>
        <v>2</v>
      </c>
      <c r="Q39" s="282">
        <f t="shared" ca="1" si="3"/>
        <v>0.16666666666666666</v>
      </c>
      <c r="R39" s="21">
        <f>VLOOKUP(B39,'[6]% Penetración Mdo MAY26'!$B$7:$G$65,3,0)-F39-I39-L39-O39</f>
        <v>13</v>
      </c>
      <c r="S39" s="24">
        <f ca="1">SUMIF('UC BMW 2026'!$B$5:$B$77,'UC BMW 2026'!$B37,'UC BMW 2026'!$O$5:$O$72)</f>
        <v>9</v>
      </c>
      <c r="T39" s="282">
        <f t="shared" ca="1" si="4"/>
        <v>0.69230769230769229</v>
      </c>
      <c r="U39" s="21">
        <f>VLOOKUP(B39,'[7]% Penetración Mdo JUN26'!$B$7:$K$59,3,0)-F39-I39-L39-O39-R39</f>
        <v>15</v>
      </c>
      <c r="V39" s="24">
        <f ca="1">SUMIF('UC BMW 2026'!$B$5:$B$77,'UC BMW 2026'!$B37,'UC BMW 2026'!$Q$5:$Q$72)</f>
        <v>10</v>
      </c>
      <c r="W39" s="282">
        <f t="shared" ca="1" si="5"/>
        <v>0.66666666666666663</v>
      </c>
      <c r="X39" s="21"/>
      <c r="Y39" s="24">
        <f ca="1">SUMIF('UC BMW 2026'!$B$5:$B$77,'UC BMW 2026'!$B37,'UC BMW 2026'!$S$5:$S$72)</f>
        <v>0</v>
      </c>
      <c r="Z39" s="282">
        <f t="shared" ca="1" si="51"/>
        <v>0</v>
      </c>
      <c r="AA39" s="21"/>
      <c r="AB39" s="24">
        <f ca="1">SUMIF('UC BMW 2026'!$B$5:$B$77,'UC BMW 2026'!$B37,'UC BMW 2026'!$U$5:$U$72)</f>
        <v>0</v>
      </c>
      <c r="AC39" s="282">
        <f t="shared" ca="1" si="52"/>
        <v>0</v>
      </c>
      <c r="AD39" s="21"/>
      <c r="AE39" s="24">
        <f ca="1">SUMIF('UC BMW 2026'!$B$5:$B$77,'UC BMW 2026'!$B37,'UC BMW 2026'!$W$5:$W$72)</f>
        <v>0</v>
      </c>
      <c r="AF39" s="282">
        <f t="shared" ca="1" si="53"/>
        <v>0</v>
      </c>
      <c r="AG39" s="21"/>
      <c r="AH39" s="24">
        <f ca="1">SUMIF('UC BMW 2026'!$B$5:$B$77,'UC BMW 2026'!$B37,'UC BMW 2026'!$Y$5:$Y$72)</f>
        <v>0</v>
      </c>
      <c r="AI39" s="282">
        <f t="shared" ca="1" si="54"/>
        <v>0</v>
      </c>
      <c r="AJ39" s="21"/>
      <c r="AK39" s="24">
        <f ca="1">SUMIF('UC BMW 2026'!$B$5:$B$77,'UC BMW 2026'!$B37,'UC BMW 2026'!$AA$5:$AA$72)</f>
        <v>0</v>
      </c>
      <c r="AL39" s="282">
        <f t="shared" ca="1" si="55"/>
        <v>0</v>
      </c>
      <c r="AM39" s="21"/>
      <c r="AN39" s="24">
        <f ca="1">SUMIF('UC BMW 2026'!$B$5:$B$77,'UC BMW 2026'!$B37,'UC BMW 2026'!$AC$5:$AC$72)</f>
        <v>0</v>
      </c>
      <c r="AO39" s="282">
        <f t="shared" ca="1" si="56"/>
        <v>0</v>
      </c>
      <c r="AP39" s="21">
        <f t="shared" ref="AP39:AQ69" si="57">IFERROR(IF($AP$4="ENERO",F39,IF($AP$4="FEBRERO",F39+I39,IF($AP$4="MARZO",F39+I39+L39,IF($AP$4="ABRIL",F39+I39+L39+O39,IF($AP$4="MAYO",F39+I39+L39+O39+R39,IF($AP$4="JUNIO",F39+I39+L39+O39+R39+U39,IF($AP$4="JULIO",F39+I39+L39+O39+R39+U39+X39,IF($AP$4="AGOSTO",F39+I39+L39+O39+R39+U39+X39+AA39,IF($AP$4="SEPTIEMBRE",F39+I39+L39+O39+R39+U39+X39+AA39+AD39,IF($AP$4="OCTUBRE",F39+I39+L39+O39+R39+U39+X39+AA39+AD39+AG39,IF($AP$4="NOVIEMBRE",F39+I39+L39+O39+R39+U39+X39+AA39+AD39+AG39+AJ39,IF($AP$4="DICIEMBRE",F39+I39+L39+O39+R39+U39+X39+AA39+AD39+AG39+AJ39+AM39,"")))))))))))),0)</f>
        <v>78</v>
      </c>
      <c r="AQ39" s="24">
        <f t="shared" ca="1" si="57"/>
        <v>43</v>
      </c>
      <c r="AR39" s="129">
        <f t="shared" ca="1" si="16"/>
        <v>0.55128205128205132</v>
      </c>
      <c r="AS39" s="21">
        <f t="shared" ref="AS39:AT68" si="58">IFERROR(SUM(AM39,AJ39,AG39,AD39,AA39,X39,U39,R39,O39,L39,I39,F39),0)</f>
        <v>78</v>
      </c>
      <c r="AT39" s="24">
        <f t="shared" ca="1" si="58"/>
        <v>43</v>
      </c>
      <c r="AU39" s="129">
        <f t="shared" ca="1" si="17"/>
        <v>0.55128205128205132</v>
      </c>
      <c r="AV39" s="25"/>
      <c r="AW39" s="27"/>
      <c r="AX39" s="287"/>
      <c r="AY39" s="294"/>
      <c r="AZ39" s="129"/>
      <c r="BA39" s="27"/>
      <c r="BB39" s="129"/>
      <c r="BC39" s="21">
        <f t="shared" ref="BC39:BD67" si="59">IFERROR(IF($BC$5="S 1",F39+I39+L39+O39+R39+U39,
IF($BC$5="S 2",X39+AA39+AD39+AG39+AJ39+AM39,0)),0)</f>
        <v>78</v>
      </c>
      <c r="BD39" s="24">
        <f t="shared" ca="1" si="59"/>
        <v>43</v>
      </c>
      <c r="BE39" s="130">
        <f t="shared" ca="1" si="18"/>
        <v>0.55128205128205132</v>
      </c>
      <c r="BF39" s="21">
        <f t="shared" ref="BF39:BG43" si="60">IFERROR(IF($BF$5="S 1",F39+I39+L39+O39+R39+U39,
IF($BF$5="S 2",X39+AA39+AD39+AG39+AJ39+AM39,0)),0)</f>
        <v>0</v>
      </c>
      <c r="BG39" s="24">
        <f t="shared" ca="1" si="60"/>
        <v>0</v>
      </c>
      <c r="BH39" s="130">
        <f t="shared" ca="1" si="19"/>
        <v>0</v>
      </c>
      <c r="BJ39" s="2"/>
      <c r="BK39" s="2"/>
      <c r="BL39" s="2"/>
      <c r="BM39" s="2"/>
      <c r="BN39" s="2"/>
      <c r="BO39" s="2"/>
      <c r="BP39" s="2"/>
      <c r="BQ39" s="2"/>
      <c r="BR39" s="2"/>
    </row>
    <row r="40" spans="1:70" s="4" customFormat="1" ht="15" customHeight="1" x14ac:dyDescent="0.3">
      <c r="A40" s="4">
        <f>_xlfn.XLOOKUP(B40,'WHOLESALE BMW 2026'!$B$7:$B$67,'WHOLESALE BMW 2026'!$A$7:$A$67)</f>
        <v>6</v>
      </c>
      <c r="B40" s="8">
        <v>100597</v>
      </c>
      <c r="C40" s="369" t="s">
        <v>53</v>
      </c>
      <c r="D40" s="125"/>
      <c r="E40" s="309" t="s">
        <v>105</v>
      </c>
      <c r="F40" s="21">
        <v>12</v>
      </c>
      <c r="G40" s="24">
        <f ca="1">SUMIF('UC BMW 2026'!$B$5:$B$77,'UC BMW 2026'!B38,'UC BMW 2026'!$G$5:$G$72)</f>
        <v>7</v>
      </c>
      <c r="H40" s="282">
        <f t="shared" ca="1" si="0"/>
        <v>0.58333333333333337</v>
      </c>
      <c r="I40" s="21">
        <v>17</v>
      </c>
      <c r="J40" s="24">
        <f ca="1">SUMIF('UC BMW 2026'!$B$5:$B$77,'UC BMW 2026'!$B38,'UC BMW 2026'!$I$5:$I$72)</f>
        <v>7</v>
      </c>
      <c r="K40" s="282">
        <f t="shared" ca="1" si="1"/>
        <v>0.41176470588235292</v>
      </c>
      <c r="L40" s="21">
        <f>VLOOKUP(B40,'[4]% Penetración Mdo MAR26'!$B$7:$D$59,3,0)-F40-I40</f>
        <v>19</v>
      </c>
      <c r="M40" s="24">
        <f ca="1">SUMIF('UC BMW 2026'!$B$5:$B$77,'UC BMW 2026'!$B38,'UC BMW 2026'!$K$5:$K$72)</f>
        <v>6</v>
      </c>
      <c r="N40" s="282">
        <f t="shared" ca="1" si="2"/>
        <v>0.31578947368421051</v>
      </c>
      <c r="O40" s="21">
        <f>VLOOKUP(B40,'[5]% Penetración Mdo ABR26'!$B$7:$D$59,3,0)-F40-I40-L40</f>
        <v>11</v>
      </c>
      <c r="P40" s="24">
        <f ca="1">SUMIF('UC BMW 2026'!$B$5:$B$77,'UC BMW 2026'!$B38,'UC BMW 2026'!$M$5:$M$72)</f>
        <v>8</v>
      </c>
      <c r="Q40" s="282">
        <f t="shared" ca="1" si="3"/>
        <v>0.72727272727272729</v>
      </c>
      <c r="R40" s="21">
        <f>VLOOKUP(B40,'[6]% Penetración Mdo MAY26'!$B$7:$G$65,3,0)-F40-I40-L40-O40</f>
        <v>13</v>
      </c>
      <c r="S40" s="24">
        <f ca="1">SUMIF('UC BMW 2026'!$B$5:$B$77,'UC BMW 2026'!$B38,'UC BMW 2026'!$O$5:$O$72)</f>
        <v>3</v>
      </c>
      <c r="T40" s="282">
        <f t="shared" ca="1" si="4"/>
        <v>0.23076923076923078</v>
      </c>
      <c r="U40" s="21">
        <f>VLOOKUP(B40,'[7]% Penetración Mdo JUN26'!$B$7:$K$59,3,0)-F40-I40-L40-O40-R40</f>
        <v>26</v>
      </c>
      <c r="V40" s="24">
        <f ca="1">SUMIF('UC BMW 2026'!$B$5:$B$77,'UC BMW 2026'!$B38,'UC BMW 2026'!$Q$5:$Q$72)</f>
        <v>7</v>
      </c>
      <c r="W40" s="282">
        <f t="shared" ca="1" si="5"/>
        <v>0.26923076923076922</v>
      </c>
      <c r="X40" s="21"/>
      <c r="Y40" s="24">
        <f ca="1">SUMIF('UC BMW 2026'!$B$5:$B$77,'UC BMW 2026'!$B38,'UC BMW 2026'!$S$5:$S$72)</f>
        <v>0</v>
      </c>
      <c r="Z40" s="282">
        <f t="shared" ca="1" si="51"/>
        <v>0</v>
      </c>
      <c r="AA40" s="21"/>
      <c r="AB40" s="24">
        <f ca="1">SUMIF('UC BMW 2026'!$B$5:$B$77,'UC BMW 2026'!$B38,'UC BMW 2026'!$U$5:$U$72)</f>
        <v>0</v>
      </c>
      <c r="AC40" s="282">
        <f t="shared" ca="1" si="52"/>
        <v>0</v>
      </c>
      <c r="AD40" s="21"/>
      <c r="AE40" s="24">
        <f ca="1">SUMIF('UC BMW 2026'!$B$5:$B$77,'UC BMW 2026'!$B38,'UC BMW 2026'!$W$5:$W$72)</f>
        <v>0</v>
      </c>
      <c r="AF40" s="282">
        <f t="shared" ca="1" si="53"/>
        <v>0</v>
      </c>
      <c r="AG40" s="21"/>
      <c r="AH40" s="24">
        <f ca="1">SUMIF('UC BMW 2026'!$B$5:$B$77,'UC BMW 2026'!$B38,'UC BMW 2026'!$Y$5:$Y$72)</f>
        <v>0</v>
      </c>
      <c r="AI40" s="282">
        <f t="shared" ca="1" si="54"/>
        <v>0</v>
      </c>
      <c r="AJ40" s="21"/>
      <c r="AK40" s="24">
        <f ca="1">SUMIF('UC BMW 2026'!$B$5:$B$77,'UC BMW 2026'!$B38,'UC BMW 2026'!$AA$5:$AA$72)</f>
        <v>0</v>
      </c>
      <c r="AL40" s="282">
        <f t="shared" ca="1" si="55"/>
        <v>0</v>
      </c>
      <c r="AM40" s="21"/>
      <c r="AN40" s="24">
        <f ca="1">SUMIF('UC BMW 2026'!$B$5:$B$77,'UC BMW 2026'!$B38,'UC BMW 2026'!$AC$5:$AC$72)</f>
        <v>0</v>
      </c>
      <c r="AO40" s="282">
        <f t="shared" ca="1" si="56"/>
        <v>0</v>
      </c>
      <c r="AP40" s="21">
        <f t="shared" si="57"/>
        <v>98</v>
      </c>
      <c r="AQ40" s="24">
        <f t="shared" ca="1" si="57"/>
        <v>38</v>
      </c>
      <c r="AR40" s="129">
        <f t="shared" ca="1" si="16"/>
        <v>0.38775510204081631</v>
      </c>
      <c r="AS40" s="21">
        <f t="shared" si="58"/>
        <v>98</v>
      </c>
      <c r="AT40" s="24">
        <f t="shared" ca="1" si="58"/>
        <v>38</v>
      </c>
      <c r="AU40" s="129">
        <f t="shared" ca="1" si="17"/>
        <v>0.38775510204081631</v>
      </c>
      <c r="AV40" s="25"/>
      <c r="AW40" s="27"/>
      <c r="AX40" s="287"/>
      <c r="AY40" s="294"/>
      <c r="AZ40" s="129"/>
      <c r="BA40" s="27"/>
      <c r="BB40" s="129"/>
      <c r="BC40" s="21">
        <f t="shared" si="59"/>
        <v>98</v>
      </c>
      <c r="BD40" s="24">
        <f t="shared" ca="1" si="59"/>
        <v>38</v>
      </c>
      <c r="BE40" s="130">
        <f t="shared" ca="1" si="18"/>
        <v>0.38775510204081631</v>
      </c>
      <c r="BF40" s="21">
        <f t="shared" si="60"/>
        <v>0</v>
      </c>
      <c r="BG40" s="24">
        <f t="shared" ca="1" si="60"/>
        <v>0</v>
      </c>
      <c r="BH40" s="130">
        <f t="shared" ca="1" si="19"/>
        <v>0</v>
      </c>
      <c r="BJ40" s="2"/>
      <c r="BK40" s="2"/>
      <c r="BL40" s="2"/>
      <c r="BM40" s="2"/>
      <c r="BN40" s="2"/>
      <c r="BO40" s="2"/>
      <c r="BP40" s="2"/>
      <c r="BQ40" s="2"/>
      <c r="BR40" s="2"/>
    </row>
    <row r="41" spans="1:70" s="4" customFormat="1" ht="15" customHeight="1" x14ac:dyDescent="0.3">
      <c r="A41" s="4">
        <f>_xlfn.XLOOKUP(B41,'WHOLESALE BMW 2026'!$B$7:$B$67,'WHOLESALE BMW 2026'!$A$7:$A$67)</f>
        <v>6</v>
      </c>
      <c r="B41" s="8">
        <v>100727</v>
      </c>
      <c r="C41" s="369" t="s">
        <v>21</v>
      </c>
      <c r="D41" s="125"/>
      <c r="E41" s="309" t="s">
        <v>93</v>
      </c>
      <c r="F41" s="21">
        <v>18</v>
      </c>
      <c r="G41" s="24">
        <f ca="1">SUMIF('UC BMW 2026'!$B$5:$B$77,'UC BMW 2026'!B39,'UC BMW 2026'!$G$5:$G$72)</f>
        <v>15</v>
      </c>
      <c r="H41" s="285">
        <f ca="1">IFERROR(G41/F41,0)</f>
        <v>0.83333333333333337</v>
      </c>
      <c r="I41" s="21">
        <v>30</v>
      </c>
      <c r="J41" s="24">
        <f ca="1">SUMIF('UC BMW 2026'!$B$5:$B$77,'UC BMW 2026'!$B39,'UC BMW 2026'!$I$5:$I$72)</f>
        <v>20</v>
      </c>
      <c r="K41" s="285">
        <f ca="1">IFERROR(J41/I41,0)</f>
        <v>0.66666666666666663</v>
      </c>
      <c r="L41" s="21">
        <f>VLOOKUP(B41,'[4]% Penetración Mdo MAR26'!$B$7:$D$59,3,0)-F41-I41</f>
        <v>18</v>
      </c>
      <c r="M41" s="24">
        <f ca="1">SUMIF('UC BMW 2026'!$B$5:$B$77,'UC BMW 2026'!$B39,'UC BMW 2026'!$K$5:$K$72)</f>
        <v>5</v>
      </c>
      <c r="N41" s="285">
        <f ca="1">IFERROR(M41/L41,0)</f>
        <v>0.27777777777777779</v>
      </c>
      <c r="O41" s="21">
        <f>VLOOKUP(B41,'[5]% Penetración Mdo ABR26'!$B$7:$D$59,3,0)-F41-I41-L41</f>
        <v>23</v>
      </c>
      <c r="P41" s="24">
        <f ca="1">SUMIF('UC BMW 2026'!$B$5:$B$77,'UC BMW 2026'!$B39,'UC BMW 2026'!$M$5:$M$72)</f>
        <v>10</v>
      </c>
      <c r="Q41" s="285">
        <f ca="1">IFERROR(P41/O41,0)</f>
        <v>0.43478260869565216</v>
      </c>
      <c r="R41" s="21">
        <f>VLOOKUP(B41,'[6]% Penetración Mdo MAY26'!$B$7:$G$65,3,0)-F41-I41-L41-O41</f>
        <v>25</v>
      </c>
      <c r="S41" s="24">
        <f ca="1">SUMIF('UC BMW 2026'!$B$5:$B$77,'UC BMW 2026'!$B39,'UC BMW 2026'!$O$5:$O$72)</f>
        <v>7</v>
      </c>
      <c r="T41" s="285">
        <f ca="1">IFERROR(S41/R41,0)</f>
        <v>0.28000000000000003</v>
      </c>
      <c r="U41" s="21">
        <f>VLOOKUP(B41,'[7]% Penetración Mdo JUN26'!$B$7:$K$59,3,0)-F41-I41-L41-O41-R41</f>
        <v>46</v>
      </c>
      <c r="V41" s="24">
        <f ca="1">SUMIF('UC BMW 2026'!$B$5:$B$77,'UC BMW 2026'!$B39,'UC BMW 2026'!$Q$5:$Q$72)</f>
        <v>21</v>
      </c>
      <c r="W41" s="285">
        <f ca="1">IFERROR(V41/U41,0)</f>
        <v>0.45652173913043476</v>
      </c>
      <c r="X41" s="21"/>
      <c r="Y41" s="24">
        <f ca="1">SUMIF('UC BMW 2026'!$B$5:$B$77,'UC BMW 2026'!$B39,'UC BMW 2026'!$S$5:$S$72)</f>
        <v>0</v>
      </c>
      <c r="Z41" s="282">
        <f t="shared" ca="1" si="51"/>
        <v>0</v>
      </c>
      <c r="AA41" s="21"/>
      <c r="AB41" s="24">
        <f ca="1">SUMIF('UC BMW 2026'!$B$5:$B$77,'UC BMW 2026'!$B39,'UC BMW 2026'!$U$5:$U$72)</f>
        <v>0</v>
      </c>
      <c r="AC41" s="282">
        <f t="shared" ca="1" si="52"/>
        <v>0</v>
      </c>
      <c r="AD41" s="21"/>
      <c r="AE41" s="24">
        <f ca="1">SUMIF('UC BMW 2026'!$B$5:$B$77,'UC BMW 2026'!$B39,'UC BMW 2026'!$W$5:$W$72)</f>
        <v>0</v>
      </c>
      <c r="AF41" s="282">
        <f t="shared" ca="1" si="53"/>
        <v>0</v>
      </c>
      <c r="AG41" s="21"/>
      <c r="AH41" s="24">
        <f ca="1">SUMIF('UC BMW 2026'!$B$5:$B$77,'UC BMW 2026'!$B39,'UC BMW 2026'!$Y$5:$Y$72)</f>
        <v>0</v>
      </c>
      <c r="AI41" s="282">
        <f t="shared" ca="1" si="54"/>
        <v>0</v>
      </c>
      <c r="AJ41" s="21"/>
      <c r="AK41" s="24">
        <f ca="1">SUMIF('UC BMW 2026'!$B$5:$B$77,'UC BMW 2026'!$B39,'UC BMW 2026'!$AA$5:$AA$72)</f>
        <v>0</v>
      </c>
      <c r="AL41" s="282">
        <f t="shared" ca="1" si="55"/>
        <v>0</v>
      </c>
      <c r="AM41" s="21"/>
      <c r="AN41" s="24">
        <f ca="1">SUMIF('UC BMW 2026'!$B$5:$B$77,'UC BMW 2026'!$B39,'UC BMW 2026'!$AC$5:$AC$72)</f>
        <v>0</v>
      </c>
      <c r="AO41" s="282">
        <f t="shared" ca="1" si="56"/>
        <v>0</v>
      </c>
      <c r="AP41" s="21">
        <f t="shared" si="57"/>
        <v>160</v>
      </c>
      <c r="AQ41" s="22">
        <f t="shared" ca="1" si="57"/>
        <v>78</v>
      </c>
      <c r="AR41" s="129">
        <f ca="1">IFERROR(AQ41/AP41,0)</f>
        <v>0.48749999999999999</v>
      </c>
      <c r="AS41" s="21">
        <f t="shared" si="58"/>
        <v>160</v>
      </c>
      <c r="AT41" s="22">
        <f t="shared" ca="1" si="58"/>
        <v>78</v>
      </c>
      <c r="AU41" s="129">
        <f ca="1">IFERROR(AT41/AS41,0)</f>
        <v>0.48749999999999999</v>
      </c>
      <c r="AV41" s="25"/>
      <c r="AW41" s="27"/>
      <c r="AX41" s="287"/>
      <c r="AY41" s="291"/>
      <c r="AZ41" s="287"/>
      <c r="BA41" s="27"/>
      <c r="BB41" s="129"/>
      <c r="BC41" s="21">
        <f t="shared" si="59"/>
        <v>160</v>
      </c>
      <c r="BD41" s="22">
        <f t="shared" ca="1" si="59"/>
        <v>78</v>
      </c>
      <c r="BE41" s="130">
        <f ca="1">IFERROR(BD41/BC41,0)</f>
        <v>0.48749999999999999</v>
      </c>
      <c r="BF41" s="34">
        <f t="shared" si="60"/>
        <v>0</v>
      </c>
      <c r="BG41" s="22">
        <f t="shared" ca="1" si="60"/>
        <v>0</v>
      </c>
      <c r="BH41" s="130">
        <f ca="1">IFERROR(BG41/BF41,0)</f>
        <v>0</v>
      </c>
      <c r="BJ41" s="2"/>
      <c r="BK41" s="2"/>
      <c r="BL41" s="2"/>
      <c r="BM41" s="2"/>
      <c r="BN41" s="2"/>
      <c r="BO41" s="2"/>
      <c r="BP41" s="2"/>
      <c r="BQ41" s="2"/>
      <c r="BR41" s="2"/>
    </row>
    <row r="42" spans="1:70" s="4" customFormat="1" ht="15" customHeight="1" x14ac:dyDescent="0.3">
      <c r="A42" s="4">
        <f>_xlfn.XLOOKUP(B42,'WHOLESALE BMW 2026'!$B$7:$B$67,'WHOLESALE BMW 2026'!$A$7:$A$67)</f>
        <v>6</v>
      </c>
      <c r="B42" s="8">
        <v>100728</v>
      </c>
      <c r="C42" s="369" t="s">
        <v>24</v>
      </c>
      <c r="D42" s="125"/>
      <c r="E42" s="309" t="s">
        <v>94</v>
      </c>
      <c r="F42" s="21">
        <v>37</v>
      </c>
      <c r="G42" s="24">
        <f ca="1">SUMIF('UC BMW 2026'!$B$5:$B$77,'UC BMW 2026'!B40,'UC BMW 2026'!$G$5:$G$72)</f>
        <v>24</v>
      </c>
      <c r="H42" s="285">
        <f ca="1">IFERROR(G42/F42,0)</f>
        <v>0.64864864864864868</v>
      </c>
      <c r="I42" s="21">
        <v>63</v>
      </c>
      <c r="J42" s="24">
        <f ca="1">SUMIF('UC BMW 2026'!$B$5:$B$77,'UC BMW 2026'!$B40,'UC BMW 2026'!$I$5:$I$72)</f>
        <v>27</v>
      </c>
      <c r="K42" s="285">
        <f ca="1">IFERROR(J42/I42,0)</f>
        <v>0.42857142857142855</v>
      </c>
      <c r="L42" s="21">
        <f>VLOOKUP(B42,'[4]% Penetración Mdo MAR26'!$B$7:$D$59,3,0)-F42-I42</f>
        <v>59</v>
      </c>
      <c r="M42" s="24">
        <f ca="1">SUMIF('UC BMW 2026'!$B$5:$B$77,'UC BMW 2026'!$B40,'UC BMW 2026'!$K$5:$K$72)</f>
        <v>33</v>
      </c>
      <c r="N42" s="285">
        <f ca="1">IFERROR(M42/L42,0)</f>
        <v>0.55932203389830504</v>
      </c>
      <c r="O42" s="21">
        <f>VLOOKUP(B42,'[5]% Penetración Mdo ABR26'!$B$7:$D$59,3,0)-F42-I42-L42</f>
        <v>56</v>
      </c>
      <c r="P42" s="24">
        <f ca="1">SUMIF('UC BMW 2026'!$B$5:$B$77,'UC BMW 2026'!$B40,'UC BMW 2026'!$M$5:$M$72)</f>
        <v>45</v>
      </c>
      <c r="Q42" s="285">
        <f ca="1">IFERROR(P42/O42,0)</f>
        <v>0.8035714285714286</v>
      </c>
      <c r="R42" s="21">
        <f>VLOOKUP(B42,'[6]% Penetración Mdo MAY26'!$B$7:$G$65,3,0)-F42-I42-L42-O42</f>
        <v>58</v>
      </c>
      <c r="S42" s="24">
        <f ca="1">SUMIF('UC BMW 2026'!$B$5:$B$77,'UC BMW 2026'!$B40,'UC BMW 2026'!$O$5:$O$72)</f>
        <v>23</v>
      </c>
      <c r="T42" s="285">
        <f ca="1">IFERROR(S42/R42,0)</f>
        <v>0.39655172413793105</v>
      </c>
      <c r="U42" s="21">
        <f>VLOOKUP(B42,'[7]% Penetración Mdo JUN26'!$B$7:$K$59,3,0)-F42-I42-L42-O42-R42</f>
        <v>56</v>
      </c>
      <c r="V42" s="24">
        <f ca="1">SUMIF('UC BMW 2026'!$B$5:$B$77,'UC BMW 2026'!$B40,'UC BMW 2026'!$Q$5:$Q$72)</f>
        <v>60</v>
      </c>
      <c r="W42" s="285">
        <f ca="1">IFERROR(V42/U42,0)</f>
        <v>1.0714285714285714</v>
      </c>
      <c r="X42" s="21"/>
      <c r="Y42" s="24">
        <f ca="1">SUMIF('UC BMW 2026'!$B$5:$B$77,'UC BMW 2026'!$B40,'UC BMW 2026'!$S$5:$S$72)</f>
        <v>0</v>
      </c>
      <c r="Z42" s="282">
        <f t="shared" ca="1" si="51"/>
        <v>0</v>
      </c>
      <c r="AA42" s="21"/>
      <c r="AB42" s="24">
        <f ca="1">SUMIF('UC BMW 2026'!$B$5:$B$77,'UC BMW 2026'!$B40,'UC BMW 2026'!$U$5:$U$72)</f>
        <v>0</v>
      </c>
      <c r="AC42" s="282">
        <f t="shared" ca="1" si="52"/>
        <v>0</v>
      </c>
      <c r="AD42" s="21"/>
      <c r="AE42" s="24">
        <f ca="1">SUMIF('UC BMW 2026'!$B$5:$B$77,'UC BMW 2026'!$B40,'UC BMW 2026'!$W$5:$W$72)</f>
        <v>0</v>
      </c>
      <c r="AF42" s="282">
        <f t="shared" ca="1" si="53"/>
        <v>0</v>
      </c>
      <c r="AG42" s="21"/>
      <c r="AH42" s="24">
        <f ca="1">SUMIF('UC BMW 2026'!$B$5:$B$77,'UC BMW 2026'!$B40,'UC BMW 2026'!$Y$5:$Y$72)</f>
        <v>0</v>
      </c>
      <c r="AI42" s="282">
        <f t="shared" ca="1" si="54"/>
        <v>0</v>
      </c>
      <c r="AJ42" s="21"/>
      <c r="AK42" s="24">
        <f ca="1">SUMIF('UC BMW 2026'!$B$5:$B$77,'UC BMW 2026'!$B40,'UC BMW 2026'!$AA$5:$AA$72)</f>
        <v>0</v>
      </c>
      <c r="AL42" s="282">
        <f t="shared" ca="1" si="55"/>
        <v>0</v>
      </c>
      <c r="AM42" s="21"/>
      <c r="AN42" s="24">
        <f ca="1">SUMIF('UC BMW 2026'!$B$5:$B$77,'UC BMW 2026'!$B40,'UC BMW 2026'!$AC$5:$AC$72)</f>
        <v>0</v>
      </c>
      <c r="AO42" s="282">
        <f t="shared" ca="1" si="56"/>
        <v>0</v>
      </c>
      <c r="AP42" s="21">
        <f t="shared" si="57"/>
        <v>329</v>
      </c>
      <c r="AQ42" s="22">
        <f t="shared" ca="1" si="57"/>
        <v>212</v>
      </c>
      <c r="AR42" s="129">
        <f ca="1">IFERROR(AQ42/AP42,0)</f>
        <v>0.64437689969604861</v>
      </c>
      <c r="AS42" s="21">
        <f t="shared" si="58"/>
        <v>329</v>
      </c>
      <c r="AT42" s="22">
        <f t="shared" ca="1" si="58"/>
        <v>212</v>
      </c>
      <c r="AU42" s="129">
        <f ca="1">IFERROR(AT42/AS42,0)</f>
        <v>0.64437689969604861</v>
      </c>
      <c r="AV42" s="25"/>
      <c r="AW42" s="27"/>
      <c r="AX42" s="287"/>
      <c r="AY42" s="291"/>
      <c r="AZ42" s="287"/>
      <c r="BA42" s="27"/>
      <c r="BB42" s="129"/>
      <c r="BC42" s="21">
        <f t="shared" si="59"/>
        <v>329</v>
      </c>
      <c r="BD42" s="22">
        <f t="shared" ca="1" si="59"/>
        <v>212</v>
      </c>
      <c r="BE42" s="130">
        <f ca="1">IFERROR(BD42/BC42,0)</f>
        <v>0.64437689969604861</v>
      </c>
      <c r="BF42" s="34">
        <f t="shared" si="60"/>
        <v>0</v>
      </c>
      <c r="BG42" s="22">
        <f t="shared" ca="1" si="60"/>
        <v>0</v>
      </c>
      <c r="BH42" s="130">
        <f ca="1">IFERROR(BG42/BF42,0)</f>
        <v>0</v>
      </c>
      <c r="BJ42" s="2"/>
      <c r="BK42" s="2"/>
      <c r="BL42" s="2"/>
      <c r="BM42" s="2"/>
      <c r="BN42" s="2"/>
      <c r="BO42" s="2"/>
      <c r="BP42" s="2"/>
      <c r="BQ42" s="2"/>
      <c r="BR42" s="2"/>
    </row>
    <row r="43" spans="1:70" s="4" customFormat="1" ht="15" customHeight="1" thickBot="1" x14ac:dyDescent="0.35">
      <c r="A43" s="4">
        <f>_xlfn.XLOOKUP(B43,'WHOLESALE BMW 2026'!$B$7:$B$67,'WHOLESALE BMW 2026'!$A$7:$A$67)</f>
        <v>6</v>
      </c>
      <c r="B43" s="8">
        <v>100817</v>
      </c>
      <c r="C43" s="369" t="s">
        <v>69</v>
      </c>
      <c r="D43" s="125"/>
      <c r="E43" s="309" t="s">
        <v>94</v>
      </c>
      <c r="F43" s="21">
        <v>38</v>
      </c>
      <c r="G43" s="24">
        <f ca="1">SUMIF('UC BMW 2026'!$B$5:$B$77,'UC BMW 2026'!B41,'UC BMW 2026'!$G$5:$G$72)</f>
        <v>30</v>
      </c>
      <c r="H43" s="285">
        <f ca="1">IFERROR(G43/F43,0)</f>
        <v>0.78947368421052633</v>
      </c>
      <c r="I43" s="21">
        <v>69</v>
      </c>
      <c r="J43" s="24">
        <f ca="1">SUMIF('UC BMW 2026'!$B$5:$B$77,'UC BMW 2026'!$B41,'UC BMW 2026'!$I$5:$I$72)</f>
        <v>22</v>
      </c>
      <c r="K43" s="285">
        <f ca="1">IFERROR(J43/I43,0)</f>
        <v>0.3188405797101449</v>
      </c>
      <c r="L43" s="21">
        <f>VLOOKUP(B43,'[4]% Penetración Mdo MAR26'!$B$7:$D$59,3,0)-F43-I43</f>
        <v>69</v>
      </c>
      <c r="M43" s="24">
        <f ca="1">SUMIF('UC BMW 2026'!$B$5:$B$77,'UC BMW 2026'!$B41,'UC BMW 2026'!$K$5:$K$72)</f>
        <v>38</v>
      </c>
      <c r="N43" s="285">
        <f ca="1">IFERROR(M43/L43,0)</f>
        <v>0.55072463768115942</v>
      </c>
      <c r="O43" s="21">
        <f>VLOOKUP(B43,'[5]% Penetración Mdo ABR26'!$B$7:$D$59,3,0)-F43-I43-L43</f>
        <v>66</v>
      </c>
      <c r="P43" s="24">
        <f ca="1">SUMIF('UC BMW 2026'!$B$5:$B$77,'UC BMW 2026'!$B41,'UC BMW 2026'!$M$5:$M$72)</f>
        <v>42</v>
      </c>
      <c r="Q43" s="285">
        <f ca="1">IFERROR(P43/O43,0)</f>
        <v>0.63636363636363635</v>
      </c>
      <c r="R43" s="21">
        <f>VLOOKUP(B43,'[6]% Penetración Mdo MAY26'!$B$7:$G$65,3,0)-F43-I43-L43-O43</f>
        <v>65</v>
      </c>
      <c r="S43" s="24">
        <f ca="1">SUMIF('UC BMW 2026'!$B$5:$B$77,'UC BMW 2026'!$B41,'UC BMW 2026'!$O$5:$O$72)</f>
        <v>39</v>
      </c>
      <c r="T43" s="285">
        <f ca="1">IFERROR(S43/R43,0)</f>
        <v>0.6</v>
      </c>
      <c r="U43" s="21">
        <f>VLOOKUP(B43,'[7]% Penetración Mdo JUN26'!$B$7:$K$59,3,0)-F43-I43-L43-O43-R43</f>
        <v>65</v>
      </c>
      <c r="V43" s="24">
        <f ca="1">SUMIF('UC BMW 2026'!$B$5:$B$77,'UC BMW 2026'!$B41,'UC BMW 2026'!$Q$5:$Q$72)</f>
        <v>47</v>
      </c>
      <c r="W43" s="285">
        <f ca="1">IFERROR(V43/U43,0)</f>
        <v>0.72307692307692306</v>
      </c>
      <c r="X43" s="21"/>
      <c r="Y43" s="24">
        <f ca="1">SUMIF('UC BMW 2026'!$B$5:$B$77,'UC BMW 2026'!$B41,'UC BMW 2026'!$S$5:$S$72)</f>
        <v>0</v>
      </c>
      <c r="Z43" s="282">
        <f t="shared" ca="1" si="51"/>
        <v>0</v>
      </c>
      <c r="AA43" s="21"/>
      <c r="AB43" s="24">
        <f ca="1">SUMIF('UC BMW 2026'!$B$5:$B$77,'UC BMW 2026'!$B41,'UC BMW 2026'!$U$5:$U$72)</f>
        <v>0</v>
      </c>
      <c r="AC43" s="282">
        <f t="shared" ca="1" si="52"/>
        <v>0</v>
      </c>
      <c r="AD43" s="21"/>
      <c r="AE43" s="24">
        <f ca="1">SUMIF('UC BMW 2026'!$B$5:$B$77,'UC BMW 2026'!$B41,'UC BMW 2026'!$W$5:$W$72)</f>
        <v>0</v>
      </c>
      <c r="AF43" s="282">
        <f t="shared" ca="1" si="53"/>
        <v>0</v>
      </c>
      <c r="AG43" s="21"/>
      <c r="AH43" s="24">
        <f ca="1">SUMIF('UC BMW 2026'!$B$5:$B$77,'UC BMW 2026'!$B41,'UC BMW 2026'!$Y$5:$Y$72)</f>
        <v>0</v>
      </c>
      <c r="AI43" s="282">
        <f t="shared" ca="1" si="54"/>
        <v>0</v>
      </c>
      <c r="AJ43" s="21"/>
      <c r="AK43" s="24">
        <f ca="1">SUMIF('UC BMW 2026'!$B$5:$B$77,'UC BMW 2026'!$B41,'UC BMW 2026'!$AA$5:$AA$72)</f>
        <v>0</v>
      </c>
      <c r="AL43" s="282">
        <f t="shared" ca="1" si="55"/>
        <v>0</v>
      </c>
      <c r="AM43" s="21"/>
      <c r="AN43" s="24">
        <f ca="1">SUMIF('UC BMW 2026'!$B$5:$B$77,'UC BMW 2026'!$B41,'UC BMW 2026'!$AC$5:$AC$72)</f>
        <v>0</v>
      </c>
      <c r="AO43" s="282">
        <f t="shared" ca="1" si="56"/>
        <v>0</v>
      </c>
      <c r="AP43" s="21">
        <f t="shared" si="57"/>
        <v>372</v>
      </c>
      <c r="AQ43" s="22">
        <f t="shared" ca="1" si="57"/>
        <v>218</v>
      </c>
      <c r="AR43" s="129">
        <f ca="1">IFERROR(AQ43/AP43,0)</f>
        <v>0.58602150537634412</v>
      </c>
      <c r="AS43" s="21">
        <f t="shared" si="58"/>
        <v>372</v>
      </c>
      <c r="AT43" s="22">
        <f t="shared" ca="1" si="58"/>
        <v>218</v>
      </c>
      <c r="AU43" s="129">
        <f ca="1">IFERROR(AT43/AS43,0)</f>
        <v>0.58602150537634412</v>
      </c>
      <c r="AV43" s="25"/>
      <c r="AW43" s="27"/>
      <c r="AX43" s="287"/>
      <c r="AY43" s="291"/>
      <c r="AZ43" s="287"/>
      <c r="BA43" s="27"/>
      <c r="BB43" s="129"/>
      <c r="BC43" s="21">
        <f t="shared" si="59"/>
        <v>372</v>
      </c>
      <c r="BD43" s="22">
        <f t="shared" ca="1" si="59"/>
        <v>218</v>
      </c>
      <c r="BE43" s="130">
        <f ca="1">IFERROR(BD43/BC43,0)</f>
        <v>0.58602150537634412</v>
      </c>
      <c r="BF43" s="34">
        <f t="shared" si="60"/>
        <v>0</v>
      </c>
      <c r="BG43" s="22">
        <f t="shared" ca="1" si="60"/>
        <v>0</v>
      </c>
      <c r="BH43" s="130">
        <f ca="1">IFERROR(BG43/BF43,0)</f>
        <v>0</v>
      </c>
      <c r="BJ43" s="2"/>
      <c r="BK43" s="2"/>
      <c r="BL43" s="2"/>
      <c r="BM43" s="2"/>
      <c r="BN43" s="2"/>
      <c r="BO43" s="2"/>
      <c r="BP43" s="2"/>
      <c r="BQ43" s="2"/>
      <c r="BR43" s="2"/>
    </row>
    <row r="44" spans="1:70" s="4" customFormat="1" ht="15" customHeight="1" thickBot="1" x14ac:dyDescent="0.3">
      <c r="A44" s="4">
        <f>_xlfn.XLOOKUP(B44,'WHOLESALE BMW 2026'!$B$7:$B$67,'WHOLESALE BMW 2026'!$A$7:$A$67)</f>
        <v>0</v>
      </c>
      <c r="B44" s="7" t="s">
        <v>268</v>
      </c>
      <c r="C44" s="28"/>
      <c r="D44" s="125"/>
      <c r="E44" s="7"/>
      <c r="F44" s="277">
        <f>SUM(F38:F43)</f>
        <v>166</v>
      </c>
      <c r="G44" s="277">
        <f ca="1">SUM(G38:G43)</f>
        <v>104</v>
      </c>
      <c r="H44" s="132">
        <f ca="1">IFERROR(G44/F44,0)</f>
        <v>0.62650602409638556</v>
      </c>
      <c r="I44" s="277">
        <f>SUM(I38:I43)</f>
        <v>268</v>
      </c>
      <c r="J44" s="277">
        <f ca="1">SUM(J38:J43)</f>
        <v>111</v>
      </c>
      <c r="K44" s="132">
        <f ca="1">IFERROR(J44/I44,0)</f>
        <v>0.41417910447761191</v>
      </c>
      <c r="L44" s="277">
        <f>SUM(L38:L43)</f>
        <v>257</v>
      </c>
      <c r="M44" s="200">
        <f ca="1">SUM(M38:M43)</f>
        <v>128</v>
      </c>
      <c r="N44" s="132">
        <f ca="1">IFERROR(M44/L44,0)</f>
        <v>0.49805447470817121</v>
      </c>
      <c r="O44" s="277">
        <f>SUM(O38:O43)</f>
        <v>229</v>
      </c>
      <c r="P44" s="277">
        <f ca="1">SUM(P38:P43)</f>
        <v>140</v>
      </c>
      <c r="Q44" s="132">
        <f ca="1">IFERROR(P44/O44,0)</f>
        <v>0.611353711790393</v>
      </c>
      <c r="R44" s="277">
        <f>SUM(R38:R43)</f>
        <v>234</v>
      </c>
      <c r="S44" s="277">
        <f ca="1">SUM(S38:S43)</f>
        <v>107</v>
      </c>
      <c r="T44" s="132">
        <f ca="1">IFERROR(S44/R44,0)</f>
        <v>0.45726495726495725</v>
      </c>
      <c r="U44" s="277">
        <f>SUM(U38:U43)</f>
        <v>270</v>
      </c>
      <c r="V44" s="277">
        <f ca="1">SUM(V38:V43)</f>
        <v>174</v>
      </c>
      <c r="W44" s="132">
        <f ca="1">IFERROR(V44/U44,0)</f>
        <v>0.64444444444444449</v>
      </c>
      <c r="X44" s="277">
        <f>SUM(X38:X43)</f>
        <v>0</v>
      </c>
      <c r="Y44" s="277">
        <f ca="1">SUM(Y38:Y43)</f>
        <v>0</v>
      </c>
      <c r="Z44" s="132">
        <f ca="1">IFERROR(Y44/X44,0)</f>
        <v>0</v>
      </c>
      <c r="AA44" s="277">
        <f>SUM(AA38:AA43)</f>
        <v>0</v>
      </c>
      <c r="AB44" s="277">
        <f ca="1">SUM(AB38:AB43)</f>
        <v>0</v>
      </c>
      <c r="AC44" s="132">
        <f ca="1">IFERROR(AB44/AA44,0)</f>
        <v>0</v>
      </c>
      <c r="AD44" s="277">
        <f>SUM(AD38:AD43)</f>
        <v>0</v>
      </c>
      <c r="AE44" s="277">
        <f ca="1">SUM(AE38:AE43)</f>
        <v>0</v>
      </c>
      <c r="AF44" s="132">
        <f ca="1">IFERROR(AE44/AD44,0)</f>
        <v>0</v>
      </c>
      <c r="AG44" s="277">
        <f>SUM(AG38:AG43)</f>
        <v>0</v>
      </c>
      <c r="AH44" s="277">
        <f ca="1">SUM(AH38:AH43)</f>
        <v>0</v>
      </c>
      <c r="AI44" s="132">
        <f ca="1">IFERROR(AH44/AG44,0)</f>
        <v>0</v>
      </c>
      <c r="AJ44" s="277">
        <f>SUM(AJ38:AJ43)</f>
        <v>0</v>
      </c>
      <c r="AK44" s="277">
        <f ca="1">SUM(AK38:AK43)</f>
        <v>0</v>
      </c>
      <c r="AL44" s="132">
        <f ca="1">IFERROR(AK44/AJ44,0)</f>
        <v>0</v>
      </c>
      <c r="AM44" s="277">
        <f>SUM(AM38:AM43)</f>
        <v>0</v>
      </c>
      <c r="AN44" s="277">
        <f ca="1">SUM(AN38:AN43)</f>
        <v>0</v>
      </c>
      <c r="AO44" s="132">
        <f ca="1">IFERROR(AN44/AM44,0)</f>
        <v>0</v>
      </c>
      <c r="AP44" s="277">
        <f t="shared" si="57"/>
        <v>1424</v>
      </c>
      <c r="AQ44" s="410">
        <f t="shared" ca="1" si="57"/>
        <v>764</v>
      </c>
      <c r="AR44" s="131">
        <f ca="1">IFERROR(AQ44/AP44,0)</f>
        <v>0.5365168539325843</v>
      </c>
      <c r="AS44" s="277">
        <f t="shared" si="58"/>
        <v>1424</v>
      </c>
      <c r="AT44" s="410">
        <f t="shared" ca="1" si="58"/>
        <v>764</v>
      </c>
      <c r="AU44" s="131">
        <f ca="1">IFERROR(AT44/AS44,0)</f>
        <v>0.5365168539325843</v>
      </c>
      <c r="AV44" s="200"/>
      <c r="AW44" s="258"/>
      <c r="AX44" s="132"/>
      <c r="AY44" s="278"/>
      <c r="AZ44" s="132"/>
      <c r="BA44" s="258"/>
      <c r="BB44" s="131"/>
      <c r="BC44" s="277">
        <f t="shared" si="59"/>
        <v>1424</v>
      </c>
      <c r="BD44" s="410">
        <f t="shared" ca="1" si="59"/>
        <v>764</v>
      </c>
      <c r="BE44" s="275">
        <f ca="1">IFERROR(BD44/BC44,0)</f>
        <v>0.5365168539325843</v>
      </c>
      <c r="BF44" s="277">
        <f>IFERROR(SUM(BF38:BF43),0)</f>
        <v>0</v>
      </c>
      <c r="BG44" s="277">
        <f ca="1">IFERROR(SUM(BG38:BG43),0)</f>
        <v>0</v>
      </c>
      <c r="BH44" s="275">
        <f ca="1">IFERROR(BG44/BF44,0)</f>
        <v>0</v>
      </c>
      <c r="BJ44" s="2"/>
      <c r="BK44" s="2"/>
      <c r="BL44" s="2"/>
      <c r="BM44" s="2"/>
      <c r="BN44" s="2"/>
      <c r="BO44" s="2"/>
      <c r="BP44" s="2"/>
      <c r="BQ44" s="2"/>
      <c r="BR44" s="2"/>
    </row>
    <row r="45" spans="1:70" s="4" customFormat="1" ht="15" customHeight="1" x14ac:dyDescent="0.3">
      <c r="A45" s="4">
        <f>_xlfn.XLOOKUP(B45,'WHOLESALE BMW 2026'!$B$7:$B$67,'WHOLESALE BMW 2026'!$A$7:$A$67)</f>
        <v>7</v>
      </c>
      <c r="B45" s="8">
        <v>100909</v>
      </c>
      <c r="C45" s="369" t="s">
        <v>255</v>
      </c>
      <c r="D45" s="125"/>
      <c r="E45" s="309" t="s">
        <v>254</v>
      </c>
      <c r="F45" s="21">
        <v>30</v>
      </c>
      <c r="G45" s="24">
        <f ca="1">SUMIF('UC BMW 2026'!$B$5:$B$77,'UC BMW 2026'!B43,'UC BMW 2026'!$G$5:$G$72)</f>
        <v>18</v>
      </c>
      <c r="H45" s="284">
        <f t="shared" ca="1" si="0"/>
        <v>0.6</v>
      </c>
      <c r="I45" s="21">
        <v>59</v>
      </c>
      <c r="J45" s="24">
        <f ca="1">SUMIF('UC BMW 2026'!$B$5:$B$77,'UC BMW 2026'!$B43,'UC BMW 2026'!$I$5:$I$72)</f>
        <v>16</v>
      </c>
      <c r="K45" s="284">
        <f t="shared" ca="1" si="1"/>
        <v>0.2711864406779661</v>
      </c>
      <c r="L45" s="21">
        <f>VLOOKUP(B45,'[4]% Penetración Mdo MAR26'!$B$7:$D$59,3,0)-F45-I45</f>
        <v>69</v>
      </c>
      <c r="M45" s="24">
        <f ca="1">SUMIF('UC BMW 2026'!$B$5:$B$77,'UC BMW 2026'!$B43,'UC BMW 2026'!$K$5:$K$72)</f>
        <v>25</v>
      </c>
      <c r="N45" s="284">
        <f t="shared" ca="1" si="2"/>
        <v>0.36231884057971014</v>
      </c>
      <c r="O45" s="21">
        <f>VLOOKUP(B45,'[5]% Penetración Mdo ABR26'!$B$7:$D$59,3,0)-F45-I45-L45</f>
        <v>88</v>
      </c>
      <c r="P45" s="24">
        <f ca="1">SUMIF('UC BMW 2026'!$B$5:$B$77,'UC BMW 2026'!$B43,'UC BMW 2026'!$M$5:$M$72)</f>
        <v>19</v>
      </c>
      <c r="Q45" s="284">
        <f t="shared" ca="1" si="3"/>
        <v>0.21590909090909091</v>
      </c>
      <c r="R45" s="21">
        <f>VLOOKUP(B45,'[6]% Penetración Mdo MAY26'!$B$7:$G$65,3,0)-F45-I45-L45-O45</f>
        <v>86</v>
      </c>
      <c r="S45" s="24">
        <f ca="1">SUMIF('UC BMW 2026'!$B$5:$B$77,'UC BMW 2026'!$B43,'UC BMW 2026'!$O$5:$O$72)</f>
        <v>25</v>
      </c>
      <c r="T45" s="284">
        <f t="shared" ca="1" si="4"/>
        <v>0.29069767441860467</v>
      </c>
      <c r="U45" s="21">
        <f>VLOOKUP(B45,'[7]% Penetración Mdo JUN26'!$B$7:$K$59,3,0)-F45-I45-L45-O45-R45</f>
        <v>85</v>
      </c>
      <c r="V45" s="24">
        <f ca="1">SUMIF('UC BMW 2026'!$B$5:$B$77,'UC BMW 2026'!$B43,'UC BMW 2026'!$Q$5:$Q$72)</f>
        <v>19</v>
      </c>
      <c r="W45" s="284">
        <f t="shared" ca="1" si="5"/>
        <v>0.22352941176470589</v>
      </c>
      <c r="X45" s="21"/>
      <c r="Y45" s="24">
        <f ca="1">SUMIF('UC BMW 2026'!$B$5:$B$77,'UC BMW 2026'!$B43,'UC BMW 2026'!$S$5:$S$72)</f>
        <v>0</v>
      </c>
      <c r="Z45" s="282">
        <f ca="1">IFERROR(Y45/X45,0)</f>
        <v>0</v>
      </c>
      <c r="AA45" s="21"/>
      <c r="AB45" s="24">
        <f ca="1">SUMIF('UC BMW 2026'!$B$5:$B$77,'UC BMW 2026'!$B43,'UC BMW 2026'!$U$5:$U$72)</f>
        <v>0</v>
      </c>
      <c r="AC45" s="282">
        <f ca="1">IFERROR(AB45/AA45,0)</f>
        <v>0</v>
      </c>
      <c r="AD45" s="21"/>
      <c r="AE45" s="24">
        <f ca="1">SUMIF('UC BMW 2026'!$B$5:$B$77,'UC BMW 2026'!$B43,'UC BMW 2026'!$W$5:$W$72)</f>
        <v>0</v>
      </c>
      <c r="AF45" s="282">
        <f ca="1">IFERROR(AE45/AD45,0)</f>
        <v>0</v>
      </c>
      <c r="AG45" s="21"/>
      <c r="AH45" s="24">
        <f ca="1">SUMIF('UC BMW 2026'!$B$5:$B$77,'UC BMW 2026'!$B43,'UC BMW 2026'!$Y$5:$Y$72)</f>
        <v>0</v>
      </c>
      <c r="AI45" s="282">
        <f ca="1">IFERROR(AH45/AG45,0)</f>
        <v>0</v>
      </c>
      <c r="AJ45" s="21"/>
      <c r="AK45" s="24">
        <f ca="1">SUMIF('UC BMW 2026'!$B$5:$B$77,'UC BMW 2026'!$B43,'UC BMW 2026'!$AA$5:$AA$72)</f>
        <v>0</v>
      </c>
      <c r="AL45" s="282">
        <f ca="1">IFERROR(AK45/AJ45,0)</f>
        <v>0</v>
      </c>
      <c r="AM45" s="21"/>
      <c r="AN45" s="24">
        <f ca="1">SUMIF('UC BMW 2026'!$B$5:$B$77,'UC BMW 2026'!$B43,'UC BMW 2026'!$AC$5:$AC$72)</f>
        <v>0</v>
      </c>
      <c r="AO45" s="282">
        <f ca="1">IFERROR(AN45/AM45,0)</f>
        <v>0</v>
      </c>
      <c r="AP45" s="34">
        <f t="shared" si="57"/>
        <v>417</v>
      </c>
      <c r="AQ45" s="18">
        <f t="shared" ca="1" si="57"/>
        <v>122</v>
      </c>
      <c r="AR45" s="186">
        <f t="shared" ca="1" si="16"/>
        <v>0.29256594724220625</v>
      </c>
      <c r="AS45" s="34">
        <f t="shared" si="58"/>
        <v>417</v>
      </c>
      <c r="AT45" s="18">
        <f t="shared" ca="1" si="58"/>
        <v>122</v>
      </c>
      <c r="AU45" s="186">
        <f t="shared" ca="1" si="17"/>
        <v>0.29256594724220625</v>
      </c>
      <c r="AV45" s="25"/>
      <c r="AW45" s="27"/>
      <c r="AX45" s="289"/>
      <c r="AY45" s="151"/>
      <c r="AZ45" s="281"/>
      <c r="BA45" s="27"/>
      <c r="BB45" s="186"/>
      <c r="BC45" s="34">
        <f t="shared" si="59"/>
        <v>417</v>
      </c>
      <c r="BD45" s="18">
        <f t="shared" ca="1" si="59"/>
        <v>122</v>
      </c>
      <c r="BE45" s="187">
        <f t="shared" ca="1" si="18"/>
        <v>0.29256594724220625</v>
      </c>
      <c r="BF45" s="34">
        <f t="shared" ref="BF45:BG47" si="61">IFERROR(IF($BF$5="S 1",F45+I45+L45+O45+R45+U45,
IF($BF$5="S 2",X45+AA45+AD45+AG45+AJ45+AM45,0)),0)</f>
        <v>0</v>
      </c>
      <c r="BG45" s="18">
        <f t="shared" ca="1" si="61"/>
        <v>0</v>
      </c>
      <c r="BH45" s="187">
        <f t="shared" ca="1" si="19"/>
        <v>0</v>
      </c>
      <c r="BJ45" s="2"/>
      <c r="BK45" s="2"/>
      <c r="BL45" s="2"/>
      <c r="BM45" s="2"/>
      <c r="BN45" s="2"/>
      <c r="BO45" s="2"/>
      <c r="BP45" s="2"/>
      <c r="BQ45" s="2"/>
      <c r="BR45" s="2"/>
    </row>
    <row r="46" spans="1:70" s="4" customFormat="1" ht="15" customHeight="1" x14ac:dyDescent="0.3">
      <c r="A46" s="4">
        <f>_xlfn.XLOOKUP(B46,'WHOLESALE BMW 2026'!$B$7:$B$67,'WHOLESALE BMW 2026'!$A$7:$A$67)</f>
        <v>7</v>
      </c>
      <c r="B46" s="8">
        <v>100572</v>
      </c>
      <c r="C46" s="369" t="s">
        <v>55</v>
      </c>
      <c r="D46" s="125"/>
      <c r="E46" s="309" t="s">
        <v>274</v>
      </c>
      <c r="F46" s="21">
        <v>70</v>
      </c>
      <c r="G46" s="24">
        <f ca="1">SUMIF('UC BMW 2026'!$B$5:$B$77,'UC BMW 2026'!B44,'UC BMW 2026'!$G$5:$G$72)</f>
        <v>47</v>
      </c>
      <c r="H46" s="285">
        <f t="shared" ca="1" si="0"/>
        <v>0.67142857142857137</v>
      </c>
      <c r="I46" s="21">
        <v>114</v>
      </c>
      <c r="J46" s="24">
        <f ca="1">SUMIF('UC BMW 2026'!$B$5:$B$77,'UC BMW 2026'!$B44,'UC BMW 2026'!$I$5:$I$72)</f>
        <v>49</v>
      </c>
      <c r="K46" s="285">
        <f t="shared" ca="1" si="1"/>
        <v>0.42982456140350878</v>
      </c>
      <c r="L46" s="21">
        <f>VLOOKUP(B46,'[4]% Penetración Mdo MAR26'!$B$7:$D$59,3,0)-F46-I46</f>
        <v>120</v>
      </c>
      <c r="M46" s="24">
        <f ca="1">SUMIF('UC BMW 2026'!$B$5:$B$77,'UC BMW 2026'!$B44,'UC BMW 2026'!$K$5:$K$72)</f>
        <v>47</v>
      </c>
      <c r="N46" s="285">
        <f t="shared" ca="1" si="2"/>
        <v>0.39166666666666666</v>
      </c>
      <c r="O46" s="21">
        <f>VLOOKUP(B46,'[5]% Penetración Mdo ABR26'!$B$7:$D$59,3,0)-F46-I46-L46</f>
        <v>99</v>
      </c>
      <c r="P46" s="24">
        <f ca="1">SUMIF('UC BMW 2026'!$B$5:$B$77,'UC BMW 2026'!$B44,'UC BMW 2026'!$M$5:$M$72)</f>
        <v>30</v>
      </c>
      <c r="Q46" s="285">
        <f t="shared" ca="1" si="3"/>
        <v>0.30303030303030304</v>
      </c>
      <c r="R46" s="21">
        <f>VLOOKUP(B46,'[6]% Penetración Mdo MAY26'!$B$7:$G$65,3,0)-F46-I46-L46-O46</f>
        <v>127</v>
      </c>
      <c r="S46" s="24">
        <f ca="1">SUMIF('UC BMW 2026'!$B$5:$B$77,'UC BMW 2026'!$B44,'UC BMW 2026'!$O$5:$O$72)</f>
        <v>43</v>
      </c>
      <c r="T46" s="285">
        <f t="shared" ca="1" si="4"/>
        <v>0.33858267716535434</v>
      </c>
      <c r="U46" s="21">
        <f>VLOOKUP(B46,'[7]% Penetración Mdo JUN26'!$B$7:$K$59,3,0)-F46-I46-L46-O46-R46</f>
        <v>112</v>
      </c>
      <c r="V46" s="24">
        <f ca="1">SUMIF('UC BMW 2026'!$B$5:$B$77,'UC BMW 2026'!$B44,'UC BMW 2026'!$Q$5:$Q$72)</f>
        <v>52</v>
      </c>
      <c r="W46" s="285">
        <f t="shared" ca="1" si="5"/>
        <v>0.4642857142857143</v>
      </c>
      <c r="X46" s="21"/>
      <c r="Y46" s="24">
        <f ca="1">SUMIF('UC BMW 2026'!$B$5:$B$77,'UC BMW 2026'!$B44,'UC BMW 2026'!$S$5:$S$72)</f>
        <v>0</v>
      </c>
      <c r="Z46" s="282">
        <f ca="1">IFERROR(Y46/X46,0)</f>
        <v>0</v>
      </c>
      <c r="AA46" s="21"/>
      <c r="AB46" s="24">
        <f ca="1">SUMIF('UC BMW 2026'!$B$5:$B$77,'UC BMW 2026'!$B44,'UC BMW 2026'!$U$5:$U$72)</f>
        <v>0</v>
      </c>
      <c r="AC46" s="282">
        <f ca="1">IFERROR(AB46/AA46,0)</f>
        <v>0</v>
      </c>
      <c r="AD46" s="21"/>
      <c r="AE46" s="24">
        <f ca="1">SUMIF('UC BMW 2026'!$B$5:$B$77,'UC BMW 2026'!$B44,'UC BMW 2026'!$W$5:$W$72)</f>
        <v>0</v>
      </c>
      <c r="AF46" s="282">
        <f ca="1">IFERROR(AE46/AD46,0)</f>
        <v>0</v>
      </c>
      <c r="AG46" s="21"/>
      <c r="AH46" s="24">
        <f ca="1">SUMIF('UC BMW 2026'!$B$5:$B$77,'UC BMW 2026'!$B44,'UC BMW 2026'!$Y$5:$Y$72)</f>
        <v>0</v>
      </c>
      <c r="AI46" s="282">
        <f ca="1">IFERROR(AH46/AG46,0)</f>
        <v>0</v>
      </c>
      <c r="AJ46" s="21"/>
      <c r="AK46" s="24">
        <f ca="1">SUMIF('UC BMW 2026'!$B$5:$B$77,'UC BMW 2026'!$B44,'UC BMW 2026'!$AA$5:$AA$72)</f>
        <v>0</v>
      </c>
      <c r="AL46" s="282">
        <f ca="1">IFERROR(AK46/AJ46,0)</f>
        <v>0</v>
      </c>
      <c r="AM46" s="21"/>
      <c r="AN46" s="24">
        <f ca="1">SUMIF('UC BMW 2026'!$B$5:$B$77,'UC BMW 2026'!$B44,'UC BMW 2026'!$AC$5:$AC$72)</f>
        <v>0</v>
      </c>
      <c r="AO46" s="282">
        <f ca="1">IFERROR(AN46/AM46,0)</f>
        <v>0</v>
      </c>
      <c r="AP46" s="21">
        <f t="shared" si="57"/>
        <v>642</v>
      </c>
      <c r="AQ46" s="22">
        <f t="shared" ca="1" si="57"/>
        <v>268</v>
      </c>
      <c r="AR46" s="129">
        <f t="shared" ca="1" si="16"/>
        <v>0.4174454828660436</v>
      </c>
      <c r="AS46" s="21">
        <f t="shared" si="58"/>
        <v>642</v>
      </c>
      <c r="AT46" s="22">
        <f t="shared" ca="1" si="58"/>
        <v>268</v>
      </c>
      <c r="AU46" s="129">
        <f t="shared" ca="1" si="17"/>
        <v>0.4174454828660436</v>
      </c>
      <c r="AV46" s="25"/>
      <c r="AW46" s="27"/>
      <c r="AX46" s="287"/>
      <c r="AY46" s="291"/>
      <c r="AZ46" s="287"/>
      <c r="BA46" s="27"/>
      <c r="BB46" s="129"/>
      <c r="BC46" s="21">
        <f t="shared" si="59"/>
        <v>642</v>
      </c>
      <c r="BD46" s="22">
        <f t="shared" ca="1" si="59"/>
        <v>268</v>
      </c>
      <c r="BE46" s="130">
        <f t="shared" ca="1" si="18"/>
        <v>0.4174454828660436</v>
      </c>
      <c r="BF46" s="34">
        <f t="shared" si="61"/>
        <v>0</v>
      </c>
      <c r="BG46" s="22">
        <f t="shared" ca="1" si="61"/>
        <v>0</v>
      </c>
      <c r="BH46" s="130">
        <f t="shared" ca="1" si="19"/>
        <v>0</v>
      </c>
      <c r="BJ46" s="2"/>
      <c r="BK46" s="2"/>
      <c r="BL46" s="2"/>
      <c r="BM46" s="2"/>
      <c r="BN46" s="2"/>
      <c r="BO46" s="2"/>
      <c r="BP46" s="2"/>
      <c r="BQ46" s="2"/>
      <c r="BR46" s="2"/>
    </row>
    <row r="47" spans="1:70" s="4" customFormat="1" ht="15" customHeight="1" thickBot="1" x14ac:dyDescent="0.35">
      <c r="A47" s="4">
        <f>_xlfn.XLOOKUP(B47,'WHOLESALE BMW 2026'!$B$7:$B$67,'WHOLESALE BMW 2026'!$A$7:$A$67)</f>
        <v>7</v>
      </c>
      <c r="B47" s="8">
        <v>100584</v>
      </c>
      <c r="C47" s="369" t="s">
        <v>8</v>
      </c>
      <c r="D47" s="125"/>
      <c r="E47" s="309" t="s">
        <v>92</v>
      </c>
      <c r="F47" s="21">
        <v>31</v>
      </c>
      <c r="G47" s="24">
        <f ca="1">SUMIF('UC BMW 2026'!$B$5:$B$77,'UC BMW 2026'!B45,'UC BMW 2026'!$G$5:$G$72)</f>
        <v>14</v>
      </c>
      <c r="H47" s="285">
        <f t="shared" ca="1" si="0"/>
        <v>0.45161290322580644</v>
      </c>
      <c r="I47" s="21">
        <v>27</v>
      </c>
      <c r="J47" s="24">
        <f ca="1">SUMIF('UC BMW 2026'!$B$5:$B$77,'UC BMW 2026'!$B45,'UC BMW 2026'!$I$5:$I$72)</f>
        <v>12</v>
      </c>
      <c r="K47" s="285">
        <f t="shared" ca="1" si="1"/>
        <v>0.44444444444444442</v>
      </c>
      <c r="L47" s="21">
        <f>VLOOKUP(B47,'[4]% Penetración Mdo MAR26'!$B$7:$D$59,3,0)-F47-I47</f>
        <v>55</v>
      </c>
      <c r="M47" s="24">
        <f ca="1">SUMIF('UC BMW 2026'!$B$5:$B$77,'UC BMW 2026'!$B45,'UC BMW 2026'!$K$5:$K$72)</f>
        <v>9</v>
      </c>
      <c r="N47" s="285">
        <f t="shared" ca="1" si="2"/>
        <v>0.16363636363636364</v>
      </c>
      <c r="O47" s="21">
        <f>VLOOKUP(B47,'[5]% Penetración Mdo ABR26'!$B$7:$D$59,3,0)-F47-I47-L47</f>
        <v>48</v>
      </c>
      <c r="P47" s="24">
        <f ca="1">SUMIF('UC BMW 2026'!$B$5:$B$77,'UC BMW 2026'!$B45,'UC BMW 2026'!$M$5:$M$72)</f>
        <v>16</v>
      </c>
      <c r="Q47" s="285">
        <f t="shared" ca="1" si="3"/>
        <v>0.33333333333333331</v>
      </c>
      <c r="R47" s="21">
        <f>VLOOKUP(B47,'[6]% Penetración Mdo MAY26'!$B$7:$G$65,3,0)-F47-I47-L47-O47</f>
        <v>32</v>
      </c>
      <c r="S47" s="24">
        <f ca="1">SUMIF('UC BMW 2026'!$B$5:$B$77,'UC BMW 2026'!$B45,'UC BMW 2026'!$O$5:$O$72)</f>
        <v>21</v>
      </c>
      <c r="T47" s="285">
        <f t="shared" ca="1" si="4"/>
        <v>0.65625</v>
      </c>
      <c r="U47" s="21">
        <f>VLOOKUP(B47,'[7]% Penetración Mdo JUN26'!$B$7:$K$59,3,0)-F47-I47-L47-O47-R47</f>
        <v>41</v>
      </c>
      <c r="V47" s="24">
        <f ca="1">SUMIF('UC BMW 2026'!$B$5:$B$77,'UC BMW 2026'!$B45,'UC BMW 2026'!$Q$5:$Q$72)</f>
        <v>43</v>
      </c>
      <c r="W47" s="285">
        <f t="shared" ca="1" si="5"/>
        <v>1.0487804878048781</v>
      </c>
      <c r="X47" s="21"/>
      <c r="Y47" s="24">
        <f ca="1">SUMIF('UC BMW 2026'!$B$5:$B$77,'UC BMW 2026'!$B45,'UC BMW 2026'!$S$5:$S$72)</f>
        <v>0</v>
      </c>
      <c r="Z47" s="282">
        <f ca="1">IFERROR(Y47/X47,0)</f>
        <v>0</v>
      </c>
      <c r="AA47" s="21"/>
      <c r="AB47" s="24">
        <f ca="1">SUMIF('UC BMW 2026'!$B$5:$B$77,'UC BMW 2026'!$B45,'UC BMW 2026'!$U$5:$U$72)</f>
        <v>0</v>
      </c>
      <c r="AC47" s="282">
        <f ca="1">IFERROR(AB47/AA47,0)</f>
        <v>0</v>
      </c>
      <c r="AD47" s="21"/>
      <c r="AE47" s="24">
        <f ca="1">SUMIF('UC BMW 2026'!$B$5:$B$77,'UC BMW 2026'!$B45,'UC BMW 2026'!$W$5:$W$72)</f>
        <v>0</v>
      </c>
      <c r="AF47" s="282">
        <f ca="1">IFERROR(AE47/AD47,0)</f>
        <v>0</v>
      </c>
      <c r="AG47" s="21"/>
      <c r="AH47" s="24">
        <f ca="1">SUMIF('UC BMW 2026'!$B$5:$B$77,'UC BMW 2026'!$B45,'UC BMW 2026'!$Y$5:$Y$72)</f>
        <v>0</v>
      </c>
      <c r="AI47" s="282">
        <f ca="1">IFERROR(AH47/AG47,0)</f>
        <v>0</v>
      </c>
      <c r="AJ47" s="21"/>
      <c r="AK47" s="24">
        <f ca="1">SUMIF('UC BMW 2026'!$B$5:$B$77,'UC BMW 2026'!$B45,'UC BMW 2026'!$AA$5:$AA$72)</f>
        <v>0</v>
      </c>
      <c r="AL47" s="282">
        <f ca="1">IFERROR(AK47/AJ47,0)</f>
        <v>0</v>
      </c>
      <c r="AM47" s="21"/>
      <c r="AN47" s="24">
        <f ca="1">SUMIF('UC BMW 2026'!$B$5:$B$77,'UC BMW 2026'!$B45,'UC BMW 2026'!$AC$5:$AC$72)</f>
        <v>0</v>
      </c>
      <c r="AO47" s="282">
        <f ca="1">IFERROR(AN47/AM47,0)</f>
        <v>0</v>
      </c>
      <c r="AP47" s="21">
        <f t="shared" si="57"/>
        <v>234</v>
      </c>
      <c r="AQ47" s="22">
        <f t="shared" ca="1" si="57"/>
        <v>115</v>
      </c>
      <c r="AR47" s="129">
        <f t="shared" ca="1" si="16"/>
        <v>0.49145299145299143</v>
      </c>
      <c r="AS47" s="21">
        <f t="shared" si="58"/>
        <v>234</v>
      </c>
      <c r="AT47" s="22">
        <f t="shared" ca="1" si="58"/>
        <v>115</v>
      </c>
      <c r="AU47" s="129">
        <f t="shared" ca="1" si="17"/>
        <v>0.49145299145299143</v>
      </c>
      <c r="AV47" s="25"/>
      <c r="AW47" s="27"/>
      <c r="AX47" s="287"/>
      <c r="AY47" s="291"/>
      <c r="AZ47" s="287"/>
      <c r="BA47" s="27"/>
      <c r="BB47" s="129"/>
      <c r="BC47" s="21">
        <f t="shared" si="59"/>
        <v>234</v>
      </c>
      <c r="BD47" s="22">
        <f t="shared" ca="1" si="59"/>
        <v>115</v>
      </c>
      <c r="BE47" s="130">
        <f t="shared" ca="1" si="18"/>
        <v>0.49145299145299143</v>
      </c>
      <c r="BF47" s="34">
        <f t="shared" si="61"/>
        <v>0</v>
      </c>
      <c r="BG47" s="22">
        <f t="shared" ca="1" si="61"/>
        <v>0</v>
      </c>
      <c r="BH47" s="130">
        <f t="shared" ca="1" si="19"/>
        <v>0</v>
      </c>
      <c r="BJ47" s="2"/>
      <c r="BK47" s="2"/>
      <c r="BL47" s="2"/>
      <c r="BM47" s="2"/>
      <c r="BN47" s="2"/>
      <c r="BO47" s="2"/>
      <c r="BP47" s="2"/>
      <c r="BQ47" s="2"/>
      <c r="BR47" s="2"/>
    </row>
    <row r="48" spans="1:70" s="4" customFormat="1" ht="15" customHeight="1" thickBot="1" x14ac:dyDescent="0.3">
      <c r="A48" s="4">
        <f>_xlfn.XLOOKUP(B48,'WHOLESALE BMW 2026'!$B$7:$B$67,'WHOLESALE BMW 2026'!$A$7:$A$67)</f>
        <v>0</v>
      </c>
      <c r="B48" s="7" t="s">
        <v>269</v>
      </c>
      <c r="C48" s="28"/>
      <c r="D48" s="125"/>
      <c r="E48" s="7"/>
      <c r="F48" s="277">
        <f>SUM(F45:F47)</f>
        <v>131</v>
      </c>
      <c r="G48" s="277">
        <f ca="1">SUM(G45:G47)</f>
        <v>79</v>
      </c>
      <c r="H48" s="132">
        <f t="shared" ca="1" si="0"/>
        <v>0.60305343511450382</v>
      </c>
      <c r="I48" s="277">
        <f>SUM(I45:I47)</f>
        <v>200</v>
      </c>
      <c r="J48" s="277">
        <f ca="1">SUM(J45:J47)</f>
        <v>77</v>
      </c>
      <c r="K48" s="132">
        <f t="shared" ca="1" si="1"/>
        <v>0.38500000000000001</v>
      </c>
      <c r="L48" s="277">
        <f>SUM(L45:L47)</f>
        <v>244</v>
      </c>
      <c r="M48" s="200">
        <f ca="1">SUM(M45:M47)</f>
        <v>81</v>
      </c>
      <c r="N48" s="132">
        <f t="shared" ca="1" si="2"/>
        <v>0.33196721311475408</v>
      </c>
      <c r="O48" s="277">
        <f>SUM(O45:O47)</f>
        <v>235</v>
      </c>
      <c r="P48" s="277">
        <f ca="1">SUM(P45:P47)</f>
        <v>65</v>
      </c>
      <c r="Q48" s="132">
        <f t="shared" ca="1" si="3"/>
        <v>0.27659574468085107</v>
      </c>
      <c r="R48" s="277">
        <f>SUM(R45:R47)</f>
        <v>245</v>
      </c>
      <c r="S48" s="277">
        <f ca="1">SUM(S45:S47)</f>
        <v>89</v>
      </c>
      <c r="T48" s="132">
        <f t="shared" ca="1" si="4"/>
        <v>0.36326530612244901</v>
      </c>
      <c r="U48" s="277">
        <f>SUM(U45:U47)</f>
        <v>238</v>
      </c>
      <c r="V48" s="277">
        <f ca="1">SUM(V45:V47)</f>
        <v>114</v>
      </c>
      <c r="W48" s="132">
        <f t="shared" ca="1" si="5"/>
        <v>0.47899159663865548</v>
      </c>
      <c r="X48" s="277">
        <f>SUM(X45:X47)</f>
        <v>0</v>
      </c>
      <c r="Y48" s="277">
        <f ca="1">SUM(Y45:Y47)</f>
        <v>0</v>
      </c>
      <c r="Z48" s="132">
        <f ca="1">IFERROR(Y48/X48,0)</f>
        <v>0</v>
      </c>
      <c r="AA48" s="277">
        <f>SUM(AA45:AA47)</f>
        <v>0</v>
      </c>
      <c r="AB48" s="277">
        <f ca="1">SUM(AB45:AB47)</f>
        <v>0</v>
      </c>
      <c r="AC48" s="132">
        <f ca="1">IFERROR(AB48/AA48,0)</f>
        <v>0</v>
      </c>
      <c r="AD48" s="277">
        <f>SUM(AD45:AD47)</f>
        <v>0</v>
      </c>
      <c r="AE48" s="277">
        <f ca="1">SUM(AE45:AE47)</f>
        <v>0</v>
      </c>
      <c r="AF48" s="132">
        <f ca="1">IFERROR(AE48/AD48,0)</f>
        <v>0</v>
      </c>
      <c r="AG48" s="277">
        <f>SUM(AG45:AG47)</f>
        <v>0</v>
      </c>
      <c r="AH48" s="277">
        <f ca="1">SUM(AH45:AH47)</f>
        <v>0</v>
      </c>
      <c r="AI48" s="132">
        <f ca="1">IFERROR(AH48/AG48,0)</f>
        <v>0</v>
      </c>
      <c r="AJ48" s="277">
        <f>SUM(AJ45:AJ47)</f>
        <v>0</v>
      </c>
      <c r="AK48" s="277">
        <f ca="1">SUM(AK45:AK47)</f>
        <v>0</v>
      </c>
      <c r="AL48" s="132">
        <f ca="1">IFERROR(AK48/AJ48,0)</f>
        <v>0</v>
      </c>
      <c r="AM48" s="277">
        <f>SUM(AM45:AM47)</f>
        <v>0</v>
      </c>
      <c r="AN48" s="277">
        <f ca="1">SUM(AN45:AN47)</f>
        <v>0</v>
      </c>
      <c r="AO48" s="132">
        <f ca="1">IFERROR(AN48/AM48,0)</f>
        <v>0</v>
      </c>
      <c r="AP48" s="277">
        <f t="shared" si="57"/>
        <v>1293</v>
      </c>
      <c r="AQ48" s="410">
        <f t="shared" ca="1" si="57"/>
        <v>505</v>
      </c>
      <c r="AR48" s="131">
        <f t="shared" ca="1" si="16"/>
        <v>0.39056457849961329</v>
      </c>
      <c r="AS48" s="277">
        <f t="shared" si="58"/>
        <v>1293</v>
      </c>
      <c r="AT48" s="410">
        <f t="shared" ca="1" si="58"/>
        <v>505</v>
      </c>
      <c r="AU48" s="131">
        <f t="shared" ca="1" si="17"/>
        <v>0.39056457849961329</v>
      </c>
      <c r="AV48" s="200"/>
      <c r="AW48" s="258"/>
      <c r="AX48" s="132"/>
      <c r="AY48" s="278"/>
      <c r="AZ48" s="132"/>
      <c r="BA48" s="258"/>
      <c r="BB48" s="131"/>
      <c r="BC48" s="277">
        <f t="shared" si="59"/>
        <v>1293</v>
      </c>
      <c r="BD48" s="410">
        <f t="shared" ca="1" si="59"/>
        <v>505</v>
      </c>
      <c r="BE48" s="275">
        <f t="shared" ca="1" si="18"/>
        <v>0.39056457849961329</v>
      </c>
      <c r="BF48" s="277">
        <f>IFERROR(SUM(BF45:BF47),0)</f>
        <v>0</v>
      </c>
      <c r="BG48" s="277">
        <f ca="1">IFERROR(SUM(BG45:BG47),0)</f>
        <v>0</v>
      </c>
      <c r="BH48" s="275">
        <f t="shared" ca="1" si="19"/>
        <v>0</v>
      </c>
      <c r="BJ48" s="2"/>
      <c r="BK48" s="2"/>
      <c r="BL48" s="2"/>
      <c r="BM48" s="2"/>
      <c r="BN48" s="2"/>
      <c r="BO48" s="2"/>
      <c r="BP48" s="2"/>
      <c r="BQ48" s="2"/>
      <c r="BR48" s="2"/>
    </row>
    <row r="49" spans="1:70" s="4" customFormat="1" ht="15" customHeight="1" x14ac:dyDescent="0.3">
      <c r="A49" s="4">
        <f>_xlfn.XLOOKUP(B49,'WHOLESALE BMW 2026'!$B$7:$B$67,'WHOLESALE BMW 2026'!$A$7:$A$67)</f>
        <v>8</v>
      </c>
      <c r="B49" s="8">
        <v>100765</v>
      </c>
      <c r="C49" s="369" t="s">
        <v>60</v>
      </c>
      <c r="D49" s="125"/>
      <c r="E49" s="309" t="s">
        <v>90</v>
      </c>
      <c r="F49" s="21">
        <v>14</v>
      </c>
      <c r="G49" s="24">
        <f ca="1">SUMIF('UC BMW 2026'!$B$5:$B$77,'UC BMW 2026'!B47,'UC BMW 2026'!$G$5:$G$72)</f>
        <v>3</v>
      </c>
      <c r="H49" s="284">
        <f t="shared" ca="1" si="0"/>
        <v>0.21428571428571427</v>
      </c>
      <c r="I49" s="21">
        <v>-1</v>
      </c>
      <c r="J49" s="24">
        <f ca="1">SUMIF('UC BMW 2026'!$B$5:$B$77,'UC BMW 2026'!$B47,'UC BMW 2026'!$I$5:$I$72)</f>
        <v>5</v>
      </c>
      <c r="K49" s="284">
        <f t="shared" ca="1" si="1"/>
        <v>-5</v>
      </c>
      <c r="L49" s="21">
        <f>VLOOKUP(B49,'[4]% Penetración Mdo MAR26'!$B$7:$D$59,3,0)-F49-I49</f>
        <v>7</v>
      </c>
      <c r="M49" s="24">
        <f ca="1">SUMIF('UC BMW 2026'!$B$5:$B$77,'UC BMW 2026'!$B47,'UC BMW 2026'!$K$5:$K$72)</f>
        <v>4</v>
      </c>
      <c r="N49" s="284">
        <f t="shared" ca="1" si="2"/>
        <v>0.5714285714285714</v>
      </c>
      <c r="O49" s="21">
        <f>VLOOKUP(B49,'[5]% Penetración Mdo ABR26'!$B$7:$D$59,3,0)-F49-I49-L49</f>
        <v>6</v>
      </c>
      <c r="P49" s="24">
        <f ca="1">SUMIF('UC BMW 2026'!$B$5:$B$77,'UC BMW 2026'!$B47,'UC BMW 2026'!$M$5:$M$72)</f>
        <v>4</v>
      </c>
      <c r="Q49" s="284">
        <f t="shared" ca="1" si="3"/>
        <v>0.66666666666666663</v>
      </c>
      <c r="R49" s="21">
        <f>VLOOKUP(B49,'[6]% Penetración Mdo MAY26'!$B$7:$G$65,3,0)-F49-I49-L49-O49</f>
        <v>8</v>
      </c>
      <c r="S49" s="24">
        <f ca="1">SUMIF('UC BMW 2026'!$B$5:$B$77,'UC BMW 2026'!$B47,'UC BMW 2026'!$O$5:$O$72)</f>
        <v>7</v>
      </c>
      <c r="T49" s="284">
        <f t="shared" ca="1" si="4"/>
        <v>0.875</v>
      </c>
      <c r="U49" s="21">
        <f>VLOOKUP(B49,'[7]% Penetración Mdo JUN26'!$B$7:$K$59,3,0)-F49-I49-L49-O49-R49</f>
        <v>10</v>
      </c>
      <c r="V49" s="24">
        <f ca="1">SUMIF('UC BMW 2026'!$B$5:$B$77,'UC BMW 2026'!$B47,'UC BMW 2026'!$Q$5:$Q$72)</f>
        <v>6</v>
      </c>
      <c r="W49" s="284">
        <f t="shared" ca="1" si="5"/>
        <v>0.6</v>
      </c>
      <c r="X49" s="21"/>
      <c r="Y49" s="24">
        <f ca="1">SUMIF('UC BMW 2026'!$B$5:$B$77,'UC BMW 2026'!$B47,'UC BMW 2026'!$S$5:$S$72)</f>
        <v>0</v>
      </c>
      <c r="Z49" s="282">
        <f t="shared" ref="Z49:Z54" ca="1" si="62">IFERROR(Y49/X49,0)</f>
        <v>0</v>
      </c>
      <c r="AA49" s="21"/>
      <c r="AB49" s="24">
        <f ca="1">SUMIF('UC BMW 2026'!$B$5:$B$77,'UC BMW 2026'!$B47,'UC BMW 2026'!$U$5:$U$72)</f>
        <v>0</v>
      </c>
      <c r="AC49" s="282">
        <f t="shared" ref="AC49:AC54" ca="1" si="63">IFERROR(AB49/AA49,0)</f>
        <v>0</v>
      </c>
      <c r="AD49" s="21"/>
      <c r="AE49" s="24">
        <f ca="1">SUMIF('UC BMW 2026'!$B$5:$B$77,'UC BMW 2026'!$B47,'UC BMW 2026'!$W$5:$W$72)</f>
        <v>0</v>
      </c>
      <c r="AF49" s="282">
        <f t="shared" ref="AF49:AF54" ca="1" si="64">IFERROR(AE49/AD49,0)</f>
        <v>0</v>
      </c>
      <c r="AG49" s="21"/>
      <c r="AH49" s="24">
        <f ca="1">SUMIF('UC BMW 2026'!$B$5:$B$77,'UC BMW 2026'!$B47,'UC BMW 2026'!$Y$5:$Y$72)</f>
        <v>0</v>
      </c>
      <c r="AI49" s="282">
        <f t="shared" ref="AI49:AI54" ca="1" si="65">IFERROR(AH49/AG49,0)</f>
        <v>0</v>
      </c>
      <c r="AJ49" s="21"/>
      <c r="AK49" s="24">
        <f ca="1">SUMIF('UC BMW 2026'!$B$5:$B$77,'UC BMW 2026'!$B47,'UC BMW 2026'!$AA$5:$AA$72)</f>
        <v>0</v>
      </c>
      <c r="AL49" s="282">
        <f t="shared" ref="AL49:AL54" ca="1" si="66">IFERROR(AK49/AJ49,0)</f>
        <v>0</v>
      </c>
      <c r="AM49" s="21"/>
      <c r="AN49" s="24">
        <f ca="1">SUMIF('UC BMW 2026'!$B$5:$B$77,'UC BMW 2026'!$B47,'UC BMW 2026'!$AC$5:$AC$72)</f>
        <v>0</v>
      </c>
      <c r="AO49" s="282">
        <f t="shared" ref="AO49:AO54" ca="1" si="67">IFERROR(AN49/AM49,0)</f>
        <v>0</v>
      </c>
      <c r="AP49" s="34">
        <f t="shared" si="57"/>
        <v>44</v>
      </c>
      <c r="AQ49" s="18">
        <f t="shared" ca="1" si="57"/>
        <v>29</v>
      </c>
      <c r="AR49" s="186">
        <f t="shared" ca="1" si="16"/>
        <v>0.65909090909090906</v>
      </c>
      <c r="AS49" s="34">
        <f t="shared" si="58"/>
        <v>44</v>
      </c>
      <c r="AT49" s="18">
        <f t="shared" ca="1" si="58"/>
        <v>29</v>
      </c>
      <c r="AU49" s="186">
        <f t="shared" ca="1" si="17"/>
        <v>0.65909090909090906</v>
      </c>
      <c r="AV49" s="25"/>
      <c r="AW49" s="27"/>
      <c r="AX49" s="289"/>
      <c r="AY49" s="151"/>
      <c r="AZ49" s="281"/>
      <c r="BA49" s="27"/>
      <c r="BB49" s="186"/>
      <c r="BC49" s="34">
        <f t="shared" si="59"/>
        <v>44</v>
      </c>
      <c r="BD49" s="18">
        <f t="shared" ca="1" si="59"/>
        <v>29</v>
      </c>
      <c r="BE49" s="187">
        <f t="shared" ca="1" si="18"/>
        <v>0.65909090909090906</v>
      </c>
      <c r="BF49" s="34">
        <f t="shared" ref="BF49:BG54" si="68">IFERROR(IF($BF$5="S 1",F49+I49+L49+O49+R49+U49,
IF($BF$5="S 2",X49+AA49+AD49+AG49+AJ49+AM49,0)),0)</f>
        <v>0</v>
      </c>
      <c r="BG49" s="18">
        <f t="shared" ca="1" si="68"/>
        <v>0</v>
      </c>
      <c r="BH49" s="187">
        <f t="shared" ca="1" si="19"/>
        <v>0</v>
      </c>
      <c r="BJ49" s="2"/>
      <c r="BK49" s="2"/>
      <c r="BL49" s="2"/>
      <c r="BM49" s="2"/>
      <c r="BN49" s="2"/>
      <c r="BO49" s="2"/>
      <c r="BP49" s="2"/>
      <c r="BQ49" s="2"/>
      <c r="BR49" s="2"/>
    </row>
    <row r="50" spans="1:70" s="4" customFormat="1" ht="15" customHeight="1" x14ac:dyDescent="0.3">
      <c r="A50" s="4">
        <f>_xlfn.XLOOKUP(B50,'WHOLESALE BMW 2026'!$B$7:$B$67,'WHOLESALE BMW 2026'!$A$7:$A$67)</f>
        <v>8</v>
      </c>
      <c r="B50" s="8">
        <v>100002</v>
      </c>
      <c r="C50" s="369" t="s">
        <v>61</v>
      </c>
      <c r="D50" s="125"/>
      <c r="E50" s="309" t="s">
        <v>96</v>
      </c>
      <c r="F50" s="21">
        <v>33</v>
      </c>
      <c r="G50" s="24">
        <f ca="1">SUMIF('UC BMW 2026'!$B$5:$B$77,'UC BMW 2026'!B48,'UC BMW 2026'!$G$5:$G$72)</f>
        <v>18</v>
      </c>
      <c r="H50" s="285">
        <f t="shared" ca="1" si="0"/>
        <v>0.54545454545454541</v>
      </c>
      <c r="I50" s="21">
        <v>38</v>
      </c>
      <c r="J50" s="24">
        <f ca="1">SUMIF('UC BMW 2026'!$B$5:$B$77,'UC BMW 2026'!$B48,'UC BMW 2026'!$I$5:$I$72)</f>
        <v>16</v>
      </c>
      <c r="K50" s="285">
        <f t="shared" ca="1" si="1"/>
        <v>0.42105263157894735</v>
      </c>
      <c r="L50" s="21">
        <f>VLOOKUP(B50,'[4]% Penetración Mdo MAR26'!$B$7:$D$59,3,0)-F50-I50</f>
        <v>50</v>
      </c>
      <c r="M50" s="24">
        <f ca="1">SUMIF('UC BMW 2026'!$B$5:$B$77,'UC BMW 2026'!$B48,'UC BMW 2026'!$K$5:$K$72)</f>
        <v>17</v>
      </c>
      <c r="N50" s="285">
        <f t="shared" ca="1" si="2"/>
        <v>0.34</v>
      </c>
      <c r="O50" s="21">
        <f>VLOOKUP(B50,'[5]% Penetración Mdo ABR26'!$B$7:$D$59,3,0)-F50-I50-L50</f>
        <v>68</v>
      </c>
      <c r="P50" s="24">
        <f ca="1">SUMIF('UC BMW 2026'!$B$5:$B$77,'UC BMW 2026'!$B48,'UC BMW 2026'!$M$5:$M$72)</f>
        <v>16</v>
      </c>
      <c r="Q50" s="285">
        <f t="shared" ca="1" si="3"/>
        <v>0.23529411764705882</v>
      </c>
      <c r="R50" s="21">
        <f>VLOOKUP(B50,'[6]% Penetración Mdo MAY26'!$B$7:$G$65,3,0)-F50-I50-L50-O50</f>
        <v>44</v>
      </c>
      <c r="S50" s="24">
        <f ca="1">SUMIF('UC BMW 2026'!$B$5:$B$77,'UC BMW 2026'!$B48,'UC BMW 2026'!$O$5:$O$72)</f>
        <v>12</v>
      </c>
      <c r="T50" s="285">
        <f t="shared" ca="1" si="4"/>
        <v>0.27272727272727271</v>
      </c>
      <c r="U50" s="21">
        <f>VLOOKUP(B50,'[7]% Penetración Mdo JUN26'!$B$7:$K$59,3,0)-F50-I50-L50-O50-R50</f>
        <v>57</v>
      </c>
      <c r="V50" s="24">
        <f ca="1">SUMIF('UC BMW 2026'!$B$5:$B$77,'UC BMW 2026'!$B48,'UC BMW 2026'!$Q$5:$Q$72)</f>
        <v>17</v>
      </c>
      <c r="W50" s="285">
        <f t="shared" ca="1" si="5"/>
        <v>0.2982456140350877</v>
      </c>
      <c r="X50" s="21"/>
      <c r="Y50" s="24">
        <f ca="1">SUMIF('UC BMW 2026'!$B$5:$B$77,'UC BMW 2026'!$B48,'UC BMW 2026'!$S$5:$S$72)</f>
        <v>0</v>
      </c>
      <c r="Z50" s="282">
        <f t="shared" ca="1" si="62"/>
        <v>0</v>
      </c>
      <c r="AA50" s="21"/>
      <c r="AB50" s="24">
        <f ca="1">SUMIF('UC BMW 2026'!$B$5:$B$77,'UC BMW 2026'!$B48,'UC BMW 2026'!$U$5:$U$72)</f>
        <v>0</v>
      </c>
      <c r="AC50" s="282">
        <f t="shared" ca="1" si="63"/>
        <v>0</v>
      </c>
      <c r="AD50" s="21"/>
      <c r="AE50" s="24">
        <f ca="1">SUMIF('UC BMW 2026'!$B$5:$B$77,'UC BMW 2026'!$B48,'UC BMW 2026'!$W$5:$W$72)</f>
        <v>0</v>
      </c>
      <c r="AF50" s="282">
        <f t="shared" ca="1" si="64"/>
        <v>0</v>
      </c>
      <c r="AG50" s="21"/>
      <c r="AH50" s="24">
        <f ca="1">SUMIF('UC BMW 2026'!$B$5:$B$77,'UC BMW 2026'!$B48,'UC BMW 2026'!$Y$5:$Y$72)</f>
        <v>0</v>
      </c>
      <c r="AI50" s="282">
        <f t="shared" ca="1" si="65"/>
        <v>0</v>
      </c>
      <c r="AJ50" s="21"/>
      <c r="AK50" s="24">
        <f ca="1">SUMIF('UC BMW 2026'!$B$5:$B$77,'UC BMW 2026'!$B48,'UC BMW 2026'!$AA$5:$AA$72)</f>
        <v>0</v>
      </c>
      <c r="AL50" s="282">
        <f t="shared" ca="1" si="66"/>
        <v>0</v>
      </c>
      <c r="AM50" s="21"/>
      <c r="AN50" s="24">
        <f ca="1">SUMIF('UC BMW 2026'!$B$5:$B$77,'UC BMW 2026'!$B48,'UC BMW 2026'!$AC$5:$AC$72)</f>
        <v>0</v>
      </c>
      <c r="AO50" s="282">
        <f t="shared" ca="1" si="67"/>
        <v>0</v>
      </c>
      <c r="AP50" s="21">
        <f t="shared" si="57"/>
        <v>290</v>
      </c>
      <c r="AQ50" s="22">
        <f t="shared" ca="1" si="57"/>
        <v>96</v>
      </c>
      <c r="AR50" s="129">
        <f t="shared" ca="1" si="16"/>
        <v>0.33103448275862069</v>
      </c>
      <c r="AS50" s="21">
        <f t="shared" si="58"/>
        <v>290</v>
      </c>
      <c r="AT50" s="22">
        <f t="shared" ca="1" si="58"/>
        <v>96</v>
      </c>
      <c r="AU50" s="129">
        <f t="shared" ca="1" si="17"/>
        <v>0.33103448275862069</v>
      </c>
      <c r="AV50" s="25"/>
      <c r="AW50" s="27"/>
      <c r="AX50" s="287"/>
      <c r="AY50" s="291"/>
      <c r="AZ50" s="287"/>
      <c r="BA50" s="27"/>
      <c r="BB50" s="129"/>
      <c r="BC50" s="21">
        <f t="shared" si="59"/>
        <v>290</v>
      </c>
      <c r="BD50" s="22">
        <f t="shared" ca="1" si="59"/>
        <v>96</v>
      </c>
      <c r="BE50" s="130">
        <f t="shared" ca="1" si="18"/>
        <v>0.33103448275862069</v>
      </c>
      <c r="BF50" s="34">
        <f t="shared" si="68"/>
        <v>0</v>
      </c>
      <c r="BG50" s="22">
        <f t="shared" ca="1" si="68"/>
        <v>0</v>
      </c>
      <c r="BH50" s="130">
        <f t="shared" ca="1" si="19"/>
        <v>0</v>
      </c>
      <c r="BJ50" s="2"/>
      <c r="BK50" s="2"/>
      <c r="BL50" s="2"/>
      <c r="BM50" s="2"/>
      <c r="BN50" s="2"/>
      <c r="BO50" s="2"/>
      <c r="BP50" s="2"/>
      <c r="BQ50" s="2"/>
      <c r="BR50" s="2"/>
    </row>
    <row r="51" spans="1:70" s="4" customFormat="1" ht="15" customHeight="1" x14ac:dyDescent="0.3">
      <c r="A51" s="4">
        <f>_xlfn.XLOOKUP(B51,'WHOLESALE BMW 2026'!$B$7:$B$67,'WHOLESALE BMW 2026'!$A$7:$A$67)</f>
        <v>8</v>
      </c>
      <c r="B51" s="8">
        <v>100062</v>
      </c>
      <c r="C51" s="369" t="s">
        <v>62</v>
      </c>
      <c r="D51" s="125"/>
      <c r="E51" s="309" t="s">
        <v>97</v>
      </c>
      <c r="F51" s="21">
        <v>96</v>
      </c>
      <c r="G51" s="24">
        <f ca="1">SUMIF('UC BMW 2026'!$B$5:$B$77,'UC BMW 2026'!B49,'UC BMW 2026'!$G$5:$G$72)</f>
        <v>19</v>
      </c>
      <c r="H51" s="282">
        <f t="shared" ca="1" si="0"/>
        <v>0.19791666666666666</v>
      </c>
      <c r="I51" s="21">
        <v>121</v>
      </c>
      <c r="J51" s="24">
        <f ca="1">SUMIF('UC BMW 2026'!$B$5:$B$77,'UC BMW 2026'!$B49,'UC BMW 2026'!$I$5:$I$72)</f>
        <v>26</v>
      </c>
      <c r="K51" s="282">
        <f t="shared" ca="1" si="1"/>
        <v>0.21487603305785125</v>
      </c>
      <c r="L51" s="21">
        <f>VLOOKUP(B51,'[4]% Penetración Mdo MAR26'!$B$7:$D$59,3,0)-F51-I51</f>
        <v>107</v>
      </c>
      <c r="M51" s="24">
        <f ca="1">SUMIF('UC BMW 2026'!$B$5:$B$77,'UC BMW 2026'!$B49,'UC BMW 2026'!$K$5:$K$72)</f>
        <v>41</v>
      </c>
      <c r="N51" s="282">
        <f t="shared" ca="1" si="2"/>
        <v>0.38317757009345793</v>
      </c>
      <c r="O51" s="21">
        <f>VLOOKUP(B51,'[5]% Penetración Mdo ABR26'!$B$7:$D$59,3,0)-F51-I51-L51</f>
        <v>89</v>
      </c>
      <c r="P51" s="24">
        <f ca="1">SUMIF('UC BMW 2026'!$B$5:$B$77,'UC BMW 2026'!$B49,'UC BMW 2026'!$M$5:$M$72)</f>
        <v>30</v>
      </c>
      <c r="Q51" s="282">
        <f t="shared" ca="1" si="3"/>
        <v>0.33707865168539325</v>
      </c>
      <c r="R51" s="21">
        <f>VLOOKUP(B51,'[6]% Penetración Mdo MAY26'!$B$7:$G$65,3,0)-F51-I51-L51-O51</f>
        <v>102</v>
      </c>
      <c r="S51" s="24">
        <f ca="1">SUMIF('UC BMW 2026'!$B$5:$B$77,'UC BMW 2026'!$B49,'UC BMW 2026'!$O$5:$O$72)</f>
        <v>37</v>
      </c>
      <c r="T51" s="282">
        <f t="shared" ca="1" si="4"/>
        <v>0.36274509803921567</v>
      </c>
      <c r="U51" s="21">
        <f>VLOOKUP(B51,'[7]% Penetración Mdo JUN26'!$B$7:$K$59,3,0)-F51-I51-L51-O51-R51</f>
        <v>125</v>
      </c>
      <c r="V51" s="24">
        <f ca="1">SUMIF('UC BMW 2026'!$B$5:$B$77,'UC BMW 2026'!$B49,'UC BMW 2026'!$Q$5:$Q$72)</f>
        <v>84</v>
      </c>
      <c r="W51" s="282">
        <f t="shared" ca="1" si="5"/>
        <v>0.67200000000000004</v>
      </c>
      <c r="X51" s="21"/>
      <c r="Y51" s="24">
        <f ca="1">SUMIF('UC BMW 2026'!$B$5:$B$77,'UC BMW 2026'!$B49,'UC BMW 2026'!$S$5:$S$72)</f>
        <v>0</v>
      </c>
      <c r="Z51" s="282">
        <f t="shared" ca="1" si="62"/>
        <v>0</v>
      </c>
      <c r="AA51" s="21"/>
      <c r="AB51" s="24">
        <f ca="1">SUMIF('UC BMW 2026'!$B$5:$B$77,'UC BMW 2026'!$B49,'UC BMW 2026'!$U$5:$U$72)</f>
        <v>0</v>
      </c>
      <c r="AC51" s="282">
        <f t="shared" ca="1" si="63"/>
        <v>0</v>
      </c>
      <c r="AD51" s="21"/>
      <c r="AE51" s="24">
        <f ca="1">SUMIF('UC BMW 2026'!$B$5:$B$77,'UC BMW 2026'!$B49,'UC BMW 2026'!$W$5:$W$72)</f>
        <v>0</v>
      </c>
      <c r="AF51" s="282">
        <f t="shared" ca="1" si="64"/>
        <v>0</v>
      </c>
      <c r="AG51" s="21"/>
      <c r="AH51" s="24">
        <f ca="1">SUMIF('UC BMW 2026'!$B$5:$B$77,'UC BMW 2026'!$B49,'UC BMW 2026'!$Y$5:$Y$72)</f>
        <v>0</v>
      </c>
      <c r="AI51" s="282">
        <f t="shared" ca="1" si="65"/>
        <v>0</v>
      </c>
      <c r="AJ51" s="21"/>
      <c r="AK51" s="24">
        <f ca="1">SUMIF('UC BMW 2026'!$B$5:$B$77,'UC BMW 2026'!$B49,'UC BMW 2026'!$AA$5:$AA$72)</f>
        <v>0</v>
      </c>
      <c r="AL51" s="282">
        <f t="shared" ca="1" si="66"/>
        <v>0</v>
      </c>
      <c r="AM51" s="21"/>
      <c r="AN51" s="24">
        <f ca="1">SUMIF('UC BMW 2026'!$B$5:$B$77,'UC BMW 2026'!$B49,'UC BMW 2026'!$AC$5:$AC$72)</f>
        <v>0</v>
      </c>
      <c r="AO51" s="282">
        <f t="shared" ca="1" si="67"/>
        <v>0</v>
      </c>
      <c r="AP51" s="21">
        <f t="shared" si="57"/>
        <v>640</v>
      </c>
      <c r="AQ51" s="24">
        <f t="shared" ca="1" si="57"/>
        <v>237</v>
      </c>
      <c r="AR51" s="129">
        <f t="shared" ca="1" si="16"/>
        <v>0.37031249999999999</v>
      </c>
      <c r="AS51" s="21">
        <f t="shared" si="58"/>
        <v>640</v>
      </c>
      <c r="AT51" s="24">
        <f t="shared" ca="1" si="58"/>
        <v>237</v>
      </c>
      <c r="AU51" s="129">
        <f t="shared" ca="1" si="17"/>
        <v>0.37031249999999999</v>
      </c>
      <c r="AV51" s="25"/>
      <c r="AW51" s="27"/>
      <c r="AX51" s="287"/>
      <c r="AY51" s="294"/>
      <c r="AZ51" s="287"/>
      <c r="BA51" s="27"/>
      <c r="BB51" s="129"/>
      <c r="BC51" s="21">
        <f t="shared" si="59"/>
        <v>640</v>
      </c>
      <c r="BD51" s="24">
        <f t="shared" ca="1" si="59"/>
        <v>237</v>
      </c>
      <c r="BE51" s="130">
        <f t="shared" ca="1" si="18"/>
        <v>0.37031249999999999</v>
      </c>
      <c r="BF51" s="34">
        <f t="shared" si="68"/>
        <v>0</v>
      </c>
      <c r="BG51" s="24">
        <f t="shared" ca="1" si="68"/>
        <v>0</v>
      </c>
      <c r="BH51" s="130">
        <f t="shared" ca="1" si="19"/>
        <v>0</v>
      </c>
      <c r="BJ51" s="2"/>
      <c r="BK51" s="2"/>
      <c r="BL51" s="2"/>
      <c r="BM51" s="2"/>
      <c r="BN51" s="2"/>
      <c r="BO51" s="2"/>
      <c r="BP51" s="2"/>
      <c r="BQ51" s="2"/>
      <c r="BR51" s="2"/>
    </row>
    <row r="52" spans="1:70" s="4" customFormat="1" ht="15" customHeight="1" x14ac:dyDescent="0.3">
      <c r="A52" s="4">
        <f>_xlfn.XLOOKUP(B52,'WHOLESALE BMW 2026'!$B$7:$B$67,'WHOLESALE BMW 2026'!$A$7:$A$67)</f>
        <v>8</v>
      </c>
      <c r="B52" s="8">
        <v>100206</v>
      </c>
      <c r="C52" s="369" t="s">
        <v>63</v>
      </c>
      <c r="D52" s="125"/>
      <c r="E52" s="309" t="s">
        <v>97</v>
      </c>
      <c r="F52" s="21">
        <v>75</v>
      </c>
      <c r="G52" s="24">
        <f ca="1">SUMIF('UC BMW 2026'!$B$5:$B$77,'UC BMW 2026'!B50,'UC BMW 2026'!$G$5:$G$72)</f>
        <v>22</v>
      </c>
      <c r="H52" s="282">
        <f t="shared" ca="1" si="0"/>
        <v>0.29333333333333333</v>
      </c>
      <c r="I52" s="21">
        <v>78</v>
      </c>
      <c r="J52" s="24">
        <f ca="1">SUMIF('UC BMW 2026'!$B$5:$B$77,'UC BMW 2026'!$B50,'UC BMW 2026'!$I$5:$I$72)</f>
        <v>37</v>
      </c>
      <c r="K52" s="282">
        <f t="shared" ca="1" si="1"/>
        <v>0.47435897435897434</v>
      </c>
      <c r="L52" s="21">
        <f>VLOOKUP(B52,'[4]% Penetración Mdo MAR26'!$B$7:$D$59,3,0)-F52-I52</f>
        <v>79</v>
      </c>
      <c r="M52" s="24">
        <f ca="1">SUMIF('UC BMW 2026'!$B$5:$B$77,'UC BMW 2026'!$B50,'UC BMW 2026'!$K$5:$K$72)</f>
        <v>32</v>
      </c>
      <c r="N52" s="282">
        <f t="shared" ca="1" si="2"/>
        <v>0.4050632911392405</v>
      </c>
      <c r="O52" s="21">
        <f>VLOOKUP(B52,'[5]% Penetración Mdo ABR26'!$B$7:$D$59,3,0)-F52-I52-L52</f>
        <v>59</v>
      </c>
      <c r="P52" s="24">
        <f ca="1">SUMIF('UC BMW 2026'!$B$5:$B$77,'UC BMW 2026'!$B50,'UC BMW 2026'!$M$5:$M$72)</f>
        <v>31</v>
      </c>
      <c r="Q52" s="282">
        <f t="shared" ca="1" si="3"/>
        <v>0.52542372881355937</v>
      </c>
      <c r="R52" s="21">
        <f>VLOOKUP(B52,'[6]% Penetración Mdo MAY26'!$B$7:$G$65,3,0)-F52-I52-L52-O52</f>
        <v>51</v>
      </c>
      <c r="S52" s="24">
        <f ca="1">SUMIF('UC BMW 2026'!$B$5:$B$77,'UC BMW 2026'!$B50,'UC BMW 2026'!$O$5:$O$72)</f>
        <v>24</v>
      </c>
      <c r="T52" s="282">
        <f t="shared" ca="1" si="4"/>
        <v>0.47058823529411764</v>
      </c>
      <c r="U52" s="21">
        <f>VLOOKUP(B52,'[7]% Penetración Mdo JUN26'!$B$7:$K$59,3,0)-F52-I52-L52-O52-R52</f>
        <v>81</v>
      </c>
      <c r="V52" s="24">
        <f ca="1">SUMIF('UC BMW 2026'!$B$5:$B$77,'UC BMW 2026'!$B50,'UC BMW 2026'!$Q$5:$Q$72)</f>
        <v>31</v>
      </c>
      <c r="W52" s="282">
        <f t="shared" ca="1" si="5"/>
        <v>0.38271604938271603</v>
      </c>
      <c r="X52" s="21"/>
      <c r="Y52" s="24">
        <f ca="1">SUMIF('UC BMW 2026'!$B$5:$B$77,'UC BMW 2026'!$B50,'UC BMW 2026'!$S$5:$S$72)</f>
        <v>0</v>
      </c>
      <c r="Z52" s="282">
        <f t="shared" ca="1" si="62"/>
        <v>0</v>
      </c>
      <c r="AA52" s="21"/>
      <c r="AB52" s="24">
        <f ca="1">SUMIF('UC BMW 2026'!$B$5:$B$77,'UC BMW 2026'!$B50,'UC BMW 2026'!$U$5:$U$72)</f>
        <v>0</v>
      </c>
      <c r="AC52" s="282">
        <f t="shared" ca="1" si="63"/>
        <v>0</v>
      </c>
      <c r="AD52" s="21"/>
      <c r="AE52" s="24">
        <f ca="1">SUMIF('UC BMW 2026'!$B$5:$B$77,'UC BMW 2026'!$B50,'UC BMW 2026'!$W$5:$W$72)</f>
        <v>0</v>
      </c>
      <c r="AF52" s="282">
        <f t="shared" ca="1" si="64"/>
        <v>0</v>
      </c>
      <c r="AG52" s="21"/>
      <c r="AH52" s="24">
        <f ca="1">SUMIF('UC BMW 2026'!$B$5:$B$77,'UC BMW 2026'!$B50,'UC BMW 2026'!$Y$5:$Y$72)</f>
        <v>0</v>
      </c>
      <c r="AI52" s="282">
        <f t="shared" ca="1" si="65"/>
        <v>0</v>
      </c>
      <c r="AJ52" s="21"/>
      <c r="AK52" s="24">
        <f ca="1">SUMIF('UC BMW 2026'!$B$5:$B$77,'UC BMW 2026'!$B50,'UC BMW 2026'!$AA$5:$AA$72)</f>
        <v>0</v>
      </c>
      <c r="AL52" s="282">
        <f t="shared" ca="1" si="66"/>
        <v>0</v>
      </c>
      <c r="AM52" s="21"/>
      <c r="AN52" s="24">
        <f ca="1">SUMIF('UC BMW 2026'!$B$5:$B$77,'UC BMW 2026'!$B50,'UC BMW 2026'!$AC$5:$AC$72)</f>
        <v>0</v>
      </c>
      <c r="AO52" s="282">
        <f t="shared" ca="1" si="67"/>
        <v>0</v>
      </c>
      <c r="AP52" s="21">
        <f t="shared" si="57"/>
        <v>423</v>
      </c>
      <c r="AQ52" s="24">
        <f t="shared" ca="1" si="57"/>
        <v>177</v>
      </c>
      <c r="AR52" s="129">
        <f t="shared" ca="1" si="16"/>
        <v>0.41843971631205673</v>
      </c>
      <c r="AS52" s="21">
        <f t="shared" si="58"/>
        <v>423</v>
      </c>
      <c r="AT52" s="24">
        <f t="shared" ca="1" si="58"/>
        <v>177</v>
      </c>
      <c r="AU52" s="129">
        <f t="shared" ca="1" si="17"/>
        <v>0.41843971631205673</v>
      </c>
      <c r="AV52" s="25"/>
      <c r="AW52" s="27"/>
      <c r="AX52" s="287"/>
      <c r="AY52" s="294"/>
      <c r="AZ52" s="287"/>
      <c r="BA52" s="27"/>
      <c r="BB52" s="129"/>
      <c r="BC52" s="21">
        <f t="shared" si="59"/>
        <v>423</v>
      </c>
      <c r="BD52" s="24">
        <f t="shared" ca="1" si="59"/>
        <v>177</v>
      </c>
      <c r="BE52" s="130">
        <f t="shared" ca="1" si="18"/>
        <v>0.41843971631205673</v>
      </c>
      <c r="BF52" s="34">
        <f t="shared" si="68"/>
        <v>0</v>
      </c>
      <c r="BG52" s="24">
        <f t="shared" ca="1" si="68"/>
        <v>0</v>
      </c>
      <c r="BH52" s="130">
        <f t="shared" ca="1" si="19"/>
        <v>0</v>
      </c>
      <c r="BJ52" s="2"/>
      <c r="BK52" s="2"/>
      <c r="BL52" s="2"/>
      <c r="BM52" s="2"/>
      <c r="BN52" s="2"/>
      <c r="BO52" s="2"/>
      <c r="BP52" s="2"/>
      <c r="BQ52" s="2"/>
      <c r="BR52" s="2"/>
    </row>
    <row r="53" spans="1:70" s="4" customFormat="1" ht="15" customHeight="1" x14ac:dyDescent="0.3">
      <c r="A53" s="4">
        <f>_xlfn.XLOOKUP(B53,'WHOLESALE BMW 2026'!$B$7:$B$67,'WHOLESALE BMW 2026'!$A$7:$A$67)</f>
        <v>8</v>
      </c>
      <c r="B53" s="9">
        <v>100394</v>
      </c>
      <c r="C53" s="374" t="s">
        <v>64</v>
      </c>
      <c r="D53" s="125"/>
      <c r="E53" s="309" t="s">
        <v>96</v>
      </c>
      <c r="F53" s="21">
        <v>20</v>
      </c>
      <c r="G53" s="24">
        <f ca="1">SUMIF('UC BMW 2026'!$B$5:$B$77,'UC BMW 2026'!B51,'UC BMW 2026'!$G$5:$G$72)</f>
        <v>4</v>
      </c>
      <c r="H53" s="282">
        <f t="shared" ca="1" si="0"/>
        <v>0.2</v>
      </c>
      <c r="I53" s="21">
        <v>25</v>
      </c>
      <c r="J53" s="24">
        <f ca="1">SUMIF('UC BMW 2026'!$B$5:$B$77,'UC BMW 2026'!$B51,'UC BMW 2026'!$I$5:$I$72)</f>
        <v>10</v>
      </c>
      <c r="K53" s="282">
        <f t="shared" ca="1" si="1"/>
        <v>0.4</v>
      </c>
      <c r="L53" s="21">
        <f>VLOOKUP(B53,'[4]% Penetración Mdo MAR26'!$B$7:$D$59,3,0)-F53-I53</f>
        <v>29</v>
      </c>
      <c r="M53" s="24">
        <f ca="1">SUMIF('UC BMW 2026'!$B$5:$B$77,'UC BMW 2026'!$B51,'UC BMW 2026'!$K$5:$K$72)</f>
        <v>5</v>
      </c>
      <c r="N53" s="282">
        <f t="shared" ca="1" si="2"/>
        <v>0.17241379310344829</v>
      </c>
      <c r="O53" s="21">
        <f>VLOOKUP(B53,'[5]% Penetración Mdo ABR26'!$B$7:$D$59,3,0)-F53-I53-L53</f>
        <v>34</v>
      </c>
      <c r="P53" s="24">
        <f ca="1">SUMIF('UC BMW 2026'!$B$5:$B$77,'UC BMW 2026'!$B51,'UC BMW 2026'!$M$5:$M$72)</f>
        <v>12</v>
      </c>
      <c r="Q53" s="282">
        <f t="shared" ca="1" si="3"/>
        <v>0.35294117647058826</v>
      </c>
      <c r="R53" s="21">
        <f>VLOOKUP(B53,'[6]% Penetración Mdo MAY26'!$B$7:$G$65,3,0)-F53-I53-L53-O53</f>
        <v>33</v>
      </c>
      <c r="S53" s="24">
        <f ca="1">SUMIF('UC BMW 2026'!$B$5:$B$77,'UC BMW 2026'!$B51,'UC BMW 2026'!$O$5:$O$72)</f>
        <v>3</v>
      </c>
      <c r="T53" s="282">
        <f t="shared" ca="1" si="4"/>
        <v>9.0909090909090912E-2</v>
      </c>
      <c r="U53" s="21">
        <f>VLOOKUP(B53,'[7]% Penetración Mdo JUN26'!$B$7:$K$59,3,0)-F53-I53-L53-O53-R53</f>
        <v>25</v>
      </c>
      <c r="V53" s="24">
        <f ca="1">SUMIF('UC BMW 2026'!$B$5:$B$77,'UC BMW 2026'!$B51,'UC BMW 2026'!$Q$5:$Q$72)</f>
        <v>9</v>
      </c>
      <c r="W53" s="282">
        <f t="shared" ca="1" si="5"/>
        <v>0.36</v>
      </c>
      <c r="X53" s="21"/>
      <c r="Y53" s="24">
        <f ca="1">SUMIF('UC BMW 2026'!$B$5:$B$77,'UC BMW 2026'!$B51,'UC BMW 2026'!$S$5:$S$72)</f>
        <v>0</v>
      </c>
      <c r="Z53" s="282">
        <f t="shared" ca="1" si="62"/>
        <v>0</v>
      </c>
      <c r="AA53" s="21"/>
      <c r="AB53" s="24">
        <f ca="1">SUMIF('UC BMW 2026'!$B$5:$B$77,'UC BMW 2026'!$B51,'UC BMW 2026'!$U$5:$U$72)</f>
        <v>0</v>
      </c>
      <c r="AC53" s="282">
        <f t="shared" ca="1" si="63"/>
        <v>0</v>
      </c>
      <c r="AD53" s="21"/>
      <c r="AE53" s="24">
        <f ca="1">SUMIF('UC BMW 2026'!$B$5:$B$77,'UC BMW 2026'!$B51,'UC BMW 2026'!$W$5:$W$72)</f>
        <v>0</v>
      </c>
      <c r="AF53" s="282">
        <f t="shared" ca="1" si="64"/>
        <v>0</v>
      </c>
      <c r="AG53" s="21"/>
      <c r="AH53" s="24">
        <f ca="1">SUMIF('UC BMW 2026'!$B$5:$B$77,'UC BMW 2026'!$B51,'UC BMW 2026'!$Y$5:$Y$72)</f>
        <v>0</v>
      </c>
      <c r="AI53" s="282">
        <f t="shared" ca="1" si="65"/>
        <v>0</v>
      </c>
      <c r="AJ53" s="21"/>
      <c r="AK53" s="24">
        <f ca="1">SUMIF('UC BMW 2026'!$B$5:$B$77,'UC BMW 2026'!$B51,'UC BMW 2026'!$AA$5:$AA$72)</f>
        <v>0</v>
      </c>
      <c r="AL53" s="282">
        <f t="shared" ca="1" si="66"/>
        <v>0</v>
      </c>
      <c r="AM53" s="21"/>
      <c r="AN53" s="24">
        <f ca="1">SUMIF('UC BMW 2026'!$B$5:$B$77,'UC BMW 2026'!$B51,'UC BMW 2026'!$AC$5:$AC$72)</f>
        <v>0</v>
      </c>
      <c r="AO53" s="282">
        <f t="shared" ca="1" si="67"/>
        <v>0</v>
      </c>
      <c r="AP53" s="21">
        <f t="shared" si="57"/>
        <v>166</v>
      </c>
      <c r="AQ53" s="24">
        <f t="shared" ca="1" si="57"/>
        <v>43</v>
      </c>
      <c r="AR53" s="129">
        <f t="shared" ca="1" si="16"/>
        <v>0.25903614457831325</v>
      </c>
      <c r="AS53" s="21">
        <f t="shared" si="58"/>
        <v>166</v>
      </c>
      <c r="AT53" s="24">
        <f t="shared" ca="1" si="58"/>
        <v>43</v>
      </c>
      <c r="AU53" s="129">
        <f t="shared" ca="1" si="17"/>
        <v>0.25903614457831325</v>
      </c>
      <c r="AV53" s="25"/>
      <c r="AW53" s="27"/>
      <c r="AX53" s="287"/>
      <c r="AY53" s="294"/>
      <c r="AZ53" s="287"/>
      <c r="BA53" s="27"/>
      <c r="BB53" s="129"/>
      <c r="BC53" s="21">
        <f t="shared" si="59"/>
        <v>166</v>
      </c>
      <c r="BD53" s="24">
        <f t="shared" ca="1" si="59"/>
        <v>43</v>
      </c>
      <c r="BE53" s="130">
        <f t="shared" ca="1" si="18"/>
        <v>0.25903614457831325</v>
      </c>
      <c r="BF53" s="34">
        <f t="shared" si="68"/>
        <v>0</v>
      </c>
      <c r="BG53" s="24">
        <f t="shared" ca="1" si="68"/>
        <v>0</v>
      </c>
      <c r="BH53" s="130">
        <f t="shared" ca="1" si="19"/>
        <v>0</v>
      </c>
      <c r="BJ53" s="2"/>
      <c r="BK53" s="2"/>
      <c r="BL53" s="2"/>
      <c r="BM53" s="2"/>
      <c r="BN53" s="2"/>
      <c r="BO53" s="2"/>
      <c r="BP53" s="2"/>
      <c r="BQ53" s="2"/>
      <c r="BR53" s="2"/>
    </row>
    <row r="54" spans="1:70" s="4" customFormat="1" ht="15" customHeight="1" thickBot="1" x14ac:dyDescent="0.35">
      <c r="A54" s="4">
        <f>_xlfn.XLOOKUP(B54,'WHOLESALE BMW 2026'!$B$7:$B$67,'WHOLESALE BMW 2026'!$A$7:$A$67)</f>
        <v>8</v>
      </c>
      <c r="B54" s="9">
        <v>100468</v>
      </c>
      <c r="C54" s="374" t="s">
        <v>65</v>
      </c>
      <c r="D54" s="125"/>
      <c r="E54" s="309" t="s">
        <v>97</v>
      </c>
      <c r="F54" s="21">
        <v>23</v>
      </c>
      <c r="G54" s="24">
        <f ca="1">SUMIF('UC BMW 2026'!$B$5:$B$77,'UC BMW 2026'!B52,'UC BMW 2026'!$G$5:$G$72)</f>
        <v>33</v>
      </c>
      <c r="H54" s="282">
        <f t="shared" ca="1" si="0"/>
        <v>1.4347826086956521</v>
      </c>
      <c r="I54" s="21">
        <v>43</v>
      </c>
      <c r="J54" s="24">
        <f ca="1">SUMIF('UC BMW 2026'!$B$5:$B$77,'UC BMW 2026'!$B52,'UC BMW 2026'!$I$5:$I$72)</f>
        <v>32</v>
      </c>
      <c r="K54" s="282">
        <f t="shared" ca="1" si="1"/>
        <v>0.7441860465116279</v>
      </c>
      <c r="L54" s="21">
        <f>VLOOKUP(B54,'[4]% Penetración Mdo MAR26'!$B$7:$D$59,3,0)-F54-I54</f>
        <v>36</v>
      </c>
      <c r="M54" s="24">
        <f ca="1">SUMIF('UC BMW 2026'!$B$5:$B$77,'UC BMW 2026'!$B52,'UC BMW 2026'!$K$5:$K$72)</f>
        <v>39</v>
      </c>
      <c r="N54" s="282">
        <f t="shared" ca="1" si="2"/>
        <v>1.0833333333333333</v>
      </c>
      <c r="O54" s="21">
        <f>VLOOKUP(B54,'[5]% Penetración Mdo ABR26'!$B$7:$D$59,3,0)-F54-I54-L54</f>
        <v>37</v>
      </c>
      <c r="P54" s="24">
        <f ca="1">SUMIF('UC BMW 2026'!$B$5:$B$77,'UC BMW 2026'!$B52,'UC BMW 2026'!$M$5:$M$72)</f>
        <v>35</v>
      </c>
      <c r="Q54" s="282">
        <f t="shared" ca="1" si="3"/>
        <v>0.94594594594594594</v>
      </c>
      <c r="R54" s="21">
        <f>VLOOKUP(B54,'[6]% Penetración Mdo MAY26'!$B$7:$G$65,3,0)-F54-I54-L54-O54</f>
        <v>48</v>
      </c>
      <c r="S54" s="24">
        <f ca="1">SUMIF('UC BMW 2026'!$B$5:$B$77,'UC BMW 2026'!$B52,'UC BMW 2026'!$O$5:$O$72)</f>
        <v>37</v>
      </c>
      <c r="T54" s="282">
        <f t="shared" ca="1" si="4"/>
        <v>0.77083333333333337</v>
      </c>
      <c r="U54" s="21">
        <f>VLOOKUP(B54,'[7]% Penetración Mdo JUN26'!$B$7:$K$59,3,0)-F54-I54-L54-O54-R54</f>
        <v>36</v>
      </c>
      <c r="V54" s="24">
        <f ca="1">SUMIF('UC BMW 2026'!$B$5:$B$77,'UC BMW 2026'!$B52,'UC BMW 2026'!$Q$5:$Q$72)</f>
        <v>36</v>
      </c>
      <c r="W54" s="282">
        <f t="shared" ca="1" si="5"/>
        <v>1</v>
      </c>
      <c r="X54" s="21"/>
      <c r="Y54" s="24">
        <f ca="1">SUMIF('UC BMW 2026'!$B$5:$B$77,'UC BMW 2026'!$B52,'UC BMW 2026'!$S$5:$S$72)</f>
        <v>0</v>
      </c>
      <c r="Z54" s="282">
        <f t="shared" ca="1" si="62"/>
        <v>0</v>
      </c>
      <c r="AA54" s="21"/>
      <c r="AB54" s="24">
        <f ca="1">SUMIF('UC BMW 2026'!$B$5:$B$77,'UC BMW 2026'!$B52,'UC BMW 2026'!$U$5:$U$72)</f>
        <v>0</v>
      </c>
      <c r="AC54" s="282">
        <f t="shared" ca="1" si="63"/>
        <v>0</v>
      </c>
      <c r="AD54" s="21"/>
      <c r="AE54" s="24">
        <f ca="1">SUMIF('UC BMW 2026'!$B$5:$B$77,'UC BMW 2026'!$B52,'UC BMW 2026'!$W$5:$W$72)</f>
        <v>0</v>
      </c>
      <c r="AF54" s="282">
        <f t="shared" ca="1" si="64"/>
        <v>0</v>
      </c>
      <c r="AG54" s="21"/>
      <c r="AH54" s="24">
        <f ca="1">SUMIF('UC BMW 2026'!$B$5:$B$77,'UC BMW 2026'!$B52,'UC BMW 2026'!$Y$5:$Y$72)</f>
        <v>0</v>
      </c>
      <c r="AI54" s="282">
        <f t="shared" ca="1" si="65"/>
        <v>0</v>
      </c>
      <c r="AJ54" s="21"/>
      <c r="AK54" s="24">
        <f ca="1">SUMIF('UC BMW 2026'!$B$5:$B$77,'UC BMW 2026'!$B52,'UC BMW 2026'!$AA$5:$AA$72)</f>
        <v>0</v>
      </c>
      <c r="AL54" s="282">
        <f t="shared" ca="1" si="66"/>
        <v>0</v>
      </c>
      <c r="AM54" s="21"/>
      <c r="AN54" s="24">
        <f ca="1">SUMIF('UC BMW 2026'!$B$5:$B$77,'UC BMW 2026'!$B52,'UC BMW 2026'!$AC$5:$AC$72)</f>
        <v>0</v>
      </c>
      <c r="AO54" s="282">
        <f t="shared" ca="1" si="67"/>
        <v>0</v>
      </c>
      <c r="AP54" s="21">
        <f t="shared" si="57"/>
        <v>223</v>
      </c>
      <c r="AQ54" s="24">
        <f t="shared" ca="1" si="57"/>
        <v>212</v>
      </c>
      <c r="AR54" s="129">
        <f t="shared" ca="1" si="16"/>
        <v>0.95067264573991028</v>
      </c>
      <c r="AS54" s="21">
        <f t="shared" si="58"/>
        <v>223</v>
      </c>
      <c r="AT54" s="24">
        <f t="shared" ca="1" si="58"/>
        <v>212</v>
      </c>
      <c r="AU54" s="129">
        <f t="shared" ca="1" si="17"/>
        <v>0.95067264573991028</v>
      </c>
      <c r="AV54" s="25"/>
      <c r="AW54" s="27"/>
      <c r="AX54" s="287"/>
      <c r="AY54" s="294"/>
      <c r="AZ54" s="287"/>
      <c r="BA54" s="27"/>
      <c r="BB54" s="129"/>
      <c r="BC54" s="21">
        <f t="shared" si="59"/>
        <v>223</v>
      </c>
      <c r="BD54" s="24">
        <f t="shared" ca="1" si="59"/>
        <v>212</v>
      </c>
      <c r="BE54" s="130">
        <f t="shared" ca="1" si="18"/>
        <v>0.95067264573991028</v>
      </c>
      <c r="BF54" s="34">
        <f t="shared" si="68"/>
        <v>0</v>
      </c>
      <c r="BG54" s="24">
        <f t="shared" ca="1" si="68"/>
        <v>0</v>
      </c>
      <c r="BH54" s="130">
        <f t="shared" ca="1" si="19"/>
        <v>0</v>
      </c>
      <c r="BJ54" s="2"/>
      <c r="BK54" s="2"/>
      <c r="BL54" s="2"/>
      <c r="BM54" s="2"/>
      <c r="BN54" s="2"/>
      <c r="BO54" s="2"/>
      <c r="BP54" s="2"/>
      <c r="BQ54" s="2"/>
      <c r="BR54" s="2"/>
    </row>
    <row r="55" spans="1:70" s="4" customFormat="1" ht="15" customHeight="1" thickBot="1" x14ac:dyDescent="0.3">
      <c r="A55" s="4">
        <f>_xlfn.XLOOKUP(B55,'WHOLESALE BMW 2026'!$B$7:$B$67,'WHOLESALE BMW 2026'!$A$7:$A$67)</f>
        <v>0</v>
      </c>
      <c r="B55" s="7" t="s">
        <v>270</v>
      </c>
      <c r="C55" s="28"/>
      <c r="D55" s="125"/>
      <c r="E55" s="7"/>
      <c r="F55" s="277">
        <f>SUM(F49:F54)</f>
        <v>261</v>
      </c>
      <c r="G55" s="277">
        <f ca="1">SUM(G49:G54)</f>
        <v>99</v>
      </c>
      <c r="H55" s="132">
        <f t="shared" ca="1" si="0"/>
        <v>0.37931034482758619</v>
      </c>
      <c r="I55" s="277">
        <f>SUM(I49:I54)</f>
        <v>304</v>
      </c>
      <c r="J55" s="277">
        <f ca="1">SUM(J49:J54)</f>
        <v>126</v>
      </c>
      <c r="K55" s="132">
        <f t="shared" ca="1" si="1"/>
        <v>0.41447368421052633</v>
      </c>
      <c r="L55" s="277">
        <f>SUM(L49:L54)</f>
        <v>308</v>
      </c>
      <c r="M55" s="410">
        <f ca="1">SUM(M49:M54)</f>
        <v>138</v>
      </c>
      <c r="N55" s="132">
        <f t="shared" ca="1" si="2"/>
        <v>0.44805194805194803</v>
      </c>
      <c r="O55" s="277">
        <f>SUM(O49:O54)</f>
        <v>293</v>
      </c>
      <c r="P55" s="277">
        <f ca="1">SUM(P49:P54)</f>
        <v>128</v>
      </c>
      <c r="Q55" s="132">
        <f t="shared" ca="1" si="3"/>
        <v>0.43686006825938567</v>
      </c>
      <c r="R55" s="277">
        <f>SUM(R49:R54)</f>
        <v>286</v>
      </c>
      <c r="S55" s="277">
        <f ca="1">SUM(S49:S54)</f>
        <v>120</v>
      </c>
      <c r="T55" s="132">
        <f t="shared" ca="1" si="4"/>
        <v>0.41958041958041958</v>
      </c>
      <c r="U55" s="277">
        <f>SUM(U49:U54)</f>
        <v>334</v>
      </c>
      <c r="V55" s="277">
        <f ca="1">SUM(V49:V54)</f>
        <v>183</v>
      </c>
      <c r="W55" s="132">
        <f t="shared" ca="1" si="5"/>
        <v>0.54790419161676651</v>
      </c>
      <c r="X55" s="277">
        <f>SUM(X49:X54)</f>
        <v>0</v>
      </c>
      <c r="Y55" s="277">
        <f ca="1">SUM(Y49:Y54)</f>
        <v>0</v>
      </c>
      <c r="Z55" s="132">
        <f t="shared" ref="Z55:Z60" ca="1" si="69">IFERROR(Y55/X55,0)</f>
        <v>0</v>
      </c>
      <c r="AA55" s="277">
        <f>SUM(AA49:AA54)</f>
        <v>0</v>
      </c>
      <c r="AB55" s="277">
        <f ca="1">SUM(AB49:AB54)</f>
        <v>0</v>
      </c>
      <c r="AC55" s="132">
        <f t="shared" ref="AC55:AC60" ca="1" si="70">IFERROR(AB55/AA55,0)</f>
        <v>0</v>
      </c>
      <c r="AD55" s="277">
        <f>SUM(AD49:AD54)</f>
        <v>0</v>
      </c>
      <c r="AE55" s="277">
        <f ca="1">SUM(AE49:AE54)</f>
        <v>0</v>
      </c>
      <c r="AF55" s="132">
        <f t="shared" ref="AF55:AF60" ca="1" si="71">IFERROR(AE55/AD55,0)</f>
        <v>0</v>
      </c>
      <c r="AG55" s="277">
        <f>SUM(AG49:AG54)</f>
        <v>0</v>
      </c>
      <c r="AH55" s="277">
        <f ca="1">SUM(AH49:AH54)</f>
        <v>0</v>
      </c>
      <c r="AI55" s="132">
        <f t="shared" ref="AI55:AI60" ca="1" si="72">IFERROR(AH55/AG55,0)</f>
        <v>0</v>
      </c>
      <c r="AJ55" s="277">
        <f>SUM(AJ49:AJ54)</f>
        <v>0</v>
      </c>
      <c r="AK55" s="277">
        <f ca="1">SUM(AK49:AK54)</f>
        <v>0</v>
      </c>
      <c r="AL55" s="132">
        <f t="shared" ref="AL55:AL60" ca="1" si="73">IFERROR(AK55/AJ55,0)</f>
        <v>0</v>
      </c>
      <c r="AM55" s="277">
        <f>SUM(AM49:AM54)</f>
        <v>0</v>
      </c>
      <c r="AN55" s="277">
        <f ca="1">SUM(AN49:AN54)</f>
        <v>0</v>
      </c>
      <c r="AO55" s="132">
        <f t="shared" ref="AO55:AO60" ca="1" si="74">IFERROR(AN55/AM55,0)</f>
        <v>0</v>
      </c>
      <c r="AP55" s="277">
        <f t="shared" si="57"/>
        <v>1786</v>
      </c>
      <c r="AQ55" s="410">
        <f t="shared" ca="1" si="57"/>
        <v>794</v>
      </c>
      <c r="AR55" s="131">
        <f t="shared" ca="1" si="16"/>
        <v>0.44456886898096304</v>
      </c>
      <c r="AS55" s="277">
        <f t="shared" si="58"/>
        <v>1786</v>
      </c>
      <c r="AT55" s="410">
        <f t="shared" ca="1" si="58"/>
        <v>794</v>
      </c>
      <c r="AU55" s="131">
        <f t="shared" ca="1" si="17"/>
        <v>0.44456886898096304</v>
      </c>
      <c r="AV55" s="200"/>
      <c r="AW55" s="258"/>
      <c r="AX55" s="132"/>
      <c r="AY55" s="278"/>
      <c r="AZ55" s="132"/>
      <c r="BA55" s="258"/>
      <c r="BB55" s="131"/>
      <c r="BC55" s="277">
        <f t="shared" si="59"/>
        <v>1786</v>
      </c>
      <c r="BD55" s="410">
        <f t="shared" ca="1" si="59"/>
        <v>794</v>
      </c>
      <c r="BE55" s="275">
        <f t="shared" ca="1" si="18"/>
        <v>0.44456886898096304</v>
      </c>
      <c r="BF55" s="277">
        <f>IFERROR(SUM(BF49:BF54),0)</f>
        <v>0</v>
      </c>
      <c r="BG55" s="277">
        <f ca="1">IFERROR(SUM(BG49:BG54),0)</f>
        <v>0</v>
      </c>
      <c r="BH55" s="275">
        <f t="shared" ca="1" si="19"/>
        <v>0</v>
      </c>
      <c r="BJ55" s="2"/>
      <c r="BK55" s="2"/>
      <c r="BL55" s="2"/>
      <c r="BM55" s="2"/>
      <c r="BN55" s="2"/>
      <c r="BO55" s="2"/>
      <c r="BP55" s="2"/>
      <c r="BQ55" s="2"/>
      <c r="BR55" s="2"/>
    </row>
    <row r="56" spans="1:70" s="4" customFormat="1" ht="15" customHeight="1" x14ac:dyDescent="0.3">
      <c r="A56" s="4">
        <f>_xlfn.XLOOKUP(B56,'WHOLESALE BMW 2026'!$B$7:$B$67,'WHOLESALE BMW 2026'!$A$7:$A$67)</f>
        <v>9</v>
      </c>
      <c r="B56" s="8">
        <v>100734</v>
      </c>
      <c r="C56" s="369" t="s">
        <v>59</v>
      </c>
      <c r="D56" s="125"/>
      <c r="E56" s="309" t="s">
        <v>95</v>
      </c>
      <c r="F56" s="21">
        <v>75</v>
      </c>
      <c r="G56" s="24">
        <f ca="1">SUMIF('UC BMW 2026'!$B$5:$B$77,'UC BMW 2026'!B54,'UC BMW 2026'!$G$5:$G$72)</f>
        <v>23</v>
      </c>
      <c r="H56" s="285">
        <f t="shared" ca="1" si="0"/>
        <v>0.30666666666666664</v>
      </c>
      <c r="I56" s="21">
        <v>52</v>
      </c>
      <c r="J56" s="24">
        <f ca="1">SUMIF('UC BMW 2026'!$B$5:$B$77,'UC BMW 2026'!$B54,'UC BMW 2026'!$I$5:$I$72)</f>
        <v>35</v>
      </c>
      <c r="K56" s="285">
        <f t="shared" ca="1" si="1"/>
        <v>0.67307692307692313</v>
      </c>
      <c r="L56" s="21">
        <f>VLOOKUP(B56,'[4]% Penetración Mdo MAR26'!$B$7:$D$59,3,0)-F56-I56</f>
        <v>42</v>
      </c>
      <c r="M56" s="24">
        <f ca="1">SUMIF('UC BMW 2026'!$B$5:$B$77,'UC BMW 2026'!$B54,'UC BMW 2026'!$K$5:$K$72)</f>
        <v>39</v>
      </c>
      <c r="N56" s="285">
        <f t="shared" ca="1" si="2"/>
        <v>0.9285714285714286</v>
      </c>
      <c r="O56" s="21">
        <f>VLOOKUP(B56,'[5]% Penetración Mdo ABR26'!$B$7:$D$59,3,0)-F56-I56-L56</f>
        <v>66</v>
      </c>
      <c r="P56" s="24">
        <f ca="1">SUMIF('UC BMW 2026'!$B$5:$B$77,'UC BMW 2026'!$B54,'UC BMW 2026'!$M$5:$M$72)</f>
        <v>23</v>
      </c>
      <c r="Q56" s="285">
        <f t="shared" ca="1" si="3"/>
        <v>0.34848484848484851</v>
      </c>
      <c r="R56" s="21">
        <f>VLOOKUP(B56,'[6]% Penetración Mdo MAY26'!$B$7:$G$65,3,0)-F56-I56-L56-O56</f>
        <v>79</v>
      </c>
      <c r="S56" s="24">
        <f ca="1">SUMIF('UC BMW 2026'!$B$5:$B$77,'UC BMW 2026'!$B54,'UC BMW 2026'!$O$5:$O$72)</f>
        <v>32</v>
      </c>
      <c r="T56" s="285">
        <f t="shared" ca="1" si="4"/>
        <v>0.4050632911392405</v>
      </c>
      <c r="U56" s="21">
        <f>VLOOKUP(B56,'[7]% Penetración Mdo JUN26'!$B$7:$K$59,3,0)-F56-I56-L56-O56-R56</f>
        <v>63</v>
      </c>
      <c r="V56" s="24">
        <f ca="1">SUMIF('UC BMW 2026'!$B$5:$B$77,'UC BMW 2026'!$B54,'UC BMW 2026'!$Q$5:$Q$72)</f>
        <v>49</v>
      </c>
      <c r="W56" s="285">
        <f t="shared" ca="1" si="5"/>
        <v>0.77777777777777779</v>
      </c>
      <c r="X56" s="21"/>
      <c r="Y56" s="24">
        <f ca="1">SUMIF('UC BMW 2026'!$B$5:$B$77,'UC BMW 2026'!$B54,'UC BMW 2026'!$S$5:$S$72)</f>
        <v>0</v>
      </c>
      <c r="Z56" s="282">
        <f t="shared" ca="1" si="69"/>
        <v>0</v>
      </c>
      <c r="AA56" s="21"/>
      <c r="AB56" s="24">
        <f ca="1">SUMIF('UC BMW 2026'!$B$5:$B$77,'UC BMW 2026'!$B54,'UC BMW 2026'!$U$5:$U$72)</f>
        <v>0</v>
      </c>
      <c r="AC56" s="282">
        <f t="shared" ca="1" si="70"/>
        <v>0</v>
      </c>
      <c r="AD56" s="21"/>
      <c r="AE56" s="24">
        <f ca="1">SUMIF('UC BMW 2026'!$B$5:$B$77,'UC BMW 2026'!$B54,'UC BMW 2026'!$W$5:$W$72)</f>
        <v>0</v>
      </c>
      <c r="AF56" s="282">
        <f t="shared" ca="1" si="71"/>
        <v>0</v>
      </c>
      <c r="AG56" s="21"/>
      <c r="AH56" s="24">
        <f ca="1">SUMIF('UC BMW 2026'!$B$5:$B$77,'UC BMW 2026'!$B54,'UC BMW 2026'!$Y$5:$Y$72)</f>
        <v>0</v>
      </c>
      <c r="AI56" s="282">
        <f t="shared" ca="1" si="72"/>
        <v>0</v>
      </c>
      <c r="AJ56" s="21"/>
      <c r="AK56" s="24">
        <f ca="1">SUMIF('UC BMW 2026'!$B$5:$B$77,'UC BMW 2026'!$B54,'UC BMW 2026'!$AA$5:$AA$72)</f>
        <v>0</v>
      </c>
      <c r="AL56" s="282">
        <f t="shared" ca="1" si="73"/>
        <v>0</v>
      </c>
      <c r="AM56" s="21"/>
      <c r="AN56" s="24">
        <f ca="1">SUMIF('UC BMW 2026'!$B$5:$B$77,'UC BMW 2026'!$B54,'UC BMW 2026'!$AC$5:$AC$72)</f>
        <v>0</v>
      </c>
      <c r="AO56" s="282">
        <f t="shared" ca="1" si="74"/>
        <v>0</v>
      </c>
      <c r="AP56" s="21">
        <f t="shared" si="57"/>
        <v>377</v>
      </c>
      <c r="AQ56" s="22">
        <f t="shared" ca="1" si="57"/>
        <v>201</v>
      </c>
      <c r="AR56" s="129">
        <f t="shared" ca="1" si="16"/>
        <v>0.53315649867374004</v>
      </c>
      <c r="AS56" s="21">
        <f t="shared" si="58"/>
        <v>377</v>
      </c>
      <c r="AT56" s="22">
        <f t="shared" ca="1" si="58"/>
        <v>201</v>
      </c>
      <c r="AU56" s="129">
        <f t="shared" ca="1" si="17"/>
        <v>0.53315649867374004</v>
      </c>
      <c r="AV56" s="25"/>
      <c r="AW56" s="27"/>
      <c r="AX56" s="287"/>
      <c r="AY56" s="291"/>
      <c r="AZ56" s="287"/>
      <c r="BA56" s="27"/>
      <c r="BB56" s="129"/>
      <c r="BC56" s="21">
        <f t="shared" si="59"/>
        <v>377</v>
      </c>
      <c r="BD56" s="22">
        <f t="shared" ca="1" si="59"/>
        <v>201</v>
      </c>
      <c r="BE56" s="130">
        <f t="shared" ca="1" si="18"/>
        <v>0.53315649867374004</v>
      </c>
      <c r="BF56" s="34">
        <f t="shared" ref="BF56:BG60" si="75">IFERROR(IF($BF$5="S 1",F56+I56+L56+O56+R56+U56,
IF($BF$5="S 2",X56+AA56+AD56+AG56+AJ56+AM56,0)),0)</f>
        <v>0</v>
      </c>
      <c r="BG56" s="22">
        <f t="shared" ca="1" si="75"/>
        <v>0</v>
      </c>
      <c r="BH56" s="130">
        <f t="shared" ca="1" si="19"/>
        <v>0</v>
      </c>
      <c r="BJ56" s="2"/>
      <c r="BK56" s="2"/>
      <c r="BL56" s="2"/>
      <c r="BM56" s="2"/>
      <c r="BN56" s="2"/>
      <c r="BO56" s="2"/>
      <c r="BP56" s="2"/>
      <c r="BQ56" s="2"/>
      <c r="BR56" s="2"/>
    </row>
    <row r="57" spans="1:70" s="4" customFormat="1" ht="15" customHeight="1" x14ac:dyDescent="0.3">
      <c r="A57" s="4">
        <f>_xlfn.XLOOKUP(B57,'WHOLESALE BMW 2026'!$B$7:$B$67,'WHOLESALE BMW 2026'!$A$7:$A$67)</f>
        <v>9</v>
      </c>
      <c r="B57" s="8">
        <v>100311</v>
      </c>
      <c r="C57" s="369" t="s">
        <v>12</v>
      </c>
      <c r="D57" s="125"/>
      <c r="E57" s="309" t="s">
        <v>201</v>
      </c>
      <c r="F57" s="21">
        <v>56</v>
      </c>
      <c r="G57" s="24">
        <f ca="1">SUMIF('UC BMW 2026'!$B$5:$B$77,'UC BMW 2026'!B55,'UC BMW 2026'!$G$5:$G$72)</f>
        <v>15</v>
      </c>
      <c r="H57" s="282">
        <f t="shared" ca="1" si="0"/>
        <v>0.26785714285714285</v>
      </c>
      <c r="I57" s="21">
        <v>88</v>
      </c>
      <c r="J57" s="24">
        <f ca="1">SUMIF('UC BMW 2026'!$B$5:$B$77,'UC BMW 2026'!$B55,'UC BMW 2026'!$I$5:$I$72)</f>
        <v>16</v>
      </c>
      <c r="K57" s="282">
        <f t="shared" ca="1" si="1"/>
        <v>0.18181818181818182</v>
      </c>
      <c r="L57" s="21">
        <f>VLOOKUP(B57,'[4]% Penetración Mdo MAR26'!$B$7:$D$59,3,0)-F57-I57</f>
        <v>76</v>
      </c>
      <c r="M57" s="24">
        <f ca="1">SUMIF('UC BMW 2026'!$B$5:$B$77,'UC BMW 2026'!$B55,'UC BMW 2026'!$K$5:$K$72)</f>
        <v>24</v>
      </c>
      <c r="N57" s="282">
        <f t="shared" ca="1" si="2"/>
        <v>0.31578947368421051</v>
      </c>
      <c r="O57" s="21">
        <f>VLOOKUP(B57,'[5]% Penetración Mdo ABR26'!$B$7:$D$59,3,0)-F57-I57-L57</f>
        <v>75</v>
      </c>
      <c r="P57" s="24">
        <f ca="1">SUMIF('UC BMW 2026'!$B$5:$B$77,'UC BMW 2026'!$B55,'UC BMW 2026'!$M$5:$M$72)</f>
        <v>13</v>
      </c>
      <c r="Q57" s="282">
        <f t="shared" ca="1" si="3"/>
        <v>0.17333333333333334</v>
      </c>
      <c r="R57" s="21">
        <f>VLOOKUP(B57,'[6]% Penetración Mdo MAY26'!$B$7:$G$65,3,0)-F57-I57-L57-O57</f>
        <v>86</v>
      </c>
      <c r="S57" s="24">
        <f ca="1">SUMIF('UC BMW 2026'!$B$5:$B$77,'UC BMW 2026'!$B55,'UC BMW 2026'!$O$5:$O$72)</f>
        <v>25</v>
      </c>
      <c r="T57" s="282">
        <f t="shared" ca="1" si="4"/>
        <v>0.29069767441860467</v>
      </c>
      <c r="U57" s="21">
        <f>VLOOKUP(B57,'[7]% Penetración Mdo JUN26'!$B$7:$K$59,3,0)-F57-I57-L57-O57-R57</f>
        <v>84</v>
      </c>
      <c r="V57" s="24">
        <f ca="1">SUMIF('UC BMW 2026'!$B$5:$B$77,'UC BMW 2026'!$B55,'UC BMW 2026'!$Q$5:$Q$72)</f>
        <v>16</v>
      </c>
      <c r="W57" s="282">
        <f t="shared" ca="1" si="5"/>
        <v>0.19047619047619047</v>
      </c>
      <c r="X57" s="21"/>
      <c r="Y57" s="24">
        <f ca="1">SUMIF('UC BMW 2026'!$B$5:$B$77,'UC BMW 2026'!$B55,'UC BMW 2026'!$S$5:$S$72)</f>
        <v>0</v>
      </c>
      <c r="Z57" s="282">
        <f t="shared" ca="1" si="69"/>
        <v>0</v>
      </c>
      <c r="AA57" s="21"/>
      <c r="AB57" s="24">
        <f ca="1">SUMIF('UC BMW 2026'!$B$5:$B$77,'UC BMW 2026'!$B55,'UC BMW 2026'!$U$5:$U$72)</f>
        <v>0</v>
      </c>
      <c r="AC57" s="282">
        <f t="shared" ca="1" si="70"/>
        <v>0</v>
      </c>
      <c r="AD57" s="21"/>
      <c r="AE57" s="24">
        <f ca="1">SUMIF('UC BMW 2026'!$B$5:$B$77,'UC BMW 2026'!$B55,'UC BMW 2026'!$W$5:$W$72)</f>
        <v>0</v>
      </c>
      <c r="AF57" s="282">
        <f t="shared" ca="1" si="71"/>
        <v>0</v>
      </c>
      <c r="AG57" s="21"/>
      <c r="AH57" s="24">
        <f ca="1">SUMIF('UC BMW 2026'!$B$5:$B$77,'UC BMW 2026'!$B55,'UC BMW 2026'!$Y$5:$Y$72)</f>
        <v>0</v>
      </c>
      <c r="AI57" s="282">
        <f t="shared" ca="1" si="72"/>
        <v>0</v>
      </c>
      <c r="AJ57" s="21"/>
      <c r="AK57" s="24">
        <f ca="1">SUMIF('UC BMW 2026'!$B$5:$B$77,'UC BMW 2026'!$B55,'UC BMW 2026'!$AA$5:$AA$72)</f>
        <v>0</v>
      </c>
      <c r="AL57" s="282">
        <f t="shared" ca="1" si="73"/>
        <v>0</v>
      </c>
      <c r="AM57" s="21"/>
      <c r="AN57" s="24">
        <f ca="1">SUMIF('UC BMW 2026'!$B$5:$B$77,'UC BMW 2026'!$B55,'UC BMW 2026'!$AC$5:$AC$72)</f>
        <v>0</v>
      </c>
      <c r="AO57" s="282">
        <f t="shared" ca="1" si="74"/>
        <v>0</v>
      </c>
      <c r="AP57" s="21">
        <f t="shared" si="57"/>
        <v>465</v>
      </c>
      <c r="AQ57" s="24">
        <f t="shared" ca="1" si="57"/>
        <v>109</v>
      </c>
      <c r="AR57" s="129">
        <f t="shared" ca="1" si="16"/>
        <v>0.23440860215053763</v>
      </c>
      <c r="AS57" s="21">
        <f t="shared" si="58"/>
        <v>465</v>
      </c>
      <c r="AT57" s="24">
        <f t="shared" ca="1" si="58"/>
        <v>109</v>
      </c>
      <c r="AU57" s="129">
        <f t="shared" ca="1" si="17"/>
        <v>0.23440860215053763</v>
      </c>
      <c r="AV57" s="25"/>
      <c r="AW57" s="27"/>
      <c r="AX57" s="287"/>
      <c r="AY57" s="294"/>
      <c r="AZ57" s="287"/>
      <c r="BA57" s="27"/>
      <c r="BB57" s="129"/>
      <c r="BC57" s="21">
        <f t="shared" si="59"/>
        <v>465</v>
      </c>
      <c r="BD57" s="24">
        <f t="shared" ca="1" si="59"/>
        <v>109</v>
      </c>
      <c r="BE57" s="130">
        <f t="shared" ca="1" si="18"/>
        <v>0.23440860215053763</v>
      </c>
      <c r="BF57" s="34">
        <f t="shared" si="75"/>
        <v>0</v>
      </c>
      <c r="BG57" s="24">
        <f t="shared" ca="1" si="75"/>
        <v>0</v>
      </c>
      <c r="BH57" s="130">
        <f t="shared" ca="1" si="19"/>
        <v>0</v>
      </c>
      <c r="BJ57" s="2"/>
      <c r="BK57" s="2"/>
      <c r="BL57" s="2"/>
      <c r="BM57" s="2"/>
      <c r="BN57" s="2"/>
      <c r="BO57" s="2"/>
      <c r="BP57" s="2"/>
      <c r="BQ57" s="2"/>
      <c r="BR57" s="2"/>
    </row>
    <row r="58" spans="1:70" s="14" customFormat="1" ht="15" customHeight="1" x14ac:dyDescent="0.3">
      <c r="A58" s="4">
        <f>_xlfn.XLOOKUP(B58,'WHOLESALE BMW 2026'!$B$7:$B$67,'WHOLESALE BMW 2026'!$A$7:$A$67)</f>
        <v>9</v>
      </c>
      <c r="B58" s="13">
        <v>100393</v>
      </c>
      <c r="C58" s="374" t="s">
        <v>75</v>
      </c>
      <c r="D58" s="125"/>
      <c r="E58" s="309" t="s">
        <v>201</v>
      </c>
      <c r="F58" s="21">
        <v>93</v>
      </c>
      <c r="G58" s="24">
        <f ca="1">SUMIF('UC BMW 2026'!$B$5:$B$77,'UC BMW 2026'!B56,'UC BMW 2026'!$G$5:$G$72)</f>
        <v>23</v>
      </c>
      <c r="H58" s="282">
        <f t="shared" ca="1" si="0"/>
        <v>0.24731182795698925</v>
      </c>
      <c r="I58" s="21">
        <v>68</v>
      </c>
      <c r="J58" s="24">
        <f ca="1">SUMIF('UC BMW 2026'!$B$5:$B$77,'UC BMW 2026'!$B56,'UC BMW 2026'!$I$5:$I$72)</f>
        <v>15</v>
      </c>
      <c r="K58" s="282">
        <f t="shared" ca="1" si="1"/>
        <v>0.22058823529411764</v>
      </c>
      <c r="L58" s="21">
        <f>VLOOKUP(B58,'[4]% Penetración Mdo MAR26'!$B$7:$D$59,3,0)-F58-I58</f>
        <v>90</v>
      </c>
      <c r="M58" s="24">
        <f ca="1">SUMIF('UC BMW 2026'!$B$5:$B$77,'UC BMW 2026'!$B56,'UC BMW 2026'!$K$5:$K$72)</f>
        <v>21</v>
      </c>
      <c r="N58" s="282">
        <f t="shared" ca="1" si="2"/>
        <v>0.23333333333333334</v>
      </c>
      <c r="O58" s="21">
        <f>VLOOKUP(B58,'[5]% Penetración Mdo ABR26'!$B$7:$D$59,3,0)-F58-I58-L58</f>
        <v>85</v>
      </c>
      <c r="P58" s="24">
        <f ca="1">SUMIF('UC BMW 2026'!$B$5:$B$77,'UC BMW 2026'!$B56,'UC BMW 2026'!$M$5:$M$72)</f>
        <v>19</v>
      </c>
      <c r="Q58" s="282">
        <f t="shared" ca="1" si="3"/>
        <v>0.22352941176470589</v>
      </c>
      <c r="R58" s="21">
        <f>VLOOKUP(B58,'[6]% Penetración Mdo MAY26'!$B$7:$G$65,3,0)-F58-I58-L58-O58</f>
        <v>104</v>
      </c>
      <c r="S58" s="24">
        <f ca="1">SUMIF('UC BMW 2026'!$B$5:$B$77,'UC BMW 2026'!$B56,'UC BMW 2026'!$O$5:$O$72)</f>
        <v>18</v>
      </c>
      <c r="T58" s="282">
        <f t="shared" ca="1" si="4"/>
        <v>0.17307692307692307</v>
      </c>
      <c r="U58" s="21">
        <f>VLOOKUP(B58,'[7]% Penetración Mdo JUN26'!$B$7:$K$59,3,0)-F58-I58-L58-O58-R58</f>
        <v>120</v>
      </c>
      <c r="V58" s="24">
        <f ca="1">SUMIF('UC BMW 2026'!$B$5:$B$77,'UC BMW 2026'!$B56,'UC BMW 2026'!$Q$5:$Q$72)</f>
        <v>14</v>
      </c>
      <c r="W58" s="282">
        <f t="shared" ca="1" si="5"/>
        <v>0.11666666666666667</v>
      </c>
      <c r="X58" s="21"/>
      <c r="Y58" s="24">
        <f ca="1">SUMIF('UC BMW 2026'!$B$5:$B$77,'UC BMW 2026'!$B56,'UC BMW 2026'!$S$5:$S$72)</f>
        <v>0</v>
      </c>
      <c r="Z58" s="282">
        <f t="shared" ca="1" si="69"/>
        <v>0</v>
      </c>
      <c r="AA58" s="21"/>
      <c r="AB58" s="24">
        <f ca="1">SUMIF('UC BMW 2026'!$B$5:$B$77,'UC BMW 2026'!$B56,'UC BMW 2026'!$U$5:$U$72)</f>
        <v>0</v>
      </c>
      <c r="AC58" s="282">
        <f t="shared" ca="1" si="70"/>
        <v>0</v>
      </c>
      <c r="AD58" s="21"/>
      <c r="AE58" s="24">
        <f ca="1">SUMIF('UC BMW 2026'!$B$5:$B$77,'UC BMW 2026'!$B56,'UC BMW 2026'!$W$5:$W$72)</f>
        <v>0</v>
      </c>
      <c r="AF58" s="282">
        <f t="shared" ca="1" si="71"/>
        <v>0</v>
      </c>
      <c r="AG58" s="21"/>
      <c r="AH58" s="24">
        <f ca="1">SUMIF('UC BMW 2026'!$B$5:$B$77,'UC BMW 2026'!$B56,'UC BMW 2026'!$Y$5:$Y$72)</f>
        <v>0</v>
      </c>
      <c r="AI58" s="282">
        <f t="shared" ca="1" si="72"/>
        <v>0</v>
      </c>
      <c r="AJ58" s="21"/>
      <c r="AK58" s="24">
        <f ca="1">SUMIF('UC BMW 2026'!$B$5:$B$77,'UC BMW 2026'!$B56,'UC BMW 2026'!$AA$5:$AA$72)</f>
        <v>0</v>
      </c>
      <c r="AL58" s="282">
        <f t="shared" ca="1" si="73"/>
        <v>0</v>
      </c>
      <c r="AM58" s="21"/>
      <c r="AN58" s="24">
        <f ca="1">SUMIF('UC BMW 2026'!$B$5:$B$77,'UC BMW 2026'!$B56,'UC BMW 2026'!$AC$5:$AC$72)</f>
        <v>0</v>
      </c>
      <c r="AO58" s="282">
        <f t="shared" ca="1" si="74"/>
        <v>0</v>
      </c>
      <c r="AP58" s="21">
        <f t="shared" si="57"/>
        <v>560</v>
      </c>
      <c r="AQ58" s="24">
        <f t="shared" ca="1" si="57"/>
        <v>110</v>
      </c>
      <c r="AR58" s="129">
        <f t="shared" ca="1" si="16"/>
        <v>0.19642857142857142</v>
      </c>
      <c r="AS58" s="21">
        <f t="shared" si="58"/>
        <v>560</v>
      </c>
      <c r="AT58" s="24">
        <f t="shared" ca="1" si="58"/>
        <v>110</v>
      </c>
      <c r="AU58" s="129">
        <f t="shared" ca="1" si="17"/>
        <v>0.19642857142857142</v>
      </c>
      <c r="AV58" s="25"/>
      <c r="AW58" s="27"/>
      <c r="AX58" s="287"/>
      <c r="AY58" s="294"/>
      <c r="AZ58" s="287"/>
      <c r="BA58" s="27"/>
      <c r="BB58" s="129"/>
      <c r="BC58" s="21">
        <f t="shared" si="59"/>
        <v>560</v>
      </c>
      <c r="BD58" s="24">
        <f t="shared" ca="1" si="59"/>
        <v>110</v>
      </c>
      <c r="BE58" s="130">
        <f t="shared" ca="1" si="18"/>
        <v>0.19642857142857142</v>
      </c>
      <c r="BF58" s="34">
        <f t="shared" si="75"/>
        <v>0</v>
      </c>
      <c r="BG58" s="24">
        <f t="shared" ca="1" si="75"/>
        <v>0</v>
      </c>
      <c r="BH58" s="130">
        <f t="shared" ca="1" si="19"/>
        <v>0</v>
      </c>
      <c r="BJ58" s="2"/>
      <c r="BK58" s="2"/>
      <c r="BL58" s="2"/>
      <c r="BM58" s="2"/>
      <c r="BN58" s="2"/>
      <c r="BO58" s="2"/>
      <c r="BP58" s="2"/>
      <c r="BQ58" s="2"/>
      <c r="BR58" s="2"/>
    </row>
    <row r="59" spans="1:70" s="4" customFormat="1" ht="15" customHeight="1" x14ac:dyDescent="0.3">
      <c r="A59" s="4">
        <f>_xlfn.XLOOKUP(B59,'WHOLESALE BMW 2026'!$B$7:$B$67,'WHOLESALE BMW 2026'!$A$7:$A$67)</f>
        <v>9</v>
      </c>
      <c r="B59" s="8">
        <v>100586</v>
      </c>
      <c r="C59" s="369" t="s">
        <v>67</v>
      </c>
      <c r="D59" s="125"/>
      <c r="E59" s="309" t="s">
        <v>98</v>
      </c>
      <c r="F59" s="21">
        <v>186</v>
      </c>
      <c r="G59" s="24">
        <f ca="1">SUMIF('UC BMW 2026'!$B$5:$B$77,'UC BMW 2026'!B57,'UC BMW 2026'!$G$5:$G$72)</f>
        <v>38</v>
      </c>
      <c r="H59" s="285">
        <f ca="1">IFERROR(G59/F59,0)</f>
        <v>0.20430107526881722</v>
      </c>
      <c r="I59" s="21">
        <v>231</v>
      </c>
      <c r="J59" s="24">
        <f ca="1">SUMIF('UC BMW 2026'!$B$5:$B$77,'UC BMW 2026'!$B57,'UC BMW 2026'!$I$5:$I$72)</f>
        <v>56</v>
      </c>
      <c r="K59" s="285">
        <f ca="1">IFERROR(J59/I59,0)</f>
        <v>0.24242424242424243</v>
      </c>
      <c r="L59" s="21">
        <f>VLOOKUP(B59,'[4]% Penetración Mdo MAR26'!$B$7:$D$59,3,0)-F59-I59</f>
        <v>246</v>
      </c>
      <c r="M59" s="24">
        <f ca="1">SUMIF('UC BMW 2026'!$B$5:$B$77,'UC BMW 2026'!$B57,'UC BMW 2026'!$K$5:$K$72)</f>
        <v>54</v>
      </c>
      <c r="N59" s="285">
        <f ca="1">IFERROR(M59/L59,0)</f>
        <v>0.21951219512195122</v>
      </c>
      <c r="O59" s="21">
        <f>VLOOKUP(B59,'[5]% Penetración Mdo ABR26'!$B$7:$D$59,3,0)-F59-I59-L59</f>
        <v>171</v>
      </c>
      <c r="P59" s="24">
        <f ca="1">SUMIF('UC BMW 2026'!$B$5:$B$77,'UC BMW 2026'!$B57,'UC BMW 2026'!$M$5:$M$72)</f>
        <v>42</v>
      </c>
      <c r="Q59" s="285">
        <f ca="1">IFERROR(P59/O59,0)</f>
        <v>0.24561403508771928</v>
      </c>
      <c r="R59" s="21">
        <f>VLOOKUP(B59,'[6]% Penetración Mdo MAY26'!$B$7:$G$65,3,0)-F59-I59-L59-O59</f>
        <v>178</v>
      </c>
      <c r="S59" s="24">
        <f ca="1">SUMIF('UC BMW 2026'!$B$5:$B$77,'UC BMW 2026'!$B57,'UC BMW 2026'!$O$5:$O$72)</f>
        <v>55</v>
      </c>
      <c r="T59" s="285">
        <f ca="1">IFERROR(S59/R59,0)</f>
        <v>0.3089887640449438</v>
      </c>
      <c r="U59" s="21">
        <f>VLOOKUP(B59,'[7]% Penetración Mdo JUN26'!$B$7:$K$59,3,0)-F59-I59-L59-O59-R59</f>
        <v>135</v>
      </c>
      <c r="V59" s="24">
        <f ca="1">SUMIF('UC BMW 2026'!$B$5:$B$77,'UC BMW 2026'!$B57,'UC BMW 2026'!$Q$5:$Q$72)</f>
        <v>45</v>
      </c>
      <c r="W59" s="285">
        <f ca="1">IFERROR(V59/U59,0)</f>
        <v>0.33333333333333331</v>
      </c>
      <c r="X59" s="21"/>
      <c r="Y59" s="24">
        <f ca="1">SUMIF('UC BMW 2026'!$B$5:$B$77,'UC BMW 2026'!$B57,'UC BMW 2026'!$S$5:$S$72)</f>
        <v>0</v>
      </c>
      <c r="Z59" s="282">
        <f t="shared" ca="1" si="69"/>
        <v>0</v>
      </c>
      <c r="AA59" s="21"/>
      <c r="AB59" s="24">
        <f ca="1">SUMIF('UC BMW 2026'!$B$5:$B$77,'UC BMW 2026'!$B57,'UC BMW 2026'!$U$5:$U$72)</f>
        <v>0</v>
      </c>
      <c r="AC59" s="282">
        <f t="shared" ca="1" si="70"/>
        <v>0</v>
      </c>
      <c r="AD59" s="21"/>
      <c r="AE59" s="24">
        <f ca="1">SUMIF('UC BMW 2026'!$B$5:$B$77,'UC BMW 2026'!$B57,'UC BMW 2026'!$W$5:$W$72)</f>
        <v>0</v>
      </c>
      <c r="AF59" s="282">
        <f t="shared" ca="1" si="71"/>
        <v>0</v>
      </c>
      <c r="AG59" s="21"/>
      <c r="AH59" s="24">
        <f ca="1">SUMIF('UC BMW 2026'!$B$5:$B$77,'UC BMW 2026'!$B57,'UC BMW 2026'!$Y$5:$Y$72)</f>
        <v>0</v>
      </c>
      <c r="AI59" s="282">
        <f t="shared" ca="1" si="72"/>
        <v>0</v>
      </c>
      <c r="AJ59" s="21"/>
      <c r="AK59" s="24">
        <f ca="1">SUMIF('UC BMW 2026'!$B$5:$B$77,'UC BMW 2026'!$B57,'UC BMW 2026'!$AA$5:$AA$72)</f>
        <v>0</v>
      </c>
      <c r="AL59" s="282">
        <f t="shared" ca="1" si="73"/>
        <v>0</v>
      </c>
      <c r="AM59" s="21"/>
      <c r="AN59" s="24">
        <f ca="1">SUMIF('UC BMW 2026'!$B$5:$B$77,'UC BMW 2026'!$B57,'UC BMW 2026'!$AC$5:$AC$72)</f>
        <v>0</v>
      </c>
      <c r="AO59" s="282">
        <f t="shared" ca="1" si="74"/>
        <v>0</v>
      </c>
      <c r="AP59" s="21">
        <f>IFERROR(IF($AP$4="ENERO",F59,IF($AP$4="FEBRERO",F59+I59,IF($AP$4="MARZO",F59+I59+L59,IF($AP$4="ABRIL",F59+I59+L59+O59,IF($AP$4="MAYO",F59+I59+L59+O59+R59,IF($AP$4="JUNIO",F59+I59+L59+O59+R59+U59,IF($AP$4="JULIO",F59+I59+L59+O59+R59+U59+X59,IF($AP$4="AGOSTO",F59+I59+L59+O59+R59+U59+X59+AA59,IF($AP$4="SEPTIEMBRE",F59+I59+L59+O59+R59+U59+X59+AA59+AD59,IF($AP$4="OCTUBRE",F59+I59+L59+O59+R59+U59+X59+AA59+AD59+AG59,IF($AP$4="NOVIEMBRE",F59+I59+L59+O59+R59+U59+X59+AA59+AD59+AG59+AJ59,IF($AP$4="DICIEMBRE",F59+I59+L59+O59+R59+U59+X59+AA59+AD59+AG59+AJ59+AM59,"")))))))))))),0)</f>
        <v>1147</v>
      </c>
      <c r="AQ59" s="22">
        <f ca="1">IFERROR(IF($AP$4="ENERO",G59,IF($AP$4="FEBRERO",G59+J59,IF($AP$4="MARZO",G59+J59+M59,IF($AP$4="ABRIL",G59+J59+M59+P59,IF($AP$4="MAYO",G59+J59+M59+P59+S59,IF($AP$4="JUNIO",G59+J59+M59+P59+S59+V59,IF($AP$4="JULIO",G59+J59+M59+P59+S59+V59+Y59,IF($AP$4="AGOSTO",G59+J59+M59+P59+S59+V59+Y59+AB59,IF($AP$4="SEPTIEMBRE",G59+J59+M59+P59+S59+V59+Y59+AB59+AE59,IF($AP$4="OCTUBRE",G59+J59+M59+P59+S59+V59+Y59+AB59+AE59+AH59,IF($AP$4="NOVIEMBRE",G59+J59+M59+P59+S59+V59+Y59+AB59+AE59+AH59+AK59,IF($AP$4="DICIEMBRE",G59+J59+M59+P59+S59+V59+Y59+AB59+AE59+AH59+AK59+AN59,"")))))))))))),0)</f>
        <v>290</v>
      </c>
      <c r="AR59" s="129">
        <f ca="1">IFERROR(AQ59/AP59,0)</f>
        <v>0.25283347863993028</v>
      </c>
      <c r="AS59" s="21">
        <f>IFERROR(SUM(AM59,AJ59,AG59,AD59,AA59,X59,U59,R59,O59,L59,I59,F59),0)</f>
        <v>1147</v>
      </c>
      <c r="AT59" s="22">
        <f ca="1">IFERROR(SUM(AN59,AK59,AH59,AE59,AB59,Y59,V59,S59,P59,M59,J59,G59),0)</f>
        <v>290</v>
      </c>
      <c r="AU59" s="129">
        <f ca="1">IFERROR(AT59/AS59,0)</f>
        <v>0.25283347863993028</v>
      </c>
      <c r="AV59" s="25"/>
      <c r="AW59" s="27"/>
      <c r="AX59" s="287"/>
      <c r="AY59" s="291"/>
      <c r="AZ59" s="287"/>
      <c r="BA59" s="27"/>
      <c r="BB59" s="129"/>
      <c r="BC59" s="21">
        <f t="shared" si="59"/>
        <v>1147</v>
      </c>
      <c r="BD59" s="22">
        <f t="shared" ca="1" si="59"/>
        <v>290</v>
      </c>
      <c r="BE59" s="130">
        <f ca="1">IFERROR(BD59/BC59,0)</f>
        <v>0.25283347863993028</v>
      </c>
      <c r="BF59" s="34">
        <f t="shared" si="75"/>
        <v>0</v>
      </c>
      <c r="BG59" s="22">
        <f t="shared" ca="1" si="75"/>
        <v>0</v>
      </c>
      <c r="BH59" s="130">
        <f ca="1">IFERROR(BG59/BF59,0)</f>
        <v>0</v>
      </c>
      <c r="BJ59" s="2"/>
      <c r="BK59" s="2"/>
      <c r="BL59" s="2"/>
      <c r="BM59" s="2"/>
      <c r="BN59" s="2"/>
      <c r="BO59" s="2"/>
      <c r="BP59" s="2"/>
      <c r="BQ59" s="2"/>
      <c r="BR59" s="2"/>
    </row>
    <row r="60" spans="1:70" s="4" customFormat="1" ht="15" customHeight="1" thickBot="1" x14ac:dyDescent="0.35">
      <c r="A60" s="4">
        <f>_xlfn.XLOOKUP(B60,'WHOLESALE BMW 2026'!$B$7:$B$67,'WHOLESALE BMW 2026'!$A$7:$A$67)</f>
        <v>9</v>
      </c>
      <c r="B60" s="36">
        <v>100813</v>
      </c>
      <c r="C60" s="375" t="s">
        <v>68</v>
      </c>
      <c r="D60" s="125"/>
      <c r="E60" s="309" t="s">
        <v>98</v>
      </c>
      <c r="F60" s="21">
        <v>33</v>
      </c>
      <c r="G60" s="24">
        <f ca="1">SUMIF('UC BMW 2026'!$B$5:$B$77,'UC BMW 2026'!B58,'UC BMW 2026'!$G$5:$G$72)</f>
        <v>37</v>
      </c>
      <c r="H60" s="285">
        <f ca="1">IFERROR(G60/F60,0)</f>
        <v>1.1212121212121211</v>
      </c>
      <c r="I60" s="21">
        <v>37</v>
      </c>
      <c r="J60" s="24">
        <f ca="1">SUMIF('UC BMW 2026'!$B$5:$B$77,'UC BMW 2026'!$B58,'UC BMW 2026'!$I$5:$I$72)</f>
        <v>42</v>
      </c>
      <c r="K60" s="285">
        <f ca="1">IFERROR(J60/I60,0)</f>
        <v>1.1351351351351351</v>
      </c>
      <c r="L60" s="21">
        <f>VLOOKUP(B60,'[4]% Penetración Mdo MAR26'!$B$7:$D$59,3,0)-F60-I60</f>
        <v>55</v>
      </c>
      <c r="M60" s="24">
        <f ca="1">SUMIF('UC BMW 2026'!$B$5:$B$77,'UC BMW 2026'!$B58,'UC BMW 2026'!$K$5:$K$72)</f>
        <v>38</v>
      </c>
      <c r="N60" s="285">
        <f ca="1">IFERROR(M60/L60,0)</f>
        <v>0.69090909090909092</v>
      </c>
      <c r="O60" s="21">
        <f>VLOOKUP(B60,'[5]% Penetración Mdo ABR26'!$B$7:$D$59,3,0)-F60-I60-L60</f>
        <v>58</v>
      </c>
      <c r="P60" s="24">
        <f ca="1">SUMIF('UC BMW 2026'!$B$5:$B$77,'UC BMW 2026'!$B58,'UC BMW 2026'!$M$5:$M$72)</f>
        <v>37</v>
      </c>
      <c r="Q60" s="285">
        <f ca="1">IFERROR(P60/O60,0)</f>
        <v>0.63793103448275867</v>
      </c>
      <c r="R60" s="21">
        <f>VLOOKUP(B60,'[6]% Penetración Mdo MAY26'!$B$7:$G$65,3,0)-F60-I60-L60-O60</f>
        <v>64</v>
      </c>
      <c r="S60" s="24">
        <f ca="1">SUMIF('UC BMW 2026'!$B$5:$B$77,'UC BMW 2026'!$B58,'UC BMW 2026'!$O$5:$O$72)</f>
        <v>25</v>
      </c>
      <c r="T60" s="285">
        <f ca="1">IFERROR(S60/R60,0)</f>
        <v>0.390625</v>
      </c>
      <c r="U60" s="21">
        <f>VLOOKUP(B60,'[7]% Penetración Mdo JUN26'!$B$7:$K$59,3,0)-F60-I60-L60-O60-R60</f>
        <v>77</v>
      </c>
      <c r="V60" s="24">
        <f ca="1">SUMIF('UC BMW 2026'!$B$5:$B$77,'UC BMW 2026'!$B58,'UC BMW 2026'!$Q$5:$Q$72)</f>
        <v>39</v>
      </c>
      <c r="W60" s="285">
        <f ca="1">IFERROR(V60/U60,0)</f>
        <v>0.50649350649350644</v>
      </c>
      <c r="X60" s="21"/>
      <c r="Y60" s="24">
        <f ca="1">SUMIF('UC BMW 2026'!$B$5:$B$77,'UC BMW 2026'!$B58,'UC BMW 2026'!$S$5:$S$72)</f>
        <v>0</v>
      </c>
      <c r="Z60" s="282">
        <f t="shared" ca="1" si="69"/>
        <v>0</v>
      </c>
      <c r="AA60" s="21"/>
      <c r="AB60" s="24">
        <f ca="1">SUMIF('UC BMW 2026'!$B$5:$B$77,'UC BMW 2026'!$B58,'UC BMW 2026'!$U$5:$U$72)</f>
        <v>0</v>
      </c>
      <c r="AC60" s="282">
        <f t="shared" ca="1" si="70"/>
        <v>0</v>
      </c>
      <c r="AD60" s="21"/>
      <c r="AE60" s="24">
        <f ca="1">SUMIF('UC BMW 2026'!$B$5:$B$77,'UC BMW 2026'!$B58,'UC BMW 2026'!$W$5:$W$72)</f>
        <v>0</v>
      </c>
      <c r="AF60" s="282">
        <f t="shared" ca="1" si="71"/>
        <v>0</v>
      </c>
      <c r="AG60" s="21"/>
      <c r="AH60" s="24">
        <f ca="1">SUMIF('UC BMW 2026'!$B$5:$B$77,'UC BMW 2026'!$B58,'UC BMW 2026'!$Y$5:$Y$72)</f>
        <v>0</v>
      </c>
      <c r="AI60" s="282">
        <f t="shared" ca="1" si="72"/>
        <v>0</v>
      </c>
      <c r="AJ60" s="21"/>
      <c r="AK60" s="24">
        <f ca="1">SUMIF('UC BMW 2026'!$B$5:$B$77,'UC BMW 2026'!$B58,'UC BMW 2026'!$AA$5:$AA$72)</f>
        <v>0</v>
      </c>
      <c r="AL60" s="282">
        <f t="shared" ca="1" si="73"/>
        <v>0</v>
      </c>
      <c r="AM60" s="21"/>
      <c r="AN60" s="24">
        <f ca="1">SUMIF('UC BMW 2026'!$B$5:$B$77,'UC BMW 2026'!$B58,'UC BMW 2026'!$AC$5:$AC$72)</f>
        <v>0</v>
      </c>
      <c r="AO60" s="282">
        <f t="shared" ca="1" si="74"/>
        <v>0</v>
      </c>
      <c r="AP60" s="21">
        <f>IFERROR(IF($AP$4="ENERO",F60,IF($AP$4="FEBRERO",F60+I60,IF($AP$4="MARZO",F60+I60+L60,IF($AP$4="ABRIL",F60+I60+L60+O60,IF($AP$4="MAYO",F60+I60+L60+O60+R60,IF($AP$4="JUNIO",F60+I60+L60+O60+R60+U60,IF($AP$4="JULIO",F60+I60+L60+O60+R60+U60+X60,IF($AP$4="AGOSTO",F60+I60+L60+O60+R60+U60+X60+AA60,IF($AP$4="SEPTIEMBRE",F60+I60+L60+O60+R60+U60+X60+AA60+AD60,IF($AP$4="OCTUBRE",F60+I60+L60+O60+R60+U60+X60+AA60+AD60+AG60,IF($AP$4="NOVIEMBRE",F60+I60+L60+O60+R60+U60+X60+AA60+AD60+AG60+AJ60,IF($AP$4="DICIEMBRE",F60+I60+L60+O60+R60+U60+X60+AA60+AD60+AG60+AJ60+AM60,"")))))))))))),0)</f>
        <v>324</v>
      </c>
      <c r="AQ60" s="22">
        <f ca="1">IFERROR(IF($AP$4="ENERO",G60,IF($AP$4="FEBRERO",G60+J60,IF($AP$4="MARZO",G60+J60+M60,IF($AP$4="ABRIL",G60+J60+M60+P60,IF($AP$4="MAYO",G60+J60+M60+P60+S60,IF($AP$4="JUNIO",G60+J60+M60+P60+S60+V60,IF($AP$4="JULIO",G60+J60+M60+P60+S60+V60+Y60,IF($AP$4="AGOSTO",G60+J60+M60+P60+S60+V60+Y60+AB60,IF($AP$4="SEPTIEMBRE",G60+J60+M60+P60+S60+V60+Y60+AB60+AE60,IF($AP$4="OCTUBRE",G60+J60+M60+P60+S60+V60+Y60+AB60+AE60+AH60,IF($AP$4="NOVIEMBRE",G60+J60+M60+P60+S60+V60+Y60+AB60+AE60+AH60+AK60,IF($AP$4="DICIEMBRE",G60+J60+M60+P60+S60+V60+Y60+AB60+AE60+AH60+AK60+AN60,"")))))))))))),0)</f>
        <v>218</v>
      </c>
      <c r="AR60" s="129">
        <f ca="1">IFERROR(AQ60/AP60,0)</f>
        <v>0.6728395061728395</v>
      </c>
      <c r="AS60" s="21">
        <f>IFERROR(SUM(AM60,AJ60,AG60,AD60,AA60,X60,U60,R60,O60,L60,I60,F60),0)</f>
        <v>324</v>
      </c>
      <c r="AT60" s="22">
        <f ca="1">IFERROR(SUM(AN60,AK60,AH60,AE60,AB60,Y60,V60,S60,P60,M60,J60,G60),0)</f>
        <v>218</v>
      </c>
      <c r="AU60" s="129">
        <f ca="1">IFERROR(AT60/AS60,0)</f>
        <v>0.6728395061728395</v>
      </c>
      <c r="AV60" s="25"/>
      <c r="AW60" s="27"/>
      <c r="AX60" s="287"/>
      <c r="AY60" s="291"/>
      <c r="AZ60" s="287"/>
      <c r="BA60" s="27"/>
      <c r="BB60" s="129"/>
      <c r="BC60" s="21">
        <f t="shared" si="59"/>
        <v>324</v>
      </c>
      <c r="BD60" s="22">
        <f t="shared" ca="1" si="59"/>
        <v>218</v>
      </c>
      <c r="BE60" s="130">
        <f ca="1">IFERROR(BD60/BC60,0)</f>
        <v>0.6728395061728395</v>
      </c>
      <c r="BF60" s="34">
        <f t="shared" si="75"/>
        <v>0</v>
      </c>
      <c r="BG60" s="22">
        <f t="shared" ca="1" si="75"/>
        <v>0</v>
      </c>
      <c r="BH60" s="130">
        <f ca="1">IFERROR(BG60/BF60,0)</f>
        <v>0</v>
      </c>
      <c r="BJ60" s="2"/>
      <c r="BK60" s="2"/>
      <c r="BL60" s="2"/>
      <c r="BM60" s="2"/>
      <c r="BN60" s="2"/>
      <c r="BO60" s="2"/>
      <c r="BP60" s="2"/>
      <c r="BQ60" s="2"/>
      <c r="BR60" s="2"/>
    </row>
    <row r="61" spans="1:70" s="4" customFormat="1" ht="15" customHeight="1" thickBot="1" x14ac:dyDescent="0.3">
      <c r="A61" s="4">
        <f>_xlfn.XLOOKUP(B61,'WHOLESALE BMW 2026'!$B$7:$B$67,'WHOLESALE BMW 2026'!$A$7:$A$67)</f>
        <v>0</v>
      </c>
      <c r="B61" s="7" t="s">
        <v>271</v>
      </c>
      <c r="C61" s="28"/>
      <c r="D61" s="125"/>
      <c r="E61" s="7"/>
      <c r="F61" s="277">
        <f>SUM(F56:F60)</f>
        <v>443</v>
      </c>
      <c r="G61" s="277">
        <f ca="1">SUM(G56:G60)</f>
        <v>136</v>
      </c>
      <c r="H61" s="132">
        <f t="shared" ca="1" si="0"/>
        <v>0.30699774266365687</v>
      </c>
      <c r="I61" s="277">
        <f>SUM(I56:I60)</f>
        <v>476</v>
      </c>
      <c r="J61" s="277">
        <f ca="1">SUM(J56:J60)</f>
        <v>164</v>
      </c>
      <c r="K61" s="132">
        <f ca="1">IFERROR(J61/I61,0)</f>
        <v>0.34453781512605042</v>
      </c>
      <c r="L61" s="277">
        <f>SUM(L56:L60)</f>
        <v>509</v>
      </c>
      <c r="M61" s="410">
        <f ca="1">SUM(M56:M60)</f>
        <v>176</v>
      </c>
      <c r="N61" s="132">
        <f ca="1">IFERROR(M61/L61,0)</f>
        <v>0.34577603143418467</v>
      </c>
      <c r="O61" s="277">
        <f>SUM(O56:O60)</f>
        <v>455</v>
      </c>
      <c r="P61" s="277">
        <f ca="1">SUM(P56:P60)</f>
        <v>134</v>
      </c>
      <c r="Q61" s="132">
        <f ca="1">IFERROR(P61/O61,0)</f>
        <v>0.29450549450549451</v>
      </c>
      <c r="R61" s="277">
        <f>SUM(R56:R60)</f>
        <v>511</v>
      </c>
      <c r="S61" s="277">
        <f ca="1">SUM(S56:S60)</f>
        <v>155</v>
      </c>
      <c r="T61" s="132">
        <f ca="1">IFERROR(S61/R61,0)</f>
        <v>0.30332681017612523</v>
      </c>
      <c r="U61" s="277">
        <f>SUM(U56:U60)</f>
        <v>479</v>
      </c>
      <c r="V61" s="277">
        <f ca="1">SUM(V56:V60)</f>
        <v>163</v>
      </c>
      <c r="W61" s="132">
        <f ca="1">IFERROR(V61/U61,0)</f>
        <v>0.34029227557411273</v>
      </c>
      <c r="X61" s="277">
        <f>SUM(X56:X60)</f>
        <v>0</v>
      </c>
      <c r="Y61" s="277">
        <f ca="1">SUM(Y56:Y60)</f>
        <v>0</v>
      </c>
      <c r="Z61" s="132">
        <f t="shared" ref="Z61:Z67" ca="1" si="76">IFERROR(Y61/X61,0)</f>
        <v>0</v>
      </c>
      <c r="AA61" s="277">
        <f>SUM(AA56:AA60)</f>
        <v>0</v>
      </c>
      <c r="AB61" s="277">
        <f ca="1">SUM(AB56:AB60)</f>
        <v>0</v>
      </c>
      <c r="AC61" s="132">
        <f t="shared" ref="AC61:AC67" ca="1" si="77">IFERROR(AB61/AA61,0)</f>
        <v>0</v>
      </c>
      <c r="AD61" s="277">
        <f>SUM(AD56:AD60)</f>
        <v>0</v>
      </c>
      <c r="AE61" s="277">
        <f ca="1">SUM(AE56:AE60)</f>
        <v>0</v>
      </c>
      <c r="AF61" s="132">
        <f t="shared" ref="AF61:AF67" ca="1" si="78">IFERROR(AE61/AD61,0)</f>
        <v>0</v>
      </c>
      <c r="AG61" s="277">
        <f>SUM(AG56:AG60)</f>
        <v>0</v>
      </c>
      <c r="AH61" s="277">
        <f ca="1">SUM(AH56:AH60)</f>
        <v>0</v>
      </c>
      <c r="AI61" s="132">
        <f t="shared" ref="AI61:AI67" ca="1" si="79">IFERROR(AH61/AG61,0)</f>
        <v>0</v>
      </c>
      <c r="AJ61" s="277">
        <f>SUM(AJ56:AJ60)</f>
        <v>0</v>
      </c>
      <c r="AK61" s="277">
        <f ca="1">SUM(AK56:AK60)</f>
        <v>0</v>
      </c>
      <c r="AL61" s="132">
        <f t="shared" ref="AL61:AL67" ca="1" si="80">IFERROR(AK61/AJ61,0)</f>
        <v>0</v>
      </c>
      <c r="AM61" s="277">
        <f>SUM(AM56:AM60)</f>
        <v>0</v>
      </c>
      <c r="AN61" s="277">
        <f ca="1">SUM(AN56:AN60)</f>
        <v>0</v>
      </c>
      <c r="AO61" s="132">
        <f t="shared" ref="AO61:AO67" ca="1" si="81">IFERROR(AN61/AM61,0)</f>
        <v>0</v>
      </c>
      <c r="AP61" s="277">
        <f t="shared" si="57"/>
        <v>2873</v>
      </c>
      <c r="AQ61" s="410">
        <f t="shared" ca="1" si="57"/>
        <v>928</v>
      </c>
      <c r="AR61" s="131">
        <f t="shared" ca="1" si="16"/>
        <v>0.32300730943264883</v>
      </c>
      <c r="AS61" s="277">
        <f t="shared" si="58"/>
        <v>2873</v>
      </c>
      <c r="AT61" s="410">
        <f t="shared" ca="1" si="58"/>
        <v>928</v>
      </c>
      <c r="AU61" s="131">
        <f t="shared" ca="1" si="17"/>
        <v>0.32300730943264883</v>
      </c>
      <c r="AV61" s="200"/>
      <c r="AW61" s="258"/>
      <c r="AX61" s="132"/>
      <c r="AY61" s="278"/>
      <c r="AZ61" s="132"/>
      <c r="BA61" s="258"/>
      <c r="BB61" s="131"/>
      <c r="BC61" s="277">
        <f t="shared" si="59"/>
        <v>2873</v>
      </c>
      <c r="BD61" s="410">
        <f t="shared" ca="1" si="59"/>
        <v>928</v>
      </c>
      <c r="BE61" s="275">
        <f t="shared" ca="1" si="18"/>
        <v>0.32300730943264883</v>
      </c>
      <c r="BF61" s="277">
        <f>IFERROR(SUM(BF56:BF60),0)</f>
        <v>0</v>
      </c>
      <c r="BG61" s="277">
        <f ca="1">IFERROR(SUM(BG56:BG60),0)</f>
        <v>0</v>
      </c>
      <c r="BH61" s="275">
        <f t="shared" ca="1" si="19"/>
        <v>0</v>
      </c>
      <c r="BJ61" s="2"/>
      <c r="BK61" s="2"/>
      <c r="BL61" s="2"/>
      <c r="BM61" s="2"/>
      <c r="BN61" s="2"/>
      <c r="BO61" s="2"/>
      <c r="BP61" s="2"/>
      <c r="BQ61" s="2"/>
      <c r="BR61" s="2"/>
    </row>
    <row r="62" spans="1:70" s="4" customFormat="1" ht="15" customHeight="1" x14ac:dyDescent="0.3">
      <c r="A62" s="4">
        <f>_xlfn.XLOOKUP(B62,'WHOLESALE BMW 2026'!$B$7:$B$67,'WHOLESALE BMW 2026'!$A$7:$A$67)</f>
        <v>10</v>
      </c>
      <c r="B62" s="8">
        <v>100344</v>
      </c>
      <c r="C62" s="369" t="s">
        <v>25</v>
      </c>
      <c r="D62" s="125"/>
      <c r="E62" s="309" t="s">
        <v>202</v>
      </c>
      <c r="F62" s="21">
        <v>181</v>
      </c>
      <c r="G62" s="24">
        <f ca="1">SUMIF('UC BMW 2026'!$B$5:$B$77,'UC BMW 2026'!B60,'UC BMW 2026'!$G$5:$G$72)</f>
        <v>37</v>
      </c>
      <c r="H62" s="284">
        <f t="shared" ca="1" si="0"/>
        <v>0.20441988950276244</v>
      </c>
      <c r="I62" s="21">
        <v>188</v>
      </c>
      <c r="J62" s="24">
        <f ca="1">SUMIF('UC BMW 2026'!$B$5:$B$77,'UC BMW 2026'!$B60,'UC BMW 2026'!$I$5:$I$72)</f>
        <v>33</v>
      </c>
      <c r="K62" s="284">
        <f t="shared" ca="1" si="1"/>
        <v>0.17553191489361702</v>
      </c>
      <c r="L62" s="21">
        <f>VLOOKUP(B62,'[4]% Penetración Mdo MAR26'!$B$7:$D$59,3,0)-F62-I62</f>
        <v>105</v>
      </c>
      <c r="M62" s="24">
        <f ca="1">SUMIF('UC BMW 2026'!$B$5:$B$77,'UC BMW 2026'!$B60,'UC BMW 2026'!$K$5:$K$72)</f>
        <v>39</v>
      </c>
      <c r="N62" s="284">
        <f t="shared" ca="1" si="2"/>
        <v>0.37142857142857144</v>
      </c>
      <c r="O62" s="21">
        <f>VLOOKUP(B62,'[5]% Penetración Mdo ABR26'!$B$7:$D$59,3,0)-F62-I62-L62</f>
        <v>99</v>
      </c>
      <c r="P62" s="24">
        <f ca="1">SUMIF('UC BMW 2026'!$B$5:$B$77,'UC BMW 2026'!$B60,'UC BMW 2026'!$M$5:$M$72)</f>
        <v>33</v>
      </c>
      <c r="Q62" s="284">
        <f t="shared" ca="1" si="3"/>
        <v>0.33333333333333331</v>
      </c>
      <c r="R62" s="21">
        <f>VLOOKUP(B62,'[6]% Penetración Mdo MAY26'!$B$7:$G$65,3,0)-F62-I62-L62-O62</f>
        <v>167</v>
      </c>
      <c r="S62" s="24">
        <f ca="1">SUMIF('UC BMW 2026'!$B$5:$B$77,'UC BMW 2026'!$B60,'UC BMW 2026'!$O$5:$O$72)</f>
        <v>29</v>
      </c>
      <c r="T62" s="284">
        <f t="shared" ca="1" si="4"/>
        <v>0.17365269461077845</v>
      </c>
      <c r="U62" s="21">
        <f>VLOOKUP(B62,'[7]% Penetración Mdo JUN26'!$B$7:$K$59,3,0)-F62-I62-L62-O62-R62</f>
        <v>117</v>
      </c>
      <c r="V62" s="24">
        <f ca="1">SUMIF('UC BMW 2026'!$B$5:$B$77,'UC BMW 2026'!$B60,'UC BMW 2026'!$Q$5:$Q$72)</f>
        <v>30</v>
      </c>
      <c r="W62" s="284">
        <f t="shared" ca="1" si="5"/>
        <v>0.25641025641025639</v>
      </c>
      <c r="X62" s="21"/>
      <c r="Y62" s="24">
        <f ca="1">SUMIF('UC BMW 2026'!$B$5:$B$77,'UC BMW 2026'!$B60,'UC BMW 2026'!$S$5:$S$72)</f>
        <v>0</v>
      </c>
      <c r="Z62" s="282">
        <f t="shared" ca="1" si="76"/>
        <v>0</v>
      </c>
      <c r="AA62" s="21"/>
      <c r="AB62" s="24">
        <f ca="1">SUMIF('UC BMW 2026'!$B$5:$B$77,'UC BMW 2026'!$B60,'UC BMW 2026'!$U$5:$U$72)</f>
        <v>0</v>
      </c>
      <c r="AC62" s="282">
        <f t="shared" ca="1" si="77"/>
        <v>0</v>
      </c>
      <c r="AD62" s="21"/>
      <c r="AE62" s="24">
        <f ca="1">SUMIF('UC BMW 2026'!$B$5:$B$77,'UC BMW 2026'!$B60,'UC BMW 2026'!$W$5:$W$72)</f>
        <v>0</v>
      </c>
      <c r="AF62" s="282">
        <f t="shared" ca="1" si="78"/>
        <v>0</v>
      </c>
      <c r="AG62" s="21"/>
      <c r="AH62" s="24">
        <f ca="1">SUMIF('UC BMW 2026'!$B$5:$B$77,'UC BMW 2026'!$B60,'UC BMW 2026'!$Y$5:$Y$72)</f>
        <v>0</v>
      </c>
      <c r="AI62" s="282">
        <f t="shared" ca="1" si="79"/>
        <v>0</v>
      </c>
      <c r="AJ62" s="21"/>
      <c r="AK62" s="24">
        <f ca="1">SUMIF('UC BMW 2026'!$B$5:$B$77,'UC BMW 2026'!$B60,'UC BMW 2026'!$AA$5:$AA$72)</f>
        <v>0</v>
      </c>
      <c r="AL62" s="282">
        <f t="shared" ca="1" si="80"/>
        <v>0</v>
      </c>
      <c r="AM62" s="21"/>
      <c r="AN62" s="24">
        <f ca="1">SUMIF('UC BMW 2026'!$B$5:$B$77,'UC BMW 2026'!$B60,'UC BMW 2026'!$AC$5:$AC$72)</f>
        <v>0</v>
      </c>
      <c r="AO62" s="282">
        <f t="shared" ca="1" si="81"/>
        <v>0</v>
      </c>
      <c r="AP62" s="34">
        <f t="shared" si="57"/>
        <v>857</v>
      </c>
      <c r="AQ62" s="18">
        <f t="shared" ca="1" si="57"/>
        <v>201</v>
      </c>
      <c r="AR62" s="186">
        <f t="shared" ca="1" si="16"/>
        <v>0.23453908984830804</v>
      </c>
      <c r="AS62" s="34">
        <f t="shared" si="58"/>
        <v>857</v>
      </c>
      <c r="AT62" s="18">
        <f t="shared" ca="1" si="58"/>
        <v>201</v>
      </c>
      <c r="AU62" s="186">
        <f t="shared" ca="1" si="17"/>
        <v>0.23453908984830804</v>
      </c>
      <c r="AV62" s="25"/>
      <c r="AW62" s="27"/>
      <c r="AX62" s="289"/>
      <c r="AY62" s="290"/>
      <c r="AZ62" s="289"/>
      <c r="BA62" s="27"/>
      <c r="BB62" s="186"/>
      <c r="BC62" s="34">
        <f t="shared" si="59"/>
        <v>857</v>
      </c>
      <c r="BD62" s="18">
        <f t="shared" ca="1" si="59"/>
        <v>201</v>
      </c>
      <c r="BE62" s="187">
        <f t="shared" ca="1" si="18"/>
        <v>0.23453908984830804</v>
      </c>
      <c r="BF62" s="34">
        <f>IFERROR(IF($BF$5="S 1",F62+I62+L62+O62+R62+U62,
IF($BF$5="S 2",X62+AA62+AD62+AG62+AJ62+AM62,0)),0)</f>
        <v>0</v>
      </c>
      <c r="BG62" s="18">
        <f ca="1">IFERROR(IF($BF$5="S 1",G62+J62+M62+P62+S62+V62,
IF($BF$5="S 2",Y62+AB62+AE62+AH62+AK62+AN62,0)),0)</f>
        <v>0</v>
      </c>
      <c r="BH62" s="187">
        <f t="shared" ca="1" si="19"/>
        <v>0</v>
      </c>
      <c r="BJ62" s="2"/>
      <c r="BK62" s="2"/>
      <c r="BL62" s="2"/>
      <c r="BM62" s="2"/>
      <c r="BN62" s="2"/>
      <c r="BO62" s="2"/>
      <c r="BP62" s="2"/>
      <c r="BQ62" s="2"/>
      <c r="BR62" s="2"/>
    </row>
    <row r="63" spans="1:70" s="4" customFormat="1" ht="15" customHeight="1" x14ac:dyDescent="0.3">
      <c r="A63" s="4">
        <f>_xlfn.XLOOKUP(B63,'WHOLESALE BMW 2026'!$B$7:$B$67,'WHOLESALE BMW 2026'!$A$7:$A$67)</f>
        <v>10</v>
      </c>
      <c r="B63" s="8">
        <v>100422</v>
      </c>
      <c r="C63" s="369" t="s">
        <v>20</v>
      </c>
      <c r="D63" s="125"/>
      <c r="E63" s="309" t="s">
        <v>202</v>
      </c>
      <c r="F63" s="21">
        <v>28</v>
      </c>
      <c r="G63" s="24">
        <f ca="1">SUMIF('UC BMW 2026'!$B$5:$B$77,'UC BMW 2026'!B61,'UC BMW 2026'!$G$5:$G$72)</f>
        <v>8</v>
      </c>
      <c r="H63" s="285">
        <f t="shared" ca="1" si="0"/>
        <v>0.2857142857142857</v>
      </c>
      <c r="I63" s="21">
        <v>38</v>
      </c>
      <c r="J63" s="24">
        <f ca="1">SUMIF('UC BMW 2026'!$B$5:$B$77,'UC BMW 2026'!$B61,'UC BMW 2026'!$I$5:$I$72)</f>
        <v>18</v>
      </c>
      <c r="K63" s="285">
        <f t="shared" ca="1" si="1"/>
        <v>0.47368421052631576</v>
      </c>
      <c r="L63" s="21">
        <f>VLOOKUP(B63,'[4]% Penetración Mdo MAR26'!$B$7:$D$59,3,0)-F63-I63</f>
        <v>54</v>
      </c>
      <c r="M63" s="24">
        <f ca="1">SUMIF('UC BMW 2026'!$B$5:$B$77,'UC BMW 2026'!$B61,'UC BMW 2026'!$K$5:$K$72)</f>
        <v>14</v>
      </c>
      <c r="N63" s="285">
        <f t="shared" ca="1" si="2"/>
        <v>0.25925925925925924</v>
      </c>
      <c r="O63" s="21">
        <f>VLOOKUP(B63,'[5]% Penetración Mdo ABR26'!$B$7:$D$59,3,0)-F63-I63-L63</f>
        <v>48</v>
      </c>
      <c r="P63" s="24">
        <f ca="1">SUMIF('UC BMW 2026'!$B$5:$B$77,'UC BMW 2026'!$B61,'UC BMW 2026'!$M$5:$M$72)</f>
        <v>17</v>
      </c>
      <c r="Q63" s="285">
        <f t="shared" ca="1" si="3"/>
        <v>0.35416666666666669</v>
      </c>
      <c r="R63" s="21">
        <f>VLOOKUP(B63,'[6]% Penetración Mdo MAY26'!$B$7:$G$65,3,0)-F63-I63-L63-O63</f>
        <v>42</v>
      </c>
      <c r="S63" s="24">
        <f ca="1">SUMIF('UC BMW 2026'!$B$5:$B$77,'UC BMW 2026'!$B61,'UC BMW 2026'!$O$5:$O$72)</f>
        <v>12</v>
      </c>
      <c r="T63" s="285">
        <f t="shared" ca="1" si="4"/>
        <v>0.2857142857142857</v>
      </c>
      <c r="U63" s="21">
        <f>VLOOKUP(B63,'[7]% Penetración Mdo JUN26'!$B$7:$K$59,3,0)-F63-I63-L63-O63-R63</f>
        <v>47</v>
      </c>
      <c r="V63" s="24">
        <f ca="1">SUMIF('UC BMW 2026'!$B$5:$B$77,'UC BMW 2026'!$B61,'UC BMW 2026'!$Q$5:$Q$72)</f>
        <v>14</v>
      </c>
      <c r="W63" s="285">
        <f t="shared" ca="1" si="5"/>
        <v>0.2978723404255319</v>
      </c>
      <c r="X63" s="21"/>
      <c r="Y63" s="24">
        <f ca="1">SUMIF('UC BMW 2026'!$B$5:$B$77,'UC BMW 2026'!$B61,'UC BMW 2026'!$S$5:$S$72)</f>
        <v>0</v>
      </c>
      <c r="Z63" s="282">
        <f t="shared" ca="1" si="76"/>
        <v>0</v>
      </c>
      <c r="AA63" s="21"/>
      <c r="AB63" s="24">
        <f ca="1">SUMIF('UC BMW 2026'!$B$5:$B$77,'UC BMW 2026'!$B61,'UC BMW 2026'!$U$5:$U$72)</f>
        <v>0</v>
      </c>
      <c r="AC63" s="282">
        <f t="shared" ca="1" si="77"/>
        <v>0</v>
      </c>
      <c r="AD63" s="21"/>
      <c r="AE63" s="24">
        <f ca="1">SUMIF('UC BMW 2026'!$B$5:$B$77,'UC BMW 2026'!$B61,'UC BMW 2026'!$W$5:$W$72)</f>
        <v>0</v>
      </c>
      <c r="AF63" s="282">
        <f t="shared" ca="1" si="78"/>
        <v>0</v>
      </c>
      <c r="AG63" s="21"/>
      <c r="AH63" s="24">
        <f ca="1">SUMIF('UC BMW 2026'!$B$5:$B$77,'UC BMW 2026'!$B61,'UC BMW 2026'!$Y$5:$Y$72)</f>
        <v>0</v>
      </c>
      <c r="AI63" s="282">
        <f t="shared" ca="1" si="79"/>
        <v>0</v>
      </c>
      <c r="AJ63" s="21"/>
      <c r="AK63" s="24">
        <f ca="1">SUMIF('UC BMW 2026'!$B$5:$B$77,'UC BMW 2026'!$B61,'UC BMW 2026'!$AA$5:$AA$72)</f>
        <v>0</v>
      </c>
      <c r="AL63" s="282">
        <f t="shared" ca="1" si="80"/>
        <v>0</v>
      </c>
      <c r="AM63" s="21"/>
      <c r="AN63" s="24">
        <f ca="1">SUMIF('UC BMW 2026'!$B$5:$B$77,'UC BMW 2026'!$B61,'UC BMW 2026'!$AC$5:$AC$72)</f>
        <v>0</v>
      </c>
      <c r="AO63" s="282">
        <f t="shared" ca="1" si="81"/>
        <v>0</v>
      </c>
      <c r="AP63" s="21">
        <f t="shared" si="57"/>
        <v>257</v>
      </c>
      <c r="AQ63" s="22">
        <f t="shared" ca="1" si="57"/>
        <v>83</v>
      </c>
      <c r="AR63" s="129">
        <f t="shared" ca="1" si="16"/>
        <v>0.32295719844357978</v>
      </c>
      <c r="AS63" s="21">
        <f t="shared" si="58"/>
        <v>257</v>
      </c>
      <c r="AT63" s="22">
        <f t="shared" ca="1" si="58"/>
        <v>83</v>
      </c>
      <c r="AU63" s="129">
        <f t="shared" ca="1" si="17"/>
        <v>0.32295719844357978</v>
      </c>
      <c r="AV63" s="25"/>
      <c r="AW63" s="27"/>
      <c r="AX63" s="287"/>
      <c r="AY63" s="291"/>
      <c r="AZ63" s="287"/>
      <c r="BA63" s="27"/>
      <c r="BB63" s="129"/>
      <c r="BC63" s="21">
        <f t="shared" si="59"/>
        <v>257</v>
      </c>
      <c r="BD63" s="22">
        <f t="shared" ca="1" si="59"/>
        <v>83</v>
      </c>
      <c r="BE63" s="130">
        <f t="shared" ca="1" si="18"/>
        <v>0.32295719844357978</v>
      </c>
      <c r="BF63" s="34">
        <f t="shared" ref="BF63:BG67" si="82">IFERROR(IF($BF$5="S 1",F63+I63+L63+O63+R63+U63,
IF($BF$5="S 2",X63+AA63+AD63+AG63+AJ63+AM63,0)),0)</f>
        <v>0</v>
      </c>
      <c r="BG63" s="22">
        <f t="shared" ca="1" si="82"/>
        <v>0</v>
      </c>
      <c r="BH63" s="130">
        <f t="shared" ca="1" si="19"/>
        <v>0</v>
      </c>
      <c r="BJ63" s="2"/>
      <c r="BK63" s="2"/>
      <c r="BL63" s="2"/>
      <c r="BM63" s="2"/>
      <c r="BN63" s="2"/>
      <c r="BO63" s="2"/>
      <c r="BP63" s="2"/>
      <c r="BQ63" s="2"/>
      <c r="BR63" s="2"/>
    </row>
    <row r="64" spans="1:70" s="4" customFormat="1" ht="15" customHeight="1" x14ac:dyDescent="0.3">
      <c r="A64" s="4">
        <f>_xlfn.XLOOKUP(B64,'WHOLESALE BMW 2026'!$B$7:$B$67,'WHOLESALE BMW 2026'!$A$7:$A$67)</f>
        <v>10</v>
      </c>
      <c r="B64" s="8">
        <v>100549</v>
      </c>
      <c r="C64" s="369" t="s">
        <v>66</v>
      </c>
      <c r="D64" s="125"/>
      <c r="E64" s="309" t="s">
        <v>202</v>
      </c>
      <c r="F64" s="21">
        <v>5</v>
      </c>
      <c r="G64" s="24">
        <f ca="1">SUMIF('UC BMW 2026'!$B$5:$B$77,'UC BMW 2026'!B62,'UC BMW 2026'!$G$5:$G$72)</f>
        <v>7</v>
      </c>
      <c r="H64" s="285">
        <f t="shared" ca="1" si="0"/>
        <v>1.4</v>
      </c>
      <c r="I64" s="21">
        <v>10</v>
      </c>
      <c r="J64" s="24">
        <f ca="1">SUMIF('UC BMW 2026'!$B$5:$B$77,'UC BMW 2026'!$B62,'UC BMW 2026'!$I$5:$I$72)</f>
        <v>7</v>
      </c>
      <c r="K64" s="285">
        <f t="shared" ca="1" si="1"/>
        <v>0.7</v>
      </c>
      <c r="L64" s="21">
        <f>VLOOKUP(B64,'[4]% Penetración Mdo MAR26'!$B$7:$D$59,3,0)-F64-I64</f>
        <v>14</v>
      </c>
      <c r="M64" s="24">
        <f ca="1">SUMIF('UC BMW 2026'!$B$5:$B$77,'UC BMW 2026'!$B62,'UC BMW 2026'!$K$5:$K$72)</f>
        <v>11</v>
      </c>
      <c r="N64" s="285">
        <f t="shared" ca="1" si="2"/>
        <v>0.7857142857142857</v>
      </c>
      <c r="O64" s="21">
        <f>VLOOKUP(B64,'[5]% Penetración Mdo ABR26'!$B$7:$D$59,3,0)-F64-I64-L64</f>
        <v>12</v>
      </c>
      <c r="P64" s="24">
        <f ca="1">SUMIF('UC BMW 2026'!$B$5:$B$77,'UC BMW 2026'!$B62,'UC BMW 2026'!$M$5:$M$72)</f>
        <v>7</v>
      </c>
      <c r="Q64" s="285">
        <f t="shared" ca="1" si="3"/>
        <v>0.58333333333333337</v>
      </c>
      <c r="R64" s="21">
        <f>VLOOKUP(B64,'[6]% Penetración Mdo MAY26'!$B$7:$G$65,3,0)-F64-I64-L64-O64</f>
        <v>15</v>
      </c>
      <c r="S64" s="24">
        <f ca="1">SUMIF('UC BMW 2026'!$B$5:$B$77,'UC BMW 2026'!$B62,'UC BMW 2026'!$O$5:$O$72)</f>
        <v>7</v>
      </c>
      <c r="T64" s="285">
        <f t="shared" ca="1" si="4"/>
        <v>0.46666666666666667</v>
      </c>
      <c r="U64" s="21">
        <f>VLOOKUP(B64,'[7]% Penetración Mdo JUN26'!$B$7:$K$59,3,0)-F64-I64-L64-O64-R64</f>
        <v>20</v>
      </c>
      <c r="V64" s="24">
        <f ca="1">SUMIF('UC BMW 2026'!$B$5:$B$77,'UC BMW 2026'!$B62,'UC BMW 2026'!$Q$5:$Q$72)</f>
        <v>7</v>
      </c>
      <c r="W64" s="285">
        <f t="shared" ca="1" si="5"/>
        <v>0.35</v>
      </c>
      <c r="X64" s="21"/>
      <c r="Y64" s="24">
        <f ca="1">SUMIF('UC BMW 2026'!$B$5:$B$77,'UC BMW 2026'!$B62,'UC BMW 2026'!$S$5:$S$72)</f>
        <v>0</v>
      </c>
      <c r="Z64" s="282">
        <f t="shared" ca="1" si="76"/>
        <v>0</v>
      </c>
      <c r="AA64" s="21"/>
      <c r="AB64" s="24">
        <f ca="1">SUMIF('UC BMW 2026'!$B$5:$B$77,'UC BMW 2026'!$B62,'UC BMW 2026'!$U$5:$U$72)</f>
        <v>0</v>
      </c>
      <c r="AC64" s="282">
        <f t="shared" ca="1" si="77"/>
        <v>0</v>
      </c>
      <c r="AD64" s="21"/>
      <c r="AE64" s="24">
        <f ca="1">SUMIF('UC BMW 2026'!$B$5:$B$77,'UC BMW 2026'!$B62,'UC BMW 2026'!$W$5:$W$72)</f>
        <v>0</v>
      </c>
      <c r="AF64" s="282">
        <f t="shared" ca="1" si="78"/>
        <v>0</v>
      </c>
      <c r="AG64" s="21"/>
      <c r="AH64" s="24">
        <f ca="1">SUMIF('UC BMW 2026'!$B$5:$B$77,'UC BMW 2026'!$B62,'UC BMW 2026'!$Y$5:$Y$72)</f>
        <v>0</v>
      </c>
      <c r="AI64" s="282">
        <f t="shared" ca="1" si="79"/>
        <v>0</v>
      </c>
      <c r="AJ64" s="21"/>
      <c r="AK64" s="24">
        <f ca="1">SUMIF('UC BMW 2026'!$B$5:$B$77,'UC BMW 2026'!$B62,'UC BMW 2026'!$AA$5:$AA$72)</f>
        <v>0</v>
      </c>
      <c r="AL64" s="282">
        <f t="shared" ca="1" si="80"/>
        <v>0</v>
      </c>
      <c r="AM64" s="21"/>
      <c r="AN64" s="24">
        <f ca="1">SUMIF('UC BMW 2026'!$B$5:$B$77,'UC BMW 2026'!$B62,'UC BMW 2026'!$AC$5:$AC$72)</f>
        <v>0</v>
      </c>
      <c r="AO64" s="282">
        <f t="shared" ca="1" si="81"/>
        <v>0</v>
      </c>
      <c r="AP64" s="21">
        <f t="shared" si="57"/>
        <v>76</v>
      </c>
      <c r="AQ64" s="22">
        <f t="shared" ca="1" si="57"/>
        <v>46</v>
      </c>
      <c r="AR64" s="129">
        <f t="shared" ca="1" si="16"/>
        <v>0.60526315789473684</v>
      </c>
      <c r="AS64" s="21">
        <f t="shared" si="58"/>
        <v>76</v>
      </c>
      <c r="AT64" s="22">
        <f t="shared" ca="1" si="58"/>
        <v>46</v>
      </c>
      <c r="AU64" s="129">
        <f t="shared" ca="1" si="17"/>
        <v>0.60526315789473684</v>
      </c>
      <c r="AV64" s="25"/>
      <c r="AW64" s="27"/>
      <c r="AX64" s="287"/>
      <c r="AY64" s="291"/>
      <c r="AZ64" s="287"/>
      <c r="BA64" s="27"/>
      <c r="BB64" s="129"/>
      <c r="BC64" s="21">
        <f t="shared" si="59"/>
        <v>76</v>
      </c>
      <c r="BD64" s="22">
        <f t="shared" ca="1" si="59"/>
        <v>46</v>
      </c>
      <c r="BE64" s="130">
        <f t="shared" ca="1" si="18"/>
        <v>0.60526315789473684</v>
      </c>
      <c r="BF64" s="34">
        <f t="shared" si="82"/>
        <v>0</v>
      </c>
      <c r="BG64" s="22">
        <f t="shared" ca="1" si="82"/>
        <v>0</v>
      </c>
      <c r="BH64" s="130">
        <f t="shared" ca="1" si="19"/>
        <v>0</v>
      </c>
      <c r="BJ64" s="2"/>
      <c r="BK64" s="2"/>
      <c r="BL64" s="2"/>
      <c r="BM64" s="2"/>
      <c r="BN64" s="2"/>
      <c r="BO64" s="2"/>
      <c r="BP64" s="2"/>
      <c r="BQ64" s="2"/>
      <c r="BR64" s="2"/>
    </row>
    <row r="65" spans="1:70" s="4" customFormat="1" ht="15" customHeight="1" x14ac:dyDescent="0.3">
      <c r="A65" s="4">
        <f>_xlfn.XLOOKUP(B65,'WHOLESALE BMW 2026'!$B$7:$B$67,'WHOLESALE BMW 2026'!$A$7:$A$67)</f>
        <v>10</v>
      </c>
      <c r="B65" s="8">
        <v>100589</v>
      </c>
      <c r="C65" s="369" t="s">
        <v>17</v>
      </c>
      <c r="D65" s="125"/>
      <c r="E65" s="309" t="s">
        <v>202</v>
      </c>
      <c r="F65" s="21">
        <v>53</v>
      </c>
      <c r="G65" s="24">
        <f ca="1">SUMIF('UC BMW 2026'!$B$5:$B$77,'UC BMW 2026'!B63,'UC BMW 2026'!$G$5:$G$72)</f>
        <v>24</v>
      </c>
      <c r="H65" s="285">
        <f t="shared" ca="1" si="0"/>
        <v>0.45283018867924529</v>
      </c>
      <c r="I65" s="21">
        <v>103</v>
      </c>
      <c r="J65" s="24">
        <f ca="1">SUMIF('UC BMW 2026'!$B$5:$B$77,'UC BMW 2026'!$B63,'UC BMW 2026'!$I$5:$I$72)</f>
        <v>31</v>
      </c>
      <c r="K65" s="285">
        <f t="shared" ca="1" si="1"/>
        <v>0.30097087378640774</v>
      </c>
      <c r="L65" s="21">
        <f>VLOOKUP(B65,'[4]% Penetración Mdo MAR26'!$B$7:$D$59,3,0)-F65-I65</f>
        <v>91</v>
      </c>
      <c r="M65" s="24">
        <f ca="1">SUMIF('UC BMW 2026'!$B$5:$B$77,'UC BMW 2026'!$B63,'UC BMW 2026'!$K$5:$K$72)</f>
        <v>27</v>
      </c>
      <c r="N65" s="285">
        <f t="shared" ca="1" si="2"/>
        <v>0.2967032967032967</v>
      </c>
      <c r="O65" s="21">
        <f>VLOOKUP(B65,'[5]% Penetración Mdo ABR26'!$B$7:$D$59,3,0)-F65-I65-L65</f>
        <v>97</v>
      </c>
      <c r="P65" s="24">
        <f ca="1">SUMIF('UC BMW 2026'!$B$5:$B$77,'UC BMW 2026'!$B63,'UC BMW 2026'!$M$5:$M$72)</f>
        <v>22</v>
      </c>
      <c r="Q65" s="285">
        <f t="shared" ca="1" si="3"/>
        <v>0.22680412371134021</v>
      </c>
      <c r="R65" s="21">
        <f>VLOOKUP(B65,'[6]% Penetración Mdo MAY26'!$B$7:$G$65,3,0)-F65-I65-L65-O65</f>
        <v>99</v>
      </c>
      <c r="S65" s="24">
        <f ca="1">SUMIF('UC BMW 2026'!$B$5:$B$77,'UC BMW 2026'!$B63,'UC BMW 2026'!$O$5:$O$72)</f>
        <v>15</v>
      </c>
      <c r="T65" s="285">
        <f t="shared" ca="1" si="4"/>
        <v>0.15151515151515152</v>
      </c>
      <c r="U65" s="21">
        <f>VLOOKUP(B65,'[7]% Penetración Mdo JUN26'!$B$7:$K$59,3,0)-F65-I65-L65-O65-R65</f>
        <v>93</v>
      </c>
      <c r="V65" s="24">
        <f ca="1">SUMIF('UC BMW 2026'!$B$5:$B$77,'UC BMW 2026'!$B63,'UC BMW 2026'!$Q$5:$Q$72)</f>
        <v>16</v>
      </c>
      <c r="W65" s="285">
        <f t="shared" ca="1" si="5"/>
        <v>0.17204301075268819</v>
      </c>
      <c r="X65" s="21"/>
      <c r="Y65" s="24">
        <f ca="1">SUMIF('UC BMW 2026'!$B$5:$B$77,'UC BMW 2026'!$B63,'UC BMW 2026'!$S$5:$S$72)</f>
        <v>0</v>
      </c>
      <c r="Z65" s="282">
        <f t="shared" ca="1" si="76"/>
        <v>0</v>
      </c>
      <c r="AA65" s="21"/>
      <c r="AB65" s="24">
        <f ca="1">SUMIF('UC BMW 2026'!$B$5:$B$77,'UC BMW 2026'!$B63,'UC BMW 2026'!$U$5:$U$72)</f>
        <v>0</v>
      </c>
      <c r="AC65" s="282">
        <f t="shared" ca="1" si="77"/>
        <v>0</v>
      </c>
      <c r="AD65" s="21"/>
      <c r="AE65" s="24">
        <f ca="1">SUMIF('UC BMW 2026'!$B$5:$B$77,'UC BMW 2026'!$B63,'UC BMW 2026'!$W$5:$W$72)</f>
        <v>0</v>
      </c>
      <c r="AF65" s="282">
        <f t="shared" ca="1" si="78"/>
        <v>0</v>
      </c>
      <c r="AG65" s="21"/>
      <c r="AH65" s="24">
        <f ca="1">SUMIF('UC BMW 2026'!$B$5:$B$77,'UC BMW 2026'!$B63,'UC BMW 2026'!$Y$5:$Y$72)</f>
        <v>0</v>
      </c>
      <c r="AI65" s="282">
        <f t="shared" ca="1" si="79"/>
        <v>0</v>
      </c>
      <c r="AJ65" s="21"/>
      <c r="AK65" s="24">
        <f ca="1">SUMIF('UC BMW 2026'!$B$5:$B$77,'UC BMW 2026'!$B63,'UC BMW 2026'!$AA$5:$AA$72)</f>
        <v>0</v>
      </c>
      <c r="AL65" s="282">
        <f t="shared" ca="1" si="80"/>
        <v>0</v>
      </c>
      <c r="AM65" s="21"/>
      <c r="AN65" s="24">
        <f ca="1">SUMIF('UC BMW 2026'!$B$5:$B$77,'UC BMW 2026'!$B63,'UC BMW 2026'!$AC$5:$AC$72)</f>
        <v>0</v>
      </c>
      <c r="AO65" s="282">
        <f t="shared" ca="1" si="81"/>
        <v>0</v>
      </c>
      <c r="AP65" s="21">
        <f t="shared" si="57"/>
        <v>536</v>
      </c>
      <c r="AQ65" s="22">
        <f t="shared" ca="1" si="57"/>
        <v>135</v>
      </c>
      <c r="AR65" s="129">
        <f t="shared" ca="1" si="16"/>
        <v>0.25186567164179102</v>
      </c>
      <c r="AS65" s="21">
        <f t="shared" si="58"/>
        <v>536</v>
      </c>
      <c r="AT65" s="22">
        <f t="shared" ca="1" si="58"/>
        <v>135</v>
      </c>
      <c r="AU65" s="129">
        <f t="shared" ca="1" si="17"/>
        <v>0.25186567164179102</v>
      </c>
      <c r="AV65" s="25"/>
      <c r="AW65" s="27"/>
      <c r="AX65" s="287"/>
      <c r="AY65" s="291"/>
      <c r="AZ65" s="287"/>
      <c r="BA65" s="27"/>
      <c r="BB65" s="129"/>
      <c r="BC65" s="21">
        <f t="shared" si="59"/>
        <v>536</v>
      </c>
      <c r="BD65" s="22">
        <f t="shared" ca="1" si="59"/>
        <v>135</v>
      </c>
      <c r="BE65" s="130">
        <f t="shared" ca="1" si="18"/>
        <v>0.25186567164179102</v>
      </c>
      <c r="BF65" s="34">
        <f t="shared" si="82"/>
        <v>0</v>
      </c>
      <c r="BG65" s="22">
        <f t="shared" ca="1" si="82"/>
        <v>0</v>
      </c>
      <c r="BH65" s="130">
        <f t="shared" ca="1" si="19"/>
        <v>0</v>
      </c>
      <c r="BJ65" s="2"/>
      <c r="BK65" s="2"/>
      <c r="BL65" s="2"/>
      <c r="BM65" s="2"/>
      <c r="BN65" s="2"/>
      <c r="BO65" s="2"/>
      <c r="BP65" s="2"/>
      <c r="BQ65" s="2"/>
      <c r="BR65" s="2"/>
    </row>
    <row r="66" spans="1:70" s="4" customFormat="1" ht="15" customHeight="1" x14ac:dyDescent="0.3">
      <c r="A66" s="4">
        <f>_xlfn.XLOOKUP(B66,'WHOLESALE BMW 2026'!$B$7:$B$67,'WHOLESALE BMW 2026'!$A$7:$A$67)</f>
        <v>10</v>
      </c>
      <c r="B66" s="8">
        <v>100819</v>
      </c>
      <c r="C66" s="369" t="s">
        <v>74</v>
      </c>
      <c r="D66" s="125"/>
      <c r="E66" s="309" t="s">
        <v>202</v>
      </c>
      <c r="F66" s="21">
        <v>46</v>
      </c>
      <c r="G66" s="24">
        <f ca="1">SUMIF('UC BMW 2026'!$B$5:$B$77,'UC BMW 2026'!B64,'UC BMW 2026'!$G$5:$G$72)</f>
        <v>14</v>
      </c>
      <c r="H66" s="285">
        <f t="shared" ca="1" si="0"/>
        <v>0.30434782608695654</v>
      </c>
      <c r="I66" s="21">
        <v>65</v>
      </c>
      <c r="J66" s="24">
        <f ca="1">SUMIF('UC BMW 2026'!$B$5:$B$77,'UC BMW 2026'!$B64,'UC BMW 2026'!$I$5:$I$72)</f>
        <v>21</v>
      </c>
      <c r="K66" s="285">
        <f t="shared" ca="1" si="1"/>
        <v>0.32307692307692309</v>
      </c>
      <c r="L66" s="21">
        <f>VLOOKUP(B66,'[4]% Penetración Mdo MAR26'!$B$7:$D$59,3,0)-F66-I66</f>
        <v>72</v>
      </c>
      <c r="M66" s="24">
        <f ca="1">SUMIF('UC BMW 2026'!$B$5:$B$77,'UC BMW 2026'!$B64,'UC BMW 2026'!$K$5:$K$72)</f>
        <v>19</v>
      </c>
      <c r="N66" s="285">
        <f t="shared" ca="1" si="2"/>
        <v>0.2638888888888889</v>
      </c>
      <c r="O66" s="21">
        <f>VLOOKUP(B66,'[5]% Penetración Mdo ABR26'!$B$7:$D$59,3,0)-F66-I66-L66</f>
        <v>61</v>
      </c>
      <c r="P66" s="24">
        <f ca="1">SUMIF('UC BMW 2026'!$B$5:$B$77,'UC BMW 2026'!$B64,'UC BMW 2026'!$M$5:$M$72)</f>
        <v>18</v>
      </c>
      <c r="Q66" s="285">
        <f t="shared" ca="1" si="3"/>
        <v>0.29508196721311475</v>
      </c>
      <c r="R66" s="21">
        <f>VLOOKUP(B66,'[6]% Penetración Mdo MAY26'!$B$7:$G$65,3,0)-F66-I66-L66-O66</f>
        <v>69</v>
      </c>
      <c r="S66" s="24">
        <f ca="1">SUMIF('UC BMW 2026'!$B$5:$B$77,'UC BMW 2026'!$B64,'UC BMW 2026'!$O$5:$O$72)</f>
        <v>15</v>
      </c>
      <c r="T66" s="285">
        <f t="shared" ca="1" si="4"/>
        <v>0.21739130434782608</v>
      </c>
      <c r="U66" s="21">
        <f>VLOOKUP(B66,'[7]% Penetración Mdo JUN26'!$B$7:$K$59,3,0)-F66-I66-L66-O66-R66</f>
        <v>83</v>
      </c>
      <c r="V66" s="24">
        <f ca="1">SUMIF('UC BMW 2026'!$B$5:$B$77,'UC BMW 2026'!$B64,'UC BMW 2026'!$Q$5:$Q$72)</f>
        <v>16</v>
      </c>
      <c r="W66" s="285">
        <f t="shared" ca="1" si="5"/>
        <v>0.19277108433734941</v>
      </c>
      <c r="X66" s="21"/>
      <c r="Y66" s="24">
        <f ca="1">SUMIF('UC BMW 2026'!$B$5:$B$77,'UC BMW 2026'!$B64,'UC BMW 2026'!$S$5:$S$72)</f>
        <v>0</v>
      </c>
      <c r="Z66" s="282">
        <f t="shared" ca="1" si="76"/>
        <v>0</v>
      </c>
      <c r="AA66" s="21"/>
      <c r="AB66" s="24">
        <f ca="1">SUMIF('UC BMW 2026'!$B$5:$B$77,'UC BMW 2026'!$B64,'UC BMW 2026'!$U$5:$U$72)</f>
        <v>0</v>
      </c>
      <c r="AC66" s="282">
        <f t="shared" ca="1" si="77"/>
        <v>0</v>
      </c>
      <c r="AD66" s="21"/>
      <c r="AE66" s="24">
        <f ca="1">SUMIF('UC BMW 2026'!$B$5:$B$77,'UC BMW 2026'!$B64,'UC BMW 2026'!$W$5:$W$72)</f>
        <v>0</v>
      </c>
      <c r="AF66" s="282">
        <f t="shared" ca="1" si="78"/>
        <v>0</v>
      </c>
      <c r="AG66" s="21"/>
      <c r="AH66" s="24">
        <f ca="1">SUMIF('UC BMW 2026'!$B$5:$B$77,'UC BMW 2026'!$B64,'UC BMW 2026'!$Y$5:$Y$72)</f>
        <v>0</v>
      </c>
      <c r="AI66" s="282">
        <f t="shared" ca="1" si="79"/>
        <v>0</v>
      </c>
      <c r="AJ66" s="21"/>
      <c r="AK66" s="24">
        <f ca="1">SUMIF('UC BMW 2026'!$B$5:$B$77,'UC BMW 2026'!$B64,'UC BMW 2026'!$AA$5:$AA$72)</f>
        <v>0</v>
      </c>
      <c r="AL66" s="282">
        <f t="shared" ca="1" si="80"/>
        <v>0</v>
      </c>
      <c r="AM66" s="21"/>
      <c r="AN66" s="24">
        <f ca="1">SUMIF('UC BMW 2026'!$B$5:$B$77,'UC BMW 2026'!$B64,'UC BMW 2026'!$AC$5:$AC$72)</f>
        <v>0</v>
      </c>
      <c r="AO66" s="282">
        <f t="shared" ca="1" si="81"/>
        <v>0</v>
      </c>
      <c r="AP66" s="21">
        <f t="shared" si="57"/>
        <v>396</v>
      </c>
      <c r="AQ66" s="22">
        <f t="shared" ca="1" si="57"/>
        <v>103</v>
      </c>
      <c r="AR66" s="129">
        <f t="shared" ca="1" si="16"/>
        <v>0.26010101010101011</v>
      </c>
      <c r="AS66" s="21">
        <f t="shared" si="58"/>
        <v>396</v>
      </c>
      <c r="AT66" s="22">
        <f t="shared" ca="1" si="58"/>
        <v>103</v>
      </c>
      <c r="AU66" s="129">
        <f t="shared" ca="1" si="17"/>
        <v>0.26010101010101011</v>
      </c>
      <c r="AV66" s="25"/>
      <c r="AW66" s="27"/>
      <c r="AX66" s="287"/>
      <c r="AY66" s="291"/>
      <c r="AZ66" s="287"/>
      <c r="BA66" s="27"/>
      <c r="BB66" s="129"/>
      <c r="BC66" s="21">
        <f t="shared" si="59"/>
        <v>396</v>
      </c>
      <c r="BD66" s="22">
        <f t="shared" ca="1" si="59"/>
        <v>103</v>
      </c>
      <c r="BE66" s="130">
        <f t="shared" ca="1" si="18"/>
        <v>0.26010101010101011</v>
      </c>
      <c r="BF66" s="34">
        <f t="shared" si="82"/>
        <v>0</v>
      </c>
      <c r="BG66" s="22">
        <f t="shared" ca="1" si="82"/>
        <v>0</v>
      </c>
      <c r="BH66" s="130">
        <f t="shared" ca="1" si="19"/>
        <v>0</v>
      </c>
      <c r="BJ66" s="2"/>
      <c r="BK66" s="2"/>
      <c r="BL66" s="2"/>
      <c r="BM66" s="2"/>
      <c r="BN66" s="2"/>
      <c r="BO66" s="2"/>
      <c r="BP66" s="2"/>
      <c r="BQ66" s="2"/>
      <c r="BR66" s="2"/>
    </row>
    <row r="67" spans="1:70" s="4" customFormat="1" ht="15" customHeight="1" thickBot="1" x14ac:dyDescent="0.35">
      <c r="A67" s="4">
        <f>_xlfn.XLOOKUP(B67,'WHOLESALE BMW 2026'!$B$7:$B$67,'WHOLESALE BMW 2026'!$A$7:$A$67)</f>
        <v>10</v>
      </c>
      <c r="B67" s="8">
        <v>100881</v>
      </c>
      <c r="C67" s="369" t="s">
        <v>163</v>
      </c>
      <c r="D67" s="125"/>
      <c r="E67" s="309" t="s">
        <v>164</v>
      </c>
      <c r="F67" s="21">
        <v>63</v>
      </c>
      <c r="G67" s="24">
        <f ca="1">SUMIF('UC BMW 2026'!$B$5:$B$77,'UC BMW 2026'!B65,'UC BMW 2026'!$G$5:$G$72)</f>
        <v>17</v>
      </c>
      <c r="H67" s="286">
        <f t="shared" ca="1" si="0"/>
        <v>0.26984126984126983</v>
      </c>
      <c r="I67" s="21">
        <v>75</v>
      </c>
      <c r="J67" s="24">
        <f ca="1">SUMIF('UC BMW 2026'!$B$5:$B$77,'UC BMW 2026'!$B65,'UC BMW 2026'!$I$5:$I$72)</f>
        <v>19</v>
      </c>
      <c r="K67" s="286">
        <f t="shared" ca="1" si="1"/>
        <v>0.25333333333333335</v>
      </c>
      <c r="L67" s="21">
        <f>VLOOKUP(B67,'[4]% Penetración Mdo MAR26'!$B$7:$D$59,3,0)-F67-I67</f>
        <v>100</v>
      </c>
      <c r="M67" s="24">
        <f ca="1">SUMIF('UC BMW 2026'!$B$5:$B$77,'UC BMW 2026'!$B65,'UC BMW 2026'!$K$5:$K$72)</f>
        <v>32</v>
      </c>
      <c r="N67" s="286">
        <f t="shared" ca="1" si="2"/>
        <v>0.32</v>
      </c>
      <c r="O67" s="21">
        <f>VLOOKUP(B67,'[5]% Penetración Mdo ABR26'!$B$7:$D$59,3,0)-F67-I67-L67</f>
        <v>120</v>
      </c>
      <c r="P67" s="24">
        <f ca="1">SUMIF('UC BMW 2026'!$B$5:$B$77,'UC BMW 2026'!$B65,'UC BMW 2026'!$M$5:$M$72)</f>
        <v>37</v>
      </c>
      <c r="Q67" s="286">
        <f t="shared" ca="1" si="3"/>
        <v>0.30833333333333335</v>
      </c>
      <c r="R67" s="21">
        <f>VLOOKUP(B67,'[6]% Penetración Mdo MAY26'!$B$7:$G$65,3,0)-F67-I67-L67-O67</f>
        <v>74</v>
      </c>
      <c r="S67" s="24">
        <f ca="1">SUMIF('UC BMW 2026'!$B$5:$B$77,'UC BMW 2026'!$B65,'UC BMW 2026'!$O$5:$O$72)</f>
        <v>28</v>
      </c>
      <c r="T67" s="286">
        <f t="shared" ca="1" si="4"/>
        <v>0.3783783783783784</v>
      </c>
      <c r="U67" s="21">
        <f>VLOOKUP(B67,'[7]% Penetración Mdo JUN26'!$B$7:$K$59,3,0)-F67-I67-L67-O67-R67</f>
        <v>122</v>
      </c>
      <c r="V67" s="24">
        <f ca="1">SUMIF('UC BMW 2026'!$B$5:$B$77,'UC BMW 2026'!$B65,'UC BMW 2026'!$Q$5:$Q$72)</f>
        <v>35</v>
      </c>
      <c r="W67" s="286">
        <f t="shared" ca="1" si="5"/>
        <v>0.28688524590163933</v>
      </c>
      <c r="X67" s="21"/>
      <c r="Y67" s="24">
        <f ca="1">SUMIF('UC BMW 2026'!$B$5:$B$77,'UC BMW 2026'!$B65,'UC BMW 2026'!$S$5:$S$72)</f>
        <v>0</v>
      </c>
      <c r="Z67" s="282">
        <f t="shared" ca="1" si="76"/>
        <v>0</v>
      </c>
      <c r="AA67" s="21"/>
      <c r="AB67" s="24">
        <f ca="1">SUMIF('UC BMW 2026'!$B$5:$B$77,'UC BMW 2026'!$B65,'UC BMW 2026'!$U$5:$U$72)</f>
        <v>0</v>
      </c>
      <c r="AC67" s="282">
        <f t="shared" ca="1" si="77"/>
        <v>0</v>
      </c>
      <c r="AD67" s="21"/>
      <c r="AE67" s="24">
        <f ca="1">SUMIF('UC BMW 2026'!$B$5:$B$77,'UC BMW 2026'!$B65,'UC BMW 2026'!$W$5:$W$72)</f>
        <v>0</v>
      </c>
      <c r="AF67" s="282">
        <f t="shared" ca="1" si="78"/>
        <v>0</v>
      </c>
      <c r="AG67" s="21"/>
      <c r="AH67" s="24">
        <f ca="1">SUMIF('UC BMW 2026'!$B$5:$B$77,'UC BMW 2026'!$B65,'UC BMW 2026'!$Y$5:$Y$72)</f>
        <v>0</v>
      </c>
      <c r="AI67" s="282">
        <f t="shared" ca="1" si="79"/>
        <v>0</v>
      </c>
      <c r="AJ67" s="21"/>
      <c r="AK67" s="24">
        <f ca="1">SUMIF('UC BMW 2026'!$B$5:$B$77,'UC BMW 2026'!$B65,'UC BMW 2026'!$AA$5:$AA$72)</f>
        <v>0</v>
      </c>
      <c r="AL67" s="282">
        <f t="shared" ca="1" si="80"/>
        <v>0</v>
      </c>
      <c r="AM67" s="21"/>
      <c r="AN67" s="24">
        <f ca="1">SUMIF('UC BMW 2026'!$B$5:$B$77,'UC BMW 2026'!$B65,'UC BMW 2026'!$AC$5:$AC$72)</f>
        <v>0</v>
      </c>
      <c r="AO67" s="282">
        <f t="shared" ca="1" si="81"/>
        <v>0</v>
      </c>
      <c r="AP67" s="21">
        <f t="shared" si="57"/>
        <v>554</v>
      </c>
      <c r="AQ67" s="279">
        <f t="shared" ca="1" si="57"/>
        <v>168</v>
      </c>
      <c r="AR67" s="129">
        <f t="shared" ca="1" si="16"/>
        <v>0.30324909747292417</v>
      </c>
      <c r="AS67" s="21">
        <f t="shared" si="58"/>
        <v>554</v>
      </c>
      <c r="AT67" s="279">
        <f t="shared" ca="1" si="58"/>
        <v>168</v>
      </c>
      <c r="AU67" s="129">
        <f t="shared" ca="1" si="17"/>
        <v>0.30324909747292417</v>
      </c>
      <c r="AV67" s="25"/>
      <c r="AW67" s="27"/>
      <c r="AX67" s="283"/>
      <c r="AY67" s="292"/>
      <c r="AZ67" s="283"/>
      <c r="BA67" s="27"/>
      <c r="BB67" s="129"/>
      <c r="BC67" s="21">
        <f t="shared" si="59"/>
        <v>554</v>
      </c>
      <c r="BD67" s="279">
        <f t="shared" ca="1" si="59"/>
        <v>168</v>
      </c>
      <c r="BE67" s="130">
        <f t="shared" ca="1" si="18"/>
        <v>0.30324909747292417</v>
      </c>
      <c r="BF67" s="34">
        <f t="shared" si="82"/>
        <v>0</v>
      </c>
      <c r="BG67" s="279">
        <f t="shared" ca="1" si="82"/>
        <v>0</v>
      </c>
      <c r="BH67" s="130">
        <f t="shared" ca="1" si="19"/>
        <v>0</v>
      </c>
      <c r="BJ67" s="2"/>
      <c r="BK67" s="2"/>
      <c r="BL67" s="2"/>
      <c r="BM67" s="2"/>
      <c r="BN67" s="2"/>
      <c r="BO67" s="2"/>
      <c r="BP67" s="2"/>
      <c r="BQ67" s="2"/>
      <c r="BR67" s="2"/>
    </row>
    <row r="68" spans="1:70" s="4" customFormat="1" ht="15" customHeight="1" thickBot="1" x14ac:dyDescent="0.3">
      <c r="B68" s="7" t="s">
        <v>272</v>
      </c>
      <c r="C68" s="28"/>
      <c r="D68" s="125"/>
      <c r="E68" s="7"/>
      <c r="F68" s="277">
        <f>SUM(F62:F67)</f>
        <v>376</v>
      </c>
      <c r="G68" s="410">
        <f ca="1">SUM(G62:G67)</f>
        <v>107</v>
      </c>
      <c r="H68" s="132">
        <f ca="1">IFERROR(G68/F68,0)</f>
        <v>0.28457446808510639</v>
      </c>
      <c r="I68" s="277">
        <f>SUM(I62:I67)</f>
        <v>479</v>
      </c>
      <c r="J68" s="410">
        <f ca="1">SUM(J62:J67)</f>
        <v>129</v>
      </c>
      <c r="K68" s="132">
        <f ca="1">IFERROR(J68/I68,0)</f>
        <v>0.26931106471816285</v>
      </c>
      <c r="L68" s="277">
        <f>SUM(L62:L67)</f>
        <v>436</v>
      </c>
      <c r="M68" s="410">
        <f ca="1">SUM(M62:M67)</f>
        <v>142</v>
      </c>
      <c r="N68" s="132">
        <f ca="1">IFERROR(M68/L68,0)</f>
        <v>0.3256880733944954</v>
      </c>
      <c r="O68" s="277">
        <f>SUM(O62:O67)</f>
        <v>437</v>
      </c>
      <c r="P68" s="410">
        <f ca="1">SUM(P62:P67)</f>
        <v>134</v>
      </c>
      <c r="Q68" s="132">
        <f ca="1">IFERROR(P68/O68,0)</f>
        <v>0.30663615560640733</v>
      </c>
      <c r="R68" s="277">
        <f>SUM(R62:R67)</f>
        <v>466</v>
      </c>
      <c r="S68" s="410">
        <f ca="1">SUM(S62:S67)</f>
        <v>106</v>
      </c>
      <c r="T68" s="132">
        <f ca="1">IFERROR(S68/R68,0)</f>
        <v>0.22746781115879827</v>
      </c>
      <c r="U68" s="277">
        <f>SUM(U62:U67)</f>
        <v>482</v>
      </c>
      <c r="V68" s="410">
        <f ca="1">SUM(V62:V67)</f>
        <v>118</v>
      </c>
      <c r="W68" s="132">
        <f ca="1">IFERROR(V68/U68,0)</f>
        <v>0.24481327800829875</v>
      </c>
      <c r="X68" s="277">
        <f>SUM(X62:X67)</f>
        <v>0</v>
      </c>
      <c r="Y68" s="410">
        <f ca="1">SUM(Y62:Y67)</f>
        <v>0</v>
      </c>
      <c r="Z68" s="132">
        <f ca="1">IFERROR(Y68/X68,0)</f>
        <v>0</v>
      </c>
      <c r="AA68" s="277">
        <f>SUM(AA62:AA67)</f>
        <v>0</v>
      </c>
      <c r="AB68" s="410">
        <f ca="1">SUM(AB62:AB67)</f>
        <v>0</v>
      </c>
      <c r="AC68" s="132">
        <f ca="1">IFERROR(AB68/AA68,0)</f>
        <v>0</v>
      </c>
      <c r="AD68" s="277">
        <f>SUM(AD62:AD67)</f>
        <v>0</v>
      </c>
      <c r="AE68" s="410">
        <f ca="1">SUM(AE62:AE67)</f>
        <v>0</v>
      </c>
      <c r="AF68" s="132">
        <f ca="1">IFERROR(AE68/AD68,0)</f>
        <v>0</v>
      </c>
      <c r="AG68" s="277">
        <f>SUM(AG62:AG67)</f>
        <v>0</v>
      </c>
      <c r="AH68" s="410">
        <f ca="1">SUM(AH62:AH67)</f>
        <v>0</v>
      </c>
      <c r="AI68" s="132">
        <f ca="1">IFERROR(AH68/AG68,0)</f>
        <v>0</v>
      </c>
      <c r="AJ68" s="277">
        <f>SUM(AJ62:AJ67)</f>
        <v>0</v>
      </c>
      <c r="AK68" s="410">
        <f ca="1">SUM(AK62:AK67)</f>
        <v>0</v>
      </c>
      <c r="AL68" s="132">
        <f ca="1">IFERROR(AK68/AJ68,0)</f>
        <v>0</v>
      </c>
      <c r="AM68" s="277">
        <f>SUM(AM62:AM67)</f>
        <v>0</v>
      </c>
      <c r="AN68" s="410">
        <f ca="1">SUM(AN62:AN67)</f>
        <v>0</v>
      </c>
      <c r="AO68" s="132">
        <f ca="1">IFERROR(AN68/AM68,0)</f>
        <v>0</v>
      </c>
      <c r="AP68" s="277">
        <f t="shared" si="57"/>
        <v>2676</v>
      </c>
      <c r="AQ68" s="410">
        <f t="shared" ca="1" si="57"/>
        <v>736</v>
      </c>
      <c r="AR68" s="131">
        <f ca="1">IFERROR(AQ68/AP68,0)</f>
        <v>0.27503736920777277</v>
      </c>
      <c r="AS68" s="277">
        <f t="shared" si="58"/>
        <v>2676</v>
      </c>
      <c r="AT68" s="410">
        <f t="shared" ca="1" si="58"/>
        <v>736</v>
      </c>
      <c r="AU68" s="131">
        <f ca="1">IFERROR(AT68/AS68,0)</f>
        <v>0.27503736920777277</v>
      </c>
      <c r="AV68" s="200"/>
      <c r="AW68" s="258"/>
      <c r="AX68" s="132"/>
      <c r="AY68" s="278"/>
      <c r="AZ68" s="132"/>
      <c r="BA68" s="258"/>
      <c r="BB68" s="131"/>
      <c r="BC68" s="277">
        <f>IFERROR(IF($BC$5="S 1",F68+I68+L68+O68+R68+U68,
IF($BC$5="S 2",X68+AA68+AD68+AG68+AJ68+AM68,0)),0)</f>
        <v>2676</v>
      </c>
      <c r="BD68" s="410">
        <f ca="1">IFERROR(IF($BC$5="S 1",G68+J68+M68+P68+S68+V68,
IF($BC$5="S 2",Y68+AB68+AE68+AH68+AK68+AN68,0)),0)</f>
        <v>736</v>
      </c>
      <c r="BE68" s="275">
        <f ca="1">IFERROR(BD68/BC68,0)</f>
        <v>0.27503736920777277</v>
      </c>
      <c r="BF68" s="277">
        <f>IFERROR(SUM(BF62:BF67),0)</f>
        <v>0</v>
      </c>
      <c r="BG68" s="277">
        <f ca="1">IFERROR(SUM(BG62:BG67),0)</f>
        <v>0</v>
      </c>
      <c r="BH68" s="275">
        <f ca="1">IFERROR(BG68/BF68,0)</f>
        <v>0</v>
      </c>
      <c r="BJ68" s="2"/>
      <c r="BK68" s="2"/>
      <c r="BL68" s="2"/>
      <c r="BM68" s="2"/>
      <c r="BN68" s="2"/>
      <c r="BO68" s="2"/>
      <c r="BP68" s="2"/>
      <c r="BQ68" s="2"/>
      <c r="BR68" s="2"/>
    </row>
    <row r="69" spans="1:70" s="4" customFormat="1" ht="15" customHeight="1" thickBot="1" x14ac:dyDescent="0.35">
      <c r="B69" s="8">
        <v>12345</v>
      </c>
      <c r="C69" s="369" t="s">
        <v>278</v>
      </c>
      <c r="D69" s="125"/>
      <c r="E69" s="309"/>
      <c r="F69" s="21">
        <f ca="1">SUMIF('UC BMW 2026'!$B$5:$B$81,B69,'UC BMW 2026'!$F$5:$F$72)</f>
        <v>0</v>
      </c>
      <c r="G69" s="22">
        <v>11</v>
      </c>
      <c r="H69" s="286">
        <f t="shared" ca="1" si="0"/>
        <v>0</v>
      </c>
      <c r="I69" s="21">
        <f ca="1">SUMIF('UC BMW 2026'!$B$5:$B$81,B69,'UC BMW 2026'!$H$5:$H$72)</f>
        <v>0</v>
      </c>
      <c r="J69" s="24">
        <v>24</v>
      </c>
      <c r="K69" s="286">
        <f t="shared" ca="1" si="1"/>
        <v>0</v>
      </c>
      <c r="L69" s="21">
        <f ca="1">SUMIF('UC BMW 2026'!$B$5:$B$81,B69,'UC BMW 2026'!$J$5:$J$72)</f>
        <v>0</v>
      </c>
      <c r="M69" s="22">
        <v>27</v>
      </c>
      <c r="N69" s="286">
        <f t="shared" ca="1" si="2"/>
        <v>0</v>
      </c>
      <c r="O69" s="21">
        <f ca="1">SUMIF('UC BMW 2026'!$B$5:$B$81,B69,'UC BMW 2026'!$L$5:$L$72)</f>
        <v>0</v>
      </c>
      <c r="P69" s="22">
        <v>26</v>
      </c>
      <c r="Q69" s="285">
        <f t="shared" ca="1" si="3"/>
        <v>0</v>
      </c>
      <c r="R69" s="21">
        <f ca="1">SUMIF('UC BMW 2026'!$B$5:$B$81,B69,'UC BMW 2026'!$N$5:$N$72)</f>
        <v>0</v>
      </c>
      <c r="S69" s="24">
        <f ca="1">SUMIF('UC BMW 2026'!$B$5:$B$77,'UC BMW 2026'!$B67,'UC BMW 2026'!$O$5:$O$72)</f>
        <v>21</v>
      </c>
      <c r="T69" s="285">
        <f t="shared" ca="1" si="4"/>
        <v>0</v>
      </c>
      <c r="U69" s="21">
        <f ca="1">SUMIF('UC BMW 2026'!$B$5:$B$81,B69,'UC BMW 2026'!$P$5:$P$72)</f>
        <v>0</v>
      </c>
      <c r="V69" s="24">
        <f ca="1">SUMIF('UC BMW 2026'!$B$5:$B$77,'UC BMW 2026'!$B67,'UC BMW 2026'!$Q$5:$Q$72)</f>
        <v>19</v>
      </c>
      <c r="W69" s="285">
        <f t="shared" ca="1" si="5"/>
        <v>0</v>
      </c>
      <c r="X69" s="21">
        <f ca="1">SUMIF('UC BMW 2026'!$B$5:$B$81,B69,'UC BMW 2026'!$R$5:$R$72)</f>
        <v>0</v>
      </c>
      <c r="Y69" s="24">
        <f ca="1">SUMIF('UC BMW 2026'!$B$5:$B$77,'UC BMW 2026'!$B67,'UC BMW 2026'!$S$5:$S$72)</f>
        <v>0</v>
      </c>
      <c r="Z69" s="282">
        <f ca="1">IFERROR(Y69/X69,0)</f>
        <v>0</v>
      </c>
      <c r="AA69" s="21">
        <f ca="1">SUMIF('UC BMW 2026'!$B$5:$B$81,B69,'UC BMW 2026'!$T$5:$T$72)</f>
        <v>0</v>
      </c>
      <c r="AB69" s="24">
        <f ca="1">SUMIF('UC BMW 2026'!$B$5:$B$77,'UC BMW 2026'!$B67,'UC BMW 2026'!$U$5:$U$72)</f>
        <v>0</v>
      </c>
      <c r="AC69" s="282">
        <f ca="1">IFERROR(AB69/AA69,0)</f>
        <v>0</v>
      </c>
      <c r="AD69" s="21">
        <f ca="1">SUMIF('UC BMW 2026'!$B$5:$B$81,B69,'UC BMW 2026'!$V$5:$V$72)</f>
        <v>0</v>
      </c>
      <c r="AE69" s="24">
        <f ca="1">SUMIF('UC BMW 2026'!$B$5:$B$77,'UC BMW 2026'!$B67,'UC BMW 2026'!$W$5:$W$72)</f>
        <v>0</v>
      </c>
      <c r="AF69" s="282">
        <f ca="1">IFERROR(AE69/AD69,0)</f>
        <v>0</v>
      </c>
      <c r="AG69" s="21">
        <f ca="1">SUMIF('UC BMW 2026'!$B$5:$B$81,B69,'UC BMW 2026'!$X$5:$X$72)</f>
        <v>0</v>
      </c>
      <c r="AH69" s="24">
        <f ca="1">SUMIF('UC BMW 2026'!$B$5:$B$77,'UC BMW 2026'!$B67,'UC BMW 2026'!$Y$5:$Y$72)</f>
        <v>0</v>
      </c>
      <c r="AI69" s="282">
        <f ca="1">IFERROR(AH69/AG69,0)</f>
        <v>0</v>
      </c>
      <c r="AJ69" s="21">
        <f ca="1">SUMIF('UC BMW 2026'!$B$5:$B$81,B69,'UC BMW 2026'!$Z$5:$Z$72)</f>
        <v>0</v>
      </c>
      <c r="AK69" s="24">
        <f ca="1">SUMIF('UC BMW 2026'!$B$5:$B$77,'UC BMW 2026'!$B67,'UC BMW 2026'!$AA$5:$AA$72)</f>
        <v>0</v>
      </c>
      <c r="AL69" s="282">
        <f ca="1">IFERROR(AK69/AJ69,0)</f>
        <v>0</v>
      </c>
      <c r="AM69" s="21">
        <f ca="1">SUMIF('UC BMW 2026'!$B$5:$B$81,B69,'UC BMW 2026'!$AB$5:$AB$72)</f>
        <v>0</v>
      </c>
      <c r="AN69" s="24">
        <f ca="1">SUMIF('UC BMW 2026'!$B$5:$B$77,'UC BMW 2026'!$B67,'UC BMW 2026'!$AC$5:$AC$72)</f>
        <v>0</v>
      </c>
      <c r="AO69" s="282">
        <f ca="1">IFERROR(AN69/AM69,0)</f>
        <v>0</v>
      </c>
      <c r="AP69" s="21">
        <f t="shared" ca="1" si="57"/>
        <v>0</v>
      </c>
      <c r="AQ69" s="22">
        <f ca="1">'UC BMW 2026 BPS'!CA69</f>
        <v>139</v>
      </c>
      <c r="AR69" s="129"/>
      <c r="AS69" s="21"/>
      <c r="AT69" s="22">
        <f ca="1">'UC BMW 2026 BPS'!CH69</f>
        <v>139</v>
      </c>
      <c r="AU69" s="129"/>
      <c r="AV69" s="25"/>
      <c r="AW69" s="27"/>
      <c r="AX69" s="287"/>
      <c r="AY69" s="291"/>
      <c r="AZ69" s="287"/>
      <c r="BA69" s="27"/>
      <c r="BB69" s="129"/>
      <c r="BC69" s="21"/>
      <c r="BD69" s="22"/>
      <c r="BE69" s="130"/>
      <c r="BF69" s="34"/>
      <c r="BG69" s="22"/>
      <c r="BH69" s="130"/>
      <c r="BJ69" s="2"/>
      <c r="BK69" s="2"/>
      <c r="BL69" s="2"/>
      <c r="BM69" s="2"/>
      <c r="BN69" s="2"/>
      <c r="BO69" s="2"/>
      <c r="BP69" s="2"/>
      <c r="BQ69" s="2"/>
      <c r="BR69" s="2"/>
    </row>
    <row r="70" spans="1:70" s="4" customFormat="1" ht="15" customHeight="1" thickBot="1" x14ac:dyDescent="0.3">
      <c r="B70" s="6" t="s">
        <v>27</v>
      </c>
      <c r="C70" s="37"/>
      <c r="D70" s="125"/>
      <c r="E70" s="38"/>
      <c r="F70" s="39">
        <f ca="1">F11+F17+F23+F31+F37+F44+F48+F55+F61+F68+F69</f>
        <v>2604</v>
      </c>
      <c r="G70" s="39">
        <f ca="1">G11+G17+G23+G31+G37+G44+G48+G55+G61+G68+G69</f>
        <v>906</v>
      </c>
      <c r="H70" s="135">
        <f ca="1">IFERROR(G70/F70,0)</f>
        <v>0.34792626728110598</v>
      </c>
      <c r="I70" s="39">
        <f ca="1">I11+I17+I23+I31+I37+I44+I48+I55+I61+I68+I69</f>
        <v>3376</v>
      </c>
      <c r="J70" s="39">
        <f ca="1">J11+J17+J23+J31+J37+J44+J48+J55+J61+J68+J69</f>
        <v>1123</v>
      </c>
      <c r="K70" s="135">
        <f ca="1">IFERROR(J70/I70,0)</f>
        <v>0.33264218009478674</v>
      </c>
      <c r="L70" s="39">
        <f ca="1">L11+L17+L23+L31+L37+L44+L48+L55+L61+L68+L69</f>
        <v>3440</v>
      </c>
      <c r="M70" s="39">
        <f ca="1">M11+M17+M23+M31+M37+M44+M48+M55+M61+M68+M69</f>
        <v>1254</v>
      </c>
      <c r="N70" s="135">
        <f ca="1">IFERROR(M70/L70,0)</f>
        <v>0.36453488372093024</v>
      </c>
      <c r="O70" s="39">
        <f ca="1">O11+O17+O23+O31+O37+O44+O48+O55+O61+O68+O69</f>
        <v>3110</v>
      </c>
      <c r="P70" s="39">
        <f ca="1">P11+P17+P23+P31+P37+P44+P48+P55+P61+P68+P69</f>
        <v>1103</v>
      </c>
      <c r="Q70" s="135">
        <f ca="1">IFERROR(P70/O70,0)</f>
        <v>0.35466237942122186</v>
      </c>
      <c r="R70" s="39">
        <f ca="1">R11+R17+R23+R31+R37+R44+R48+R55+R61+R68+R69</f>
        <v>3098</v>
      </c>
      <c r="S70" s="39">
        <f ca="1">S11+S17+S23+S31+S37+S44+S48+S55+S61+S68+S69</f>
        <v>1059</v>
      </c>
      <c r="T70" s="135">
        <f ca="1">IFERROR(S70/R70,0)</f>
        <v>0.34183344092963203</v>
      </c>
      <c r="U70" s="39">
        <f ca="1">U11+U17+U23+U31+U37+U44+U48+U55+U61+U68+U69</f>
        <v>3339</v>
      </c>
      <c r="V70" s="39">
        <f ca="1">V11+V17+V23+V31+V37+V44+V48+V55+V61+V68+V69</f>
        <v>1457</v>
      </c>
      <c r="W70" s="135">
        <f ca="1">IFERROR(V70/U70,0)</f>
        <v>0.43635819107517221</v>
      </c>
      <c r="X70" s="39">
        <f ca="1">X11+X17+X23+X31+X37+X44+X48+X55+X61+X68+X69</f>
        <v>0</v>
      </c>
      <c r="Y70" s="39">
        <f ca="1">Y11+Y17+Y23+Y31+Y37+Y44+Y48+Y55+Y61+Y68+Y69</f>
        <v>0</v>
      </c>
      <c r="Z70" s="135">
        <f ca="1">IFERROR(Y70/X70,0)</f>
        <v>0</v>
      </c>
      <c r="AA70" s="39">
        <f ca="1">AA11+AA17+AA23+AA31+AA37+AA44+AA48+AA55+AA61+AA68+AA69</f>
        <v>0</v>
      </c>
      <c r="AB70" s="39">
        <f ca="1">AB11+AB17+AB23+AB31+AB37+AB44+AB48+AB55+AB61+AB68+AB69</f>
        <v>0</v>
      </c>
      <c r="AC70" s="135">
        <f ca="1">IFERROR(AB70/AA70,0)</f>
        <v>0</v>
      </c>
      <c r="AD70" s="39">
        <f ca="1">AD11+AD17+AD23+AD31+AD37+AD44+AD48+AD55+AD61+AD68+AD69</f>
        <v>0</v>
      </c>
      <c r="AE70" s="39">
        <f ca="1">AE11+AE17+AE23+AE31+AE37+AE44+AE48+AE55+AE61+AE68+AE69</f>
        <v>0</v>
      </c>
      <c r="AF70" s="135">
        <f ca="1">IFERROR(AE70/AD70,0)</f>
        <v>0</v>
      </c>
      <c r="AG70" s="39">
        <f ca="1">AG11+AG17+AG23+AG31+AG37+AG44+AG48+AG55+AG61+AG68+AG69</f>
        <v>0</v>
      </c>
      <c r="AH70" s="39">
        <f ca="1">AH11+AH17+AH23+AH31+AH37+AH44+AH48+AH55+AH61+AH68+AH69</f>
        <v>0</v>
      </c>
      <c r="AI70" s="135">
        <f ca="1">IFERROR(AH70/AG70,0)</f>
        <v>0</v>
      </c>
      <c r="AJ70" s="39">
        <f ca="1">AJ11+AJ17+AJ23+AJ31+AJ37+AJ44+AJ48+AJ55+AJ61+AJ68+AJ69</f>
        <v>0</v>
      </c>
      <c r="AK70" s="39">
        <f ca="1">AK11+AK17+AK23+AK31+AK37+AK44+AK48+AK55+AK61+AK68+AK69</f>
        <v>0</v>
      </c>
      <c r="AL70" s="135">
        <f ca="1">IFERROR(AK70/AJ70,0)</f>
        <v>0</v>
      </c>
      <c r="AM70" s="39">
        <f ca="1">AM11+AM17+AM23+AM31+AM37+AM44+AM48+AM55+AM61+AM68+AM69</f>
        <v>0</v>
      </c>
      <c r="AN70" s="39">
        <f ca="1">AN11+AN17+AN23+AN31+AN37+AN44+AN48+AN55+AN61+AN68+AN69</f>
        <v>0</v>
      </c>
      <c r="AO70" s="135">
        <f ca="1">IFERROR(AN70/AM70,0)</f>
        <v>0</v>
      </c>
      <c r="AP70" s="39">
        <f ca="1">AP11+AP17+AP23+AP31+AP37+AP44+AP48+AP55+AP61+AP68+AP69</f>
        <v>18967</v>
      </c>
      <c r="AQ70" s="39">
        <f ca="1">AQ11+AQ17+AQ23+AQ31+AQ37+AQ44+AQ48+AQ55+AQ61+AQ68+AQ69</f>
        <v>6913</v>
      </c>
      <c r="AR70" s="135">
        <f ca="1">IFERROR(AQ70/AP70,0)</f>
        <v>0.36447514103442824</v>
      </c>
      <c r="AS70" s="39">
        <f>AS11+AS17+AS23+AS31+AS37+AS44+AS48+AS55+AS61+AS68+AS69</f>
        <v>18967</v>
      </c>
      <c r="AT70" s="39">
        <f ca="1">AT11+AT17+AT23+AT31+AT37+AT44+AT48+AT55+AT61+AT68+AT69</f>
        <v>6913</v>
      </c>
      <c r="AU70" s="135">
        <f ca="1">IFERROR(AT70/AS70,0)</f>
        <v>0.36447514103442824</v>
      </c>
      <c r="AV70" s="39">
        <f ca="1">IF($AV$5="Q1",F70+I70+L70,IF($AV$5="Q2",O70+R70++U70,IF($AV$5="Q3",X70+AA70+AD70,IF($AV$5="Q4",AG70+AJ70+AM70,0))))</f>
        <v>9420</v>
      </c>
      <c r="AW70" s="40">
        <f ca="1">IF($AV$5="Q1",G70+J70+M70,IF($AV$5="Q2",P70+S70++V70,IF($AV$5="Q3",Y70+AB70+AE70,IF($AV$5="Q4",AH70+AK70+AN70,0))))</f>
        <v>3283</v>
      </c>
      <c r="AX70" s="137">
        <f ca="1">IFERROR((AW70/AV70),0)</f>
        <v>0.34851380042462843</v>
      </c>
      <c r="AY70" s="138" t="e">
        <f>SUM(AY68,AY61,AY55,#REF!,AY37,AY17)</f>
        <v>#REF!</v>
      </c>
      <c r="AZ70" s="353" t="e">
        <f ca="1">IF(AW70=0,"N.D.",AY70/AW70)</f>
        <v>#REF!</v>
      </c>
      <c r="BA70" s="138">
        <f>SUM(BA68+BA61+BA55+BA37+BA17)</f>
        <v>0</v>
      </c>
      <c r="BB70" s="344">
        <f ca="1">IFERROR(BA70/AV70,0)</f>
        <v>0</v>
      </c>
      <c r="BC70" s="39">
        <f>BC11+BC17+BC23+BC31+BC37+BC44+BC48+BC55+BC61+BC68+BC69</f>
        <v>18967</v>
      </c>
      <c r="BD70" s="39">
        <f ca="1">BD11+BD17+BD23+BD31+BD37+BD44+BD48+BD55+BD61+BD68+BD69</f>
        <v>6774</v>
      </c>
      <c r="BE70" s="135">
        <f ca="1">IFERROR(BD70/BC70,0)</f>
        <v>0.35714662308219541</v>
      </c>
      <c r="BF70" s="39">
        <f>BF11+BF17+BF23+BF31+BF37+BF44+BF48+BF55+BF61+BF68+BF69</f>
        <v>0</v>
      </c>
      <c r="BG70" s="39">
        <f ca="1">BG11+BG17+BG23+BG31+BG37+BG44+BG48+BG55+BG61+BG68+BG69</f>
        <v>0</v>
      </c>
      <c r="BH70" s="135">
        <f ca="1">IFERROR(BG70/BF70,0)</f>
        <v>0</v>
      </c>
      <c r="BJ70" s="2"/>
      <c r="BK70" s="2"/>
      <c r="BL70" s="2"/>
      <c r="BM70" s="2"/>
      <c r="BN70" s="2"/>
      <c r="BO70" s="2"/>
      <c r="BP70" s="2"/>
      <c r="BQ70" s="2"/>
      <c r="BR70" s="2"/>
    </row>
    <row r="71" spans="1:70" s="4" customFormat="1" x14ac:dyDescent="0.25">
      <c r="B71" s="5"/>
      <c r="D71" s="139"/>
      <c r="H71" s="15"/>
      <c r="K71" s="15"/>
      <c r="N71" s="15"/>
      <c r="Q71" s="15"/>
      <c r="T71" s="15"/>
      <c r="W71" s="15"/>
      <c r="Z71" s="15"/>
      <c r="AC71" s="15"/>
      <c r="AF71" s="15"/>
      <c r="AI71" s="15"/>
      <c r="AL71" s="15"/>
      <c r="AO71" s="15"/>
      <c r="BJ71" s="2"/>
      <c r="BK71" s="2"/>
      <c r="BL71" s="2"/>
      <c r="BM71" s="2"/>
      <c r="BN71" s="2"/>
      <c r="BO71" s="2"/>
      <c r="BP71" s="2"/>
      <c r="BQ71" s="2"/>
      <c r="BR71" s="2"/>
    </row>
    <row r="77" spans="1:70" ht="15" thickBot="1" x14ac:dyDescent="0.4">
      <c r="T77"/>
      <c r="U77"/>
      <c r="V77"/>
    </row>
    <row r="78" spans="1:70" ht="14.5" x14ac:dyDescent="0.35">
      <c r="T78"/>
      <c r="U78" s="618" t="s">
        <v>211</v>
      </c>
      <c r="V78" s="620"/>
      <c r="W78" s="174"/>
      <c r="X78" s="174"/>
      <c r="Y78" s="174"/>
      <c r="Z78" s="356"/>
      <c r="AA78" s="356"/>
      <c r="AB78" s="357"/>
    </row>
    <row r="79" spans="1:70" ht="15" thickBot="1" x14ac:dyDescent="0.4">
      <c r="T79"/>
      <c r="U79" s="621"/>
      <c r="V79" s="623"/>
      <c r="W79"/>
      <c r="X79"/>
      <c r="Y79"/>
      <c r="AB79" s="358"/>
    </row>
    <row r="80" spans="1:70" ht="14.5" x14ac:dyDescent="0.35">
      <c r="F80"/>
      <c r="G80"/>
      <c r="H80"/>
      <c r="T80"/>
      <c r="U80" s="359"/>
      <c r="V80"/>
      <c r="W80"/>
      <c r="X80"/>
      <c r="Y80" t="str">
        <f>CONCATENATE("2 - Cierre ventas YTD_",
CHOOSE(MATCH(AP4,{"Enero";"Febrero";"Marzo";"Abril";"Mayo";"Junio";"Julio";"Agosto";"Septiembre";"Octubre";"Noviembre";"Diciembre"},0),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AB80" s="358"/>
    </row>
    <row r="81" spans="20:28" ht="14.5" x14ac:dyDescent="0.35">
      <c r="T81" s="354"/>
      <c r="U81" s="359" t="s">
        <v>175</v>
      </c>
      <c r="V81" t="str">
        <f>Y80</f>
        <v>2 - Cierre ventas YTD_JUN_2026.xlsx</v>
      </c>
      <c r="W81"/>
      <c r="X81">
        <v>2025</v>
      </c>
      <c r="Y81" s="360" t="str">
        <f>HYPERLINK(
    "O:\USED CAR &amp; REMARKETING\03-VO\2025\Informe Seguimiento Concesionarios 2025\ESPANHA\"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&amp;V81,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AB81" s="358"/>
    </row>
    <row r="82" spans="20:28" ht="14.5" customHeight="1" x14ac:dyDescent="0.35">
      <c r="T82" s="354"/>
      <c r="U82" s="359" t="s">
        <v>176</v>
      </c>
      <c r="V82" t="s">
        <v>205</v>
      </c>
      <c r="W82"/>
      <c r="X82">
        <v>2026</v>
      </c>
      <c r="Y82" s="360" t="str">
        <f>HYPERLINK(
    "O:\USED CAR &amp; REMARKETING\03-VO\2026\Informe Seguimiento Concesionarios 2026\ESPAÑA\"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&amp;V81,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AB82" s="358"/>
    </row>
    <row r="83" spans="20:28" ht="14.5" x14ac:dyDescent="0.35">
      <c r="T83"/>
      <c r="U83" s="361" t="s">
        <v>177</v>
      </c>
      <c r="V83" t="s">
        <v>213</v>
      </c>
      <c r="W83"/>
      <c r="X83"/>
      <c r="Y83"/>
      <c r="AB83" s="358"/>
    </row>
    <row r="84" spans="20:28" ht="14.5" x14ac:dyDescent="0.35">
      <c r="U84" s="361"/>
      <c r="V84"/>
      <c r="W84"/>
      <c r="X84" s="376"/>
      <c r="Y84"/>
      <c r="AB84" s="358"/>
    </row>
    <row r="85" spans="20:28" ht="14.5" x14ac:dyDescent="0.35">
      <c r="U85" s="359"/>
      <c r="V85" s="2" t="str">
        <f>CONCATENATE("'[", V81, "]", V82, "'",V83)</f>
        <v>'[2 - Cierre ventas YTD_JUN_2026.xlsx]BEV'!$C$9:$H$65</v>
      </c>
      <c r="W85"/>
      <c r="X85"/>
      <c r="Y85"/>
      <c r="AB85" s="358"/>
    </row>
    <row r="86" spans="20:28" ht="13" thickBot="1" x14ac:dyDescent="0.3">
      <c r="U86" s="362"/>
      <c r="V86" s="363"/>
      <c r="W86" s="363"/>
      <c r="X86" s="363"/>
      <c r="Y86" s="363"/>
      <c r="Z86" s="363"/>
      <c r="AA86" s="363"/>
      <c r="AB86" s="364"/>
    </row>
    <row r="88" spans="20:28" x14ac:dyDescent="0.25">
      <c r="T88" s="2" t="s">
        <v>205</v>
      </c>
      <c r="V88" s="2" t="s">
        <v>210</v>
      </c>
    </row>
    <row r="90" spans="20:28" x14ac:dyDescent="0.25">
      <c r="T90" s="2" t="s">
        <v>214</v>
      </c>
      <c r="V90" s="2" t="s">
        <v>215</v>
      </c>
    </row>
  </sheetData>
  <mergeCells count="24">
    <mergeCell ref="A3:AW3"/>
    <mergeCell ref="B5:B6"/>
    <mergeCell ref="C5:C6"/>
    <mergeCell ref="E5:E6"/>
    <mergeCell ref="F5:H5"/>
    <mergeCell ref="I5:K5"/>
    <mergeCell ref="L5:N5"/>
    <mergeCell ref="O5:Q5"/>
    <mergeCell ref="R5:T5"/>
    <mergeCell ref="U5:W5"/>
    <mergeCell ref="BK31:BO31"/>
    <mergeCell ref="U78:V79"/>
    <mergeCell ref="BK8:BO9"/>
    <mergeCell ref="AP5:AR5"/>
    <mergeCell ref="AS5:AU5"/>
    <mergeCell ref="AV5:BB5"/>
    <mergeCell ref="BC5:BE5"/>
    <mergeCell ref="BF5:BH5"/>
    <mergeCell ref="X5:Z5"/>
    <mergeCell ref="AA5:AC5"/>
    <mergeCell ref="AD5:AF5"/>
    <mergeCell ref="AG5:AI5"/>
    <mergeCell ref="AJ5:AL5"/>
    <mergeCell ref="AM5:AO5"/>
  </mergeCells>
  <conditionalFormatting sqref="AX3 A3">
    <cfRule type="duplicateValues" dxfId="202" priority="18"/>
  </conditionalFormatting>
  <conditionalFormatting sqref="B68 B61 B55 B17 B4:B5 B37 B11 B23 B31 B44 B48 B70:B1048576">
    <cfRule type="duplicateValues" dxfId="201" priority="31"/>
  </conditionalFormatting>
  <conditionalFormatting sqref="F5 I5 L5 O5 R5 X5 AA5 AD5 AG5 AJ5 AM5 U5">
    <cfRule type="expression" dxfId="200" priority="19">
      <formula>IF($AP$4="DICIEMBRE","VERDADERO")</formula>
    </cfRule>
  </conditionalFormatting>
  <conditionalFormatting sqref="F5 I5 L5 O5 R5 X5 AA5 AD5 AG5 AJ5 U5">
    <cfRule type="expression" dxfId="199" priority="20">
      <formula>IF($AP$4="NOVIEMBRE","VERDADERO")</formula>
    </cfRule>
  </conditionalFormatting>
  <conditionalFormatting sqref="F5 I5 L5 O5 R5 X5 AA5 AD5 AG5 U5">
    <cfRule type="expression" dxfId="198" priority="21">
      <formula>IF($AP$4="OCTUBRE","VERDADERO")</formula>
    </cfRule>
  </conditionalFormatting>
  <conditionalFormatting sqref="F5 I5 L5 O5 R5 X5 AA5 AD5 U5">
    <cfRule type="expression" dxfId="197" priority="22">
      <formula>IF($AP$4="SEPTIEMBRE","VERDADERO")</formula>
    </cfRule>
  </conditionalFormatting>
  <conditionalFormatting sqref="F5 I5 L5 O5 R5 X5 AA5 U5">
    <cfRule type="expression" dxfId="196" priority="23">
      <formula>IF($AP$4="AGOSTO","VERDADERO")</formula>
    </cfRule>
  </conditionalFormatting>
  <conditionalFormatting sqref="F5 I5 L5 O5 R5 X5 U5">
    <cfRule type="expression" dxfId="195" priority="24">
      <formula>IF($AP$4="JULIO","VERDADERO")</formula>
    </cfRule>
  </conditionalFormatting>
  <conditionalFormatting sqref="F5 I5 L5 O5 R5 U5">
    <cfRule type="expression" dxfId="194" priority="25">
      <formula>IF($AP$4="JUNIO","VERDADERO")</formula>
    </cfRule>
  </conditionalFormatting>
  <conditionalFormatting sqref="F5 I5 L5 O5 R5 U5">
    <cfRule type="expression" dxfId="193" priority="26">
      <formula>IF($AP$4="MAYO","VERDADERO")</formula>
    </cfRule>
  </conditionalFormatting>
  <conditionalFormatting sqref="F5 I5 L5 O5">
    <cfRule type="expression" dxfId="192" priority="27">
      <formula>IF($AP$4="ABRIL","VERDADERO")</formula>
    </cfRule>
  </conditionalFormatting>
  <conditionalFormatting sqref="F5 I5 L5">
    <cfRule type="expression" dxfId="191" priority="28">
      <formula>IF($AP$4="MARZO","VERDADERO")</formula>
    </cfRule>
  </conditionalFormatting>
  <conditionalFormatting sqref="F5 I5">
    <cfRule type="expression" dxfId="190" priority="29">
      <formula>IF($AP$4="FEBRERO","VERDADERO")</formula>
    </cfRule>
  </conditionalFormatting>
  <conditionalFormatting sqref="F5">
    <cfRule type="expression" dxfId="189" priority="30">
      <formula>IF($AP$4="ENERO","VERDADERO")</formula>
    </cfRule>
  </conditionalFormatting>
  <conditionalFormatting sqref="K3 N3 Q3 T3 W3 Z3 AC3 AF3 H72:H79 AQ80:AR81 F80:G80 T77:U77 I80:S80 P81:S81 AD80:AO81 W77:AC77 H93:H1048576 V87:V88 V90 AZ7:AZ70 BB7:BB70">
    <cfRule type="cellIs" dxfId="188" priority="17" operator="greaterThan">
      <formula>1</formula>
    </cfRule>
  </conditionalFormatting>
  <conditionalFormatting sqref="AX7:AX69">
    <cfRule type="cellIs" dxfId="187" priority="15" operator="lessThan">
      <formula>1</formula>
    </cfRule>
    <cfRule type="cellIs" dxfId="186" priority="16" operator="greaterThanOrEqual">
      <formula>1</formula>
    </cfRule>
  </conditionalFormatting>
  <conditionalFormatting sqref="AZ7:AZ69">
    <cfRule type="cellIs" dxfId="185" priority="13" operator="greaterThanOrEqual">
      <formula>0.8</formula>
    </cfRule>
    <cfRule type="cellIs" dxfId="184" priority="14" operator="lessThan">
      <formula>0.8</formula>
    </cfRule>
  </conditionalFormatting>
  <conditionalFormatting sqref="BB7:BB69">
    <cfRule type="cellIs" dxfId="183" priority="8" operator="lessThan">
      <formula>0.15</formula>
    </cfRule>
    <cfRule type="cellIs" dxfId="182" priority="10" operator="lessThan">
      <formula>0.15</formula>
    </cfRule>
    <cfRule type="cellIs" dxfId="181" priority="11" operator="between">
      <formula>0.15</formula>
      <formula>0.25</formula>
    </cfRule>
    <cfRule type="cellIs" dxfId="180" priority="12" operator="greaterThanOrEqual">
      <formula>0.25</formula>
    </cfRule>
  </conditionalFormatting>
  <conditionalFormatting sqref="K3 N3 Q3 T3 W3 Z3 AC3 AF3 H72:H79 AQ80:AR81 F80:G80 T77:U77 I80:S80 P81:S81 AD80:AO81 W77:AC77 H93:H1048576 V87:V88 V90 BB7:BB69 AZ7:AZ69">
    <cfRule type="containsText" dxfId="179" priority="9" operator="containsText" text="N.D">
      <formula>NOT(ISERROR(SEARCH("N.D",F3)))</formula>
    </cfRule>
  </conditionalFormatting>
  <conditionalFormatting sqref="V78:V80 V86">
    <cfRule type="cellIs" dxfId="178" priority="7" operator="greaterThan">
      <formula>1</formula>
    </cfRule>
  </conditionalFormatting>
  <conditionalFormatting sqref="AR7:AR69 AU7:AU69 BE7:BE69 BH7:BH69">
    <cfRule type="cellIs" dxfId="177" priority="4" operator="lessThan">
      <formula>0.05</formula>
    </cfRule>
    <cfRule type="cellIs" dxfId="176" priority="5" operator="between">
      <formula>0.05</formula>
      <formula>0.1</formula>
    </cfRule>
    <cfRule type="cellIs" dxfId="175" priority="6" operator="greaterThanOrEqual">
      <formula>0.1</formula>
    </cfRule>
  </conditionalFormatting>
  <conditionalFormatting sqref="BL10:BL28">
    <cfRule type="duplicateValues" dxfId="174" priority="3"/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E505C9-C537-46C3-8FAC-2D81C4E950F5}">
          <x14:formula1>
            <xm:f>MAESTRO!$D$3:$D$4</xm:f>
          </x14:formula1>
          <xm:sqref>BC5:BH5</xm:sqref>
        </x14:dataValidation>
        <x14:dataValidation type="list" allowBlank="1" showInputMessage="1" showErrorMessage="1" xr:uid="{AF35195C-AB17-4D18-856A-F6C9E3B296D1}">
          <x14:formula1>
            <xm:f>MAESTRO!$H$3:$H$14</xm:f>
          </x14:formula1>
          <xm:sqref>AP4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2976-154B-455B-ABE6-B8F5ECD2CCBB}">
  <sheetPr codeName="Hoja7">
    <tabColor theme="9" tint="0.39997558519241921"/>
    <pageSetUpPr fitToPage="1"/>
  </sheetPr>
  <dimension ref="A1:AQ136"/>
  <sheetViews>
    <sheetView tabSelected="1" workbookViewId="0">
      <selection activeCell="T18" sqref="T18"/>
    </sheetView>
  </sheetViews>
  <sheetFormatPr baseColWidth="10" defaultColWidth="11.453125" defaultRowHeight="13" x14ac:dyDescent="0.3"/>
  <cols>
    <col min="1" max="1" width="5.81640625" style="44" customWidth="1"/>
    <col min="2" max="2" width="11" style="78" customWidth="1"/>
    <col min="3" max="3" width="24.81640625" style="44" customWidth="1"/>
    <col min="4" max="4" width="11" style="44" customWidth="1"/>
    <col min="5" max="5" width="24" style="44" customWidth="1"/>
    <col min="6" max="6" width="9" style="44" bestFit="1" customWidth="1"/>
    <col min="7" max="7" width="9" style="76" bestFit="1" customWidth="1"/>
    <col min="8" max="29" width="9" style="44" bestFit="1" customWidth="1"/>
    <col min="30" max="30" width="11.1796875" style="44" customWidth="1"/>
    <col min="31" max="31" width="9" style="44" bestFit="1" customWidth="1"/>
    <col min="32" max="33" width="7.81640625" style="44" customWidth="1"/>
    <col min="34" max="34" width="9.81640625" style="44" customWidth="1"/>
    <col min="35" max="36" width="7.81640625" style="44" customWidth="1"/>
    <col min="37" max="37" width="9.453125" style="44" customWidth="1"/>
    <col min="38" max="39" width="7.81640625" style="44" customWidth="1"/>
    <col min="40" max="40" width="8.81640625" style="44" customWidth="1"/>
    <col min="41" max="41" width="7.81640625" style="44" customWidth="1"/>
    <col min="42" max="16384" width="11.453125" style="44"/>
  </cols>
  <sheetData>
    <row r="1" spans="1:41" s="42" customFormat="1" ht="18.5" thickBot="1" x14ac:dyDescent="0.35">
      <c r="B1" s="627" t="s">
        <v>259</v>
      </c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43"/>
      <c r="AN1" s="43"/>
    </row>
    <row r="2" spans="1:41" ht="13.5" thickBot="1" x14ac:dyDescent="0.35">
      <c r="F2" s="145">
        <v>8</v>
      </c>
      <c r="G2" s="144"/>
      <c r="H2" s="145">
        <v>10</v>
      </c>
      <c r="I2" s="145"/>
      <c r="J2" s="145">
        <v>12</v>
      </c>
      <c r="K2" s="145"/>
      <c r="L2" s="145">
        <v>16</v>
      </c>
      <c r="M2" s="145"/>
      <c r="N2" s="145">
        <v>18</v>
      </c>
      <c r="O2" s="145"/>
      <c r="P2" s="145">
        <v>20</v>
      </c>
      <c r="Q2" s="145"/>
      <c r="R2" s="145">
        <v>24</v>
      </c>
      <c r="S2" s="145"/>
      <c r="T2" s="145">
        <v>26</v>
      </c>
      <c r="U2" s="145"/>
      <c r="V2" s="145">
        <v>28</v>
      </c>
      <c r="W2" s="145"/>
      <c r="X2" s="145">
        <v>32</v>
      </c>
      <c r="Y2" s="145"/>
      <c r="Z2" s="145">
        <v>34</v>
      </c>
      <c r="AA2" s="145"/>
      <c r="AB2" s="145">
        <v>36</v>
      </c>
      <c r="AD2" s="82" t="s">
        <v>5</v>
      </c>
    </row>
    <row r="3" spans="1:41" ht="15" customHeight="1" x14ac:dyDescent="0.3">
      <c r="B3" s="628" t="s">
        <v>35</v>
      </c>
      <c r="C3" s="630" t="s">
        <v>36</v>
      </c>
      <c r="D3" s="632" t="s">
        <v>76</v>
      </c>
      <c r="E3" s="633"/>
      <c r="F3" s="624" t="s">
        <v>0</v>
      </c>
      <c r="G3" s="625"/>
      <c r="H3" s="626" t="s">
        <v>1</v>
      </c>
      <c r="I3" s="626"/>
      <c r="J3" s="624" t="s">
        <v>2</v>
      </c>
      <c r="K3" s="625"/>
      <c r="L3" s="626" t="s">
        <v>3</v>
      </c>
      <c r="M3" s="626"/>
      <c r="N3" s="624" t="s">
        <v>4</v>
      </c>
      <c r="O3" s="625"/>
      <c r="P3" s="636" t="s">
        <v>5</v>
      </c>
      <c r="Q3" s="636"/>
      <c r="R3" s="624" t="s">
        <v>6</v>
      </c>
      <c r="S3" s="625"/>
      <c r="T3" s="626" t="s">
        <v>7</v>
      </c>
      <c r="U3" s="626"/>
      <c r="V3" s="624" t="s">
        <v>29</v>
      </c>
      <c r="W3" s="625"/>
      <c r="X3" s="626" t="s">
        <v>30</v>
      </c>
      <c r="Y3" s="626"/>
      <c r="Z3" s="624" t="s">
        <v>31</v>
      </c>
      <c r="AA3" s="625"/>
      <c r="AB3" s="624" t="s">
        <v>32</v>
      </c>
      <c r="AC3" s="625"/>
      <c r="AD3" s="615" t="s">
        <v>33</v>
      </c>
      <c r="AE3" s="616"/>
      <c r="AF3" s="617"/>
      <c r="AG3" s="615" t="s">
        <v>34</v>
      </c>
      <c r="AH3" s="616"/>
      <c r="AI3" s="617"/>
      <c r="AJ3" s="615" t="s">
        <v>70</v>
      </c>
      <c r="AK3" s="616"/>
      <c r="AL3" s="617"/>
      <c r="AM3" s="615" t="s">
        <v>171</v>
      </c>
      <c r="AN3" s="616"/>
      <c r="AO3" s="617"/>
    </row>
    <row r="4" spans="1:41" ht="15" customHeight="1" thickBot="1" x14ac:dyDescent="0.35">
      <c r="B4" s="629"/>
      <c r="C4" s="631"/>
      <c r="D4" s="634"/>
      <c r="E4" s="635"/>
      <c r="F4" s="302" t="s">
        <v>168</v>
      </c>
      <c r="G4" s="194" t="s">
        <v>37</v>
      </c>
      <c r="H4" s="45" t="s">
        <v>168</v>
      </c>
      <c r="I4" s="45" t="s">
        <v>37</v>
      </c>
      <c r="J4" s="302" t="s">
        <v>168</v>
      </c>
      <c r="K4" s="308" t="s">
        <v>37</v>
      </c>
      <c r="L4" s="45" t="s">
        <v>168</v>
      </c>
      <c r="M4" s="45" t="s">
        <v>37</v>
      </c>
      <c r="N4" s="302" t="s">
        <v>168</v>
      </c>
      <c r="O4" s="308" t="s">
        <v>37</v>
      </c>
      <c r="P4" s="45" t="s">
        <v>168</v>
      </c>
      <c r="Q4" s="45" t="s">
        <v>37</v>
      </c>
      <c r="R4" s="302" t="s">
        <v>168</v>
      </c>
      <c r="S4" s="308" t="s">
        <v>37</v>
      </c>
      <c r="T4" s="45" t="s">
        <v>168</v>
      </c>
      <c r="U4" s="45" t="s">
        <v>37</v>
      </c>
      <c r="V4" s="302" t="s">
        <v>168</v>
      </c>
      <c r="W4" s="308" t="s">
        <v>37</v>
      </c>
      <c r="X4" s="45" t="s">
        <v>168</v>
      </c>
      <c r="Y4" s="45" t="s">
        <v>37</v>
      </c>
      <c r="Z4" s="302" t="s">
        <v>168</v>
      </c>
      <c r="AA4" s="308" t="s">
        <v>37</v>
      </c>
      <c r="AB4" s="45" t="s">
        <v>168</v>
      </c>
      <c r="AC4" s="45" t="s">
        <v>37</v>
      </c>
      <c r="AD4" s="45" t="s">
        <v>168</v>
      </c>
      <c r="AE4" s="47" t="s">
        <v>37</v>
      </c>
      <c r="AF4" s="48" t="s">
        <v>38</v>
      </c>
      <c r="AG4" s="45" t="s">
        <v>168</v>
      </c>
      <c r="AH4" s="45" t="s">
        <v>37</v>
      </c>
      <c r="AI4" s="49" t="s">
        <v>38</v>
      </c>
      <c r="AJ4" s="45" t="s">
        <v>168</v>
      </c>
      <c r="AK4" s="11" t="s">
        <v>37</v>
      </c>
      <c r="AL4" s="10" t="s">
        <v>38</v>
      </c>
      <c r="AM4" s="45" t="s">
        <v>168</v>
      </c>
      <c r="AN4" s="11" t="s">
        <v>37</v>
      </c>
      <c r="AO4" s="10" t="s">
        <v>38</v>
      </c>
    </row>
    <row r="5" spans="1:41" s="53" customFormat="1" ht="16" customHeight="1" x14ac:dyDescent="0.3">
      <c r="A5" s="53">
        <f>_xlfn.XLOOKUP(B5,[8]Pedidos!$C$7:$C$67,[8]Pedidos!$B$7:$B$67)</f>
        <v>1</v>
      </c>
      <c r="B5" s="179">
        <v>100323</v>
      </c>
      <c r="C5" s="381" t="s">
        <v>165</v>
      </c>
      <c r="D5" s="51">
        <v>8337</v>
      </c>
      <c r="E5" s="309" t="s">
        <v>274</v>
      </c>
      <c r="F5" s="305">
        <v>11</v>
      </c>
      <c r="G5" s="55">
        <f>IFERROR(VLOOKUP(B5,[2]RETAIL!$T$8:$AG$63,3,0),0)-IFERROR(IF(B5=100873,VLOOKUP("ENERO",[2]RETAIL!$T$78:$U$91,2,0),0),0)</f>
        <v>9</v>
      </c>
      <c r="H5" s="305">
        <v>12</v>
      </c>
      <c r="I5" s="55">
        <f>IFERROR(VLOOKUP(B5,[2]RETAIL!$T$8:$AG$63,4,0),0)-IFERROR(IF(B5=100873,VLOOKUP("FEBRERO",[2]RETAIL!$T$78:$U$91,2,0),0),0)</f>
        <v>6</v>
      </c>
      <c r="J5" s="305">
        <v>12</v>
      </c>
      <c r="K5" s="55">
        <f>IFERROR(VLOOKUP(B5,[2]RETAIL!$T$8:$AG$63,5,0),0)-IFERROR(IF(B5=100873,VLOOKUP("MARZO",[2]RETAIL!$T$78:$U$91,2,0),0),0)</f>
        <v>14</v>
      </c>
      <c r="L5" s="305">
        <v>11</v>
      </c>
      <c r="M5" s="55">
        <f>IFERROR(VLOOKUP(B5,[2]RETAIL!$T$8:$AG$63,6,0),0)-IFERROR(IF(B5=100873,VLOOKUP("ABRIL",[2]RETAIL!$T$78:$U$91,2,0),0),0)</f>
        <v>12</v>
      </c>
      <c r="N5" s="305">
        <v>12</v>
      </c>
      <c r="O5" s="55">
        <f>IFERROR(VLOOKUP(B5,[2]RETAIL!$T$8:$AG$63,7,0),0)-IFERROR(IF(B5=100873,VLOOKUP("MAYO",[2]RETAIL!$T$78:$U$91,2,0),0),0)</f>
        <v>8</v>
      </c>
      <c r="P5" s="305">
        <v>12</v>
      </c>
      <c r="Q5" s="55">
        <f>IFERROR(VLOOKUP(B5,[2]RETAIL!$T$8:$AG$63,8,0),0)-IFERROR(IF(B5=100873,VLOOKUP("JUNIO",[2]RETAIL!$T$78:$U$91,2,0),0),0)</f>
        <v>14</v>
      </c>
      <c r="R5" s="305"/>
      <c r="S5" s="55">
        <f>IFERROR(VLOOKUP(D5,[2]RETAIL!$T$8:$AG$63,9,0),0)-IFERROR(IF(D5=100873,VLOOKUP("JULIO",[2]RETAIL!$T$78:$U$91,2,0),0),0)</f>
        <v>0</v>
      </c>
      <c r="T5" s="305"/>
      <c r="U5" s="55">
        <f>IFERROR(VLOOKUP(D5,[2]RETAIL!$T$8:$AG$63,10,0),0)-IFERROR(IF(D5=100873,VLOOKUP("AGOSTO",[2]RETAIL!$T$78:$U$91,2,0),0),0)</f>
        <v>0</v>
      </c>
      <c r="V5" s="305"/>
      <c r="W5" s="55">
        <f>IFERROR(VLOOKUP(D5,[2]RETAIL!$T$8:$AG$63,11,0),0)-IFERROR(IF(D5=100873,VLOOKUP("SEPTIEMBRE",[2]RETAIL!$T$78:$U$91,2,0),0),0)</f>
        <v>0</v>
      </c>
      <c r="X5" s="305"/>
      <c r="Y5" s="55">
        <f>IFERROR(VLOOKUP(D5,[2]RETAIL!$T$8:$AG$63,12,0),0)-IFERROR(IF(D5=100873,VLOOKUP("OCTUBRE",[2]RETAIL!$T$78:$U$91,2,0),0),0)</f>
        <v>0</v>
      </c>
      <c r="Z5" s="305"/>
      <c r="AA5" s="55">
        <f>IFERROR(VLOOKUP(D5,[2]RETAIL!$T$8:$AG$63,13,0),0)-IFERROR(IF(D5=100873,VLOOKUP("NOVIEMBRE",[2]RETAIL!$T$78:$U$91,2,0),0),0)</f>
        <v>0</v>
      </c>
      <c r="AB5" s="305"/>
      <c r="AC5" s="55">
        <f>IFERROR(VLOOKUP(D5,[2]RETAIL!$T$8:$AG$63,14,0),0)-IFERROR(IF(D5=100873,VLOOKUP("DICIEMBRE",[2]RETAIL!$T$78:$U$91,2,0),0),0)</f>
        <v>0</v>
      </c>
      <c r="AD5" s="54">
        <f t="shared" ref="AD5:AD21" si="0">IF($AD$2="ENERO",F5,IF($AD$2="FEBRERO",F5+H5,IF($AD$2="MARZO",F5+H5+J5,IF($AD$2="ABRIL",F5+H5+J5+L5,IF($AD$2="MAYO",F5+H5+J5+L5+N5,IF($AD$2="JUNIO",F5+H5+J5+L5+N5+P5,IF($AD$2="JULIO",F5+H5+J5+L5+N5+P5+R5,IF($AD$2="AGOSTO",F5+H5+J5+L5+N5+P5+R5+T5,IF($AD$2="SEPTIEMBRE",F5+H5+J5+L5+N5+P5+R5+T5+V5,IF($AD$2="OCTUBRE",F5+H5+J5+L5+N5+P5+R5+T5+V5+X5,IF($AD$2="NOVIEMBRE",F5+H5+J5+L5+N5+P5+R5+T5+V5+X5+Z5,IF($AD$2="DICIEMBRE",F5+H5+J5+L5+N5+P5+R5+T5+V5+X5+Z5+AB5,""))))))))))))</f>
        <v>70</v>
      </c>
      <c r="AE5" s="86">
        <f>IFERROR(IF($AD$2="ENERO",G5,IF($AD$2="FEBRERO",G5+I5,IF($AD$2="MARZO",G5+I5+K5,IF($AD$2="ABRIL",G5+I5+K5+M5,IF($AD$2="MAYO",G5+I5+K5+M5+O5,IF($AD$2="JUNIO",G5+I5+K5+M5+O5+Q5,IF($AD$2="JULIO",G5+I5+K5+M5+O5+Q5+S5,IF($AD$2="AGOSTO",G5+I5+K5+M5+O5+Q5+S5+U5,IF($AD$2="SEPTIEMBRE",G5+I5+K5+M5+O5+Q5+S5+U5+W5,IF($AD$2="OCTUBRE",G5+I5+K5+M5+O5+Q5+S5+U5+W5+Y5,IF($AD$2="NOVIEMBRE",G5+I5+K5+M5+O5+Q5+S5+U5+W5+Y5+AA5,IF($AD$2="DICIEMBRE",G5+I5+K5+M5+O5+Q5+S5+U5+W5+Y5+AA5+AC5,"")))))))))))),0)</f>
        <v>63</v>
      </c>
      <c r="AF5" s="243">
        <f>IFERROR((AE5/AD5),0)</f>
        <v>0.9</v>
      </c>
      <c r="AG5" s="54">
        <f t="shared" ref="AG5:AG21" si="1">+F5+H5+J5+L5+N5+P5+R5+T5+V5+X5+Z5+AB5</f>
        <v>70</v>
      </c>
      <c r="AH5" s="86">
        <f>IFERROR(IF($AD$2="ENERO",G5,IF($AD$2="FEBRERO",G5+I5,IF($AD$2="MARZO",G5+I5+K5,IF($AD$2="ABRIL",G5+I5+K5+M5,IF($AD$2="MAYO",G5+I5+K5+M5+O5,IF($AD$2="JUNIO",G5+I5+K5+M5+O5+Q5,IF($AD$2="JULIO",G5+I5+K5+M5+O5+Q5+S5,IF($AD$2="AGOSTO",G5+I5+K5+M5+O5+Q5+S5+U5,IF($AD$2="SEPTIEMBRE",G5+I5+K5+M5+O5+Q5+S5+U5+W5,IF($AD$2="OCTUBRE",G5+I5+K5+M5+O5+Q5+S5+U5+W5+Y5,IF($AD$2="NOVIEMBRE",G5+I5+K5+M5+O5+Q5+S5+U5+W5+Y5+AA5,IF($AD$2="DICIEMBRE",G5+I5+K5+M5+O5+Q5+S5+U5+W5+Y5+AA5+AC5,"")))))))))))),0)</f>
        <v>63</v>
      </c>
      <c r="AI5" s="243">
        <f t="shared" ref="AI5:AI21" si="2">IFERROR((AH5/AG5),0)</f>
        <v>0.9</v>
      </c>
      <c r="AJ5" s="54">
        <f t="shared" ref="AJ5:AJ21" si="3">IF($AJ$3="Q1",F5+H5+J5,IF($AJ$3="Q2",L5+N5++P5,IF($AJ$3="Q3",R5+T5+V5,IF($AJ$3="Q4",X5+Z5+AB5,0))))</f>
        <v>35</v>
      </c>
      <c r="AK5" s="68">
        <f>IFERROR(IF($AJ$3="Q1",G5+I5+K5,IF($AJ$3="Q2",M5+O5++Q5,IF($AJ$3="Q3",S5+U5+W5,IF($AJ$3="Q4",Y5+AA5+AC5,0)))),0)</f>
        <v>29</v>
      </c>
      <c r="AL5" s="56">
        <f t="shared" ref="AL5:AL21" si="4">IFERROR((AK5/AJ5),0)</f>
        <v>0.82857142857142863</v>
      </c>
      <c r="AM5" s="54">
        <f t="shared" ref="AM5:AM21" si="5">IF($AM$3="S 1",F5+H5+J5+L5+N5+P5,IF($AM$3="S 2",R5+T5+V5+X5+Z5+AB5,0))</f>
        <v>70</v>
      </c>
      <c r="AN5" s="86">
        <f>IFERROR(IF($AM$3="S 1",G5+I5+K5+M5+O5+Q5,IF($AM$3="S 2",S5+U5+W5+Y5+AA5+AC5,0)),0)</f>
        <v>63</v>
      </c>
      <c r="AO5" s="243">
        <f t="shared" ref="AO5:AO21" si="6">IFERROR((AN5/AM5),0)</f>
        <v>0.9</v>
      </c>
    </row>
    <row r="6" spans="1:41" s="53" customFormat="1" ht="16" customHeight="1" x14ac:dyDescent="0.3">
      <c r="A6" s="53">
        <f>_xlfn.XLOOKUP(B6,[8]Pedidos!$C$7:$C$67,[8]Pedidos!$B$7:$B$67)</f>
        <v>1</v>
      </c>
      <c r="B6" s="179">
        <v>100873</v>
      </c>
      <c r="C6" s="381" t="s">
        <v>166</v>
      </c>
      <c r="D6" s="51">
        <v>51827</v>
      </c>
      <c r="E6" s="309" t="s">
        <v>156</v>
      </c>
      <c r="F6" s="305">
        <v>12</v>
      </c>
      <c r="G6" s="55">
        <f>IFERROR(VLOOKUP(B6,[2]RETAIL!$T$8:$AG$63,3,0),0)-IFERROR(IF(B6=100873,VLOOKUP("ENERO",[2]RETAIL!$T$78:$U$91,2,0),0),0)</f>
        <v>15</v>
      </c>
      <c r="H6" s="305">
        <v>12</v>
      </c>
      <c r="I6" s="55">
        <f>IFERROR(VLOOKUP(B6,[2]RETAIL!$T$8:$AG$63,4,0),0)-IFERROR(IF(B6=100873,VLOOKUP("FEBRERO",[2]RETAIL!$T$78:$U$91,2,0),0),0)</f>
        <v>16</v>
      </c>
      <c r="J6" s="305">
        <v>13</v>
      </c>
      <c r="K6" s="55">
        <f>IFERROR(VLOOKUP(B6,[2]RETAIL!$T$8:$AG$63,5,0),0)-IFERROR(IF(B6=100873,VLOOKUP("MARZO",[2]RETAIL!$T$78:$U$91,2,0),0),0)</f>
        <v>14</v>
      </c>
      <c r="L6" s="305">
        <v>12</v>
      </c>
      <c r="M6" s="55">
        <f>IFERROR(VLOOKUP(B6,[2]RETAIL!$T$8:$AG$63,6,0),0)-IFERROR(IF(B6=100873,VLOOKUP("ABRIL",[2]RETAIL!$T$78:$U$91,2,0),0),0)</f>
        <v>17</v>
      </c>
      <c r="N6" s="305">
        <v>13</v>
      </c>
      <c r="O6" s="55">
        <f>IFERROR(VLOOKUP(B6,[2]RETAIL!$T$8:$AG$63,7,0),0)-IFERROR(IF(B6=100873,VLOOKUP("MAYO",[2]RETAIL!$T$78:$U$91,2,0),0),0)</f>
        <v>22</v>
      </c>
      <c r="P6" s="305">
        <v>13</v>
      </c>
      <c r="Q6" s="55">
        <f>IFERROR(VLOOKUP(B6,[2]RETAIL!$T$8:$AG$63,8,0),0)-IFERROR(IF(B6=100873,VLOOKUP("JUNIO",[2]RETAIL!$T$78:$U$91,2,0),0),0)</f>
        <v>23</v>
      </c>
      <c r="R6" s="305"/>
      <c r="S6" s="55">
        <f>IFERROR(VLOOKUP(D6,[2]RETAIL!$T$8:$AG$63,9,0),0)-IFERROR(IF(D6=100873,VLOOKUP("JULIO",[2]RETAIL!$T$78:$U$91,2,0),0),0)</f>
        <v>0</v>
      </c>
      <c r="T6" s="305"/>
      <c r="U6" s="55">
        <f>IFERROR(VLOOKUP(D6,[2]RETAIL!$T$8:$AG$63,10,0),0)-IFERROR(IF(D6=100873,VLOOKUP("AGOSTO",[2]RETAIL!$T$78:$U$91,2,0),0),0)</f>
        <v>0</v>
      </c>
      <c r="V6" s="305"/>
      <c r="W6" s="55">
        <f>IFERROR(VLOOKUP(D6,[2]RETAIL!$T$8:$AG$63,11,0),0)-IFERROR(IF(D6=100873,VLOOKUP("SEPTIEMBRE",[2]RETAIL!$T$78:$U$91,2,0),0),0)</f>
        <v>0</v>
      </c>
      <c r="X6" s="305"/>
      <c r="Y6" s="55">
        <f>IFERROR(VLOOKUP(D6,[2]RETAIL!$T$8:$AG$63,12,0),0)-IFERROR(IF(D6=100873,VLOOKUP("OCTUBRE",[2]RETAIL!$T$78:$U$91,2,0),0),0)</f>
        <v>0</v>
      </c>
      <c r="Z6" s="305"/>
      <c r="AA6" s="55">
        <f>IFERROR(VLOOKUP(D6,[2]RETAIL!$T$8:$AG$63,13,0),0)-IFERROR(IF(D6=100873,VLOOKUP("NOVIEMBRE",[2]RETAIL!$T$78:$U$91,2,0),0),0)</f>
        <v>0</v>
      </c>
      <c r="AB6" s="305"/>
      <c r="AC6" s="55">
        <f>IFERROR(VLOOKUP(D6,[2]RETAIL!$T$8:$AG$63,14,0),0)-IFERROR(IF(D6=100873,VLOOKUP("DICIEMBRE",[2]RETAIL!$T$78:$U$91,2,0),0),0)</f>
        <v>0</v>
      </c>
      <c r="AD6" s="190">
        <f t="shared" si="0"/>
        <v>75</v>
      </c>
      <c r="AE6" s="86">
        <f>IFERROR(IF($AD$2="ENERO",G6,IF($AD$2="FEBRERO",G6+I6,IF($AD$2="MARZO",G6+I6+K6,IF($AD$2="ABRIL",G6+I6+K6+M6,IF($AD$2="MAYO",G6+I6+K6+M6+O6,IF($AD$2="JUNIO",G6+I6+K6+M6+O6+Q6,IF($AD$2="JULIO",G6+I6+K6+M6+O6+Q6+S6,IF($AD$2="AGOSTO",G6+I6+K6+M6+O6+Q6+S6+U6,IF($AD$2="SEPTIEMBRE",G6+I6+K6+M6+O6+Q6+S6+U6+W6,IF($AD$2="OCTUBRE",G6+I6+K6+M6+O6+Q6+S6+U6+W6+Y6,IF($AD$2="NOVIEMBRE",G6+I6+K6+M6+O6+Q6+S6+U6+W6+Y6+AA6,IF($AD$2="DICIEMBRE",G6+I6+K6+M6+O6+Q6+S6+U6+W6+Y6+AA6+AC6,"")))))))))))),0)</f>
        <v>107</v>
      </c>
      <c r="AF6" s="244">
        <f>IFERROR((AE6/AD6),0)</f>
        <v>1.4266666666666667</v>
      </c>
      <c r="AG6" s="190">
        <f t="shared" si="1"/>
        <v>75</v>
      </c>
      <c r="AH6" s="86">
        <f>IFERROR(IF($AD$2="ENERO",G6,IF($AD$2="FEBRERO",G6+I6,IF($AD$2="MARZO",G6+I6+K6,IF($AD$2="ABRIL",G6+I6+K6+M6,IF($AD$2="MAYO",G6+I6+K6+M6+O6,IF($AD$2="JUNIO",G6+I6+K6+M6+O6+Q6,IF($AD$2="JULIO",G6+I6+K6+M6+O6+Q6+S6,IF($AD$2="AGOSTO",G6+I6+K6+M6+O6+Q6+S6+U6,IF($AD$2="SEPTIEMBRE",G6+I6+K6+M6+O6+Q6+S6+U6+W6,IF($AD$2="OCTUBRE",G6+I6+K6+M6+O6+Q6+S6+U6+W6+Y6,IF($AD$2="NOVIEMBRE",G6+I6+K6+M6+O6+Q6+S6+U6+W6+Y6+AA6,IF($AD$2="DICIEMBRE",G6+I6+K6+M6+O6+Q6+S6+U6+W6+Y6+AA6+AC6,"")))))))))))),0)</f>
        <v>107</v>
      </c>
      <c r="AI6" s="244">
        <f t="shared" si="2"/>
        <v>1.4266666666666667</v>
      </c>
      <c r="AJ6" s="190">
        <f t="shared" si="3"/>
        <v>37</v>
      </c>
      <c r="AK6" s="191">
        <f>IFERROR(IF($AJ$3="Q1",G6+I6+K6,IF($AJ$3="Q2",M6+O6++Q6,IF($AJ$3="Q3",S6+U6+W6,IF($AJ$3="Q4",Y6+AA6+AC6,0)))),0)</f>
        <v>45</v>
      </c>
      <c r="AL6" s="192">
        <f t="shared" si="4"/>
        <v>1.2162162162162162</v>
      </c>
      <c r="AM6" s="190">
        <f t="shared" si="5"/>
        <v>75</v>
      </c>
      <c r="AN6" s="191">
        <f>IFERROR(IF($AM$3="S 1",G6+I6+K6+M6+O6+Q6,IF($AM$3="S 2",S6+U6+W6+Y6+AA6+AC6,0)),0)</f>
        <v>107</v>
      </c>
      <c r="AO6" s="244">
        <f t="shared" si="6"/>
        <v>1.4266666666666667</v>
      </c>
    </row>
    <row r="7" spans="1:41" s="53" customFormat="1" ht="16" customHeight="1" x14ac:dyDescent="0.3">
      <c r="A7" s="53">
        <f>_xlfn.XLOOKUP(B7,[8]Pedidos!$C$7:$C$67,[8]Pedidos!$B$7:$B$67)</f>
        <v>1</v>
      </c>
      <c r="B7" s="179">
        <v>100389</v>
      </c>
      <c r="C7" s="381" t="s">
        <v>40</v>
      </c>
      <c r="D7" s="51">
        <v>20822</v>
      </c>
      <c r="E7" s="309" t="s">
        <v>275</v>
      </c>
      <c r="F7" s="305">
        <v>5</v>
      </c>
      <c r="G7" s="55">
        <f>IFERROR(VLOOKUP(B7,[2]RETAIL!$T$8:$AG$63,3,0),0)-IFERROR(IF(B7=100873,VLOOKUP("ENERO",[2]RETAIL!$T$78:$U$91,2,0),0),0)</f>
        <v>3</v>
      </c>
      <c r="H7" s="305">
        <v>5</v>
      </c>
      <c r="I7" s="55">
        <f>IFERROR(VLOOKUP(B7,[2]RETAIL!$T$8:$AG$63,4,0),0)-IFERROR(IF(B7=100873,VLOOKUP("FEBRERO",[2]RETAIL!$T$78:$U$91,2,0),0),0)</f>
        <v>6</v>
      </c>
      <c r="J7" s="305">
        <v>5</v>
      </c>
      <c r="K7" s="55">
        <f>IFERROR(VLOOKUP(B7,[2]RETAIL!$T$8:$AG$63,5,0),0)-IFERROR(IF(B7=100873,VLOOKUP("MARZO",[2]RETAIL!$T$78:$U$91,2,0),0),0)</f>
        <v>8</v>
      </c>
      <c r="L7" s="305">
        <v>5</v>
      </c>
      <c r="M7" s="55">
        <f>IFERROR(VLOOKUP(B7,[2]RETAIL!$T$8:$AG$63,6,0),0)-IFERROR(IF(B7=100873,VLOOKUP("ABRIL",[2]RETAIL!$T$78:$U$91,2,0),0),0)</f>
        <v>4</v>
      </c>
      <c r="N7" s="305">
        <v>5</v>
      </c>
      <c r="O7" s="55">
        <f>IFERROR(VLOOKUP(B7,[2]RETAIL!$T$8:$AG$63,7,0),0)-IFERROR(IF(B7=100873,VLOOKUP("MAYO",[2]RETAIL!$T$78:$U$91,2,0),0),0)</f>
        <v>4</v>
      </c>
      <c r="P7" s="305">
        <v>5</v>
      </c>
      <c r="Q7" s="55">
        <f>IFERROR(VLOOKUP(B7,[2]RETAIL!$T$8:$AG$63,8,0),0)-IFERROR(IF(B7=100873,VLOOKUP("JUNIO",[2]RETAIL!$T$78:$U$91,2,0),0),0)</f>
        <v>3</v>
      </c>
      <c r="R7" s="305"/>
      <c r="S7" s="55">
        <f>IFERROR(VLOOKUP(D7,[2]RETAIL!$T$8:$AG$63,9,0),0)-IFERROR(IF(D7=100873,VLOOKUP("JULIO",[2]RETAIL!$T$78:$U$91,2,0),0),0)</f>
        <v>0</v>
      </c>
      <c r="T7" s="305"/>
      <c r="U7" s="55">
        <f>IFERROR(VLOOKUP(D7,[2]RETAIL!$T$8:$AG$63,10,0),0)-IFERROR(IF(D7=100873,VLOOKUP("AGOSTO",[2]RETAIL!$T$78:$U$91,2,0),0),0)</f>
        <v>0</v>
      </c>
      <c r="V7" s="305"/>
      <c r="W7" s="55">
        <f>IFERROR(VLOOKUP(D7,[2]RETAIL!$T$8:$AG$63,11,0),0)-IFERROR(IF(D7=100873,VLOOKUP("SEPTIEMBRE",[2]RETAIL!$T$78:$U$91,2,0),0),0)</f>
        <v>0</v>
      </c>
      <c r="X7" s="305"/>
      <c r="Y7" s="55">
        <f>IFERROR(VLOOKUP(D7,[2]RETAIL!$T$8:$AG$63,12,0),0)-IFERROR(IF(D7=100873,VLOOKUP("OCTUBRE",[2]RETAIL!$T$78:$U$91,2,0),0),0)</f>
        <v>0</v>
      </c>
      <c r="Z7" s="305"/>
      <c r="AA7" s="55">
        <f>IFERROR(VLOOKUP(D7,[2]RETAIL!$T$8:$AG$63,13,0),0)-IFERROR(IF(D7=100873,VLOOKUP("NOVIEMBRE",[2]RETAIL!$T$78:$U$91,2,0),0),0)</f>
        <v>0</v>
      </c>
      <c r="AB7" s="305"/>
      <c r="AC7" s="55">
        <f>IFERROR(VLOOKUP(D7,[2]RETAIL!$T$8:$AG$63,14,0),0)-IFERROR(IF(D7=100873,VLOOKUP("DICIEMBRE",[2]RETAIL!$T$78:$U$91,2,0),0),0)</f>
        <v>0</v>
      </c>
      <c r="AD7" s="54">
        <f t="shared" si="0"/>
        <v>30</v>
      </c>
      <c r="AE7" s="86">
        <f>IFERROR(IF($AD$2="ENERO",G7,IF($AD$2="FEBRERO",G7+I7,IF($AD$2="MARZO",G7+I7+K7,IF($AD$2="ABRIL",G7+I7+K7+M7,IF($AD$2="MAYO",G7+I7+K7+M7+O7,IF($AD$2="JUNIO",G7+I7+K7+M7+O7+Q7,IF($AD$2="JULIO",G7+I7+K7+M7+O7+Q7+S7,IF($AD$2="AGOSTO",G7+I7+K7+M7+O7+Q7+S7+U7,IF($AD$2="SEPTIEMBRE",G7+I7+K7+M7+O7+Q7+S7+U7+W7,IF($AD$2="OCTUBRE",G7+I7+K7+M7+O7+Q7+S7+U7+W7+Y7,IF($AD$2="NOVIEMBRE",G7+I7+K7+M7+O7+Q7+S7+U7+W7+Y7+AA7,IF($AD$2="DICIEMBRE",G7+I7+K7+M7+O7+Q7+S7+U7+W7+Y7+AA7+AC7,"")))))))))))),0)</f>
        <v>28</v>
      </c>
      <c r="AF7" s="243">
        <f>IFERROR((AE7/AD7),0)</f>
        <v>0.93333333333333335</v>
      </c>
      <c r="AG7" s="54">
        <f t="shared" si="1"/>
        <v>30</v>
      </c>
      <c r="AH7" s="86">
        <f>IFERROR(IF($AD$2="ENERO",G7,IF($AD$2="FEBRERO",G7+I7,IF($AD$2="MARZO",G7+I7+K7,IF($AD$2="ABRIL",G7+I7+K7+M7,IF($AD$2="MAYO",G7+I7+K7+M7+O7,IF($AD$2="JUNIO",G7+I7+K7+M7+O7+Q7,IF($AD$2="JULIO",G7+I7+K7+M7+O7+Q7+S7,IF($AD$2="AGOSTO",G7+I7+K7+M7+O7+Q7+S7+U7,IF($AD$2="SEPTIEMBRE",G7+I7+K7+M7+O7+Q7+S7+U7+W7,IF($AD$2="OCTUBRE",G7+I7+K7+M7+O7+Q7+S7+U7+W7+Y7,IF($AD$2="NOVIEMBRE",G7+I7+K7+M7+O7+Q7+S7+U7+W7+Y7+AA7,IF($AD$2="DICIEMBRE",G7+I7+K7+M7+O7+Q7+S7+U7+W7+Y7+AA7+AC7,"")))))))))))),0)</f>
        <v>28</v>
      </c>
      <c r="AI7" s="243">
        <f t="shared" si="2"/>
        <v>0.93333333333333335</v>
      </c>
      <c r="AJ7" s="54">
        <f t="shared" si="3"/>
        <v>15</v>
      </c>
      <c r="AK7" s="86">
        <f>IFERROR(IF($AJ$3="Q1",G7+I7+K7,IF($AJ$3="Q2",M7+O7++Q7,IF($AJ$3="Q3",S7+U7+W7,IF($AJ$3="Q4",Y7+AA7+AC7,0)))),0)</f>
        <v>17</v>
      </c>
      <c r="AL7" s="56">
        <f t="shared" si="4"/>
        <v>1.1333333333333333</v>
      </c>
      <c r="AM7" s="54">
        <f t="shared" si="5"/>
        <v>30</v>
      </c>
      <c r="AN7" s="86">
        <f>IFERROR(IF($AM$3="S 1",G7+I7+K7+M7+O7+Q7,IF($AM$3="S 2",S7+U7+W7+Y7+AA7+AC7,0)),0)</f>
        <v>28</v>
      </c>
      <c r="AO7" s="243">
        <f t="shared" si="6"/>
        <v>0.93333333333333335</v>
      </c>
    </row>
    <row r="8" spans="1:41" s="53" customFormat="1" ht="16" customHeight="1" thickBot="1" x14ac:dyDescent="0.35">
      <c r="A8" s="53">
        <f>_xlfn.XLOOKUP(B8,[8]Pedidos!$C$7:$C$67,[8]Pedidos!$B$7:$B$67)</f>
        <v>1</v>
      </c>
      <c r="B8" s="179">
        <v>100738</v>
      </c>
      <c r="C8" s="381" t="s">
        <v>42</v>
      </c>
      <c r="D8" s="51">
        <v>40230</v>
      </c>
      <c r="E8" s="309" t="s">
        <v>89</v>
      </c>
      <c r="F8" s="305">
        <v>5</v>
      </c>
      <c r="G8" s="55">
        <f>IFERROR(VLOOKUP(B8,[2]RETAIL!$T$8:$AG$63,3,0),0)-IFERROR(IF(B8=100873,VLOOKUP("ENERO",[2]RETAIL!$T$78:$U$91,2,0),0),0)</f>
        <v>3</v>
      </c>
      <c r="H8" s="305">
        <v>5</v>
      </c>
      <c r="I8" s="55">
        <f>IFERROR(VLOOKUP(B8,[2]RETAIL!$T$8:$AG$63,4,0),0)-IFERROR(IF(B8=100873,VLOOKUP("FEBRERO",[2]RETAIL!$T$78:$U$91,2,0),0),0)</f>
        <v>2</v>
      </c>
      <c r="J8" s="305">
        <v>6</v>
      </c>
      <c r="K8" s="55">
        <f>IFERROR(VLOOKUP(B8,[2]RETAIL!$T$8:$AG$63,5,0),0)-IFERROR(IF(B8=100873,VLOOKUP("MARZO",[2]RETAIL!$T$78:$U$91,2,0),0),0)</f>
        <v>7</v>
      </c>
      <c r="L8" s="305">
        <v>5</v>
      </c>
      <c r="M8" s="55">
        <f>IFERROR(VLOOKUP(B8,[2]RETAIL!$T$8:$AG$63,6,0),0)-IFERROR(IF(B8=100873,VLOOKUP("ABRIL",[2]RETAIL!$T$78:$U$91,2,0),0),0)</f>
        <v>1</v>
      </c>
      <c r="N8" s="305">
        <v>5</v>
      </c>
      <c r="O8" s="55">
        <f>IFERROR(VLOOKUP(B8,[2]RETAIL!$T$8:$AG$63,7,0),0)-IFERROR(IF(B8=100873,VLOOKUP("MAYO",[2]RETAIL!$T$78:$U$91,2,0),0),0)</f>
        <v>3</v>
      </c>
      <c r="P8" s="305">
        <v>6</v>
      </c>
      <c r="Q8" s="55">
        <f>IFERROR(VLOOKUP(B8,[2]RETAIL!$T$8:$AG$63,8,0),0)-IFERROR(IF(B8=100873,VLOOKUP("JUNIO",[2]RETAIL!$T$78:$U$91,2,0),0),0)</f>
        <v>11</v>
      </c>
      <c r="R8" s="305"/>
      <c r="S8" s="55">
        <f>IFERROR(VLOOKUP(D8,[2]RETAIL!$T$8:$AG$63,9,0),0)-IFERROR(IF(D8=100873,VLOOKUP("JULIO",[2]RETAIL!$T$78:$U$91,2,0),0),0)</f>
        <v>0</v>
      </c>
      <c r="T8" s="305"/>
      <c r="U8" s="55">
        <f>IFERROR(VLOOKUP(D8,[2]RETAIL!$T$8:$AG$63,10,0),0)-IFERROR(IF(D8=100873,VLOOKUP("AGOSTO",[2]RETAIL!$T$78:$U$91,2,0),0),0)</f>
        <v>0</v>
      </c>
      <c r="V8" s="305"/>
      <c r="W8" s="55">
        <f>IFERROR(VLOOKUP(D8,[2]RETAIL!$T$8:$AG$63,11,0),0)-IFERROR(IF(D8=100873,VLOOKUP("SEPTIEMBRE",[2]RETAIL!$T$78:$U$91,2,0),0),0)</f>
        <v>0</v>
      </c>
      <c r="X8" s="305"/>
      <c r="Y8" s="55">
        <f>IFERROR(VLOOKUP(D8,[2]RETAIL!$T$8:$AG$63,12,0),0)-IFERROR(IF(D8=100873,VLOOKUP("OCTUBRE",[2]RETAIL!$T$78:$U$91,2,0),0),0)</f>
        <v>0</v>
      </c>
      <c r="Z8" s="305"/>
      <c r="AA8" s="55">
        <f>IFERROR(VLOOKUP(D8,[2]RETAIL!$T$8:$AG$63,13,0),0)-IFERROR(IF(D8=100873,VLOOKUP("NOVIEMBRE",[2]RETAIL!$T$78:$U$91,2,0),0),0)</f>
        <v>0</v>
      </c>
      <c r="AB8" s="305"/>
      <c r="AC8" s="55">
        <f>IFERROR(VLOOKUP(D8,[2]RETAIL!$T$8:$AG$63,14,0),0)-IFERROR(IF(D8=100873,VLOOKUP("DICIEMBRE",[2]RETAIL!$T$78:$U$91,2,0),0),0)</f>
        <v>0</v>
      </c>
      <c r="AD8" s="58">
        <f t="shared" si="0"/>
        <v>32</v>
      </c>
      <c r="AE8" s="86">
        <f>IFERROR(IF($AD$2="ENERO",G8,IF($AD$2="FEBRERO",G8+I8,IF($AD$2="MARZO",G8+I8+K8,IF($AD$2="ABRIL",G8+I8+K8+M8,IF($AD$2="MAYO",G8+I8+K8+M8+O8,IF($AD$2="JUNIO",G8+I8+K8+M8+O8+Q8,IF($AD$2="JULIO",G8+I8+K8+M8+O8+Q8+S8,IF($AD$2="AGOSTO",G8+I8+K8+M8+O8+Q8+S8+U8,IF($AD$2="SEPTIEMBRE",G8+I8+K8+M8+O8+Q8+S8+U8+W8,IF($AD$2="OCTUBRE",G8+I8+K8+M8+O8+Q8+S8+U8+W8+Y8,IF($AD$2="NOVIEMBRE",G8+I8+K8+M8+O8+Q8+S8+U8+W8+Y8+AA8,IF($AD$2="DICIEMBRE",G8+I8+K8+M8+O8+Q8+S8+U8+W8+Y8+AA8+AC8,"")))))))))))),0)</f>
        <v>27</v>
      </c>
      <c r="AF8" s="382">
        <f>IFERROR((AE8/AD8),0)</f>
        <v>0.84375</v>
      </c>
      <c r="AG8" s="58">
        <f t="shared" si="1"/>
        <v>32</v>
      </c>
      <c r="AH8" s="86">
        <f>IFERROR(IF($AD$2="ENERO",G8,IF($AD$2="FEBRERO",G8+I8,IF($AD$2="MARZO",G8+I8+K8,IF($AD$2="ABRIL",G8+I8+K8+M8,IF($AD$2="MAYO",G8+I8+K8+M8+O8,IF($AD$2="JUNIO",G8+I8+K8+M8+O8+Q8,IF($AD$2="JULIO",G8+I8+K8+M8+O8+Q8+S8,IF($AD$2="AGOSTO",G8+I8+K8+M8+O8+Q8+S8+U8,IF($AD$2="SEPTIEMBRE",G8+I8+K8+M8+O8+Q8+S8+U8+W8,IF($AD$2="OCTUBRE",G8+I8+K8+M8+O8+Q8+S8+U8+W8+Y8,IF($AD$2="NOVIEMBRE",G8+I8+K8+M8+O8+Q8+S8+U8+W8+Y8+AA8,IF($AD$2="DICIEMBRE",G8+I8+K8+M8+O8+Q8+S8+U8+W8+Y8+AA8+AC8,"")))))))))))),0)</f>
        <v>27</v>
      </c>
      <c r="AI8" s="382">
        <f t="shared" si="2"/>
        <v>0.84375</v>
      </c>
      <c r="AJ8" s="58">
        <f t="shared" si="3"/>
        <v>16</v>
      </c>
      <c r="AK8" s="86">
        <f>IFERROR(IF($AJ$3="Q1",G8+I8+K8,IF($AJ$3="Q2",M8+O8++Q8,IF($AJ$3="Q3",S8+U8+W8,IF($AJ$3="Q4",Y8+AA8+AC8,0)))),0)</f>
        <v>12</v>
      </c>
      <c r="AL8" s="60">
        <f t="shared" si="4"/>
        <v>0.75</v>
      </c>
      <c r="AM8" s="58">
        <f t="shared" si="5"/>
        <v>32</v>
      </c>
      <c r="AN8" s="59">
        <f>IFERROR(IF($AM$3="S 1",G8+I8+K8+M8+O8+Q8,IF($AM$3="S 2",S8+U8+W8+Y8+AA8+AC8,0)),0)</f>
        <v>27</v>
      </c>
      <c r="AO8" s="382">
        <f t="shared" si="6"/>
        <v>0.84375</v>
      </c>
    </row>
    <row r="9" spans="1:41" s="53" customFormat="1" ht="16" customHeight="1" thickBot="1" x14ac:dyDescent="0.35">
      <c r="A9" s="50"/>
      <c r="B9" s="180" t="s">
        <v>264</v>
      </c>
      <c r="C9" s="62"/>
      <c r="D9" s="80"/>
      <c r="E9" s="265"/>
      <c r="F9" s="155">
        <f t="shared" ref="F9:AC9" si="7">SUM(F5:F8)</f>
        <v>33</v>
      </c>
      <c r="G9" s="155">
        <f t="shared" si="7"/>
        <v>30</v>
      </c>
      <c r="H9" s="155">
        <f t="shared" si="7"/>
        <v>34</v>
      </c>
      <c r="I9" s="155">
        <f t="shared" si="7"/>
        <v>30</v>
      </c>
      <c r="J9" s="155">
        <f t="shared" si="7"/>
        <v>36</v>
      </c>
      <c r="K9" s="155">
        <f t="shared" si="7"/>
        <v>43</v>
      </c>
      <c r="L9" s="155">
        <f t="shared" si="7"/>
        <v>33</v>
      </c>
      <c r="M9" s="155">
        <f t="shared" si="7"/>
        <v>34</v>
      </c>
      <c r="N9" s="155">
        <f t="shared" si="7"/>
        <v>35</v>
      </c>
      <c r="O9" s="155">
        <f t="shared" si="7"/>
        <v>37</v>
      </c>
      <c r="P9" s="155">
        <f t="shared" si="7"/>
        <v>36</v>
      </c>
      <c r="Q9" s="155">
        <f t="shared" si="7"/>
        <v>51</v>
      </c>
      <c r="R9" s="155">
        <f t="shared" si="7"/>
        <v>0</v>
      </c>
      <c r="S9" s="155">
        <f t="shared" si="7"/>
        <v>0</v>
      </c>
      <c r="T9" s="155">
        <f t="shared" si="7"/>
        <v>0</v>
      </c>
      <c r="U9" s="155">
        <f t="shared" si="7"/>
        <v>0</v>
      </c>
      <c r="V9" s="155">
        <f t="shared" si="7"/>
        <v>0</v>
      </c>
      <c r="W9" s="155">
        <f t="shared" si="7"/>
        <v>0</v>
      </c>
      <c r="X9" s="155">
        <f t="shared" si="7"/>
        <v>0</v>
      </c>
      <c r="Y9" s="155">
        <f t="shared" si="7"/>
        <v>0</v>
      </c>
      <c r="Z9" s="155">
        <f t="shared" si="7"/>
        <v>0</v>
      </c>
      <c r="AA9" s="155">
        <f t="shared" si="7"/>
        <v>0</v>
      </c>
      <c r="AB9" s="155">
        <f t="shared" si="7"/>
        <v>0</v>
      </c>
      <c r="AC9" s="155">
        <f t="shared" si="7"/>
        <v>0</v>
      </c>
      <c r="AD9" s="259">
        <f t="shared" si="0"/>
        <v>207</v>
      </c>
      <c r="AE9" s="425">
        <f>IF($AD$2="ENERO",G9,IF($AD$2="FEBRERO",G9+I9,IF($AD$2="MARZO",G9+I9+K9,IF($AD$2="ABRIL",G9+I9+K9+M9,IF($AD$2="MAYO",G9+I9+K9+M9+O9,IF($AD$2="JUNIO",G9+I9+K9+M9+O9+Q9,IF($AD$2="JULIO",G9+I9+K9+M9+O9+Q9+S9,IF($AD$2="AGOSTO",G9+I9+K9+M9+O9+Q9+S9+U9,IF($AD$2="SEPTIEMBRE",G9+I9+K9+M9+O9+Q9+S9+U9+W9,IF($AD$2="OCTUBRE",G9+I9+K9+M9+O9+Q9+S9+U9+W9+Y9,IF($AD$2="NOVIEMBRE",G9+I9+K9+M9+O9+Q9+S9+U9+W9+Y9+AA9,IF($AD$2="DICIEMBRE",G9+I9+K9+M9+O9+Q9+S9+U9+W9+Y9+AA9+AC9,""))))))))))))</f>
        <v>225</v>
      </c>
      <c r="AF9" s="424">
        <f>IFERROR((AE9/AD9),0)</f>
        <v>1.0869565217391304</v>
      </c>
      <c r="AG9" s="259">
        <f t="shared" si="1"/>
        <v>207</v>
      </c>
      <c r="AH9" s="425">
        <f>IF($AD$2="ENERO",G9,IF($AD$2="FEBRERO",G9+I9,IF($AD$2="MARZO",G9+I9+K9,IF($AD$2="ABRIL",G9+I9+K9+M9,IF($AD$2="MAYO",G9+I9+K9+M9+O9,IF($AD$2="JUNIO",G9+I9+K9+M9+O9+Q9,IF($AD$2="JULIO",G9+I9+K9+M9+O9+Q9+S9,IF($AD$2="AGOSTO",G9+I9+K9+M9+O9+Q9+S9+U9,IF($AD$2="SEPTIEMBRE",G9+I9+K9+M9+O9+Q9+S9+U9+W9,IF($AD$2="OCTUBRE",G9+I9+K9+M9+O9+Q9+S9+U9+W9+Y9,IF($AD$2="NOVIEMBRE",G9+I9+K9+M9+O9+Q9+S9+U9+W9+Y9+AA9,IF($AD$2="DICIEMBRE",G9+I9+K9+M9+O9+Q9+S9+U9+W9+Y9+AA9+AC9,""))))))))))))</f>
        <v>225</v>
      </c>
      <c r="AI9" s="424">
        <f t="shared" si="2"/>
        <v>1.0869565217391304</v>
      </c>
      <c r="AJ9" s="63">
        <f t="shared" si="3"/>
        <v>103</v>
      </c>
      <c r="AK9" s="65">
        <f>IF($AJ$3="Q1",G9+I9+K9,IF($AJ$3="Q2",M9+O9++Q9,IF($AJ$3="Q3",S9+U9+W9,IF($AJ$3="Q4",Y9+AA9+AC9,0))))</f>
        <v>103</v>
      </c>
      <c r="AL9" s="66">
        <f t="shared" si="4"/>
        <v>1</v>
      </c>
      <c r="AM9" s="259">
        <f t="shared" si="5"/>
        <v>207</v>
      </c>
      <c r="AN9" s="425">
        <f>IF($AM$3="S 1",G9+I9+K9+M9+O9+Q9,IF($AM$3="S 2",S9+U9+W9+Y9+AA9+AC9,0))</f>
        <v>225</v>
      </c>
      <c r="AO9" s="424">
        <f t="shared" si="6"/>
        <v>1.0869565217391304</v>
      </c>
    </row>
    <row r="10" spans="1:41" s="53" customFormat="1" ht="16" customHeight="1" x14ac:dyDescent="0.3">
      <c r="A10" s="53">
        <f>_xlfn.XLOOKUP(B10,[8]Pedidos!$C$7:$C$67,[8]Pedidos!$B$7:$B$67)</f>
        <v>2</v>
      </c>
      <c r="B10" s="179">
        <v>100213</v>
      </c>
      <c r="C10" s="381" t="s">
        <v>15</v>
      </c>
      <c r="D10" s="51">
        <v>7450</v>
      </c>
      <c r="E10" s="309" t="s">
        <v>276</v>
      </c>
      <c r="F10" s="305">
        <v>15</v>
      </c>
      <c r="G10" s="55">
        <f>IFERROR(VLOOKUP(B10,[2]RETAIL!$T$8:$AG$63,3,0),0)-IFERROR(IF(B10=100873,VLOOKUP("ENERO",[2]RETAIL!$T$78:$U$91,2,0),0),0)</f>
        <v>23</v>
      </c>
      <c r="H10" s="305">
        <v>15</v>
      </c>
      <c r="I10" s="55">
        <f>IFERROR(VLOOKUP(B10,[2]RETAIL!$T$8:$AG$63,4,0),0)-IFERROR(IF(B10=100873,VLOOKUP("FEBRERO",[2]RETAIL!$T$78:$U$91,2,0),0),0)</f>
        <v>17</v>
      </c>
      <c r="J10" s="305">
        <v>15</v>
      </c>
      <c r="K10" s="55">
        <f>IFERROR(VLOOKUP(B10,[2]RETAIL!$T$8:$AG$63,5,0),0)-IFERROR(IF(B10=100873,VLOOKUP("MARZO",[2]RETAIL!$T$78:$U$91,2,0),0),0)</f>
        <v>16</v>
      </c>
      <c r="L10" s="305">
        <v>15</v>
      </c>
      <c r="M10" s="55">
        <f>IFERROR(VLOOKUP(B10,[2]RETAIL!$T$8:$AG$63,6,0),0)-IFERROR(IF(B10=100873,VLOOKUP("ABRIL",[2]RETAIL!$T$78:$U$91,2,0),0),0)</f>
        <v>14</v>
      </c>
      <c r="N10" s="305">
        <v>15</v>
      </c>
      <c r="O10" s="55">
        <f>IFERROR(VLOOKUP(B10,[2]RETAIL!$T$8:$AG$63,7,0),0)-IFERROR(IF(B10=100873,VLOOKUP("MAYO",[2]RETAIL!$T$78:$U$91,2,0),0),0)</f>
        <v>22</v>
      </c>
      <c r="P10" s="305">
        <v>15</v>
      </c>
      <c r="Q10" s="55">
        <f>IFERROR(VLOOKUP(B10,[2]RETAIL!$T$8:$AG$63,8,0),0)-IFERROR(IF(B10=100873,VLOOKUP("JUNIO",[2]RETAIL!$T$78:$U$91,2,0),0),0)</f>
        <v>32</v>
      </c>
      <c r="R10" s="305"/>
      <c r="S10" s="55">
        <f>IFERROR(VLOOKUP(D10,[2]RETAIL!$T$8:$AG$63,9,0),0)-IFERROR(IF(D10=100873,VLOOKUP("JULIO",[2]RETAIL!$T$78:$U$91,2,0),0),0)</f>
        <v>0</v>
      </c>
      <c r="T10" s="305"/>
      <c r="U10" s="55">
        <f>IFERROR(VLOOKUP(D10,[2]RETAIL!$T$8:$AG$63,10,0),0)-IFERROR(IF(D10=100873,VLOOKUP("AGOSTO",[2]RETAIL!$T$78:$U$91,2,0),0),0)</f>
        <v>0</v>
      </c>
      <c r="V10" s="305"/>
      <c r="W10" s="55">
        <f>IFERROR(VLOOKUP(D10,[2]RETAIL!$T$8:$AG$63,11,0),0)-IFERROR(IF(D10=100873,VLOOKUP("SEPTIEMBRE",[2]RETAIL!$T$78:$U$91,2,0),0),0)</f>
        <v>0</v>
      </c>
      <c r="X10" s="305"/>
      <c r="Y10" s="55">
        <f>IFERROR(VLOOKUP(D10,[2]RETAIL!$T$8:$AG$63,12,0),0)-IFERROR(IF(D10=100873,VLOOKUP("OCTUBRE",[2]RETAIL!$T$78:$U$91,2,0),0),0)</f>
        <v>0</v>
      </c>
      <c r="Z10" s="305"/>
      <c r="AA10" s="55">
        <f>IFERROR(VLOOKUP(D10,[2]RETAIL!$T$8:$AG$63,13,0),0)-IFERROR(IF(D10=100873,VLOOKUP("NOVIEMBRE",[2]RETAIL!$T$78:$U$91,2,0),0),0)</f>
        <v>0</v>
      </c>
      <c r="AB10" s="305"/>
      <c r="AC10" s="55">
        <f>IFERROR(VLOOKUP(D10,[2]RETAIL!$T$8:$AG$63,14,0),0)-IFERROR(IF(D10=100873,VLOOKUP("DICIEMBRE",[2]RETAIL!$T$78:$U$91,2,0),0),0)</f>
        <v>0</v>
      </c>
      <c r="AD10" s="54">
        <f t="shared" si="0"/>
        <v>90</v>
      </c>
      <c r="AE10" s="86">
        <f>IFERROR(IF($AD$2="ENERO",G10,IF($AD$2="FEBRERO",G10+I10,IF($AD$2="MARZO",G10+I10+K10,IF($AD$2="ABRIL",G10+I10+K10+M10,IF($AD$2="MAYO",G10+I10+K10+M10+O10,IF($AD$2="JUNIO",G10+I10+K10+M10+O10+Q10,IF($AD$2="JULIO",G10+I10+K10+M10+O10+Q10+S10,IF($AD$2="AGOSTO",G10+I10+K10+M10+O10+Q10+S10+U10,IF($AD$2="SEPTIEMBRE",G10+I10+K10+M10+O10+Q10+S10+U10+W10,IF($AD$2="OCTUBRE",G10+I10+K10+M10+O10+Q10+S10+U10+W10+Y10,IF($AD$2="NOVIEMBRE",G10+I10+K10+M10+O10+Q10+S10+U10+W10+Y10+AA10,IF($AD$2="DICIEMBRE",G10+I10+K10+M10+O10+Q10+S10+U10+W10+Y10+AA10+AC10,"")))))))))))),0)</f>
        <v>124</v>
      </c>
      <c r="AF10" s="243">
        <f>IFERROR((AH10/AD10),0)</f>
        <v>1.3777777777777778</v>
      </c>
      <c r="AG10" s="54">
        <f t="shared" si="1"/>
        <v>90</v>
      </c>
      <c r="AH10" s="86">
        <f>IFERROR(IF($AD$2="ENERO",G10,IF($AD$2="FEBRERO",G10+I10,IF($AD$2="MARZO",G10+I10+K10,IF($AD$2="ABRIL",G10+I10+K10+M10,IF($AD$2="MAYO",G10+I10+K10+M10+O10,IF($AD$2="JUNIO",G10+I10+K10+M10+O10+Q10,IF($AD$2="JULIO",G10+I10+K10+M10+O10+Q10+S10,IF($AD$2="AGOSTO",G10+I10+K10+M10+O10+Q10+S10+U10,IF($AD$2="SEPTIEMBRE",G10+I10+K10+M10+O10+Q10+S10+U10+W10,IF($AD$2="OCTUBRE",G10+I10+K10+M10+O10+Q10+S10+U10+W10+Y10,IF($AD$2="NOVIEMBRE",G10+I10+K10+M10+O10+Q10+S10+U10+W10+Y10+AA10,IF($AD$2="DICIEMBRE",G10+I10+K10+M10+O10+Q10+S10+U10+W10+Y10+AA10+AC10,"")))))))))))),0)</f>
        <v>124</v>
      </c>
      <c r="AI10" s="243">
        <f t="shared" si="2"/>
        <v>1.3777777777777778</v>
      </c>
      <c r="AJ10" s="54">
        <f t="shared" si="3"/>
        <v>45</v>
      </c>
      <c r="AK10" s="68">
        <f>IFERROR(IF($AJ$3="Q1",G10+I10+K10,IF($AJ$3="Q2",M10+O10++Q10,IF($AJ$3="Q3",S10+U10+W10,IF($AJ$3="Q4",Y10+AA10+AC10,0)))),0)</f>
        <v>56</v>
      </c>
      <c r="AL10" s="56">
        <f t="shared" si="4"/>
        <v>1.2444444444444445</v>
      </c>
      <c r="AM10" s="54">
        <f t="shared" si="5"/>
        <v>90</v>
      </c>
      <c r="AN10" s="86">
        <f>IFERROR(IF($AM$3="S 1",G10+I10+K10+M10+O10+Q10,IF($AM$3="S 2",S10+U10+W10+Y10+AA10+AC10,0)),0)</f>
        <v>124</v>
      </c>
      <c r="AO10" s="243">
        <f t="shared" si="6"/>
        <v>1.3777777777777778</v>
      </c>
    </row>
    <row r="11" spans="1:41" s="53" customFormat="1" ht="16" customHeight="1" x14ac:dyDescent="0.3">
      <c r="A11" s="53">
        <f>_xlfn.XLOOKUP(B11,[8]Pedidos!$C$7:$C$67,[8]Pedidos!$B$7:$B$67)</f>
        <v>2</v>
      </c>
      <c r="B11" s="179">
        <v>100319</v>
      </c>
      <c r="C11" s="381" t="s">
        <v>16</v>
      </c>
      <c r="D11" s="51">
        <v>7450</v>
      </c>
      <c r="E11" s="309" t="s">
        <v>276</v>
      </c>
      <c r="F11" s="305">
        <v>12</v>
      </c>
      <c r="G11" s="55">
        <f>IFERROR(VLOOKUP(B11,[2]RETAIL!$T$8:$AG$63,3,0),0)-IFERROR(IF(B11=100873,VLOOKUP("ENERO",[2]RETAIL!$T$78:$U$91,2,0),0),0)</f>
        <v>7</v>
      </c>
      <c r="H11" s="305">
        <v>14</v>
      </c>
      <c r="I11" s="55">
        <f>IFERROR(VLOOKUP(B11,[2]RETAIL!$T$8:$AG$63,4,0),0)-IFERROR(IF(B11=100873,VLOOKUP("FEBRERO",[2]RETAIL!$T$78:$U$91,2,0),0),0)</f>
        <v>8</v>
      </c>
      <c r="J11" s="305">
        <v>14</v>
      </c>
      <c r="K11" s="55">
        <f>IFERROR(VLOOKUP(B11,[2]RETAIL!$T$8:$AG$63,5,0),0)-IFERROR(IF(B11=100873,VLOOKUP("MARZO",[2]RETAIL!$T$78:$U$91,2,0),0),0)</f>
        <v>19</v>
      </c>
      <c r="L11" s="305">
        <v>12</v>
      </c>
      <c r="M11" s="55">
        <f>IFERROR(VLOOKUP(B11,[2]RETAIL!$T$8:$AG$63,6,0),0)-IFERROR(IF(B11=100873,VLOOKUP("ABRIL",[2]RETAIL!$T$78:$U$91,2,0),0),0)</f>
        <v>21</v>
      </c>
      <c r="N11" s="305">
        <v>14</v>
      </c>
      <c r="O11" s="55">
        <f>IFERROR(VLOOKUP(B11,[2]RETAIL!$T$8:$AG$63,7,0),0)-IFERROR(IF(B11=100873,VLOOKUP("MAYO",[2]RETAIL!$T$78:$U$91,2,0),0),0)</f>
        <v>10</v>
      </c>
      <c r="P11" s="305">
        <v>14</v>
      </c>
      <c r="Q11" s="55">
        <f>IFERROR(VLOOKUP(B11,[2]RETAIL!$T$8:$AG$63,8,0),0)-IFERROR(IF(B11=100873,VLOOKUP("JUNIO",[2]RETAIL!$T$78:$U$91,2,0),0),0)</f>
        <v>19</v>
      </c>
      <c r="R11" s="305"/>
      <c r="S11" s="55">
        <f>IFERROR(VLOOKUP(D11,[2]RETAIL!$T$8:$AG$63,9,0),0)-IFERROR(IF(D11=100873,VLOOKUP("JULIO",[2]RETAIL!$T$78:$U$91,2,0),0),0)</f>
        <v>0</v>
      </c>
      <c r="T11" s="305"/>
      <c r="U11" s="55">
        <f>IFERROR(VLOOKUP(D11,[2]RETAIL!$T$8:$AG$63,10,0),0)-IFERROR(IF(D11=100873,VLOOKUP("AGOSTO",[2]RETAIL!$T$78:$U$91,2,0),0),0)</f>
        <v>0</v>
      </c>
      <c r="V11" s="305"/>
      <c r="W11" s="55">
        <f>IFERROR(VLOOKUP(D11,[2]RETAIL!$T$8:$AG$63,11,0),0)-IFERROR(IF(D11=100873,VLOOKUP("SEPTIEMBRE",[2]RETAIL!$T$78:$U$91,2,0),0),0)</f>
        <v>0</v>
      </c>
      <c r="X11" s="305"/>
      <c r="Y11" s="55">
        <f>IFERROR(VLOOKUP(D11,[2]RETAIL!$T$8:$AG$63,12,0),0)-IFERROR(IF(D11=100873,VLOOKUP("OCTUBRE",[2]RETAIL!$T$78:$U$91,2,0),0),0)</f>
        <v>0</v>
      </c>
      <c r="Z11" s="305"/>
      <c r="AA11" s="55">
        <f>IFERROR(VLOOKUP(D11,[2]RETAIL!$T$8:$AG$63,13,0),0)-IFERROR(IF(D11=100873,VLOOKUP("NOVIEMBRE",[2]RETAIL!$T$78:$U$91,2,0),0),0)</f>
        <v>0</v>
      </c>
      <c r="AB11" s="305"/>
      <c r="AC11" s="55">
        <f>IFERROR(VLOOKUP(D11,[2]RETAIL!$T$8:$AG$63,14,0),0)-IFERROR(IF(D11=100873,VLOOKUP("DICIEMBRE",[2]RETAIL!$T$78:$U$91,2,0),0),0)</f>
        <v>0</v>
      </c>
      <c r="AD11" s="54">
        <f t="shared" si="0"/>
        <v>80</v>
      </c>
      <c r="AE11" s="86">
        <f t="shared" ref="AE11:AE19" si="8">IFERROR(IF($AD$2="ENERO",G11,IF($AD$2="FEBRERO",G11+I11,IF($AD$2="MARZO",G11+I11+K11,IF($AD$2="ABRIL",G11+I11+K11+M11,IF($AD$2="MAYO",G11+I11+K11+M11+O11,IF($AD$2="JUNIO",G11+I11+K11+M11+O11+Q11,IF($AD$2="JULIO",G11+I11+K11+M11+O11+Q11+S11,IF($AD$2="AGOSTO",G11+I11+K11+M11+O11+Q11+S11+U11,IF($AD$2="SEPTIEMBRE",G11+I11+K11+M11+O11+Q11+S11+U11+W11,IF($AD$2="OCTUBRE",G11+I11+K11+M11+O11+Q11+S11+U11+W11+Y11,IF($AD$2="NOVIEMBRE",G11+I11+K11+M11+O11+Q11+S11+U11+W11+Y11+AA11,IF($AD$2="DICIEMBRE",G11+I11+K11+M11+O11+Q11+S11+U11+W11+Y11+AA11+AC11,"")))))))))))),0)</f>
        <v>84</v>
      </c>
      <c r="AF11" s="243">
        <f t="shared" ref="AF11:AF21" si="9">IFERROR((AE11/AD11),0)</f>
        <v>1.05</v>
      </c>
      <c r="AG11" s="54">
        <f t="shared" si="1"/>
        <v>80</v>
      </c>
      <c r="AH11" s="86">
        <f t="shared" ref="AH11:AH19" si="10">IFERROR(IF($AD$2="ENERO",G11,IF($AD$2="FEBRERO",G11+I11,IF($AD$2="MARZO",G11+I11+K11,IF($AD$2="ABRIL",G11+I11+K11+M11,IF($AD$2="MAYO",G11+I11+K11+M11+O11,IF($AD$2="JUNIO",G11+I11+K11+M11+O11+Q11,IF($AD$2="JULIO",G11+I11+K11+M11+O11+Q11+S11,IF($AD$2="AGOSTO",G11+I11+K11+M11+O11+Q11+S11+U11,IF($AD$2="SEPTIEMBRE",G11+I11+K11+M11+O11+Q11+S11+U11+W11,IF($AD$2="OCTUBRE",G11+I11+K11+M11+O11+Q11+S11+U11+W11+Y11,IF($AD$2="NOVIEMBRE",G11+I11+K11+M11+O11+Q11+S11+U11+W11+Y11+AA11,IF($AD$2="DICIEMBRE",G11+I11+K11+M11+O11+Q11+S11+U11+W11+Y11+AA11+AC11,"")))))))))))),0)</f>
        <v>84</v>
      </c>
      <c r="AI11" s="243">
        <f t="shared" si="2"/>
        <v>1.05</v>
      </c>
      <c r="AJ11" s="54">
        <f t="shared" si="3"/>
        <v>40</v>
      </c>
      <c r="AK11" s="68">
        <f t="shared" ref="AK11:AK19" si="11">IFERROR(IF($AJ$3="Q1",G11+I11+K11,IF($AJ$3="Q2",M11+O11++Q11,IF($AJ$3="Q3",S11+U11+W11,IF($AJ$3="Q4",Y11+AA11+AC11,0)))),0)</f>
        <v>34</v>
      </c>
      <c r="AL11" s="56">
        <f t="shared" si="4"/>
        <v>0.85</v>
      </c>
      <c r="AM11" s="54">
        <f t="shared" si="5"/>
        <v>80</v>
      </c>
      <c r="AN11" s="86">
        <f t="shared" ref="AN11:AN19" si="12">IFERROR(IF($AM$3="S 1",G11+I11+K11+M11+O11+Q11,IF($AM$3="S 2",S11+U11+W11+Y11+AA11+AC11,0)),0)</f>
        <v>84</v>
      </c>
      <c r="AO11" s="243">
        <f t="shared" si="6"/>
        <v>1.05</v>
      </c>
    </row>
    <row r="12" spans="1:41" s="53" customFormat="1" ht="16" customHeight="1" x14ac:dyDescent="0.3">
      <c r="A12" s="53">
        <f>_xlfn.XLOOKUP(B12,[8]Pedidos!$C$7:$C$67,[8]Pedidos!$B$7:$B$67)</f>
        <v>2</v>
      </c>
      <c r="B12" s="179">
        <v>100349</v>
      </c>
      <c r="C12" s="381" t="s">
        <v>10</v>
      </c>
      <c r="D12" s="51">
        <v>7450</v>
      </c>
      <c r="E12" s="309" t="s">
        <v>276</v>
      </c>
      <c r="F12" s="305">
        <v>12</v>
      </c>
      <c r="G12" s="55">
        <f>IFERROR(VLOOKUP(B12,[2]RETAIL!$T$8:$AG$63,3,0),0)-IFERROR(IF(B12=100873,VLOOKUP("ENERO",[2]RETAIL!$T$78:$U$91,2,0),0),0)</f>
        <v>11</v>
      </c>
      <c r="H12" s="305">
        <v>14</v>
      </c>
      <c r="I12" s="55">
        <f>IFERROR(VLOOKUP(B12,[2]RETAIL!$T$8:$AG$63,4,0),0)-IFERROR(IF(B12=100873,VLOOKUP("FEBRERO",[2]RETAIL!$T$78:$U$91,2,0),0),0)</f>
        <v>8</v>
      </c>
      <c r="J12" s="305">
        <v>14</v>
      </c>
      <c r="K12" s="55">
        <f>IFERROR(VLOOKUP(B12,[2]RETAIL!$T$8:$AG$63,5,0),0)-IFERROR(IF(B12=100873,VLOOKUP("MARZO",[2]RETAIL!$T$78:$U$91,2,0),0),0)</f>
        <v>14</v>
      </c>
      <c r="L12" s="305">
        <v>12</v>
      </c>
      <c r="M12" s="55">
        <f>IFERROR(VLOOKUP(B12,[2]RETAIL!$T$8:$AG$63,6,0),0)-IFERROR(IF(B12=100873,VLOOKUP("ABRIL",[2]RETAIL!$T$78:$U$91,2,0),0),0)</f>
        <v>14</v>
      </c>
      <c r="N12" s="305">
        <v>14</v>
      </c>
      <c r="O12" s="55">
        <f>IFERROR(VLOOKUP(B12,[2]RETAIL!$T$8:$AG$63,7,0),0)-IFERROR(IF(B12=100873,VLOOKUP("MAYO",[2]RETAIL!$T$78:$U$91,2,0),0),0)</f>
        <v>17</v>
      </c>
      <c r="P12" s="305">
        <v>14</v>
      </c>
      <c r="Q12" s="55">
        <f>IFERROR(VLOOKUP(B12,[2]RETAIL!$T$8:$AG$63,8,0),0)-IFERROR(IF(B12=100873,VLOOKUP("JUNIO",[2]RETAIL!$T$78:$U$91,2,0),0),0)</f>
        <v>19</v>
      </c>
      <c r="R12" s="305"/>
      <c r="S12" s="55">
        <f>IFERROR(VLOOKUP(D12,[2]RETAIL!$T$8:$AG$63,9,0),0)-IFERROR(IF(D12=100873,VLOOKUP("JULIO",[2]RETAIL!$T$78:$U$91,2,0),0),0)</f>
        <v>0</v>
      </c>
      <c r="T12" s="305"/>
      <c r="U12" s="55">
        <f>IFERROR(VLOOKUP(D12,[2]RETAIL!$T$8:$AG$63,10,0),0)-IFERROR(IF(D12=100873,VLOOKUP("AGOSTO",[2]RETAIL!$T$78:$U$91,2,0),0),0)</f>
        <v>0</v>
      </c>
      <c r="V12" s="305"/>
      <c r="W12" s="55">
        <f>IFERROR(VLOOKUP(D12,[2]RETAIL!$T$8:$AG$63,11,0),0)-IFERROR(IF(D12=100873,VLOOKUP("SEPTIEMBRE",[2]RETAIL!$T$78:$U$91,2,0),0),0)</f>
        <v>0</v>
      </c>
      <c r="X12" s="305"/>
      <c r="Y12" s="55">
        <f>IFERROR(VLOOKUP(D12,[2]RETAIL!$T$8:$AG$63,12,0),0)-IFERROR(IF(D12=100873,VLOOKUP("OCTUBRE",[2]RETAIL!$T$78:$U$91,2,0),0),0)</f>
        <v>0</v>
      </c>
      <c r="Z12" s="305"/>
      <c r="AA12" s="55">
        <f>IFERROR(VLOOKUP(D12,[2]RETAIL!$T$8:$AG$63,13,0),0)-IFERROR(IF(D12=100873,VLOOKUP("NOVIEMBRE",[2]RETAIL!$T$78:$U$91,2,0),0),0)</f>
        <v>0</v>
      </c>
      <c r="AB12" s="305"/>
      <c r="AC12" s="55">
        <f>IFERROR(VLOOKUP(D12,[2]RETAIL!$T$8:$AG$63,14,0),0)-IFERROR(IF(D12=100873,VLOOKUP("DICIEMBRE",[2]RETAIL!$T$78:$U$91,2,0),0),0)</f>
        <v>0</v>
      </c>
      <c r="AD12" s="54">
        <f t="shared" si="0"/>
        <v>80</v>
      </c>
      <c r="AE12" s="86">
        <f>IFERROR(IF($AD$2="ENERO",G12,IF($AD$2="FEBRERO",G12+I12,IF($AD$2="MARZO",G12+I12+K12,IF($AD$2="ABRIL",G12+I12+K12+M12,IF($AD$2="MAYO",G12+I12+K12+M12+O12,IF($AD$2="JUNIO",G12+I12+K12+M12+O12+Q12,IF($AD$2="JULIO",G12+I12+K12+M12+O12+Q12+S12,IF($AD$2="AGOSTO",G12+I12+K12+M12+O12+Q12+S12+U12,IF($AD$2="SEPTIEMBRE",G12+I12+K12+M12+O12+Q12+S12+U12+W12,IF($AD$2="OCTUBRE",G12+I12+K12+M12+O12+Q12+S12+U12+W12+Y12,IF($AD$2="NOVIEMBRE",G12+I12+K12+M12+O12+Q12+S12+U12+W12+Y12+AA12,IF($AD$2="DICIEMBRE",G12+I12+K12+M12+O12+Q12+S12+U12+W12+Y12+AA12+AC12,"")))))))))))),0)</f>
        <v>83</v>
      </c>
      <c r="AF12" s="243">
        <f t="shared" si="9"/>
        <v>1.0375000000000001</v>
      </c>
      <c r="AG12" s="54">
        <f t="shared" si="1"/>
        <v>80</v>
      </c>
      <c r="AH12" s="86">
        <f>IFERROR(IF($AD$2="ENERO",G12,IF($AD$2="FEBRERO",G12+I12,IF($AD$2="MARZO",G12+I12+K12,IF($AD$2="ABRIL",G12+I12+K12+M12,IF($AD$2="MAYO",G12+I12+K12+M12+O12,IF($AD$2="JUNIO",G12+I12+K12+M12+O12+Q12,IF($AD$2="JULIO",G12+I12+K12+M12+O12+Q12+S12,IF($AD$2="AGOSTO",G12+I12+K12+M12+O12+Q12+S12+U12,IF($AD$2="SEPTIEMBRE",G12+I12+K12+M12+O12+Q12+S12+U12+W12,IF($AD$2="OCTUBRE",G12+I12+K12+M12+O12+Q12+S12+U12+W12+Y12,IF($AD$2="NOVIEMBRE",G12+I12+K12+M12+O12+Q12+S12+U12+W12+Y12+AA12,IF($AD$2="DICIEMBRE",G12+I12+K12+M12+O12+Q12+S12+U12+W12+Y12+AA12+AC12,"")))))))))))),0)</f>
        <v>83</v>
      </c>
      <c r="AI12" s="243">
        <f t="shared" si="2"/>
        <v>1.0375000000000001</v>
      </c>
      <c r="AJ12" s="54">
        <f t="shared" si="3"/>
        <v>40</v>
      </c>
      <c r="AK12" s="86">
        <f>IFERROR(IF($AJ$3="Q1",G12+I12+K12,IF($AJ$3="Q2",M12+O12++Q12,IF($AJ$3="Q3",S12+U12+W12,IF($AJ$3="Q4",Y12+AA12+AC12,0)))),0)</f>
        <v>33</v>
      </c>
      <c r="AL12" s="56">
        <f t="shared" si="4"/>
        <v>0.82499999999999996</v>
      </c>
      <c r="AM12" s="54">
        <f t="shared" si="5"/>
        <v>80</v>
      </c>
      <c r="AN12" s="86">
        <f>IFERROR(IF($AM$3="S 1",G12+I12+K12+M12+O12+Q12,IF($AM$3="S 2",S12+U12+W12+Y12+AA12+AC12,0)),0)</f>
        <v>83</v>
      </c>
      <c r="AO12" s="243">
        <f t="shared" si="6"/>
        <v>1.0375000000000001</v>
      </c>
    </row>
    <row r="13" spans="1:41" s="53" customFormat="1" ht="16" customHeight="1" x14ac:dyDescent="0.3">
      <c r="A13" s="53">
        <f>_xlfn.XLOOKUP(B13,[8]Pedidos!$C$7:$C$67,[8]Pedidos!$B$7:$B$67)</f>
        <v>2</v>
      </c>
      <c r="B13" s="179">
        <v>100917</v>
      </c>
      <c r="C13" s="381" t="s">
        <v>263</v>
      </c>
      <c r="D13" s="51">
        <v>7450</v>
      </c>
      <c r="E13" s="309" t="s">
        <v>276</v>
      </c>
      <c r="F13" s="539">
        <v>1</v>
      </c>
      <c r="G13" s="55">
        <f>IFERROR(VLOOKUP(B13,[2]RETAIL!$T$8:$AG$63,3,0),0)-IFERROR(IF(B13=100873,VLOOKUP("ENERO",[2]RETAIL!$T$78:$U$91,2,0),0),0)</f>
        <v>1</v>
      </c>
      <c r="H13" s="539">
        <v>1</v>
      </c>
      <c r="I13" s="55">
        <f>IFERROR(VLOOKUP(B13,[2]RETAIL!$T$8:$AG$63,4,0),0)-IFERROR(IF(B13=100873,VLOOKUP("FEBRERO",[2]RETAIL!$T$78:$U$91,2,0),0),0)</f>
        <v>1</v>
      </c>
      <c r="J13" s="539">
        <v>5</v>
      </c>
      <c r="K13" s="55">
        <f>IFERROR(VLOOKUP(B13,[2]RETAIL!$T$8:$AG$63,5,0),0)-IFERROR(IF(B13=100873,VLOOKUP("MARZO",[2]RETAIL!$T$78:$U$91,2,0),0),0)</f>
        <v>0</v>
      </c>
      <c r="L13" s="539">
        <v>6</v>
      </c>
      <c r="M13" s="55">
        <f>IFERROR(VLOOKUP(B13,[2]RETAIL!$T$8:$AG$63,6,0),0)-IFERROR(IF(B13=100873,VLOOKUP("ABRIL",[2]RETAIL!$T$78:$U$91,2,0),0),0)</f>
        <v>10</v>
      </c>
      <c r="N13" s="539">
        <v>6</v>
      </c>
      <c r="O13" s="55">
        <f>IFERROR(VLOOKUP(B13,[2]RETAIL!$T$8:$AG$63,7,0),0)-IFERROR(IF(B13=100873,VLOOKUP("MAYO",[2]RETAIL!$T$78:$U$91,2,0),0),0)</f>
        <v>5</v>
      </c>
      <c r="P13" s="539">
        <v>6</v>
      </c>
      <c r="Q13" s="55">
        <f>IFERROR(VLOOKUP(B13,[2]RETAIL!$T$8:$AG$63,8,0),0)-IFERROR(IF(B13=100873,VLOOKUP("JUNIO",[2]RETAIL!$T$78:$U$91,2,0),0),0)</f>
        <v>2</v>
      </c>
      <c r="R13" s="305"/>
      <c r="S13" s="55">
        <f>IFERROR(VLOOKUP(D13,[2]RETAIL!$T$8:$AG$63,9,0),0)-IFERROR(IF(D13=100873,VLOOKUP("JULIO",[2]RETAIL!$T$78:$U$91,2,0),0),0)</f>
        <v>0</v>
      </c>
      <c r="T13" s="305"/>
      <c r="U13" s="55">
        <f>IFERROR(VLOOKUP(D13,[2]RETAIL!$T$8:$AG$63,10,0),0)-IFERROR(IF(D13=100873,VLOOKUP("AGOSTO",[2]RETAIL!$T$78:$U$91,2,0),0),0)</f>
        <v>0</v>
      </c>
      <c r="V13" s="305"/>
      <c r="W13" s="55">
        <f>IFERROR(VLOOKUP(D13,[2]RETAIL!$T$8:$AG$63,11,0),0)-IFERROR(IF(D13=100873,VLOOKUP("SEPTIEMBRE",[2]RETAIL!$T$78:$U$91,2,0),0),0)</f>
        <v>0</v>
      </c>
      <c r="X13" s="305"/>
      <c r="Y13" s="55">
        <f>IFERROR(VLOOKUP(D13,[2]RETAIL!$T$8:$AG$63,12,0),0)-IFERROR(IF(D13=100873,VLOOKUP("OCTUBRE",[2]RETAIL!$T$78:$U$91,2,0),0),0)</f>
        <v>0</v>
      </c>
      <c r="Z13" s="305"/>
      <c r="AA13" s="55">
        <f>IFERROR(VLOOKUP(D13,[2]RETAIL!$T$8:$AG$63,13,0),0)-IFERROR(IF(D13=100873,VLOOKUP("NOVIEMBRE",[2]RETAIL!$T$78:$U$91,2,0),0),0)</f>
        <v>0</v>
      </c>
      <c r="AB13" s="305"/>
      <c r="AC13" s="55">
        <f>IFERROR(VLOOKUP(D13,[2]RETAIL!$T$8:$AG$63,14,0),0)-IFERROR(IF(D13=100873,VLOOKUP("DICIEMBRE",[2]RETAIL!$T$78:$U$91,2,0),0),0)</f>
        <v>0</v>
      </c>
      <c r="AD13" s="54">
        <f t="shared" si="0"/>
        <v>25</v>
      </c>
      <c r="AE13" s="86">
        <f>IFERROR(IF($AD$2="ENERO",G13,IF($AD$2="FEBRERO",G13+I13,IF($AD$2="MARZO",G13+I13+K13,IF($AD$2="ABRIL",G13+I13+K13+M13,IF($AD$2="MAYO",G13+I13+K13+M13+O13,IF($AD$2="JUNIO",G13+I13+K13+M13+O13+Q13,IF($AD$2="JULIO",G13+I13+K13+M13+O13+Q13+S13,IF($AD$2="AGOSTO",G13+I13+K13+M13+O13+Q13+S13+U13,IF($AD$2="SEPTIEMBRE",G13+I13+K13+M13+O13+Q13+S13+U13+W13,IF($AD$2="OCTUBRE",G13+I13+K13+M13+O13+Q13+S13+U13+W13+Y13,IF($AD$2="NOVIEMBRE",G13+I13+K13+M13+O13+Q13+S13+U13+W13+Y13+AA13,IF($AD$2="DICIEMBRE",G13+I13+K13+M13+O13+Q13+S13+U13+W13+Y13+AA13+AC13,"")))))))))))),0)</f>
        <v>19</v>
      </c>
      <c r="AF13" s="243">
        <f t="shared" si="9"/>
        <v>0.76</v>
      </c>
      <c r="AG13" s="54">
        <f t="shared" si="1"/>
        <v>25</v>
      </c>
      <c r="AH13" s="86">
        <f>IFERROR(IF($AD$2="ENERO",G13,IF($AD$2="FEBRERO",G13+I13,IF($AD$2="MARZO",G13+I13+K13,IF($AD$2="ABRIL",G13+I13+K13+M13,IF($AD$2="MAYO",G13+I13+K13+M13+O13,IF($AD$2="JUNIO",G13+I13+K13+M13+O13+Q13,IF($AD$2="JULIO",G13+I13+K13+M13+O13+Q13+S13,IF($AD$2="AGOSTO",G13+I13+K13+M13+O13+Q13+S13+U13,IF($AD$2="SEPTIEMBRE",G13+I13+K13+M13+O13+Q13+S13+U13+W13,IF($AD$2="OCTUBRE",G13+I13+K13+M13+O13+Q13+S13+U13+W13+Y13,IF($AD$2="NOVIEMBRE",G13+I13+K13+M13+O13+Q13+S13+U13+W13+Y13+AA13,IF($AD$2="DICIEMBRE",G13+I13+K13+M13+O13+Q13+S13+U13+W13+Y13+AA13+AC13,"")))))))))))),0)</f>
        <v>19</v>
      </c>
      <c r="AI13" s="243">
        <f t="shared" si="2"/>
        <v>0.76</v>
      </c>
      <c r="AJ13" s="54">
        <f t="shared" si="3"/>
        <v>7</v>
      </c>
      <c r="AK13" s="86">
        <f>IFERROR(IF($AJ$3="Q1",G13+I13+K13,IF($AJ$3="Q2",M13+O13++Q13,IF($AJ$3="Q3",S13+U13+W13,IF($AJ$3="Q4",Y13+AA13+AC13,0)))),0)</f>
        <v>2</v>
      </c>
      <c r="AL13" s="56">
        <f t="shared" si="4"/>
        <v>0.2857142857142857</v>
      </c>
      <c r="AM13" s="54">
        <f t="shared" si="5"/>
        <v>25</v>
      </c>
      <c r="AN13" s="86">
        <f>IFERROR(IF($AM$3="S 1",G13+I13+K13+M13+O13+Q13,IF($AM$3="S 2",S13+U13+W13+Y13+AA13+AC13,0)),0)</f>
        <v>19</v>
      </c>
      <c r="AO13" s="243">
        <f t="shared" si="6"/>
        <v>0.76</v>
      </c>
    </row>
    <row r="14" spans="1:41" s="53" customFormat="1" ht="16" customHeight="1" thickBot="1" x14ac:dyDescent="0.35">
      <c r="A14" s="53">
        <f>_xlfn.XLOOKUP(B14,[8]Pedidos!$C$7:$C$67,[8]Pedidos!$B$7:$B$67)</f>
        <v>2</v>
      </c>
      <c r="B14" s="179">
        <v>100726</v>
      </c>
      <c r="C14" s="381" t="s">
        <v>19</v>
      </c>
      <c r="D14" s="51">
        <v>39198</v>
      </c>
      <c r="E14" s="309" t="s">
        <v>88</v>
      </c>
      <c r="F14" s="305">
        <v>4</v>
      </c>
      <c r="G14" s="55">
        <f>IFERROR(VLOOKUP(B14,[2]RETAIL!$T$8:$AG$63,3,0),0)-IFERROR(IF(B14=100873,VLOOKUP("ENERO",[2]RETAIL!$T$78:$U$91,2,0),0),0)</f>
        <v>2</v>
      </c>
      <c r="H14" s="305">
        <v>4</v>
      </c>
      <c r="I14" s="55">
        <f>IFERROR(VLOOKUP(B14,[2]RETAIL!$T$8:$AG$63,4,0),0)-IFERROR(IF(B14=100873,VLOOKUP("FEBRERO",[2]RETAIL!$T$78:$U$91,2,0),0),0)</f>
        <v>5</v>
      </c>
      <c r="J14" s="305">
        <v>5</v>
      </c>
      <c r="K14" s="55">
        <f>IFERROR(VLOOKUP(B14,[2]RETAIL!$T$8:$AG$63,5,0),0)-IFERROR(IF(B14=100873,VLOOKUP("MARZO",[2]RETAIL!$T$78:$U$91,2,0),0),0)</f>
        <v>5</v>
      </c>
      <c r="L14" s="305">
        <v>4</v>
      </c>
      <c r="M14" s="55">
        <f>IFERROR(VLOOKUP(B14,[2]RETAIL!$T$8:$AG$63,6,0),0)-IFERROR(IF(B14=100873,VLOOKUP("ABRIL",[2]RETAIL!$T$78:$U$91,2,0),0),0)</f>
        <v>6</v>
      </c>
      <c r="N14" s="305">
        <v>5</v>
      </c>
      <c r="O14" s="55">
        <f>IFERROR(VLOOKUP(B14,[2]RETAIL!$T$8:$AG$63,7,0),0)-IFERROR(IF(B14=100873,VLOOKUP("MAYO",[2]RETAIL!$T$78:$U$91,2,0),0),0)</f>
        <v>2</v>
      </c>
      <c r="P14" s="305">
        <v>5</v>
      </c>
      <c r="Q14" s="55">
        <f>IFERROR(VLOOKUP(B14,[2]RETAIL!$T$8:$AG$63,8,0),0)-IFERROR(IF(B14=100873,VLOOKUP("JUNIO",[2]RETAIL!$T$78:$U$91,2,0),0),0)</f>
        <v>11</v>
      </c>
      <c r="R14" s="305"/>
      <c r="S14" s="55">
        <f>IFERROR(VLOOKUP(D14,[2]RETAIL!$T$8:$AG$63,9,0),0)-IFERROR(IF(D14=100873,VLOOKUP("JULIO",[2]RETAIL!$T$78:$U$91,2,0),0),0)</f>
        <v>0</v>
      </c>
      <c r="T14" s="305"/>
      <c r="U14" s="55">
        <f>IFERROR(VLOOKUP(D14,[2]RETAIL!$T$8:$AG$63,10,0),0)-IFERROR(IF(D14=100873,VLOOKUP("AGOSTO",[2]RETAIL!$T$78:$U$91,2,0),0),0)</f>
        <v>0</v>
      </c>
      <c r="V14" s="305"/>
      <c r="W14" s="55">
        <f>IFERROR(VLOOKUP(D14,[2]RETAIL!$T$8:$AG$63,11,0),0)-IFERROR(IF(D14=100873,VLOOKUP("SEPTIEMBRE",[2]RETAIL!$T$78:$U$91,2,0),0),0)</f>
        <v>0</v>
      </c>
      <c r="X14" s="305"/>
      <c r="Y14" s="55">
        <f>IFERROR(VLOOKUP(D14,[2]RETAIL!$T$8:$AG$63,12,0),0)-IFERROR(IF(D14=100873,VLOOKUP("OCTUBRE",[2]RETAIL!$T$78:$U$91,2,0),0),0)</f>
        <v>0</v>
      </c>
      <c r="Z14" s="305"/>
      <c r="AA14" s="55">
        <f>IFERROR(VLOOKUP(D14,[2]RETAIL!$T$8:$AG$63,13,0),0)-IFERROR(IF(D14=100873,VLOOKUP("NOVIEMBRE",[2]RETAIL!$T$78:$U$91,2,0),0),0)</f>
        <v>0</v>
      </c>
      <c r="AB14" s="305"/>
      <c r="AC14" s="55">
        <f>IFERROR(VLOOKUP(D14,[2]RETAIL!$T$8:$AG$63,14,0),0)-IFERROR(IF(D14=100873,VLOOKUP("DICIEMBRE",[2]RETAIL!$T$78:$U$91,2,0),0),0)</f>
        <v>0</v>
      </c>
      <c r="AD14" s="58">
        <f t="shared" si="0"/>
        <v>27</v>
      </c>
      <c r="AE14" s="86">
        <f>IFERROR(IF($AD$2="ENERO",G14,IF($AD$2="FEBRERO",G14+I14,IF($AD$2="MARZO",G14+I14+K14,IF($AD$2="ABRIL",G14+I14+K14+M14,IF($AD$2="MAYO",G14+I14+K14+M14+O14,IF($AD$2="JUNIO",G14+I14+K14+M14+O14+Q14,IF($AD$2="JULIO",G14+I14+K14+M14+O14+Q14+S14,IF($AD$2="AGOSTO",G14+I14+K14+M14+O14+Q14+S14+U14,IF($AD$2="SEPTIEMBRE",G14+I14+K14+M14+O14+Q14+S14+U14+W14,IF($AD$2="OCTUBRE",G14+I14+K14+M14+O14+Q14+S14+U14+W14+Y14,IF($AD$2="NOVIEMBRE",G14+I14+K14+M14+O14+Q14+S14+U14+W14+Y14+AA14,IF($AD$2="DICIEMBRE",G14+I14+K14+M14+O14+Q14+S14+U14+W14+Y14+AA14+AC14,"")))))))))))),0)</f>
        <v>31</v>
      </c>
      <c r="AF14" s="382">
        <f t="shared" si="9"/>
        <v>1.1481481481481481</v>
      </c>
      <c r="AG14" s="58">
        <f t="shared" si="1"/>
        <v>27</v>
      </c>
      <c r="AH14" s="86">
        <f>IFERROR(IF($AD$2="ENERO",G14,IF($AD$2="FEBRERO",G14+I14,IF($AD$2="MARZO",G14+I14+K14,IF($AD$2="ABRIL",G14+I14+K14+M14,IF($AD$2="MAYO",G14+I14+K14+M14+O14,IF($AD$2="JUNIO",G14+I14+K14+M14+O14+Q14,IF($AD$2="JULIO",G14+I14+K14+M14+O14+Q14+S14,IF($AD$2="AGOSTO",G14+I14+K14+M14+O14+Q14+S14+U14,IF($AD$2="SEPTIEMBRE",G14+I14+K14+M14+O14+Q14+S14+U14+W14,IF($AD$2="OCTUBRE",G14+I14+K14+M14+O14+Q14+S14+U14+W14+Y14,IF($AD$2="NOVIEMBRE",G14+I14+K14+M14+O14+Q14+S14+U14+W14+Y14+AA14,IF($AD$2="DICIEMBRE",G14+I14+K14+M14+O14+Q14+S14+U14+W14+Y14+AA14+AC14,"")))))))))))),0)</f>
        <v>31</v>
      </c>
      <c r="AI14" s="382">
        <f t="shared" si="2"/>
        <v>1.1481481481481481</v>
      </c>
      <c r="AJ14" s="58">
        <f t="shared" si="3"/>
        <v>13</v>
      </c>
      <c r="AK14" s="86">
        <f>IFERROR(IF($AJ$3="Q1",G14+I14+K14,IF($AJ$3="Q2",M14+O14++Q14,IF($AJ$3="Q3",S14+U14+W14,IF($AJ$3="Q4",Y14+AA14+AC14,0)))),0)</f>
        <v>12</v>
      </c>
      <c r="AL14" s="60">
        <f t="shared" si="4"/>
        <v>0.92307692307692313</v>
      </c>
      <c r="AM14" s="58">
        <f t="shared" si="5"/>
        <v>27</v>
      </c>
      <c r="AN14" s="59">
        <f>IFERROR(IF($AM$3="S 1",G14+I14+K14+M14+O14+Q14,IF($AM$3="S 2",S14+U14+W14+Y14+AA14+AC14,0)),0)</f>
        <v>31</v>
      </c>
      <c r="AO14" s="382">
        <f t="shared" si="6"/>
        <v>1.1481481481481481</v>
      </c>
    </row>
    <row r="15" spans="1:41" s="53" customFormat="1" ht="16" customHeight="1" thickBot="1" x14ac:dyDescent="0.35">
      <c r="A15" s="50"/>
      <c r="B15" s="180" t="s">
        <v>265</v>
      </c>
      <c r="C15" s="62"/>
      <c r="D15" s="80"/>
      <c r="E15" s="265"/>
      <c r="F15" s="155">
        <f t="shared" ref="F15:AC15" si="13">SUM(F10:F14)</f>
        <v>44</v>
      </c>
      <c r="G15" s="155">
        <f t="shared" si="13"/>
        <v>44</v>
      </c>
      <c r="H15" s="155">
        <f t="shared" si="13"/>
        <v>48</v>
      </c>
      <c r="I15" s="155">
        <f t="shared" si="13"/>
        <v>39</v>
      </c>
      <c r="J15" s="155">
        <f t="shared" si="13"/>
        <v>53</v>
      </c>
      <c r="K15" s="155">
        <f t="shared" si="13"/>
        <v>54</v>
      </c>
      <c r="L15" s="155">
        <f t="shared" si="13"/>
        <v>49</v>
      </c>
      <c r="M15" s="155">
        <f t="shared" si="13"/>
        <v>65</v>
      </c>
      <c r="N15" s="155">
        <f t="shared" si="13"/>
        <v>54</v>
      </c>
      <c r="O15" s="155">
        <f t="shared" si="13"/>
        <v>56</v>
      </c>
      <c r="P15" s="155">
        <f t="shared" si="13"/>
        <v>54</v>
      </c>
      <c r="Q15" s="155">
        <f t="shared" si="13"/>
        <v>83</v>
      </c>
      <c r="R15" s="155">
        <f t="shared" si="13"/>
        <v>0</v>
      </c>
      <c r="S15" s="155">
        <f t="shared" si="13"/>
        <v>0</v>
      </c>
      <c r="T15" s="155">
        <f t="shared" si="13"/>
        <v>0</v>
      </c>
      <c r="U15" s="155">
        <f t="shared" si="13"/>
        <v>0</v>
      </c>
      <c r="V15" s="155">
        <f t="shared" si="13"/>
        <v>0</v>
      </c>
      <c r="W15" s="155">
        <f t="shared" si="13"/>
        <v>0</v>
      </c>
      <c r="X15" s="155">
        <f t="shared" si="13"/>
        <v>0</v>
      </c>
      <c r="Y15" s="155">
        <f t="shared" si="13"/>
        <v>0</v>
      </c>
      <c r="Z15" s="155">
        <f t="shared" si="13"/>
        <v>0</v>
      </c>
      <c r="AA15" s="155">
        <f t="shared" si="13"/>
        <v>0</v>
      </c>
      <c r="AB15" s="155">
        <f t="shared" si="13"/>
        <v>0</v>
      </c>
      <c r="AC15" s="155">
        <f t="shared" si="13"/>
        <v>0</v>
      </c>
      <c r="AD15" s="259">
        <f t="shared" si="0"/>
        <v>302</v>
      </c>
      <c r="AE15" s="425">
        <f>IF($AD$2="ENERO",G15,IF($AD$2="FEBRERO",G15+I15,IF($AD$2="MARZO",G15+I15+K15,IF($AD$2="ABRIL",G15+I15+K15+M15,IF($AD$2="MAYO",G15+I15+K15+M15+O15,IF($AD$2="JUNIO",G15+I15+K15+M15+O15+Q15,IF($AD$2="JULIO",G15+I15+K15+M15+O15+Q15+S15,IF($AD$2="AGOSTO",G15+I15+K15+M15+O15+Q15+S15+U15,IF($AD$2="SEPTIEMBRE",G15+I15+K15+M15+O15+Q15+S15+U15+W15,IF($AD$2="OCTUBRE",G15+I15+K15+M15+O15+Q15+S15+U15+W15+Y15,IF($AD$2="NOVIEMBRE",G15+I15+K15+M15+O15+Q15+S15+U15+W15+Y15+AA15,IF($AD$2="DICIEMBRE",G15+I15+K15+M15+O15+Q15+S15+U15+W15+Y15+AA15+AC15,""))))))))))))</f>
        <v>341</v>
      </c>
      <c r="AF15" s="424">
        <f t="shared" si="9"/>
        <v>1.1291390728476822</v>
      </c>
      <c r="AG15" s="259">
        <f t="shared" si="1"/>
        <v>302</v>
      </c>
      <c r="AH15" s="425">
        <f>IF($AD$2="ENERO",G15,IF($AD$2="FEBRERO",G15+I15,IF($AD$2="MARZO",G15+I15+K15,IF($AD$2="ABRIL",G15+I15+K15+M15,IF($AD$2="MAYO",G15+I15+K15+M15+O15,IF($AD$2="JUNIO",G15+I15+K15+M15+O15+Q15,IF($AD$2="JULIO",G15+I15+K15+M15+O15+Q15+S15,IF($AD$2="AGOSTO",G15+I15+K15+M15+O15+Q15+S15+U15,IF($AD$2="SEPTIEMBRE",G15+I15+K15+M15+O15+Q15+S15+U15+W15,IF($AD$2="OCTUBRE",G15+I15+K15+M15+O15+Q15+S15+U15+W15+Y15,IF($AD$2="NOVIEMBRE",G15+I15+K15+M15+O15+Q15+S15+U15+W15+Y15+AA15,IF($AD$2="DICIEMBRE",G15+I15+K15+M15+O15+Q15+S15+U15+W15+Y15+AA15+AC15,""))))))))))))</f>
        <v>341</v>
      </c>
      <c r="AI15" s="424">
        <f t="shared" si="2"/>
        <v>1.1291390728476822</v>
      </c>
      <c r="AJ15" s="63">
        <f t="shared" si="3"/>
        <v>145</v>
      </c>
      <c r="AK15" s="65">
        <f>IF($AJ$3="Q1",G15+I15+K15,IF($AJ$3="Q2",M15+O15++Q15,IF($AJ$3="Q3",S15+U15+W15,IF($AJ$3="Q4",Y15+AA15+AC15,0))))</f>
        <v>137</v>
      </c>
      <c r="AL15" s="66">
        <f t="shared" si="4"/>
        <v>0.94482758620689655</v>
      </c>
      <c r="AM15" s="259">
        <f t="shared" si="5"/>
        <v>302</v>
      </c>
      <c r="AN15" s="425">
        <f>IF($AM$3="S 1",G15+I15+K15+M15+O15+Q15,IF($AM$3="S 2",S15+U15+W15+Y15+AA15+AC15,0))</f>
        <v>341</v>
      </c>
      <c r="AO15" s="424">
        <f t="shared" si="6"/>
        <v>1.1291390728476822</v>
      </c>
    </row>
    <row r="16" spans="1:41" s="53" customFormat="1" ht="16" customHeight="1" x14ac:dyDescent="0.3">
      <c r="A16" s="53">
        <f>_xlfn.XLOOKUP(B16,[8]Pedidos!$C$7:$C$67,[8]Pedidos!$B$7:$B$67)</f>
        <v>3</v>
      </c>
      <c r="B16" s="179">
        <v>100307</v>
      </c>
      <c r="C16" s="381" t="s">
        <v>39</v>
      </c>
      <c r="D16" s="51">
        <v>5570</v>
      </c>
      <c r="E16" s="309" t="s">
        <v>83</v>
      </c>
      <c r="F16" s="305">
        <v>1</v>
      </c>
      <c r="G16" s="55">
        <f>IFERROR(VLOOKUP(B16,[2]RETAIL!$T$8:$AG$63,3,0),0)-IFERROR(IF(B16=100873,VLOOKUP("ENERO",[2]RETAIL!$T$78:$U$91,2,0),0),0)</f>
        <v>0</v>
      </c>
      <c r="H16" s="305">
        <v>1</v>
      </c>
      <c r="I16" s="55">
        <f>IFERROR(VLOOKUP(B16,[2]RETAIL!$T$8:$AG$63,4,0),0)-IFERROR(IF(B16=100873,VLOOKUP("FEBRERO",[2]RETAIL!$T$78:$U$91,2,0),0),0)</f>
        <v>0</v>
      </c>
      <c r="J16" s="305">
        <v>2</v>
      </c>
      <c r="K16" s="55">
        <f>IFERROR(VLOOKUP(B16,[2]RETAIL!$T$8:$AG$63,5,0),0)-IFERROR(IF(B16=100873,VLOOKUP("MARZO",[2]RETAIL!$T$78:$U$91,2,0),0),0)</f>
        <v>0</v>
      </c>
      <c r="L16" s="305">
        <v>1</v>
      </c>
      <c r="M16" s="55">
        <f>IFERROR(VLOOKUP(B16,[2]RETAIL!$T$8:$AG$63,6,0),0)-IFERROR(IF(B16=100873,VLOOKUP("ABRIL",[2]RETAIL!$T$78:$U$91,2,0),0),0)</f>
        <v>1</v>
      </c>
      <c r="N16" s="305">
        <v>1</v>
      </c>
      <c r="O16" s="55">
        <f>IFERROR(VLOOKUP(B16,[2]RETAIL!$T$8:$AG$63,7,0),0)-IFERROR(IF(B16=100873,VLOOKUP("MAYO",[2]RETAIL!$T$78:$U$91,2,0),0),0)</f>
        <v>0</v>
      </c>
      <c r="P16" s="305">
        <v>2</v>
      </c>
      <c r="Q16" s="55">
        <f>IFERROR(VLOOKUP(B16,[2]RETAIL!$T$8:$AG$63,8,0),0)-IFERROR(IF(B16=100873,VLOOKUP("JUNIO",[2]RETAIL!$T$78:$U$91,2,0),0),0)</f>
        <v>0</v>
      </c>
      <c r="R16" s="305"/>
      <c r="S16" s="55">
        <f>IFERROR(VLOOKUP(D16,[2]RETAIL!$T$8:$AG$63,9,0),0)-IFERROR(IF(D16=100873,VLOOKUP("JULIO",[2]RETAIL!$T$78:$U$91,2,0),0),0)</f>
        <v>0</v>
      </c>
      <c r="T16" s="305"/>
      <c r="U16" s="55">
        <f>IFERROR(VLOOKUP(D16,[2]RETAIL!$T$8:$AG$63,10,0),0)-IFERROR(IF(D16=100873,VLOOKUP("AGOSTO",[2]RETAIL!$T$78:$U$91,2,0),0),0)</f>
        <v>0</v>
      </c>
      <c r="V16" s="305"/>
      <c r="W16" s="55">
        <f>IFERROR(VLOOKUP(D16,[2]RETAIL!$T$8:$AG$63,11,0),0)-IFERROR(IF(D16=100873,VLOOKUP("SEPTIEMBRE",[2]RETAIL!$T$78:$U$91,2,0),0),0)</f>
        <v>0</v>
      </c>
      <c r="X16" s="305"/>
      <c r="Y16" s="55">
        <f>IFERROR(VLOOKUP(D16,[2]RETAIL!$T$8:$AG$63,12,0),0)-IFERROR(IF(D16=100873,VLOOKUP("OCTUBRE",[2]RETAIL!$T$78:$U$91,2,0),0),0)</f>
        <v>0</v>
      </c>
      <c r="Z16" s="305"/>
      <c r="AA16" s="55">
        <f>IFERROR(VLOOKUP(D16,[2]RETAIL!$T$8:$AG$63,13,0),0)-IFERROR(IF(D16=100873,VLOOKUP("NOVIEMBRE",[2]RETAIL!$T$78:$U$91,2,0),0),0)</f>
        <v>0</v>
      </c>
      <c r="AB16" s="305"/>
      <c r="AC16" s="55">
        <f>IFERROR(VLOOKUP(D16,[2]RETAIL!$T$8:$AG$63,14,0),0)-IFERROR(IF(D16=100873,VLOOKUP("DICIEMBRE",[2]RETAIL!$T$78:$U$91,2,0),0),0)</f>
        <v>0</v>
      </c>
      <c r="AD16" s="54">
        <f t="shared" si="0"/>
        <v>8</v>
      </c>
      <c r="AE16" s="86">
        <f>IFERROR(IF($AD$2="ENERO",G16,IF($AD$2="FEBRERO",G16+I16,IF($AD$2="MARZO",G16+I16+K16,IF($AD$2="ABRIL",G16+I16+K16+M16,IF($AD$2="MAYO",G16+I16+K16+M16+O16,IF($AD$2="JUNIO",G16+I16+K16+M16+O16+Q16,IF($AD$2="JULIO",G16+I16+K16+M16+O16+Q16+S16,IF($AD$2="AGOSTO",G16+I16+K16+M16+O16+Q16+S16+U16,IF($AD$2="SEPTIEMBRE",G16+I16+K16+M16+O16+Q16+S16+U16+W16,IF($AD$2="OCTUBRE",G16+I16+K16+M16+O16+Q16+S16+U16+W16+Y16,IF($AD$2="NOVIEMBRE",G16+I16+K16+M16+O16+Q16+S16+U16+W16+Y16+AA16,IF($AD$2="DICIEMBRE",G16+I16+K16+M16+O16+Q16+S16+U16+W16+Y16+AA16+AC16,"")))))))))))),0)</f>
        <v>1</v>
      </c>
      <c r="AF16" s="243">
        <f t="shared" si="9"/>
        <v>0.125</v>
      </c>
      <c r="AG16" s="54">
        <f t="shared" si="1"/>
        <v>8</v>
      </c>
      <c r="AH16" s="86">
        <f>IFERROR(IF($AD$2="ENERO",G16,IF($AD$2="FEBRERO",G16+I16,IF($AD$2="MARZO",G16+I16+K16,IF($AD$2="ABRIL",G16+I16+K16+M16,IF($AD$2="MAYO",G16+I16+K16+M16+O16,IF($AD$2="JUNIO",G16+I16+K16+M16+O16+Q16,IF($AD$2="JULIO",G16+I16+K16+M16+O16+Q16+S16,IF($AD$2="AGOSTO",G16+I16+K16+M16+O16+Q16+S16+U16,IF($AD$2="SEPTIEMBRE",G16+I16+K16+M16+O16+Q16+S16+U16+W16,IF($AD$2="OCTUBRE",G16+I16+K16+M16+O16+Q16+S16+U16+W16+Y16,IF($AD$2="NOVIEMBRE",G16+I16+K16+M16+O16+Q16+S16+U16+W16+Y16+AA16,IF($AD$2="DICIEMBRE",G16+I16+K16+M16+O16+Q16+S16+U16+W16+Y16+AA16+AC16,"")))))))))))),0)</f>
        <v>1</v>
      </c>
      <c r="AI16" s="243">
        <f t="shared" si="2"/>
        <v>0.125</v>
      </c>
      <c r="AJ16" s="54">
        <f t="shared" si="3"/>
        <v>4</v>
      </c>
      <c r="AK16" s="68">
        <f>IFERROR(IF($AJ$3="Q1",G16+I16+K16,IF($AJ$3="Q2",M16+O16++Q16,IF($AJ$3="Q3",S16+U16+W16,IF($AJ$3="Q4",Y16+AA16+AC16,0)))),0)</f>
        <v>0</v>
      </c>
      <c r="AL16" s="56">
        <f t="shared" si="4"/>
        <v>0</v>
      </c>
      <c r="AM16" s="54">
        <f t="shared" si="5"/>
        <v>8</v>
      </c>
      <c r="AN16" s="86">
        <f>IFERROR(IF($AM$3="S 1",G16+I16+K16+M16+O16+Q16,IF($AM$3="S 2",S16+U16+W16+Y16+AA16+AC16,0)),0)</f>
        <v>1</v>
      </c>
      <c r="AO16" s="243">
        <f t="shared" si="6"/>
        <v>0.125</v>
      </c>
    </row>
    <row r="17" spans="1:41" s="53" customFormat="1" ht="16" customHeight="1" x14ac:dyDescent="0.3">
      <c r="A17" s="53">
        <f>_xlfn.XLOOKUP(B17,[8]Pedidos!$C$7:$C$67,[8]Pedidos!$B$7:$B$67)</f>
        <v>3</v>
      </c>
      <c r="B17" s="179">
        <v>100380</v>
      </c>
      <c r="C17" s="381" t="s">
        <v>11</v>
      </c>
      <c r="D17" s="51">
        <v>20285</v>
      </c>
      <c r="E17" s="309" t="s">
        <v>78</v>
      </c>
      <c r="F17" s="305">
        <v>3</v>
      </c>
      <c r="G17" s="55">
        <f>IFERROR(VLOOKUP(B17,[2]RETAIL!$T$8:$AG$63,3,0),0)-IFERROR(IF(B17=100873,VLOOKUP("ENERO",[2]RETAIL!$T$78:$U$91,2,0),0),0)</f>
        <v>2</v>
      </c>
      <c r="H17" s="305">
        <v>3</v>
      </c>
      <c r="I17" s="55">
        <f>IFERROR(VLOOKUP(B17,[2]RETAIL!$T$8:$AG$63,4,0),0)-IFERROR(IF(B17=100873,VLOOKUP("FEBRERO",[2]RETAIL!$T$78:$U$91,2,0),0),0)</f>
        <v>3</v>
      </c>
      <c r="J17" s="305">
        <v>3</v>
      </c>
      <c r="K17" s="55">
        <f>IFERROR(VLOOKUP(B17,[2]RETAIL!$T$8:$AG$63,5,0),0)-IFERROR(IF(B17=100873,VLOOKUP("MARZO",[2]RETAIL!$T$78:$U$91,2,0),0),0)</f>
        <v>1</v>
      </c>
      <c r="L17" s="305">
        <v>3</v>
      </c>
      <c r="M17" s="55">
        <f>IFERROR(VLOOKUP(B17,[2]RETAIL!$T$8:$AG$63,6,0),0)-IFERROR(IF(B17=100873,VLOOKUP("ABRIL",[2]RETAIL!$T$78:$U$91,2,0),0),0)</f>
        <v>3</v>
      </c>
      <c r="N17" s="305">
        <v>4</v>
      </c>
      <c r="O17" s="55">
        <f>IFERROR(VLOOKUP(B17,[2]RETAIL!$T$8:$AG$63,7,0),0)-IFERROR(IF(B17=100873,VLOOKUP("MAYO",[2]RETAIL!$T$78:$U$91,2,0),0),0)</f>
        <v>2</v>
      </c>
      <c r="P17" s="305">
        <v>4</v>
      </c>
      <c r="Q17" s="55">
        <f>IFERROR(VLOOKUP(B17,[2]RETAIL!$T$8:$AG$63,8,0),0)-IFERROR(IF(B17=100873,VLOOKUP("JUNIO",[2]RETAIL!$T$78:$U$91,2,0),0),0)</f>
        <v>1</v>
      </c>
      <c r="R17" s="305"/>
      <c r="S17" s="55">
        <f>IFERROR(VLOOKUP(D17,[2]RETAIL!$T$8:$AG$63,9,0),0)-IFERROR(IF(D17=100873,VLOOKUP("JULIO",[2]RETAIL!$T$78:$U$91,2,0),0),0)</f>
        <v>0</v>
      </c>
      <c r="T17" s="305"/>
      <c r="U17" s="55">
        <f>IFERROR(VLOOKUP(D17,[2]RETAIL!$T$8:$AG$63,10,0),0)-IFERROR(IF(D17=100873,VLOOKUP("AGOSTO",[2]RETAIL!$T$78:$U$91,2,0),0),0)</f>
        <v>0</v>
      </c>
      <c r="V17" s="305"/>
      <c r="W17" s="55">
        <f>IFERROR(VLOOKUP(D17,[2]RETAIL!$T$8:$AG$63,11,0),0)-IFERROR(IF(D17=100873,VLOOKUP("SEPTIEMBRE",[2]RETAIL!$T$78:$U$91,2,0),0),0)</f>
        <v>0</v>
      </c>
      <c r="X17" s="305"/>
      <c r="Y17" s="55">
        <f>IFERROR(VLOOKUP(D17,[2]RETAIL!$T$8:$AG$63,12,0),0)-IFERROR(IF(D17=100873,VLOOKUP("OCTUBRE",[2]RETAIL!$T$78:$U$91,2,0),0),0)</f>
        <v>0</v>
      </c>
      <c r="Z17" s="305"/>
      <c r="AA17" s="55">
        <f>IFERROR(VLOOKUP(D17,[2]RETAIL!$T$8:$AG$63,13,0),0)-IFERROR(IF(D17=100873,VLOOKUP("NOVIEMBRE",[2]RETAIL!$T$78:$U$91,2,0),0),0)</f>
        <v>0</v>
      </c>
      <c r="AB17" s="305"/>
      <c r="AC17" s="55">
        <f>IFERROR(VLOOKUP(D17,[2]RETAIL!$T$8:$AG$63,14,0),0)-IFERROR(IF(D17=100873,VLOOKUP("DICIEMBRE",[2]RETAIL!$T$78:$U$91,2,0),0),0)</f>
        <v>0</v>
      </c>
      <c r="AD17" s="54">
        <f t="shared" si="0"/>
        <v>20</v>
      </c>
      <c r="AE17" s="86">
        <f t="shared" si="8"/>
        <v>12</v>
      </c>
      <c r="AF17" s="243">
        <f t="shared" si="9"/>
        <v>0.6</v>
      </c>
      <c r="AG17" s="54">
        <f t="shared" si="1"/>
        <v>20</v>
      </c>
      <c r="AH17" s="86">
        <f t="shared" si="10"/>
        <v>12</v>
      </c>
      <c r="AI17" s="243">
        <f t="shared" si="2"/>
        <v>0.6</v>
      </c>
      <c r="AJ17" s="54">
        <f t="shared" si="3"/>
        <v>9</v>
      </c>
      <c r="AK17" s="86">
        <f t="shared" si="11"/>
        <v>6</v>
      </c>
      <c r="AL17" s="56">
        <f t="shared" si="4"/>
        <v>0.66666666666666663</v>
      </c>
      <c r="AM17" s="54">
        <f t="shared" si="5"/>
        <v>20</v>
      </c>
      <c r="AN17" s="86">
        <f t="shared" si="12"/>
        <v>12</v>
      </c>
      <c r="AO17" s="243">
        <f t="shared" si="6"/>
        <v>0.6</v>
      </c>
    </row>
    <row r="18" spans="1:41" s="53" customFormat="1" ht="16" customHeight="1" x14ac:dyDescent="0.3">
      <c r="A18" s="53">
        <f>_xlfn.XLOOKUP(B18,[8]Pedidos!$C$7:$C$67,[8]Pedidos!$B$7:$B$67)</f>
        <v>3</v>
      </c>
      <c r="B18" s="179">
        <v>100418</v>
      </c>
      <c r="C18" s="381" t="s">
        <v>13</v>
      </c>
      <c r="D18" s="51">
        <v>5570</v>
      </c>
      <c r="E18" s="309" t="s">
        <v>83</v>
      </c>
      <c r="F18" s="305">
        <v>2</v>
      </c>
      <c r="G18" s="55">
        <f>IFERROR(VLOOKUP(B18,[2]RETAIL!$T$8:$AG$63,3,0),0)-IFERROR(IF(B18=100873,VLOOKUP("ENERO",[2]RETAIL!$T$78:$U$91,2,0),0),0)</f>
        <v>0</v>
      </c>
      <c r="H18" s="305">
        <v>2</v>
      </c>
      <c r="I18" s="55">
        <f>IFERROR(VLOOKUP(B18,[2]RETAIL!$T$8:$AG$63,4,0),0)-IFERROR(IF(B18=100873,VLOOKUP("FEBRERO",[2]RETAIL!$T$78:$U$91,2,0),0),0)</f>
        <v>5</v>
      </c>
      <c r="J18" s="305">
        <v>2</v>
      </c>
      <c r="K18" s="55">
        <f>IFERROR(VLOOKUP(B18,[2]RETAIL!$T$8:$AG$63,5,0),0)-IFERROR(IF(B18=100873,VLOOKUP("MARZO",[2]RETAIL!$T$78:$U$91,2,0),0),0)</f>
        <v>2</v>
      </c>
      <c r="L18" s="305">
        <v>2</v>
      </c>
      <c r="M18" s="55">
        <f>IFERROR(VLOOKUP(B18,[2]RETAIL!$T$8:$AG$63,6,0),0)-IFERROR(IF(B18=100873,VLOOKUP("ABRIL",[2]RETAIL!$T$78:$U$91,2,0),0),0)</f>
        <v>4</v>
      </c>
      <c r="N18" s="305">
        <v>2</v>
      </c>
      <c r="O18" s="55">
        <f>IFERROR(VLOOKUP(B18,[2]RETAIL!$T$8:$AG$63,7,0),0)-IFERROR(IF(B18=100873,VLOOKUP("MAYO",[2]RETAIL!$T$78:$U$91,2,0),0),0)</f>
        <v>2</v>
      </c>
      <c r="P18" s="305">
        <v>2</v>
      </c>
      <c r="Q18" s="55">
        <f>IFERROR(VLOOKUP(B18,[2]RETAIL!$T$8:$AG$63,8,0),0)-IFERROR(IF(B18=100873,VLOOKUP("JUNIO",[2]RETAIL!$T$78:$U$91,2,0),0),0)</f>
        <v>1</v>
      </c>
      <c r="R18" s="305"/>
      <c r="S18" s="55">
        <f>IFERROR(VLOOKUP(D18,[2]RETAIL!$T$8:$AG$63,9,0),0)-IFERROR(IF(D18=100873,VLOOKUP("JULIO",[2]RETAIL!$T$78:$U$91,2,0),0),0)</f>
        <v>0</v>
      </c>
      <c r="T18" s="305"/>
      <c r="U18" s="55">
        <f>IFERROR(VLOOKUP(D18,[2]RETAIL!$T$8:$AG$63,10,0),0)-IFERROR(IF(D18=100873,VLOOKUP("AGOSTO",[2]RETAIL!$T$78:$U$91,2,0),0),0)</f>
        <v>0</v>
      </c>
      <c r="V18" s="305"/>
      <c r="W18" s="55">
        <f>IFERROR(VLOOKUP(D18,[2]RETAIL!$T$8:$AG$63,11,0),0)-IFERROR(IF(D18=100873,VLOOKUP("SEPTIEMBRE",[2]RETAIL!$T$78:$U$91,2,0),0),0)</f>
        <v>0</v>
      </c>
      <c r="X18" s="305"/>
      <c r="Y18" s="55">
        <f>IFERROR(VLOOKUP(D18,[2]RETAIL!$T$8:$AG$63,12,0),0)-IFERROR(IF(D18=100873,VLOOKUP("OCTUBRE",[2]RETAIL!$T$78:$U$91,2,0),0),0)</f>
        <v>0</v>
      </c>
      <c r="Z18" s="305"/>
      <c r="AA18" s="55">
        <f>IFERROR(VLOOKUP(D18,[2]RETAIL!$T$8:$AG$63,13,0),0)-IFERROR(IF(D18=100873,VLOOKUP("NOVIEMBRE",[2]RETAIL!$T$78:$U$91,2,0),0),0)</f>
        <v>0</v>
      </c>
      <c r="AB18" s="305"/>
      <c r="AC18" s="55">
        <f>IFERROR(VLOOKUP(D18,[2]RETAIL!$T$8:$AG$63,14,0),0)-IFERROR(IF(D18=100873,VLOOKUP("DICIEMBRE",[2]RETAIL!$T$78:$U$91,2,0),0),0)</f>
        <v>0</v>
      </c>
      <c r="AD18" s="54">
        <f t="shared" si="0"/>
        <v>12</v>
      </c>
      <c r="AE18" s="86">
        <f t="shared" si="8"/>
        <v>14</v>
      </c>
      <c r="AF18" s="243">
        <f t="shared" si="9"/>
        <v>1.1666666666666667</v>
      </c>
      <c r="AG18" s="54">
        <f t="shared" si="1"/>
        <v>12</v>
      </c>
      <c r="AH18" s="86">
        <f t="shared" si="10"/>
        <v>14</v>
      </c>
      <c r="AI18" s="243">
        <f t="shared" si="2"/>
        <v>1.1666666666666667</v>
      </c>
      <c r="AJ18" s="54">
        <f t="shared" si="3"/>
        <v>6</v>
      </c>
      <c r="AK18" s="86">
        <f t="shared" si="11"/>
        <v>7</v>
      </c>
      <c r="AL18" s="56">
        <f t="shared" si="4"/>
        <v>1.1666666666666667</v>
      </c>
      <c r="AM18" s="54">
        <f t="shared" si="5"/>
        <v>12</v>
      </c>
      <c r="AN18" s="86">
        <f t="shared" si="12"/>
        <v>14</v>
      </c>
      <c r="AO18" s="243">
        <f t="shared" si="6"/>
        <v>1.1666666666666667</v>
      </c>
    </row>
    <row r="19" spans="1:41" s="53" customFormat="1" ht="16" customHeight="1" x14ac:dyDescent="0.3">
      <c r="A19" s="53">
        <f>_xlfn.XLOOKUP(B19,[8]Pedidos!$C$7:$C$67,[8]Pedidos!$B$7:$B$67)</f>
        <v>3</v>
      </c>
      <c r="B19" s="179">
        <v>100730</v>
      </c>
      <c r="C19" s="381" t="s">
        <v>41</v>
      </c>
      <c r="D19" s="51">
        <v>20285</v>
      </c>
      <c r="E19" s="309" t="s">
        <v>78</v>
      </c>
      <c r="F19" s="305">
        <v>3</v>
      </c>
      <c r="G19" s="55">
        <f>IFERROR(VLOOKUP(B19,[2]RETAIL!$T$8:$AG$63,3,0),0)-IFERROR(IF(B19=100873,VLOOKUP("ENERO",[2]RETAIL!$T$78:$U$91,2,0),0),0)</f>
        <v>2</v>
      </c>
      <c r="H19" s="305">
        <v>4</v>
      </c>
      <c r="I19" s="55">
        <f>IFERROR(VLOOKUP(B19,[2]RETAIL!$T$8:$AG$63,4,0),0)-IFERROR(IF(B19=100873,VLOOKUP("FEBRERO",[2]RETAIL!$T$78:$U$91,2,0),0),0)</f>
        <v>0</v>
      </c>
      <c r="J19" s="305">
        <v>4</v>
      </c>
      <c r="K19" s="55">
        <f>IFERROR(VLOOKUP(B19,[2]RETAIL!$T$8:$AG$63,5,0),0)-IFERROR(IF(B19=100873,VLOOKUP("MARZO",[2]RETAIL!$T$78:$U$91,2,0),0),0)</f>
        <v>5</v>
      </c>
      <c r="L19" s="305">
        <v>4</v>
      </c>
      <c r="M19" s="55">
        <f>IFERROR(VLOOKUP(B19,[2]RETAIL!$T$8:$AG$63,6,0),0)-IFERROR(IF(B19=100873,VLOOKUP("ABRIL",[2]RETAIL!$T$78:$U$91,2,0),0),0)</f>
        <v>3</v>
      </c>
      <c r="N19" s="305">
        <v>4</v>
      </c>
      <c r="O19" s="55">
        <f>IFERROR(VLOOKUP(B19,[2]RETAIL!$T$8:$AG$63,7,0),0)-IFERROR(IF(B19=100873,VLOOKUP("MAYO",[2]RETAIL!$T$78:$U$91,2,0),0),0)</f>
        <v>3</v>
      </c>
      <c r="P19" s="305">
        <v>4</v>
      </c>
      <c r="Q19" s="55">
        <f>IFERROR(VLOOKUP(B19,[2]RETAIL!$T$8:$AG$63,8,0),0)-IFERROR(IF(B19=100873,VLOOKUP("JUNIO",[2]RETAIL!$T$78:$U$91,2,0),0),0)</f>
        <v>6</v>
      </c>
      <c r="R19" s="305"/>
      <c r="S19" s="55">
        <f>IFERROR(VLOOKUP(D19,[2]RETAIL!$T$8:$AG$63,9,0),0)-IFERROR(IF(D19=100873,VLOOKUP("JULIO",[2]RETAIL!$T$78:$U$91,2,0),0),0)</f>
        <v>0</v>
      </c>
      <c r="T19" s="305"/>
      <c r="U19" s="55">
        <f>IFERROR(VLOOKUP(D19,[2]RETAIL!$T$8:$AG$63,10,0),0)-IFERROR(IF(D19=100873,VLOOKUP("AGOSTO",[2]RETAIL!$T$78:$U$91,2,0),0),0)</f>
        <v>0</v>
      </c>
      <c r="V19" s="305"/>
      <c r="W19" s="55">
        <f>IFERROR(VLOOKUP(D19,[2]RETAIL!$T$8:$AG$63,11,0),0)-IFERROR(IF(D19=100873,VLOOKUP("SEPTIEMBRE",[2]RETAIL!$T$78:$U$91,2,0),0),0)</f>
        <v>0</v>
      </c>
      <c r="X19" s="305"/>
      <c r="Y19" s="55">
        <f>IFERROR(VLOOKUP(D19,[2]RETAIL!$T$8:$AG$63,12,0),0)-IFERROR(IF(D19=100873,VLOOKUP("OCTUBRE",[2]RETAIL!$T$78:$U$91,2,0),0),0)</f>
        <v>0</v>
      </c>
      <c r="Z19" s="305"/>
      <c r="AA19" s="55">
        <f>IFERROR(VLOOKUP(D19,[2]RETAIL!$T$8:$AG$63,13,0),0)-IFERROR(IF(D19=100873,VLOOKUP("NOVIEMBRE",[2]RETAIL!$T$78:$U$91,2,0),0),0)</f>
        <v>0</v>
      </c>
      <c r="AB19" s="305"/>
      <c r="AC19" s="55">
        <f>IFERROR(VLOOKUP(D19,[2]RETAIL!$T$8:$AG$63,14,0),0)-IFERROR(IF(D19=100873,VLOOKUP("DICIEMBRE",[2]RETAIL!$T$78:$U$91,2,0),0),0)</f>
        <v>0</v>
      </c>
      <c r="AD19" s="54">
        <f t="shared" si="0"/>
        <v>23</v>
      </c>
      <c r="AE19" s="86">
        <f t="shared" si="8"/>
        <v>19</v>
      </c>
      <c r="AF19" s="243">
        <f t="shared" si="9"/>
        <v>0.82608695652173914</v>
      </c>
      <c r="AG19" s="54">
        <f t="shared" si="1"/>
        <v>23</v>
      </c>
      <c r="AH19" s="86">
        <f t="shared" si="10"/>
        <v>19</v>
      </c>
      <c r="AI19" s="243">
        <f t="shared" si="2"/>
        <v>0.82608695652173914</v>
      </c>
      <c r="AJ19" s="54">
        <f t="shared" si="3"/>
        <v>11</v>
      </c>
      <c r="AK19" s="86">
        <f t="shared" si="11"/>
        <v>7</v>
      </c>
      <c r="AL19" s="56">
        <f t="shared" si="4"/>
        <v>0.63636363636363635</v>
      </c>
      <c r="AM19" s="54">
        <f t="shared" si="5"/>
        <v>23</v>
      </c>
      <c r="AN19" s="86">
        <f t="shared" si="12"/>
        <v>19</v>
      </c>
      <c r="AO19" s="243">
        <f t="shared" si="6"/>
        <v>0.82608695652173914</v>
      </c>
    </row>
    <row r="20" spans="1:41" s="53" customFormat="1" ht="16" customHeight="1" thickBot="1" x14ac:dyDescent="0.35">
      <c r="A20" s="53">
        <f>_xlfn.XLOOKUP(B20,[8]Pedidos!$C$7:$C$67,[8]Pedidos!$B$7:$B$67)</f>
        <v>3</v>
      </c>
      <c r="B20" s="179">
        <v>100764</v>
      </c>
      <c r="C20" s="381" t="s">
        <v>26</v>
      </c>
      <c r="D20" s="51">
        <v>41672</v>
      </c>
      <c r="E20" s="309" t="s">
        <v>277</v>
      </c>
      <c r="F20" s="305">
        <v>2</v>
      </c>
      <c r="G20" s="55">
        <f>IFERROR(VLOOKUP(B20,[2]RETAIL!$T$8:$AG$63,3,0),0)-IFERROR(IF(B20=100873,VLOOKUP("ENERO",[2]RETAIL!$T$78:$U$91,2,0),0),0)</f>
        <v>1</v>
      </c>
      <c r="H20" s="305">
        <v>2</v>
      </c>
      <c r="I20" s="55">
        <f>IFERROR(VLOOKUP(B20,[2]RETAIL!$T$8:$AG$63,4,0),0)-IFERROR(IF(B20=100873,VLOOKUP("FEBRERO",[2]RETAIL!$T$78:$U$91,2,0),0),0)</f>
        <v>1</v>
      </c>
      <c r="J20" s="305">
        <v>2</v>
      </c>
      <c r="K20" s="55">
        <f>IFERROR(VLOOKUP(B20,[2]RETAIL!$T$8:$AG$63,5,0),0)-IFERROR(IF(B20=100873,VLOOKUP("MARZO",[2]RETAIL!$T$78:$U$91,2,0),0),0)</f>
        <v>4</v>
      </c>
      <c r="L20" s="305">
        <v>2</v>
      </c>
      <c r="M20" s="55">
        <f>IFERROR(VLOOKUP(B20,[2]RETAIL!$T$8:$AG$63,6,0),0)-IFERROR(IF(B20=100873,VLOOKUP("ABRIL",[2]RETAIL!$T$78:$U$91,2,0),0),0)</f>
        <v>1</v>
      </c>
      <c r="N20" s="305">
        <v>2</v>
      </c>
      <c r="O20" s="55">
        <f>IFERROR(VLOOKUP(B20,[2]RETAIL!$T$8:$AG$63,7,0),0)-IFERROR(IF(B20=100873,VLOOKUP("MAYO",[2]RETAIL!$T$78:$U$91,2,0),0),0)</f>
        <v>1</v>
      </c>
      <c r="P20" s="305">
        <v>3</v>
      </c>
      <c r="Q20" s="55">
        <f>IFERROR(VLOOKUP(B20,[2]RETAIL!$T$8:$AG$63,8,0),0)-IFERROR(IF(B20=100873,VLOOKUP("JUNIO",[2]RETAIL!$T$78:$U$91,2,0),0),0)</f>
        <v>1</v>
      </c>
      <c r="R20" s="305"/>
      <c r="S20" s="55">
        <f>IFERROR(VLOOKUP(D20,[2]RETAIL!$T$8:$AG$63,9,0),0)-IFERROR(IF(D20=100873,VLOOKUP("JULIO",[2]RETAIL!$T$78:$U$91,2,0),0),0)</f>
        <v>0</v>
      </c>
      <c r="T20" s="305"/>
      <c r="U20" s="55">
        <f>IFERROR(VLOOKUP(D20,[2]RETAIL!$T$8:$AG$63,10,0),0)-IFERROR(IF(D20=100873,VLOOKUP("AGOSTO",[2]RETAIL!$T$78:$U$91,2,0),0),0)</f>
        <v>0</v>
      </c>
      <c r="V20" s="305"/>
      <c r="W20" s="55">
        <f>IFERROR(VLOOKUP(D20,[2]RETAIL!$T$8:$AG$63,11,0),0)-IFERROR(IF(D20=100873,VLOOKUP("SEPTIEMBRE",[2]RETAIL!$T$78:$U$91,2,0),0),0)</f>
        <v>0</v>
      </c>
      <c r="X20" s="305"/>
      <c r="Y20" s="55">
        <f>IFERROR(VLOOKUP(D20,[2]RETAIL!$T$8:$AG$63,12,0),0)-IFERROR(IF(D20=100873,VLOOKUP("OCTUBRE",[2]RETAIL!$T$78:$U$91,2,0),0),0)</f>
        <v>0</v>
      </c>
      <c r="Z20" s="305"/>
      <c r="AA20" s="55">
        <f>IFERROR(VLOOKUP(D20,[2]RETAIL!$T$8:$AG$63,13,0),0)-IFERROR(IF(D20=100873,VLOOKUP("NOVIEMBRE",[2]RETAIL!$T$78:$U$91,2,0),0),0)</f>
        <v>0</v>
      </c>
      <c r="AB20" s="305"/>
      <c r="AC20" s="55">
        <f>IFERROR(VLOOKUP(D20,[2]RETAIL!$T$8:$AG$63,14,0),0)-IFERROR(IF(D20=100873,VLOOKUP("DICIEMBRE",[2]RETAIL!$T$78:$U$91,2,0),0),0)</f>
        <v>0</v>
      </c>
      <c r="AD20" s="190">
        <f t="shared" si="0"/>
        <v>13</v>
      </c>
      <c r="AE20" s="86">
        <f>IFERROR(IF($AD$2="ENERO",G20,IF($AD$2="FEBRERO",G20+I20,IF($AD$2="MARZO",G20+I20+K20,IF($AD$2="ABRIL",G20+I20+K20+M20,IF($AD$2="MAYO",G20+I20+K20+M20+O20,IF($AD$2="JUNIO",G20+I20+K20+M20+O20+Q20,IF($AD$2="JULIO",G20+I20+K20+M20+O20+Q20+S20,IF($AD$2="AGOSTO",G20+I20+K20+M20+O20+Q20+S20+U20,IF($AD$2="SEPTIEMBRE",G20+I20+K20+M20+O20+Q20+S20+U20+W20,IF($AD$2="OCTUBRE",G20+I20+K20+M20+O20+Q20+S20+U20+W20+Y20,IF($AD$2="NOVIEMBRE",G20+I20+K20+M20+O20+Q20+S20+U20+W20+Y20+AA20,IF($AD$2="DICIEMBRE",G20+I20+K20+M20+O20+Q20+S20+U20+W20+Y20+AA20+AC20,"")))))))))))),0)</f>
        <v>9</v>
      </c>
      <c r="AF20" s="244">
        <f t="shared" si="9"/>
        <v>0.69230769230769229</v>
      </c>
      <c r="AG20" s="190">
        <f t="shared" si="1"/>
        <v>13</v>
      </c>
      <c r="AH20" s="86">
        <f>IFERROR(IF($AD$2="ENERO",G20,IF($AD$2="FEBRERO",G20+I20,IF($AD$2="MARZO",G20+I20+K20,IF($AD$2="ABRIL",G20+I20+K20+M20,IF($AD$2="MAYO",G20+I20+K20+M20+O20,IF($AD$2="JUNIO",G20+I20+K20+M20+O20+Q20,IF($AD$2="JULIO",G20+I20+K20+M20+O20+Q20+S20,IF($AD$2="AGOSTO",G20+I20+K20+M20+O20+Q20+S20+U20,IF($AD$2="SEPTIEMBRE",G20+I20+K20+M20+O20+Q20+S20+U20+W20,IF($AD$2="OCTUBRE",G20+I20+K20+M20+O20+Q20+S20+U20+W20+Y20,IF($AD$2="NOVIEMBRE",G20+I20+K20+M20+O20+Q20+S20+U20+W20+Y20+AA20,IF($AD$2="DICIEMBRE",G20+I20+K20+M20+O20+Q20+S20+U20+W20+Y20+AA20+AC20,"")))))))))))),0)</f>
        <v>9</v>
      </c>
      <c r="AI20" s="244">
        <f t="shared" si="2"/>
        <v>0.69230769230769229</v>
      </c>
      <c r="AJ20" s="190">
        <f t="shared" si="3"/>
        <v>6</v>
      </c>
      <c r="AK20" s="68">
        <f>IFERROR(IF($AJ$3="Q1",G20+I20+K20,IF($AJ$3="Q2",M20+O20++Q20,IF($AJ$3="Q3",S20+U20+W20,IF($AJ$3="Q4",Y20+AA20+AC20,0)))),0)</f>
        <v>6</v>
      </c>
      <c r="AL20" s="192">
        <f t="shared" si="4"/>
        <v>1</v>
      </c>
      <c r="AM20" s="190">
        <f t="shared" si="5"/>
        <v>13</v>
      </c>
      <c r="AN20" s="191">
        <f>IFERROR(IF($AM$3="S 1",G20+I20+K20+M20+O20+Q20,IF($AM$3="S 2",S20+U20+W20+Y20+AA20+AC20,0)),0)</f>
        <v>9</v>
      </c>
      <c r="AO20" s="244">
        <f t="shared" si="6"/>
        <v>0.69230769230769229</v>
      </c>
    </row>
    <row r="21" spans="1:41" s="53" customFormat="1" ht="16" customHeight="1" thickBot="1" x14ac:dyDescent="0.35">
      <c r="A21" s="50"/>
      <c r="B21" s="180" t="s">
        <v>273</v>
      </c>
      <c r="C21" s="62"/>
      <c r="D21" s="80"/>
      <c r="E21" s="265"/>
      <c r="F21" s="155">
        <f t="shared" ref="F21:AC21" si="14">SUM(F16:F20)</f>
        <v>11</v>
      </c>
      <c r="G21" s="155">
        <f t="shared" si="14"/>
        <v>5</v>
      </c>
      <c r="H21" s="155">
        <f t="shared" si="14"/>
        <v>12</v>
      </c>
      <c r="I21" s="155">
        <f t="shared" si="14"/>
        <v>9</v>
      </c>
      <c r="J21" s="155">
        <f t="shared" si="14"/>
        <v>13</v>
      </c>
      <c r="K21" s="155">
        <f t="shared" si="14"/>
        <v>12</v>
      </c>
      <c r="L21" s="155">
        <f t="shared" si="14"/>
        <v>12</v>
      </c>
      <c r="M21" s="155">
        <f t="shared" si="14"/>
        <v>12</v>
      </c>
      <c r="N21" s="155">
        <f t="shared" si="14"/>
        <v>13</v>
      </c>
      <c r="O21" s="155">
        <f t="shared" si="14"/>
        <v>8</v>
      </c>
      <c r="P21" s="155">
        <f t="shared" si="14"/>
        <v>15</v>
      </c>
      <c r="Q21" s="155">
        <f t="shared" si="14"/>
        <v>9</v>
      </c>
      <c r="R21" s="155">
        <f t="shared" si="14"/>
        <v>0</v>
      </c>
      <c r="S21" s="155">
        <f t="shared" si="14"/>
        <v>0</v>
      </c>
      <c r="T21" s="155">
        <f t="shared" si="14"/>
        <v>0</v>
      </c>
      <c r="U21" s="155">
        <f t="shared" si="14"/>
        <v>0</v>
      </c>
      <c r="V21" s="155">
        <f t="shared" si="14"/>
        <v>0</v>
      </c>
      <c r="W21" s="155">
        <f t="shared" si="14"/>
        <v>0</v>
      </c>
      <c r="X21" s="155">
        <f t="shared" si="14"/>
        <v>0</v>
      </c>
      <c r="Y21" s="155">
        <f t="shared" si="14"/>
        <v>0</v>
      </c>
      <c r="Z21" s="155">
        <f t="shared" si="14"/>
        <v>0</v>
      </c>
      <c r="AA21" s="155">
        <f t="shared" si="14"/>
        <v>0</v>
      </c>
      <c r="AB21" s="155">
        <f t="shared" si="14"/>
        <v>0</v>
      </c>
      <c r="AC21" s="155">
        <f t="shared" si="14"/>
        <v>0</v>
      </c>
      <c r="AD21" s="259">
        <f t="shared" si="0"/>
        <v>76</v>
      </c>
      <c r="AE21" s="425">
        <f>IF($AD$2="ENERO",G21,IF($AD$2="FEBRERO",G21+I21,IF($AD$2="MARZO",G21+I21+K21,IF($AD$2="ABRIL",G21+I21+K21+M21,IF($AD$2="MAYO",G21+I21+K21+M21+O21,IF($AD$2="JUNIO",G21+I21+K21+M21+O21+Q21,IF($AD$2="JULIO",G21+I21+K21+M21+O21+Q21+S21,IF($AD$2="AGOSTO",G21+I21+K21+M21+O21+Q21+S21+U21,IF($AD$2="SEPTIEMBRE",G21+I21+K21+M21+O21+Q21+S21+U21+W21,IF($AD$2="OCTUBRE",G21+I21+K21+M21+O21+Q21+S21+U21+W21+Y21,IF($AD$2="NOVIEMBRE",G21+I21+K21+M21+O21+Q21+S21+U21+W21+Y21+AA21,IF($AD$2="DICIEMBRE",G21+I21+K21+M21+O21+Q21+S21+U21+W21+Y21+AA21+AC21,""))))))))))))</f>
        <v>55</v>
      </c>
      <c r="AF21" s="424">
        <f t="shared" si="9"/>
        <v>0.72368421052631582</v>
      </c>
      <c r="AG21" s="259">
        <f t="shared" si="1"/>
        <v>76</v>
      </c>
      <c r="AH21" s="425">
        <f>IF($AD$2="ENERO",G21,IF($AD$2="FEBRERO",G21+I21,IF($AD$2="MARZO",G21+I21+K21,IF($AD$2="ABRIL",G21+I21+K21+M21,IF($AD$2="MAYO",G21+I21+K21+M21+O21,IF($AD$2="JUNIO",G21+I21+K21+M21+O21+Q21,IF($AD$2="JULIO",G21+I21+K21+M21+O21+Q21+S21,IF($AD$2="AGOSTO",G21+I21+K21+M21+O21+Q21+S21+U21,IF($AD$2="SEPTIEMBRE",G21+I21+K21+M21+O21+Q21+S21+U21+W21,IF($AD$2="OCTUBRE",G21+I21+K21+M21+O21+Q21+S21+U21+W21+Y21,IF($AD$2="NOVIEMBRE",G21+I21+K21+M21+O21+Q21+S21+U21+W21+Y21+AA21,IF($AD$2="DICIEMBRE",G21+I21+K21+M21+O21+Q21+S21+U21+W21+Y21+AA21+AC21,""))))))))))))</f>
        <v>55</v>
      </c>
      <c r="AI21" s="424">
        <f t="shared" si="2"/>
        <v>0.72368421052631582</v>
      </c>
      <c r="AJ21" s="63">
        <f t="shared" si="3"/>
        <v>36</v>
      </c>
      <c r="AK21" s="65">
        <f>IF($AJ$3="Q1",G21+I21+K21,IF($AJ$3="Q2",M21+O21++Q21,IF($AJ$3="Q3",S21+U21+W21,IF($AJ$3="Q4",Y21+AA21+AC21,0))))</f>
        <v>26</v>
      </c>
      <c r="AL21" s="66">
        <f t="shared" si="4"/>
        <v>0.72222222222222221</v>
      </c>
      <c r="AM21" s="259">
        <f t="shared" si="5"/>
        <v>76</v>
      </c>
      <c r="AN21" s="425">
        <f>IF($AM$3="S 1",G21+I21+K21+M21+O21+Q21,IF($AM$3="S 2",S21+U21+W21+Y21+AA21+AC21,0))</f>
        <v>55</v>
      </c>
      <c r="AO21" s="424">
        <f t="shared" si="6"/>
        <v>0.72368421052631582</v>
      </c>
    </row>
    <row r="22" spans="1:41" s="53" customFormat="1" ht="16" customHeight="1" x14ac:dyDescent="0.3">
      <c r="A22" s="53">
        <f>_xlfn.XLOOKUP(B22,[8]Pedidos!$C$7:$C$67,[8]Pedidos!$B$7:$B$67)</f>
        <v>4</v>
      </c>
      <c r="B22" s="179">
        <v>100120</v>
      </c>
      <c r="C22" s="381" t="s">
        <v>44</v>
      </c>
      <c r="D22" s="51">
        <v>1211</v>
      </c>
      <c r="E22" s="309" t="s">
        <v>80</v>
      </c>
      <c r="F22" s="305"/>
      <c r="G22" s="55">
        <f>IFERROR(VLOOKUP(B22,[2]RETAIL!$T$8:$AG$63,3,0),0)-IFERROR(IF(B22=100873,VLOOKUP("ENERO",[2]RETAIL!$T$78:$U$91,2,0),0),0)</f>
        <v>0</v>
      </c>
      <c r="H22" s="305"/>
      <c r="I22" s="55">
        <f>IFERROR(VLOOKUP(B22,[2]RETAIL!$T$8:$AG$63,4,0),0)-IFERROR(IF(B22=100873,VLOOKUP("FEBRERO",[2]RETAIL!$T$78:$U$91,2,0),0),0)</f>
        <v>0</v>
      </c>
      <c r="J22" s="305"/>
      <c r="K22" s="55">
        <f>IFERROR(VLOOKUP(B22,[2]RETAIL!$T$8:$AG$63,5,0),0)-IFERROR(IF(B22=100873,VLOOKUP("MARZO",[2]RETAIL!$T$78:$U$91,2,0),0),0)</f>
        <v>0</v>
      </c>
      <c r="L22" s="305"/>
      <c r="M22" s="55">
        <f>IFERROR(VLOOKUP(B22,[2]RETAIL!$T$8:$AG$63,6,0),0)-IFERROR(IF(B22=100873,VLOOKUP("ABRIL",[2]RETAIL!$T$78:$U$91,2,0),0),0)</f>
        <v>1</v>
      </c>
      <c r="N22" s="305"/>
      <c r="O22" s="55">
        <f>IFERROR(VLOOKUP(B22,[2]RETAIL!$T$8:$AG$63,7,0),0)-IFERROR(IF(B22=100873,VLOOKUP("MAYO",[2]RETAIL!$T$78:$U$91,2,0),0),0)</f>
        <v>0</v>
      </c>
      <c r="P22" s="305"/>
      <c r="Q22" s="55">
        <f>IFERROR(VLOOKUP(B22,[2]RETAIL!$T$8:$AG$63,8,0),0)-IFERROR(IF(B22=100873,VLOOKUP("JUNIO",[2]RETAIL!$T$78:$U$91,2,0),0),0)</f>
        <v>0</v>
      </c>
      <c r="R22" s="305"/>
      <c r="S22" s="55">
        <f>IFERROR(VLOOKUP(D22,[2]RETAIL!$T$8:$AG$63,9,0),0)-IFERROR(IF(D22=100873,VLOOKUP("JULIO",[2]RETAIL!$T$78:$U$91,2,0),0),0)</f>
        <v>0</v>
      </c>
      <c r="T22" s="305"/>
      <c r="U22" s="55">
        <f>IFERROR(VLOOKUP(D22,[2]RETAIL!$T$8:$AG$63,10,0),0)-IFERROR(IF(D22=100873,VLOOKUP("AGOSTO",[2]RETAIL!$T$78:$U$91,2,0),0),0)</f>
        <v>0</v>
      </c>
      <c r="V22" s="305"/>
      <c r="W22" s="55">
        <f>IFERROR(VLOOKUP(D22,[2]RETAIL!$T$8:$AG$63,11,0),0)-IFERROR(IF(D22=100873,VLOOKUP("SEPTIEMBRE",[2]RETAIL!$T$78:$U$91,2,0),0),0)</f>
        <v>0</v>
      </c>
      <c r="X22" s="305"/>
      <c r="Y22" s="55">
        <f>IFERROR(VLOOKUP(D22,[2]RETAIL!$T$8:$AG$63,12,0),0)-IFERROR(IF(D22=100873,VLOOKUP("OCTUBRE",[2]RETAIL!$T$78:$U$91,2,0),0),0)</f>
        <v>0</v>
      </c>
      <c r="Z22" s="305"/>
      <c r="AA22" s="55">
        <f>IFERROR(VLOOKUP(D22,[2]RETAIL!$T$8:$AG$63,13,0),0)-IFERROR(IF(D22=100873,VLOOKUP("NOVIEMBRE",[2]RETAIL!$T$78:$U$91,2,0),0),0)</f>
        <v>0</v>
      </c>
      <c r="AB22" s="305"/>
      <c r="AC22" s="55">
        <f>IFERROR(VLOOKUP(D22,[2]RETAIL!$T$8:$AG$63,14,0),0)-IFERROR(IF(D22=100873,VLOOKUP("DICIEMBRE",[2]RETAIL!$T$78:$U$91,2,0),0),0)</f>
        <v>0</v>
      </c>
      <c r="AD22" s="54">
        <f t="shared" ref="AD22:AD27" si="15">IF($AD$2="ENERO",F22,IF($AD$2="FEBRERO",F22+H22,IF($AD$2="MARZO",F22+H22+J22,IF($AD$2="ABRIL",F22+H22+J22+L22,IF($AD$2="MAYO",F22+H22+J22+L22+N22,IF($AD$2="JUNIO",F22+H22+J22+L22+N22+P22,IF($AD$2="JULIO",F22+H22+J22+L22+N22+P22+R22,IF($AD$2="AGOSTO",F22+H22+J22+L22+N22+P22+R22+T22,IF($AD$2="SEPTIEMBRE",F22+H22+J22+L22+N22+P22+R22+T22+V22,IF($AD$2="OCTUBRE",F22+H22+J22+L22+N22+P22+R22+T22+V22+X22,IF($AD$2="NOVIEMBRE",F22+H22+J22+L22+N22+P22+R22+T22+V22+X22+Z22,IF($AD$2="DICIEMBRE",F22+H22+J22+L22+N22+P22+R22+T22+V22+X22+Z22+AB22,""))))))))))))</f>
        <v>0</v>
      </c>
      <c r="AE22" s="86">
        <f t="shared" ref="AE22:AE27" si="16">IFERROR(IF($AD$2="ENERO",G22,IF($AD$2="FEBRERO",G22+I22,IF($AD$2="MARZO",G22+I22+K22,IF($AD$2="ABRIL",G22+I22+K22+M22,IF($AD$2="MAYO",G22+I22+K22+M22+O22,IF($AD$2="JUNIO",G22+I22+K22+M22+O22+Q22,IF($AD$2="JULIO",G22+I22+K22+M22+O22+Q22+S22,IF($AD$2="AGOSTO",G22+I22+K22+M22+O22+Q22+S22+U22,IF($AD$2="SEPTIEMBRE",G22+I22+K22+M22+O22+Q22+S22+U22+W22,IF($AD$2="OCTUBRE",G22+I22+K22+M22+O22+Q22+S22+U22+W22+Y22,IF($AD$2="NOVIEMBRE",G22+I22+K22+M22+O22+Q22+S22+U22+W22+Y22+AA22,IF($AD$2="DICIEMBRE",G22+I22+K22+M22+O22+Q22+S22+U22+W22+Y22+AA22+AC22,"")))))))))))),0)</f>
        <v>1</v>
      </c>
      <c r="AF22" s="243">
        <f t="shared" ref="AF22:AF27" si="17">IFERROR((AE22/AD22),0)</f>
        <v>0</v>
      </c>
      <c r="AG22" s="54">
        <f t="shared" ref="AG22:AG27" si="18">+F22+H22+J22+L22+N22+P22+R22+T22+V22+X22+Z22+AB22</f>
        <v>0</v>
      </c>
      <c r="AH22" s="86">
        <f t="shared" ref="AH22:AH27" si="19">IFERROR(IF($AD$2="ENERO",G22,IF($AD$2="FEBRERO",G22+I22,IF($AD$2="MARZO",G22+I22+K22,IF($AD$2="ABRIL",G22+I22+K22+M22,IF($AD$2="MAYO",G22+I22+K22+M22+O22,IF($AD$2="JUNIO",G22+I22+K22+M22+O22+Q22,IF($AD$2="JULIO",G22+I22+K22+M22+O22+Q22+S22,IF($AD$2="AGOSTO",G22+I22+K22+M22+O22+Q22+S22+U22,IF($AD$2="SEPTIEMBRE",G22+I22+K22+M22+O22+Q22+S22+U22+W22,IF($AD$2="OCTUBRE",G22+I22+K22+M22+O22+Q22+S22+U22+W22+Y22,IF($AD$2="NOVIEMBRE",G22+I22+K22+M22+O22+Q22+S22+U22+W22+Y22+AA22,IF($AD$2="DICIEMBRE",G22+I22+K22+M22+O22+Q22+S22+U22+W22+Y22+AA22+AC22,"")))))))))))),0)</f>
        <v>1</v>
      </c>
      <c r="AI22" s="243">
        <f t="shared" ref="AI22:AI27" si="20">IFERROR((AH22/AG22),0)</f>
        <v>0</v>
      </c>
      <c r="AJ22" s="54">
        <f t="shared" ref="AJ22:AJ27" si="21">IF($AJ$3="Q1",F22+H22+J22,IF($AJ$3="Q2",L22+N22++P22,IF($AJ$3="Q3",R22+T22+V22,IF($AJ$3="Q4",X22+Z22+AB22,0))))</f>
        <v>0</v>
      </c>
      <c r="AK22" s="68">
        <f t="shared" ref="AK22:AK27" si="22">IFERROR(IF($AJ$3="Q1",G22+I22+K22,IF($AJ$3="Q2",M22+O22++Q22,IF($AJ$3="Q3",S22+U22+W22,IF($AJ$3="Q4",Y22+AA22+AC22,0)))),0)</f>
        <v>0</v>
      </c>
      <c r="AL22" s="56">
        <f t="shared" ref="AL22:AL27" si="23">IFERROR((AK22/AJ22),0)</f>
        <v>0</v>
      </c>
      <c r="AM22" s="54">
        <f t="shared" ref="AM22:AM27" si="24">IF($AM$3="S 1",F22+H22+J22+L22+N22+P22,IF($AM$3="S 2",R22+T22+V22+X22+Z22+AB22,0))</f>
        <v>0</v>
      </c>
      <c r="AN22" s="86">
        <f t="shared" ref="AN22:AN27" si="25">IFERROR(IF($AM$3="S 1",G22+I22+K22+M22+O22+Q22,IF($AM$3="S 2",S22+U22+W22+Y22+AA22+AC22,0)),0)</f>
        <v>1</v>
      </c>
      <c r="AO22" s="243">
        <f t="shared" ref="AO22:AO27" si="26">IFERROR((AN22/AM22),0)</f>
        <v>0</v>
      </c>
    </row>
    <row r="23" spans="1:41" s="53" customFormat="1" ht="16" customHeight="1" x14ac:dyDescent="0.3">
      <c r="A23" s="53">
        <f>_xlfn.XLOOKUP(B23,[8]Pedidos!$C$7:$C$67,[8]Pedidos!$B$7:$B$67)</f>
        <v>4</v>
      </c>
      <c r="B23" s="179">
        <v>100146</v>
      </c>
      <c r="C23" s="381" t="s">
        <v>18</v>
      </c>
      <c r="D23" s="51">
        <v>9785</v>
      </c>
      <c r="E23" s="309" t="s">
        <v>81</v>
      </c>
      <c r="F23" s="305">
        <v>1</v>
      </c>
      <c r="G23" s="55">
        <f>IFERROR(VLOOKUP(B23,[2]RETAIL!$T$8:$AG$63,3,0),0)-IFERROR(IF(B23=100873,VLOOKUP("ENERO",[2]RETAIL!$T$78:$U$91,2,0),0),0)</f>
        <v>0</v>
      </c>
      <c r="H23" s="305">
        <v>1</v>
      </c>
      <c r="I23" s="55">
        <f>IFERROR(VLOOKUP(B23,[2]RETAIL!$T$8:$AG$63,4,0),0)-IFERROR(IF(B23=100873,VLOOKUP("FEBRERO",[2]RETAIL!$T$78:$U$91,2,0),0),0)</f>
        <v>1</v>
      </c>
      <c r="J23" s="305">
        <v>1</v>
      </c>
      <c r="K23" s="55">
        <f>IFERROR(VLOOKUP(B23,[2]RETAIL!$T$8:$AG$63,5,0),0)-IFERROR(IF(B23=100873,VLOOKUP("MARZO",[2]RETAIL!$T$78:$U$91,2,0),0),0)</f>
        <v>0</v>
      </c>
      <c r="L23" s="305">
        <v>1</v>
      </c>
      <c r="M23" s="55">
        <f>IFERROR(VLOOKUP(B23,[2]RETAIL!$T$8:$AG$63,6,0),0)-IFERROR(IF(B23=100873,VLOOKUP("ABRIL",[2]RETAIL!$T$78:$U$91,2,0),0),0)</f>
        <v>1</v>
      </c>
      <c r="N23" s="305">
        <v>1</v>
      </c>
      <c r="O23" s="55">
        <f>IFERROR(VLOOKUP(B23,[2]RETAIL!$T$8:$AG$63,7,0),0)-IFERROR(IF(B23=100873,VLOOKUP("MAYO",[2]RETAIL!$T$78:$U$91,2,0),0),0)</f>
        <v>0</v>
      </c>
      <c r="P23" s="305">
        <v>2</v>
      </c>
      <c r="Q23" s="55">
        <f>IFERROR(VLOOKUP(B23,[2]RETAIL!$T$8:$AG$63,8,0),0)-IFERROR(IF(B23=100873,VLOOKUP("JUNIO",[2]RETAIL!$T$78:$U$91,2,0),0),0)</f>
        <v>0</v>
      </c>
      <c r="R23" s="305"/>
      <c r="S23" s="55">
        <f>IFERROR(VLOOKUP(D23,[2]RETAIL!$T$8:$AG$63,9,0),0)-IFERROR(IF(D23=100873,VLOOKUP("JULIO",[2]RETAIL!$T$78:$U$91,2,0),0),0)</f>
        <v>0</v>
      </c>
      <c r="T23" s="305"/>
      <c r="U23" s="55">
        <f>IFERROR(VLOOKUP(D23,[2]RETAIL!$T$8:$AG$63,10,0),0)-IFERROR(IF(D23=100873,VLOOKUP("AGOSTO",[2]RETAIL!$T$78:$U$91,2,0),0),0)</f>
        <v>0</v>
      </c>
      <c r="V23" s="305"/>
      <c r="W23" s="55">
        <f>IFERROR(VLOOKUP(D23,[2]RETAIL!$T$8:$AG$63,11,0),0)-IFERROR(IF(D23=100873,VLOOKUP("SEPTIEMBRE",[2]RETAIL!$T$78:$U$91,2,0),0),0)</f>
        <v>0</v>
      </c>
      <c r="X23" s="305"/>
      <c r="Y23" s="55">
        <f>IFERROR(VLOOKUP(D23,[2]RETAIL!$T$8:$AG$63,12,0),0)-IFERROR(IF(D23=100873,VLOOKUP("OCTUBRE",[2]RETAIL!$T$78:$U$91,2,0),0),0)</f>
        <v>0</v>
      </c>
      <c r="Z23" s="305"/>
      <c r="AA23" s="55">
        <f>IFERROR(VLOOKUP(D23,[2]RETAIL!$T$8:$AG$63,13,0),0)-IFERROR(IF(D23=100873,VLOOKUP("NOVIEMBRE",[2]RETAIL!$T$78:$U$91,2,0),0),0)</f>
        <v>0</v>
      </c>
      <c r="AB23" s="305"/>
      <c r="AC23" s="55">
        <f>IFERROR(VLOOKUP(D23,[2]RETAIL!$T$8:$AG$63,14,0),0)-IFERROR(IF(D23=100873,VLOOKUP("DICIEMBRE",[2]RETAIL!$T$78:$U$91,2,0),0),0)</f>
        <v>0</v>
      </c>
      <c r="AD23" s="54">
        <f t="shared" si="15"/>
        <v>7</v>
      </c>
      <c r="AE23" s="86">
        <f t="shared" si="16"/>
        <v>2</v>
      </c>
      <c r="AF23" s="243">
        <f t="shared" si="17"/>
        <v>0.2857142857142857</v>
      </c>
      <c r="AG23" s="54">
        <f t="shared" si="18"/>
        <v>7</v>
      </c>
      <c r="AH23" s="86">
        <f t="shared" si="19"/>
        <v>2</v>
      </c>
      <c r="AI23" s="243">
        <f t="shared" si="20"/>
        <v>0.2857142857142857</v>
      </c>
      <c r="AJ23" s="54">
        <f t="shared" si="21"/>
        <v>3</v>
      </c>
      <c r="AK23" s="68">
        <f t="shared" si="22"/>
        <v>1</v>
      </c>
      <c r="AL23" s="56">
        <f t="shared" si="23"/>
        <v>0.33333333333333331</v>
      </c>
      <c r="AM23" s="54">
        <f t="shared" si="24"/>
        <v>7</v>
      </c>
      <c r="AN23" s="86">
        <f t="shared" si="25"/>
        <v>2</v>
      </c>
      <c r="AO23" s="243">
        <f t="shared" si="26"/>
        <v>0.2857142857142857</v>
      </c>
    </row>
    <row r="24" spans="1:41" s="53" customFormat="1" ht="16" customHeight="1" x14ac:dyDescent="0.3">
      <c r="A24" s="53">
        <f>_xlfn.XLOOKUP(B24,[8]Pedidos!$C$7:$C$67,[8]Pedidos!$B$7:$B$67)</f>
        <v>4</v>
      </c>
      <c r="B24" s="179">
        <v>100155</v>
      </c>
      <c r="C24" s="381" t="s">
        <v>167</v>
      </c>
      <c r="D24" s="51">
        <v>1212</v>
      </c>
      <c r="E24" s="309" t="s">
        <v>82</v>
      </c>
      <c r="F24" s="539">
        <v>2</v>
      </c>
      <c r="G24" s="55">
        <f>IFERROR(VLOOKUP(B24,[2]RETAIL!$T$8:$AG$63,3,0),0)-IFERROR(IF(B24=100873,VLOOKUP("ENERO",[2]RETAIL!$T$78:$U$91,2,0),0),0)</f>
        <v>3</v>
      </c>
      <c r="H24" s="539">
        <v>2</v>
      </c>
      <c r="I24" s="55">
        <f>IFERROR(VLOOKUP(B24,[2]RETAIL!$T$8:$AG$63,4,0),0)-IFERROR(IF(B24=100873,VLOOKUP("FEBRERO",[2]RETAIL!$T$78:$U$91,2,0),0),0)</f>
        <v>3</v>
      </c>
      <c r="J24" s="539">
        <v>2</v>
      </c>
      <c r="K24" s="55">
        <f>IFERROR(VLOOKUP(B24,[2]RETAIL!$T$8:$AG$63,5,0),0)-IFERROR(IF(B24=100873,VLOOKUP("MARZO",[2]RETAIL!$T$78:$U$91,2,0),0),0)</f>
        <v>1</v>
      </c>
      <c r="L24" s="539">
        <v>2</v>
      </c>
      <c r="M24" s="55">
        <f>IFERROR(VLOOKUP(B24,[2]RETAIL!$T$8:$AG$63,6,0),0)-IFERROR(IF(B24=100873,VLOOKUP("ABRIL",[2]RETAIL!$T$78:$U$91,2,0),0),0)</f>
        <v>1</v>
      </c>
      <c r="N24" s="539">
        <v>2</v>
      </c>
      <c r="O24" s="55">
        <f>IFERROR(VLOOKUP(B24,[2]RETAIL!$T$8:$AG$63,7,0),0)-IFERROR(IF(B24=100873,VLOOKUP("MAYO",[2]RETAIL!$T$78:$U$91,2,0),0),0)</f>
        <v>3</v>
      </c>
      <c r="P24" s="539">
        <v>2</v>
      </c>
      <c r="Q24" s="55">
        <f>IFERROR(VLOOKUP(B24,[2]RETAIL!$T$8:$AG$63,8,0),0)-IFERROR(IF(B24=100873,VLOOKUP("JUNIO",[2]RETAIL!$T$78:$U$91,2,0),0),0)</f>
        <v>2</v>
      </c>
      <c r="R24" s="305"/>
      <c r="S24" s="55">
        <f>IFERROR(VLOOKUP(D24,[2]RETAIL!$T$8:$AG$63,9,0),0)-IFERROR(IF(D24=100873,VLOOKUP("JULIO",[2]RETAIL!$T$78:$U$91,2,0),0),0)</f>
        <v>0</v>
      </c>
      <c r="T24" s="305"/>
      <c r="U24" s="55">
        <f>IFERROR(VLOOKUP(D24,[2]RETAIL!$T$8:$AG$63,10,0),0)-IFERROR(IF(D24=100873,VLOOKUP("AGOSTO",[2]RETAIL!$T$78:$U$91,2,0),0),0)</f>
        <v>0</v>
      </c>
      <c r="V24" s="305"/>
      <c r="W24" s="55">
        <f>IFERROR(VLOOKUP(D24,[2]RETAIL!$T$8:$AG$63,11,0),0)-IFERROR(IF(D24=100873,VLOOKUP("SEPTIEMBRE",[2]RETAIL!$T$78:$U$91,2,0),0),0)</f>
        <v>0</v>
      </c>
      <c r="X24" s="305"/>
      <c r="Y24" s="55">
        <f>IFERROR(VLOOKUP(D24,[2]RETAIL!$T$8:$AG$63,12,0),0)-IFERROR(IF(D24=100873,VLOOKUP("OCTUBRE",[2]RETAIL!$T$78:$U$91,2,0),0),0)</f>
        <v>0</v>
      </c>
      <c r="Z24" s="305"/>
      <c r="AA24" s="55">
        <f>IFERROR(VLOOKUP(D24,[2]RETAIL!$T$8:$AG$63,13,0),0)-IFERROR(IF(D24=100873,VLOOKUP("NOVIEMBRE",[2]RETAIL!$T$78:$U$91,2,0),0),0)</f>
        <v>0</v>
      </c>
      <c r="AB24" s="305"/>
      <c r="AC24" s="55">
        <f>IFERROR(VLOOKUP(D24,[2]RETAIL!$T$8:$AG$63,14,0),0)-IFERROR(IF(D24=100873,VLOOKUP("DICIEMBRE",[2]RETAIL!$T$78:$U$91,2,0),0),0)</f>
        <v>0</v>
      </c>
      <c r="AD24" s="54">
        <f t="shared" si="15"/>
        <v>12</v>
      </c>
      <c r="AE24" s="86">
        <f t="shared" si="16"/>
        <v>13</v>
      </c>
      <c r="AF24" s="243">
        <f t="shared" si="17"/>
        <v>1.0833333333333333</v>
      </c>
      <c r="AG24" s="54">
        <f t="shared" si="18"/>
        <v>12</v>
      </c>
      <c r="AH24" s="86">
        <f t="shared" si="19"/>
        <v>13</v>
      </c>
      <c r="AI24" s="243">
        <f t="shared" si="20"/>
        <v>1.0833333333333333</v>
      </c>
      <c r="AJ24" s="54">
        <f t="shared" si="21"/>
        <v>6</v>
      </c>
      <c r="AK24" s="68">
        <f t="shared" si="22"/>
        <v>7</v>
      </c>
      <c r="AL24" s="56">
        <f t="shared" si="23"/>
        <v>1.1666666666666667</v>
      </c>
      <c r="AM24" s="54">
        <f t="shared" si="24"/>
        <v>12</v>
      </c>
      <c r="AN24" s="86">
        <f t="shared" si="25"/>
        <v>13</v>
      </c>
      <c r="AO24" s="243">
        <f t="shared" si="26"/>
        <v>1.0833333333333333</v>
      </c>
    </row>
    <row r="25" spans="1:41" s="53" customFormat="1" ht="16" customHeight="1" x14ac:dyDescent="0.3">
      <c r="A25" s="53">
        <f>_xlfn.XLOOKUP(B25,[8]Pedidos!$C$7:$C$67,[8]Pedidos!$B$7:$B$67)</f>
        <v>4</v>
      </c>
      <c r="B25" s="179">
        <v>100304</v>
      </c>
      <c r="C25" s="381" t="s">
        <v>45</v>
      </c>
      <c r="D25" s="51">
        <v>9785</v>
      </c>
      <c r="E25" s="309" t="s">
        <v>81</v>
      </c>
      <c r="F25" s="305">
        <v>5</v>
      </c>
      <c r="G25" s="55">
        <f>IFERROR(VLOOKUP(B25,[2]RETAIL!$T$8:$AG$63,3,0),0)-IFERROR(IF(B25=100873,VLOOKUP("ENERO",[2]RETAIL!$T$78:$U$91,2,0),0),0)</f>
        <v>8</v>
      </c>
      <c r="H25" s="305">
        <v>5</v>
      </c>
      <c r="I25" s="55">
        <f>IFERROR(VLOOKUP(B25,[2]RETAIL!$T$8:$AG$63,4,0),0)-IFERROR(IF(B25=100873,VLOOKUP("FEBRERO",[2]RETAIL!$T$78:$U$91,2,0),0),0)</f>
        <v>2</v>
      </c>
      <c r="J25" s="305">
        <v>5</v>
      </c>
      <c r="K25" s="55">
        <f>IFERROR(VLOOKUP(B25,[2]RETAIL!$T$8:$AG$63,5,0),0)-IFERROR(IF(B25=100873,VLOOKUP("MARZO",[2]RETAIL!$T$78:$U$91,2,0),0),0)</f>
        <v>6</v>
      </c>
      <c r="L25" s="305">
        <v>5</v>
      </c>
      <c r="M25" s="55">
        <f>IFERROR(VLOOKUP(B25,[2]RETAIL!$T$8:$AG$63,6,0),0)-IFERROR(IF(B25=100873,VLOOKUP("ABRIL",[2]RETAIL!$T$78:$U$91,2,0),0),0)</f>
        <v>8</v>
      </c>
      <c r="N25" s="305">
        <v>5</v>
      </c>
      <c r="O25" s="55">
        <f>IFERROR(VLOOKUP(B25,[2]RETAIL!$T$8:$AG$63,7,0),0)-IFERROR(IF(B25=100873,VLOOKUP("MAYO",[2]RETAIL!$T$78:$U$91,2,0),0),0)</f>
        <v>10</v>
      </c>
      <c r="P25" s="305">
        <v>5</v>
      </c>
      <c r="Q25" s="55">
        <f>IFERROR(VLOOKUP(B25,[2]RETAIL!$T$8:$AG$63,8,0),0)-IFERROR(IF(B25=100873,VLOOKUP("JUNIO",[2]RETAIL!$T$78:$U$91,2,0),0),0)</f>
        <v>6</v>
      </c>
      <c r="R25" s="305"/>
      <c r="S25" s="55">
        <f>IFERROR(VLOOKUP(D25,[2]RETAIL!$T$8:$AG$63,9,0),0)-IFERROR(IF(D25=100873,VLOOKUP("JULIO",[2]RETAIL!$T$78:$U$91,2,0),0),0)</f>
        <v>0</v>
      </c>
      <c r="T25" s="305"/>
      <c r="U25" s="55">
        <f>IFERROR(VLOOKUP(D25,[2]RETAIL!$T$8:$AG$63,10,0),0)-IFERROR(IF(D25=100873,VLOOKUP("AGOSTO",[2]RETAIL!$T$78:$U$91,2,0),0),0)</f>
        <v>0</v>
      </c>
      <c r="V25" s="305"/>
      <c r="W25" s="55">
        <f>IFERROR(VLOOKUP(D25,[2]RETAIL!$T$8:$AG$63,11,0),0)-IFERROR(IF(D25=100873,VLOOKUP("SEPTIEMBRE",[2]RETAIL!$T$78:$U$91,2,0),0),0)</f>
        <v>0</v>
      </c>
      <c r="X25" s="305"/>
      <c r="Y25" s="55">
        <f>IFERROR(VLOOKUP(D25,[2]RETAIL!$T$8:$AG$63,12,0),0)-IFERROR(IF(D25=100873,VLOOKUP("OCTUBRE",[2]RETAIL!$T$78:$U$91,2,0),0),0)</f>
        <v>0</v>
      </c>
      <c r="Z25" s="305"/>
      <c r="AA25" s="55">
        <f>IFERROR(VLOOKUP(D25,[2]RETAIL!$T$8:$AG$63,13,0),0)-IFERROR(IF(D25=100873,VLOOKUP("NOVIEMBRE",[2]RETAIL!$T$78:$U$91,2,0),0),0)</f>
        <v>0</v>
      </c>
      <c r="AB25" s="305"/>
      <c r="AC25" s="55">
        <f>IFERROR(VLOOKUP(D25,[2]RETAIL!$T$8:$AG$63,14,0),0)-IFERROR(IF(D25=100873,VLOOKUP("DICIEMBRE",[2]RETAIL!$T$78:$U$91,2,0),0),0)</f>
        <v>0</v>
      </c>
      <c r="AD25" s="54">
        <f t="shared" si="15"/>
        <v>30</v>
      </c>
      <c r="AE25" s="86">
        <f t="shared" si="16"/>
        <v>40</v>
      </c>
      <c r="AF25" s="243">
        <f t="shared" si="17"/>
        <v>1.3333333333333333</v>
      </c>
      <c r="AG25" s="54">
        <f t="shared" si="18"/>
        <v>30</v>
      </c>
      <c r="AH25" s="86">
        <f t="shared" si="19"/>
        <v>40</v>
      </c>
      <c r="AI25" s="243">
        <f t="shared" si="20"/>
        <v>1.3333333333333333</v>
      </c>
      <c r="AJ25" s="54">
        <f t="shared" si="21"/>
        <v>15</v>
      </c>
      <c r="AK25" s="68">
        <f t="shared" si="22"/>
        <v>16</v>
      </c>
      <c r="AL25" s="56">
        <f t="shared" si="23"/>
        <v>1.0666666666666667</v>
      </c>
      <c r="AM25" s="54">
        <f t="shared" si="24"/>
        <v>30</v>
      </c>
      <c r="AN25" s="86">
        <f t="shared" si="25"/>
        <v>40</v>
      </c>
      <c r="AO25" s="243">
        <f t="shared" si="26"/>
        <v>1.3333333333333333</v>
      </c>
    </row>
    <row r="26" spans="1:41" s="53" customFormat="1" ht="16" customHeight="1" x14ac:dyDescent="0.3">
      <c r="A26" s="53">
        <f>_xlfn.XLOOKUP(B26,[8]Pedidos!$C$7:$C$67,[8]Pedidos!$B$7:$B$67)</f>
        <v>4</v>
      </c>
      <c r="B26" s="179">
        <v>100346</v>
      </c>
      <c r="C26" s="381" t="s">
        <v>46</v>
      </c>
      <c r="D26" s="51">
        <v>9785</v>
      </c>
      <c r="E26" s="309" t="s">
        <v>81</v>
      </c>
      <c r="F26" s="305">
        <v>2</v>
      </c>
      <c r="G26" s="55">
        <f>IFERROR(VLOOKUP(B26,[2]RETAIL!$T$8:$AG$63,3,0),0)-IFERROR(IF(B26=100873,VLOOKUP("ENERO",[2]RETAIL!$T$78:$U$91,2,0),0),0)</f>
        <v>0</v>
      </c>
      <c r="H26" s="305">
        <v>3</v>
      </c>
      <c r="I26" s="55">
        <f>IFERROR(VLOOKUP(B26,[2]RETAIL!$T$8:$AG$63,4,0),0)-IFERROR(IF(B26=100873,VLOOKUP("FEBRERO",[2]RETAIL!$T$78:$U$91,2,0),0),0)</f>
        <v>2</v>
      </c>
      <c r="J26" s="305">
        <v>3</v>
      </c>
      <c r="K26" s="55">
        <f>IFERROR(VLOOKUP(B26,[2]RETAIL!$T$8:$AG$63,5,0),0)-IFERROR(IF(B26=100873,VLOOKUP("MARZO",[2]RETAIL!$T$78:$U$91,2,0),0),0)</f>
        <v>1</v>
      </c>
      <c r="L26" s="305">
        <v>3</v>
      </c>
      <c r="M26" s="55">
        <f>IFERROR(VLOOKUP(B26,[2]RETAIL!$T$8:$AG$63,6,0),0)-IFERROR(IF(B26=100873,VLOOKUP("ABRIL",[2]RETAIL!$T$78:$U$91,2,0),0),0)</f>
        <v>2</v>
      </c>
      <c r="N26" s="305">
        <v>3</v>
      </c>
      <c r="O26" s="55">
        <f>IFERROR(VLOOKUP(B26,[2]RETAIL!$T$8:$AG$63,7,0),0)-IFERROR(IF(B26=100873,VLOOKUP("MAYO",[2]RETAIL!$T$78:$U$91,2,0),0),0)</f>
        <v>2</v>
      </c>
      <c r="P26" s="305">
        <v>3</v>
      </c>
      <c r="Q26" s="55">
        <f>IFERROR(VLOOKUP(B26,[2]RETAIL!$T$8:$AG$63,8,0),0)-IFERROR(IF(B26=100873,VLOOKUP("JUNIO",[2]RETAIL!$T$78:$U$91,2,0),0),0)</f>
        <v>1</v>
      </c>
      <c r="R26" s="305">
        <v>3</v>
      </c>
      <c r="S26" s="55">
        <f>IFERROR(VLOOKUP(D26,[2]RETAIL!$T$8:$AG$63,9,0),0)-IFERROR(IF(D26=100873,VLOOKUP("JULIO",[2]RETAIL!$T$78:$U$91,2,0),0),0)</f>
        <v>0</v>
      </c>
      <c r="T26" s="305">
        <v>3</v>
      </c>
      <c r="U26" s="55">
        <f>IFERROR(VLOOKUP(D26,[2]RETAIL!$T$8:$AG$63,10,0),0)-IFERROR(IF(D26=100873,VLOOKUP("AGOSTO",[2]RETAIL!$T$78:$U$91,2,0),0),0)</f>
        <v>0</v>
      </c>
      <c r="V26" s="305">
        <v>3</v>
      </c>
      <c r="W26" s="55">
        <f>IFERROR(VLOOKUP(D26,[2]RETAIL!$T$8:$AG$63,11,0),0)-IFERROR(IF(D26=100873,VLOOKUP("SEPTIEMBRE",[2]RETAIL!$T$78:$U$91,2,0),0),0)</f>
        <v>0</v>
      </c>
      <c r="X26" s="305">
        <v>3</v>
      </c>
      <c r="Y26" s="55">
        <f>IFERROR(VLOOKUP(D26,[2]RETAIL!$T$8:$AG$63,12,0),0)-IFERROR(IF(D26=100873,VLOOKUP("OCTUBRE",[2]RETAIL!$T$78:$U$91,2,0),0),0)</f>
        <v>0</v>
      </c>
      <c r="Z26" s="305">
        <v>3</v>
      </c>
      <c r="AA26" s="55">
        <f>IFERROR(VLOOKUP(D26,[2]RETAIL!$T$8:$AG$63,13,0),0)-IFERROR(IF(D26=100873,VLOOKUP("NOVIEMBRE",[2]RETAIL!$T$78:$U$91,2,0),0),0)</f>
        <v>0</v>
      </c>
      <c r="AB26" s="305">
        <v>3</v>
      </c>
      <c r="AC26" s="55">
        <f>IFERROR(VLOOKUP(D26,[2]RETAIL!$T$8:$AG$63,14,0),0)-IFERROR(IF(D26=100873,VLOOKUP("DICIEMBRE",[2]RETAIL!$T$78:$U$91,2,0),0),0)</f>
        <v>0</v>
      </c>
      <c r="AD26" s="54">
        <f t="shared" si="15"/>
        <v>17</v>
      </c>
      <c r="AE26" s="86">
        <f t="shared" si="16"/>
        <v>8</v>
      </c>
      <c r="AF26" s="243">
        <f t="shared" si="17"/>
        <v>0.47058823529411764</v>
      </c>
      <c r="AG26" s="54">
        <f t="shared" si="18"/>
        <v>35</v>
      </c>
      <c r="AH26" s="86">
        <f t="shared" si="19"/>
        <v>8</v>
      </c>
      <c r="AI26" s="243">
        <f t="shared" si="20"/>
        <v>0.22857142857142856</v>
      </c>
      <c r="AJ26" s="54">
        <f t="shared" si="21"/>
        <v>8</v>
      </c>
      <c r="AK26" s="68">
        <f t="shared" si="22"/>
        <v>3</v>
      </c>
      <c r="AL26" s="56">
        <f t="shared" si="23"/>
        <v>0.375</v>
      </c>
      <c r="AM26" s="54">
        <f t="shared" si="24"/>
        <v>17</v>
      </c>
      <c r="AN26" s="86">
        <f t="shared" si="25"/>
        <v>8</v>
      </c>
      <c r="AO26" s="243">
        <f t="shared" si="26"/>
        <v>0.47058823529411764</v>
      </c>
    </row>
    <row r="27" spans="1:41" s="53" customFormat="1" ht="16" customHeight="1" thickBot="1" x14ac:dyDescent="0.35">
      <c r="A27" s="53">
        <f>_xlfn.XLOOKUP(B27,[8]Pedidos!$C$7:$C$67,[8]Pedidos!$B$7:$B$67)</f>
        <v>4</v>
      </c>
      <c r="B27" s="179">
        <v>100571</v>
      </c>
      <c r="C27" s="381" t="s">
        <v>48</v>
      </c>
      <c r="D27" s="51">
        <v>1212</v>
      </c>
      <c r="E27" s="309" t="s">
        <v>82</v>
      </c>
      <c r="F27" s="539">
        <v>1</v>
      </c>
      <c r="G27" s="55">
        <f>IFERROR(VLOOKUP(B27,[2]RETAIL!$T$8:$AG$63,3,0),0)-IFERROR(IF(B27=100873,VLOOKUP("ENERO",[2]RETAIL!$T$78:$U$91,2,0),0),0)</f>
        <v>0</v>
      </c>
      <c r="H27" s="539">
        <v>1</v>
      </c>
      <c r="I27" s="55">
        <f>IFERROR(VLOOKUP(B27,[2]RETAIL!$T$8:$AG$63,4,0),0)-IFERROR(IF(B27=100873,VLOOKUP("FEBRERO",[2]RETAIL!$T$78:$U$91,2,0),0),0)</f>
        <v>3</v>
      </c>
      <c r="J27" s="539">
        <v>1</v>
      </c>
      <c r="K27" s="55">
        <f>IFERROR(VLOOKUP(B27,[2]RETAIL!$T$8:$AG$63,5,0),0)-IFERROR(IF(B27=100873,VLOOKUP("MARZO",[2]RETAIL!$T$78:$U$91,2,0),0),0)</f>
        <v>0</v>
      </c>
      <c r="L27" s="539">
        <v>1</v>
      </c>
      <c r="M27" s="55">
        <f>IFERROR(VLOOKUP(B27,[2]RETAIL!$T$8:$AG$63,6,0),0)-IFERROR(IF(B27=100873,VLOOKUP("ABRIL",[2]RETAIL!$T$78:$U$91,2,0),0),0)</f>
        <v>2</v>
      </c>
      <c r="N27" s="539">
        <v>1</v>
      </c>
      <c r="O27" s="55">
        <f>IFERROR(VLOOKUP(B27,[2]RETAIL!$T$8:$AG$63,7,0),0)-IFERROR(IF(B27=100873,VLOOKUP("MAYO",[2]RETAIL!$T$78:$U$91,2,0),0),0)</f>
        <v>1</v>
      </c>
      <c r="P27" s="539">
        <v>1</v>
      </c>
      <c r="Q27" s="55">
        <f>IFERROR(VLOOKUP(B27,[2]RETAIL!$T$8:$AG$63,8,0),0)-IFERROR(IF(B27=100873,VLOOKUP("JUNIO",[2]RETAIL!$T$78:$U$91,2,0),0),0)</f>
        <v>1</v>
      </c>
      <c r="R27" s="305"/>
      <c r="S27" s="55">
        <f>IFERROR(VLOOKUP(D27,[2]RETAIL!$T$8:$AG$63,9,0),0)-IFERROR(IF(D27=100873,VLOOKUP("JULIO",[2]RETAIL!$T$78:$U$91,2,0),0),0)</f>
        <v>0</v>
      </c>
      <c r="T27" s="305"/>
      <c r="U27" s="55">
        <f>IFERROR(VLOOKUP(D27,[2]RETAIL!$T$8:$AG$63,10,0),0)-IFERROR(IF(D27=100873,VLOOKUP("AGOSTO",[2]RETAIL!$T$78:$U$91,2,0),0),0)</f>
        <v>0</v>
      </c>
      <c r="V27" s="305"/>
      <c r="W27" s="55">
        <f>IFERROR(VLOOKUP(D27,[2]RETAIL!$T$8:$AG$63,11,0),0)-IFERROR(IF(D27=100873,VLOOKUP("SEPTIEMBRE",[2]RETAIL!$T$78:$U$91,2,0),0),0)</f>
        <v>0</v>
      </c>
      <c r="X27" s="305"/>
      <c r="Y27" s="55">
        <f>IFERROR(VLOOKUP(D27,[2]RETAIL!$T$8:$AG$63,12,0),0)-IFERROR(IF(D27=100873,VLOOKUP("OCTUBRE",[2]RETAIL!$T$78:$U$91,2,0),0),0)</f>
        <v>0</v>
      </c>
      <c r="Z27" s="305"/>
      <c r="AA27" s="55">
        <f>IFERROR(VLOOKUP(D27,[2]RETAIL!$T$8:$AG$63,13,0),0)-IFERROR(IF(D27=100873,VLOOKUP("NOVIEMBRE",[2]RETAIL!$T$78:$U$91,2,0),0),0)</f>
        <v>0</v>
      </c>
      <c r="AB27" s="305"/>
      <c r="AC27" s="55">
        <f>IFERROR(VLOOKUP(D27,[2]RETAIL!$T$8:$AG$63,14,0),0)-IFERROR(IF(D27=100873,VLOOKUP("DICIEMBRE",[2]RETAIL!$T$78:$U$91,2,0),0),0)</f>
        <v>0</v>
      </c>
      <c r="AD27" s="54">
        <f t="shared" si="15"/>
        <v>6</v>
      </c>
      <c r="AE27" s="86">
        <f t="shared" si="16"/>
        <v>7</v>
      </c>
      <c r="AF27" s="243">
        <f t="shared" si="17"/>
        <v>1.1666666666666667</v>
      </c>
      <c r="AG27" s="54">
        <f t="shared" si="18"/>
        <v>6</v>
      </c>
      <c r="AH27" s="86">
        <f t="shared" si="19"/>
        <v>7</v>
      </c>
      <c r="AI27" s="243">
        <f t="shared" si="20"/>
        <v>1.1666666666666667</v>
      </c>
      <c r="AJ27" s="54">
        <f t="shared" si="21"/>
        <v>3</v>
      </c>
      <c r="AK27" s="68">
        <f t="shared" si="22"/>
        <v>3</v>
      </c>
      <c r="AL27" s="56">
        <f t="shared" si="23"/>
        <v>1</v>
      </c>
      <c r="AM27" s="54">
        <f t="shared" si="24"/>
        <v>6</v>
      </c>
      <c r="AN27" s="86">
        <f t="shared" si="25"/>
        <v>7</v>
      </c>
      <c r="AO27" s="243">
        <f t="shared" si="26"/>
        <v>1.1666666666666667</v>
      </c>
    </row>
    <row r="28" spans="1:41" s="53" customFormat="1" ht="16" customHeight="1" thickBot="1" x14ac:dyDescent="0.35">
      <c r="A28" s="50"/>
      <c r="B28" s="180" t="s">
        <v>266</v>
      </c>
      <c r="C28" s="62"/>
      <c r="D28" s="80"/>
      <c r="E28" s="265"/>
      <c r="F28" s="155">
        <f t="shared" ref="F28:AE28" si="27">SUM(F22:F27)</f>
        <v>11</v>
      </c>
      <c r="G28" s="155">
        <f t="shared" si="27"/>
        <v>11</v>
      </c>
      <c r="H28" s="155">
        <f t="shared" si="27"/>
        <v>12</v>
      </c>
      <c r="I28" s="155">
        <f t="shared" si="27"/>
        <v>11</v>
      </c>
      <c r="J28" s="155">
        <f t="shared" si="27"/>
        <v>12</v>
      </c>
      <c r="K28" s="155">
        <f t="shared" si="27"/>
        <v>8</v>
      </c>
      <c r="L28" s="155">
        <f t="shared" si="27"/>
        <v>12</v>
      </c>
      <c r="M28" s="155">
        <f t="shared" si="27"/>
        <v>15</v>
      </c>
      <c r="N28" s="155">
        <f t="shared" si="27"/>
        <v>12</v>
      </c>
      <c r="O28" s="155">
        <f t="shared" si="27"/>
        <v>16</v>
      </c>
      <c r="P28" s="155">
        <f t="shared" si="27"/>
        <v>13</v>
      </c>
      <c r="Q28" s="155">
        <f t="shared" si="27"/>
        <v>10</v>
      </c>
      <c r="R28" s="155">
        <f t="shared" si="27"/>
        <v>3</v>
      </c>
      <c r="S28" s="155">
        <f t="shared" si="27"/>
        <v>0</v>
      </c>
      <c r="T28" s="155">
        <f t="shared" si="27"/>
        <v>3</v>
      </c>
      <c r="U28" s="155">
        <f t="shared" si="27"/>
        <v>0</v>
      </c>
      <c r="V28" s="155">
        <f t="shared" si="27"/>
        <v>3</v>
      </c>
      <c r="W28" s="155">
        <f t="shared" si="27"/>
        <v>0</v>
      </c>
      <c r="X28" s="155">
        <f t="shared" si="27"/>
        <v>3</v>
      </c>
      <c r="Y28" s="155">
        <f t="shared" si="27"/>
        <v>0</v>
      </c>
      <c r="Z28" s="155">
        <f t="shared" si="27"/>
        <v>3</v>
      </c>
      <c r="AA28" s="155">
        <f t="shared" si="27"/>
        <v>0</v>
      </c>
      <c r="AB28" s="155">
        <f t="shared" si="27"/>
        <v>3</v>
      </c>
      <c r="AC28" s="155">
        <f t="shared" si="27"/>
        <v>0</v>
      </c>
      <c r="AD28" s="155">
        <f t="shared" si="27"/>
        <v>72</v>
      </c>
      <c r="AE28" s="155">
        <f t="shared" si="27"/>
        <v>71</v>
      </c>
      <c r="AF28" s="424">
        <f t="shared" ref="AF28:AF64" si="28">IFERROR((AE28/AD28),0)</f>
        <v>0.98611111111111116</v>
      </c>
      <c r="AG28" s="155">
        <f>SUM(AG22:AG27)</f>
        <v>90</v>
      </c>
      <c r="AH28" s="155">
        <f>SUM(AH22:AH27)</f>
        <v>71</v>
      </c>
      <c r="AI28" s="424">
        <f t="shared" ref="AI28:AI64" si="29">IFERROR((AH28/AG28),0)</f>
        <v>0.78888888888888886</v>
      </c>
      <c r="AJ28" s="155">
        <f>SUM(AJ22:AJ27)</f>
        <v>35</v>
      </c>
      <c r="AK28" s="155">
        <f>SUM(AK22:AK27)</f>
        <v>30</v>
      </c>
      <c r="AL28" s="66">
        <f t="shared" ref="AL28:AL64" si="30">IFERROR((AK28/AJ28),0)</f>
        <v>0.8571428571428571</v>
      </c>
      <c r="AM28" s="155">
        <f>SUM(AM22:AM27)</f>
        <v>72</v>
      </c>
      <c r="AN28" s="155">
        <f>SUM(AN22:AN27)</f>
        <v>71</v>
      </c>
      <c r="AO28" s="424">
        <f t="shared" ref="AO28:AO64" si="31">IFERROR((AN28/AM28),0)</f>
        <v>0.98611111111111116</v>
      </c>
    </row>
    <row r="29" spans="1:41" s="53" customFormat="1" ht="16" customHeight="1" x14ac:dyDescent="0.3">
      <c r="A29" s="53">
        <f>_xlfn.XLOOKUP(B29,[8]Pedidos!$C$7:$C$67,[8]Pedidos!$B$7:$B$67)</f>
        <v>5</v>
      </c>
      <c r="B29" s="179">
        <v>100015</v>
      </c>
      <c r="C29" s="381" t="s">
        <v>51</v>
      </c>
      <c r="D29" s="51">
        <v>22761</v>
      </c>
      <c r="E29" s="309" t="s">
        <v>79</v>
      </c>
      <c r="F29" s="304">
        <v>3</v>
      </c>
      <c r="G29" s="55">
        <f>IFERROR(VLOOKUP(B29,[2]RETAIL!$T$8:$AG$63,3,0),0)-IFERROR(IF(B29=100873,VLOOKUP("ENERO",[2]RETAIL!$T$78:$U$91,2,0),0),0)</f>
        <v>3</v>
      </c>
      <c r="H29" s="304">
        <v>3</v>
      </c>
      <c r="I29" s="55">
        <f>IFERROR(VLOOKUP(B29,[2]RETAIL!$T$8:$AG$63,4,0),0)-IFERROR(IF(B29=100873,VLOOKUP("FEBRERO",[2]RETAIL!$T$78:$U$91,2,0),0),0)</f>
        <v>3</v>
      </c>
      <c r="J29" s="304">
        <v>3</v>
      </c>
      <c r="K29" s="55">
        <f>IFERROR(VLOOKUP(B29,[2]RETAIL!$T$8:$AG$63,5,0),0)-IFERROR(IF(B29=100873,VLOOKUP("MARZO",[2]RETAIL!$T$78:$U$91,2,0),0),0)</f>
        <v>1</v>
      </c>
      <c r="L29" s="304">
        <v>3</v>
      </c>
      <c r="M29" s="55">
        <f>IFERROR(VLOOKUP(B29,[2]RETAIL!$T$8:$AG$63,6,0),0)-IFERROR(IF(B29=100873,VLOOKUP("ABRIL",[2]RETAIL!$T$78:$U$91,2,0),0),0)</f>
        <v>2</v>
      </c>
      <c r="N29" s="304">
        <v>4</v>
      </c>
      <c r="O29" s="55">
        <f>IFERROR(VLOOKUP(B29,[2]RETAIL!$T$8:$AG$63,7,0),0)-IFERROR(IF(B29=100873,VLOOKUP("MAYO",[2]RETAIL!$T$78:$U$91,2,0),0),0)</f>
        <v>1</v>
      </c>
      <c r="P29" s="304">
        <v>4</v>
      </c>
      <c r="Q29" s="55">
        <f>IFERROR(VLOOKUP(B29,[2]RETAIL!$T$8:$AG$63,8,0),0)-IFERROR(IF(B29=100873,VLOOKUP("JUNIO",[2]RETAIL!$T$78:$U$91,2,0),0),0)</f>
        <v>7</v>
      </c>
      <c r="R29" s="305">
        <v>3</v>
      </c>
      <c r="S29" s="55">
        <f>IFERROR(VLOOKUP(D29,[2]RETAIL!$T$8:$AG$63,9,0),0)-IFERROR(IF(D29=100873,VLOOKUP("JULIO",[2]RETAIL!$T$78:$U$91,2,0),0),0)</f>
        <v>0</v>
      </c>
      <c r="T29" s="305">
        <v>2</v>
      </c>
      <c r="U29" s="55">
        <f>IFERROR(VLOOKUP(D29,[2]RETAIL!$T$8:$AG$63,10,0),0)-IFERROR(IF(D29=100873,VLOOKUP("AGOSTO",[2]RETAIL!$T$78:$U$91,2,0),0),0)</f>
        <v>0</v>
      </c>
      <c r="V29" s="305">
        <v>3</v>
      </c>
      <c r="W29" s="55">
        <f>IFERROR(VLOOKUP(D29,[2]RETAIL!$T$8:$AG$63,11,0),0)-IFERROR(IF(D29=100873,VLOOKUP("SEPTIEMBRE",[2]RETAIL!$T$78:$U$91,2,0),0),0)</f>
        <v>0</v>
      </c>
      <c r="X29" s="305">
        <v>3</v>
      </c>
      <c r="Y29" s="55">
        <f>IFERROR(VLOOKUP(D29,[2]RETAIL!$T$8:$AG$63,12,0),0)-IFERROR(IF(D29=100873,VLOOKUP("OCTUBRE",[2]RETAIL!$T$78:$U$91,2,0),0),0)</f>
        <v>0</v>
      </c>
      <c r="Z29" s="305">
        <v>3</v>
      </c>
      <c r="AA29" s="55">
        <f>IFERROR(VLOOKUP(D29,[2]RETAIL!$T$8:$AG$63,13,0),0)-IFERROR(IF(D29=100873,VLOOKUP("NOVIEMBRE",[2]RETAIL!$T$78:$U$91,2,0),0),0)</f>
        <v>0</v>
      </c>
      <c r="AB29" s="305">
        <v>3</v>
      </c>
      <c r="AC29" s="55">
        <f>IFERROR(VLOOKUP(D29,[2]RETAIL!$T$8:$AG$63,14,0),0)-IFERROR(IF(D29=100873,VLOOKUP("DICIEMBRE",[2]RETAIL!$T$78:$U$91,2,0),0),0)</f>
        <v>0</v>
      </c>
      <c r="AD29" s="67">
        <f t="shared" ref="AD29:AD54" si="32">IF($AD$2="ENERO",F29,IF($AD$2="FEBRERO",F29+H29,IF($AD$2="MARZO",F29+H29+J29,IF($AD$2="ABRIL",F29+H29+J29+L29,IF($AD$2="MAYO",F29+H29+J29+L29+N29,IF($AD$2="JUNIO",F29+H29+J29+L29+N29+P29,IF($AD$2="JULIO",F29+H29+J29+L29+N29+P29+R29,IF($AD$2="AGOSTO",F29+H29+J29+L29+N29+P29+R29+T29,IF($AD$2="SEPTIEMBRE",F29+H29+J29+L29+N29+P29+R29+T29+V29,IF($AD$2="OCTUBRE",F29+H29+J29+L29+N29+P29+R29+T29+V29+X29,IF($AD$2="NOVIEMBRE",F29+H29+J29+L29+N29+P29+R29+T29+V29+X29+Z29,IF($AD$2="DICIEMBRE",F29+H29+J29+L29+N29+P29+R29+T29+V29+X29+Z29+AB29,""))))))))))))</f>
        <v>20</v>
      </c>
      <c r="AE29" s="68">
        <f>IFERROR(IF($AD$2="ENERO",G29,IF($AD$2="FEBRERO",G29+I29,IF($AD$2="MARZO",G29+I29+K29,IF($AD$2="ABRIL",G29+I29+K29+M29,IF($AD$2="MAYO",G29+I29+K29+M29+O29,IF($AD$2="JUNIO",G29+I29+K29+M29+O29+Q29,IF($AD$2="JULIO",G29+I29+K29+M29+O29+Q29+S29,IF($AD$2="AGOSTO",G29+I29+K29+M29+O29+Q29+S29+U29,IF($AD$2="SEPTIEMBRE",G29+I29+K29+M29+O29+Q29+S29+U29+W29,IF($AD$2="OCTUBRE",G29+I29+K29+M29+O29+Q29+S29+U29+W29+Y29,IF($AD$2="NOVIEMBRE",G29+I29+K29+M29+O29+Q29+S29+U29+W29+Y29+AA29,IF($AD$2="DICIEMBRE",G29+I29+K29+M29+O29+Q29+S29+U29+W29+Y29+AA29+AC29,"")))))))))))),0)</f>
        <v>17</v>
      </c>
      <c r="AF29" s="383">
        <f t="shared" si="28"/>
        <v>0.85</v>
      </c>
      <c r="AG29" s="67">
        <f t="shared" ref="AG29:AG64" si="33">+F29+H29+J29+L29+N29+P29+R29+T29+V29+X29+Z29+AB29</f>
        <v>37</v>
      </c>
      <c r="AH29" s="68">
        <f>IFERROR(IF($AD$2="ENERO",G29,IF($AD$2="FEBRERO",G29+I29,IF($AD$2="MARZO",G29+I29+K29,IF($AD$2="ABRIL",G29+I29+K29+M29,IF($AD$2="MAYO",G29+I29+K29+M29+O29,IF($AD$2="JUNIO",G29+I29+K29+M29+O29+Q29,IF($AD$2="JULIO",G29+I29+K29+M29+O29+Q29+S29,IF($AD$2="AGOSTO",G29+I29+K29+M29+O29+Q29+S29+U29,IF($AD$2="SEPTIEMBRE",G29+I29+K29+M29+O29+Q29+S29+U29+W29,IF($AD$2="OCTUBRE",G29+I29+K29+M29+O29+Q29+S29+U29+W29+Y29,IF($AD$2="NOVIEMBRE",G29+I29+K29+M29+O29+Q29+S29+U29+W29+Y29+AA29,IF($AD$2="DICIEMBRE",G29+I29+K29+M29+O29+Q29+S29+U29+W29+Y29+AA29+AC29,"")))))))))))),0)</f>
        <v>17</v>
      </c>
      <c r="AI29" s="383">
        <f t="shared" si="29"/>
        <v>0.45945945945945948</v>
      </c>
      <c r="AJ29" s="67">
        <f t="shared" ref="AJ29:AJ54" si="34">IF($AJ$3="Q1",F29+H29+J29,IF($AJ$3="Q2",L29+N29++P29,IF($AJ$3="Q3",R29+T29+V29,IF($AJ$3="Q4",X29+Z29+AB29,0))))</f>
        <v>9</v>
      </c>
      <c r="AK29" s="68">
        <f>IFERROR(IF($AJ$3="Q1",G29+I29+K29,IF($AJ$3="Q2",M29+O29++Q29,IF($AJ$3="Q3",S29+U29+W29,IF($AJ$3="Q4",Y29+AA29+AC29,0)))),0)</f>
        <v>7</v>
      </c>
      <c r="AL29" s="69">
        <f t="shared" si="30"/>
        <v>0.77777777777777779</v>
      </c>
      <c r="AM29" s="67">
        <f t="shared" ref="AM29:AM63" si="35">IF($AM$3="S 1",F29+H29+J29+L29+N29+P29,IF($AM$3="S 2",R29+T29+V29+X29+Z29+AB29,0))</f>
        <v>20</v>
      </c>
      <c r="AN29" s="68">
        <f>IFERROR(IF($AM$3="S 1",G29+I29+K29+M29+O29+Q29,IF($AM$3="S 2",S29+U29+W29+Y29+AA29+AC29,0)),0)</f>
        <v>17</v>
      </c>
      <c r="AO29" s="383">
        <f t="shared" si="31"/>
        <v>0.85</v>
      </c>
    </row>
    <row r="30" spans="1:41" s="53" customFormat="1" ht="16" customHeight="1" x14ac:dyDescent="0.3">
      <c r="A30" s="53">
        <f>_xlfn.XLOOKUP(B30,[8]Pedidos!$C$7:$C$67,[8]Pedidos!$B$7:$B$67)</f>
        <v>5</v>
      </c>
      <c r="B30" s="179">
        <v>100190</v>
      </c>
      <c r="C30" s="381" t="s">
        <v>52</v>
      </c>
      <c r="D30" s="51">
        <v>22761</v>
      </c>
      <c r="E30" s="309" t="s">
        <v>79</v>
      </c>
      <c r="F30" s="305">
        <v>3</v>
      </c>
      <c r="G30" s="55">
        <f>IFERROR(VLOOKUP(B30,[2]RETAIL!$T$8:$AG$63,3,0),0)-IFERROR(IF(B30=100873,VLOOKUP("ENERO",[2]RETAIL!$T$78:$U$91,2,0),0),0)</f>
        <v>5</v>
      </c>
      <c r="H30" s="305">
        <v>3</v>
      </c>
      <c r="I30" s="55">
        <f>IFERROR(VLOOKUP(B30,[2]RETAIL!$T$8:$AG$63,4,0),0)-IFERROR(IF(B30=100873,VLOOKUP("FEBRERO",[2]RETAIL!$T$78:$U$91,2,0),0),0)</f>
        <v>5</v>
      </c>
      <c r="J30" s="305">
        <v>4</v>
      </c>
      <c r="K30" s="55">
        <f>IFERROR(VLOOKUP(B30,[2]RETAIL!$T$8:$AG$63,5,0),0)-IFERROR(IF(B30=100873,VLOOKUP("MARZO",[2]RETAIL!$T$78:$U$91,2,0),0),0)</f>
        <v>4</v>
      </c>
      <c r="L30" s="305">
        <v>4</v>
      </c>
      <c r="M30" s="55">
        <f>IFERROR(VLOOKUP(B30,[2]RETAIL!$T$8:$AG$63,6,0),0)-IFERROR(IF(B30=100873,VLOOKUP("ABRIL",[2]RETAIL!$T$78:$U$91,2,0),0),0)</f>
        <v>3</v>
      </c>
      <c r="N30" s="305">
        <v>4</v>
      </c>
      <c r="O30" s="55">
        <f>IFERROR(VLOOKUP(B30,[2]RETAIL!$T$8:$AG$63,7,0),0)-IFERROR(IF(B30=100873,VLOOKUP("MAYO",[2]RETAIL!$T$78:$U$91,2,0),0),0)</f>
        <v>8</v>
      </c>
      <c r="P30" s="305">
        <v>4</v>
      </c>
      <c r="Q30" s="55">
        <f>IFERROR(VLOOKUP(B30,[2]RETAIL!$T$8:$AG$63,8,0),0)-IFERROR(IF(B30=100873,VLOOKUP("JUNIO",[2]RETAIL!$T$78:$U$91,2,0),0),0)</f>
        <v>6</v>
      </c>
      <c r="R30" s="305">
        <v>4</v>
      </c>
      <c r="S30" s="55">
        <f>IFERROR(VLOOKUP(D30,[2]RETAIL!$T$8:$AG$63,9,0),0)-IFERROR(IF(D30=100873,VLOOKUP("JULIO",[2]RETAIL!$T$78:$U$91,2,0),0),0)</f>
        <v>0</v>
      </c>
      <c r="T30" s="305">
        <v>2</v>
      </c>
      <c r="U30" s="55">
        <f>IFERROR(VLOOKUP(D30,[2]RETAIL!$T$8:$AG$63,10,0),0)-IFERROR(IF(D30=100873,VLOOKUP("AGOSTO",[2]RETAIL!$T$78:$U$91,2,0),0),0)</f>
        <v>0</v>
      </c>
      <c r="V30" s="305">
        <v>4</v>
      </c>
      <c r="W30" s="55">
        <f>IFERROR(VLOOKUP(D30,[2]RETAIL!$T$8:$AG$63,11,0),0)-IFERROR(IF(D30=100873,VLOOKUP("SEPTIEMBRE",[2]RETAIL!$T$78:$U$91,2,0),0),0)</f>
        <v>0</v>
      </c>
      <c r="X30" s="305">
        <v>4</v>
      </c>
      <c r="Y30" s="55">
        <f>IFERROR(VLOOKUP(D30,[2]RETAIL!$T$8:$AG$63,12,0),0)-IFERROR(IF(D30=100873,VLOOKUP("OCTUBRE",[2]RETAIL!$T$78:$U$91,2,0),0),0)</f>
        <v>0</v>
      </c>
      <c r="Z30" s="305">
        <v>4</v>
      </c>
      <c r="AA30" s="55">
        <f>IFERROR(VLOOKUP(D30,[2]RETAIL!$T$8:$AG$63,13,0),0)-IFERROR(IF(D30=100873,VLOOKUP("NOVIEMBRE",[2]RETAIL!$T$78:$U$91,2,0),0),0)</f>
        <v>0</v>
      </c>
      <c r="AB30" s="305">
        <v>4</v>
      </c>
      <c r="AC30" s="55">
        <f>IFERROR(VLOOKUP(D30,[2]RETAIL!$T$8:$AG$63,14,0),0)-IFERROR(IF(D30=100873,VLOOKUP("DICIEMBRE",[2]RETAIL!$T$78:$U$91,2,0),0),0)</f>
        <v>0</v>
      </c>
      <c r="AD30" s="54">
        <f t="shared" si="32"/>
        <v>22</v>
      </c>
      <c r="AE30" s="86">
        <f>IFERROR(IF($AD$2="ENERO",G30,IF($AD$2="FEBRERO",G30+I30,IF($AD$2="MARZO",G30+I30+K30,IF($AD$2="ABRIL",G30+I30+K30+M30,IF($AD$2="MAYO",G30+I30+K30+M30+O30,IF($AD$2="JUNIO",G30+I30+K30+M30+O30+Q30,IF($AD$2="JULIO",G30+I30+K30+M30+O30+Q30+S30,IF($AD$2="AGOSTO",G30+I30+K30+M30+O30+Q30+S30+U30,IF($AD$2="SEPTIEMBRE",G30+I30+K30+M30+O30+Q30+S30+U30+W30,IF($AD$2="OCTUBRE",G30+I30+K30+M30+O30+Q30+S30+U30+W30+Y30,IF($AD$2="NOVIEMBRE",G30+I30+K30+M30+O30+Q30+S30+U30+W30+Y30+AA30,IF($AD$2="DICIEMBRE",G30+I30+K30+M30+O30+Q30+S30+U30+W30+Y30+AA30+AC30,"")))))))))))),0)</f>
        <v>31</v>
      </c>
      <c r="AF30" s="243">
        <f t="shared" si="28"/>
        <v>1.4090909090909092</v>
      </c>
      <c r="AG30" s="54">
        <f t="shared" si="33"/>
        <v>44</v>
      </c>
      <c r="AH30" s="86">
        <f>IFERROR(IF($AD$2="ENERO",G30,IF($AD$2="FEBRERO",G30+I30,IF($AD$2="MARZO",G30+I30+K30,IF($AD$2="ABRIL",G30+I30+K30+M30,IF($AD$2="MAYO",G30+I30+K30+M30+O30,IF($AD$2="JUNIO",G30+I30+K30+M30+O30+Q30,IF($AD$2="JULIO",G30+I30+K30+M30+O30+Q30+S30,IF($AD$2="AGOSTO",G30+I30+K30+M30+O30+Q30+S30+U30,IF($AD$2="SEPTIEMBRE",G30+I30+K30+M30+O30+Q30+S30+U30+W30,IF($AD$2="OCTUBRE",G30+I30+K30+M30+O30+Q30+S30+U30+W30+Y30,IF($AD$2="NOVIEMBRE",G30+I30+K30+M30+O30+Q30+S30+U30+W30+Y30+AA30,IF($AD$2="DICIEMBRE",G30+I30+K30+M30+O30+Q30+S30+U30+W30+Y30+AA30+AC30,"")))))))))))),0)</f>
        <v>31</v>
      </c>
      <c r="AI30" s="243">
        <f t="shared" si="29"/>
        <v>0.70454545454545459</v>
      </c>
      <c r="AJ30" s="54">
        <f t="shared" si="34"/>
        <v>10</v>
      </c>
      <c r="AK30" s="68">
        <f>IFERROR(IF($AJ$3="Q1",G30+I30+K30,IF($AJ$3="Q2",M30+O30++Q30,IF($AJ$3="Q3",S30+U30+W30,IF($AJ$3="Q4",Y30+AA30+AC30,0)))),0)</f>
        <v>14</v>
      </c>
      <c r="AL30" s="56">
        <f t="shared" si="30"/>
        <v>1.4</v>
      </c>
      <c r="AM30" s="54">
        <f t="shared" si="35"/>
        <v>22</v>
      </c>
      <c r="AN30" s="86">
        <f>IFERROR(IF($AM$3="S 1",G30+I30+K30+M30+O30+Q30,IF($AM$3="S 2",S30+U30+W30+Y30+AA30+AC30,0)),0)</f>
        <v>31</v>
      </c>
      <c r="AO30" s="243">
        <f t="shared" si="31"/>
        <v>1.4090909090909092</v>
      </c>
    </row>
    <row r="31" spans="1:41" s="53" customFormat="1" ht="16" customHeight="1" x14ac:dyDescent="0.3">
      <c r="A31" s="53">
        <f>_xlfn.XLOOKUP(B31,[8]Pedidos!$C$7:$C$67,[8]Pedidos!$B$7:$B$67)</f>
        <v>5</v>
      </c>
      <c r="B31" s="179">
        <v>100379</v>
      </c>
      <c r="C31" s="381" t="s">
        <v>9</v>
      </c>
      <c r="D31" s="51">
        <v>22761</v>
      </c>
      <c r="E31" s="309" t="s">
        <v>79</v>
      </c>
      <c r="F31" s="305">
        <v>5</v>
      </c>
      <c r="G31" s="55">
        <f>IFERROR(VLOOKUP(B31,[2]RETAIL!$T$8:$AG$63,3,0),0)-IFERROR(IF(B31=100873,VLOOKUP("ENERO",[2]RETAIL!$T$78:$U$91,2,0),0),0)</f>
        <v>2</v>
      </c>
      <c r="H31" s="305">
        <v>5</v>
      </c>
      <c r="I31" s="55">
        <f>IFERROR(VLOOKUP(B31,[2]RETAIL!$T$8:$AG$63,4,0),0)-IFERROR(IF(B31=100873,VLOOKUP("FEBRERO",[2]RETAIL!$T$78:$U$91,2,0),0),0)</f>
        <v>10</v>
      </c>
      <c r="J31" s="305">
        <v>5</v>
      </c>
      <c r="K31" s="55">
        <f>IFERROR(VLOOKUP(B31,[2]RETAIL!$T$8:$AG$63,5,0),0)-IFERROR(IF(B31=100873,VLOOKUP("MARZO",[2]RETAIL!$T$78:$U$91,2,0),0),0)</f>
        <v>8</v>
      </c>
      <c r="L31" s="305">
        <v>5</v>
      </c>
      <c r="M31" s="55">
        <f>IFERROR(VLOOKUP(B31,[2]RETAIL!$T$8:$AG$63,6,0),0)-IFERROR(IF(B31=100873,VLOOKUP("ABRIL",[2]RETAIL!$T$78:$U$91,2,0),0),0)</f>
        <v>5</v>
      </c>
      <c r="N31" s="305">
        <v>5</v>
      </c>
      <c r="O31" s="55">
        <f>IFERROR(VLOOKUP(B31,[2]RETAIL!$T$8:$AG$63,7,0),0)-IFERROR(IF(B31=100873,VLOOKUP("MAYO",[2]RETAIL!$T$78:$U$91,2,0),0),0)</f>
        <v>4</v>
      </c>
      <c r="P31" s="305">
        <v>5</v>
      </c>
      <c r="Q31" s="55">
        <f>IFERROR(VLOOKUP(B31,[2]RETAIL!$T$8:$AG$63,8,0),0)-IFERROR(IF(B31=100873,VLOOKUP("JUNIO",[2]RETAIL!$T$78:$U$91,2,0),0),0)</f>
        <v>5</v>
      </c>
      <c r="R31" s="305">
        <v>4</v>
      </c>
      <c r="S31" s="55">
        <f>IFERROR(VLOOKUP(D31,[2]RETAIL!$T$8:$AG$63,9,0),0)-IFERROR(IF(D31=100873,VLOOKUP("JULIO",[2]RETAIL!$T$78:$U$91,2,0),0),0)</f>
        <v>0</v>
      </c>
      <c r="T31" s="305">
        <v>4</v>
      </c>
      <c r="U31" s="55">
        <f>IFERROR(VLOOKUP(D31,[2]RETAIL!$T$8:$AG$63,10,0),0)-IFERROR(IF(D31=100873,VLOOKUP("AGOSTO",[2]RETAIL!$T$78:$U$91,2,0),0),0)</f>
        <v>0</v>
      </c>
      <c r="V31" s="305">
        <v>4</v>
      </c>
      <c r="W31" s="55">
        <f>IFERROR(VLOOKUP(D31,[2]RETAIL!$T$8:$AG$63,11,0),0)-IFERROR(IF(D31=100873,VLOOKUP("SEPTIEMBRE",[2]RETAIL!$T$78:$U$91,2,0),0),0)</f>
        <v>0</v>
      </c>
      <c r="X31" s="305">
        <v>6</v>
      </c>
      <c r="Y31" s="55">
        <f>IFERROR(VLOOKUP(D31,[2]RETAIL!$T$8:$AG$63,12,0),0)-IFERROR(IF(D31=100873,VLOOKUP("OCTUBRE",[2]RETAIL!$T$78:$U$91,2,0),0),0)</f>
        <v>0</v>
      </c>
      <c r="Z31" s="305">
        <v>6</v>
      </c>
      <c r="AA31" s="55">
        <f>IFERROR(VLOOKUP(D31,[2]RETAIL!$T$8:$AG$63,13,0),0)-IFERROR(IF(D31=100873,VLOOKUP("NOVIEMBRE",[2]RETAIL!$T$78:$U$91,2,0),0),0)</f>
        <v>0</v>
      </c>
      <c r="AB31" s="305">
        <v>6</v>
      </c>
      <c r="AC31" s="55">
        <f>IFERROR(VLOOKUP(D31,[2]RETAIL!$T$8:$AG$63,14,0),0)-IFERROR(IF(D31=100873,VLOOKUP("DICIEMBRE",[2]RETAIL!$T$78:$U$91,2,0),0),0)</f>
        <v>0</v>
      </c>
      <c r="AD31" s="54">
        <f t="shared" si="32"/>
        <v>30</v>
      </c>
      <c r="AE31" s="86">
        <f>IFERROR(IF($AD$2="ENERO",G31,IF($AD$2="FEBRERO",G31+I31,IF($AD$2="MARZO",G31+I31+K31,IF($AD$2="ABRIL",G31+I31+K31+M31,IF($AD$2="MAYO",G31+I31+K31+M31+O31,IF($AD$2="JUNIO",G31+I31+K31+M31+O31+Q31,IF($AD$2="JULIO",G31+I31+K31+M31+O31+Q31+S31,IF($AD$2="AGOSTO",G31+I31+K31+M31+O31+Q31+S31+U31,IF($AD$2="SEPTIEMBRE",G31+I31+K31+M31+O31+Q31+S31+U31+W31,IF($AD$2="OCTUBRE",G31+I31+K31+M31+O31+Q31+S31+U31+W31+Y31,IF($AD$2="NOVIEMBRE",G31+I31+K31+M31+O31+Q31+S31+U31+W31+Y31+AA31,IF($AD$2="DICIEMBRE",G31+I31+K31+M31+O31+Q31+S31+U31+W31+Y31+AA31+AC31,"")))))))))))),0)</f>
        <v>34</v>
      </c>
      <c r="AF31" s="243">
        <f t="shared" si="28"/>
        <v>1.1333333333333333</v>
      </c>
      <c r="AG31" s="54">
        <f t="shared" si="33"/>
        <v>60</v>
      </c>
      <c r="AH31" s="86">
        <f>IFERROR(IF($AD$2="ENERO",G31,IF($AD$2="FEBRERO",G31+I31,IF($AD$2="MARZO",G31+I31+K31,IF($AD$2="ABRIL",G31+I31+K31+M31,IF($AD$2="MAYO",G31+I31+K31+M31+O31,IF($AD$2="JUNIO",G31+I31+K31+M31+O31+Q31,IF($AD$2="JULIO",G31+I31+K31+M31+O31+Q31+S31,IF($AD$2="AGOSTO",G31+I31+K31+M31+O31+Q31+S31+U31,IF($AD$2="SEPTIEMBRE",G31+I31+K31+M31+O31+Q31+S31+U31+W31,IF($AD$2="OCTUBRE",G31+I31+K31+M31+O31+Q31+S31+U31+W31+Y31,IF($AD$2="NOVIEMBRE",G31+I31+K31+M31+O31+Q31+S31+U31+W31+Y31+AA31,IF($AD$2="DICIEMBRE",G31+I31+K31+M31+O31+Q31+S31+U31+W31+Y31+AA31+AC31,"")))))))))))),0)</f>
        <v>34</v>
      </c>
      <c r="AI31" s="243">
        <f t="shared" si="29"/>
        <v>0.56666666666666665</v>
      </c>
      <c r="AJ31" s="54">
        <f t="shared" si="34"/>
        <v>15</v>
      </c>
      <c r="AK31" s="68">
        <f>IFERROR(IF($AJ$3="Q1",G31+I31+K31,IF($AJ$3="Q2",M31+O31++Q31,IF($AJ$3="Q3",S31+U31+W31,IF($AJ$3="Q4",Y31+AA31+AC31,0)))),0)</f>
        <v>20</v>
      </c>
      <c r="AL31" s="56">
        <f t="shared" si="30"/>
        <v>1.3333333333333333</v>
      </c>
      <c r="AM31" s="54">
        <f t="shared" si="35"/>
        <v>30</v>
      </c>
      <c r="AN31" s="86">
        <f>IFERROR(IF($AM$3="S 1",G31+I31+K31+M31+O31+Q31,IF($AM$3="S 2",S31+U31+W31+Y31+AA31+AC31,0)),0)</f>
        <v>34</v>
      </c>
      <c r="AO31" s="243">
        <f t="shared" si="31"/>
        <v>1.1333333333333333</v>
      </c>
    </row>
    <row r="32" spans="1:41" s="53" customFormat="1" ht="16" customHeight="1" x14ac:dyDescent="0.3">
      <c r="A32" s="53">
        <f>_xlfn.XLOOKUP(B32,[8]Pedidos!$C$7:$C$67,[8]Pedidos!$B$7:$B$67)</f>
        <v>5</v>
      </c>
      <c r="B32" s="179">
        <v>100410</v>
      </c>
      <c r="C32" s="381" t="s">
        <v>22</v>
      </c>
      <c r="D32" s="51">
        <v>22761</v>
      </c>
      <c r="E32" s="309" t="s">
        <v>79</v>
      </c>
      <c r="F32" s="305">
        <v>7</v>
      </c>
      <c r="G32" s="55">
        <f>IFERROR(VLOOKUP(B32,[2]RETAIL!$T$8:$AG$63,3,0),0)-IFERROR(IF(B32=100873,VLOOKUP("ENERO",[2]RETAIL!$T$78:$U$91,2,0),0),0)</f>
        <v>8</v>
      </c>
      <c r="H32" s="305">
        <v>7</v>
      </c>
      <c r="I32" s="55">
        <f>IFERROR(VLOOKUP(B32,[2]RETAIL!$T$8:$AG$63,4,0),0)-IFERROR(IF(B32=100873,VLOOKUP("FEBRERO",[2]RETAIL!$T$78:$U$91,2,0),0),0)</f>
        <v>5</v>
      </c>
      <c r="J32" s="305">
        <v>8</v>
      </c>
      <c r="K32" s="55">
        <f>IFERROR(VLOOKUP(B32,[2]RETAIL!$T$8:$AG$63,5,0),0)-IFERROR(IF(B32=100873,VLOOKUP("MARZO",[2]RETAIL!$T$78:$U$91,2,0),0),0)</f>
        <v>9</v>
      </c>
      <c r="L32" s="305">
        <v>7</v>
      </c>
      <c r="M32" s="55">
        <f>IFERROR(VLOOKUP(B32,[2]RETAIL!$T$8:$AG$63,6,0),0)-IFERROR(IF(B32=100873,VLOOKUP("ABRIL",[2]RETAIL!$T$78:$U$91,2,0),0),0)</f>
        <v>4</v>
      </c>
      <c r="N32" s="305">
        <v>8</v>
      </c>
      <c r="O32" s="55">
        <f>IFERROR(VLOOKUP(B32,[2]RETAIL!$T$8:$AG$63,7,0),0)-IFERROR(IF(B32=100873,VLOOKUP("MAYO",[2]RETAIL!$T$78:$U$91,2,0),0),0)</f>
        <v>6</v>
      </c>
      <c r="P32" s="305">
        <v>8</v>
      </c>
      <c r="Q32" s="55">
        <f>IFERROR(VLOOKUP(B32,[2]RETAIL!$T$8:$AG$63,8,0),0)-IFERROR(IF(B32=100873,VLOOKUP("JUNIO",[2]RETAIL!$T$78:$U$91,2,0),0),0)</f>
        <v>13</v>
      </c>
      <c r="R32" s="305"/>
      <c r="S32" s="55">
        <f>IFERROR(VLOOKUP(D32,[2]RETAIL!$T$8:$AG$63,9,0),0)-IFERROR(IF(D32=100873,VLOOKUP("JULIO",[2]RETAIL!$T$78:$U$91,2,0),0),0)</f>
        <v>0</v>
      </c>
      <c r="T32" s="305"/>
      <c r="U32" s="55">
        <f>IFERROR(VLOOKUP(D32,[2]RETAIL!$T$8:$AG$63,10,0),0)-IFERROR(IF(D32=100873,VLOOKUP("AGOSTO",[2]RETAIL!$T$78:$U$91,2,0),0),0)</f>
        <v>0</v>
      </c>
      <c r="V32" s="305"/>
      <c r="W32" s="55">
        <f>IFERROR(VLOOKUP(D32,[2]RETAIL!$T$8:$AG$63,11,0),0)-IFERROR(IF(D32=100873,VLOOKUP("SEPTIEMBRE",[2]RETAIL!$T$78:$U$91,2,0),0),0)</f>
        <v>0</v>
      </c>
      <c r="X32" s="305"/>
      <c r="Y32" s="55">
        <f>IFERROR(VLOOKUP(D32,[2]RETAIL!$T$8:$AG$63,12,0),0)-IFERROR(IF(D32=100873,VLOOKUP("OCTUBRE",[2]RETAIL!$T$78:$U$91,2,0),0),0)</f>
        <v>0</v>
      </c>
      <c r="Z32" s="305"/>
      <c r="AA32" s="55">
        <f>IFERROR(VLOOKUP(D32,[2]RETAIL!$T$8:$AG$63,13,0),0)-IFERROR(IF(D32=100873,VLOOKUP("NOVIEMBRE",[2]RETAIL!$T$78:$U$91,2,0),0),0)</f>
        <v>0</v>
      </c>
      <c r="AB32" s="305"/>
      <c r="AC32" s="55">
        <f>IFERROR(VLOOKUP(D32,[2]RETAIL!$T$8:$AG$63,14,0),0)-IFERROR(IF(D32=100873,VLOOKUP("DICIEMBRE",[2]RETAIL!$T$78:$U$91,2,0),0),0)</f>
        <v>0</v>
      </c>
      <c r="AD32" s="54">
        <f t="shared" si="32"/>
        <v>45</v>
      </c>
      <c r="AE32" s="86">
        <f>IFERROR(IF($AD$2="ENERO",G32,IF($AD$2="FEBRERO",G32+I32,IF($AD$2="MARZO",G32+I32+K32,IF($AD$2="ABRIL",G32+I32+K32+M32,IF($AD$2="MAYO",G32+I32+K32+M32+O32,IF($AD$2="JUNIO",G32+I32+K32+M32+O32+Q32,IF($AD$2="JULIO",G32+I32+K32+M32+O32+Q32+S32,IF($AD$2="AGOSTO",G32+I32+K32+M32+O32+Q32+S32+U32,IF($AD$2="SEPTIEMBRE",G32+I32+K32+M32+O32+Q32+S32+U32+W32,IF($AD$2="OCTUBRE",G32+I32+K32+M32+O32+Q32+S32+U32+W32+Y32,IF($AD$2="NOVIEMBRE",G32+I32+K32+M32+O32+Q32+S32+U32+W32+Y32+AA32,IF($AD$2="DICIEMBRE",G32+I32+K32+M32+O32+Q32+S32+U32+W32+Y32+AA32+AC32,"")))))))))))),0)</f>
        <v>45</v>
      </c>
      <c r="AF32" s="243">
        <f t="shared" si="28"/>
        <v>1</v>
      </c>
      <c r="AG32" s="54">
        <f t="shared" si="33"/>
        <v>45</v>
      </c>
      <c r="AH32" s="86">
        <f>IFERROR(IF($AD$2="ENERO",G32,IF($AD$2="FEBRERO",G32+I32,IF($AD$2="MARZO",G32+I32+K32,IF($AD$2="ABRIL",G32+I32+K32+M32,IF($AD$2="MAYO",G32+I32+K32+M32+O32,IF($AD$2="JUNIO",G32+I32+K32+M32+O32+Q32,IF($AD$2="JULIO",G32+I32+K32+M32+O32+Q32+S32,IF($AD$2="AGOSTO",G32+I32+K32+M32+O32+Q32+S32+U32,IF($AD$2="SEPTIEMBRE",G32+I32+K32+M32+O32+Q32+S32+U32+W32,IF($AD$2="OCTUBRE",G32+I32+K32+M32+O32+Q32+S32+U32+W32+Y32,IF($AD$2="NOVIEMBRE",G32+I32+K32+M32+O32+Q32+S32+U32+W32+Y32+AA32,IF($AD$2="DICIEMBRE",G32+I32+K32+M32+O32+Q32+S32+U32+W32+Y32+AA32+AC32,"")))))))))))),0)</f>
        <v>45</v>
      </c>
      <c r="AI32" s="243">
        <f t="shared" si="29"/>
        <v>1</v>
      </c>
      <c r="AJ32" s="54">
        <f t="shared" si="34"/>
        <v>22</v>
      </c>
      <c r="AK32" s="68">
        <f>IFERROR(IF($AJ$3="Q1",G32+I32+K32,IF($AJ$3="Q2",M32+O32++Q32,IF($AJ$3="Q3",S32+U32+W32,IF($AJ$3="Q4",Y32+AA32+AC32,0)))),0)</f>
        <v>22</v>
      </c>
      <c r="AL32" s="56">
        <f t="shared" si="30"/>
        <v>1</v>
      </c>
      <c r="AM32" s="54">
        <f t="shared" si="35"/>
        <v>45</v>
      </c>
      <c r="AN32" s="86">
        <f>IFERROR(IF($AM$3="S 1",G32+I32+K32+M32+O32+Q32,IF($AM$3="S 2",S32+U32+W32+Y32+AA32+AC32,0)),0)</f>
        <v>45</v>
      </c>
      <c r="AO32" s="243">
        <f t="shared" si="31"/>
        <v>1</v>
      </c>
    </row>
    <row r="33" spans="1:41" s="53" customFormat="1" ht="16" customHeight="1" thickBot="1" x14ac:dyDescent="0.35">
      <c r="A33" s="53">
        <f>_xlfn.XLOOKUP(B33,[8]Pedidos!$C$7:$C$67,[8]Pedidos!$B$7:$B$67)</f>
        <v>5</v>
      </c>
      <c r="B33" s="179">
        <v>100739</v>
      </c>
      <c r="C33" s="381" t="s">
        <v>49</v>
      </c>
      <c r="D33" s="51">
        <v>22761</v>
      </c>
      <c r="E33" s="309" t="s">
        <v>79</v>
      </c>
      <c r="F33" s="307">
        <v>1</v>
      </c>
      <c r="G33" s="55">
        <f>IFERROR(VLOOKUP(B33,[2]RETAIL!$T$8:$AG$63,3,0),0)-IFERROR(IF(B33=100873,VLOOKUP("ENERO",[2]RETAIL!$T$78:$U$91,2,0),0),0)</f>
        <v>1</v>
      </c>
      <c r="H33" s="307">
        <v>1</v>
      </c>
      <c r="I33" s="55">
        <f>IFERROR(VLOOKUP(B33,[2]RETAIL!$T$8:$AG$63,4,0),0)-IFERROR(IF(B33=100873,VLOOKUP("FEBRERO",[2]RETAIL!$T$78:$U$91,2,0),0),0)</f>
        <v>2</v>
      </c>
      <c r="J33" s="307">
        <v>2</v>
      </c>
      <c r="K33" s="55">
        <f>IFERROR(VLOOKUP(B33,[2]RETAIL!$T$8:$AG$63,5,0),0)-IFERROR(IF(B33=100873,VLOOKUP("MARZO",[2]RETAIL!$T$78:$U$91,2,0),0),0)</f>
        <v>3</v>
      </c>
      <c r="L33" s="307">
        <v>2</v>
      </c>
      <c r="M33" s="55">
        <f>IFERROR(VLOOKUP(B33,[2]RETAIL!$T$8:$AG$63,6,0),0)-IFERROR(IF(B33=100873,VLOOKUP("ABRIL",[2]RETAIL!$T$78:$U$91,2,0),0),0)</f>
        <v>2</v>
      </c>
      <c r="N33" s="307">
        <v>2</v>
      </c>
      <c r="O33" s="55">
        <f>IFERROR(VLOOKUP(B33,[2]RETAIL!$T$8:$AG$63,7,0),0)-IFERROR(IF(B33=100873,VLOOKUP("MAYO",[2]RETAIL!$T$78:$U$91,2,0),0),0)</f>
        <v>4</v>
      </c>
      <c r="P33" s="307">
        <v>2</v>
      </c>
      <c r="Q33" s="55">
        <f>IFERROR(VLOOKUP(B33,[2]RETAIL!$T$8:$AG$63,8,0),0)-IFERROR(IF(B33=100873,VLOOKUP("JUNIO",[2]RETAIL!$T$78:$U$91,2,0),0),0)</f>
        <v>6</v>
      </c>
      <c r="R33" s="305">
        <v>2</v>
      </c>
      <c r="S33" s="55">
        <f>IFERROR(VLOOKUP(D33,[2]RETAIL!$T$8:$AG$63,9,0),0)-IFERROR(IF(D33=100873,VLOOKUP("JULIO",[2]RETAIL!$T$78:$U$91,2,0),0),0)</f>
        <v>0</v>
      </c>
      <c r="T33" s="305">
        <v>1</v>
      </c>
      <c r="U33" s="55">
        <f>IFERROR(VLOOKUP(D33,[2]RETAIL!$T$8:$AG$63,10,0),0)-IFERROR(IF(D33=100873,VLOOKUP("AGOSTO",[2]RETAIL!$T$78:$U$91,2,0),0),0)</f>
        <v>0</v>
      </c>
      <c r="V33" s="305">
        <v>2</v>
      </c>
      <c r="W33" s="55">
        <f>IFERROR(VLOOKUP(D33,[2]RETAIL!$T$8:$AG$63,11,0),0)-IFERROR(IF(D33=100873,VLOOKUP("SEPTIEMBRE",[2]RETAIL!$T$78:$U$91,2,0),0),0)</f>
        <v>0</v>
      </c>
      <c r="X33" s="305">
        <v>2</v>
      </c>
      <c r="Y33" s="55">
        <f>IFERROR(VLOOKUP(D33,[2]RETAIL!$T$8:$AG$63,12,0),0)-IFERROR(IF(D33=100873,VLOOKUP("OCTUBRE",[2]RETAIL!$T$78:$U$91,2,0),0),0)</f>
        <v>0</v>
      </c>
      <c r="Z33" s="305">
        <v>2</v>
      </c>
      <c r="AA33" s="55">
        <f>IFERROR(VLOOKUP(D33,[2]RETAIL!$T$8:$AG$63,13,0),0)-IFERROR(IF(D33=100873,VLOOKUP("NOVIEMBRE",[2]RETAIL!$T$78:$U$91,2,0),0),0)</f>
        <v>0</v>
      </c>
      <c r="AB33" s="305">
        <v>1</v>
      </c>
      <c r="AC33" s="55">
        <f>IFERROR(VLOOKUP(D33,[2]RETAIL!$T$8:$AG$63,14,0),0)-IFERROR(IF(D33=100873,VLOOKUP("DICIEMBRE",[2]RETAIL!$T$78:$U$91,2,0),0),0)</f>
        <v>0</v>
      </c>
      <c r="AD33" s="58">
        <f t="shared" si="32"/>
        <v>10</v>
      </c>
      <c r="AE33" s="86">
        <f>IFERROR(IF($AD$2="ENERO",G33,IF($AD$2="FEBRERO",G33+I33,IF($AD$2="MARZO",G33+I33+K33,IF($AD$2="ABRIL",G33+I33+K33+M33,IF($AD$2="MAYO",G33+I33+K33+M33+O33,IF($AD$2="JUNIO",G33+I33+K33+M33+O33+Q33,IF($AD$2="JULIO",G33+I33+K33+M33+O33+Q33+S33,IF($AD$2="AGOSTO",G33+I33+K33+M33+O33+Q33+S33+U33,IF($AD$2="SEPTIEMBRE",G33+I33+K33+M33+O33+Q33+S33+U33+W33,IF($AD$2="OCTUBRE",G33+I33+K33+M33+O33+Q33+S33+U33+W33+Y33,IF($AD$2="NOVIEMBRE",G33+I33+K33+M33+O33+Q33+S33+U33+W33+Y33+AA33,IF($AD$2="DICIEMBRE",G33+I33+K33+M33+O33+Q33+S33+U33+W33+Y33+AA33+AC33,"")))))))))))),0)</f>
        <v>18</v>
      </c>
      <c r="AF33" s="382">
        <f t="shared" si="28"/>
        <v>1.8</v>
      </c>
      <c r="AG33" s="58">
        <f t="shared" si="33"/>
        <v>20</v>
      </c>
      <c r="AH33" s="86">
        <f>IFERROR(IF($AD$2="ENERO",G33,IF($AD$2="FEBRERO",G33+I33,IF($AD$2="MARZO",G33+I33+K33,IF($AD$2="ABRIL",G33+I33+K33+M33,IF($AD$2="MAYO",G33+I33+K33+M33+O33,IF($AD$2="JUNIO",G33+I33+K33+M33+O33+Q33,IF($AD$2="JULIO",G33+I33+K33+M33+O33+Q33+S33,IF($AD$2="AGOSTO",G33+I33+K33+M33+O33+Q33+S33+U33,IF($AD$2="SEPTIEMBRE",G33+I33+K33+M33+O33+Q33+S33+U33+W33,IF($AD$2="OCTUBRE",G33+I33+K33+M33+O33+Q33+S33+U33+W33+Y33,IF($AD$2="NOVIEMBRE",G33+I33+K33+M33+O33+Q33+S33+U33+W33+Y33+AA33,IF($AD$2="DICIEMBRE",G33+I33+K33+M33+O33+Q33+S33+U33+W33+Y33+AA33+AC33,"")))))))))))),0)</f>
        <v>18</v>
      </c>
      <c r="AI33" s="382">
        <f t="shared" si="29"/>
        <v>0.9</v>
      </c>
      <c r="AJ33" s="58">
        <f t="shared" si="34"/>
        <v>4</v>
      </c>
      <c r="AK33" s="68">
        <f>IFERROR(IF($AJ$3="Q1",G33+I33+K33,IF($AJ$3="Q2",M33+O33++Q33,IF($AJ$3="Q3",S33+U33+W33,IF($AJ$3="Q4",Y33+AA33+AC33,0)))),0)</f>
        <v>6</v>
      </c>
      <c r="AL33" s="60">
        <f t="shared" si="30"/>
        <v>1.5</v>
      </c>
      <c r="AM33" s="58">
        <f t="shared" si="35"/>
        <v>10</v>
      </c>
      <c r="AN33" s="59">
        <f>IFERROR(IF($AM$3="S 1",G33+I33+K33+M33+O33+Q33,IF($AM$3="S 2",S33+U33+W33+Y33+AA33+AC33,0)),0)</f>
        <v>18</v>
      </c>
      <c r="AO33" s="382">
        <f t="shared" si="31"/>
        <v>1.8</v>
      </c>
    </row>
    <row r="34" spans="1:41" s="53" customFormat="1" ht="16" customHeight="1" thickBot="1" x14ac:dyDescent="0.35">
      <c r="B34" s="180" t="s">
        <v>267</v>
      </c>
      <c r="C34" s="62"/>
      <c r="D34" s="80"/>
      <c r="E34" s="265"/>
      <c r="F34" s="155">
        <f t="shared" ref="F34:AC34" si="36">SUM(F29:F33)</f>
        <v>19</v>
      </c>
      <c r="G34" s="261">
        <f t="shared" si="36"/>
        <v>19</v>
      </c>
      <c r="H34" s="155">
        <f t="shared" si="36"/>
        <v>19</v>
      </c>
      <c r="I34" s="261">
        <f t="shared" si="36"/>
        <v>25</v>
      </c>
      <c r="J34" s="155">
        <f t="shared" si="36"/>
        <v>22</v>
      </c>
      <c r="K34" s="261">
        <f t="shared" si="36"/>
        <v>25</v>
      </c>
      <c r="L34" s="155">
        <f t="shared" si="36"/>
        <v>21</v>
      </c>
      <c r="M34" s="261">
        <f t="shared" si="36"/>
        <v>16</v>
      </c>
      <c r="N34" s="155">
        <f t="shared" si="36"/>
        <v>23</v>
      </c>
      <c r="O34" s="261">
        <f t="shared" si="36"/>
        <v>23</v>
      </c>
      <c r="P34" s="155">
        <f t="shared" si="36"/>
        <v>23</v>
      </c>
      <c r="Q34" s="261">
        <f t="shared" si="36"/>
        <v>37</v>
      </c>
      <c r="R34" s="155">
        <f t="shared" si="36"/>
        <v>13</v>
      </c>
      <c r="S34" s="261">
        <f t="shared" si="36"/>
        <v>0</v>
      </c>
      <c r="T34" s="155">
        <f t="shared" si="36"/>
        <v>9</v>
      </c>
      <c r="U34" s="261">
        <f t="shared" si="36"/>
        <v>0</v>
      </c>
      <c r="V34" s="155">
        <f t="shared" si="36"/>
        <v>13</v>
      </c>
      <c r="W34" s="261">
        <f t="shared" si="36"/>
        <v>0</v>
      </c>
      <c r="X34" s="155">
        <f t="shared" si="36"/>
        <v>15</v>
      </c>
      <c r="Y34" s="261">
        <f t="shared" si="36"/>
        <v>0</v>
      </c>
      <c r="Z34" s="155">
        <f t="shared" si="36"/>
        <v>15</v>
      </c>
      <c r="AA34" s="261">
        <f t="shared" si="36"/>
        <v>0</v>
      </c>
      <c r="AB34" s="155">
        <f t="shared" si="36"/>
        <v>14</v>
      </c>
      <c r="AC34" s="261">
        <f t="shared" si="36"/>
        <v>0</v>
      </c>
      <c r="AD34" s="259">
        <f t="shared" si="32"/>
        <v>127</v>
      </c>
      <c r="AE34" s="425">
        <f>IF($AD$2="ENERO",G34,IF($AD$2="FEBRERO",G34+I34,IF($AD$2="MARZO",G34+I34+K34,IF($AD$2="ABRIL",G34+I34+K34+M34,IF($AD$2="MAYO",G34+I34+K34+M34+O34,IF($AD$2="JUNIO",G34+I34+K34+M34+O34+Q34,IF($AD$2="JULIO",G34+I34+K34+M34+O34+Q34+S34,IF($AD$2="AGOSTO",G34+I34+K34+M34+O34+Q34+S34+U34,IF($AD$2="SEPTIEMBRE",G34+I34+K34+M34+O34+Q34+S34+U34+W34,IF($AD$2="OCTUBRE",G34+I34+K34+M34+O34+Q34+S34+U34+W34+Y34,IF($AD$2="NOVIEMBRE",G34+I34+K34+M34+O34+Q34+S34+U34+W34+Y34+AA34,IF($AD$2="DICIEMBRE",G34+I34+K34+M34+O34+Q34+S34+U34+W34+Y34+AA34+AC34,""))))))))))))</f>
        <v>145</v>
      </c>
      <c r="AF34" s="424">
        <f t="shared" si="28"/>
        <v>1.1417322834645669</v>
      </c>
      <c r="AG34" s="259">
        <f t="shared" si="33"/>
        <v>206</v>
      </c>
      <c r="AH34" s="425">
        <f>IF($AD$2="ENERO",G34,IF($AD$2="FEBRERO",G34+I34,IF($AD$2="MARZO",G34+I34+K34,IF($AD$2="ABRIL",G34+I34+K34+M34,IF($AD$2="MAYO",G34+I34+K34+M34+O34,IF($AD$2="JUNIO",G34+I34+K34+M34+O34+Q34,IF($AD$2="JULIO",G34+I34+K34+M34+O34+Q34+S34,IF($AD$2="AGOSTO",G34+I34+K34+M34+O34+Q34+S34+U34,IF($AD$2="SEPTIEMBRE",G34+I34+K34+M34+O34+Q34+S34+U34+W34,IF($AD$2="OCTUBRE",G34+I34+K34+M34+O34+Q34+S34+U34+W34+Y34,IF($AD$2="NOVIEMBRE",G34+I34+K34+M34+O34+Q34+S34+U34+W34+Y34+AA34,IF($AD$2="DICIEMBRE",G34+I34+K34+M34+O34+Q34+S34+U34+W34+Y34+AA34+AC34,""))))))))))))</f>
        <v>145</v>
      </c>
      <c r="AI34" s="424">
        <f t="shared" si="29"/>
        <v>0.70388349514563109</v>
      </c>
      <c r="AJ34" s="63">
        <f t="shared" si="34"/>
        <v>60</v>
      </c>
      <c r="AK34" s="65">
        <f>IF($AJ$3="Q1",G34+I34+K34,IF($AJ$3="Q2",M34+O34++Q34,IF($AJ$3="Q3",S34+U34+W34,IF($AJ$3="Q4",Y34+AA34+AC34,0))))</f>
        <v>69</v>
      </c>
      <c r="AL34" s="66">
        <f t="shared" si="30"/>
        <v>1.1499999999999999</v>
      </c>
      <c r="AM34" s="259">
        <f t="shared" si="35"/>
        <v>127</v>
      </c>
      <c r="AN34" s="425">
        <f>IF($AM$3="S 1",G34+I34+K34+M34+O34+Q34,IF($AM$3="S 2",S34+U34+W34+Y34+AA34+AC34,0))</f>
        <v>145</v>
      </c>
      <c r="AO34" s="424">
        <f t="shared" si="31"/>
        <v>1.1417322834645669</v>
      </c>
    </row>
    <row r="35" spans="1:41" s="53" customFormat="1" ht="16" customHeight="1" x14ac:dyDescent="0.3">
      <c r="A35" s="53">
        <f>_xlfn.XLOOKUP(B35,[8]Pedidos!$C$7:$C$67,[8]Pedidos!$B$7:$B$67)</f>
        <v>6</v>
      </c>
      <c r="B35" s="179">
        <v>100348</v>
      </c>
      <c r="C35" s="381" t="s">
        <v>56</v>
      </c>
      <c r="D35" s="51">
        <v>8596</v>
      </c>
      <c r="E35" s="309" t="s">
        <v>105</v>
      </c>
      <c r="F35" s="305">
        <v>5</v>
      </c>
      <c r="G35" s="55">
        <f>IFERROR(VLOOKUP(B35,[2]RETAIL!$T$8:$AG$63,3,0),0)-IFERROR(IF(B35=100873,VLOOKUP("ENERO",[2]RETAIL!$T$78:$U$91,2,0),0),0)</f>
        <v>6</v>
      </c>
      <c r="H35" s="305">
        <v>5</v>
      </c>
      <c r="I35" s="55">
        <f>IFERROR(VLOOKUP(B35,[2]RETAIL!$T$8:$AG$63,4,0),0)-IFERROR(IF(B35=100873,VLOOKUP("FEBRERO",[2]RETAIL!$T$78:$U$91,2,0),0),0)</f>
        <v>4</v>
      </c>
      <c r="J35" s="305">
        <v>5</v>
      </c>
      <c r="K35" s="55">
        <f>IFERROR(VLOOKUP(B35,[2]RETAIL!$T$8:$AG$63,5,0),0)-IFERROR(IF(B35=100873,VLOOKUP("MARZO",[2]RETAIL!$T$78:$U$91,2,0),0),0)</f>
        <v>6</v>
      </c>
      <c r="L35" s="305">
        <v>5</v>
      </c>
      <c r="M35" s="55">
        <f>IFERROR(VLOOKUP(B35,[2]RETAIL!$T$8:$AG$63,6,0),0)-IFERROR(IF(B35=100873,VLOOKUP("ABRIL",[2]RETAIL!$T$78:$U$91,2,0),0),0)</f>
        <v>5</v>
      </c>
      <c r="N35" s="305">
        <v>5</v>
      </c>
      <c r="O35" s="55">
        <f>IFERROR(VLOOKUP(B35,[2]RETAIL!$T$8:$AG$63,7,0),0)-IFERROR(IF(B35=100873,VLOOKUP("MAYO",[2]RETAIL!$T$78:$U$91,2,0),0),0)</f>
        <v>7</v>
      </c>
      <c r="P35" s="305">
        <v>5</v>
      </c>
      <c r="Q35" s="55">
        <f>IFERROR(VLOOKUP(B35,[2]RETAIL!$T$8:$AG$63,8,0),0)-IFERROR(IF(B35=100873,VLOOKUP("JUNIO",[2]RETAIL!$T$78:$U$91,2,0),0),0)</f>
        <v>6</v>
      </c>
      <c r="R35" s="305"/>
      <c r="S35" s="55">
        <f>IFERROR(VLOOKUP(D35,[2]RETAIL!$T$8:$AG$63,9,0),0)-IFERROR(IF(D35=100873,VLOOKUP("JULIO",[2]RETAIL!$T$78:$U$91,2,0),0),0)</f>
        <v>0</v>
      </c>
      <c r="T35" s="305"/>
      <c r="U35" s="55">
        <f>IFERROR(VLOOKUP(D35,[2]RETAIL!$T$8:$AG$63,10,0),0)-IFERROR(IF(D35=100873,VLOOKUP("AGOSTO",[2]RETAIL!$T$78:$U$91,2,0),0),0)</f>
        <v>0</v>
      </c>
      <c r="V35" s="305"/>
      <c r="W35" s="55">
        <f>IFERROR(VLOOKUP(D35,[2]RETAIL!$T$8:$AG$63,11,0),0)-IFERROR(IF(D35=100873,VLOOKUP("SEPTIEMBRE",[2]RETAIL!$T$78:$U$91,2,0),0),0)</f>
        <v>0</v>
      </c>
      <c r="X35" s="305"/>
      <c r="Y35" s="55">
        <f>IFERROR(VLOOKUP(D35,[2]RETAIL!$T$8:$AG$63,12,0),0)-IFERROR(IF(D35=100873,VLOOKUP("OCTUBRE",[2]RETAIL!$T$78:$U$91,2,0),0),0)</f>
        <v>0</v>
      </c>
      <c r="Z35" s="305"/>
      <c r="AA35" s="55">
        <f>IFERROR(VLOOKUP(D35,[2]RETAIL!$T$8:$AG$63,13,0),0)-IFERROR(IF(D35=100873,VLOOKUP("NOVIEMBRE",[2]RETAIL!$T$78:$U$91,2,0),0),0)</f>
        <v>0</v>
      </c>
      <c r="AB35" s="305"/>
      <c r="AC35" s="55">
        <f>IFERROR(VLOOKUP(D35,[2]RETAIL!$T$8:$AG$63,14,0),0)-IFERROR(IF(D35=100873,VLOOKUP("DICIEMBRE",[2]RETAIL!$T$78:$U$91,2,0),0),0)</f>
        <v>0</v>
      </c>
      <c r="AD35" s="54">
        <f t="shared" si="32"/>
        <v>30</v>
      </c>
      <c r="AE35" s="86">
        <f>IFERROR(IF($AD$2="ENERO",G35,IF($AD$2="FEBRERO",G35+I35,IF($AD$2="MARZO",G35+I35+K35,IF($AD$2="ABRIL",G35+I35+K35+M35,IF($AD$2="MAYO",G35+I35+K35+M35+O35,IF($AD$2="JUNIO",G35+I35+K35+M35+O35+Q35,IF($AD$2="JULIO",G35+I35+K35+M35+O35+Q35+S35,IF($AD$2="AGOSTO",G35+I35+K35+M35+O35+Q35+S35+U35,IF($AD$2="SEPTIEMBRE",G35+I35+K35+M35+O35+Q35+S35+U35+W35,IF($AD$2="OCTUBRE",G35+I35+K35+M35+O35+Q35+S35+U35+W35+Y35,IF($AD$2="NOVIEMBRE",G35+I35+K35+M35+O35+Q35+S35+U35+W35+Y35+AA35,IF($AD$2="DICIEMBRE",G35+I35+K35+M35+O35+Q35+S35+U35+W35+Y35+AA35+AC35,"")))))))))))),0)</f>
        <v>34</v>
      </c>
      <c r="AF35" s="243">
        <f t="shared" si="28"/>
        <v>1.1333333333333333</v>
      </c>
      <c r="AG35" s="54">
        <f t="shared" si="33"/>
        <v>30</v>
      </c>
      <c r="AH35" s="86">
        <f>IFERROR(IF($AD$2="ENERO",G35,IF($AD$2="FEBRERO",G35+I35,IF($AD$2="MARZO",G35+I35+K35,IF($AD$2="ABRIL",G35+I35+K35+M35,IF($AD$2="MAYO",G35+I35+K35+M35+O35,IF($AD$2="JUNIO",G35+I35+K35+M35+O35+Q35,IF($AD$2="JULIO",G35+I35+K35+M35+O35+Q35+S35,IF($AD$2="AGOSTO",G35+I35+K35+M35+O35+Q35+S35+U35,IF($AD$2="SEPTIEMBRE",G35+I35+K35+M35+O35+Q35+S35+U35+W35,IF($AD$2="OCTUBRE",G35+I35+K35+M35+O35+Q35+S35+U35+W35+Y35,IF($AD$2="NOVIEMBRE",G35+I35+K35+M35+O35+Q35+S35+U35+W35+Y35+AA35,IF($AD$2="DICIEMBRE",G35+I35+K35+M35+O35+Q35+S35+U35+W35+Y35+AA35+AC35,"")))))))))))),0)</f>
        <v>34</v>
      </c>
      <c r="AI35" s="243">
        <f t="shared" si="29"/>
        <v>1.1333333333333333</v>
      </c>
      <c r="AJ35" s="54">
        <f t="shared" si="34"/>
        <v>15</v>
      </c>
      <c r="AK35" s="86">
        <f>IFERROR(IF($AJ$3="Q1",G35+I35+K35,IF($AJ$3="Q2",M35+O35++Q35,IF($AJ$3="Q3",S35+U35+W35,IF($AJ$3="Q4",Y35+AA35+AC35,0)))),0)</f>
        <v>16</v>
      </c>
      <c r="AL35" s="56">
        <f t="shared" si="30"/>
        <v>1.0666666666666667</v>
      </c>
      <c r="AM35" s="54">
        <f t="shared" si="35"/>
        <v>30</v>
      </c>
      <c r="AN35" s="86">
        <f>IFERROR(IF($AM$3="S 1",G35+I35+K35+M35+O35+Q35,IF($AM$3="S 2",S35+U35+W35+Y35+AA35+AC35,0)),0)</f>
        <v>34</v>
      </c>
      <c r="AO35" s="243">
        <f t="shared" si="31"/>
        <v>1.1333333333333333</v>
      </c>
    </row>
    <row r="36" spans="1:41" s="53" customFormat="1" ht="16" customHeight="1" x14ac:dyDescent="0.3">
      <c r="A36" s="53">
        <f>_xlfn.XLOOKUP(B36,[8]Pedidos!$C$7:$C$67,[8]Pedidos!$B$7:$B$67)</f>
        <v>6</v>
      </c>
      <c r="B36" s="179">
        <v>100585</v>
      </c>
      <c r="C36" s="381" t="s">
        <v>58</v>
      </c>
      <c r="D36" s="51">
        <v>34177</v>
      </c>
      <c r="E36" s="309" t="s">
        <v>87</v>
      </c>
      <c r="F36" s="305"/>
      <c r="G36" s="55">
        <f>IFERROR(VLOOKUP(B36,[2]RETAIL!$T$8:$AG$63,3,0),0)-IFERROR(IF(B36=100873,VLOOKUP("ENERO",[2]RETAIL!$T$78:$U$91,2,0),0),0)</f>
        <v>0</v>
      </c>
      <c r="H36" s="305"/>
      <c r="I36" s="55">
        <f>IFERROR(VLOOKUP(B36,[2]RETAIL!$T$8:$AG$63,4,0),0)-IFERROR(IF(B36=100873,VLOOKUP("FEBRERO",[2]RETAIL!$T$78:$U$91,2,0),0),0)</f>
        <v>0</v>
      </c>
      <c r="J36" s="305"/>
      <c r="K36" s="55">
        <f>IFERROR(VLOOKUP(B36,[2]RETAIL!$T$8:$AG$63,5,0),0)-IFERROR(IF(B36=100873,VLOOKUP("MARZO",[2]RETAIL!$T$78:$U$91,2,0),0),0)</f>
        <v>0</v>
      </c>
      <c r="L36" s="305"/>
      <c r="M36" s="55">
        <f>IFERROR(VLOOKUP(B36,[2]RETAIL!$T$8:$AG$63,6,0),0)-IFERROR(IF(B36=100873,VLOOKUP("ABRIL",[2]RETAIL!$T$78:$U$91,2,0),0),0)</f>
        <v>0</v>
      </c>
      <c r="N36" s="305"/>
      <c r="O36" s="55">
        <f>IFERROR(VLOOKUP(B36,[2]RETAIL!$T$8:$AG$63,7,0),0)-IFERROR(IF(B36=100873,VLOOKUP("MAYO",[2]RETAIL!$T$78:$U$91,2,0),0),0)</f>
        <v>0</v>
      </c>
      <c r="P36" s="305"/>
      <c r="Q36" s="55">
        <f>IFERROR(VLOOKUP(B36,[2]RETAIL!$T$8:$AG$63,8,0),0)-IFERROR(IF(B36=100873,VLOOKUP("JUNIO",[2]RETAIL!$T$78:$U$91,2,0),0),0)</f>
        <v>0</v>
      </c>
      <c r="R36" s="305">
        <v>1</v>
      </c>
      <c r="S36" s="55">
        <f>IFERROR(VLOOKUP(D36,[2]RETAIL!$T$8:$AG$63,9,0),0)-IFERROR(IF(D36=100873,VLOOKUP("JULIO",[2]RETAIL!$T$78:$U$91,2,0),0),0)</f>
        <v>0</v>
      </c>
      <c r="T36" s="305">
        <v>1</v>
      </c>
      <c r="U36" s="55">
        <f>IFERROR(VLOOKUP(D36,[2]RETAIL!$T$8:$AG$63,10,0),0)-IFERROR(IF(D36=100873,VLOOKUP("AGOSTO",[2]RETAIL!$T$78:$U$91,2,0),0),0)</f>
        <v>0</v>
      </c>
      <c r="V36" s="305">
        <v>1</v>
      </c>
      <c r="W36" s="55">
        <f>IFERROR(VLOOKUP(D36,[2]RETAIL!$T$8:$AG$63,11,0),0)-IFERROR(IF(D36=100873,VLOOKUP("SEPTIEMBRE",[2]RETAIL!$T$78:$U$91,2,0),0),0)</f>
        <v>0</v>
      </c>
      <c r="X36" s="305">
        <v>1</v>
      </c>
      <c r="Y36" s="55">
        <f>IFERROR(VLOOKUP(D36,[2]RETAIL!$T$8:$AG$63,12,0),0)-IFERROR(IF(D36=100873,VLOOKUP("OCTUBRE",[2]RETAIL!$T$78:$U$91,2,0),0),0)</f>
        <v>0</v>
      </c>
      <c r="Z36" s="305">
        <v>1</v>
      </c>
      <c r="AA36" s="55">
        <f>IFERROR(VLOOKUP(D36,[2]RETAIL!$T$8:$AG$63,13,0),0)-IFERROR(IF(D36=100873,VLOOKUP("NOVIEMBRE",[2]RETAIL!$T$78:$U$91,2,0),0),0)</f>
        <v>0</v>
      </c>
      <c r="AB36" s="305">
        <v>1</v>
      </c>
      <c r="AC36" s="55">
        <f>IFERROR(VLOOKUP(D36,[2]RETAIL!$T$8:$AG$63,14,0),0)-IFERROR(IF(D36=100873,VLOOKUP("DICIEMBRE",[2]RETAIL!$T$78:$U$91,2,0),0),0)</f>
        <v>0</v>
      </c>
      <c r="AD36" s="54">
        <f t="shared" si="32"/>
        <v>0</v>
      </c>
      <c r="AE36" s="86">
        <f>IFERROR(IF($AD$2="ENERO",G36,IF($AD$2="FEBRERO",G36+I36,IF($AD$2="MARZO",G36+I36+K36,IF($AD$2="ABRIL",G36+I36+K36+M36,IF($AD$2="MAYO",G36+I36+K36+M36+O36,IF($AD$2="JUNIO",G36+I36+K36+M36+O36+Q36,IF($AD$2="JULIO",G36+I36+K36+M36+O36+Q36+S36,IF($AD$2="AGOSTO",G36+I36+K36+M36+O36+Q36+S36+U36,IF($AD$2="SEPTIEMBRE",G36+I36+K36+M36+O36+Q36+S36+U36+W36,IF($AD$2="OCTUBRE",G36+I36+K36+M36+O36+Q36+S36+U36+W36+Y36,IF($AD$2="NOVIEMBRE",G36+I36+K36+M36+O36+Q36+S36+U36+W36+Y36+AA36,IF($AD$2="DICIEMBRE",G36+I36+K36+M36+O36+Q36+S36+U36+W36+Y36+AA36+AC36,"")))))))))))),0)</f>
        <v>0</v>
      </c>
      <c r="AF36" s="243">
        <f t="shared" si="28"/>
        <v>0</v>
      </c>
      <c r="AG36" s="54">
        <f t="shared" si="33"/>
        <v>6</v>
      </c>
      <c r="AH36" s="86">
        <f>IFERROR(IF($AD$2="ENERO",G36,IF($AD$2="FEBRERO",G36+I36,IF($AD$2="MARZO",G36+I36+K36,IF($AD$2="ABRIL",G36+I36+K36+M36,IF($AD$2="MAYO",G36+I36+K36+M36+O36,IF($AD$2="JUNIO",G36+I36+K36+M36+O36+Q36,IF($AD$2="JULIO",G36+I36+K36+M36+O36+Q36+S36,IF($AD$2="AGOSTO",G36+I36+K36+M36+O36+Q36+S36+U36,IF($AD$2="SEPTIEMBRE",G36+I36+K36+M36+O36+Q36+S36+U36+W36,IF($AD$2="OCTUBRE",G36+I36+K36+M36+O36+Q36+S36+U36+W36+Y36,IF($AD$2="NOVIEMBRE",G36+I36+K36+M36+O36+Q36+S36+U36+W36+Y36+AA36,IF($AD$2="DICIEMBRE",G36+I36+K36+M36+O36+Q36+S36+U36+W36+Y36+AA36+AC36,"")))))))))))),0)</f>
        <v>0</v>
      </c>
      <c r="AI36" s="243">
        <f t="shared" si="29"/>
        <v>0</v>
      </c>
      <c r="AJ36" s="54">
        <f t="shared" si="34"/>
        <v>0</v>
      </c>
      <c r="AK36" s="86">
        <f>IFERROR(IF($AJ$3="Q1",G36+I36+K36,IF($AJ$3="Q2",M36+O36++Q36,IF($AJ$3="Q3",S36+U36+W36,IF($AJ$3="Q4",Y36+AA36+AC36,0)))),0)</f>
        <v>0</v>
      </c>
      <c r="AL36" s="56">
        <f t="shared" si="30"/>
        <v>0</v>
      </c>
      <c r="AM36" s="54">
        <f t="shared" si="35"/>
        <v>0</v>
      </c>
      <c r="AN36" s="86">
        <f>IFERROR(IF($AM$3="S 1",G36+I36+K36+M36+O36+Q36,IF($AM$3="S 2",S36+U36+W36+Y36+AA36+AC36,0)),0)</f>
        <v>0</v>
      </c>
      <c r="AO36" s="243">
        <f t="shared" si="31"/>
        <v>0</v>
      </c>
    </row>
    <row r="37" spans="1:41" s="53" customFormat="1" ht="16" customHeight="1" x14ac:dyDescent="0.3">
      <c r="A37" s="53">
        <f>_xlfn.XLOOKUP(B37,[8]Pedidos!$C$7:$C$67,[8]Pedidos!$B$7:$B$67)</f>
        <v>6</v>
      </c>
      <c r="B37" s="179">
        <v>100727</v>
      </c>
      <c r="C37" s="381" t="s">
        <v>21</v>
      </c>
      <c r="D37" s="51">
        <v>39200</v>
      </c>
      <c r="E37" s="309" t="s">
        <v>93</v>
      </c>
      <c r="F37" s="305">
        <v>2</v>
      </c>
      <c r="G37" s="55">
        <f>IFERROR(VLOOKUP(B37,[2]RETAIL!$T$8:$AG$63,3,0),0)-IFERROR(IF(B37=100873,VLOOKUP("ENERO",[2]RETAIL!$T$78:$U$91,2,0),0),0)</f>
        <v>3</v>
      </c>
      <c r="H37" s="305">
        <v>2</v>
      </c>
      <c r="I37" s="55">
        <f>IFERROR(VLOOKUP(B37,[2]RETAIL!$T$8:$AG$63,4,0),0)-IFERROR(IF(B37=100873,VLOOKUP("FEBRERO",[2]RETAIL!$T$78:$U$91,2,0),0),0)</f>
        <v>5</v>
      </c>
      <c r="J37" s="305">
        <v>3</v>
      </c>
      <c r="K37" s="55">
        <f>IFERROR(VLOOKUP(B37,[2]RETAIL!$T$8:$AG$63,5,0),0)-IFERROR(IF(B37=100873,VLOOKUP("MARZO",[2]RETAIL!$T$78:$U$91,2,0),0),0)</f>
        <v>1</v>
      </c>
      <c r="L37" s="305">
        <v>2</v>
      </c>
      <c r="M37" s="55">
        <f>IFERROR(VLOOKUP(B37,[2]RETAIL!$T$8:$AG$63,6,0),0)-IFERROR(IF(B37=100873,VLOOKUP("ABRIL",[2]RETAIL!$T$78:$U$91,2,0),0),0)</f>
        <v>2</v>
      </c>
      <c r="N37" s="305">
        <v>3</v>
      </c>
      <c r="O37" s="55">
        <f>IFERROR(VLOOKUP(B37,[2]RETAIL!$T$8:$AG$63,7,0),0)-IFERROR(IF(B37=100873,VLOOKUP("MAYO",[2]RETAIL!$T$78:$U$91,2,0),0),0)</f>
        <v>3</v>
      </c>
      <c r="P37" s="305">
        <v>3</v>
      </c>
      <c r="Q37" s="55">
        <f>IFERROR(VLOOKUP(B37,[2]RETAIL!$T$8:$AG$63,8,0),0)-IFERROR(IF(B37=100873,VLOOKUP("JUNIO",[2]RETAIL!$T$78:$U$91,2,0),0),0)</f>
        <v>1</v>
      </c>
      <c r="R37" s="305"/>
      <c r="S37" s="55">
        <f>IFERROR(VLOOKUP(D37,[2]RETAIL!$T$8:$AG$63,9,0),0)-IFERROR(IF(D37=100873,VLOOKUP("JULIO",[2]RETAIL!$T$78:$U$91,2,0),0),0)</f>
        <v>0</v>
      </c>
      <c r="T37" s="305"/>
      <c r="U37" s="55">
        <f>IFERROR(VLOOKUP(D37,[2]RETAIL!$T$8:$AG$63,10,0),0)-IFERROR(IF(D37=100873,VLOOKUP("AGOSTO",[2]RETAIL!$T$78:$U$91,2,0),0),0)</f>
        <v>0</v>
      </c>
      <c r="V37" s="305"/>
      <c r="W37" s="55">
        <f>IFERROR(VLOOKUP(D37,[2]RETAIL!$T$8:$AG$63,11,0),0)-IFERROR(IF(D37=100873,VLOOKUP("SEPTIEMBRE",[2]RETAIL!$T$78:$U$91,2,0),0),0)</f>
        <v>0</v>
      </c>
      <c r="X37" s="305"/>
      <c r="Y37" s="55">
        <f>IFERROR(VLOOKUP(D37,[2]RETAIL!$T$8:$AG$63,12,0),0)-IFERROR(IF(D37=100873,VLOOKUP("OCTUBRE",[2]RETAIL!$T$78:$U$91,2,0),0),0)</f>
        <v>0</v>
      </c>
      <c r="Z37" s="305"/>
      <c r="AA37" s="55">
        <f>IFERROR(VLOOKUP(D37,[2]RETAIL!$T$8:$AG$63,13,0),0)-IFERROR(IF(D37=100873,VLOOKUP("NOVIEMBRE",[2]RETAIL!$T$78:$U$91,2,0),0),0)</f>
        <v>0</v>
      </c>
      <c r="AB37" s="305"/>
      <c r="AC37" s="55">
        <f>IFERROR(VLOOKUP(D37,[2]RETAIL!$T$8:$AG$63,14,0),0)-IFERROR(IF(D37=100873,VLOOKUP("DICIEMBRE",[2]RETAIL!$T$78:$U$91,2,0),0),0)</f>
        <v>0</v>
      </c>
      <c r="AD37" s="54">
        <f t="shared" si="32"/>
        <v>15</v>
      </c>
      <c r="AE37" s="86">
        <f>IFERROR(IF($AD$2="ENERO",G37,IF($AD$2="FEBRERO",G37+I37,IF($AD$2="MARZO",G37+I37+K37,IF($AD$2="ABRIL",G37+I37+K37+M37,IF($AD$2="MAYO",G37+I37+K37+M37+O37,IF($AD$2="JUNIO",G37+I37+K37+M37+O37+Q37,IF($AD$2="JULIO",G37+I37+K37+M37+O37+Q37+S37,IF($AD$2="AGOSTO",G37+I37+K37+M37+O37+Q37+S37+U37,IF($AD$2="SEPTIEMBRE",G37+I37+K37+M37+O37+Q37+S37+U37+W37,IF($AD$2="OCTUBRE",G37+I37+K37+M37+O37+Q37+S37+U37+W37+Y37,IF($AD$2="NOVIEMBRE",G37+I37+K37+M37+O37+Q37+S37+U37+W37+Y37+AA37,IF($AD$2="DICIEMBRE",G37+I37+K37+M37+O37+Q37+S37+U37+W37+Y37+AA37+AC37,"")))))))))))),0)</f>
        <v>15</v>
      </c>
      <c r="AF37" s="243">
        <f t="shared" si="28"/>
        <v>1</v>
      </c>
      <c r="AG37" s="54">
        <f t="shared" si="33"/>
        <v>15</v>
      </c>
      <c r="AH37" s="86">
        <f>IFERROR(IF($AD$2="ENERO",G37,IF($AD$2="FEBRERO",G37+I37,IF($AD$2="MARZO",G37+I37+K37,IF($AD$2="ABRIL",G37+I37+K37+M37,IF($AD$2="MAYO",G37+I37+K37+M37+O37,IF($AD$2="JUNIO",G37+I37+K37+M37+O37+Q37,IF($AD$2="JULIO",G37+I37+K37+M37+O37+Q37+S37,IF($AD$2="AGOSTO",G37+I37+K37+M37+O37+Q37+S37+U37,IF($AD$2="SEPTIEMBRE",G37+I37+K37+M37+O37+Q37+S37+U37+W37,IF($AD$2="OCTUBRE",G37+I37+K37+M37+O37+Q37+S37+U37+W37+Y37,IF($AD$2="NOVIEMBRE",G37+I37+K37+M37+O37+Q37+S37+U37+W37+Y37+AA37,IF($AD$2="DICIEMBRE",G37+I37+K37+M37+O37+Q37+S37+U37+W37+Y37+AA37+AC37,"")))))))))))),0)</f>
        <v>15</v>
      </c>
      <c r="AI37" s="243">
        <f t="shared" si="29"/>
        <v>1</v>
      </c>
      <c r="AJ37" s="54">
        <f t="shared" si="34"/>
        <v>7</v>
      </c>
      <c r="AK37" s="68">
        <f>IFERROR(IF($AJ$3="Q1",G37+I37+K37,IF($AJ$3="Q2",M37+O37++Q37,IF($AJ$3="Q3",S37+U37+W37,IF($AJ$3="Q4",Y37+AA37+AC37,0)))),0)</f>
        <v>9</v>
      </c>
      <c r="AL37" s="56">
        <f t="shared" si="30"/>
        <v>1.2857142857142858</v>
      </c>
      <c r="AM37" s="54">
        <f t="shared" si="35"/>
        <v>15</v>
      </c>
      <c r="AN37" s="86">
        <f>IFERROR(IF($AM$3="S 1",G37+I37+K37+M37+O37+Q37,IF($AM$3="S 2",S37+U37+W37+Y37+AA37+AC37,0)),0)</f>
        <v>15</v>
      </c>
      <c r="AO37" s="243">
        <f t="shared" si="31"/>
        <v>1</v>
      </c>
    </row>
    <row r="38" spans="1:41" s="53" customFormat="1" ht="16" customHeight="1" x14ac:dyDescent="0.3">
      <c r="A38" s="53">
        <f>_xlfn.XLOOKUP(B38,[8]Pedidos!$C$7:$C$67,[8]Pedidos!$B$7:$B$67)</f>
        <v>6</v>
      </c>
      <c r="B38" s="179">
        <v>100728</v>
      </c>
      <c r="C38" s="381" t="s">
        <v>24</v>
      </c>
      <c r="D38" s="51">
        <v>39349</v>
      </c>
      <c r="E38" s="309" t="s">
        <v>94</v>
      </c>
      <c r="F38" s="305">
        <v>9</v>
      </c>
      <c r="G38" s="55">
        <f>IFERROR(VLOOKUP(B38,[2]RETAIL!$T$8:$AG$63,3,0),0)-IFERROR(IF(B38=100873,VLOOKUP("ENERO",[2]RETAIL!$T$78:$U$91,2,0),0),0)</f>
        <v>5</v>
      </c>
      <c r="H38" s="305">
        <v>9</v>
      </c>
      <c r="I38" s="55">
        <f>IFERROR(VLOOKUP(B38,[2]RETAIL!$T$8:$AG$63,4,0),0)-IFERROR(IF(B38=100873,VLOOKUP("FEBRERO",[2]RETAIL!$T$78:$U$91,2,0),0),0)</f>
        <v>16</v>
      </c>
      <c r="J38" s="305">
        <v>9</v>
      </c>
      <c r="K38" s="55">
        <f>IFERROR(VLOOKUP(B38,[2]RETAIL!$T$8:$AG$63,5,0),0)-IFERROR(IF(B38=100873,VLOOKUP("MARZO",[2]RETAIL!$T$78:$U$91,2,0),0),0)</f>
        <v>1</v>
      </c>
      <c r="L38" s="305">
        <v>9</v>
      </c>
      <c r="M38" s="55">
        <f>IFERROR(VLOOKUP(B38,[2]RETAIL!$T$8:$AG$63,6,0),0)-IFERROR(IF(B38=100873,VLOOKUP("ABRIL",[2]RETAIL!$T$78:$U$91,2,0),0),0)</f>
        <v>10</v>
      </c>
      <c r="N38" s="305">
        <v>9</v>
      </c>
      <c r="O38" s="55">
        <f>IFERROR(VLOOKUP(B38,[2]RETAIL!$T$8:$AG$63,7,0),0)-IFERROR(IF(B38=100873,VLOOKUP("MAYO",[2]RETAIL!$T$78:$U$91,2,0),0),0)</f>
        <v>13</v>
      </c>
      <c r="P38" s="305">
        <v>10</v>
      </c>
      <c r="Q38" s="55">
        <f>IFERROR(VLOOKUP(B38,[2]RETAIL!$T$8:$AG$63,8,0),0)-IFERROR(IF(B38=100873,VLOOKUP("JUNIO",[2]RETAIL!$T$78:$U$91,2,0),0),0)</f>
        <v>26</v>
      </c>
      <c r="R38" s="305">
        <v>13</v>
      </c>
      <c r="S38" s="55">
        <f>IFERROR(VLOOKUP(D38,[2]RETAIL!$T$8:$AG$63,9,0),0)-IFERROR(IF(D38=100873,VLOOKUP("JULIO",[2]RETAIL!$T$78:$U$91,2,0),0),0)</f>
        <v>0</v>
      </c>
      <c r="T38" s="305">
        <v>11</v>
      </c>
      <c r="U38" s="55">
        <f>IFERROR(VLOOKUP(D38,[2]RETAIL!$T$8:$AG$63,10,0),0)-IFERROR(IF(D38=100873,VLOOKUP("AGOSTO",[2]RETAIL!$T$78:$U$91,2,0),0),0)</f>
        <v>0</v>
      </c>
      <c r="V38" s="305">
        <v>13</v>
      </c>
      <c r="W38" s="55">
        <f>IFERROR(VLOOKUP(D38,[2]RETAIL!$T$8:$AG$63,11,0),0)-IFERROR(IF(D38=100873,VLOOKUP("SEPTIEMBRE",[2]RETAIL!$T$78:$U$91,2,0),0),0)</f>
        <v>0</v>
      </c>
      <c r="X38" s="305">
        <v>13</v>
      </c>
      <c r="Y38" s="55">
        <f>IFERROR(VLOOKUP(D38,[2]RETAIL!$T$8:$AG$63,12,0),0)-IFERROR(IF(D38=100873,VLOOKUP("OCTUBRE",[2]RETAIL!$T$78:$U$91,2,0),0),0)</f>
        <v>0</v>
      </c>
      <c r="Z38" s="305">
        <v>13</v>
      </c>
      <c r="AA38" s="55">
        <f>IFERROR(VLOOKUP(D38,[2]RETAIL!$T$8:$AG$63,13,0),0)-IFERROR(IF(D38=100873,VLOOKUP("NOVIEMBRE",[2]RETAIL!$T$78:$U$91,2,0),0),0)</f>
        <v>0</v>
      </c>
      <c r="AB38" s="305">
        <v>12</v>
      </c>
      <c r="AC38" s="55">
        <f>IFERROR(VLOOKUP(D38,[2]RETAIL!$T$8:$AG$63,14,0),0)-IFERROR(IF(D38=100873,VLOOKUP("DICIEMBRE",[2]RETAIL!$T$78:$U$91,2,0),0),0)</f>
        <v>0</v>
      </c>
      <c r="AD38" s="54">
        <f t="shared" si="32"/>
        <v>55</v>
      </c>
      <c r="AE38" s="86">
        <f>IFERROR(IF($AD$2="ENERO",G38,IF($AD$2="FEBRERO",G38+I38,IF($AD$2="MARZO",G38+I38+K38,IF($AD$2="ABRIL",G38+I38+K38+M38,IF($AD$2="MAYO",G38+I38+K38+M38+O38,IF($AD$2="JUNIO",G38+I38+K38+M38+O38+Q38,IF($AD$2="JULIO",G38+I38+K38+M38+O38+Q38+S38,IF($AD$2="AGOSTO",G38+I38+K38+M38+O38+Q38+S38+U38,IF($AD$2="SEPTIEMBRE",G38+I38+K38+M38+O38+Q38+S38+U38+W38,IF($AD$2="OCTUBRE",G38+I38+K38+M38+O38+Q38+S38+U38+W38+Y38,IF($AD$2="NOVIEMBRE",G38+I38+K38+M38+O38+Q38+S38+U38+W38+Y38+AA38,IF($AD$2="DICIEMBRE",G38+I38+K38+M38+O38+Q38+S38+U38+W38+Y38+AA38+AC38,"")))))))))))),0)</f>
        <v>71</v>
      </c>
      <c r="AF38" s="243">
        <f t="shared" si="28"/>
        <v>1.290909090909091</v>
      </c>
      <c r="AG38" s="54">
        <f t="shared" si="33"/>
        <v>130</v>
      </c>
      <c r="AH38" s="86">
        <f>IFERROR(IF($AD$2="ENERO",G38,IF($AD$2="FEBRERO",G38+I38,IF($AD$2="MARZO",G38+I38+K38,IF($AD$2="ABRIL",G38+I38+K38+M38,IF($AD$2="MAYO",G38+I38+K38+M38+O38,IF($AD$2="JUNIO",G38+I38+K38+M38+O38+Q38,IF($AD$2="JULIO",G38+I38+K38+M38+O38+Q38+S38,IF($AD$2="AGOSTO",G38+I38+K38+M38+O38+Q38+S38+U38,IF($AD$2="SEPTIEMBRE",G38+I38+K38+M38+O38+Q38+S38+U38+W38,IF($AD$2="OCTUBRE",G38+I38+K38+M38+O38+Q38+S38+U38+W38+Y38,IF($AD$2="NOVIEMBRE",G38+I38+K38+M38+O38+Q38+S38+U38+W38+Y38+AA38,IF($AD$2="DICIEMBRE",G38+I38+K38+M38+O38+Q38+S38+U38+W38+Y38+AA38+AC38,"")))))))))))),0)</f>
        <v>71</v>
      </c>
      <c r="AI38" s="243">
        <f t="shared" si="29"/>
        <v>0.5461538461538461</v>
      </c>
      <c r="AJ38" s="54">
        <f t="shared" si="34"/>
        <v>27</v>
      </c>
      <c r="AK38" s="68">
        <f>IFERROR(IF($AJ$3="Q1",G38+I38+K38,IF($AJ$3="Q2",M38+O38++Q38,IF($AJ$3="Q3",S38+U38+W38,IF($AJ$3="Q4",Y38+AA38+AC38,0)))),0)</f>
        <v>22</v>
      </c>
      <c r="AL38" s="56">
        <f t="shared" si="30"/>
        <v>0.81481481481481477</v>
      </c>
      <c r="AM38" s="54">
        <f t="shared" si="35"/>
        <v>55</v>
      </c>
      <c r="AN38" s="86">
        <f>IFERROR(IF($AM$3="S 1",G38+I38+K38+M38+O38+Q38,IF($AM$3="S 2",S38+U38+W38+Y38+AA38+AC38,0)),0)</f>
        <v>71</v>
      </c>
      <c r="AO38" s="243">
        <f t="shared" si="31"/>
        <v>1.290909090909091</v>
      </c>
    </row>
    <row r="39" spans="1:41" s="53" customFormat="1" ht="16" customHeight="1" thickBot="1" x14ac:dyDescent="0.35">
      <c r="A39" s="53">
        <f>_xlfn.XLOOKUP(B39,[8]Pedidos!$C$7:$C$67,[8]Pedidos!$B$7:$B$67)</f>
        <v>6</v>
      </c>
      <c r="B39" s="179">
        <v>100817</v>
      </c>
      <c r="C39" s="381" t="s">
        <v>69</v>
      </c>
      <c r="D39" s="51">
        <v>39349</v>
      </c>
      <c r="E39" s="309" t="s">
        <v>94</v>
      </c>
      <c r="F39" s="305">
        <v>11</v>
      </c>
      <c r="G39" s="55">
        <f>IFERROR(VLOOKUP(B39,[2]RETAIL!$T$8:$AG$63,3,0),0)-IFERROR(IF(B39=100873,VLOOKUP("ENERO",[2]RETAIL!$T$78:$U$91,2,0),0),0)</f>
        <v>16</v>
      </c>
      <c r="H39" s="305">
        <v>12</v>
      </c>
      <c r="I39" s="55">
        <f>IFERROR(VLOOKUP(B39,[2]RETAIL!$T$8:$AG$63,4,0),0)-IFERROR(IF(B39=100873,VLOOKUP("FEBRERO",[2]RETAIL!$T$78:$U$91,2,0),0),0)</f>
        <v>7</v>
      </c>
      <c r="J39" s="305">
        <v>12</v>
      </c>
      <c r="K39" s="55">
        <f>IFERROR(VLOOKUP(B39,[2]RETAIL!$T$8:$AG$63,5,0),0)-IFERROR(IF(B39=100873,VLOOKUP("MARZO",[2]RETAIL!$T$78:$U$91,2,0),0),0)</f>
        <v>24</v>
      </c>
      <c r="L39" s="305">
        <v>11</v>
      </c>
      <c r="M39" s="55">
        <f>IFERROR(VLOOKUP(B39,[2]RETAIL!$T$8:$AG$63,6,0),0)-IFERROR(IF(B39=100873,VLOOKUP("ABRIL",[2]RETAIL!$T$78:$U$91,2,0),0),0)</f>
        <v>16</v>
      </c>
      <c r="N39" s="305">
        <v>12</v>
      </c>
      <c r="O39" s="55">
        <f>IFERROR(VLOOKUP(B39,[2]RETAIL!$T$8:$AG$63,7,0),0)-IFERROR(IF(B39=100873,VLOOKUP("MAYO",[2]RETAIL!$T$78:$U$91,2,0),0),0)</f>
        <v>20</v>
      </c>
      <c r="P39" s="305">
        <v>12</v>
      </c>
      <c r="Q39" s="55">
        <f>IFERROR(VLOOKUP(B39,[2]RETAIL!$T$8:$AG$63,8,0),0)-IFERROR(IF(B39=100873,VLOOKUP("JUNIO",[2]RETAIL!$T$78:$U$91,2,0),0),0)</f>
        <v>20</v>
      </c>
      <c r="R39" s="305">
        <v>13</v>
      </c>
      <c r="S39" s="55">
        <f>IFERROR(VLOOKUP(D39,[2]RETAIL!$T$8:$AG$63,9,0),0)-IFERROR(IF(D39=100873,VLOOKUP("JULIO",[2]RETAIL!$T$78:$U$91,2,0),0),0)</f>
        <v>0</v>
      </c>
      <c r="T39" s="305">
        <v>13</v>
      </c>
      <c r="U39" s="55">
        <f>IFERROR(VLOOKUP(D39,[2]RETAIL!$T$8:$AG$63,10,0),0)-IFERROR(IF(D39=100873,VLOOKUP("AGOSTO",[2]RETAIL!$T$78:$U$91,2,0),0),0)</f>
        <v>0</v>
      </c>
      <c r="V39" s="305">
        <v>13</v>
      </c>
      <c r="W39" s="55">
        <f>IFERROR(VLOOKUP(D39,[2]RETAIL!$T$8:$AG$63,11,0),0)-IFERROR(IF(D39=100873,VLOOKUP("SEPTIEMBRE",[2]RETAIL!$T$78:$U$91,2,0),0),0)</f>
        <v>0</v>
      </c>
      <c r="X39" s="305">
        <v>13</v>
      </c>
      <c r="Y39" s="55">
        <f>IFERROR(VLOOKUP(D39,[2]RETAIL!$T$8:$AG$63,12,0),0)-IFERROR(IF(D39=100873,VLOOKUP("OCTUBRE",[2]RETAIL!$T$78:$U$91,2,0),0),0)</f>
        <v>0</v>
      </c>
      <c r="Z39" s="305">
        <v>13</v>
      </c>
      <c r="AA39" s="55">
        <f>IFERROR(VLOOKUP(D39,[2]RETAIL!$T$8:$AG$63,13,0),0)-IFERROR(IF(D39=100873,VLOOKUP("NOVIEMBRE",[2]RETAIL!$T$78:$U$91,2,0),0),0)</f>
        <v>0</v>
      </c>
      <c r="AB39" s="305">
        <v>15</v>
      </c>
      <c r="AC39" s="55">
        <f>IFERROR(VLOOKUP(D39,[2]RETAIL!$T$8:$AG$63,14,0),0)-IFERROR(IF(D39=100873,VLOOKUP("DICIEMBRE",[2]RETAIL!$T$78:$U$91,2,0),0),0)</f>
        <v>0</v>
      </c>
      <c r="AD39" s="54">
        <f t="shared" si="32"/>
        <v>70</v>
      </c>
      <c r="AE39" s="86">
        <f>IFERROR(IF($AD$2="ENERO",G39,IF($AD$2="FEBRERO",G39+I39,IF($AD$2="MARZO",G39+I39+K39,IF($AD$2="ABRIL",G39+I39+K39+M39,IF($AD$2="MAYO",G39+I39+K39+M39+O39,IF($AD$2="JUNIO",G39+I39+K39+M39+O39+Q39,IF($AD$2="JULIO",G39+I39+K39+M39+O39+Q39+S39,IF($AD$2="AGOSTO",G39+I39+K39+M39+O39+Q39+S39+U39,IF($AD$2="SEPTIEMBRE",G39+I39+K39+M39+O39+Q39+S39+U39+W39,IF($AD$2="OCTUBRE",G39+I39+K39+M39+O39+Q39+S39+U39+W39+Y39,IF($AD$2="NOVIEMBRE",G39+I39+K39+M39+O39+Q39+S39+U39+W39+Y39+AA39,IF($AD$2="DICIEMBRE",G39+I39+K39+M39+O39+Q39+S39+U39+W39+Y39+AA39+AC39,"")))))))))))),0)</f>
        <v>103</v>
      </c>
      <c r="AF39" s="243">
        <f t="shared" si="28"/>
        <v>1.4714285714285715</v>
      </c>
      <c r="AG39" s="54">
        <f t="shared" si="33"/>
        <v>150</v>
      </c>
      <c r="AH39" s="86">
        <f>IFERROR(IF($AD$2="ENERO",G39,IF($AD$2="FEBRERO",G39+I39,IF($AD$2="MARZO",G39+I39+K39,IF($AD$2="ABRIL",G39+I39+K39+M39,IF($AD$2="MAYO",G39+I39+K39+M39+O39,IF($AD$2="JUNIO",G39+I39+K39+M39+O39+Q39,IF($AD$2="JULIO",G39+I39+K39+M39+O39+Q39+S39,IF($AD$2="AGOSTO",G39+I39+K39+M39+O39+Q39+S39+U39,IF($AD$2="SEPTIEMBRE",G39+I39+K39+M39+O39+Q39+S39+U39+W39,IF($AD$2="OCTUBRE",G39+I39+K39+M39+O39+Q39+S39+U39+W39+Y39,IF($AD$2="NOVIEMBRE",G39+I39+K39+M39+O39+Q39+S39+U39+W39+Y39+AA39,IF($AD$2="DICIEMBRE",G39+I39+K39+M39+O39+Q39+S39+U39+W39+Y39+AA39+AC39,"")))))))))))),0)</f>
        <v>103</v>
      </c>
      <c r="AI39" s="243">
        <f t="shared" si="29"/>
        <v>0.68666666666666665</v>
      </c>
      <c r="AJ39" s="54">
        <f t="shared" si="34"/>
        <v>35</v>
      </c>
      <c r="AK39" s="68">
        <f>IFERROR(IF($AJ$3="Q1",G39+I39+K39,IF($AJ$3="Q2",M39+O39++Q39,IF($AJ$3="Q3",S39+U39+W39,IF($AJ$3="Q4",Y39+AA39+AC39,0)))),0)</f>
        <v>47</v>
      </c>
      <c r="AL39" s="56">
        <f t="shared" si="30"/>
        <v>1.3428571428571427</v>
      </c>
      <c r="AM39" s="54">
        <f t="shared" si="35"/>
        <v>70</v>
      </c>
      <c r="AN39" s="86">
        <f>IFERROR(IF($AM$3="S 1",G39+I39+K39+M39+O39+Q39,IF($AM$3="S 2",S39+U39+W39+Y39+AA39+AC39,0)),0)</f>
        <v>103</v>
      </c>
      <c r="AO39" s="243">
        <f t="shared" si="31"/>
        <v>1.4714285714285715</v>
      </c>
    </row>
    <row r="40" spans="1:41" s="53" customFormat="1" ht="16" customHeight="1" thickBot="1" x14ac:dyDescent="0.35">
      <c r="B40" s="180" t="s">
        <v>268</v>
      </c>
      <c r="C40" s="62"/>
      <c r="D40" s="80"/>
      <c r="E40" s="265"/>
      <c r="F40" s="63">
        <f>SUM(F35:F39)</f>
        <v>27</v>
      </c>
      <c r="G40" s="264">
        <f t="shared" ref="G40:AC40" si="37">SUM(G35:G39)</f>
        <v>30</v>
      </c>
      <c r="H40" s="63">
        <f t="shared" si="37"/>
        <v>28</v>
      </c>
      <c r="I40" s="264">
        <f t="shared" si="37"/>
        <v>32</v>
      </c>
      <c r="J40" s="63">
        <f t="shared" si="37"/>
        <v>29</v>
      </c>
      <c r="K40" s="264">
        <f t="shared" si="37"/>
        <v>32</v>
      </c>
      <c r="L40" s="63">
        <f t="shared" si="37"/>
        <v>27</v>
      </c>
      <c r="M40" s="264">
        <f t="shared" si="37"/>
        <v>33</v>
      </c>
      <c r="N40" s="63">
        <f t="shared" si="37"/>
        <v>29</v>
      </c>
      <c r="O40" s="264">
        <f t="shared" si="37"/>
        <v>43</v>
      </c>
      <c r="P40" s="63">
        <f t="shared" si="37"/>
        <v>30</v>
      </c>
      <c r="Q40" s="264">
        <f t="shared" si="37"/>
        <v>53</v>
      </c>
      <c r="R40" s="63">
        <f t="shared" si="37"/>
        <v>27</v>
      </c>
      <c r="S40" s="264">
        <f t="shared" si="37"/>
        <v>0</v>
      </c>
      <c r="T40" s="63">
        <f t="shared" si="37"/>
        <v>25</v>
      </c>
      <c r="U40" s="264">
        <f t="shared" si="37"/>
        <v>0</v>
      </c>
      <c r="V40" s="63">
        <f t="shared" si="37"/>
        <v>27</v>
      </c>
      <c r="W40" s="264">
        <f t="shared" si="37"/>
        <v>0</v>
      </c>
      <c r="X40" s="63">
        <f t="shared" si="37"/>
        <v>27</v>
      </c>
      <c r="Y40" s="264">
        <f t="shared" si="37"/>
        <v>0</v>
      </c>
      <c r="Z40" s="63">
        <f t="shared" si="37"/>
        <v>27</v>
      </c>
      <c r="AA40" s="264">
        <f t="shared" si="37"/>
        <v>0</v>
      </c>
      <c r="AB40" s="63">
        <f t="shared" si="37"/>
        <v>28</v>
      </c>
      <c r="AC40" s="264">
        <f t="shared" si="37"/>
        <v>0</v>
      </c>
      <c r="AD40" s="155">
        <f t="shared" si="32"/>
        <v>170</v>
      </c>
      <c r="AE40" s="94">
        <f>IF($AD$2="ENERO",G40,IF($AD$2="FEBRERO",G40+I40,IF($AD$2="MARZO",G40+I40+K40,IF($AD$2="ABRIL",G40+I40+K40+M40,IF($AD$2="MAYO",G40+I40+K40+M40+O40,IF($AD$2="JUNIO",G40+I40+K40+M40+O40+Q40,IF($AD$2="JULIO",G40+I40+K40+M40+O40+Q40+S40,IF($AD$2="AGOSTO",G40+I40+K40+M40+O40+Q40+S40+U40,IF($AD$2="SEPTIEMBRE",G40+I40+K40+M40+O40+Q40+S40+U40+W40,IF($AD$2="OCTUBRE",G40+I40+K40+M40+O40+Q40+S40+U40+W40+Y40,IF($AD$2="NOVIEMBRE",G40+I40+K40+M40+O40+Q40+S40+U40+W40+Y40+AA40,IF($AD$2="DICIEMBRE",G40+I40+K40+M40+O40+Q40+S40+U40+W40+Y40+AA40+AC40,""))))))))))))</f>
        <v>223</v>
      </c>
      <c r="AF40" s="424">
        <f t="shared" si="28"/>
        <v>1.3117647058823529</v>
      </c>
      <c r="AG40" s="155">
        <f t="shared" si="33"/>
        <v>331</v>
      </c>
      <c r="AH40" s="94">
        <f>IF($AD$2="ENERO",G40,IF($AD$2="FEBRERO",G40+I40,IF($AD$2="MARZO",G40+I40+K40,IF($AD$2="ABRIL",G40+I40+K40+M40,IF($AD$2="MAYO",G40+I40+K40+M40+O40,IF($AD$2="JUNIO",G40+I40+K40+M40+O40+Q40,IF($AD$2="JULIO",G40+I40+K40+M40+O40+Q40+S40,IF($AD$2="AGOSTO",G40+I40+K40+M40+O40+Q40+S40+U40,IF($AD$2="SEPTIEMBRE",G40+I40+K40+M40+O40+Q40+S40+U40+W40,IF($AD$2="OCTUBRE",G40+I40+K40+M40+O40+Q40+S40+U40+W40+Y40,IF($AD$2="NOVIEMBRE",G40+I40+K40+M40+O40+Q40+S40+U40+W40+Y40+AA40,IF($AD$2="DICIEMBRE",G40+I40+K40+M40+O40+Q40+S40+U40+W40+Y40+AA40+AC40,""))))))))))))</f>
        <v>223</v>
      </c>
      <c r="AI40" s="424">
        <f t="shared" si="29"/>
        <v>0.6737160120845922</v>
      </c>
      <c r="AJ40" s="63">
        <f t="shared" si="34"/>
        <v>84</v>
      </c>
      <c r="AK40" s="65">
        <f>IF($AJ$3="Q1",G40+I40+K40,IF($AJ$3="Q2",M40+O40++Q40,IF($AJ$3="Q3",S40+U40+W40,IF($AJ$3="Q4",Y40+AA40+AC40,0))))</f>
        <v>94</v>
      </c>
      <c r="AL40" s="66">
        <f t="shared" si="30"/>
        <v>1.1190476190476191</v>
      </c>
      <c r="AM40" s="155">
        <f t="shared" si="35"/>
        <v>170</v>
      </c>
      <c r="AN40" s="94">
        <f>IF($AM$3="S 1",G40+I40+K40+M40+O40+Q40,IF($AM$3="S 2",S40+U40+W40+Y40+AA40+AC40,0))</f>
        <v>223</v>
      </c>
      <c r="AO40" s="424">
        <f t="shared" si="31"/>
        <v>1.3117647058823529</v>
      </c>
    </row>
    <row r="41" spans="1:41" s="53" customFormat="1" ht="16" customHeight="1" x14ac:dyDescent="0.3">
      <c r="A41" s="53">
        <f>_xlfn.XLOOKUP(B41,[8]Pedidos!$C$7:$C$67,[8]Pedidos!$B$7:$B$67)</f>
        <v>7</v>
      </c>
      <c r="B41" s="179">
        <v>100909</v>
      </c>
      <c r="C41" s="381" t="s">
        <v>255</v>
      </c>
      <c r="D41" s="51">
        <v>54468</v>
      </c>
      <c r="E41" s="309" t="s">
        <v>254</v>
      </c>
      <c r="F41" s="304">
        <v>10</v>
      </c>
      <c r="G41" s="55">
        <f>IFERROR(VLOOKUP(B41,[2]RETAIL!$T$8:$AG$63,3,0),0)-IFERROR(IF(B41=100873,VLOOKUP("ENERO",[2]RETAIL!$T$78:$U$91,2,0),0),0)</f>
        <v>6</v>
      </c>
      <c r="H41" s="304">
        <v>10</v>
      </c>
      <c r="I41" s="55">
        <f>IFERROR(VLOOKUP(B41,[2]RETAIL!$T$8:$AG$63,4,0),0)-IFERROR(IF(B41=100873,VLOOKUP("FEBRERO",[2]RETAIL!$T$78:$U$91,2,0),0),0)</f>
        <v>5</v>
      </c>
      <c r="J41" s="304">
        <v>10</v>
      </c>
      <c r="K41" s="55">
        <f>IFERROR(VLOOKUP(B41,[2]RETAIL!$T$8:$AG$63,5,0),0)-IFERROR(IF(B41=100873,VLOOKUP("MARZO",[2]RETAIL!$T$78:$U$91,2,0),0),0)</f>
        <v>7</v>
      </c>
      <c r="L41" s="304">
        <v>10</v>
      </c>
      <c r="M41" s="55">
        <f>IFERROR(VLOOKUP(B41,[2]RETAIL!$T$8:$AG$63,6,0),0)-IFERROR(IF(B41=100873,VLOOKUP("ABRIL",[2]RETAIL!$T$78:$U$91,2,0),0),0)</f>
        <v>13</v>
      </c>
      <c r="N41" s="304">
        <v>10</v>
      </c>
      <c r="O41" s="55">
        <f>IFERROR(VLOOKUP(B41,[2]RETAIL!$T$8:$AG$63,7,0),0)-IFERROR(IF(B41=100873,VLOOKUP("MAYO",[2]RETAIL!$T$78:$U$91,2,0),0),0)</f>
        <v>12</v>
      </c>
      <c r="P41" s="304">
        <v>10</v>
      </c>
      <c r="Q41" s="55">
        <f>IFERROR(VLOOKUP(B41,[2]RETAIL!$T$8:$AG$63,8,0),0)-IFERROR(IF(B41=100873,VLOOKUP("JUNIO",[2]RETAIL!$T$78:$U$91,2,0),0),0)</f>
        <v>12</v>
      </c>
      <c r="R41" s="305"/>
      <c r="S41" s="55">
        <f>IFERROR(VLOOKUP(D41,[2]RETAIL!$T$8:$AG$63,9,0),0)-IFERROR(IF(D41=100873,VLOOKUP("JULIO",[2]RETAIL!$T$78:$U$91,2,0),0),0)</f>
        <v>0</v>
      </c>
      <c r="T41" s="305"/>
      <c r="U41" s="55">
        <f>IFERROR(VLOOKUP(D41,[2]RETAIL!$T$8:$AG$63,10,0),0)-IFERROR(IF(D41=100873,VLOOKUP("AGOSTO",[2]RETAIL!$T$78:$U$91,2,0),0),0)</f>
        <v>0</v>
      </c>
      <c r="V41" s="305"/>
      <c r="W41" s="55">
        <f>IFERROR(VLOOKUP(D41,[2]RETAIL!$T$8:$AG$63,11,0),0)-IFERROR(IF(D41=100873,VLOOKUP("SEPTIEMBRE",[2]RETAIL!$T$78:$U$91,2,0),0),0)</f>
        <v>0</v>
      </c>
      <c r="X41" s="305"/>
      <c r="Y41" s="55">
        <f>IFERROR(VLOOKUP(D41,[2]RETAIL!$T$8:$AG$63,12,0),0)-IFERROR(IF(D41=100873,VLOOKUP("OCTUBRE",[2]RETAIL!$T$78:$U$91,2,0),0),0)</f>
        <v>0</v>
      </c>
      <c r="Z41" s="305"/>
      <c r="AA41" s="55">
        <f>IFERROR(VLOOKUP(D41,[2]RETAIL!$T$8:$AG$63,13,0),0)-IFERROR(IF(D41=100873,VLOOKUP("NOVIEMBRE",[2]RETAIL!$T$78:$U$91,2,0),0),0)</f>
        <v>0</v>
      </c>
      <c r="AB41" s="305"/>
      <c r="AC41" s="55">
        <f>IFERROR(VLOOKUP(D41,[2]RETAIL!$T$8:$AG$63,14,0),0)-IFERROR(IF(D41=100873,VLOOKUP("DICIEMBRE",[2]RETAIL!$T$78:$U$91,2,0),0),0)</f>
        <v>0</v>
      </c>
      <c r="AD41" s="67">
        <f t="shared" si="32"/>
        <v>60</v>
      </c>
      <c r="AE41" s="68">
        <f>IFERROR(IF($AD$2="ENERO",G41,IF($AD$2="FEBRERO",G41+I41,IF($AD$2="MARZO",G41+I41+K41,IF($AD$2="ABRIL",G41+I41+K41+M41,IF($AD$2="MAYO",G41+I41+K41+M41+O41,IF($AD$2="JUNIO",G41+I41+K41+M41+O41+Q41,IF($AD$2="JULIO",G41+I41+K41+M41+O41+Q41+S41,IF($AD$2="AGOSTO",G41+I41+K41+M41+O41+Q41+S41+U41,IF($AD$2="SEPTIEMBRE",G41+I41+K41+M41+O41+Q41+S41+U41+W41,IF($AD$2="OCTUBRE",G41+I41+K41+M41+O41+Q41+S41+U41+W41+Y41,IF($AD$2="NOVIEMBRE",G41+I41+K41+M41+O41+Q41+S41+U41+W41+Y41+AA41,IF($AD$2="DICIEMBRE",G41+I41+K41+M41+O41+Q41+S41+U41+W41+Y41+AA41+AC41,"")))))))))))),0)</f>
        <v>55</v>
      </c>
      <c r="AF41" s="383">
        <f t="shared" si="28"/>
        <v>0.91666666666666663</v>
      </c>
      <c r="AG41" s="67">
        <f t="shared" si="33"/>
        <v>60</v>
      </c>
      <c r="AH41" s="68">
        <f>IFERROR(IF($AD$2="ENERO",G41,IF($AD$2="FEBRERO",G41+I41,IF($AD$2="MARZO",G41+I41+K41,IF($AD$2="ABRIL",G41+I41+K41+M41,IF($AD$2="MAYO",G41+I41+K41+M41+O41,IF($AD$2="JUNIO",G41+I41+K41+M41+O41+Q41,IF($AD$2="JULIO",G41+I41+K41+M41+O41+Q41+S41,IF($AD$2="AGOSTO",G41+I41+K41+M41+O41+Q41+S41+U41,IF($AD$2="SEPTIEMBRE",G41+I41+K41+M41+O41+Q41+S41+U41+W41,IF($AD$2="OCTUBRE",G41+I41+K41+M41+O41+Q41+S41+U41+W41+Y41,IF($AD$2="NOVIEMBRE",G41+I41+K41+M41+O41+Q41+S41+U41+W41+Y41+AA41,IF($AD$2="DICIEMBRE",G41+I41+K41+M41+O41+Q41+S41+U41+W41+Y41+AA41+AC41,"")))))))))))),0)</f>
        <v>55</v>
      </c>
      <c r="AI41" s="383">
        <f t="shared" si="29"/>
        <v>0.91666666666666663</v>
      </c>
      <c r="AJ41" s="67">
        <f t="shared" si="34"/>
        <v>30</v>
      </c>
      <c r="AK41" s="68">
        <f>IFERROR(IF($AJ$3="Q1",G41+I41+K41,IF($AJ$3="Q2",M41+O41++Q41,IF($AJ$3="Q3",S41+U41+W41,IF($AJ$3="Q4",Y41+AA41+AC41,0)))),0)</f>
        <v>18</v>
      </c>
      <c r="AL41" s="69">
        <f t="shared" si="30"/>
        <v>0.6</v>
      </c>
      <c r="AM41" s="67">
        <f t="shared" si="35"/>
        <v>60</v>
      </c>
      <c r="AN41" s="68">
        <f>IFERROR(IF($AM$3="S 1",G41+I41+K41+M41+O41+Q41,IF($AM$3="S 2",S41+U41+W41+Y41+AA41+AC41,0)),0)</f>
        <v>55</v>
      </c>
      <c r="AO41" s="383">
        <f t="shared" si="31"/>
        <v>0.91666666666666663</v>
      </c>
    </row>
    <row r="42" spans="1:41" s="53" customFormat="1" ht="16" customHeight="1" thickBot="1" x14ac:dyDescent="0.35">
      <c r="A42" s="53">
        <f>_xlfn.XLOOKUP(B42,[8]Pedidos!$C$7:$C$67,[8]Pedidos!$B$7:$B$67)</f>
        <v>7</v>
      </c>
      <c r="B42" s="179">
        <v>100572</v>
      </c>
      <c r="C42" s="381" t="s">
        <v>55</v>
      </c>
      <c r="D42" s="51">
        <v>8337</v>
      </c>
      <c r="E42" s="309" t="s">
        <v>274</v>
      </c>
      <c r="F42" s="305">
        <v>22</v>
      </c>
      <c r="G42" s="55">
        <f>IFERROR(VLOOKUP(B42,[2]RETAIL!$T$8:$AG$63,3,0),0)-IFERROR(IF(B42=100873,VLOOKUP("ENERO",[2]RETAIL!$T$78:$U$91,2,0),0),0)</f>
        <v>19</v>
      </c>
      <c r="H42" s="305">
        <v>22</v>
      </c>
      <c r="I42" s="55">
        <f>IFERROR(VLOOKUP(B42,[2]RETAIL!$T$8:$AG$63,4,0),0)-IFERROR(IF(B42=100873,VLOOKUP("FEBRERO",[2]RETAIL!$T$78:$U$91,2,0),0),0)</f>
        <v>29</v>
      </c>
      <c r="J42" s="305">
        <v>23</v>
      </c>
      <c r="K42" s="55">
        <f>IFERROR(VLOOKUP(B42,[2]RETAIL!$T$8:$AG$63,5,0),0)-IFERROR(IF(B42=100873,VLOOKUP("MARZO",[2]RETAIL!$T$78:$U$91,2,0),0),0)</f>
        <v>27</v>
      </c>
      <c r="L42" s="305">
        <v>22</v>
      </c>
      <c r="M42" s="55">
        <f>IFERROR(VLOOKUP(B42,[2]RETAIL!$T$8:$AG$63,6,0),0)-IFERROR(IF(B42=100873,VLOOKUP("ABRIL",[2]RETAIL!$T$78:$U$91,2,0),0),0)</f>
        <v>24</v>
      </c>
      <c r="N42" s="305">
        <v>23</v>
      </c>
      <c r="O42" s="55">
        <f>IFERROR(VLOOKUP(B42,[2]RETAIL!$T$8:$AG$63,7,0),0)-IFERROR(IF(B42=100873,VLOOKUP("MAYO",[2]RETAIL!$T$78:$U$91,2,0),0),0)</f>
        <v>22</v>
      </c>
      <c r="P42" s="305">
        <v>23</v>
      </c>
      <c r="Q42" s="55">
        <f>IFERROR(VLOOKUP(B42,[2]RETAIL!$T$8:$AG$63,8,0),0)-IFERROR(IF(B42=100873,VLOOKUP("JUNIO",[2]RETAIL!$T$78:$U$91,2,0),0),0)</f>
        <v>32</v>
      </c>
      <c r="R42" s="305"/>
      <c r="S42" s="55">
        <f>IFERROR(VLOOKUP(D42,[2]RETAIL!$T$8:$AG$63,9,0),0)-IFERROR(IF(D42=100873,VLOOKUP("JULIO",[2]RETAIL!$T$78:$U$91,2,0),0),0)</f>
        <v>0</v>
      </c>
      <c r="T42" s="305"/>
      <c r="U42" s="55">
        <f>IFERROR(VLOOKUP(D42,[2]RETAIL!$T$8:$AG$63,10,0),0)-IFERROR(IF(D42=100873,VLOOKUP("AGOSTO",[2]RETAIL!$T$78:$U$91,2,0),0),0)</f>
        <v>0</v>
      </c>
      <c r="V42" s="305"/>
      <c r="W42" s="55">
        <f>IFERROR(VLOOKUP(D42,[2]RETAIL!$T$8:$AG$63,11,0),0)-IFERROR(IF(D42=100873,VLOOKUP("SEPTIEMBRE",[2]RETAIL!$T$78:$U$91,2,0),0),0)</f>
        <v>0</v>
      </c>
      <c r="X42" s="305"/>
      <c r="Y42" s="55">
        <f>IFERROR(VLOOKUP(D42,[2]RETAIL!$T$8:$AG$63,12,0),0)-IFERROR(IF(D42=100873,VLOOKUP("OCTUBRE",[2]RETAIL!$T$78:$U$91,2,0),0),0)</f>
        <v>0</v>
      </c>
      <c r="Z42" s="305"/>
      <c r="AA42" s="55">
        <f>IFERROR(VLOOKUP(D42,[2]RETAIL!$T$8:$AG$63,13,0),0)-IFERROR(IF(D42=100873,VLOOKUP("NOVIEMBRE",[2]RETAIL!$T$78:$U$91,2,0),0),0)</f>
        <v>0</v>
      </c>
      <c r="AB42" s="305"/>
      <c r="AC42" s="55">
        <f>IFERROR(VLOOKUP(D42,[2]RETAIL!$T$8:$AG$63,14,0),0)-IFERROR(IF(D42=100873,VLOOKUP("DICIEMBRE",[2]RETAIL!$T$78:$U$91,2,0),0),0)</f>
        <v>0</v>
      </c>
      <c r="AD42" s="54">
        <f t="shared" si="32"/>
        <v>135</v>
      </c>
      <c r="AE42" s="86">
        <f>IFERROR(IF($AD$2="ENERO",G42,IF($AD$2="FEBRERO",G42+I42,IF($AD$2="MARZO",G42+I42+K42,IF($AD$2="ABRIL",G42+I42+K42+M42,IF($AD$2="MAYO",G42+I42+K42+M42+O42,IF($AD$2="JUNIO",G42+I42+K42+M42+O42+Q42,IF($AD$2="JULIO",G42+I42+K42+M42+O42+Q42+S42,IF($AD$2="AGOSTO",G42+I42+K42+M42+O42+Q42+S42+U42,IF($AD$2="SEPTIEMBRE",G42+I42+K42+M42+O42+Q42+S42+U42+W42,IF($AD$2="OCTUBRE",G42+I42+K42+M42+O42+Q42+S42+U42+W42+Y42,IF($AD$2="NOVIEMBRE",G42+I42+K42+M42+O42+Q42+S42+U42+W42+Y42+AA42,IF($AD$2="DICIEMBRE",G42+I42+K42+M42+O42+Q42+S42+U42+W42+Y42+AA42+AC42,"")))))))))))),0)</f>
        <v>153</v>
      </c>
      <c r="AF42" s="243">
        <f t="shared" si="28"/>
        <v>1.1333333333333333</v>
      </c>
      <c r="AG42" s="54">
        <f t="shared" si="33"/>
        <v>135</v>
      </c>
      <c r="AH42" s="86">
        <f>IFERROR(IF($AD$2="ENERO",G42,IF($AD$2="FEBRERO",G42+I42,IF($AD$2="MARZO",G42+I42+K42,IF($AD$2="ABRIL",G42+I42+K42+M42,IF($AD$2="MAYO",G42+I42+K42+M42+O42,IF($AD$2="JUNIO",G42+I42+K42+M42+O42+Q42,IF($AD$2="JULIO",G42+I42+K42+M42+O42+Q42+S42,IF($AD$2="AGOSTO",G42+I42+K42+M42+O42+Q42+S42+U42,IF($AD$2="SEPTIEMBRE",G42+I42+K42+M42+O42+Q42+S42+U42+W42,IF($AD$2="OCTUBRE",G42+I42+K42+M42+O42+Q42+S42+U42+W42+Y42,IF($AD$2="NOVIEMBRE",G42+I42+K42+M42+O42+Q42+S42+U42+W42+Y42+AA42,IF($AD$2="DICIEMBRE",G42+I42+K42+M42+O42+Q42+S42+U42+W42+Y42+AA42+AC42,"")))))))))))),0)</f>
        <v>153</v>
      </c>
      <c r="AI42" s="243">
        <f t="shared" si="29"/>
        <v>1.1333333333333333</v>
      </c>
      <c r="AJ42" s="54">
        <f t="shared" si="34"/>
        <v>67</v>
      </c>
      <c r="AK42" s="68">
        <f>IFERROR(IF($AJ$3="Q1",G42+I42+K42,IF($AJ$3="Q2",M42+O42++Q42,IF($AJ$3="Q3",S42+U42+W42,IF($AJ$3="Q4",Y42+AA42+AC42,0)))),0)</f>
        <v>75</v>
      </c>
      <c r="AL42" s="56">
        <f t="shared" si="30"/>
        <v>1.1194029850746268</v>
      </c>
      <c r="AM42" s="54">
        <f t="shared" si="35"/>
        <v>135</v>
      </c>
      <c r="AN42" s="86">
        <f>IFERROR(IF($AM$3="S 1",G42+I42+K42+M42+O42+Q42,IF($AM$3="S 2",S42+U42+W42+Y42+AA42+AC42,0)),0)</f>
        <v>153</v>
      </c>
      <c r="AO42" s="243">
        <f t="shared" si="31"/>
        <v>1.1333333333333333</v>
      </c>
    </row>
    <row r="43" spans="1:41" s="53" customFormat="1" ht="16" customHeight="1" thickBot="1" x14ac:dyDescent="0.35">
      <c r="B43" s="180" t="s">
        <v>269</v>
      </c>
      <c r="C43" s="62"/>
      <c r="D43" s="80"/>
      <c r="E43" s="265"/>
      <c r="F43" s="63">
        <f t="shared" ref="F43:AC43" si="38">SUM(F41:F42)</f>
        <v>32</v>
      </c>
      <c r="G43" s="264">
        <f t="shared" si="38"/>
        <v>25</v>
      </c>
      <c r="H43" s="63">
        <f t="shared" si="38"/>
        <v>32</v>
      </c>
      <c r="I43" s="264">
        <f t="shared" si="38"/>
        <v>34</v>
      </c>
      <c r="J43" s="63">
        <f t="shared" si="38"/>
        <v>33</v>
      </c>
      <c r="K43" s="264">
        <f t="shared" si="38"/>
        <v>34</v>
      </c>
      <c r="L43" s="63">
        <f t="shared" si="38"/>
        <v>32</v>
      </c>
      <c r="M43" s="264">
        <f t="shared" si="38"/>
        <v>37</v>
      </c>
      <c r="N43" s="63">
        <f t="shared" si="38"/>
        <v>33</v>
      </c>
      <c r="O43" s="264">
        <f t="shared" si="38"/>
        <v>34</v>
      </c>
      <c r="P43" s="63">
        <f t="shared" si="38"/>
        <v>33</v>
      </c>
      <c r="Q43" s="264">
        <f t="shared" si="38"/>
        <v>44</v>
      </c>
      <c r="R43" s="63">
        <f t="shared" si="38"/>
        <v>0</v>
      </c>
      <c r="S43" s="264">
        <f t="shared" si="38"/>
        <v>0</v>
      </c>
      <c r="T43" s="63">
        <f t="shared" si="38"/>
        <v>0</v>
      </c>
      <c r="U43" s="264">
        <f t="shared" si="38"/>
        <v>0</v>
      </c>
      <c r="V43" s="63">
        <f t="shared" si="38"/>
        <v>0</v>
      </c>
      <c r="W43" s="264">
        <f t="shared" si="38"/>
        <v>0</v>
      </c>
      <c r="X43" s="63">
        <f t="shared" si="38"/>
        <v>0</v>
      </c>
      <c r="Y43" s="264">
        <f t="shared" si="38"/>
        <v>0</v>
      </c>
      <c r="Z43" s="63">
        <f t="shared" si="38"/>
        <v>0</v>
      </c>
      <c r="AA43" s="264">
        <f t="shared" si="38"/>
        <v>0</v>
      </c>
      <c r="AB43" s="63">
        <f t="shared" si="38"/>
        <v>0</v>
      </c>
      <c r="AC43" s="264">
        <f t="shared" si="38"/>
        <v>0</v>
      </c>
      <c r="AD43" s="155">
        <f t="shared" si="32"/>
        <v>195</v>
      </c>
      <c r="AE43" s="94">
        <f>IF($AD$2="ENERO",G43,IF($AD$2="FEBRERO",G43+I43,IF($AD$2="MARZO",G43+I43+K43,IF($AD$2="ABRIL",G43+I43+K43+M43,IF($AD$2="MAYO",G43+I43+K43+M43+O43,IF($AD$2="JUNIO",G43+I43+K43+M43+O43+Q43,IF($AD$2="JULIO",G43+I43+K43+M43+O43+Q43+S43,IF($AD$2="AGOSTO",G43+I43+K43+M43+O43+Q43+S43+U43,IF($AD$2="SEPTIEMBRE",G43+I43+K43+M43+O43+Q43+S43+U43+W43,IF($AD$2="OCTUBRE",G43+I43+K43+M43+O43+Q43+S43+U43+W43+Y43,IF($AD$2="NOVIEMBRE",G43+I43+K43+M43+O43+Q43+S43+U43+W43+Y43+AA43,IF($AD$2="DICIEMBRE",G43+I43+K43+M43+O43+Q43+S43+U43+W43+Y43+AA43+AC43,""))))))))))))</f>
        <v>208</v>
      </c>
      <c r="AF43" s="424">
        <f t="shared" si="28"/>
        <v>1.0666666666666667</v>
      </c>
      <c r="AG43" s="155">
        <f t="shared" si="33"/>
        <v>195</v>
      </c>
      <c r="AH43" s="94">
        <f>IF($AD$2="ENERO",G43,IF($AD$2="FEBRERO",G43+I43,IF($AD$2="MARZO",G43+I43+K43,IF($AD$2="ABRIL",G43+I43+K43+M43,IF($AD$2="MAYO",G43+I43+K43+M43+O43,IF($AD$2="JUNIO",G43+I43+K43+M43+O43+Q43,IF($AD$2="JULIO",G43+I43+K43+M43+O43+Q43+S43,IF($AD$2="AGOSTO",G43+I43+K43+M43+O43+Q43+S43+U43,IF($AD$2="SEPTIEMBRE",G43+I43+K43+M43+O43+Q43+S43+U43+W43,IF($AD$2="OCTUBRE",G43+I43+K43+M43+O43+Q43+S43+U43+W43+Y43,IF($AD$2="NOVIEMBRE",G43+I43+K43+M43+O43+Q43+S43+U43+W43+Y43+AA43,IF($AD$2="DICIEMBRE",G43+I43+K43+M43+O43+Q43+S43+U43+W43+Y43+AA43+AC43,""))))))))))))</f>
        <v>208</v>
      </c>
      <c r="AI43" s="424">
        <f t="shared" si="29"/>
        <v>1.0666666666666667</v>
      </c>
      <c r="AJ43" s="63">
        <f t="shared" si="34"/>
        <v>97</v>
      </c>
      <c r="AK43" s="65">
        <f>IF($AJ$3="Q1",G43+I43+K43,IF($AJ$3="Q2",M43+O43++Q43,IF($AJ$3="Q3",S43+U43+W43,IF($AJ$3="Q4",Y43+AA43+AC43,0))))</f>
        <v>93</v>
      </c>
      <c r="AL43" s="66">
        <f t="shared" si="30"/>
        <v>0.95876288659793818</v>
      </c>
      <c r="AM43" s="155">
        <f t="shared" si="35"/>
        <v>195</v>
      </c>
      <c r="AN43" s="94">
        <f>IF($AM$3="S 1",G43+I43+K43+M43+O43+Q43,IF($AM$3="S 2",S43+U43+W43+Y43+AA43+AC43,0))</f>
        <v>208</v>
      </c>
      <c r="AO43" s="424">
        <f t="shared" si="31"/>
        <v>1.0666666666666667</v>
      </c>
    </row>
    <row r="44" spans="1:41" s="53" customFormat="1" ht="16" customHeight="1" x14ac:dyDescent="0.3">
      <c r="A44" s="53">
        <f>_xlfn.XLOOKUP(B44,[8]Pedidos!$C$7:$C$67,[8]Pedidos!$B$7:$B$67)</f>
        <v>8</v>
      </c>
      <c r="B44" s="179">
        <v>100002</v>
      </c>
      <c r="C44" s="381" t="s">
        <v>61</v>
      </c>
      <c r="D44" s="51">
        <v>1357</v>
      </c>
      <c r="E44" s="309" t="s">
        <v>96</v>
      </c>
      <c r="F44" s="305">
        <v>7</v>
      </c>
      <c r="G44" s="55">
        <f>IFERROR(VLOOKUP(B44,[2]RETAIL!$T$8:$AG$63,3,0),0)-IFERROR(IF(B44=100873,VLOOKUP("ENERO",[2]RETAIL!$T$78:$U$91,2,0),0),0)</f>
        <v>7</v>
      </c>
      <c r="H44" s="305">
        <v>7</v>
      </c>
      <c r="I44" s="55">
        <f>IFERROR(VLOOKUP(B44,[2]RETAIL!$T$8:$AG$63,4,0),0)-IFERROR(IF(B44=100873,VLOOKUP("FEBRERO",[2]RETAIL!$T$78:$U$91,2,0),0),0)</f>
        <v>12</v>
      </c>
      <c r="J44" s="305">
        <v>7</v>
      </c>
      <c r="K44" s="55">
        <f>IFERROR(VLOOKUP(B44,[2]RETAIL!$T$8:$AG$63,5,0),0)-IFERROR(IF(B44=100873,VLOOKUP("MARZO",[2]RETAIL!$T$78:$U$91,2,0),0),0)</f>
        <v>13</v>
      </c>
      <c r="L44" s="305">
        <v>7</v>
      </c>
      <c r="M44" s="55">
        <f>IFERROR(VLOOKUP(B44,[2]RETAIL!$T$8:$AG$63,6,0),0)-IFERROR(IF(B44=100873,VLOOKUP("ABRIL",[2]RETAIL!$T$78:$U$91,2,0),0),0)</f>
        <v>7</v>
      </c>
      <c r="N44" s="305">
        <v>7</v>
      </c>
      <c r="O44" s="55">
        <f>IFERROR(VLOOKUP(B44,[2]RETAIL!$T$8:$AG$63,7,0),0)-IFERROR(IF(B44=100873,VLOOKUP("MAYO",[2]RETAIL!$T$78:$U$91,2,0),0),0)</f>
        <v>5</v>
      </c>
      <c r="P44" s="305">
        <v>7</v>
      </c>
      <c r="Q44" s="55">
        <f>IFERROR(VLOOKUP(B44,[2]RETAIL!$T$8:$AG$63,8,0),0)-IFERROR(IF(B44=100873,VLOOKUP("JUNIO",[2]RETAIL!$T$78:$U$91,2,0),0),0)</f>
        <v>8</v>
      </c>
      <c r="R44" s="305"/>
      <c r="S44" s="55">
        <f>IFERROR(VLOOKUP(D44,[2]RETAIL!$T$8:$AG$63,9,0),0)-IFERROR(IF(D44=100873,VLOOKUP("JULIO",[2]RETAIL!$T$78:$U$91,2,0),0),0)</f>
        <v>0</v>
      </c>
      <c r="T44" s="305"/>
      <c r="U44" s="55">
        <f>IFERROR(VLOOKUP(D44,[2]RETAIL!$T$8:$AG$63,10,0),0)-IFERROR(IF(D44=100873,VLOOKUP("AGOSTO",[2]RETAIL!$T$78:$U$91,2,0),0),0)</f>
        <v>0</v>
      </c>
      <c r="V44" s="305"/>
      <c r="W44" s="55">
        <f>IFERROR(VLOOKUP(D44,[2]RETAIL!$T$8:$AG$63,11,0),0)-IFERROR(IF(D44=100873,VLOOKUP("SEPTIEMBRE",[2]RETAIL!$T$78:$U$91,2,0),0),0)</f>
        <v>0</v>
      </c>
      <c r="X44" s="305"/>
      <c r="Y44" s="55">
        <f>IFERROR(VLOOKUP(D44,[2]RETAIL!$T$8:$AG$63,12,0),0)-IFERROR(IF(D44=100873,VLOOKUP("OCTUBRE",[2]RETAIL!$T$78:$U$91,2,0),0),0)</f>
        <v>0</v>
      </c>
      <c r="Z44" s="305"/>
      <c r="AA44" s="55">
        <f>IFERROR(VLOOKUP(D44,[2]RETAIL!$T$8:$AG$63,13,0),0)-IFERROR(IF(D44=100873,VLOOKUP("NOVIEMBRE",[2]RETAIL!$T$78:$U$91,2,0),0),0)</f>
        <v>0</v>
      </c>
      <c r="AB44" s="305"/>
      <c r="AC44" s="55">
        <f>IFERROR(VLOOKUP(D44,[2]RETAIL!$T$8:$AG$63,14,0),0)-IFERROR(IF(D44=100873,VLOOKUP("DICIEMBRE",[2]RETAIL!$T$78:$U$91,2,0),0),0)</f>
        <v>0</v>
      </c>
      <c r="AD44" s="67">
        <f t="shared" si="32"/>
        <v>42</v>
      </c>
      <c r="AE44" s="68">
        <f>IFERROR(IF($AD$2="ENERO",G44,IF($AD$2="FEBRERO",G44+I44,IF($AD$2="MARZO",G44+I44+K44,IF($AD$2="ABRIL",G44+I44+K44+M44,IF($AD$2="MAYO",G44+I44+K44+M44+O44,IF($AD$2="JUNIO",G44+I44+K44+M44+O44+Q44,IF($AD$2="JULIO",G44+I44+K44+M44+O44+Q44+S44,IF($AD$2="AGOSTO",G44+I44+K44+M44+O44+Q44+S44+U44,IF($AD$2="SEPTIEMBRE",G44+I44+K44+M44+O44+Q44+S44+U44+W44,IF($AD$2="OCTUBRE",G44+I44+K44+M44+O44+Q44+S44+U44+W44+Y44,IF($AD$2="NOVIEMBRE",G44+I44+K44+M44+O44+Q44+S44+U44+W44+Y44+AA44,IF($AD$2="DICIEMBRE",G44+I44+K44+M44+O44+Q44+S44+U44+W44+Y44+AA44+AC44,"")))))))))))),0)</f>
        <v>52</v>
      </c>
      <c r="AF44" s="383">
        <f t="shared" si="28"/>
        <v>1.2380952380952381</v>
      </c>
      <c r="AG44" s="67">
        <f t="shared" si="33"/>
        <v>42</v>
      </c>
      <c r="AH44" s="68">
        <f>IFERROR(IF($AD$2="ENERO",G44,IF($AD$2="FEBRERO",G44+I44,IF($AD$2="MARZO",G44+I44+K44,IF($AD$2="ABRIL",G44+I44+K44+M44,IF($AD$2="MAYO",G44+I44+K44+M44+O44,IF($AD$2="JUNIO",G44+I44+K44+M44+O44+Q44,IF($AD$2="JULIO",G44+I44+K44+M44+O44+Q44+S44,IF($AD$2="AGOSTO",G44+I44+K44+M44+O44+Q44+S44+U44,IF($AD$2="SEPTIEMBRE",G44+I44+K44+M44+O44+Q44+S44+U44+W44,IF($AD$2="OCTUBRE",G44+I44+K44+M44+O44+Q44+S44+U44+W44+Y44,IF($AD$2="NOVIEMBRE",G44+I44+K44+M44+O44+Q44+S44+U44+W44+Y44+AA44,IF($AD$2="DICIEMBRE",G44+I44+K44+M44+O44+Q44+S44+U44+W44+Y44+AA44+AC44,"")))))))))))),0)</f>
        <v>52</v>
      </c>
      <c r="AI44" s="383">
        <f t="shared" si="29"/>
        <v>1.2380952380952381</v>
      </c>
      <c r="AJ44" s="67">
        <f t="shared" si="34"/>
        <v>21</v>
      </c>
      <c r="AK44" s="68">
        <f>IFERROR(IF($AJ$3="Q1",G44+I44+K44,IF($AJ$3="Q2",M44+O44++Q44,IF($AJ$3="Q3",S44+U44+W44,IF($AJ$3="Q4",Y44+AA44+AC44,0)))),0)</f>
        <v>32</v>
      </c>
      <c r="AL44" s="69">
        <f t="shared" si="30"/>
        <v>1.5238095238095237</v>
      </c>
      <c r="AM44" s="67">
        <f t="shared" si="35"/>
        <v>42</v>
      </c>
      <c r="AN44" s="68">
        <f>IFERROR(IF($AM$3="S 1",G44+I44+K44+M44+O44+Q44,IF($AM$3="S 2",S44+U44+W44+Y44+AA44+AC44,0)),0)</f>
        <v>52</v>
      </c>
      <c r="AO44" s="383">
        <f t="shared" si="31"/>
        <v>1.2380952380952381</v>
      </c>
    </row>
    <row r="45" spans="1:41" s="53" customFormat="1" ht="16" customHeight="1" x14ac:dyDescent="0.3">
      <c r="A45" s="53">
        <f>_xlfn.XLOOKUP(B45,[8]Pedidos!$C$7:$C$67,[8]Pedidos!$B$7:$B$67)</f>
        <v>8</v>
      </c>
      <c r="B45" s="179">
        <v>100062</v>
      </c>
      <c r="C45" s="381" t="s">
        <v>62</v>
      </c>
      <c r="D45" s="51">
        <v>9911</v>
      </c>
      <c r="E45" s="309" t="s">
        <v>97</v>
      </c>
      <c r="F45" s="305">
        <v>9</v>
      </c>
      <c r="G45" s="55">
        <f>IFERROR(VLOOKUP(B45,[2]RETAIL!$T$8:$AG$63,3,0),0)-IFERROR(IF(B45=100873,VLOOKUP("ENERO",[2]RETAIL!$T$78:$U$91,2,0),0),0)</f>
        <v>5</v>
      </c>
      <c r="H45" s="305">
        <v>9</v>
      </c>
      <c r="I45" s="55">
        <f>IFERROR(VLOOKUP(B45,[2]RETAIL!$T$8:$AG$63,4,0),0)-IFERROR(IF(B45=100873,VLOOKUP("FEBRERO",[2]RETAIL!$T$78:$U$91,2,0),0),0)</f>
        <v>15</v>
      </c>
      <c r="J45" s="305">
        <v>9</v>
      </c>
      <c r="K45" s="55">
        <f>IFERROR(VLOOKUP(B45,[2]RETAIL!$T$8:$AG$63,5,0),0)-IFERROR(IF(B45=100873,VLOOKUP("MARZO",[2]RETAIL!$T$78:$U$91,2,0),0),0)</f>
        <v>11</v>
      </c>
      <c r="L45" s="305">
        <v>9</v>
      </c>
      <c r="M45" s="55">
        <f>IFERROR(VLOOKUP(B45,[2]RETAIL!$T$8:$AG$63,6,0),0)-IFERROR(IF(B45=100873,VLOOKUP("ABRIL",[2]RETAIL!$T$78:$U$91,2,0),0),0)</f>
        <v>11</v>
      </c>
      <c r="N45" s="305">
        <v>9</v>
      </c>
      <c r="O45" s="55">
        <f>IFERROR(VLOOKUP(B45,[2]RETAIL!$T$8:$AG$63,7,0),0)-IFERROR(IF(B45=100873,VLOOKUP("MAYO",[2]RETAIL!$T$78:$U$91,2,0),0),0)</f>
        <v>20</v>
      </c>
      <c r="P45" s="305">
        <v>10</v>
      </c>
      <c r="Q45" s="55">
        <f>IFERROR(VLOOKUP(B45,[2]RETAIL!$T$8:$AG$63,8,0),0)-IFERROR(IF(B45=100873,VLOOKUP("JUNIO",[2]RETAIL!$T$78:$U$91,2,0),0),0)</f>
        <v>16</v>
      </c>
      <c r="R45" s="305"/>
      <c r="S45" s="55">
        <f>IFERROR(VLOOKUP(D45,[2]RETAIL!$T$8:$AG$63,9,0),0)-IFERROR(IF(D45=100873,VLOOKUP("JULIO",[2]RETAIL!$T$78:$U$91,2,0),0),0)</f>
        <v>0</v>
      </c>
      <c r="T45" s="305"/>
      <c r="U45" s="55">
        <f>IFERROR(VLOOKUP(D45,[2]RETAIL!$T$8:$AG$63,10,0),0)-IFERROR(IF(D45=100873,VLOOKUP("AGOSTO",[2]RETAIL!$T$78:$U$91,2,0),0),0)</f>
        <v>0</v>
      </c>
      <c r="V45" s="305"/>
      <c r="W45" s="55">
        <f>IFERROR(VLOOKUP(D45,[2]RETAIL!$T$8:$AG$63,11,0),0)-IFERROR(IF(D45=100873,VLOOKUP("SEPTIEMBRE",[2]RETAIL!$T$78:$U$91,2,0),0),0)</f>
        <v>0</v>
      </c>
      <c r="X45" s="305"/>
      <c r="Y45" s="55">
        <f>IFERROR(VLOOKUP(D45,[2]RETAIL!$T$8:$AG$63,12,0),0)-IFERROR(IF(D45=100873,VLOOKUP("OCTUBRE",[2]RETAIL!$T$78:$U$91,2,0),0),0)</f>
        <v>0</v>
      </c>
      <c r="Z45" s="305"/>
      <c r="AA45" s="55">
        <f>IFERROR(VLOOKUP(D45,[2]RETAIL!$T$8:$AG$63,13,0),0)-IFERROR(IF(D45=100873,VLOOKUP("NOVIEMBRE",[2]RETAIL!$T$78:$U$91,2,0),0),0)</f>
        <v>0</v>
      </c>
      <c r="AB45" s="305"/>
      <c r="AC45" s="55">
        <f>IFERROR(VLOOKUP(D45,[2]RETAIL!$T$8:$AG$63,14,0),0)-IFERROR(IF(D45=100873,VLOOKUP("DICIEMBRE",[2]RETAIL!$T$78:$U$91,2,0),0),0)</f>
        <v>0</v>
      </c>
      <c r="AD45" s="54">
        <f t="shared" si="32"/>
        <v>55</v>
      </c>
      <c r="AE45" s="86">
        <f>IFERROR(IF($AD$2="ENERO",G45,IF($AD$2="FEBRERO",G45+I45,IF($AD$2="MARZO",G45+I45+K45,IF($AD$2="ABRIL",G45+I45+K45+M45,IF($AD$2="MAYO",G45+I45+K45+M45+O45,IF($AD$2="JUNIO",G45+I45+K45+M45+O45+Q45,IF($AD$2="JULIO",G45+I45+K45+M45+O45+Q45+S45,IF($AD$2="AGOSTO",G45+I45+K45+M45+O45+Q45+S45+U45,IF($AD$2="SEPTIEMBRE",G45+I45+K45+M45+O45+Q45+S45+U45+W45,IF($AD$2="OCTUBRE",G45+I45+K45+M45+O45+Q45+S45+U45+W45+Y45,IF($AD$2="NOVIEMBRE",G45+I45+K45+M45+O45+Q45+S45+U45+W45+Y45+AA45,IF($AD$2="DICIEMBRE",G45+I45+K45+M45+O45+Q45+S45+U45+W45+Y45+AA45+AC45,"")))))))))))),0)</f>
        <v>78</v>
      </c>
      <c r="AF45" s="243">
        <f t="shared" si="28"/>
        <v>1.4181818181818182</v>
      </c>
      <c r="AG45" s="54">
        <f t="shared" si="33"/>
        <v>55</v>
      </c>
      <c r="AH45" s="86">
        <f>IFERROR(IF($AD$2="ENERO",G45,IF($AD$2="FEBRERO",G45+I45,IF($AD$2="MARZO",G45+I45+K45,IF($AD$2="ABRIL",G45+I45+K45+M45,IF($AD$2="MAYO",G45+I45+K45+M45+O45,IF($AD$2="JUNIO",G45+I45+K45+M45+O45+Q45,IF($AD$2="JULIO",G45+I45+K45+M45+O45+Q45+S45,IF($AD$2="AGOSTO",G45+I45+K45+M45+O45+Q45+S45+U45,IF($AD$2="SEPTIEMBRE",G45+I45+K45+M45+O45+Q45+S45+U45+W45,IF($AD$2="OCTUBRE",G45+I45+K45+M45+O45+Q45+S45+U45+W45+Y45,IF($AD$2="NOVIEMBRE",G45+I45+K45+M45+O45+Q45+S45+U45+W45+Y45+AA45,IF($AD$2="DICIEMBRE",G45+I45+K45+M45+O45+Q45+S45+U45+W45+Y45+AA45+AC45,"")))))))))))),0)</f>
        <v>78</v>
      </c>
      <c r="AI45" s="243">
        <f t="shared" si="29"/>
        <v>1.4181818181818182</v>
      </c>
      <c r="AJ45" s="54">
        <f t="shared" si="34"/>
        <v>27</v>
      </c>
      <c r="AK45" s="68">
        <f>IFERROR(IF($AJ$3="Q1",G45+I45+K45,IF($AJ$3="Q2",M45+O45++Q45,IF($AJ$3="Q3",S45+U45+W45,IF($AJ$3="Q4",Y45+AA45+AC45,0)))),0)</f>
        <v>31</v>
      </c>
      <c r="AL45" s="56">
        <f t="shared" si="30"/>
        <v>1.1481481481481481</v>
      </c>
      <c r="AM45" s="54">
        <f t="shared" si="35"/>
        <v>55</v>
      </c>
      <c r="AN45" s="86">
        <f>IFERROR(IF($AM$3="S 1",G45+I45+K45+M45+O45+Q45,IF($AM$3="S 2",S45+U45+W45+Y45+AA45+AC45,0)),0)</f>
        <v>78</v>
      </c>
      <c r="AO45" s="243">
        <f t="shared" si="31"/>
        <v>1.4181818181818182</v>
      </c>
    </row>
    <row r="46" spans="1:41" s="53" customFormat="1" ht="16" customHeight="1" x14ac:dyDescent="0.3">
      <c r="A46" s="53">
        <f>_xlfn.XLOOKUP(B46,[8]Pedidos!$C$7:$C$67,[8]Pedidos!$B$7:$B$67)</f>
        <v>8</v>
      </c>
      <c r="B46" s="179">
        <v>100206</v>
      </c>
      <c r="C46" s="381" t="s">
        <v>63</v>
      </c>
      <c r="D46" s="51">
        <v>9911</v>
      </c>
      <c r="E46" s="309" t="s">
        <v>97</v>
      </c>
      <c r="F46" s="305">
        <v>8</v>
      </c>
      <c r="G46" s="55">
        <f>IFERROR(VLOOKUP(B46,[2]RETAIL!$T$8:$AG$63,3,0),0)-IFERROR(IF(B46=100873,VLOOKUP("ENERO",[2]RETAIL!$T$78:$U$91,2,0),0),0)</f>
        <v>7</v>
      </c>
      <c r="H46" s="305">
        <v>9</v>
      </c>
      <c r="I46" s="55">
        <f>IFERROR(VLOOKUP(B46,[2]RETAIL!$T$8:$AG$63,4,0),0)-IFERROR(IF(B46=100873,VLOOKUP("FEBRERO",[2]RETAIL!$T$78:$U$91,2,0),0),0)</f>
        <v>7</v>
      </c>
      <c r="J46" s="305">
        <v>9</v>
      </c>
      <c r="K46" s="55">
        <f>IFERROR(VLOOKUP(B46,[2]RETAIL!$T$8:$AG$63,5,0),0)-IFERROR(IF(B46=100873,VLOOKUP("MARZO",[2]RETAIL!$T$78:$U$91,2,0),0),0)</f>
        <v>7</v>
      </c>
      <c r="L46" s="305">
        <v>8</v>
      </c>
      <c r="M46" s="55">
        <f>IFERROR(VLOOKUP(B46,[2]RETAIL!$T$8:$AG$63,6,0),0)-IFERROR(IF(B46=100873,VLOOKUP("ABRIL",[2]RETAIL!$T$78:$U$91,2,0),0),0)</f>
        <v>2</v>
      </c>
      <c r="N46" s="305">
        <v>9</v>
      </c>
      <c r="O46" s="55">
        <f>IFERROR(VLOOKUP(B46,[2]RETAIL!$T$8:$AG$63,7,0),0)-IFERROR(IF(B46=100873,VLOOKUP("MAYO",[2]RETAIL!$T$78:$U$91,2,0),0),0)</f>
        <v>11</v>
      </c>
      <c r="P46" s="305">
        <v>9</v>
      </c>
      <c r="Q46" s="55">
        <f>IFERROR(VLOOKUP(B46,[2]RETAIL!$T$8:$AG$63,8,0),0)-IFERROR(IF(B46=100873,VLOOKUP("JUNIO",[2]RETAIL!$T$78:$U$91,2,0),0),0)</f>
        <v>19</v>
      </c>
      <c r="R46" s="305"/>
      <c r="S46" s="55">
        <f>IFERROR(VLOOKUP(D46,[2]RETAIL!$T$8:$AG$63,9,0),0)-IFERROR(IF(D46=100873,VLOOKUP("JULIO",[2]RETAIL!$T$78:$U$91,2,0),0),0)</f>
        <v>0</v>
      </c>
      <c r="T46" s="305"/>
      <c r="U46" s="55">
        <f>IFERROR(VLOOKUP(D46,[2]RETAIL!$T$8:$AG$63,10,0),0)-IFERROR(IF(D46=100873,VLOOKUP("AGOSTO",[2]RETAIL!$T$78:$U$91,2,0),0),0)</f>
        <v>0</v>
      </c>
      <c r="V46" s="305"/>
      <c r="W46" s="55">
        <f>IFERROR(VLOOKUP(D46,[2]RETAIL!$T$8:$AG$63,11,0),0)-IFERROR(IF(D46=100873,VLOOKUP("SEPTIEMBRE",[2]RETAIL!$T$78:$U$91,2,0),0),0)</f>
        <v>0</v>
      </c>
      <c r="X46" s="305"/>
      <c r="Y46" s="55">
        <f>IFERROR(VLOOKUP(D46,[2]RETAIL!$T$8:$AG$63,12,0),0)-IFERROR(IF(D46=100873,VLOOKUP("OCTUBRE",[2]RETAIL!$T$78:$U$91,2,0),0),0)</f>
        <v>0</v>
      </c>
      <c r="Z46" s="305"/>
      <c r="AA46" s="55">
        <f>IFERROR(VLOOKUP(D46,[2]RETAIL!$T$8:$AG$63,13,0),0)-IFERROR(IF(D46=100873,VLOOKUP("NOVIEMBRE",[2]RETAIL!$T$78:$U$91,2,0),0),0)</f>
        <v>0</v>
      </c>
      <c r="AB46" s="305"/>
      <c r="AC46" s="55">
        <f>IFERROR(VLOOKUP(D46,[2]RETAIL!$T$8:$AG$63,14,0),0)-IFERROR(IF(D46=100873,VLOOKUP("DICIEMBRE",[2]RETAIL!$T$78:$U$91,2,0),0),0)</f>
        <v>0</v>
      </c>
      <c r="AD46" s="54">
        <f t="shared" si="32"/>
        <v>52</v>
      </c>
      <c r="AE46" s="86">
        <f>IFERROR(IF($AD$2="ENERO",G46,IF($AD$2="FEBRERO",G46+I46,IF($AD$2="MARZO",G46+I46+K46,IF($AD$2="ABRIL",G46+I46+K46+M46,IF($AD$2="MAYO",G46+I46+K46+M46+O46,IF($AD$2="JUNIO",G46+I46+K46+M46+O46+Q46,IF($AD$2="JULIO",G46+I46+K46+M46+O46+Q46+S46,IF($AD$2="AGOSTO",G46+I46+K46+M46+O46+Q46+S46+U46,IF($AD$2="SEPTIEMBRE",G46+I46+K46+M46+O46+Q46+S46+U46+W46,IF($AD$2="OCTUBRE",G46+I46+K46+M46+O46+Q46+S46+U46+W46+Y46,IF($AD$2="NOVIEMBRE",G46+I46+K46+M46+O46+Q46+S46+U46+W46+Y46+AA46,IF($AD$2="DICIEMBRE",G46+I46+K46+M46+O46+Q46+S46+U46+W46+Y46+AA46+AC46,"")))))))))))),0)</f>
        <v>53</v>
      </c>
      <c r="AF46" s="243">
        <f t="shared" si="28"/>
        <v>1.0192307692307692</v>
      </c>
      <c r="AG46" s="54">
        <f t="shared" si="33"/>
        <v>52</v>
      </c>
      <c r="AH46" s="86">
        <f>IFERROR(IF($AD$2="ENERO",G46,IF($AD$2="FEBRERO",G46+I46,IF($AD$2="MARZO",G46+I46+K46,IF($AD$2="ABRIL",G46+I46+K46+M46,IF($AD$2="MAYO",G46+I46+K46+M46+O46,IF($AD$2="JUNIO",G46+I46+K46+M46+O46+Q46,IF($AD$2="JULIO",G46+I46+K46+M46+O46+Q46+S46,IF($AD$2="AGOSTO",G46+I46+K46+M46+O46+Q46+S46+U46,IF($AD$2="SEPTIEMBRE",G46+I46+K46+M46+O46+Q46+S46+U46+W46,IF($AD$2="OCTUBRE",G46+I46+K46+M46+O46+Q46+S46+U46+W46+Y46,IF($AD$2="NOVIEMBRE",G46+I46+K46+M46+O46+Q46+S46+U46+W46+Y46+AA46,IF($AD$2="DICIEMBRE",G46+I46+K46+M46+O46+Q46+S46+U46+W46+Y46+AA46+AC46,"")))))))))))),0)</f>
        <v>53</v>
      </c>
      <c r="AI46" s="243">
        <f t="shared" si="29"/>
        <v>1.0192307692307692</v>
      </c>
      <c r="AJ46" s="54">
        <f t="shared" si="34"/>
        <v>26</v>
      </c>
      <c r="AK46" s="68">
        <f>IFERROR(IF($AJ$3="Q1",G46+I46+K46,IF($AJ$3="Q2",M46+O46++Q46,IF($AJ$3="Q3",S46+U46+W46,IF($AJ$3="Q4",Y46+AA46+AC46,0)))),0)</f>
        <v>21</v>
      </c>
      <c r="AL46" s="56">
        <f t="shared" si="30"/>
        <v>0.80769230769230771</v>
      </c>
      <c r="AM46" s="54">
        <f t="shared" si="35"/>
        <v>52</v>
      </c>
      <c r="AN46" s="86">
        <f>IFERROR(IF($AM$3="S 1",G46+I46+K46+M46+O46+Q46,IF($AM$3="S 2",S46+U46+W46+Y46+AA46+AC46,0)),0)</f>
        <v>53</v>
      </c>
      <c r="AO46" s="243">
        <f t="shared" si="31"/>
        <v>1.0192307692307692</v>
      </c>
    </row>
    <row r="47" spans="1:41" s="53" customFormat="1" ht="16" customHeight="1" x14ac:dyDescent="0.3">
      <c r="A47" s="53">
        <f>_xlfn.XLOOKUP(B47,[8]Pedidos!$C$7:$C$67,[8]Pedidos!$B$7:$B$67)</f>
        <v>8</v>
      </c>
      <c r="B47" s="179">
        <v>100394</v>
      </c>
      <c r="C47" s="381" t="s">
        <v>64</v>
      </c>
      <c r="D47" s="51">
        <v>1357</v>
      </c>
      <c r="E47" s="309" t="s">
        <v>96</v>
      </c>
      <c r="F47" s="305">
        <v>2</v>
      </c>
      <c r="G47" s="55">
        <f>IFERROR(VLOOKUP(B47,[2]RETAIL!$T$8:$AG$63,3,0),0)-IFERROR(IF(B47=100873,VLOOKUP("ENERO",[2]RETAIL!$T$78:$U$91,2,0),0),0)</f>
        <v>2</v>
      </c>
      <c r="H47" s="305">
        <v>2</v>
      </c>
      <c r="I47" s="55">
        <f>IFERROR(VLOOKUP(B47,[2]RETAIL!$T$8:$AG$63,4,0),0)-IFERROR(IF(B47=100873,VLOOKUP("FEBRERO",[2]RETAIL!$T$78:$U$91,2,0),0),0)</f>
        <v>0</v>
      </c>
      <c r="J47" s="305">
        <v>3</v>
      </c>
      <c r="K47" s="55">
        <f>IFERROR(VLOOKUP(B47,[2]RETAIL!$T$8:$AG$63,5,0),0)-IFERROR(IF(B47=100873,VLOOKUP("MARZO",[2]RETAIL!$T$78:$U$91,2,0),0),0)</f>
        <v>4</v>
      </c>
      <c r="L47" s="305">
        <v>2</v>
      </c>
      <c r="M47" s="55">
        <f>IFERROR(VLOOKUP(B47,[2]RETAIL!$T$8:$AG$63,6,0),0)-IFERROR(IF(B47=100873,VLOOKUP("ABRIL",[2]RETAIL!$T$78:$U$91,2,0),0),0)</f>
        <v>3</v>
      </c>
      <c r="N47" s="305">
        <v>3</v>
      </c>
      <c r="O47" s="55">
        <f>IFERROR(VLOOKUP(B47,[2]RETAIL!$T$8:$AG$63,7,0),0)-IFERROR(IF(B47=100873,VLOOKUP("MAYO",[2]RETAIL!$T$78:$U$91,2,0),0),0)</f>
        <v>1</v>
      </c>
      <c r="P47" s="305">
        <v>3</v>
      </c>
      <c r="Q47" s="55">
        <f>IFERROR(VLOOKUP(B47,[2]RETAIL!$T$8:$AG$63,8,0),0)-IFERROR(IF(B47=100873,VLOOKUP("JUNIO",[2]RETAIL!$T$78:$U$91,2,0),0),0)</f>
        <v>1</v>
      </c>
      <c r="R47" s="305"/>
      <c r="S47" s="55">
        <f>IFERROR(VLOOKUP(D47,[2]RETAIL!$T$8:$AG$63,9,0),0)-IFERROR(IF(D47=100873,VLOOKUP("JULIO",[2]RETAIL!$T$78:$U$91,2,0),0),0)</f>
        <v>0</v>
      </c>
      <c r="T47" s="305"/>
      <c r="U47" s="55">
        <f>IFERROR(VLOOKUP(D47,[2]RETAIL!$T$8:$AG$63,10,0),0)-IFERROR(IF(D47=100873,VLOOKUP("AGOSTO",[2]RETAIL!$T$78:$U$91,2,0),0),0)</f>
        <v>0</v>
      </c>
      <c r="V47" s="305"/>
      <c r="W47" s="55">
        <f>IFERROR(VLOOKUP(D47,[2]RETAIL!$T$8:$AG$63,11,0),0)-IFERROR(IF(D47=100873,VLOOKUP("SEPTIEMBRE",[2]RETAIL!$T$78:$U$91,2,0),0),0)</f>
        <v>0</v>
      </c>
      <c r="X47" s="305"/>
      <c r="Y47" s="55">
        <f>IFERROR(VLOOKUP(D47,[2]RETAIL!$T$8:$AG$63,12,0),0)-IFERROR(IF(D47=100873,VLOOKUP("OCTUBRE",[2]RETAIL!$T$78:$U$91,2,0),0),0)</f>
        <v>0</v>
      </c>
      <c r="Z47" s="305"/>
      <c r="AA47" s="55">
        <f>IFERROR(VLOOKUP(D47,[2]RETAIL!$T$8:$AG$63,13,0),0)-IFERROR(IF(D47=100873,VLOOKUP("NOVIEMBRE",[2]RETAIL!$T$78:$U$91,2,0),0),0)</f>
        <v>0</v>
      </c>
      <c r="AB47" s="305"/>
      <c r="AC47" s="55">
        <f>IFERROR(VLOOKUP(D47,[2]RETAIL!$T$8:$AG$63,14,0),0)-IFERROR(IF(D47=100873,VLOOKUP("DICIEMBRE",[2]RETAIL!$T$78:$U$91,2,0),0),0)</f>
        <v>0</v>
      </c>
      <c r="AD47" s="54">
        <f t="shared" si="32"/>
        <v>15</v>
      </c>
      <c r="AE47" s="86">
        <f>IFERROR(IF($AD$2="ENERO",G47,IF($AD$2="FEBRERO",G47+I47,IF($AD$2="MARZO",G47+I47+K47,IF($AD$2="ABRIL",G47+I47+K47+M47,IF($AD$2="MAYO",G47+I47+K47+M47+O47,IF($AD$2="JUNIO",G47+I47+K47+M47+O47+Q47,IF($AD$2="JULIO",G47+I47+K47+M47+O47+Q47+S47,IF($AD$2="AGOSTO",G47+I47+K47+M47+O47+Q47+S47+U47,IF($AD$2="SEPTIEMBRE",G47+I47+K47+M47+O47+Q47+S47+U47+W47,IF($AD$2="OCTUBRE",G47+I47+K47+M47+O47+Q47+S47+U47+W47+Y47,IF($AD$2="NOVIEMBRE",G47+I47+K47+M47+O47+Q47+S47+U47+W47+Y47+AA47,IF($AD$2="DICIEMBRE",G47+I47+K47+M47+O47+Q47+S47+U47+W47+Y47+AA47+AC47,"")))))))))))),0)</f>
        <v>11</v>
      </c>
      <c r="AF47" s="243">
        <f t="shared" si="28"/>
        <v>0.73333333333333328</v>
      </c>
      <c r="AG47" s="54">
        <f t="shared" si="33"/>
        <v>15</v>
      </c>
      <c r="AH47" s="86">
        <f>IFERROR(IF($AD$2="ENERO",G47,IF($AD$2="FEBRERO",G47+I47,IF($AD$2="MARZO",G47+I47+K47,IF($AD$2="ABRIL",G47+I47+K47+M47,IF($AD$2="MAYO",G47+I47+K47+M47+O47,IF($AD$2="JUNIO",G47+I47+K47+M47+O47+Q47,IF($AD$2="JULIO",G47+I47+K47+M47+O47+Q47+S47,IF($AD$2="AGOSTO",G47+I47+K47+M47+O47+Q47+S47+U47,IF($AD$2="SEPTIEMBRE",G47+I47+K47+M47+O47+Q47+S47+U47+W47,IF($AD$2="OCTUBRE",G47+I47+K47+M47+O47+Q47+S47+U47+W47+Y47,IF($AD$2="NOVIEMBRE",G47+I47+K47+M47+O47+Q47+S47+U47+W47+Y47+AA47,IF($AD$2="DICIEMBRE",G47+I47+K47+M47+O47+Q47+S47+U47+W47+Y47+AA47+AC47,"")))))))))))),0)</f>
        <v>11</v>
      </c>
      <c r="AI47" s="243">
        <f t="shared" si="29"/>
        <v>0.73333333333333328</v>
      </c>
      <c r="AJ47" s="54">
        <f t="shared" si="34"/>
        <v>7</v>
      </c>
      <c r="AK47" s="68">
        <f>IFERROR(IF($AJ$3="Q1",G47+I47+K47,IF($AJ$3="Q2",M47+O47++Q47,IF($AJ$3="Q3",S47+U47+W47,IF($AJ$3="Q4",Y47+AA47+AC47,0)))),0)</f>
        <v>6</v>
      </c>
      <c r="AL47" s="56">
        <f t="shared" si="30"/>
        <v>0.8571428571428571</v>
      </c>
      <c r="AM47" s="54">
        <f t="shared" si="35"/>
        <v>15</v>
      </c>
      <c r="AN47" s="86">
        <f>IFERROR(IF($AM$3="S 1",G47+I47+K47+M47+O47+Q47,IF($AM$3="S 2",S47+U47+W47+Y47+AA47+AC47,0)),0)</f>
        <v>11</v>
      </c>
      <c r="AO47" s="243">
        <f t="shared" si="31"/>
        <v>0.73333333333333328</v>
      </c>
    </row>
    <row r="48" spans="1:41" s="53" customFormat="1" ht="16" customHeight="1" thickBot="1" x14ac:dyDescent="0.35">
      <c r="A48" s="53">
        <v>8</v>
      </c>
      <c r="B48" s="179">
        <v>100468</v>
      </c>
      <c r="C48" s="381" t="s">
        <v>65</v>
      </c>
      <c r="D48" s="51">
        <v>9911</v>
      </c>
      <c r="E48" s="309" t="s">
        <v>97</v>
      </c>
      <c r="F48" s="541">
        <v>4</v>
      </c>
      <c r="G48" s="55">
        <f>IFERROR(VLOOKUP(B48,[2]RETAIL!$T$8:$AG$63,3,0),0)-IFERROR(IF(B48=100873,VLOOKUP("ENERO",[2]RETAIL!$T$78:$U$91,2,0),0),0)</f>
        <v>2</v>
      </c>
      <c r="H48" s="541">
        <v>4</v>
      </c>
      <c r="I48" s="55">
        <f>IFERROR(VLOOKUP(B48,[2]RETAIL!$T$8:$AG$63,4,0),0)-IFERROR(IF(B48=100873,VLOOKUP("FEBRERO",[2]RETAIL!$T$78:$U$91,2,0),0),0)</f>
        <v>1</v>
      </c>
      <c r="J48" s="541">
        <v>5</v>
      </c>
      <c r="K48" s="55">
        <f>IFERROR(VLOOKUP(B48,[2]RETAIL!$T$8:$AG$63,5,0),0)-IFERROR(IF(B48=100873,VLOOKUP("MARZO",[2]RETAIL!$T$78:$U$91,2,0),0),0)</f>
        <v>1</v>
      </c>
      <c r="L48" s="541">
        <v>4</v>
      </c>
      <c r="M48" s="55">
        <f>IFERROR(VLOOKUP(B48,[2]RETAIL!$T$8:$AG$63,6,0),0)-IFERROR(IF(B48=100873,VLOOKUP("ABRIL",[2]RETAIL!$T$78:$U$91,2,0),0),0)</f>
        <v>2</v>
      </c>
      <c r="N48" s="541">
        <v>4</v>
      </c>
      <c r="O48" s="55">
        <f>IFERROR(VLOOKUP(B48,[2]RETAIL!$T$8:$AG$63,7,0),0)-IFERROR(IF(B48=100873,VLOOKUP("MAYO",[2]RETAIL!$T$78:$U$91,2,0),0),0)</f>
        <v>8</v>
      </c>
      <c r="P48" s="541">
        <v>5</v>
      </c>
      <c r="Q48" s="55">
        <f>IFERROR(VLOOKUP(B48,[2]RETAIL!$T$8:$AG$63,8,0),0)-IFERROR(IF(B48=100873,VLOOKUP("JUNIO",[2]RETAIL!$T$78:$U$91,2,0),0),0)</f>
        <v>10</v>
      </c>
      <c r="R48" s="305"/>
      <c r="S48" s="55">
        <f>IFERROR(VLOOKUP(D48,[2]RETAIL!$T$8:$AG$63,9,0),0)-IFERROR(IF(D48=100873,VLOOKUP("JULIO",[2]RETAIL!$T$78:$U$91,2,0),0),0)</f>
        <v>0</v>
      </c>
      <c r="T48" s="305"/>
      <c r="U48" s="55">
        <f>IFERROR(VLOOKUP(D48,[2]RETAIL!$T$8:$AG$63,10,0),0)-IFERROR(IF(D48=100873,VLOOKUP("AGOSTO",[2]RETAIL!$T$78:$U$91,2,0),0),0)</f>
        <v>0</v>
      </c>
      <c r="V48" s="305"/>
      <c r="W48" s="55">
        <f>IFERROR(VLOOKUP(D48,[2]RETAIL!$T$8:$AG$63,11,0),0)-IFERROR(IF(D48=100873,VLOOKUP("SEPTIEMBRE",[2]RETAIL!$T$78:$U$91,2,0),0),0)</f>
        <v>0</v>
      </c>
      <c r="X48" s="305"/>
      <c r="Y48" s="55">
        <f>IFERROR(VLOOKUP(D48,[2]RETAIL!$T$8:$AG$63,12,0),0)-IFERROR(IF(D48=100873,VLOOKUP("OCTUBRE",[2]RETAIL!$T$78:$U$91,2,0),0),0)</f>
        <v>0</v>
      </c>
      <c r="Z48" s="305"/>
      <c r="AA48" s="55">
        <f>IFERROR(VLOOKUP(D48,[2]RETAIL!$T$8:$AG$63,13,0),0)-IFERROR(IF(D48=100873,VLOOKUP("NOVIEMBRE",[2]RETAIL!$T$78:$U$91,2,0),0),0)</f>
        <v>0</v>
      </c>
      <c r="AB48" s="305"/>
      <c r="AC48" s="55">
        <f>IFERROR(VLOOKUP(D48,[2]RETAIL!$T$8:$AG$63,14,0),0)-IFERROR(IF(D48=100873,VLOOKUP("DICIEMBRE",[2]RETAIL!$T$78:$U$91,2,0),0),0)</f>
        <v>0</v>
      </c>
      <c r="AD48" s="54">
        <f t="shared" si="32"/>
        <v>26</v>
      </c>
      <c r="AE48" s="86">
        <f>IFERROR(IF($AD$2="ENERO",G48,IF($AD$2="FEBRERO",G48+I48,IF($AD$2="MARZO",G48+I48+K48,IF($AD$2="ABRIL",G48+I48+K48+M48,IF($AD$2="MAYO",G48+I48+K48+M48+O48,IF($AD$2="JUNIO",G48+I48+K48+M48+O48+Q48,IF($AD$2="JULIO",G48+I48+K48+M48+O48+Q48+S48,IF($AD$2="AGOSTO",G48+I48+K48+M48+O48+Q48+S48+U48,IF($AD$2="SEPTIEMBRE",G48+I48+K48+M48+O48+Q48+S48+U48+W48,IF($AD$2="OCTUBRE",G48+I48+K48+M48+O48+Q48+S48+U48+W48+Y48,IF($AD$2="NOVIEMBRE",G48+I48+K48+M48+O48+Q48+S48+U48+W48+Y48+AA48,IF($AD$2="DICIEMBRE",G48+I48+K48+M48+O48+Q48+S48+U48+W48+Y48+AA48+AC48,"")))))))))))),0)</f>
        <v>24</v>
      </c>
      <c r="AF48" s="243">
        <f t="shared" si="28"/>
        <v>0.92307692307692313</v>
      </c>
      <c r="AG48" s="54">
        <f t="shared" si="33"/>
        <v>26</v>
      </c>
      <c r="AH48" s="86">
        <f>IFERROR(IF($AD$2="ENERO",G48,IF($AD$2="FEBRERO",G48+I48,IF($AD$2="MARZO",G48+I48+K48,IF($AD$2="ABRIL",G48+I48+K48+M48,IF($AD$2="MAYO",G48+I48+K48+M48+O48,IF($AD$2="JUNIO",G48+I48+K48+M48+O48+Q48,IF($AD$2="JULIO",G48+I48+K48+M48+O48+Q48+S48,IF($AD$2="AGOSTO",G48+I48+K48+M48+O48+Q48+S48+U48,IF($AD$2="SEPTIEMBRE",G48+I48+K48+M48+O48+Q48+S48+U48+W48,IF($AD$2="OCTUBRE",G48+I48+K48+M48+O48+Q48+S48+U48+W48+Y48,IF($AD$2="NOVIEMBRE",G48+I48+K48+M48+O48+Q48+S48+U48+W48+Y48+AA48,IF($AD$2="DICIEMBRE",G48+I48+K48+M48+O48+Q48+S48+U48+W48+Y48+AA48+AC48,"")))))))))))),0)</f>
        <v>24</v>
      </c>
      <c r="AI48" s="243">
        <f t="shared" si="29"/>
        <v>0.92307692307692313</v>
      </c>
      <c r="AJ48" s="54">
        <f t="shared" si="34"/>
        <v>13</v>
      </c>
      <c r="AK48" s="68">
        <f>IFERROR(IF($AJ$3="Q1",G48+I48+K48,IF($AJ$3="Q2",M48+O48++Q48,IF($AJ$3="Q3",S48+U48+W48,IF($AJ$3="Q4",Y48+AA48+AC48,0)))),0)</f>
        <v>4</v>
      </c>
      <c r="AL48" s="56">
        <f t="shared" si="30"/>
        <v>0.30769230769230771</v>
      </c>
      <c r="AM48" s="54">
        <f t="shared" si="35"/>
        <v>26</v>
      </c>
      <c r="AN48" s="86">
        <f>IFERROR(IF($AM$3="S 1",G48+I48+K48+M48+O48+Q48,IF($AM$3="S 2",S48+U48+W48+Y48+AA48+AC48,0)),0)</f>
        <v>24</v>
      </c>
      <c r="AO48" s="243">
        <f t="shared" si="31"/>
        <v>0.92307692307692313</v>
      </c>
    </row>
    <row r="49" spans="1:43" s="53" customFormat="1" ht="16" customHeight="1" thickBot="1" x14ac:dyDescent="0.35">
      <c r="B49" s="180" t="s">
        <v>270</v>
      </c>
      <c r="C49" s="62"/>
      <c r="D49" s="80"/>
      <c r="E49" s="265"/>
      <c r="F49" s="63">
        <f t="shared" ref="F49:AC49" si="39">SUM(F44:F48)</f>
        <v>30</v>
      </c>
      <c r="G49" s="264">
        <f t="shared" si="39"/>
        <v>23</v>
      </c>
      <c r="H49" s="63">
        <f t="shared" si="39"/>
        <v>31</v>
      </c>
      <c r="I49" s="264">
        <f t="shared" si="39"/>
        <v>35</v>
      </c>
      <c r="J49" s="63">
        <f t="shared" si="39"/>
        <v>33</v>
      </c>
      <c r="K49" s="264">
        <f t="shared" si="39"/>
        <v>36</v>
      </c>
      <c r="L49" s="63">
        <f t="shared" si="39"/>
        <v>30</v>
      </c>
      <c r="M49" s="264">
        <f t="shared" si="39"/>
        <v>25</v>
      </c>
      <c r="N49" s="63">
        <f t="shared" si="39"/>
        <v>32</v>
      </c>
      <c r="O49" s="264">
        <f t="shared" si="39"/>
        <v>45</v>
      </c>
      <c r="P49" s="63">
        <f t="shared" si="39"/>
        <v>34</v>
      </c>
      <c r="Q49" s="264">
        <f t="shared" si="39"/>
        <v>54</v>
      </c>
      <c r="R49" s="63">
        <f t="shared" si="39"/>
        <v>0</v>
      </c>
      <c r="S49" s="264">
        <f t="shared" si="39"/>
        <v>0</v>
      </c>
      <c r="T49" s="63">
        <f t="shared" si="39"/>
        <v>0</v>
      </c>
      <c r="U49" s="264">
        <f t="shared" si="39"/>
        <v>0</v>
      </c>
      <c r="V49" s="63">
        <f t="shared" si="39"/>
        <v>0</v>
      </c>
      <c r="W49" s="264">
        <f t="shared" si="39"/>
        <v>0</v>
      </c>
      <c r="X49" s="63">
        <f t="shared" si="39"/>
        <v>0</v>
      </c>
      <c r="Y49" s="264">
        <f t="shared" si="39"/>
        <v>0</v>
      </c>
      <c r="Z49" s="63">
        <f t="shared" si="39"/>
        <v>0</v>
      </c>
      <c r="AA49" s="264">
        <f t="shared" si="39"/>
        <v>0</v>
      </c>
      <c r="AB49" s="63">
        <f t="shared" si="39"/>
        <v>0</v>
      </c>
      <c r="AC49" s="264">
        <f t="shared" si="39"/>
        <v>0</v>
      </c>
      <c r="AD49" s="155">
        <f t="shared" si="32"/>
        <v>190</v>
      </c>
      <c r="AE49" s="94">
        <f>IF($AD$2="ENERO",G49,IF($AD$2="FEBRERO",G49+I49,IF($AD$2="MARZO",G49+I49+K49,IF($AD$2="ABRIL",G49+I49+K49+M49,IF($AD$2="MAYO",G49+I49+K49+M49+O49,IF($AD$2="JUNIO",G49+I49+K49+M49+O49+Q49,IF($AD$2="JULIO",G49+I49+K49+M49+O49+Q49+S49,IF($AD$2="AGOSTO",G49+I49+K49+M49+O49+Q49+S49+U49,IF($AD$2="SEPTIEMBRE",G49+I49+K49+M49+O49+Q49+S49+U49+W49,IF($AD$2="OCTUBRE",G49+I49+K49+M49+O49+Q49+S49+U49+W49+Y49,IF($AD$2="NOVIEMBRE",G49+I49+K49+M49+O49+Q49+S49+U49+W49+Y49+AA49,IF($AD$2="DICIEMBRE",G49+I49+K49+M49+O49+Q49+S49+U49+W49+Y49+AA49+AC49,""))))))))))))</f>
        <v>218</v>
      </c>
      <c r="AF49" s="424">
        <f t="shared" si="28"/>
        <v>1.1473684210526316</v>
      </c>
      <c r="AG49" s="155">
        <f t="shared" si="33"/>
        <v>190</v>
      </c>
      <c r="AH49" s="94">
        <f>IF($AD$2="ENERO",G49,IF($AD$2="FEBRERO",G49+I49,IF($AD$2="MARZO",G49+I49+K49,IF($AD$2="ABRIL",G49+I49+K49+M49,IF($AD$2="MAYO",G49+I49+K49+M49+O49,IF($AD$2="JUNIO",G49+I49+K49+M49+O49+Q49,IF($AD$2="JULIO",G49+I49+K49+M49+O49+Q49+S49,IF($AD$2="AGOSTO",G49+I49+K49+M49+O49+Q49+S49+U49,IF($AD$2="SEPTIEMBRE",G49+I49+K49+M49+O49+Q49+S49+U49+W49,IF($AD$2="OCTUBRE",G49+I49+K49+M49+O49+Q49+S49+U49+W49+Y49,IF($AD$2="NOVIEMBRE",G49+I49+K49+M49+O49+Q49+S49+U49+W49+Y49+AA49,IF($AD$2="DICIEMBRE",G49+I49+K49+M49+O49+Q49+S49+U49+W49+Y49+AA49+AC49,""))))))))))))</f>
        <v>218</v>
      </c>
      <c r="AI49" s="424">
        <f t="shared" si="29"/>
        <v>1.1473684210526316</v>
      </c>
      <c r="AJ49" s="63">
        <f t="shared" si="34"/>
        <v>94</v>
      </c>
      <c r="AK49" s="65">
        <f>IF($AJ$3="Q1",G49+I49+K49,IF($AJ$3="Q2",M49+O49++Q49,IF($AJ$3="Q3",S49+U49+W49,IF($AJ$3="Q4",Y49+AA49+AC49,0))))</f>
        <v>94</v>
      </c>
      <c r="AL49" s="66">
        <f t="shared" si="30"/>
        <v>1</v>
      </c>
      <c r="AM49" s="155">
        <f t="shared" si="35"/>
        <v>190</v>
      </c>
      <c r="AN49" s="94">
        <f>IF($AM$3="S 1",G49+I49+K49+M49+O49+Q49,IF($AM$3="S 2",S49+U49+W49+Y49+AA49+AC49,0))</f>
        <v>218</v>
      </c>
      <c r="AO49" s="424">
        <f t="shared" si="31"/>
        <v>1.1473684210526316</v>
      </c>
    </row>
    <row r="50" spans="1:43" s="53" customFormat="1" ht="16" customHeight="1" x14ac:dyDescent="0.3">
      <c r="A50" s="53">
        <f>_xlfn.XLOOKUP(B50,[8]Pedidos!$C$7:$C$67,[8]Pedidos!$B$7:$B$67)</f>
        <v>9</v>
      </c>
      <c r="B50" s="179">
        <v>100734</v>
      </c>
      <c r="C50" s="381" t="s">
        <v>59</v>
      </c>
      <c r="D50" s="51">
        <v>39812</v>
      </c>
      <c r="E50" s="309" t="s">
        <v>95</v>
      </c>
      <c r="F50" s="305">
        <v>21</v>
      </c>
      <c r="G50" s="55">
        <f>IFERROR(VLOOKUP(B50,[2]RETAIL!$T$8:$AG$63,3,0),0)-IFERROR(IF(B50=100873,VLOOKUP("ENERO",[2]RETAIL!$T$78:$U$91,2,0),0),0)</f>
        <v>15</v>
      </c>
      <c r="H50" s="305">
        <v>22</v>
      </c>
      <c r="I50" s="55">
        <f>IFERROR(VLOOKUP(B50,[2]RETAIL!$T$8:$AG$63,4,0),0)-IFERROR(IF(B50=100873,VLOOKUP("FEBRERO",[2]RETAIL!$T$78:$U$91,2,0),0),0)</f>
        <v>8</v>
      </c>
      <c r="J50" s="305">
        <v>22</v>
      </c>
      <c r="K50" s="55">
        <f>IFERROR(VLOOKUP(B50,[2]RETAIL!$T$8:$AG$63,5,0),0)-IFERROR(IF(B50=100873,VLOOKUP("MARZO",[2]RETAIL!$T$78:$U$91,2,0),0),0)</f>
        <v>31</v>
      </c>
      <c r="L50" s="305">
        <v>21</v>
      </c>
      <c r="M50" s="55">
        <f>IFERROR(VLOOKUP(B50,[2]RETAIL!$T$8:$AG$63,6,0),0)-IFERROR(IF(B50=100873,VLOOKUP("ABRIL",[2]RETAIL!$T$78:$U$91,2,0),0),0)</f>
        <v>28</v>
      </c>
      <c r="N50" s="305">
        <v>22</v>
      </c>
      <c r="O50" s="55">
        <f>IFERROR(VLOOKUP(B50,[2]RETAIL!$T$8:$AG$63,7,0),0)-IFERROR(IF(B50=100873,VLOOKUP("MAYO",[2]RETAIL!$T$78:$U$91,2,0),0),0)</f>
        <v>27</v>
      </c>
      <c r="P50" s="305">
        <v>22</v>
      </c>
      <c r="Q50" s="55">
        <f>IFERROR(VLOOKUP(B50,[2]RETAIL!$T$8:$AG$63,8,0),0)-IFERROR(IF(B50=100873,VLOOKUP("JUNIO",[2]RETAIL!$T$78:$U$91,2,0),0),0)</f>
        <v>16</v>
      </c>
      <c r="R50" s="305"/>
      <c r="S50" s="55">
        <f>IFERROR(VLOOKUP(D50,[2]RETAIL!$T$8:$AG$63,9,0),0)-IFERROR(IF(D50=100873,VLOOKUP("JULIO",[2]RETAIL!$T$78:$U$91,2,0),0),0)</f>
        <v>0</v>
      </c>
      <c r="T50" s="305"/>
      <c r="U50" s="55">
        <f>IFERROR(VLOOKUP(D50,[2]RETAIL!$T$8:$AG$63,10,0),0)-IFERROR(IF(D50=100873,VLOOKUP("AGOSTO",[2]RETAIL!$T$78:$U$91,2,0),0),0)</f>
        <v>0</v>
      </c>
      <c r="V50" s="305"/>
      <c r="W50" s="55">
        <f>IFERROR(VLOOKUP(D50,[2]RETAIL!$T$8:$AG$63,11,0),0)-IFERROR(IF(D50=100873,VLOOKUP("SEPTIEMBRE",[2]RETAIL!$T$78:$U$91,2,0),0),0)</f>
        <v>0</v>
      </c>
      <c r="X50" s="305"/>
      <c r="Y50" s="55">
        <f>IFERROR(VLOOKUP(D50,[2]RETAIL!$T$8:$AG$63,12,0),0)-IFERROR(IF(D50=100873,VLOOKUP("OCTUBRE",[2]RETAIL!$T$78:$U$91,2,0),0),0)</f>
        <v>0</v>
      </c>
      <c r="Z50" s="305"/>
      <c r="AA50" s="55">
        <f>IFERROR(VLOOKUP(D50,[2]RETAIL!$T$8:$AG$63,13,0),0)-IFERROR(IF(D50=100873,VLOOKUP("NOVIEMBRE",[2]RETAIL!$T$78:$U$91,2,0),0),0)</f>
        <v>0</v>
      </c>
      <c r="AB50" s="305"/>
      <c r="AC50" s="55">
        <f>IFERROR(VLOOKUP(D50,[2]RETAIL!$T$8:$AG$63,14,0),0)-IFERROR(IF(D50=100873,VLOOKUP("DICIEMBRE",[2]RETAIL!$T$78:$U$91,2,0),0),0)</f>
        <v>0</v>
      </c>
      <c r="AD50" s="54">
        <f t="shared" si="32"/>
        <v>130</v>
      </c>
      <c r="AE50" s="86">
        <f>IFERROR(IF($AD$2="ENERO",G50,IF($AD$2="FEBRERO",G50+I50,IF($AD$2="MARZO",G50+I50+K50,IF($AD$2="ABRIL",G50+I50+K50+M50,IF($AD$2="MAYO",G50+I50+K50+M50+O50,IF($AD$2="JUNIO",G50+I50+K50+M50+O50+Q50,IF($AD$2="JULIO",G50+I50+K50+M50+O50+Q50+S50,IF($AD$2="AGOSTO",G50+I50+K50+M50+O50+Q50+S50+U50,IF($AD$2="SEPTIEMBRE",G50+I50+K50+M50+O50+Q50+S50+U50+W50,IF($AD$2="OCTUBRE",G50+I50+K50+M50+O50+Q50+S50+U50+W50+Y50,IF($AD$2="NOVIEMBRE",G50+I50+K50+M50+O50+Q50+S50+U50+W50+Y50+AA50,IF($AD$2="DICIEMBRE",G50+I50+K50+M50+O50+Q50+S50+U50+W50+Y50+AA50+AC50,"")))))))))))),0)</f>
        <v>125</v>
      </c>
      <c r="AF50" s="243">
        <f t="shared" si="28"/>
        <v>0.96153846153846156</v>
      </c>
      <c r="AG50" s="54">
        <f t="shared" si="33"/>
        <v>130</v>
      </c>
      <c r="AH50" s="86">
        <f>IFERROR(IF($AD$2="ENERO",G50,IF($AD$2="FEBRERO",G50+I50,IF($AD$2="MARZO",G50+I50+K50,IF($AD$2="ABRIL",G50+I50+K50+M50,IF($AD$2="MAYO",G50+I50+K50+M50+O50,IF($AD$2="JUNIO",G50+I50+K50+M50+O50+Q50,IF($AD$2="JULIO",G50+I50+K50+M50+O50+Q50+S50,IF($AD$2="AGOSTO",G50+I50+K50+M50+O50+Q50+S50+U50,IF($AD$2="SEPTIEMBRE",G50+I50+K50+M50+O50+Q50+S50+U50+W50,IF($AD$2="OCTUBRE",G50+I50+K50+M50+O50+Q50+S50+U50+W50+Y50,IF($AD$2="NOVIEMBRE",G50+I50+K50+M50+O50+Q50+S50+U50+W50+Y50+AA50,IF($AD$2="DICIEMBRE",G50+I50+K50+M50+O50+Q50+S50+U50+W50+Y50+AA50+AC50,"")))))))))))),0)</f>
        <v>125</v>
      </c>
      <c r="AI50" s="243">
        <f t="shared" si="29"/>
        <v>0.96153846153846156</v>
      </c>
      <c r="AJ50" s="54">
        <f t="shared" si="34"/>
        <v>65</v>
      </c>
      <c r="AK50" s="68">
        <f>IFERROR(IF($AJ$3="Q1",G50+I50+K50,IF($AJ$3="Q2",M50+O50++Q50,IF($AJ$3="Q3",S50+U50+W50,IF($AJ$3="Q4",Y50+AA50+AC50,0)))),0)</f>
        <v>54</v>
      </c>
      <c r="AL50" s="56">
        <f t="shared" si="30"/>
        <v>0.83076923076923082</v>
      </c>
      <c r="AM50" s="54">
        <f t="shared" si="35"/>
        <v>130</v>
      </c>
      <c r="AN50" s="86">
        <f>IFERROR(IF($AM$3="S 1",G50+I50+K50+M50+O50+Q50,IF($AM$3="S 2",S50+U50+W50+Y50+AA50+AC50,0)),0)</f>
        <v>125</v>
      </c>
      <c r="AO50" s="243">
        <f t="shared" si="31"/>
        <v>0.96153846153846156</v>
      </c>
    </row>
    <row r="51" spans="1:43" s="53" customFormat="1" ht="16" customHeight="1" x14ac:dyDescent="0.3">
      <c r="A51" s="53">
        <f>_xlfn.XLOOKUP(B51,[8]Pedidos!$C$7:$C$67,[8]Pedidos!$B$7:$B$67)</f>
        <v>9</v>
      </c>
      <c r="B51" s="179">
        <v>100311</v>
      </c>
      <c r="C51" s="381" t="s">
        <v>12</v>
      </c>
      <c r="D51" s="51">
        <v>20839</v>
      </c>
      <c r="E51" s="309" t="s">
        <v>201</v>
      </c>
      <c r="F51" s="305">
        <v>6</v>
      </c>
      <c r="G51" s="55">
        <f>IFERROR(VLOOKUP(B51,[2]RETAIL!$T$8:$AG$63,3,0),0)-IFERROR(IF(B51=100873,VLOOKUP("ENERO",[2]RETAIL!$T$78:$U$91,2,0),0),0)</f>
        <v>1</v>
      </c>
      <c r="H51" s="305">
        <v>6</v>
      </c>
      <c r="I51" s="55">
        <f>IFERROR(VLOOKUP(B51,[2]RETAIL!$T$8:$AG$63,4,0),0)-IFERROR(IF(B51=100873,VLOOKUP("FEBRERO",[2]RETAIL!$T$78:$U$91,2,0),0),0)</f>
        <v>3</v>
      </c>
      <c r="J51" s="305">
        <v>6</v>
      </c>
      <c r="K51" s="55">
        <f>IFERROR(VLOOKUP(B51,[2]RETAIL!$T$8:$AG$63,5,0),0)-IFERROR(IF(B51=100873,VLOOKUP("MARZO",[2]RETAIL!$T$78:$U$91,2,0),0),0)</f>
        <v>10</v>
      </c>
      <c r="L51" s="305">
        <v>7</v>
      </c>
      <c r="M51" s="55">
        <f>IFERROR(VLOOKUP(B51,[2]RETAIL!$T$8:$AG$63,6,0),0)-IFERROR(IF(B51=100873,VLOOKUP("ABRIL",[2]RETAIL!$T$78:$U$91,2,0),0),0)</f>
        <v>9</v>
      </c>
      <c r="N51" s="305">
        <v>7</v>
      </c>
      <c r="O51" s="55">
        <f>IFERROR(VLOOKUP(B51,[2]RETAIL!$T$8:$AG$63,7,0),0)-IFERROR(IF(B51=100873,VLOOKUP("MAYO",[2]RETAIL!$T$78:$U$91,2,0),0),0)</f>
        <v>7</v>
      </c>
      <c r="P51" s="305">
        <v>8</v>
      </c>
      <c r="Q51" s="55">
        <f>IFERROR(VLOOKUP(B51,[2]RETAIL!$T$8:$AG$63,8,0),0)-IFERROR(IF(B51=100873,VLOOKUP("JUNIO",[2]RETAIL!$T$78:$U$91,2,0),0),0)</f>
        <v>6</v>
      </c>
      <c r="R51" s="305">
        <v>8</v>
      </c>
      <c r="S51" s="55">
        <f>IFERROR(VLOOKUP(D51,[2]RETAIL!$T$8:$AG$63,9,0),0)-IFERROR(IF(D51=100873,VLOOKUP("JULIO",[2]RETAIL!$T$78:$U$91,2,0),0),0)</f>
        <v>0</v>
      </c>
      <c r="T51" s="305">
        <v>4</v>
      </c>
      <c r="U51" s="55">
        <f>IFERROR(VLOOKUP(D51,[2]RETAIL!$T$8:$AG$63,10,0),0)-IFERROR(IF(D51=100873,VLOOKUP("AGOSTO",[2]RETAIL!$T$78:$U$91,2,0),0),0)</f>
        <v>0</v>
      </c>
      <c r="V51" s="305">
        <v>8</v>
      </c>
      <c r="W51" s="55">
        <f>IFERROR(VLOOKUP(D51,[2]RETAIL!$T$8:$AG$63,11,0),0)-IFERROR(IF(D51=100873,VLOOKUP("SEPTIEMBRE",[2]RETAIL!$T$78:$U$91,2,0),0),0)</f>
        <v>0</v>
      </c>
      <c r="X51" s="305">
        <v>7</v>
      </c>
      <c r="Y51" s="55">
        <f>IFERROR(VLOOKUP(D51,[2]RETAIL!$T$8:$AG$63,12,0),0)-IFERROR(IF(D51=100873,VLOOKUP("OCTUBRE",[2]RETAIL!$T$78:$U$91,2,0),0),0)</f>
        <v>0</v>
      </c>
      <c r="Z51" s="305">
        <v>7</v>
      </c>
      <c r="AA51" s="55">
        <f>IFERROR(VLOOKUP(D51,[2]RETAIL!$T$8:$AG$63,13,0),0)-IFERROR(IF(D51=100873,VLOOKUP("NOVIEMBRE",[2]RETAIL!$T$78:$U$91,2,0),0),0)</f>
        <v>0</v>
      </c>
      <c r="AB51" s="305">
        <v>6</v>
      </c>
      <c r="AC51" s="55">
        <f>IFERROR(VLOOKUP(D51,[2]RETAIL!$T$8:$AG$63,14,0),0)-IFERROR(IF(D51=100873,VLOOKUP("DICIEMBRE",[2]RETAIL!$T$78:$U$91,2,0),0),0)</f>
        <v>0</v>
      </c>
      <c r="AD51" s="54">
        <f t="shared" si="32"/>
        <v>40</v>
      </c>
      <c r="AE51" s="86">
        <f>IFERROR(IF($AD$2="ENERO",G51,IF($AD$2="FEBRERO",G51+I51,IF($AD$2="MARZO",G51+I51+K51,IF($AD$2="ABRIL",G51+I51+K51+M51,IF($AD$2="MAYO",G51+I51+K51+M51+O51,IF($AD$2="JUNIO",G51+I51+K51+M51+O51+Q51,IF($AD$2="JULIO",G51+I51+K51+M51+O51+Q51+S51,IF($AD$2="AGOSTO",G51+I51+K51+M51+O51+Q51+S51+U51,IF($AD$2="SEPTIEMBRE",G51+I51+K51+M51+O51+Q51+S51+U51+W51,IF($AD$2="OCTUBRE",G51+I51+K51+M51+O51+Q51+S51+U51+W51+Y51,IF($AD$2="NOVIEMBRE",G51+I51+K51+M51+O51+Q51+S51+U51+W51+Y51+AA51,IF($AD$2="DICIEMBRE",G51+I51+K51+M51+O51+Q51+S51+U51+W51+Y51+AA51+AC51,"")))))))))))),0)</f>
        <v>36</v>
      </c>
      <c r="AF51" s="243">
        <f t="shared" si="28"/>
        <v>0.9</v>
      </c>
      <c r="AG51" s="54">
        <f t="shared" si="33"/>
        <v>80</v>
      </c>
      <c r="AH51" s="86">
        <f>IFERROR(IF($AD$2="ENERO",G51,IF($AD$2="FEBRERO",G51+I51,IF($AD$2="MARZO",G51+I51+K51,IF($AD$2="ABRIL",G51+I51+K51+M51,IF($AD$2="MAYO",G51+I51+K51+M51+O51,IF($AD$2="JUNIO",G51+I51+K51+M51+O51+Q51,IF($AD$2="JULIO",G51+I51+K51+M51+O51+Q51+S51,IF($AD$2="AGOSTO",G51+I51+K51+M51+O51+Q51+S51+U51,IF($AD$2="SEPTIEMBRE",G51+I51+K51+M51+O51+Q51+S51+U51+W51,IF($AD$2="OCTUBRE",G51+I51+K51+M51+O51+Q51+S51+U51+W51+Y51,IF($AD$2="NOVIEMBRE",G51+I51+K51+M51+O51+Q51+S51+U51+W51+Y51+AA51,IF($AD$2="DICIEMBRE",G51+I51+K51+M51+O51+Q51+S51+U51+W51+Y51+AA51+AC51,"")))))))))))),0)</f>
        <v>36</v>
      </c>
      <c r="AI51" s="243">
        <f t="shared" si="29"/>
        <v>0.45</v>
      </c>
      <c r="AJ51" s="54">
        <f t="shared" si="34"/>
        <v>18</v>
      </c>
      <c r="AK51" s="68">
        <f>IFERROR(IF($AJ$3="Q1",G51+I51+K51,IF($AJ$3="Q2",M51+O51++Q51,IF($AJ$3="Q3",S51+U51+W51,IF($AJ$3="Q4",Y51+AA51+AC51,0)))),0)</f>
        <v>14</v>
      </c>
      <c r="AL51" s="56">
        <f t="shared" si="30"/>
        <v>0.77777777777777779</v>
      </c>
      <c r="AM51" s="54">
        <f t="shared" si="35"/>
        <v>40</v>
      </c>
      <c r="AN51" s="86">
        <f>IFERROR(IF($AM$3="S 1",G51+I51+K51+M51+O51+Q51,IF($AM$3="S 2",S51+U51+W51+Y51+AA51+AC51,0)),0)</f>
        <v>36</v>
      </c>
      <c r="AO51" s="243">
        <f t="shared" si="31"/>
        <v>0.9</v>
      </c>
    </row>
    <row r="52" spans="1:43" s="70" customFormat="1" ht="16" customHeight="1" x14ac:dyDescent="0.3">
      <c r="A52" s="53">
        <f>_xlfn.XLOOKUP(B52,[8]Pedidos!$C$7:$C$67,[8]Pedidos!$B$7:$B$67)</f>
        <v>9</v>
      </c>
      <c r="B52" s="179">
        <v>100393</v>
      </c>
      <c r="C52" s="381" t="s">
        <v>75</v>
      </c>
      <c r="D52" s="51">
        <v>20839</v>
      </c>
      <c r="E52" s="309" t="s">
        <v>201</v>
      </c>
      <c r="F52" s="305">
        <v>6</v>
      </c>
      <c r="G52" s="55">
        <f>IFERROR(VLOOKUP(B52,[2]RETAIL!$T$8:$AG$63,3,0),0)-IFERROR(IF(B52=100873,VLOOKUP("ENERO",[2]RETAIL!$T$78:$U$91,2,0),0),0)</f>
        <v>11</v>
      </c>
      <c r="H52" s="305">
        <v>7</v>
      </c>
      <c r="I52" s="55">
        <f>IFERROR(VLOOKUP(B52,[2]RETAIL!$T$8:$AG$63,4,0),0)-IFERROR(IF(B52=100873,VLOOKUP("FEBRERO",[2]RETAIL!$T$78:$U$91,2,0),0),0)</f>
        <v>5</v>
      </c>
      <c r="J52" s="305">
        <v>7</v>
      </c>
      <c r="K52" s="55">
        <f>IFERROR(VLOOKUP(B52,[2]RETAIL!$T$8:$AG$63,5,0),0)-IFERROR(IF(B52=100873,VLOOKUP("MARZO",[2]RETAIL!$T$78:$U$91,2,0),0),0)</f>
        <v>10</v>
      </c>
      <c r="L52" s="305">
        <v>6</v>
      </c>
      <c r="M52" s="55">
        <f>IFERROR(VLOOKUP(B52,[2]RETAIL!$T$8:$AG$63,6,0),0)-IFERROR(IF(B52=100873,VLOOKUP("ABRIL",[2]RETAIL!$T$78:$U$91,2,0),0),0)</f>
        <v>5</v>
      </c>
      <c r="N52" s="305">
        <v>7</v>
      </c>
      <c r="O52" s="55">
        <f>IFERROR(VLOOKUP(B52,[2]RETAIL!$T$8:$AG$63,7,0),0)-IFERROR(IF(B52=100873,VLOOKUP("MAYO",[2]RETAIL!$T$78:$U$91,2,0),0),0)</f>
        <v>6</v>
      </c>
      <c r="P52" s="305">
        <v>7</v>
      </c>
      <c r="Q52" s="55">
        <f>IFERROR(VLOOKUP(B52,[2]RETAIL!$T$8:$AG$63,8,0),0)-IFERROR(IF(B52=100873,VLOOKUP("JUNIO",[2]RETAIL!$T$78:$U$91,2,0),0),0)</f>
        <v>8</v>
      </c>
      <c r="R52" s="305"/>
      <c r="S52" s="55">
        <f>IFERROR(VLOOKUP(D52,[2]RETAIL!$T$8:$AG$63,9,0),0)-IFERROR(IF(D52=100873,VLOOKUP("JULIO",[2]RETAIL!$T$78:$U$91,2,0),0),0)</f>
        <v>0</v>
      </c>
      <c r="T52" s="305"/>
      <c r="U52" s="55">
        <f>IFERROR(VLOOKUP(D52,[2]RETAIL!$T$8:$AG$63,10,0),0)-IFERROR(IF(D52=100873,VLOOKUP("AGOSTO",[2]RETAIL!$T$78:$U$91,2,0),0),0)</f>
        <v>0</v>
      </c>
      <c r="V52" s="305"/>
      <c r="W52" s="55">
        <f>IFERROR(VLOOKUP(D52,[2]RETAIL!$T$8:$AG$63,11,0),0)-IFERROR(IF(D52=100873,VLOOKUP("SEPTIEMBRE",[2]RETAIL!$T$78:$U$91,2,0),0),0)</f>
        <v>0</v>
      </c>
      <c r="X52" s="305"/>
      <c r="Y52" s="55">
        <f>IFERROR(VLOOKUP(D52,[2]RETAIL!$T$8:$AG$63,12,0),0)-IFERROR(IF(D52=100873,VLOOKUP("OCTUBRE",[2]RETAIL!$T$78:$U$91,2,0),0),0)</f>
        <v>0</v>
      </c>
      <c r="Z52" s="305"/>
      <c r="AA52" s="55">
        <f>IFERROR(VLOOKUP(D52,[2]RETAIL!$T$8:$AG$63,13,0),0)-IFERROR(IF(D52=100873,VLOOKUP("NOVIEMBRE",[2]RETAIL!$T$78:$U$91,2,0),0),0)</f>
        <v>0</v>
      </c>
      <c r="AB52" s="305"/>
      <c r="AC52" s="55">
        <f>IFERROR(VLOOKUP(D52,[2]RETAIL!$T$8:$AG$63,14,0),0)-IFERROR(IF(D52=100873,VLOOKUP("DICIEMBRE",[2]RETAIL!$T$78:$U$91,2,0),0),0)</f>
        <v>0</v>
      </c>
      <c r="AD52" s="54">
        <f t="shared" si="32"/>
        <v>40</v>
      </c>
      <c r="AE52" s="86">
        <f>IFERROR(IF($AD$2="ENERO",G52,IF($AD$2="FEBRERO",G52+I52,IF($AD$2="MARZO",G52+I52+K52,IF($AD$2="ABRIL",G52+I52+K52+M52,IF($AD$2="MAYO",G52+I52+K52+M52+O52,IF($AD$2="JUNIO",G52+I52+K52+M52+O52+Q52,IF($AD$2="JULIO",G52+I52+K52+M52+O52+Q52+S52,IF($AD$2="AGOSTO",G52+I52+K52+M52+O52+Q52+S52+U52,IF($AD$2="SEPTIEMBRE",G52+I52+K52+M52+O52+Q52+S52+U52+W52,IF($AD$2="OCTUBRE",G52+I52+K52+M52+O52+Q52+S52+U52+W52+Y52,IF($AD$2="NOVIEMBRE",G52+I52+K52+M52+O52+Q52+S52+U52+W52+Y52+AA52,IF($AD$2="DICIEMBRE",G52+I52+K52+M52+O52+Q52+S52+U52+W52+Y52+AA52+AC52,"")))))))))))),0)</f>
        <v>45</v>
      </c>
      <c r="AF52" s="243">
        <f t="shared" si="28"/>
        <v>1.125</v>
      </c>
      <c r="AG52" s="54">
        <f t="shared" si="33"/>
        <v>40</v>
      </c>
      <c r="AH52" s="86">
        <f>IFERROR(IF($AD$2="ENERO",G52,IF($AD$2="FEBRERO",G52+I52,IF($AD$2="MARZO",G52+I52+K52,IF($AD$2="ABRIL",G52+I52+K52+M52,IF($AD$2="MAYO",G52+I52+K52+M52+O52,IF($AD$2="JUNIO",G52+I52+K52+M52+O52+Q52,IF($AD$2="JULIO",G52+I52+K52+M52+O52+Q52+S52,IF($AD$2="AGOSTO",G52+I52+K52+M52+O52+Q52+S52+U52,IF($AD$2="SEPTIEMBRE",G52+I52+K52+M52+O52+Q52+S52+U52+W52,IF($AD$2="OCTUBRE",G52+I52+K52+M52+O52+Q52+S52+U52+W52+Y52,IF($AD$2="NOVIEMBRE",G52+I52+K52+M52+O52+Q52+S52+U52+W52+Y52+AA52,IF($AD$2="DICIEMBRE",G52+I52+K52+M52+O52+Q52+S52+U52+W52+Y52+AA52+AC52,"")))))))))))),0)</f>
        <v>45</v>
      </c>
      <c r="AI52" s="243">
        <f t="shared" si="29"/>
        <v>1.125</v>
      </c>
      <c r="AJ52" s="54">
        <f t="shared" si="34"/>
        <v>20</v>
      </c>
      <c r="AK52" s="68">
        <f>IFERROR(IF($AJ$3="Q1",G52+I52+K52,IF($AJ$3="Q2",M52+O52++Q52,IF($AJ$3="Q3",S52+U52+W52,IF($AJ$3="Q4",Y52+AA52+AC52,0)))),0)</f>
        <v>26</v>
      </c>
      <c r="AL52" s="56">
        <f t="shared" si="30"/>
        <v>1.3</v>
      </c>
      <c r="AM52" s="54">
        <f t="shared" si="35"/>
        <v>40</v>
      </c>
      <c r="AN52" s="86">
        <f>IFERROR(IF($AM$3="S 1",G52+I52+K52+M52+O52+Q52,IF($AM$3="S 2",S52+U52+W52+Y52+AA52+AC52,0)),0)</f>
        <v>45</v>
      </c>
      <c r="AO52" s="243">
        <f t="shared" si="31"/>
        <v>1.125</v>
      </c>
      <c r="AQ52" s="53"/>
    </row>
    <row r="53" spans="1:43" s="53" customFormat="1" ht="16" customHeight="1" x14ac:dyDescent="0.3">
      <c r="A53" s="53">
        <f>_xlfn.XLOOKUP(B53,[8]Pedidos!$C$7:$C$67,[8]Pedidos!$B$7:$B$67)</f>
        <v>9</v>
      </c>
      <c r="B53" s="179">
        <v>100586</v>
      </c>
      <c r="C53" s="381" t="s">
        <v>67</v>
      </c>
      <c r="D53" s="51">
        <v>34945</v>
      </c>
      <c r="E53" s="309" t="s">
        <v>98</v>
      </c>
      <c r="F53" s="305">
        <v>13</v>
      </c>
      <c r="G53" s="55">
        <f>IFERROR(VLOOKUP(B53,[2]RETAIL!$T$8:$AG$63,3,0),0)-IFERROR(IF(B53=100873,VLOOKUP("ENERO",[2]RETAIL!$T$78:$U$91,2,0),0),0)</f>
        <v>11</v>
      </c>
      <c r="H53" s="305">
        <v>13</v>
      </c>
      <c r="I53" s="55">
        <f>IFERROR(VLOOKUP(B53,[2]RETAIL!$T$8:$AG$63,4,0),0)-IFERROR(IF(B53=100873,VLOOKUP("FEBRERO",[2]RETAIL!$T$78:$U$91,2,0),0),0)</f>
        <v>14</v>
      </c>
      <c r="J53" s="305">
        <v>14</v>
      </c>
      <c r="K53" s="55">
        <f>IFERROR(VLOOKUP(B53,[2]RETAIL!$T$8:$AG$63,5,0),0)-IFERROR(IF(B53=100873,VLOOKUP("MARZO",[2]RETAIL!$T$78:$U$91,2,0),0),0)</f>
        <v>16</v>
      </c>
      <c r="L53" s="305">
        <v>13</v>
      </c>
      <c r="M53" s="55">
        <f>IFERROR(VLOOKUP(B53,[2]RETAIL!$T$8:$AG$63,6,0),0)-IFERROR(IF(B53=100873,VLOOKUP("ABRIL",[2]RETAIL!$T$78:$U$91,2,0),0),0)</f>
        <v>23</v>
      </c>
      <c r="N53" s="305">
        <v>13</v>
      </c>
      <c r="O53" s="55">
        <f>IFERROR(VLOOKUP(B53,[2]RETAIL!$T$8:$AG$63,7,0),0)-IFERROR(IF(B53=100873,VLOOKUP("MAYO",[2]RETAIL!$T$78:$U$91,2,0),0),0)</f>
        <v>16</v>
      </c>
      <c r="P53" s="305">
        <v>14</v>
      </c>
      <c r="Q53" s="55">
        <f>IFERROR(VLOOKUP(B53,[2]RETAIL!$T$8:$AG$63,8,0),0)-IFERROR(IF(B53=100873,VLOOKUP("JUNIO",[2]RETAIL!$T$78:$U$91,2,0),0),0)</f>
        <v>21</v>
      </c>
      <c r="R53" s="305"/>
      <c r="S53" s="55">
        <f>IFERROR(VLOOKUP(D53,[2]RETAIL!$T$8:$AG$63,9,0),0)-IFERROR(IF(D53=100873,VLOOKUP("JULIO",[2]RETAIL!$T$78:$U$91,2,0),0),0)</f>
        <v>0</v>
      </c>
      <c r="T53" s="305"/>
      <c r="U53" s="55">
        <f>IFERROR(VLOOKUP(D53,[2]RETAIL!$T$8:$AG$63,10,0),0)-IFERROR(IF(D53=100873,VLOOKUP("AGOSTO",[2]RETAIL!$T$78:$U$91,2,0),0),0)</f>
        <v>0</v>
      </c>
      <c r="V53" s="305"/>
      <c r="W53" s="55">
        <f>IFERROR(VLOOKUP(D53,[2]RETAIL!$T$8:$AG$63,11,0),0)-IFERROR(IF(D53=100873,VLOOKUP("SEPTIEMBRE",[2]RETAIL!$T$78:$U$91,2,0),0),0)</f>
        <v>0</v>
      </c>
      <c r="X53" s="305"/>
      <c r="Y53" s="55">
        <f>IFERROR(VLOOKUP(D53,[2]RETAIL!$T$8:$AG$63,12,0),0)-IFERROR(IF(D53=100873,VLOOKUP("OCTUBRE",[2]RETAIL!$T$78:$U$91,2,0),0),0)</f>
        <v>0</v>
      </c>
      <c r="Z53" s="305"/>
      <c r="AA53" s="55">
        <f>IFERROR(VLOOKUP(D53,[2]RETAIL!$T$8:$AG$63,13,0),0)-IFERROR(IF(D53=100873,VLOOKUP("NOVIEMBRE",[2]RETAIL!$T$78:$U$91,2,0),0),0)</f>
        <v>0</v>
      </c>
      <c r="AB53" s="305"/>
      <c r="AC53" s="55">
        <f>IFERROR(VLOOKUP(D53,[2]RETAIL!$T$8:$AG$63,14,0),0)-IFERROR(IF(D53=100873,VLOOKUP("DICIEMBRE",[2]RETAIL!$T$78:$U$91,2,0),0),0)</f>
        <v>0</v>
      </c>
      <c r="AD53" s="54">
        <f t="shared" si="32"/>
        <v>80</v>
      </c>
      <c r="AE53" s="86">
        <f>IFERROR(IF($AD$2="ENERO",G53,IF($AD$2="FEBRERO",G53+I53,IF($AD$2="MARZO",G53+I53+K53,IF($AD$2="ABRIL",G53+I53+K53+M53,IF($AD$2="MAYO",G53+I53+K53+M53+O53,IF($AD$2="JUNIO",G53+I53+K53+M53+O53+Q53,IF($AD$2="JULIO",G53+I53+K53+M53+O53+Q53+S53,IF($AD$2="AGOSTO",G53+I53+K53+M53+O53+Q53+S53+U53,IF($AD$2="SEPTIEMBRE",G53+I53+K53+M53+O53+Q53+S53+U53+W53,IF($AD$2="OCTUBRE",G53+I53+K53+M53+O53+Q53+S53+U53+W53+Y53,IF($AD$2="NOVIEMBRE",G53+I53+K53+M53+O53+Q53+S53+U53+W53+Y53+AA53,IF($AD$2="DICIEMBRE",G53+I53+K53+M53+O53+Q53+S53+U53+W53+Y53+AA53+AC53,"")))))))))))),0)</f>
        <v>101</v>
      </c>
      <c r="AF53" s="243">
        <f t="shared" si="28"/>
        <v>1.2625</v>
      </c>
      <c r="AG53" s="54">
        <f t="shared" si="33"/>
        <v>80</v>
      </c>
      <c r="AH53" s="86">
        <f>IFERROR(IF($AD$2="ENERO",G53,IF($AD$2="FEBRERO",G53+I53,IF($AD$2="MARZO",G53+I53+K53,IF($AD$2="ABRIL",G53+I53+K53+M53,IF($AD$2="MAYO",G53+I53+K53+M53+O53,IF($AD$2="JUNIO",G53+I53+K53+M53+O53+Q53,IF($AD$2="JULIO",G53+I53+K53+M53+O53+Q53+S53,IF($AD$2="AGOSTO",G53+I53+K53+M53+O53+Q53+S53+U53,IF($AD$2="SEPTIEMBRE",G53+I53+K53+M53+O53+Q53+S53+U53+W53,IF($AD$2="OCTUBRE",G53+I53+K53+M53+O53+Q53+S53+U53+W53+Y53,IF($AD$2="NOVIEMBRE",G53+I53+K53+M53+O53+Q53+S53+U53+W53+Y53+AA53,IF($AD$2="DICIEMBRE",G53+I53+K53+M53+O53+Q53+S53+U53+W53+Y53+AA53+AC53,"")))))))))))),0)</f>
        <v>101</v>
      </c>
      <c r="AI53" s="243">
        <f t="shared" si="29"/>
        <v>1.2625</v>
      </c>
      <c r="AJ53" s="54">
        <f t="shared" si="34"/>
        <v>40</v>
      </c>
      <c r="AK53" s="68">
        <f>IFERROR(IF($AJ$3="Q1",G53+I53+K53,IF($AJ$3="Q2",M53+O53++Q53,IF($AJ$3="Q3",S53+U53+W53,IF($AJ$3="Q4",Y53+AA53+AC53,0)))),0)</f>
        <v>41</v>
      </c>
      <c r="AL53" s="56">
        <f t="shared" si="30"/>
        <v>1.0249999999999999</v>
      </c>
      <c r="AM53" s="54">
        <f t="shared" si="35"/>
        <v>80</v>
      </c>
      <c r="AN53" s="86">
        <f>IFERROR(IF($AM$3="S 1",G53+I53+K53+M53+O53+Q53,IF($AM$3="S 2",S53+U53+W53+Y53+AA53+AC53,0)),0)</f>
        <v>101</v>
      </c>
      <c r="AO53" s="243">
        <f t="shared" si="31"/>
        <v>1.2625</v>
      </c>
    </row>
    <row r="54" spans="1:43" s="53" customFormat="1" ht="16" customHeight="1" thickBot="1" x14ac:dyDescent="0.35">
      <c r="A54" s="53">
        <f>_xlfn.XLOOKUP(B54,[8]Pedidos!$C$7:$C$67,[8]Pedidos!$B$7:$B$67)</f>
        <v>9</v>
      </c>
      <c r="B54" s="179">
        <v>100813</v>
      </c>
      <c r="C54" s="381" t="s">
        <v>68</v>
      </c>
      <c r="D54" s="51">
        <v>34945</v>
      </c>
      <c r="E54" s="309" t="s">
        <v>98</v>
      </c>
      <c r="F54" s="305">
        <v>4</v>
      </c>
      <c r="G54" s="55">
        <f>IFERROR(VLOOKUP(B54,[2]RETAIL!$T$8:$AG$63,3,0),0)-IFERROR(IF(B54=100873,VLOOKUP("ENERO",[2]RETAIL!$T$78:$U$91,2,0),0),0)</f>
        <v>5</v>
      </c>
      <c r="H54" s="305">
        <v>4</v>
      </c>
      <c r="I54" s="55">
        <f>IFERROR(VLOOKUP(B54,[2]RETAIL!$T$8:$AG$63,4,0),0)-IFERROR(IF(B54=100873,VLOOKUP("FEBRERO",[2]RETAIL!$T$78:$U$91,2,0),0),0)</f>
        <v>6</v>
      </c>
      <c r="J54" s="305">
        <v>4</v>
      </c>
      <c r="K54" s="55">
        <f>IFERROR(VLOOKUP(B54,[2]RETAIL!$T$8:$AG$63,5,0),0)-IFERROR(IF(B54=100873,VLOOKUP("MARZO",[2]RETAIL!$T$78:$U$91,2,0),0),0)</f>
        <v>9</v>
      </c>
      <c r="L54" s="305">
        <v>4</v>
      </c>
      <c r="M54" s="55">
        <f>IFERROR(VLOOKUP(B54,[2]RETAIL!$T$8:$AG$63,6,0),0)-IFERROR(IF(B54=100873,VLOOKUP("ABRIL",[2]RETAIL!$T$78:$U$91,2,0),0),0)</f>
        <v>6</v>
      </c>
      <c r="N54" s="305">
        <v>4</v>
      </c>
      <c r="O54" s="55">
        <f>IFERROR(VLOOKUP(B54,[2]RETAIL!$T$8:$AG$63,7,0),0)-IFERROR(IF(B54=100873,VLOOKUP("MAYO",[2]RETAIL!$T$78:$U$91,2,0),0),0)</f>
        <v>12</v>
      </c>
      <c r="P54" s="305">
        <v>5</v>
      </c>
      <c r="Q54" s="55">
        <f>IFERROR(VLOOKUP(B54,[2]RETAIL!$T$8:$AG$63,8,0),0)-IFERROR(IF(B54=100873,VLOOKUP("JUNIO",[2]RETAIL!$T$78:$U$91,2,0),0),0)</f>
        <v>8</v>
      </c>
      <c r="R54" s="305"/>
      <c r="S54" s="55">
        <f>IFERROR(VLOOKUP(D54,[2]RETAIL!$T$8:$AG$63,9,0),0)-IFERROR(IF(D54=100873,VLOOKUP("JULIO",[2]RETAIL!$T$78:$U$91,2,0),0),0)</f>
        <v>0</v>
      </c>
      <c r="T54" s="305"/>
      <c r="U54" s="55">
        <f>IFERROR(VLOOKUP(D54,[2]RETAIL!$T$8:$AG$63,10,0),0)-IFERROR(IF(D54=100873,VLOOKUP("AGOSTO",[2]RETAIL!$T$78:$U$91,2,0),0),0)</f>
        <v>0</v>
      </c>
      <c r="V54" s="305"/>
      <c r="W54" s="55">
        <f>IFERROR(VLOOKUP(D54,[2]RETAIL!$T$8:$AG$63,11,0),0)-IFERROR(IF(D54=100873,VLOOKUP("SEPTIEMBRE",[2]RETAIL!$T$78:$U$91,2,0),0),0)</f>
        <v>0</v>
      </c>
      <c r="X54" s="305"/>
      <c r="Y54" s="55">
        <f>IFERROR(VLOOKUP(D54,[2]RETAIL!$T$8:$AG$63,12,0),0)-IFERROR(IF(D54=100873,VLOOKUP("OCTUBRE",[2]RETAIL!$T$78:$U$91,2,0),0),0)</f>
        <v>0</v>
      </c>
      <c r="Z54" s="305"/>
      <c r="AA54" s="55">
        <f>IFERROR(VLOOKUP(D54,[2]RETAIL!$T$8:$AG$63,13,0),0)-IFERROR(IF(D54=100873,VLOOKUP("NOVIEMBRE",[2]RETAIL!$T$78:$U$91,2,0),0),0)</f>
        <v>0</v>
      </c>
      <c r="AB54" s="305"/>
      <c r="AC54" s="55">
        <f>IFERROR(VLOOKUP(D54,[2]RETAIL!$T$8:$AG$63,14,0),0)-IFERROR(IF(D54=100873,VLOOKUP("DICIEMBRE",[2]RETAIL!$T$78:$U$91,2,0),0),0)</f>
        <v>0</v>
      </c>
      <c r="AD54" s="54">
        <f t="shared" si="32"/>
        <v>25</v>
      </c>
      <c r="AE54" s="86">
        <f>IFERROR(IF($AD$2="ENERO",G54,IF($AD$2="FEBRERO",G54+I54,IF($AD$2="MARZO",G54+I54+K54,IF($AD$2="ABRIL",G54+I54+K54+M54,IF($AD$2="MAYO",G54+I54+K54+M54+O54,IF($AD$2="JUNIO",G54+I54+K54+M54+O54+Q54,IF($AD$2="JULIO",G54+I54+K54+M54+O54+Q54+S54,IF($AD$2="AGOSTO",G54+I54+K54+M54+O54+Q54+S54+U54,IF($AD$2="SEPTIEMBRE",G54+I54+K54+M54+O54+Q54+S54+U54+W54,IF($AD$2="OCTUBRE",G54+I54+K54+M54+O54+Q54+S54+U54+W54+Y54,IF($AD$2="NOVIEMBRE",G54+I54+K54+M54+O54+Q54+S54+U54+W54+Y54+AA54,IF($AD$2="DICIEMBRE",G54+I54+K54+M54+O54+Q54+S54+U54+W54+Y54+AA54+AC54,"")))))))))))),0)</f>
        <v>46</v>
      </c>
      <c r="AF54" s="243">
        <f t="shared" si="28"/>
        <v>1.84</v>
      </c>
      <c r="AG54" s="54">
        <f t="shared" si="33"/>
        <v>25</v>
      </c>
      <c r="AH54" s="86">
        <f>IFERROR(IF($AD$2="ENERO",G54,IF($AD$2="FEBRERO",G54+I54,IF($AD$2="MARZO",G54+I54+K54,IF($AD$2="ABRIL",G54+I54+K54+M54,IF($AD$2="MAYO",G54+I54+K54+M54+O54,IF($AD$2="JUNIO",G54+I54+K54+M54+O54+Q54,IF($AD$2="JULIO",G54+I54+K54+M54+O54+Q54+S54,IF($AD$2="AGOSTO",G54+I54+K54+M54+O54+Q54+S54+U54,IF($AD$2="SEPTIEMBRE",G54+I54+K54+M54+O54+Q54+S54+U54+W54,IF($AD$2="OCTUBRE",G54+I54+K54+M54+O54+Q54+S54+U54+W54+Y54,IF($AD$2="NOVIEMBRE",G54+I54+K54+M54+O54+Q54+S54+U54+W54+Y54+AA54,IF($AD$2="DICIEMBRE",G54+I54+K54+M54+O54+Q54+S54+U54+W54+Y54+AA54+AC54,"")))))))))))),0)</f>
        <v>46</v>
      </c>
      <c r="AI54" s="243">
        <f t="shared" si="29"/>
        <v>1.84</v>
      </c>
      <c r="AJ54" s="54">
        <f t="shared" si="34"/>
        <v>12</v>
      </c>
      <c r="AK54" s="68">
        <f>IFERROR(IF($AJ$3="Q1",G54+I54+K54,IF($AJ$3="Q2",M54+O54++Q54,IF($AJ$3="Q3",S54+U54+W54,IF($AJ$3="Q4",Y54+AA54+AC54,0)))),0)</f>
        <v>20</v>
      </c>
      <c r="AL54" s="56">
        <f t="shared" si="30"/>
        <v>1.6666666666666667</v>
      </c>
      <c r="AM54" s="54">
        <f t="shared" si="35"/>
        <v>25</v>
      </c>
      <c r="AN54" s="86">
        <f>IFERROR(IF($AM$3="S 1",G54+I54+K54+M54+O54+Q54,IF($AM$3="S 2",S54+U54+W54+Y54+AA54+AC54,0)),0)</f>
        <v>46</v>
      </c>
      <c r="AO54" s="243">
        <f t="shared" si="31"/>
        <v>1.84</v>
      </c>
    </row>
    <row r="55" spans="1:43" s="53" customFormat="1" ht="16" customHeight="1" thickBot="1" x14ac:dyDescent="0.35">
      <c r="B55" s="180" t="s">
        <v>271</v>
      </c>
      <c r="C55" s="62"/>
      <c r="D55" s="80"/>
      <c r="E55" s="265"/>
      <c r="F55" s="418">
        <f t="shared" ref="F55:AC55" si="40">SUM(F50:F54)</f>
        <v>50</v>
      </c>
      <c r="G55" s="264">
        <f t="shared" si="40"/>
        <v>43</v>
      </c>
      <c r="H55" s="418">
        <f t="shared" si="40"/>
        <v>52</v>
      </c>
      <c r="I55" s="264">
        <f t="shared" si="40"/>
        <v>36</v>
      </c>
      <c r="J55" s="418">
        <f t="shared" si="40"/>
        <v>53</v>
      </c>
      <c r="K55" s="264">
        <f t="shared" si="40"/>
        <v>76</v>
      </c>
      <c r="L55" s="418">
        <f t="shared" si="40"/>
        <v>51</v>
      </c>
      <c r="M55" s="264">
        <f t="shared" si="40"/>
        <v>71</v>
      </c>
      <c r="N55" s="418">
        <f t="shared" si="40"/>
        <v>53</v>
      </c>
      <c r="O55" s="264">
        <f t="shared" si="40"/>
        <v>68</v>
      </c>
      <c r="P55" s="418">
        <f t="shared" si="40"/>
        <v>56</v>
      </c>
      <c r="Q55" s="264">
        <f t="shared" si="40"/>
        <v>59</v>
      </c>
      <c r="R55" s="418">
        <f t="shared" si="40"/>
        <v>8</v>
      </c>
      <c r="S55" s="264">
        <f t="shared" si="40"/>
        <v>0</v>
      </c>
      <c r="T55" s="418">
        <f t="shared" si="40"/>
        <v>4</v>
      </c>
      <c r="U55" s="264">
        <f t="shared" si="40"/>
        <v>0</v>
      </c>
      <c r="V55" s="418">
        <f t="shared" si="40"/>
        <v>8</v>
      </c>
      <c r="W55" s="264">
        <f t="shared" si="40"/>
        <v>0</v>
      </c>
      <c r="X55" s="418">
        <f t="shared" si="40"/>
        <v>7</v>
      </c>
      <c r="Y55" s="264">
        <f t="shared" si="40"/>
        <v>0</v>
      </c>
      <c r="Z55" s="418">
        <f t="shared" si="40"/>
        <v>7</v>
      </c>
      <c r="AA55" s="264">
        <f t="shared" si="40"/>
        <v>0</v>
      </c>
      <c r="AB55" s="418">
        <f t="shared" si="40"/>
        <v>6</v>
      </c>
      <c r="AC55" s="264">
        <f t="shared" si="40"/>
        <v>0</v>
      </c>
      <c r="AD55" s="155">
        <f t="shared" ref="AD55:AE64" si="41">IF($AD$2="ENERO",F55,IF($AD$2="FEBRERO",F55+H55,IF($AD$2="MARZO",F55+H55+J55,IF($AD$2="ABRIL",F55+H55+J55+L55,IF($AD$2="MAYO",F55+H55+J55+L55+N55,IF($AD$2="JUNIO",F55+H55+J55+L55+N55+P55,IF($AD$2="JULIO",F55+H55+J55+L55+N55+P55+R55,IF($AD$2="AGOSTO",F55+H55+J55+L55+N55+P55+R55+T55,IF($AD$2="SEPTIEMBRE",F55+H55+J55+L55+N55+P55+R55+T55+V55,IF($AD$2="OCTUBRE",F55+H55+J55+L55+N55+P55+R55+T55+V55+X55,IF($AD$2="NOVIEMBRE",F55+H55+J55+L55+N55+P55+R55+T55+V55+X55+Z55,IF($AD$2="DICIEMBRE",F55+H55+J55+L55+N55+P55+R55+T55+V55+X55+Z55+AB55,""))))))))))))</f>
        <v>315</v>
      </c>
      <c r="AE55" s="94">
        <f t="shared" si="41"/>
        <v>353</v>
      </c>
      <c r="AF55" s="424">
        <f t="shared" si="28"/>
        <v>1.1206349206349207</v>
      </c>
      <c r="AG55" s="155">
        <f t="shared" si="33"/>
        <v>355</v>
      </c>
      <c r="AH55" s="94">
        <f>IF($AD$2="ENERO",G55,IF($AD$2="FEBRERO",G55+I55,IF($AD$2="MARZO",G55+I55+K55,IF($AD$2="ABRIL",G55+I55+K55+M55,IF($AD$2="MAYO",G55+I55+K55+M55+O55,IF($AD$2="JUNIO",G55+I55+K55+M55+O55+Q55,IF($AD$2="JULIO",G55+I55+K55+M55+O55+Q55+S55,IF($AD$2="AGOSTO",G55+I55+K55+M55+O55+Q55+S55+U55,IF($AD$2="SEPTIEMBRE",G55+I55+K55+M55+O55+Q55+S55+U55+W55,IF($AD$2="OCTUBRE",G55+I55+K55+M55+O55+Q55+S55+U55+W55+Y55,IF($AD$2="NOVIEMBRE",G55+I55+K55+M55+O55+Q55+S55+U55+W55+Y55+AA55,IF($AD$2="DICIEMBRE",G55+I55+K55+M55+O55+Q55+S55+U55+W55+Y55+AA55+AC55,""))))))))))))</f>
        <v>353</v>
      </c>
      <c r="AI55" s="424">
        <f t="shared" si="29"/>
        <v>0.9943661971830986</v>
      </c>
      <c r="AJ55" s="63">
        <f t="shared" ref="AJ55:AK64" si="42">IF($AJ$3="Q1",F55+H55+J55,IF($AJ$3="Q2",L55+N55++P55,IF($AJ$3="Q3",R55+T55+V55,IF($AJ$3="Q4",X55+Z55+AB55,0))))</f>
        <v>155</v>
      </c>
      <c r="AK55" s="65">
        <f t="shared" si="42"/>
        <v>155</v>
      </c>
      <c r="AL55" s="66">
        <f t="shared" si="30"/>
        <v>1</v>
      </c>
      <c r="AM55" s="155">
        <f t="shared" si="35"/>
        <v>315</v>
      </c>
      <c r="AN55" s="94">
        <f>IF($AM$3="S 1",G55+I55+K55+M55+O55+Q55,IF($AM$3="S 2",S55+U55+W55+Y55+AA55+AC55,0))</f>
        <v>353</v>
      </c>
      <c r="AO55" s="424">
        <f t="shared" si="31"/>
        <v>1.1206349206349207</v>
      </c>
    </row>
    <row r="56" spans="1:43" s="53" customFormat="1" ht="16" customHeight="1" x14ac:dyDescent="0.3">
      <c r="A56" s="53">
        <f>_xlfn.XLOOKUP(B56,[8]Pedidos!$C$7:$C$67,[8]Pedidos!$B$7:$B$67)</f>
        <v>10</v>
      </c>
      <c r="B56" s="179">
        <v>100344</v>
      </c>
      <c r="C56" s="381" t="s">
        <v>25</v>
      </c>
      <c r="D56" s="51">
        <v>9144</v>
      </c>
      <c r="E56" s="309" t="s">
        <v>203</v>
      </c>
      <c r="F56" s="304">
        <v>7</v>
      </c>
      <c r="G56" s="55">
        <f>IFERROR(VLOOKUP(B56,[2]RETAIL!$T$8:$AG$63,3,0),0)-IFERROR(IF(B56=100873,VLOOKUP("ENERO",[2]RETAIL!$T$78:$U$91,2,0),0),0)</f>
        <v>5</v>
      </c>
      <c r="H56" s="304">
        <v>7</v>
      </c>
      <c r="I56" s="55">
        <f>IFERROR(VLOOKUP(B56,[2]RETAIL!$T$8:$AG$63,4,0),0)-IFERROR(IF(B56=100873,VLOOKUP("FEBRERO",[2]RETAIL!$T$78:$U$91,2,0),0),0)</f>
        <v>12</v>
      </c>
      <c r="J56" s="304">
        <v>7</v>
      </c>
      <c r="K56" s="55">
        <f>IFERROR(VLOOKUP(B56,[2]RETAIL!$T$8:$AG$63,5,0),0)-IFERROR(IF(B56=100873,VLOOKUP("MARZO",[2]RETAIL!$T$78:$U$91,2,0),0),0)</f>
        <v>7</v>
      </c>
      <c r="L56" s="304">
        <v>8</v>
      </c>
      <c r="M56" s="55">
        <f>IFERROR(VLOOKUP(B56,[2]RETAIL!$T$8:$AG$63,6,0),0)-IFERROR(IF(B56=100873,VLOOKUP("ABRIL",[2]RETAIL!$T$78:$U$91,2,0),0),0)</f>
        <v>5</v>
      </c>
      <c r="N56" s="304">
        <v>8</v>
      </c>
      <c r="O56" s="55">
        <f>IFERROR(VLOOKUP(B56,[2]RETAIL!$T$8:$AG$63,7,0),0)-IFERROR(IF(B56=100873,VLOOKUP("MAYO",[2]RETAIL!$T$78:$U$91,2,0),0),0)</f>
        <v>8</v>
      </c>
      <c r="P56" s="304">
        <v>8</v>
      </c>
      <c r="Q56" s="55">
        <f>IFERROR(VLOOKUP(B56,[2]RETAIL!$T$8:$AG$63,8,0),0)-IFERROR(IF(B56=100873,VLOOKUP("JUNIO",[2]RETAIL!$T$78:$U$91,2,0),0),0)</f>
        <v>13</v>
      </c>
      <c r="R56" s="305"/>
      <c r="S56" s="55">
        <f>IFERROR(VLOOKUP(D56,[2]RETAIL!$T$8:$AG$63,9,0),0)-IFERROR(IF(D56=100873,VLOOKUP("JULIO",[2]RETAIL!$T$78:$U$91,2,0),0),0)</f>
        <v>0</v>
      </c>
      <c r="T56" s="305"/>
      <c r="U56" s="55">
        <f>IFERROR(VLOOKUP(D56,[2]RETAIL!$T$8:$AG$63,10,0),0)-IFERROR(IF(D56=100873,VLOOKUP("AGOSTO",[2]RETAIL!$T$78:$U$91,2,0),0),0)</f>
        <v>0</v>
      </c>
      <c r="V56" s="305"/>
      <c r="W56" s="55">
        <f>IFERROR(VLOOKUP(D56,[2]RETAIL!$T$8:$AG$63,11,0),0)-IFERROR(IF(D56=100873,VLOOKUP("SEPTIEMBRE",[2]RETAIL!$T$78:$U$91,2,0),0),0)</f>
        <v>0</v>
      </c>
      <c r="X56" s="305"/>
      <c r="Y56" s="55">
        <f>IFERROR(VLOOKUP(D56,[2]RETAIL!$T$8:$AG$63,12,0),0)-IFERROR(IF(D56=100873,VLOOKUP("OCTUBRE",[2]RETAIL!$T$78:$U$91,2,0),0),0)</f>
        <v>0</v>
      </c>
      <c r="Z56" s="305"/>
      <c r="AA56" s="55">
        <f>IFERROR(VLOOKUP(D56,[2]RETAIL!$T$8:$AG$63,13,0),0)-IFERROR(IF(D56=100873,VLOOKUP("NOVIEMBRE",[2]RETAIL!$T$78:$U$91,2,0),0),0)</f>
        <v>0</v>
      </c>
      <c r="AB56" s="305"/>
      <c r="AC56" s="55">
        <f>IFERROR(VLOOKUP(D56,[2]RETAIL!$T$8:$AG$63,14,0),0)-IFERROR(IF(D56=100873,VLOOKUP("DICIEMBRE",[2]RETAIL!$T$78:$U$91,2,0),0),0)</f>
        <v>0</v>
      </c>
      <c r="AD56" s="67">
        <f t="shared" si="41"/>
        <v>45</v>
      </c>
      <c r="AE56" s="68">
        <f t="shared" ref="AE56:AE61" si="43">IFERROR(IF($AD$2="ENERO",G56,IF($AD$2="FEBRERO",G56+I56,IF($AD$2="MARZO",G56+I56+K56,IF($AD$2="ABRIL",G56+I56+K56+M56,IF($AD$2="MAYO",G56+I56+K56+M56+O56,IF($AD$2="JUNIO",G56+I56+K56+M56+O56+Q56,IF($AD$2="JULIO",G56+I56+K56+M56+O56+Q56+S56,IF($AD$2="AGOSTO",G56+I56+K56+M56+O56+Q56+S56+U56,IF($AD$2="SEPTIEMBRE",G56+I56+K56+M56+O56+Q56+S56+U56+W56,IF($AD$2="OCTUBRE",G56+I56+K56+M56+O56+Q56+S56+U56+W56+Y56,IF($AD$2="NOVIEMBRE",G56+I56+K56+M56+O56+Q56+S56+U56+W56+Y56+AA56,IF($AD$2="DICIEMBRE",G56+I56+K56+M56+O56+Q56+S56+U56+W56+Y56+AA56+AC56,"")))))))))))),0)</f>
        <v>50</v>
      </c>
      <c r="AF56" s="383">
        <f t="shared" si="28"/>
        <v>1.1111111111111112</v>
      </c>
      <c r="AG56" s="67">
        <f t="shared" si="33"/>
        <v>45</v>
      </c>
      <c r="AH56" s="68">
        <f t="shared" ref="AH56:AH61" si="44">IFERROR(IF($AD$2="ENERO",G56,IF($AD$2="FEBRERO",G56+I56,IF($AD$2="MARZO",G56+I56+K56,IF($AD$2="ABRIL",G56+I56+K56+M56,IF($AD$2="MAYO",G56+I56+K56+M56+O56,IF($AD$2="JUNIO",G56+I56+K56+M56+O56+Q56,IF($AD$2="JULIO",G56+I56+K56+M56+O56+Q56+S56,IF($AD$2="AGOSTO",G56+I56+K56+M56+O56+Q56+S56+U56,IF($AD$2="SEPTIEMBRE",G56+I56+K56+M56+O56+Q56+S56+U56+W56,IF($AD$2="OCTUBRE",G56+I56+K56+M56+O56+Q56+S56+U56+W56+Y56,IF($AD$2="NOVIEMBRE",G56+I56+K56+M56+O56+Q56+S56+U56+W56+Y56+AA56,IF($AD$2="DICIEMBRE",G56+I56+K56+M56+O56+Q56+S56+U56+W56+Y56+AA56+AC56,"")))))))))))),0)</f>
        <v>50</v>
      </c>
      <c r="AI56" s="383">
        <f t="shared" si="29"/>
        <v>1.1111111111111112</v>
      </c>
      <c r="AJ56" s="67">
        <f t="shared" si="42"/>
        <v>21</v>
      </c>
      <c r="AK56" s="68">
        <f t="shared" ref="AK56:AK61" si="45">IFERROR(IF($AJ$3="Q1",G56+I56+K56,IF($AJ$3="Q2",M56+O56++Q56,IF($AJ$3="Q3",S56+U56+W56,IF($AJ$3="Q4",Y56+AA56+AC56,0)))),0)</f>
        <v>24</v>
      </c>
      <c r="AL56" s="69">
        <f t="shared" si="30"/>
        <v>1.1428571428571428</v>
      </c>
      <c r="AM56" s="67">
        <f t="shared" si="35"/>
        <v>45</v>
      </c>
      <c r="AN56" s="68">
        <f t="shared" ref="AN56:AN61" si="46">IFERROR(IF($AM$3="S 1",G56+I56+K56+M56+O56+Q56,IF($AM$3="S 2",S56+U56+W56+Y56+AA56+AC56,0)),0)</f>
        <v>50</v>
      </c>
      <c r="AO56" s="383">
        <f t="shared" si="31"/>
        <v>1.1111111111111112</v>
      </c>
    </row>
    <row r="57" spans="1:43" s="53" customFormat="1" ht="16" customHeight="1" x14ac:dyDescent="0.3">
      <c r="A57" s="53">
        <f>_xlfn.XLOOKUP(B57,[8]Pedidos!$C$7:$C$67,[8]Pedidos!$B$7:$B$67)</f>
        <v>10</v>
      </c>
      <c r="B57" s="179">
        <v>100422</v>
      </c>
      <c r="C57" s="381" t="s">
        <v>20</v>
      </c>
      <c r="D57" s="51">
        <v>9144</v>
      </c>
      <c r="E57" s="309" t="s">
        <v>203</v>
      </c>
      <c r="F57" s="305">
        <v>2</v>
      </c>
      <c r="G57" s="55">
        <f>IFERROR(VLOOKUP(B57,[2]RETAIL!$T$8:$AG$63,3,0),0)-IFERROR(IF(B57=100873,VLOOKUP("ENERO",[2]RETAIL!$T$78:$U$91,2,0),0),0)</f>
        <v>6</v>
      </c>
      <c r="H57" s="305">
        <v>3</v>
      </c>
      <c r="I57" s="55">
        <f>IFERROR(VLOOKUP(B57,[2]RETAIL!$T$8:$AG$63,4,0),0)-IFERROR(IF(B57=100873,VLOOKUP("FEBRERO",[2]RETAIL!$T$78:$U$91,2,0),0),0)</f>
        <v>2</v>
      </c>
      <c r="J57" s="305">
        <v>3</v>
      </c>
      <c r="K57" s="55">
        <f>IFERROR(VLOOKUP(B57,[2]RETAIL!$T$8:$AG$63,5,0),0)-IFERROR(IF(B57=100873,VLOOKUP("MARZO",[2]RETAIL!$T$78:$U$91,2,0),0),0)</f>
        <v>1</v>
      </c>
      <c r="L57" s="305">
        <v>3</v>
      </c>
      <c r="M57" s="55">
        <f>IFERROR(VLOOKUP(B57,[2]RETAIL!$T$8:$AG$63,6,0),0)-IFERROR(IF(B57=100873,VLOOKUP("ABRIL",[2]RETAIL!$T$78:$U$91,2,0),0),0)</f>
        <v>2</v>
      </c>
      <c r="N57" s="305">
        <v>3</v>
      </c>
      <c r="O57" s="55">
        <f>IFERROR(VLOOKUP(B57,[2]RETAIL!$T$8:$AG$63,7,0),0)-IFERROR(IF(B57=100873,VLOOKUP("MAYO",[2]RETAIL!$T$78:$U$91,2,0),0),0)</f>
        <v>5</v>
      </c>
      <c r="P57" s="305">
        <v>3</v>
      </c>
      <c r="Q57" s="55">
        <f>IFERROR(VLOOKUP(B57,[2]RETAIL!$T$8:$AG$63,8,0),0)-IFERROR(IF(B57=100873,VLOOKUP("JUNIO",[2]RETAIL!$T$78:$U$91,2,0),0),0)</f>
        <v>5</v>
      </c>
      <c r="R57" s="305"/>
      <c r="S57" s="55">
        <f>IFERROR(VLOOKUP(D57,[2]RETAIL!$T$8:$AG$63,9,0),0)-IFERROR(IF(D57=100873,VLOOKUP("JULIO",[2]RETAIL!$T$78:$U$91,2,0),0),0)</f>
        <v>0</v>
      </c>
      <c r="T57" s="305"/>
      <c r="U57" s="55">
        <f>IFERROR(VLOOKUP(D57,[2]RETAIL!$T$8:$AG$63,10,0),0)-IFERROR(IF(D57=100873,VLOOKUP("AGOSTO",[2]RETAIL!$T$78:$U$91,2,0),0),0)</f>
        <v>0</v>
      </c>
      <c r="V57" s="305"/>
      <c r="W57" s="55">
        <f>IFERROR(VLOOKUP(D57,[2]RETAIL!$T$8:$AG$63,11,0),0)-IFERROR(IF(D57=100873,VLOOKUP("SEPTIEMBRE",[2]RETAIL!$T$78:$U$91,2,0),0),0)</f>
        <v>0</v>
      </c>
      <c r="X57" s="305"/>
      <c r="Y57" s="55">
        <f>IFERROR(VLOOKUP(D57,[2]RETAIL!$T$8:$AG$63,12,0),0)-IFERROR(IF(D57=100873,VLOOKUP("OCTUBRE",[2]RETAIL!$T$78:$U$91,2,0),0),0)</f>
        <v>0</v>
      </c>
      <c r="Z57" s="305"/>
      <c r="AA57" s="55">
        <f>IFERROR(VLOOKUP(D57,[2]RETAIL!$T$8:$AG$63,13,0),0)-IFERROR(IF(D57=100873,VLOOKUP("NOVIEMBRE",[2]RETAIL!$T$78:$U$91,2,0),0),0)</f>
        <v>0</v>
      </c>
      <c r="AB57" s="305"/>
      <c r="AC57" s="55">
        <f>IFERROR(VLOOKUP(D57,[2]RETAIL!$T$8:$AG$63,14,0),0)-IFERROR(IF(D57=100873,VLOOKUP("DICIEMBRE",[2]RETAIL!$T$78:$U$91,2,0),0),0)</f>
        <v>0</v>
      </c>
      <c r="AD57" s="54">
        <f t="shared" si="41"/>
        <v>17</v>
      </c>
      <c r="AE57" s="86">
        <f t="shared" si="43"/>
        <v>21</v>
      </c>
      <c r="AF57" s="243">
        <f t="shared" si="28"/>
        <v>1.2352941176470589</v>
      </c>
      <c r="AG57" s="54">
        <f t="shared" si="33"/>
        <v>17</v>
      </c>
      <c r="AH57" s="86">
        <f t="shared" si="44"/>
        <v>21</v>
      </c>
      <c r="AI57" s="243">
        <f t="shared" si="29"/>
        <v>1.2352941176470589</v>
      </c>
      <c r="AJ57" s="54">
        <f t="shared" si="42"/>
        <v>8</v>
      </c>
      <c r="AK57" s="68">
        <f t="shared" si="45"/>
        <v>9</v>
      </c>
      <c r="AL57" s="56">
        <f t="shared" si="30"/>
        <v>1.125</v>
      </c>
      <c r="AM57" s="54">
        <f t="shared" si="35"/>
        <v>17</v>
      </c>
      <c r="AN57" s="86">
        <f t="shared" si="46"/>
        <v>21</v>
      </c>
      <c r="AO57" s="243">
        <f t="shared" si="31"/>
        <v>1.2352941176470589</v>
      </c>
    </row>
    <row r="58" spans="1:43" s="53" customFormat="1" ht="16" customHeight="1" x14ac:dyDescent="0.3">
      <c r="A58" s="53">
        <f>_xlfn.XLOOKUP(B58,[8]Pedidos!$C$7:$C$67,[8]Pedidos!$B$7:$B$67)</f>
        <v>10</v>
      </c>
      <c r="B58" s="179">
        <v>100549</v>
      </c>
      <c r="C58" s="381" t="s">
        <v>66</v>
      </c>
      <c r="D58" s="51">
        <v>9144</v>
      </c>
      <c r="E58" s="309" t="s">
        <v>203</v>
      </c>
      <c r="F58" s="305">
        <v>2</v>
      </c>
      <c r="G58" s="55">
        <f>IFERROR(VLOOKUP(B58,[2]RETAIL!$T$8:$AG$63,3,0),0)-IFERROR(IF(B58=100873,VLOOKUP("ENERO",[2]RETAIL!$T$78:$U$91,2,0),0),0)</f>
        <v>3</v>
      </c>
      <c r="H58" s="305">
        <v>2</v>
      </c>
      <c r="I58" s="55">
        <f>IFERROR(VLOOKUP(B58,[2]RETAIL!$T$8:$AG$63,4,0),0)-IFERROR(IF(B58=100873,VLOOKUP("FEBRERO",[2]RETAIL!$T$78:$U$91,2,0),0),0)</f>
        <v>1</v>
      </c>
      <c r="J58" s="305">
        <v>2</v>
      </c>
      <c r="K58" s="55">
        <f>IFERROR(VLOOKUP(B58,[2]RETAIL!$T$8:$AG$63,5,0),0)-IFERROR(IF(B58=100873,VLOOKUP("MARZO",[2]RETAIL!$T$78:$U$91,2,0),0),0)</f>
        <v>1</v>
      </c>
      <c r="L58" s="305">
        <v>2</v>
      </c>
      <c r="M58" s="55">
        <f>IFERROR(VLOOKUP(B58,[2]RETAIL!$T$8:$AG$63,6,0),0)-IFERROR(IF(B58=100873,VLOOKUP("ABRIL",[2]RETAIL!$T$78:$U$91,2,0),0),0)</f>
        <v>4</v>
      </c>
      <c r="N58" s="305">
        <v>2</v>
      </c>
      <c r="O58" s="55">
        <f>IFERROR(VLOOKUP(B58,[2]RETAIL!$T$8:$AG$63,7,0),0)-IFERROR(IF(B58=100873,VLOOKUP("MAYO",[2]RETAIL!$T$78:$U$91,2,0),0),0)</f>
        <v>5</v>
      </c>
      <c r="P58" s="305">
        <v>2</v>
      </c>
      <c r="Q58" s="55">
        <f>IFERROR(VLOOKUP(B58,[2]RETAIL!$T$8:$AG$63,8,0),0)-IFERROR(IF(B58=100873,VLOOKUP("JUNIO",[2]RETAIL!$T$78:$U$91,2,0),0),0)</f>
        <v>5</v>
      </c>
      <c r="R58" s="305"/>
      <c r="S58" s="55">
        <f>IFERROR(VLOOKUP(D58,[2]RETAIL!$T$8:$AG$63,9,0),0)-IFERROR(IF(D58=100873,VLOOKUP("JULIO",[2]RETAIL!$T$78:$U$91,2,0),0),0)</f>
        <v>0</v>
      </c>
      <c r="T58" s="305"/>
      <c r="U58" s="55">
        <f>IFERROR(VLOOKUP(D58,[2]RETAIL!$T$8:$AG$63,10,0),0)-IFERROR(IF(D58=100873,VLOOKUP("AGOSTO",[2]RETAIL!$T$78:$U$91,2,0),0),0)</f>
        <v>0</v>
      </c>
      <c r="V58" s="305"/>
      <c r="W58" s="55">
        <f>IFERROR(VLOOKUP(D58,[2]RETAIL!$T$8:$AG$63,11,0),0)-IFERROR(IF(D58=100873,VLOOKUP("SEPTIEMBRE",[2]RETAIL!$T$78:$U$91,2,0),0),0)</f>
        <v>0</v>
      </c>
      <c r="X58" s="305"/>
      <c r="Y58" s="55">
        <f>IFERROR(VLOOKUP(D58,[2]RETAIL!$T$8:$AG$63,12,0),0)-IFERROR(IF(D58=100873,VLOOKUP("OCTUBRE",[2]RETAIL!$T$78:$U$91,2,0),0),0)</f>
        <v>0</v>
      </c>
      <c r="Z58" s="305"/>
      <c r="AA58" s="55">
        <f>IFERROR(VLOOKUP(D58,[2]RETAIL!$T$8:$AG$63,13,0),0)-IFERROR(IF(D58=100873,VLOOKUP("NOVIEMBRE",[2]RETAIL!$T$78:$U$91,2,0),0),0)</f>
        <v>0</v>
      </c>
      <c r="AB58" s="305"/>
      <c r="AC58" s="55">
        <f>IFERROR(VLOOKUP(D58,[2]RETAIL!$T$8:$AG$63,14,0),0)-IFERROR(IF(D58=100873,VLOOKUP("DICIEMBRE",[2]RETAIL!$T$78:$U$91,2,0),0),0)</f>
        <v>0</v>
      </c>
      <c r="AD58" s="54">
        <f t="shared" si="41"/>
        <v>12</v>
      </c>
      <c r="AE58" s="86">
        <f t="shared" si="43"/>
        <v>19</v>
      </c>
      <c r="AF58" s="243">
        <f t="shared" si="28"/>
        <v>1.5833333333333333</v>
      </c>
      <c r="AG58" s="54">
        <f t="shared" si="33"/>
        <v>12</v>
      </c>
      <c r="AH58" s="86">
        <f t="shared" si="44"/>
        <v>19</v>
      </c>
      <c r="AI58" s="243">
        <f t="shared" si="29"/>
        <v>1.5833333333333333</v>
      </c>
      <c r="AJ58" s="54">
        <f t="shared" si="42"/>
        <v>6</v>
      </c>
      <c r="AK58" s="68">
        <f t="shared" si="45"/>
        <v>5</v>
      </c>
      <c r="AL58" s="56">
        <f t="shared" si="30"/>
        <v>0.83333333333333337</v>
      </c>
      <c r="AM58" s="54">
        <f t="shared" si="35"/>
        <v>12</v>
      </c>
      <c r="AN58" s="86">
        <f t="shared" si="46"/>
        <v>19</v>
      </c>
      <c r="AO58" s="243">
        <f t="shared" si="31"/>
        <v>1.5833333333333333</v>
      </c>
    </row>
    <row r="59" spans="1:43" s="53" customFormat="1" ht="16" customHeight="1" x14ac:dyDescent="0.3">
      <c r="A59" s="53">
        <f>_xlfn.XLOOKUP(B59,[8]Pedidos!$C$7:$C$67,[8]Pedidos!$B$7:$B$67)</f>
        <v>10</v>
      </c>
      <c r="B59" s="179">
        <v>100589</v>
      </c>
      <c r="C59" s="381" t="s">
        <v>17</v>
      </c>
      <c r="D59" s="51">
        <v>9144</v>
      </c>
      <c r="E59" s="309" t="s">
        <v>203</v>
      </c>
      <c r="F59" s="539">
        <v>6</v>
      </c>
      <c r="G59" s="55">
        <f>IFERROR(VLOOKUP(B59,[2]RETAIL!$T$8:$AG$63,3,0),0)-IFERROR(IF(B59=100873,VLOOKUP("ENERO",[2]RETAIL!$T$78:$U$91,2,0),0),0)</f>
        <v>2</v>
      </c>
      <c r="H59" s="539">
        <v>6</v>
      </c>
      <c r="I59" s="55">
        <f>IFERROR(VLOOKUP(B59,[2]RETAIL!$T$8:$AG$63,4,0),0)-IFERROR(IF(B59=100873,VLOOKUP("FEBRERO",[2]RETAIL!$T$78:$U$91,2,0),0),0)</f>
        <v>2</v>
      </c>
      <c r="J59" s="539">
        <v>6</v>
      </c>
      <c r="K59" s="55">
        <f>IFERROR(VLOOKUP(B59,[2]RETAIL!$T$8:$AG$63,5,0),0)-IFERROR(IF(B59=100873,VLOOKUP("MARZO",[2]RETAIL!$T$78:$U$91,2,0),0),0)</f>
        <v>6</v>
      </c>
      <c r="L59" s="539">
        <v>6</v>
      </c>
      <c r="M59" s="55">
        <f>IFERROR(VLOOKUP(B59,[2]RETAIL!$T$8:$AG$63,6,0),0)-IFERROR(IF(B59=100873,VLOOKUP("ABRIL",[2]RETAIL!$T$78:$U$91,2,0),0),0)</f>
        <v>0</v>
      </c>
      <c r="N59" s="539">
        <v>6</v>
      </c>
      <c r="O59" s="55">
        <f>IFERROR(VLOOKUP(B59,[2]RETAIL!$T$8:$AG$63,7,0),0)-IFERROR(IF(B59=100873,VLOOKUP("MAYO",[2]RETAIL!$T$78:$U$91,2,0),0),0)</f>
        <v>7</v>
      </c>
      <c r="P59" s="539">
        <v>6</v>
      </c>
      <c r="Q59" s="55">
        <f>IFERROR(VLOOKUP(B59,[2]RETAIL!$T$8:$AG$63,8,0),0)-IFERROR(IF(B59=100873,VLOOKUP("JUNIO",[2]RETAIL!$T$78:$U$91,2,0),0),0)</f>
        <v>5</v>
      </c>
      <c r="R59" s="305"/>
      <c r="S59" s="55">
        <f>IFERROR(VLOOKUP(D59,[2]RETAIL!$T$8:$AG$63,9,0),0)-IFERROR(IF(D59=100873,VLOOKUP("JULIO",[2]RETAIL!$T$78:$U$91,2,0),0),0)</f>
        <v>0</v>
      </c>
      <c r="T59" s="305"/>
      <c r="U59" s="55">
        <f>IFERROR(VLOOKUP(D59,[2]RETAIL!$T$8:$AG$63,10,0),0)-IFERROR(IF(D59=100873,VLOOKUP("AGOSTO",[2]RETAIL!$T$78:$U$91,2,0),0),0)</f>
        <v>0</v>
      </c>
      <c r="V59" s="305"/>
      <c r="W59" s="55">
        <f>IFERROR(VLOOKUP(D59,[2]RETAIL!$T$8:$AG$63,11,0),0)-IFERROR(IF(D59=100873,VLOOKUP("SEPTIEMBRE",[2]RETAIL!$T$78:$U$91,2,0),0),0)</f>
        <v>0</v>
      </c>
      <c r="X59" s="305"/>
      <c r="Y59" s="55">
        <f>IFERROR(VLOOKUP(D59,[2]RETAIL!$T$8:$AG$63,12,0),0)-IFERROR(IF(D59=100873,VLOOKUP("OCTUBRE",[2]RETAIL!$T$78:$U$91,2,0),0),0)</f>
        <v>0</v>
      </c>
      <c r="Z59" s="305"/>
      <c r="AA59" s="55">
        <f>IFERROR(VLOOKUP(D59,[2]RETAIL!$T$8:$AG$63,13,0),0)-IFERROR(IF(D59=100873,VLOOKUP("NOVIEMBRE",[2]RETAIL!$T$78:$U$91,2,0),0),0)</f>
        <v>0</v>
      </c>
      <c r="AB59" s="305"/>
      <c r="AC59" s="55">
        <f>IFERROR(VLOOKUP(D59,[2]RETAIL!$T$8:$AG$63,14,0),0)-IFERROR(IF(D59=100873,VLOOKUP("DICIEMBRE",[2]RETAIL!$T$78:$U$91,2,0),0),0)</f>
        <v>0</v>
      </c>
      <c r="AD59" s="54">
        <f t="shared" si="41"/>
        <v>36</v>
      </c>
      <c r="AE59" s="86">
        <f t="shared" si="43"/>
        <v>22</v>
      </c>
      <c r="AF59" s="243">
        <f t="shared" si="28"/>
        <v>0.61111111111111116</v>
      </c>
      <c r="AG59" s="54">
        <f t="shared" si="33"/>
        <v>36</v>
      </c>
      <c r="AH59" s="86">
        <f t="shared" si="44"/>
        <v>22</v>
      </c>
      <c r="AI59" s="243">
        <f t="shared" si="29"/>
        <v>0.61111111111111116</v>
      </c>
      <c r="AJ59" s="54">
        <f t="shared" si="42"/>
        <v>18</v>
      </c>
      <c r="AK59" s="68">
        <f t="shared" si="45"/>
        <v>10</v>
      </c>
      <c r="AL59" s="56">
        <f t="shared" si="30"/>
        <v>0.55555555555555558</v>
      </c>
      <c r="AM59" s="54">
        <f t="shared" si="35"/>
        <v>36</v>
      </c>
      <c r="AN59" s="86">
        <f t="shared" si="46"/>
        <v>22</v>
      </c>
      <c r="AO59" s="243">
        <f t="shared" si="31"/>
        <v>0.61111111111111116</v>
      </c>
    </row>
    <row r="60" spans="1:43" s="53" customFormat="1" ht="16" customHeight="1" x14ac:dyDescent="0.3">
      <c r="A60" s="53">
        <f>_xlfn.XLOOKUP(B60,[8]Pedidos!$C$7:$C$67,[8]Pedidos!$B$7:$B$67)</f>
        <v>10</v>
      </c>
      <c r="B60" s="179">
        <v>100819</v>
      </c>
      <c r="C60" s="381" t="s">
        <v>74</v>
      </c>
      <c r="D60" s="51">
        <v>9144</v>
      </c>
      <c r="E60" s="309" t="s">
        <v>203</v>
      </c>
      <c r="F60" s="305">
        <v>2</v>
      </c>
      <c r="G60" s="55">
        <f>IFERROR(VLOOKUP(B60,[2]RETAIL!$T$8:$AG$63,3,0),0)-IFERROR(IF(B60=100873,VLOOKUP("ENERO",[2]RETAIL!$T$78:$U$91,2,0),0),0)</f>
        <v>2</v>
      </c>
      <c r="H60" s="305">
        <v>2</v>
      </c>
      <c r="I60" s="55">
        <f>IFERROR(VLOOKUP(B60,[2]RETAIL!$T$8:$AG$63,4,0),0)-IFERROR(IF(B60=100873,VLOOKUP("FEBRERO",[2]RETAIL!$T$78:$U$91,2,0),0),0)</f>
        <v>4</v>
      </c>
      <c r="J60" s="305">
        <v>2</v>
      </c>
      <c r="K60" s="55">
        <f>IFERROR(VLOOKUP(B60,[2]RETAIL!$T$8:$AG$63,5,0),0)-IFERROR(IF(B60=100873,VLOOKUP("MARZO",[2]RETAIL!$T$78:$U$91,2,0),0),0)</f>
        <v>4</v>
      </c>
      <c r="L60" s="305">
        <v>3</v>
      </c>
      <c r="M60" s="55">
        <f>IFERROR(VLOOKUP(B60,[2]RETAIL!$T$8:$AG$63,6,0),0)-IFERROR(IF(B60=100873,VLOOKUP("ABRIL",[2]RETAIL!$T$78:$U$91,2,0),0),0)</f>
        <v>2</v>
      </c>
      <c r="N60" s="305">
        <v>3</v>
      </c>
      <c r="O60" s="55">
        <f>IFERROR(VLOOKUP(B60,[2]RETAIL!$T$8:$AG$63,7,0),0)-IFERROR(IF(B60=100873,VLOOKUP("MAYO",[2]RETAIL!$T$78:$U$91,2,0),0),0)</f>
        <v>4</v>
      </c>
      <c r="P60" s="305">
        <v>3</v>
      </c>
      <c r="Q60" s="55">
        <f>IFERROR(VLOOKUP(B60,[2]RETAIL!$T$8:$AG$63,8,0),0)-IFERROR(IF(B60=100873,VLOOKUP("JUNIO",[2]RETAIL!$T$78:$U$91,2,0),0),0)</f>
        <v>0</v>
      </c>
      <c r="R60" s="305"/>
      <c r="S60" s="55">
        <f>IFERROR(VLOOKUP(D60,[2]RETAIL!$T$8:$AG$63,9,0),0)-IFERROR(IF(D60=100873,VLOOKUP("JULIO",[2]RETAIL!$T$78:$U$91,2,0),0),0)</f>
        <v>0</v>
      </c>
      <c r="T60" s="305"/>
      <c r="U60" s="55">
        <f>IFERROR(VLOOKUP(D60,[2]RETAIL!$T$8:$AG$63,10,0),0)-IFERROR(IF(D60=100873,VLOOKUP("AGOSTO",[2]RETAIL!$T$78:$U$91,2,0),0),0)</f>
        <v>0</v>
      </c>
      <c r="V60" s="305"/>
      <c r="W60" s="55">
        <f>IFERROR(VLOOKUP(D60,[2]RETAIL!$T$8:$AG$63,11,0),0)-IFERROR(IF(D60=100873,VLOOKUP("SEPTIEMBRE",[2]RETAIL!$T$78:$U$91,2,0),0),0)</f>
        <v>0</v>
      </c>
      <c r="X60" s="305"/>
      <c r="Y60" s="55">
        <f>IFERROR(VLOOKUP(D60,[2]RETAIL!$T$8:$AG$63,12,0),0)-IFERROR(IF(D60=100873,VLOOKUP("OCTUBRE",[2]RETAIL!$T$78:$U$91,2,0),0),0)</f>
        <v>0</v>
      </c>
      <c r="Z60" s="305"/>
      <c r="AA60" s="55">
        <f>IFERROR(VLOOKUP(D60,[2]RETAIL!$T$8:$AG$63,13,0),0)-IFERROR(IF(D60=100873,VLOOKUP("NOVIEMBRE",[2]RETAIL!$T$78:$U$91,2,0),0),0)</f>
        <v>0</v>
      </c>
      <c r="AB60" s="305"/>
      <c r="AC60" s="55">
        <f>IFERROR(VLOOKUP(D60,[2]RETAIL!$T$8:$AG$63,14,0),0)-IFERROR(IF(D60=100873,VLOOKUP("DICIEMBRE",[2]RETAIL!$T$78:$U$91,2,0),0),0)</f>
        <v>0</v>
      </c>
      <c r="AD60" s="54">
        <f>IF($AD$2="ENERO",F60,IF($AD$2="FEBRERO",F60+H60,IF($AD$2="MARZO",F60+H60+J60,IF($AD$2="ABRIL",F60+H60+J60+L60,IF($AD$2="MAYO",F60+H60+J60+L60+N60,IF($AD$2="JUNIO",F60+H60+J60+L60+N60+P60,IF($AD$2="JULIO",F60+H60+J60+L60+N60+P60+R60,IF($AD$2="AGOSTO",F60+H60+J60+L60+N60+P60+R60+T60,IF($AD$2="SEPTIEMBRE",F60+H60+J60+L60+N60+P60+R60+T60+V60,IF($AD$2="OCTUBRE",F60+H60+J60+L60+N60+P60+R60+T60+V60+X60,IF($AD$2="NOVIEMBRE",F60+H60+J60+L60+N60+P60+R60+T60+V60+X60+Z60,IF($AD$2="DICIEMBRE",F60+H60+J60+L60+N60+P60+R60+T60+V60+X60+Z60+AB60,""))))))))))))</f>
        <v>15</v>
      </c>
      <c r="AE60" s="86">
        <f t="shared" si="43"/>
        <v>16</v>
      </c>
      <c r="AF60" s="243">
        <f t="shared" si="28"/>
        <v>1.0666666666666667</v>
      </c>
      <c r="AG60" s="54">
        <f t="shared" si="33"/>
        <v>15</v>
      </c>
      <c r="AH60" s="86">
        <f t="shared" si="44"/>
        <v>16</v>
      </c>
      <c r="AI60" s="243">
        <f t="shared" si="29"/>
        <v>1.0666666666666667</v>
      </c>
      <c r="AJ60" s="54">
        <f>IF($AJ$3="Q1",F60+H60+J60,IF($AJ$3="Q2",L60+N60++P60,IF($AJ$3="Q3",R60+T60+V60,IF($AJ$3="Q4",X60+Z60+AB60,0))))</f>
        <v>6</v>
      </c>
      <c r="AK60" s="68">
        <f t="shared" si="45"/>
        <v>10</v>
      </c>
      <c r="AL60" s="56">
        <f t="shared" si="30"/>
        <v>1.6666666666666667</v>
      </c>
      <c r="AM60" s="54">
        <f t="shared" si="35"/>
        <v>15</v>
      </c>
      <c r="AN60" s="86">
        <f t="shared" si="46"/>
        <v>16</v>
      </c>
      <c r="AO60" s="243">
        <f t="shared" si="31"/>
        <v>1.0666666666666667</v>
      </c>
    </row>
    <row r="61" spans="1:43" s="53" customFormat="1" ht="16" customHeight="1" thickBot="1" x14ac:dyDescent="0.35">
      <c r="A61" s="53">
        <f>_xlfn.XLOOKUP(B61,[8]Pedidos!$C$7:$C$67,[8]Pedidos!$B$7:$B$67)</f>
        <v>10</v>
      </c>
      <c r="B61" s="179">
        <v>100881</v>
      </c>
      <c r="C61" s="381" t="s">
        <v>163</v>
      </c>
      <c r="D61" s="51">
        <v>52622</v>
      </c>
      <c r="E61" s="309" t="s">
        <v>164</v>
      </c>
      <c r="F61" s="305">
        <v>4</v>
      </c>
      <c r="G61" s="55">
        <f>IFERROR(VLOOKUP(B61,[2]RETAIL!$T$8:$AG$63,3,0),0)-IFERROR(IF(B61=100873,VLOOKUP("ENERO",[2]RETAIL!$T$78:$U$91,2,0),0),0)</f>
        <v>3</v>
      </c>
      <c r="H61" s="305">
        <v>4</v>
      </c>
      <c r="I61" s="55">
        <f>IFERROR(VLOOKUP(B61,[2]RETAIL!$T$8:$AG$63,4,0),0)-IFERROR(IF(B61=100873,VLOOKUP("FEBRERO",[2]RETAIL!$T$78:$U$91,2,0),0),0)</f>
        <v>8</v>
      </c>
      <c r="J61" s="305">
        <v>4</v>
      </c>
      <c r="K61" s="55">
        <f>IFERROR(VLOOKUP(B61,[2]RETAIL!$T$8:$AG$63,5,0),0)-IFERROR(IF(B61=100873,VLOOKUP("MARZO",[2]RETAIL!$T$78:$U$91,2,0),0),0)</f>
        <v>5</v>
      </c>
      <c r="L61" s="305">
        <v>4</v>
      </c>
      <c r="M61" s="55">
        <f>IFERROR(VLOOKUP(B61,[2]RETAIL!$T$8:$AG$63,6,0),0)-IFERROR(IF(B61=100873,VLOOKUP("ABRIL",[2]RETAIL!$T$78:$U$91,2,0),0),0)</f>
        <v>10</v>
      </c>
      <c r="N61" s="305">
        <v>4</v>
      </c>
      <c r="O61" s="55">
        <f>IFERROR(VLOOKUP(B61,[2]RETAIL!$T$8:$AG$63,7,0),0)-IFERROR(IF(B61=100873,VLOOKUP("MAYO",[2]RETAIL!$T$78:$U$91,2,0),0),0)</f>
        <v>4</v>
      </c>
      <c r="P61" s="305">
        <v>5</v>
      </c>
      <c r="Q61" s="55">
        <f>IFERROR(VLOOKUP(B61,[2]RETAIL!$T$8:$AG$63,8,0),0)-IFERROR(IF(B61=100873,VLOOKUP("JUNIO",[2]RETAIL!$T$78:$U$91,2,0),0),0)</f>
        <v>9</v>
      </c>
      <c r="R61" s="305"/>
      <c r="S61" s="55">
        <f>IFERROR(VLOOKUP(D61,[2]RETAIL!$T$8:$AG$63,9,0),0)-IFERROR(IF(D61=100873,VLOOKUP("JULIO",[2]RETAIL!$T$78:$U$91,2,0),0),0)</f>
        <v>0</v>
      </c>
      <c r="T61" s="305"/>
      <c r="U61" s="55">
        <f>IFERROR(VLOOKUP(D61,[2]RETAIL!$T$8:$AG$63,10,0),0)-IFERROR(IF(D61=100873,VLOOKUP("AGOSTO",[2]RETAIL!$T$78:$U$91,2,0),0),0)</f>
        <v>0</v>
      </c>
      <c r="V61" s="305"/>
      <c r="W61" s="55">
        <f>IFERROR(VLOOKUP(D61,[2]RETAIL!$T$8:$AG$63,11,0),0)-IFERROR(IF(D61=100873,VLOOKUP("SEPTIEMBRE",[2]RETAIL!$T$78:$U$91,2,0),0),0)</f>
        <v>0</v>
      </c>
      <c r="X61" s="305"/>
      <c r="Y61" s="55">
        <f>IFERROR(VLOOKUP(D61,[2]RETAIL!$T$8:$AG$63,12,0),0)-IFERROR(IF(D61=100873,VLOOKUP("OCTUBRE",[2]RETAIL!$T$78:$U$91,2,0),0),0)</f>
        <v>0</v>
      </c>
      <c r="Z61" s="305"/>
      <c r="AA61" s="55">
        <f>IFERROR(VLOOKUP(D61,[2]RETAIL!$T$8:$AG$63,13,0),0)-IFERROR(IF(D61=100873,VLOOKUP("NOVIEMBRE",[2]RETAIL!$T$78:$U$91,2,0),0),0)</f>
        <v>0</v>
      </c>
      <c r="AB61" s="305"/>
      <c r="AC61" s="55">
        <f>IFERROR(VLOOKUP(D61,[2]RETAIL!$T$8:$AG$63,14,0),0)-IFERROR(IF(D61=100873,VLOOKUP("DICIEMBRE",[2]RETAIL!$T$78:$U$91,2,0),0),0)</f>
        <v>0</v>
      </c>
      <c r="AD61" s="54">
        <f>IF($AD$2="ENERO",F61,IF($AD$2="FEBRERO",F61+H61,IF($AD$2="MARZO",F61+H61+J61,IF($AD$2="ABRIL",F61+H61+J61+L61,IF($AD$2="MAYO",F61+H61+J61+L61+N61,IF($AD$2="JUNIO",F61+H61+J61+L61+N61+P61,IF($AD$2="JULIO",F61+H61+J61+L61+N61+P61+R61,IF($AD$2="AGOSTO",F61+H61+J61+L61+N61+P61+R61+T61,IF($AD$2="SEPTIEMBRE",F61+H61+J61+L61+N61+P61+R61+T61+V61,IF($AD$2="OCTUBRE",F61+H61+J61+L61+N61+P61+R61+T61+V61+X61,IF($AD$2="NOVIEMBRE",F61+H61+J61+L61+N61+P61+R61+T61+V61+X61+Z61,IF($AD$2="DICIEMBRE",F61+H61+J61+L61+N61+P61+R61+T61+V61+X61+Z61+AB61,""))))))))))))</f>
        <v>25</v>
      </c>
      <c r="AE61" s="86">
        <f t="shared" si="43"/>
        <v>39</v>
      </c>
      <c r="AF61" s="243">
        <f t="shared" si="28"/>
        <v>1.56</v>
      </c>
      <c r="AG61" s="54">
        <f t="shared" si="33"/>
        <v>25</v>
      </c>
      <c r="AH61" s="86">
        <f t="shared" si="44"/>
        <v>39</v>
      </c>
      <c r="AI61" s="243">
        <f t="shared" si="29"/>
        <v>1.56</v>
      </c>
      <c r="AJ61" s="54">
        <f>IF($AJ$3="Q1",F61+H61+J61,IF($AJ$3="Q2",L61+N61++P61,IF($AJ$3="Q3",R61+T61+V61,IF($AJ$3="Q4",X61+Z61+AB61,0))))</f>
        <v>12</v>
      </c>
      <c r="AK61" s="68">
        <f t="shared" si="45"/>
        <v>16</v>
      </c>
      <c r="AL61" s="56">
        <f t="shared" si="30"/>
        <v>1.3333333333333333</v>
      </c>
      <c r="AM61" s="54">
        <f t="shared" si="35"/>
        <v>25</v>
      </c>
      <c r="AN61" s="86">
        <f t="shared" si="46"/>
        <v>39</v>
      </c>
      <c r="AO61" s="243">
        <f t="shared" si="31"/>
        <v>1.56</v>
      </c>
    </row>
    <row r="62" spans="1:43" s="53" customFormat="1" ht="16" customHeight="1" thickBot="1" x14ac:dyDescent="0.35">
      <c r="A62" s="50"/>
      <c r="B62" s="180" t="s">
        <v>272</v>
      </c>
      <c r="C62" s="62"/>
      <c r="D62" s="62"/>
      <c r="E62" s="61"/>
      <c r="F62" s="155">
        <f t="shared" ref="F62:Y62" si="47">SUM(F56:F61)</f>
        <v>23</v>
      </c>
      <c r="G62" s="261">
        <f t="shared" si="47"/>
        <v>21</v>
      </c>
      <c r="H62" s="155">
        <f t="shared" si="47"/>
        <v>24</v>
      </c>
      <c r="I62" s="261">
        <f t="shared" si="47"/>
        <v>29</v>
      </c>
      <c r="J62" s="155">
        <f t="shared" si="47"/>
        <v>24</v>
      </c>
      <c r="K62" s="261">
        <f t="shared" si="47"/>
        <v>24</v>
      </c>
      <c r="L62" s="155">
        <f t="shared" si="47"/>
        <v>26</v>
      </c>
      <c r="M62" s="261">
        <f t="shared" si="47"/>
        <v>23</v>
      </c>
      <c r="N62" s="155">
        <f t="shared" si="47"/>
        <v>26</v>
      </c>
      <c r="O62" s="261">
        <f t="shared" si="47"/>
        <v>33</v>
      </c>
      <c r="P62" s="155">
        <f t="shared" si="47"/>
        <v>27</v>
      </c>
      <c r="Q62" s="261">
        <f t="shared" si="47"/>
        <v>37</v>
      </c>
      <c r="R62" s="155">
        <f t="shared" si="47"/>
        <v>0</v>
      </c>
      <c r="S62" s="261">
        <f t="shared" si="47"/>
        <v>0</v>
      </c>
      <c r="T62" s="155">
        <f t="shared" si="47"/>
        <v>0</v>
      </c>
      <c r="U62" s="261">
        <f t="shared" si="47"/>
        <v>0</v>
      </c>
      <c r="V62" s="155">
        <f t="shared" si="47"/>
        <v>0</v>
      </c>
      <c r="W62" s="261">
        <f t="shared" si="47"/>
        <v>0</v>
      </c>
      <c r="X62" s="155">
        <f t="shared" si="47"/>
        <v>0</v>
      </c>
      <c r="Y62" s="261">
        <f t="shared" si="47"/>
        <v>0</v>
      </c>
      <c r="Z62" s="155">
        <f>SUM(Z56:Z61)</f>
        <v>0</v>
      </c>
      <c r="AA62" s="261">
        <f>SUM(AA56:AA61)</f>
        <v>0</v>
      </c>
      <c r="AB62" s="155">
        <f>SUM(AB56:AB61)</f>
        <v>0</v>
      </c>
      <c r="AC62" s="261">
        <f>SUM(AC56:AC61)</f>
        <v>0</v>
      </c>
      <c r="AD62" s="422">
        <f t="shared" si="41"/>
        <v>150</v>
      </c>
      <c r="AE62" s="423">
        <f t="shared" si="41"/>
        <v>167</v>
      </c>
      <c r="AF62" s="424">
        <f t="shared" si="28"/>
        <v>1.1133333333333333</v>
      </c>
      <c r="AG62" s="422">
        <f t="shared" si="33"/>
        <v>150</v>
      </c>
      <c r="AH62" s="423">
        <f>IF($AD$2="ENERO",G62,IF($AD$2="FEBRERO",G62+I62,IF($AD$2="MARZO",G62+I62+K62,IF($AD$2="ABRIL",G62+I62+K62+M62,IF($AD$2="MAYO",G62+I62+K62+M62+O62,IF($AD$2="JUNIO",G62+I62+K62+M62+O62+Q62,IF($AD$2="JULIO",G62+I62+K62+M62+O62+Q62+S62,IF($AD$2="AGOSTO",G62+I62+K62+M62+O62+Q62+S62+U62,IF($AD$2="SEPTIEMBRE",G62+I62+K62+M62+O62+Q62+S62+U62+W62,IF($AD$2="OCTUBRE",G62+I62+K62+M62+O62+Q62+S62+U62+W62+Y62,IF($AD$2="NOVIEMBRE",G62+I62+K62+M62+O62+Q62+S62+U62+W62+Y62+AA62,IF($AD$2="DICIEMBRE",G62+I62+K62+M62+O62+Q62+S62+U62+W62+Y62+AA62+AC62,""))))))))))))</f>
        <v>167</v>
      </c>
      <c r="AI62" s="424">
        <f t="shared" si="29"/>
        <v>1.1133333333333333</v>
      </c>
      <c r="AJ62" s="63">
        <f t="shared" si="42"/>
        <v>71</v>
      </c>
      <c r="AK62" s="65">
        <f t="shared" si="42"/>
        <v>74</v>
      </c>
      <c r="AL62" s="66">
        <f t="shared" si="30"/>
        <v>1.0422535211267605</v>
      </c>
      <c r="AM62" s="422">
        <f t="shared" si="35"/>
        <v>150</v>
      </c>
      <c r="AN62" s="423">
        <f>IF($AM$3="S 1",G62+I62+K62+M62+O62+Q62,IF($AM$3="S 2",S62+U62+W62+Y62+AA62+AC62,0))</f>
        <v>167</v>
      </c>
      <c r="AO62" s="424">
        <f t="shared" si="31"/>
        <v>1.1133333333333333</v>
      </c>
    </row>
    <row r="63" spans="1:43" s="53" customFormat="1" ht="16" customHeight="1" thickBot="1" x14ac:dyDescent="0.35">
      <c r="B63" s="179">
        <v>12345</v>
      </c>
      <c r="C63" s="381" t="s">
        <v>278</v>
      </c>
      <c r="D63" s="179">
        <v>12345</v>
      </c>
      <c r="E63" s="381" t="s">
        <v>278</v>
      </c>
      <c r="F63" s="306"/>
      <c r="G63" s="57">
        <f>IFERROR(VLOOKUP("ENERO",[2]RETAIL!$T$78:$U$91,2,0),0)</f>
        <v>4</v>
      </c>
      <c r="H63" s="306"/>
      <c r="I63" s="57">
        <f>IFERROR(VLOOKUP("FEBRERO",[2]RETAIL!$T$78:$U$91,2,0),0)</f>
        <v>7</v>
      </c>
      <c r="J63" s="306"/>
      <c r="K63" s="57">
        <f>IFERROR(VLOOKUP("MARZO",[2]RETAIL!$T$78:$U$91,2,0),0)</f>
        <v>2</v>
      </c>
      <c r="L63" s="306"/>
      <c r="M63" s="57">
        <f>IFERROR(VLOOKUP("ABRIL",[2]RETAIL!$T$78:$U$91,2,0),0)</f>
        <v>4</v>
      </c>
      <c r="N63" s="306"/>
      <c r="O63" s="57">
        <f>IFERROR(VLOOKUP("MAYO",[2]RETAIL!$T$78:$U$91,2,0),0)</f>
        <v>6</v>
      </c>
      <c r="P63" s="306"/>
      <c r="Q63" s="57">
        <f>IFERROR(VLOOKUP("JUNIO",[2]RETAIL!$T$78:$U$91,2,0),0)</f>
        <v>13</v>
      </c>
      <c r="R63" s="306"/>
      <c r="S63" s="57">
        <f>IFERROR(VLOOKUP("JULIO",[2]RETAIL!$T$78:$U$91,2,0),0)</f>
        <v>0</v>
      </c>
      <c r="T63" s="306"/>
      <c r="U63" s="57">
        <f>IFERROR(VLOOKUP("AGOSTO",[2]RETAIL!$T$78:$U$91,2,0),0)</f>
        <v>0</v>
      </c>
      <c r="V63" s="306"/>
      <c r="W63" s="57">
        <f>IFERROR(VLOOKUP("SEPTIEMBRE",[2]RETAIL!$T$78:$U$91,2,0),0)</f>
        <v>0</v>
      </c>
      <c r="X63" s="306"/>
      <c r="Y63" s="57">
        <f>IFERROR(VLOOKUP("OCTUBRE",[2]RETAIL!$T$78:$U$91,2,0),0)</f>
        <v>0</v>
      </c>
      <c r="Z63" s="306"/>
      <c r="AA63" s="57">
        <f>IFERROR(VLOOKUP("NOVIEMBRE",[2]RETAIL!$T$78:$U$91,2,0),0)</f>
        <v>0</v>
      </c>
      <c r="AB63" s="306"/>
      <c r="AC63" s="57">
        <f>IFERROR(VLOOKUP("DICIEMBRE",[2]RETAIL!$T$78:$U$91,2,0),0)</f>
        <v>0</v>
      </c>
      <c r="AD63" s="58">
        <f>IF($AD$2="ENERO",F63,IF($AD$2="FEBRERO",F63+H63,IF($AD$2="MARZO",F63+H63+J63,IF($AD$2="ABRIL",F63+H63+J63+L63,IF($AD$2="MAYO",F63+H63+J63+L63+N63,IF($AD$2="JUNIO",F63+H63+J63+L63+N63+P63,IF($AD$2="JULIO",F63+H63+J63+L63+N63+P63+R63,IF($AD$2="AGOSTO",F63+H63+J63+L63+N63+P63+R63+T63,IF($AD$2="SEPTIEMBRE",F63+H63+J63+L63+N63+P63+R63+T63+V63,IF($AD$2="OCTUBRE",F63+H63+J63+L63+N63+P63+R63+T63+V63+X63,IF($AD$2="NOVIEMBRE",F63+H63+J63+L63+N63+P63+R63+T63+V63+X63+Z63,IF($AD$2="DICIEMBRE",F63+H63+J63+L63+N63+P63+R63+T63+V63+X63+Z63+AB63,""))))))))))))</f>
        <v>0</v>
      </c>
      <c r="AE63" s="59">
        <f>IFERROR(IF($AD$2="ENERO",G63,IF($AD$2="FEBRERO",G63+I63,IF($AD$2="MARZO",G63+I63+K63,IF($AD$2="ABRIL",G63+I63+K63+M63,IF($AD$2="MAYO",G63+I63+K63+M63+O63,IF($AD$2="JUNIO",G63+I63+K63+M63+O63+Q63,IF($AD$2="JULIO",G63+I63+K63+M63+O63+Q63+S63,IF($AD$2="AGOSTO",G63+I63+K63+M63+O63+Q63+S63+U63,IF($AD$2="SEPTIEMBRE",G63+I63+K63+M63+O63+Q63+S63+U63+W63,IF($AD$2="OCTUBRE",G63+I63+K63+M63+O63+Q63+S63+U63+W63+Y63,IF($AD$2="NOVIEMBRE",G63+I63+K63+M63+O63+Q63+S63+U63+W63+Y63+AA63,IF($AD$2="DICIEMBRE",G63+I63+K63+M63+O63+Q63+S63+U63+W63+Y63+AA63+AC63,"")))))))))))),0)</f>
        <v>36</v>
      </c>
      <c r="AF63" s="382">
        <f t="shared" si="28"/>
        <v>0</v>
      </c>
      <c r="AG63" s="58">
        <f t="shared" si="33"/>
        <v>0</v>
      </c>
      <c r="AH63" s="59">
        <f>IFERROR(IF($AD$2="ENERO",G63,IF($AD$2="FEBRERO",G63+I63,IF($AD$2="MARZO",G63+I63+K63,IF($AD$2="ABRIL",G63+I63+K63+M63,IF($AD$2="MAYO",G63+I63+K63+M63+O63,IF($AD$2="JUNIO",G63+I63+K63+M63+O63+Q63,IF($AD$2="JULIO",G63+I63+K63+M63+O63+Q63+S63,IF($AD$2="AGOSTO",G63+I63+K63+M63+O63+Q63+S63+U63,IF($AD$2="SEPTIEMBRE",G63+I63+K63+M63+O63+Q63+S63+U63+W63,IF($AD$2="OCTUBRE",G63+I63+K63+M63+O63+Q63+S63+U63+W63+Y63,IF($AD$2="NOVIEMBRE",G63+I63+K63+M63+O63+Q63+S63+U63+W63+Y63+AA63,IF($AD$2="DICIEMBRE",G63+I63+K63+M63+O63+Q63+S63+U63+W63+Y63+AA63+AC63,"")))))))))))),0)</f>
        <v>36</v>
      </c>
      <c r="AI63" s="382">
        <f t="shared" si="29"/>
        <v>0</v>
      </c>
      <c r="AJ63" s="58">
        <f>IF($AJ$3="Q1",F63+H63+J63,IF($AJ$3="Q2",L63+N63++P63,IF($AJ$3="Q3",R63+T63+V63,IF($AJ$3="Q4",X63+Z63+AB63,0))))</f>
        <v>0</v>
      </c>
      <c r="AK63" s="191">
        <f>IFERROR(IF($AJ$3="Q1",G63+I63+K63,IF($AJ$3="Q2",M63+O63++Q63,IF($AJ$3="Q3",S63+U63+W63,IF($AJ$3="Q4",Y63+AA63+AC63,0)))),0)</f>
        <v>13</v>
      </c>
      <c r="AL63" s="60">
        <f t="shared" si="30"/>
        <v>0</v>
      </c>
      <c r="AM63" s="58">
        <f t="shared" si="35"/>
        <v>0</v>
      </c>
      <c r="AN63" s="59">
        <f>IFERROR(IF($AM$3="S 1",G63+I63+K63+M63+O63+Q63,IF($AM$3="S 2",S63+U63+W63+Y63+AA63+AC63,0)),0)</f>
        <v>36</v>
      </c>
      <c r="AO63" s="382">
        <f t="shared" si="31"/>
        <v>0</v>
      </c>
    </row>
    <row r="64" spans="1:43" s="53" customFormat="1" ht="16" customHeight="1" thickBot="1" x14ac:dyDescent="0.35">
      <c r="A64" s="50"/>
      <c r="B64" s="181" t="s">
        <v>27</v>
      </c>
      <c r="C64" s="72"/>
      <c r="D64" s="72"/>
      <c r="E64" s="71"/>
      <c r="F64" s="555">
        <f t="shared" ref="F64:AC64" si="48">F63+F62+F55+F49+F43+F40+F34+F28+F21+F15+F9</f>
        <v>280</v>
      </c>
      <c r="G64" s="555">
        <f t="shared" si="48"/>
        <v>255</v>
      </c>
      <c r="H64" s="555">
        <f t="shared" si="48"/>
        <v>292</v>
      </c>
      <c r="I64" s="555">
        <f t="shared" si="48"/>
        <v>287</v>
      </c>
      <c r="J64" s="555">
        <f t="shared" si="48"/>
        <v>308</v>
      </c>
      <c r="K64" s="555">
        <f t="shared" si="48"/>
        <v>346</v>
      </c>
      <c r="L64" s="555">
        <f t="shared" si="48"/>
        <v>293</v>
      </c>
      <c r="M64" s="555">
        <f t="shared" si="48"/>
        <v>335</v>
      </c>
      <c r="N64" s="555">
        <f t="shared" si="48"/>
        <v>310</v>
      </c>
      <c r="O64" s="555">
        <f t="shared" si="48"/>
        <v>369</v>
      </c>
      <c r="P64" s="555">
        <f t="shared" si="48"/>
        <v>321</v>
      </c>
      <c r="Q64" s="555">
        <f t="shared" si="48"/>
        <v>450</v>
      </c>
      <c r="R64" s="555">
        <f t="shared" si="48"/>
        <v>51</v>
      </c>
      <c r="S64" s="555">
        <f t="shared" si="48"/>
        <v>0</v>
      </c>
      <c r="T64" s="555">
        <f t="shared" si="48"/>
        <v>41</v>
      </c>
      <c r="U64" s="555">
        <f t="shared" si="48"/>
        <v>0</v>
      </c>
      <c r="V64" s="555">
        <f t="shared" si="48"/>
        <v>51</v>
      </c>
      <c r="W64" s="555">
        <f t="shared" si="48"/>
        <v>0</v>
      </c>
      <c r="X64" s="555">
        <f t="shared" si="48"/>
        <v>52</v>
      </c>
      <c r="Y64" s="555">
        <f t="shared" si="48"/>
        <v>0</v>
      </c>
      <c r="Z64" s="555">
        <f t="shared" si="48"/>
        <v>52</v>
      </c>
      <c r="AA64" s="555">
        <f t="shared" si="48"/>
        <v>0</v>
      </c>
      <c r="AB64" s="555">
        <f t="shared" si="48"/>
        <v>51</v>
      </c>
      <c r="AC64" s="419">
        <f t="shared" si="48"/>
        <v>0</v>
      </c>
      <c r="AD64" s="420">
        <f t="shared" si="41"/>
        <v>1804</v>
      </c>
      <c r="AE64" s="420">
        <f t="shared" si="41"/>
        <v>2042</v>
      </c>
      <c r="AF64" s="421">
        <f t="shared" si="28"/>
        <v>1.1319290465631928</v>
      </c>
      <c r="AG64" s="420">
        <f t="shared" si="33"/>
        <v>2102</v>
      </c>
      <c r="AH64" s="420">
        <f>IF($AD$2="ENERO",G64,IF($AD$2="FEBRERO",G64+I64,IF($AD$2="MARZO",G64+I64+K64,IF($AD$2="ABRIL",G64+I64+K64+M64,IF($AD$2="MAYO",G64+I64+K64+M64+O64,IF($AD$2="JUNIO",G64+I64+K64+M64+O64+Q64,IF($AD$2="JULIO",G64+I64+K64+M64+O64+Q64+S64,IF($AD$2="AGOSTO",G64+I64+K64+M64+O64+Q64+S64+U64,IF($AD$2="SEPTIEMBRE",G64+I64+K64+M64+O64+Q64+S64+U64+W64,IF($AD$2="OCTUBRE",G64+I64+K64+M64+O64+Q64+S64+U64+W64+Y64,IF($AD$2="NOVIEMBRE",G64+I64+K64+M64+O64+Q64+S64+U64+W64+Y64+AA64,IF($AD$2="DICIEMBRE",G64+I64+K64+M64+O64+Q64+S64+U64+W64+Y64+AA64+AC64,""))))))))))))</f>
        <v>2042</v>
      </c>
      <c r="AI64" s="421">
        <f t="shared" si="29"/>
        <v>0.97145575642245485</v>
      </c>
      <c r="AJ64" s="195">
        <f t="shared" si="42"/>
        <v>880</v>
      </c>
      <c r="AK64" s="196">
        <f t="shared" si="42"/>
        <v>888</v>
      </c>
      <c r="AL64" s="197">
        <f t="shared" si="30"/>
        <v>1.009090909090909</v>
      </c>
      <c r="AM64" s="420">
        <f>SUM(AM9,AM15,AM21,AM28,AM34,AM40,AM43,AM49,AM55,AM62)</f>
        <v>1804</v>
      </c>
      <c r="AN64" s="420">
        <f>SUM(AN9,AN15,AN21,AN28,AN34,AN40,AN43,AN49,AN55,AN62)</f>
        <v>2006</v>
      </c>
      <c r="AO64" s="421">
        <f t="shared" si="31"/>
        <v>1.1119733924611974</v>
      </c>
    </row>
    <row r="65" spans="2:31" s="53" customFormat="1" x14ac:dyDescent="0.3">
      <c r="B65" s="74"/>
      <c r="D65" s="44"/>
      <c r="G65" s="75"/>
      <c r="I65" s="53" t="str">
        <f ca="1">IFERROR(VLOOKUP(B65, INDIRECT($G$80),3, 0), "")</f>
        <v/>
      </c>
      <c r="K65" s="53" t="str">
        <f ca="1">IFERROR(VLOOKUP(B65, INDIRECT($G$80),3, 0), "")</f>
        <v/>
      </c>
      <c r="M65" s="53" t="str">
        <f ca="1">IFERROR(VLOOKUP(B65, INDIRECT($G$80),3, 0), "")</f>
        <v/>
      </c>
    </row>
    <row r="66" spans="2:31" x14ac:dyDescent="0.3">
      <c r="D66" s="146"/>
      <c r="I66" s="44" t="str">
        <f ca="1">IFERROR(VLOOKUP(B66, INDIRECT($G$80),3, 0), "")</f>
        <v/>
      </c>
      <c r="K66" s="44" t="str">
        <f ca="1">IFERROR(VLOOKUP(B66, INDIRECT($G$80),3, 0), "")</f>
        <v/>
      </c>
      <c r="M66" s="44" t="str">
        <f ca="1">IFERROR(VLOOKUP(B66, INDIRECT($G$80),3, 0), "")</f>
        <v/>
      </c>
      <c r="AE66" s="77"/>
    </row>
    <row r="67" spans="2:31" x14ac:dyDescent="0.3">
      <c r="D67" s="146"/>
      <c r="I67" s="44" t="str">
        <f ca="1">IFERROR(VLOOKUP(B67, INDIRECT($G$80),3, 0), "")</f>
        <v/>
      </c>
      <c r="K67" s="44" t="str">
        <f ca="1">IFERROR(VLOOKUP(B67, INDIRECT($G$80),3, 0), "")</f>
        <v/>
      </c>
      <c r="M67" s="44" t="str">
        <f ca="1">IFERROR(VLOOKUP(B67, INDIRECT($G$80),3, 0), "")</f>
        <v/>
      </c>
      <c r="AE67" s="77"/>
    </row>
    <row r="68" spans="2:31" x14ac:dyDescent="0.3">
      <c r="D68" s="146"/>
    </row>
    <row r="69" spans="2:31" x14ac:dyDescent="0.3">
      <c r="D69" s="146"/>
    </row>
    <row r="72" spans="2:31" ht="13.5" thickBot="1" x14ac:dyDescent="0.35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31" ht="14.5" customHeight="1" x14ac:dyDescent="0.35">
      <c r="E73" s="2"/>
      <c r="F73" s="618" t="s">
        <v>181</v>
      </c>
      <c r="G73" s="619"/>
      <c r="H73" s="619"/>
      <c r="I73" s="620"/>
      <c r="J73" s="174"/>
      <c r="K73" s="174"/>
      <c r="L73" s="174"/>
      <c r="M73" s="174"/>
      <c r="N73" s="356"/>
      <c r="O73" s="356"/>
      <c r="P73" s="356"/>
      <c r="Q73" s="356"/>
      <c r="R73" s="356"/>
      <c r="S73" s="357"/>
      <c r="T73" s="2"/>
    </row>
    <row r="74" spans="2:31" ht="15" thickBot="1" x14ac:dyDescent="0.4">
      <c r="E74" s="2"/>
      <c r="F74" s="621"/>
      <c r="G74" s="622"/>
      <c r="H74" s="622"/>
      <c r="I74" s="623"/>
      <c r="J74"/>
      <c r="K74"/>
      <c r="L74"/>
      <c r="M74"/>
      <c r="N74" s="2"/>
      <c r="O74" s="2"/>
      <c r="P74" s="2"/>
      <c r="Q74" s="2"/>
      <c r="R74" s="2"/>
      <c r="S74" s="358"/>
      <c r="T74" s="2"/>
    </row>
    <row r="75" spans="2:31" ht="14.5" x14ac:dyDescent="0.35">
      <c r="E75" s="2"/>
      <c r="F75" s="359"/>
      <c r="G75"/>
      <c r="H75"/>
      <c r="I75"/>
      <c r="J75"/>
      <c r="K75"/>
      <c r="L75"/>
      <c r="M75" t="str">
        <f>CONCATENATE("2 - Cierre ventas YTD_",
CHOOSE(MATCH(AD2,{"Enero";"Febrero";"Marzo";"Abril";"Mayo";"Junio";"Julio";"Agosto";"Septiembre";"Octubre";"Noviembre";"Diciembre"},0),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N75" s="2"/>
      <c r="O75" s="2"/>
      <c r="P75" s="2"/>
      <c r="Q75" s="2"/>
      <c r="R75" s="2"/>
      <c r="S75" s="358"/>
      <c r="T75" s="2"/>
    </row>
    <row r="76" spans="2:31" ht="14.5" x14ac:dyDescent="0.35">
      <c r="E76" s="2"/>
      <c r="F76" s="359" t="s">
        <v>175</v>
      </c>
      <c r="G76" t="str">
        <f>M75</f>
        <v>2 - Cierre ventas YTD_JUN_2026.xlsx</v>
      </c>
      <c r="H76"/>
      <c r="I76"/>
      <c r="J76"/>
      <c r="K76"/>
      <c r="L76">
        <v>2025</v>
      </c>
      <c r="M76" s="360" t="str">
        <f>HYPERLINK(
    "O:\USED CAR &amp; REMARKETING\03-VO\2025\Informe Seguimiento Concesionarios 2025\ESPANHA\" &amp;
    CHOOSE(MATCH(AD2, {"Enero";"Febrero";"Marzo";"Abril";"Mayo";"Junio";"Julio";"Agosto";"Septiembre";"Octubre";"Noviembre";"Diciembre"}, 0),
        "1. ENERO\2 - Cierre ventas YTD_ENE_2025.xlsx",
        "2. FEBRERO\2 - Cierre ventas YTD_FEB_2025.xlsx",
        "3. MARZO\2 - Cierre ventas YTD_MAR_2025.xlsx",
        "4. ABRIL\2 - Cierre ventas YTD_ABR_2025.xlsx",
        "5. MAYO\2 - Cierre ventas YTD_MAY_2025.xlsx",
        "6. JUNIO\2 - Cierre ventas YTD_JUN_2025.xlsx",
        "7. JULIO\2 - Cierre ventas YTD_JUL_2025.xlsx",
        "8. AGOSTO\2 - Cierre ventas YTD_AGO_2025.xlsx",
        "9. SEPTIEMBRE\2 - Cierre ventas YTD_SEP_2025.xlsx",
        "10. OCTUBRE\2 - Cierre ventas YTD_OCT_2025.xlsx",
        "11. NOVIEMBRE\2 - Cierre ventas YTD_NOV_2025.xlsx",
        "12. DICIEMBRE\2 - Cierre ventas YTD_DIC_2025.xlsx"
    ),
    "Cierre Ventas " &amp;
    CHOOSE(MATCH(AD2,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N76" s="2"/>
      <c r="O76" s="2"/>
      <c r="P76" s="2"/>
      <c r="Q76" s="2"/>
      <c r="R76" s="2"/>
      <c r="S76" s="358"/>
      <c r="T76" s="2"/>
    </row>
    <row r="77" spans="2:31" ht="14.5" x14ac:dyDescent="0.35">
      <c r="E77" s="2"/>
      <c r="F77" s="359" t="s">
        <v>176</v>
      </c>
      <c r="G77" t="s">
        <v>188</v>
      </c>
      <c r="H77"/>
      <c r="I77"/>
      <c r="J77"/>
      <c r="K77"/>
      <c r="L77">
        <v>2026</v>
      </c>
      <c r="M77" s="360" t="str">
        <f>HYPERLINK(
    "O:\USED CAR &amp; REMARKETING\03-VO\2026\Informe Seguimiento Concesionarios 2026\ESPAÑA\" &amp;
    CHOOSE(MATCH(AD2, {"ENERO";"FEBRERO";"MARZO";"ABRRIL";"MAYO";"JUNIO";"JULIO";"AGOSTO";"SEPTIEMBRE";"OCTUBRE";"NOVIEMBRE";"DICIEMBRE"},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&amp;G76,
    "Cierre Ventas " &amp;
    CHOOSE(MATCH(AD2, {"ENERO";"FEBRERO";"MARZO";"ABRRIL";"MAYO";"JUNIO";"JULIO";"AGOSTO";"SEPTIEMBRE";"OCTUBRE";"NOVIEMBRE";"DICIEMBRE"},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N77" s="2"/>
      <c r="O77" s="2"/>
      <c r="P77" s="2"/>
      <c r="Q77" s="2"/>
      <c r="R77" s="2"/>
      <c r="S77" s="358"/>
      <c r="T77" s="2"/>
    </row>
    <row r="78" spans="2:31" ht="14.5" x14ac:dyDescent="0.35">
      <c r="E78" s="2"/>
      <c r="F78" s="361" t="s">
        <v>177</v>
      </c>
      <c r="G78" s="354" t="s">
        <v>189</v>
      </c>
      <c r="H78"/>
      <c r="I78"/>
      <c r="J78"/>
      <c r="K78"/>
      <c r="L78"/>
      <c r="M78"/>
      <c r="N78" s="2"/>
      <c r="O78" s="2"/>
      <c r="P78" s="2"/>
      <c r="Q78" s="2"/>
      <c r="R78" s="2"/>
      <c r="S78" s="358"/>
      <c r="T78" s="2"/>
    </row>
    <row r="79" spans="2:31" ht="14.5" x14ac:dyDescent="0.35">
      <c r="E79" s="2"/>
      <c r="F79" s="361"/>
      <c r="G79" s="354"/>
      <c r="H79"/>
      <c r="I79"/>
      <c r="J79"/>
      <c r="K79"/>
      <c r="L79" s="376"/>
      <c r="M79"/>
      <c r="N79" s="2"/>
      <c r="O79" s="2"/>
      <c r="P79" s="2" t="s">
        <v>190</v>
      </c>
      <c r="Q79" s="2"/>
      <c r="R79" s="2"/>
      <c r="S79" s="358"/>
      <c r="T79" s="2"/>
    </row>
    <row r="80" spans="2:31" ht="14.5" x14ac:dyDescent="0.35">
      <c r="E80" s="2"/>
      <c r="F80" s="359"/>
      <c r="G80" t="str">
        <f>CONCATENATE("'[", G76, "]", G77, "'", G79, G78)</f>
        <v>'[2 - Cierre ventas YTD_JUN_2026.xlsx]TD Retail Mensual '!$H$9:$L$65</v>
      </c>
      <c r="H80"/>
      <c r="I80"/>
      <c r="J80"/>
      <c r="K80"/>
      <c r="L80"/>
      <c r="M80"/>
      <c r="N80" s="2"/>
      <c r="O80" s="2"/>
      <c r="P80" s="2"/>
      <c r="Q80" s="2"/>
      <c r="R80" s="2"/>
      <c r="S80" s="358"/>
      <c r="T80" s="2"/>
    </row>
    <row r="81" spans="2:20" ht="13.5" thickBot="1" x14ac:dyDescent="0.35">
      <c r="E81" s="2"/>
      <c r="F81" s="362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4"/>
      <c r="T81" s="2"/>
    </row>
    <row r="82" spans="2:20" x14ac:dyDescent="0.3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6" spans="2:20" x14ac:dyDescent="0.3">
      <c r="B86" s="44"/>
      <c r="C86" s="76"/>
      <c r="G86" s="44"/>
    </row>
    <row r="87" spans="2:20" x14ac:dyDescent="0.3">
      <c r="B87" s="44"/>
      <c r="C87" s="76"/>
      <c r="G87" s="44"/>
    </row>
    <row r="88" spans="2:20" x14ac:dyDescent="0.3">
      <c r="B88" s="44"/>
      <c r="C88" s="76"/>
      <c r="G88" s="44"/>
    </row>
    <row r="89" spans="2:20" x14ac:dyDescent="0.3">
      <c r="B89" s="44"/>
      <c r="C89" s="76"/>
      <c r="G89" s="44"/>
    </row>
    <row r="90" spans="2:20" x14ac:dyDescent="0.3">
      <c r="B90" s="44"/>
      <c r="C90" s="76"/>
      <c r="G90" s="44"/>
    </row>
    <row r="91" spans="2:20" x14ac:dyDescent="0.3">
      <c r="B91" s="44"/>
      <c r="C91" s="76"/>
      <c r="G91" s="44"/>
    </row>
    <row r="92" spans="2:20" x14ac:dyDescent="0.3">
      <c r="B92" s="44"/>
      <c r="C92" s="76"/>
      <c r="G92" s="44"/>
    </row>
    <row r="93" spans="2:20" x14ac:dyDescent="0.3">
      <c r="B93" s="44"/>
      <c r="C93" s="76"/>
      <c r="G93" s="44"/>
    </row>
    <row r="94" spans="2:20" x14ac:dyDescent="0.3">
      <c r="B94" s="44"/>
      <c r="C94" s="76"/>
      <c r="G94" s="44"/>
    </row>
    <row r="95" spans="2:20" x14ac:dyDescent="0.3">
      <c r="B95" s="44"/>
      <c r="C95" s="76"/>
      <c r="G95" s="44"/>
    </row>
    <row r="96" spans="2:20" x14ac:dyDescent="0.3">
      <c r="B96" s="44"/>
      <c r="C96" s="76"/>
      <c r="G96" s="44"/>
    </row>
    <row r="97" spans="2:7" x14ac:dyDescent="0.3">
      <c r="B97" s="44"/>
      <c r="C97" s="76"/>
      <c r="G97" s="44"/>
    </row>
    <row r="98" spans="2:7" x14ac:dyDescent="0.3">
      <c r="B98" s="44"/>
      <c r="C98" s="76"/>
      <c r="G98" s="44"/>
    </row>
    <row r="99" spans="2:7" x14ac:dyDescent="0.3">
      <c r="B99" s="44"/>
      <c r="C99" s="76"/>
      <c r="G99" s="44"/>
    </row>
    <row r="100" spans="2:7" x14ac:dyDescent="0.3">
      <c r="B100" s="44"/>
      <c r="C100" s="76"/>
      <c r="G100" s="44"/>
    </row>
    <row r="101" spans="2:7" x14ac:dyDescent="0.3">
      <c r="B101" s="44"/>
      <c r="C101" s="76"/>
      <c r="G101" s="44"/>
    </row>
    <row r="102" spans="2:7" x14ac:dyDescent="0.3">
      <c r="B102" s="44"/>
      <c r="C102" s="76"/>
      <c r="G102" s="44"/>
    </row>
    <row r="103" spans="2:7" x14ac:dyDescent="0.3">
      <c r="B103" s="44"/>
      <c r="C103" s="76"/>
      <c r="G103" s="44"/>
    </row>
    <row r="104" spans="2:7" x14ac:dyDescent="0.3">
      <c r="B104" s="44"/>
      <c r="C104" s="76"/>
      <c r="G104" s="44"/>
    </row>
    <row r="105" spans="2:7" x14ac:dyDescent="0.3">
      <c r="B105" s="44"/>
      <c r="C105" s="76"/>
      <c r="G105" s="44"/>
    </row>
    <row r="106" spans="2:7" x14ac:dyDescent="0.3">
      <c r="B106" s="44"/>
      <c r="C106" s="76"/>
      <c r="G106" s="44"/>
    </row>
    <row r="107" spans="2:7" x14ac:dyDescent="0.3">
      <c r="B107" s="44"/>
      <c r="C107" s="76"/>
      <c r="G107" s="44"/>
    </row>
    <row r="108" spans="2:7" x14ac:dyDescent="0.3">
      <c r="B108" s="44"/>
      <c r="C108" s="76"/>
      <c r="G108" s="44"/>
    </row>
    <row r="109" spans="2:7" x14ac:dyDescent="0.3">
      <c r="B109" s="44"/>
      <c r="C109" s="76"/>
      <c r="G109" s="44"/>
    </row>
    <row r="110" spans="2:7" x14ac:dyDescent="0.3">
      <c r="B110" s="44"/>
      <c r="C110" s="76"/>
      <c r="G110" s="44"/>
    </row>
    <row r="111" spans="2:7" x14ac:dyDescent="0.3">
      <c r="B111" s="44"/>
      <c r="C111" s="76"/>
      <c r="G111" s="44"/>
    </row>
    <row r="112" spans="2:7" x14ac:dyDescent="0.3">
      <c r="B112" s="44"/>
      <c r="C112" s="76"/>
      <c r="G112" s="44"/>
    </row>
    <row r="113" spans="2:7" x14ac:dyDescent="0.3">
      <c r="B113" s="44"/>
      <c r="C113" s="76"/>
      <c r="G113" s="44"/>
    </row>
    <row r="114" spans="2:7" x14ac:dyDescent="0.3">
      <c r="B114" s="44"/>
      <c r="C114" s="76"/>
      <c r="G114" s="44"/>
    </row>
    <row r="115" spans="2:7" x14ac:dyDescent="0.3">
      <c r="B115" s="44"/>
      <c r="C115" s="76"/>
      <c r="G115" s="44"/>
    </row>
    <row r="116" spans="2:7" x14ac:dyDescent="0.3">
      <c r="B116" s="44"/>
      <c r="C116" s="76"/>
      <c r="G116" s="44"/>
    </row>
    <row r="117" spans="2:7" x14ac:dyDescent="0.3">
      <c r="B117" s="44"/>
      <c r="C117" s="76"/>
      <c r="G117" s="44"/>
    </row>
    <row r="118" spans="2:7" x14ac:dyDescent="0.3">
      <c r="B118" s="44"/>
      <c r="C118" s="76"/>
      <c r="G118" s="44"/>
    </row>
    <row r="119" spans="2:7" x14ac:dyDescent="0.3">
      <c r="B119" s="44"/>
      <c r="C119" s="76"/>
      <c r="G119" s="44"/>
    </row>
    <row r="120" spans="2:7" x14ac:dyDescent="0.3">
      <c r="B120" s="44"/>
      <c r="C120" s="76"/>
      <c r="G120" s="44"/>
    </row>
    <row r="121" spans="2:7" x14ac:dyDescent="0.3">
      <c r="B121" s="44"/>
      <c r="C121" s="76"/>
      <c r="G121" s="44"/>
    </row>
    <row r="122" spans="2:7" x14ac:dyDescent="0.3">
      <c r="B122" s="44"/>
      <c r="C122" s="76"/>
      <c r="G122" s="44"/>
    </row>
    <row r="123" spans="2:7" x14ac:dyDescent="0.3">
      <c r="B123" s="44"/>
      <c r="C123" s="76"/>
      <c r="G123" s="44"/>
    </row>
    <row r="124" spans="2:7" x14ac:dyDescent="0.3">
      <c r="B124" s="44"/>
      <c r="C124" s="76"/>
      <c r="G124" s="44"/>
    </row>
    <row r="125" spans="2:7" x14ac:dyDescent="0.3">
      <c r="B125" s="44"/>
      <c r="C125" s="76"/>
      <c r="G125" s="44"/>
    </row>
    <row r="126" spans="2:7" x14ac:dyDescent="0.3">
      <c r="B126" s="44"/>
      <c r="C126" s="76"/>
      <c r="G126" s="44"/>
    </row>
    <row r="127" spans="2:7" x14ac:dyDescent="0.3">
      <c r="B127" s="44"/>
      <c r="C127" s="76"/>
      <c r="G127" s="44"/>
    </row>
    <row r="128" spans="2:7" x14ac:dyDescent="0.3">
      <c r="B128" s="44"/>
      <c r="C128" s="76"/>
      <c r="G128" s="44"/>
    </row>
    <row r="129" spans="2:7" x14ac:dyDescent="0.3">
      <c r="B129" s="44"/>
      <c r="C129" s="76"/>
      <c r="G129" s="44"/>
    </row>
    <row r="130" spans="2:7" x14ac:dyDescent="0.3">
      <c r="B130" s="44"/>
      <c r="C130" s="76"/>
      <c r="G130" s="44"/>
    </row>
    <row r="131" spans="2:7" x14ac:dyDescent="0.3">
      <c r="B131" s="44"/>
      <c r="C131" s="76"/>
      <c r="G131" s="44"/>
    </row>
    <row r="132" spans="2:7" x14ac:dyDescent="0.3">
      <c r="B132" s="44"/>
      <c r="C132" s="76"/>
      <c r="G132" s="44"/>
    </row>
    <row r="133" spans="2:7" x14ac:dyDescent="0.3">
      <c r="B133" s="44"/>
      <c r="C133" s="76"/>
      <c r="G133" s="44"/>
    </row>
    <row r="134" spans="2:7" x14ac:dyDescent="0.3">
      <c r="B134" s="44"/>
      <c r="C134" s="76"/>
      <c r="G134" s="44"/>
    </row>
    <row r="135" spans="2:7" x14ac:dyDescent="0.3">
      <c r="B135" s="44"/>
      <c r="C135" s="76"/>
      <c r="G135" s="44"/>
    </row>
    <row r="136" spans="2:7" x14ac:dyDescent="0.3">
      <c r="B136" s="44"/>
      <c r="C136" s="76"/>
      <c r="G136" s="44"/>
    </row>
  </sheetData>
  <autoFilter ref="A4:AN64" xr:uid="{00000000-0001-0000-0500-000000000000}">
    <filterColumn colId="3" showButton="0"/>
  </autoFilter>
  <mergeCells count="21">
    <mergeCell ref="B1:AL1"/>
    <mergeCell ref="B3:B4"/>
    <mergeCell ref="C3:C4"/>
    <mergeCell ref="D3:E4"/>
    <mergeCell ref="F3:G3"/>
    <mergeCell ref="H3:I3"/>
    <mergeCell ref="J3:K3"/>
    <mergeCell ref="L3:M3"/>
    <mergeCell ref="N3:O3"/>
    <mergeCell ref="P3:Q3"/>
    <mergeCell ref="AD3:AF3"/>
    <mergeCell ref="AG3:AI3"/>
    <mergeCell ref="AJ3:AL3"/>
    <mergeCell ref="AM3:AO3"/>
    <mergeCell ref="F73:I74"/>
    <mergeCell ref="R3:S3"/>
    <mergeCell ref="T3:U3"/>
    <mergeCell ref="V3:W3"/>
    <mergeCell ref="X3:Y3"/>
    <mergeCell ref="Z3:AA3"/>
    <mergeCell ref="AB3:AC3"/>
  </mergeCells>
  <conditionalFormatting sqref="B1">
    <cfRule type="duplicateValues" dxfId="357" priority="15"/>
  </conditionalFormatting>
  <conditionalFormatting sqref="B3">
    <cfRule type="duplicateValues" dxfId="356" priority="14"/>
  </conditionalFormatting>
  <conditionalFormatting sqref="F3:G3">
    <cfRule type="expression" dxfId="355" priority="13">
      <formula>IF($AD$2="ENERO","VERDADERO")</formula>
    </cfRule>
  </conditionalFormatting>
  <conditionalFormatting sqref="F3:I3">
    <cfRule type="expression" dxfId="354" priority="12">
      <formula>IF($AD$2="FEBRERO","VERDADERO")</formula>
    </cfRule>
  </conditionalFormatting>
  <conditionalFormatting sqref="F3:K3">
    <cfRule type="expression" dxfId="353" priority="11">
      <formula>IF($AD$2="MARZO","VERDADERO")</formula>
    </cfRule>
  </conditionalFormatting>
  <conditionalFormatting sqref="F3:M3">
    <cfRule type="expression" dxfId="352" priority="10">
      <formula>IF($AD$2="ABRIL","VERDADERO")</formula>
    </cfRule>
  </conditionalFormatting>
  <conditionalFormatting sqref="F3:O3">
    <cfRule type="expression" dxfId="351" priority="9">
      <formula>IF($AD$2="MAYO","VERDADERO")</formula>
    </cfRule>
  </conditionalFormatting>
  <conditionalFormatting sqref="F3:Q3">
    <cfRule type="expression" dxfId="350" priority="8">
      <formula>IF($AD$2="JUNIO","VERDADERO")</formula>
    </cfRule>
  </conditionalFormatting>
  <conditionalFormatting sqref="F3:S3">
    <cfRule type="expression" dxfId="349" priority="7">
      <formula>IF($AD$2="JULIO","VERDADERO")</formula>
    </cfRule>
  </conditionalFormatting>
  <conditionalFormatting sqref="F3:U3">
    <cfRule type="expression" dxfId="348" priority="6">
      <formula>IF($AD$2="AGOSTO","VERDADERO")</formula>
    </cfRule>
  </conditionalFormatting>
  <conditionalFormatting sqref="F3:W3">
    <cfRule type="expression" dxfId="347" priority="5">
      <formula>IF($AD$2="SEPTIEMBRE","VERDADERO")</formula>
    </cfRule>
  </conditionalFormatting>
  <conditionalFormatting sqref="F3:Y3">
    <cfRule type="expression" dxfId="346" priority="4">
      <formula>IF($AD$2="OCTUBRE","VERDADERO")</formula>
    </cfRule>
  </conditionalFormatting>
  <conditionalFormatting sqref="F3:AA3">
    <cfRule type="expression" dxfId="345" priority="3">
      <formula>IF($AD$2="NOVIEMBRE","VERDADERO")</formula>
    </cfRule>
  </conditionalFormatting>
  <conditionalFormatting sqref="F3:AC3">
    <cfRule type="expression" dxfId="344" priority="2">
      <formula>IF($AD$2="DICIEMBRE","VERDADERO")</formula>
    </cfRule>
  </conditionalFormatting>
  <conditionalFormatting sqref="H75:J81 N73:P81 J73:J74">
    <cfRule type="cellIs" dxfId="343" priority="1" operator="greaterThan">
      <formula>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43D5EF5-5786-4B92-B11E-044F70BC871F}">
          <x14:formula1>
            <xm:f>MAESTRO!$H$3:$H$14</xm:f>
          </x14:formula1>
          <xm:sqref>AD2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BA85-0C45-41E3-8723-A2A40D1B38BB}">
  <sheetPr codeName="Hoja9">
    <tabColor theme="9" tint="0.39997558519241921"/>
    <pageSetUpPr fitToPage="1"/>
  </sheetPr>
  <dimension ref="A1:AM37"/>
  <sheetViews>
    <sheetView workbookViewId="0">
      <selection activeCell="AB2" sqref="AB2"/>
    </sheetView>
  </sheetViews>
  <sheetFormatPr baseColWidth="10" defaultColWidth="11.453125" defaultRowHeight="13" x14ac:dyDescent="0.3"/>
  <cols>
    <col min="1" max="1" width="2.1796875" style="44" customWidth="1"/>
    <col min="2" max="2" width="11" style="44" customWidth="1"/>
    <col min="3" max="3" width="24" style="44" customWidth="1"/>
    <col min="4" max="4" width="6.54296875" style="44" customWidth="1"/>
    <col min="5" max="5" width="7.1796875" style="76" customWidth="1"/>
    <col min="6" max="27" width="6.54296875" style="44" customWidth="1"/>
    <col min="28" max="28" width="11.1796875" style="44" customWidth="1"/>
    <col min="29" max="33" width="7.81640625" style="44" customWidth="1"/>
    <col min="34" max="36" width="7.81640625" style="44" hidden="1" customWidth="1"/>
    <col min="37" max="39" width="7.81640625" style="44" customWidth="1"/>
    <col min="40" max="16384" width="11.453125" style="44"/>
  </cols>
  <sheetData>
    <row r="1" spans="1:39" s="42" customFormat="1" ht="18.5" thickBot="1" x14ac:dyDescent="0.35">
      <c r="B1" s="627" t="s">
        <v>259</v>
      </c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</row>
    <row r="2" spans="1:39" ht="13.5" thickBot="1" x14ac:dyDescent="0.35">
      <c r="D2" s="145">
        <v>8</v>
      </c>
      <c r="E2" s="144"/>
      <c r="F2" s="145">
        <v>10</v>
      </c>
      <c r="G2" s="145"/>
      <c r="H2" s="145">
        <v>12</v>
      </c>
      <c r="I2" s="145"/>
      <c r="J2" s="145">
        <v>16</v>
      </c>
      <c r="K2" s="145"/>
      <c r="L2" s="145">
        <v>18</v>
      </c>
      <c r="M2" s="145"/>
      <c r="N2" s="145">
        <v>20</v>
      </c>
      <c r="O2" s="145"/>
      <c r="P2" s="145">
        <v>24</v>
      </c>
      <c r="Q2" s="145"/>
      <c r="R2" s="145">
        <v>26</v>
      </c>
      <c r="S2" s="145"/>
      <c r="T2" s="145">
        <v>28</v>
      </c>
      <c r="U2" s="145"/>
      <c r="V2" s="145">
        <v>32</v>
      </c>
      <c r="W2" s="145"/>
      <c r="X2" s="145">
        <v>34</v>
      </c>
      <c r="Y2" s="145"/>
      <c r="Z2" s="145">
        <v>36</v>
      </c>
      <c r="AB2" s="82" t="s">
        <v>5</v>
      </c>
    </row>
    <row r="3" spans="1:39" ht="15" customHeight="1" x14ac:dyDescent="0.3">
      <c r="B3" s="632" t="s">
        <v>76</v>
      </c>
      <c r="C3" s="735"/>
      <c r="D3" s="737" t="s">
        <v>0</v>
      </c>
      <c r="E3" s="734"/>
      <c r="F3" s="733" t="s">
        <v>1</v>
      </c>
      <c r="G3" s="734"/>
      <c r="H3" s="733" t="s">
        <v>2</v>
      </c>
      <c r="I3" s="734"/>
      <c r="J3" s="733" t="s">
        <v>3</v>
      </c>
      <c r="K3" s="734"/>
      <c r="L3" s="733" t="s">
        <v>4</v>
      </c>
      <c r="M3" s="734"/>
      <c r="N3" s="733" t="s">
        <v>5</v>
      </c>
      <c r="O3" s="734"/>
      <c r="P3" s="733" t="s">
        <v>6</v>
      </c>
      <c r="Q3" s="734"/>
      <c r="R3" s="733" t="s">
        <v>7</v>
      </c>
      <c r="S3" s="734"/>
      <c r="T3" s="733" t="s">
        <v>29</v>
      </c>
      <c r="U3" s="734"/>
      <c r="V3" s="733" t="s">
        <v>30</v>
      </c>
      <c r="W3" s="734"/>
      <c r="X3" s="733" t="s">
        <v>31</v>
      </c>
      <c r="Y3" s="734"/>
      <c r="Z3" s="733" t="s">
        <v>32</v>
      </c>
      <c r="AA3" s="734"/>
      <c r="AB3" s="738" t="s">
        <v>33</v>
      </c>
      <c r="AC3" s="739"/>
      <c r="AD3" s="739"/>
      <c r="AE3" s="738" t="s">
        <v>34</v>
      </c>
      <c r="AF3" s="739"/>
      <c r="AG3" s="740"/>
      <c r="AH3" s="738" t="s">
        <v>73</v>
      </c>
      <c r="AI3" s="739"/>
      <c r="AJ3" s="740"/>
      <c r="AK3" s="738" t="s">
        <v>171</v>
      </c>
      <c r="AL3" s="739"/>
      <c r="AM3" s="740"/>
    </row>
    <row r="4" spans="1:39" ht="15" customHeight="1" thickBot="1" x14ac:dyDescent="0.35">
      <c r="B4" s="634"/>
      <c r="C4" s="736"/>
      <c r="D4" s="45" t="s">
        <v>168</v>
      </c>
      <c r="E4" s="194" t="s">
        <v>37</v>
      </c>
      <c r="F4" s="45" t="s">
        <v>168</v>
      </c>
      <c r="G4" s="194" t="s">
        <v>37</v>
      </c>
      <c r="H4" s="45" t="s">
        <v>168</v>
      </c>
      <c r="I4" s="194" t="s">
        <v>37</v>
      </c>
      <c r="J4" s="45" t="s">
        <v>168</v>
      </c>
      <c r="K4" s="194" t="s">
        <v>37</v>
      </c>
      <c r="L4" s="45" t="s">
        <v>168</v>
      </c>
      <c r="M4" s="194" t="s">
        <v>37</v>
      </c>
      <c r="N4" s="45" t="s">
        <v>168</v>
      </c>
      <c r="O4" s="194" t="s">
        <v>37</v>
      </c>
      <c r="P4" s="45" t="s">
        <v>168</v>
      </c>
      <c r="Q4" s="194" t="s">
        <v>37</v>
      </c>
      <c r="R4" s="45" t="s">
        <v>168</v>
      </c>
      <c r="S4" s="194" t="s">
        <v>37</v>
      </c>
      <c r="T4" s="45" t="s">
        <v>168</v>
      </c>
      <c r="U4" s="194" t="s">
        <v>37</v>
      </c>
      <c r="V4" s="45" t="s">
        <v>168</v>
      </c>
      <c r="W4" s="194" t="s">
        <v>37</v>
      </c>
      <c r="X4" s="45" t="s">
        <v>168</v>
      </c>
      <c r="Y4" s="194" t="s">
        <v>37</v>
      </c>
      <c r="Z4" s="45" t="s">
        <v>168</v>
      </c>
      <c r="AA4" s="194" t="s">
        <v>37</v>
      </c>
      <c r="AB4" s="46" t="s">
        <v>168</v>
      </c>
      <c r="AC4" s="47" t="s">
        <v>37</v>
      </c>
      <c r="AD4" s="48" t="s">
        <v>38</v>
      </c>
      <c r="AE4" s="302" t="s">
        <v>168</v>
      </c>
      <c r="AF4" s="45" t="s">
        <v>37</v>
      </c>
      <c r="AG4" s="49" t="s">
        <v>38</v>
      </c>
      <c r="AH4" s="12" t="s">
        <v>168</v>
      </c>
      <c r="AI4" s="11" t="s">
        <v>37</v>
      </c>
      <c r="AJ4" s="10" t="s">
        <v>38</v>
      </c>
      <c r="AK4" s="12" t="s">
        <v>168</v>
      </c>
      <c r="AL4" s="11" t="s">
        <v>37</v>
      </c>
      <c r="AM4" s="10" t="s">
        <v>38</v>
      </c>
    </row>
    <row r="5" spans="1:39" s="53" customFormat="1" ht="16" customHeight="1" x14ac:dyDescent="0.3">
      <c r="A5" s="50">
        <v>11</v>
      </c>
      <c r="B5" s="51">
        <v>7450</v>
      </c>
      <c r="C5" s="385" t="s">
        <v>276</v>
      </c>
      <c r="D5" s="247">
        <f>SUMIF('UC MINI 2026'!$D$5:$D$61,'UC MINI 2026 (Grp. Propieta'!$B5,'UC MINI 2026'!$F$5:$F$61)</f>
        <v>40</v>
      </c>
      <c r="E5" s="189">
        <f>SUMIF('UC MINI 2026'!$D$5:$D$61,'UC MINI 2026 (Grp. Propieta'!$B5,'UC MINI 2026'!$G$5:$G$61)</f>
        <v>42</v>
      </c>
      <c r="F5" s="247">
        <f>SUMIF('UC MINI 2026'!$D$5:$D$61,'UC MINI 2026 (Grp. Propieta'!$B5,'UC MINI 2026'!$H$5:$H$61)</f>
        <v>44</v>
      </c>
      <c r="G5" s="189">
        <f>SUMIF('UC MINI 2026'!$D$5:$D$61,'UC MINI 2026 (Grp. Propieta'!$B5,'UC MINI 2026'!$I$5:$I$61)</f>
        <v>34</v>
      </c>
      <c r="H5" s="247">
        <f>SUMIF('UC MINI 2026'!$D$5:$D$61,'UC MINI 2026 (Grp. Propieta'!$B5,'UC MINI 2026'!$J$5:$J$61)</f>
        <v>48</v>
      </c>
      <c r="I5" s="189">
        <f>SUMIF('UC MINI 2026'!$D$5:$D$61,'UC MINI 2026 (Grp. Propieta'!$B5,'UC MINI 2026'!$K$5:$K$61)</f>
        <v>49</v>
      </c>
      <c r="J5" s="247">
        <f>SUMIF('UC MINI 2026'!$D$5:$D$61,'UC MINI 2026 (Grp. Propieta'!$B5,'UC MINI 2026'!$L$5:$L$61)</f>
        <v>45</v>
      </c>
      <c r="K5" s="189">
        <f>SUMIF('UC MINI 2026'!$D$5:$D$61,'UC MINI 2026 (Grp. Propieta'!$B5,'UC MINI 2026'!$M$5:$M$61)</f>
        <v>59</v>
      </c>
      <c r="L5" s="247">
        <f>SUMIF('UC MINI 2026'!$D$5:$D$61,'UC MINI 2026 (Grp. Propieta'!$B5,'UC MINI 2026'!$N$5:$N$61)</f>
        <v>49</v>
      </c>
      <c r="M5" s="189">
        <f>SUMIF('UC MINI 2026'!$D$5:$D$61,'UC MINI 2026 (Grp. Propieta'!$B5,'UC MINI 2026'!$O$5:$O$61)</f>
        <v>54</v>
      </c>
      <c r="N5" s="247">
        <f>SUMIF('UC MINI 2026'!$D$5:$D$61,'UC MINI 2026 (Grp. Propieta'!$B5,'UC MINI 2026'!$P$5:$P$61)</f>
        <v>49</v>
      </c>
      <c r="O5" s="189">
        <f>SUMIF('UC MINI 2026'!$D$5:$D$61,'UC MINI 2026 (Grp. Propieta'!$B5,'UC MINI 2026'!$Q$5:$Q$61)</f>
        <v>72</v>
      </c>
      <c r="P5" s="247">
        <f>SUMIF('UC MINI 2026'!$D$5:$D$61,'UC MINI 2026 (Grp. Propieta'!$B5,'UC MINI 2026'!$R$5:$R$61)</f>
        <v>0</v>
      </c>
      <c r="Q5" s="189">
        <f>SUMIF('UC MINI 2026'!$D$5:$D$61,$B5,'UC MINI 2026'!$S$5:$S$61)</f>
        <v>0</v>
      </c>
      <c r="R5" s="247">
        <f>SUMIF('UC MINI 2026'!$D$5:$D$61,$B5,'UC MINI 2026'!T$5:T$61)</f>
        <v>0</v>
      </c>
      <c r="S5" s="189">
        <f>SUMIF('UC MINI 2026'!$D$5:$D$61,$B5,'UC MINI 2026'!$U$5:$U$61)</f>
        <v>0</v>
      </c>
      <c r="T5" s="247">
        <f>SUMIF('UC MINI 2026'!$D$5:$D$61,$B5,'UC MINI 2026'!V$5:V$61)</f>
        <v>0</v>
      </c>
      <c r="U5" s="189">
        <f>SUMIF('UC MINI 2026'!$D$5:$D$61,$B5,'UC MINI 2026'!$W$5:$W$61)</f>
        <v>0</v>
      </c>
      <c r="V5" s="247">
        <f>SUMIF('UC MINI 2026'!$D$5:$D$61,$B5,'UC MINI 2026'!X$5:X$61)</f>
        <v>0</v>
      </c>
      <c r="W5" s="189">
        <f>SUMIF('UC MINI 2026'!$D$5:$D$61,$B5,'UC MINI 2026'!$Y$5:$Y$61)</f>
        <v>0</v>
      </c>
      <c r="X5" s="247">
        <f>SUMIF('UC MINI 2026'!$D$5:$D$61,$B5,'UC MINI 2026'!Z$5:Z$61)</f>
        <v>0</v>
      </c>
      <c r="Y5" s="189">
        <f>SUMIF('UC MINI 2026'!$D$5:$D$61,$B5,'UC MINI 2026'!$AA$5:$AA$61)</f>
        <v>0</v>
      </c>
      <c r="Z5" s="247">
        <f>SUMIF('UC MINI 2026'!$D$5:$D$61,$B5,'UC MINI 2026'!AB$5:AB$61)</f>
        <v>0</v>
      </c>
      <c r="AA5" s="189">
        <f>SUMIF('UC MINI 2026'!$D$5:$D$61,$B5,'UC MINI 2026'!$AC$5:$AC$61)</f>
        <v>0</v>
      </c>
      <c r="AB5" s="248">
        <f>IF($AB$2="ENERO",D5,IF($AB$2="FEBRERO",D5+F5,IF($AB$2="MARZO",D5+F5+H5,IF($AB$2="ABRIL",D5+F5+H5+J5,IF($AB$2="MAYO",D5+F5+H5+J5+L5,IF($AB$2="JUNIO",D5+F5+H5+J5+L5+N5,IF($AB$2="JULIO",D5+F5+H5+J5+L5+N5+P5,IF($AB$2="AGOSTO",D5+F5+H5+J5+L5+N5+P5+R5,IF($AB$2="SEPTIEMBRE",D5+F5+H5+J5+L5+N5+P5+R5+T5,IF($AB$2="OCTUBRE",D5+F5+H5+J5+L5+N5+P5+R5+T5+V5,IF($AB$2="NOVIEMBRE",D5+F5+H5+J5+L5+N5+P5+R5+T5+V5+X5,IF($AB$2="DICIEMBRE",D5+F5+H5+J5+L5+N5+P5+R5+T5+V5+X5+Z5,""))))))))))))</f>
        <v>275</v>
      </c>
      <c r="AC5" s="85">
        <f>IF($AB$2="ENERO",E5,IF($AB$2="FEBRERO",E5+G5,IF($AB$2="MARZO",E5+G5+I5,IF($AB$2="ABRIL",E5+G5+I5+K5,IF($AB$2="MAYO",E5+G5+I5+K5+M5,IF($AB$2="JUNIO",E5+G5+I5+K5+M5+O5,IF($AB$2="JULIO",E5+G5+I5+K5+M5+O5+Q5,IF($AB$2="AGOSTO",E5+G5+I5+K5+M5+O5+Q5+S5,IF($AB$2="SEPTIEMBRE",E5+G5+I5+K5+M5+O5+Q5+S5+U5,IF($AB$2="OCTUBRE",E5+G5+I5+K5+M5+O5+Q5+S5+U5+W5,IF($AB$2="NOVIEMBRE",E5+G5+I5+K5+M5+O5+Q5+S5+U5+W5+Y5,IF($AB$2="DICIEMBRE",E5+G5+I5+K5+M5+O5+Q5+S5+U5+W5+Y5+AA5,""))))))))))))</f>
        <v>310</v>
      </c>
      <c r="AD5" s="242">
        <f>IFERROR((AF5/AB5),0)</f>
        <v>1.1272727272727272</v>
      </c>
      <c r="AE5" s="248">
        <f t="shared" ref="AE5:AE32" si="0">+D5+F5+H5+J5+L5+N5+P5+R5+T5+V5+X5+Z5</f>
        <v>275</v>
      </c>
      <c r="AF5" s="85">
        <f>IF($AB$2="ENERO",E5,IF($AB$2="FEBRERO",E5+G5,IF($AB$2="MARZO",E5+G5+I5,IF($AB$2="ABRIL",E5+G5+I5+K5,IF($AB$2="MAYO",E5+G5+I5+K5+M5,IF($AB$2="JUNIO",E5+G5+I5+K5+M5+O5,IF($AB$2="JULIO",E5+G5+I5+K5+M5+O5+Q5,IF($AB$2="AGOSTO",E5+G5+I5+K5+M5+O5+Q5+S5,IF($AB$2="SEPTIEMBRE",E5+G5+I5+K5+M5+O5+Q5+S5+U5,IF($AB$2="OCTUBRE",E5+G5+I5+K5+M5+O5+Q5+S5+U5+W5,IF($AB$2="NOVIEMBRE",E5+G5+I5+K5+M5+O5+Q5+S5+U5+W5+Y5,IF($AB$2="DICIEMBRE",E5+G5+I5+K5+M5+O5+Q5+S5+U5+W5+Y5+AA5,""))))))))))))</f>
        <v>310</v>
      </c>
      <c r="AG5" s="52">
        <f t="shared" ref="AG5:AG32" si="1">IFERROR((AF5/AE5),0)</f>
        <v>1.1272727272727272</v>
      </c>
      <c r="AH5" s="248">
        <f>IF($AH$3="Q1",D5+F5+H5,IF($AH$3="Q2",J5+L5++N5,IF($AH$3="Q3",P5+R5+T5,IF($AH$3="Q4",V5+X5+Z5,0))))</f>
        <v>0</v>
      </c>
      <c r="AI5" s="85">
        <f>IF($AH$3="Q1",E5+G5+I5,IF($AH$3="Q2",K5+M5++O5,IF($AH$3="Q3",Q5+S5+U5,IF($AH$3="Q4",W5+Y5+AA5,0))))</f>
        <v>0</v>
      </c>
      <c r="AJ5" s="52">
        <f t="shared" ref="AJ5:AJ32" si="2">IFERROR((AI5/AH5),0)</f>
        <v>0</v>
      </c>
      <c r="AK5" s="248">
        <f>IF($AK$3="S 1",D5+F5+H5+J5+L5++N5,IF($AK$3="S 2",P5+R5+Z5+T5+V5+X5,0))</f>
        <v>275</v>
      </c>
      <c r="AL5" s="85">
        <f>IF($AK$3="S 1",E5+G5+I5+K5+M5+O5,IF($AK$3="S 2",Q5+S5+U5+W5+Y5+AA5,0))</f>
        <v>310</v>
      </c>
      <c r="AM5" s="52">
        <f t="shared" ref="AM5:AM32" si="3">IFERROR((AL5/AK5),0)</f>
        <v>1.1272727272727272</v>
      </c>
    </row>
    <row r="6" spans="1:39" s="53" customFormat="1" ht="16" customHeight="1" x14ac:dyDescent="0.3">
      <c r="A6" s="50">
        <v>11</v>
      </c>
      <c r="B6" s="51">
        <v>8337</v>
      </c>
      <c r="C6" s="385" t="s">
        <v>274</v>
      </c>
      <c r="D6" s="247">
        <f>SUMIF('UC MINI 2026'!$D$5:$D$61,'UC MINI 2026 (Grp. Propieta'!$B6,'UC MINI 2026'!$F$5:$F$61)</f>
        <v>33</v>
      </c>
      <c r="E6" s="189">
        <f>SUMIF('UC MINI 2026'!$D$5:$D$61,'UC MINI 2026 (Grp. Propieta'!$B6,'UC MINI 2026'!$G$5:$G$61)</f>
        <v>28</v>
      </c>
      <c r="F6" s="247">
        <f>SUMIF('UC MINI 2026'!$D$5:$D$61,'UC MINI 2026 (Grp. Propieta'!$B6,'UC MINI 2026'!$H$5:$H$61)</f>
        <v>34</v>
      </c>
      <c r="G6" s="189">
        <f>SUMIF('UC MINI 2026'!$D$5:$D$61,'UC MINI 2026 (Grp. Propieta'!$B6,'UC MINI 2026'!$I$5:$I$61)</f>
        <v>35</v>
      </c>
      <c r="H6" s="247">
        <f>SUMIF('UC MINI 2026'!$D$5:$D$61,'UC MINI 2026 (Grp. Propieta'!$B6,'UC MINI 2026'!$J$5:$J$61)</f>
        <v>35</v>
      </c>
      <c r="I6" s="189">
        <f>SUMIF('UC MINI 2026'!$D$5:$D$61,'UC MINI 2026 (Grp. Propieta'!$B6,'UC MINI 2026'!$K$5:$K$61)</f>
        <v>41</v>
      </c>
      <c r="J6" s="247">
        <f>SUMIF('UC MINI 2026'!$D$5:$D$61,'UC MINI 2026 (Grp. Propieta'!$B6,'UC MINI 2026'!$L$5:$L$61)</f>
        <v>33</v>
      </c>
      <c r="K6" s="189">
        <f>SUMIF('UC MINI 2026'!$D$5:$D$61,'UC MINI 2026 (Grp. Propieta'!$B6,'UC MINI 2026'!$M$5:$M$61)</f>
        <v>36</v>
      </c>
      <c r="L6" s="247">
        <f>SUMIF('UC MINI 2026'!$D$5:$D$61,'UC MINI 2026 (Grp. Propieta'!$B6,'UC MINI 2026'!$N$5:$N$61)</f>
        <v>35</v>
      </c>
      <c r="M6" s="189">
        <f>SUMIF('UC MINI 2026'!$D$5:$D$61,'UC MINI 2026 (Grp. Propieta'!$B6,'UC MINI 2026'!$O$5:$O$61)</f>
        <v>30</v>
      </c>
      <c r="N6" s="247">
        <f>SUMIF('UC MINI 2026'!$D$5:$D$61,'UC MINI 2026 (Grp. Propieta'!$B6,'UC MINI 2026'!$P$5:$P$61)</f>
        <v>35</v>
      </c>
      <c r="O6" s="189">
        <f>SUMIF('UC MINI 2026'!$D$5:$D$61,'UC MINI 2026 (Grp. Propieta'!$B6,'UC MINI 2026'!$Q$5:$Q$61)</f>
        <v>46</v>
      </c>
      <c r="P6" s="247">
        <f>SUMIF('UC MINI 2026'!$D$5:$D$61,'UC MINI 2026 (Grp. Propieta'!$B6,'UC MINI 2026'!$R$5:$R$61)</f>
        <v>0</v>
      </c>
      <c r="Q6" s="189">
        <f>SUMIF('UC MINI 2026'!$D$5:$D$61,$B6,'UC MINI 2026'!$S$5:$S$61)</f>
        <v>0</v>
      </c>
      <c r="R6" s="247">
        <f>SUMIF('UC MINI 2026'!$D$5:$D$61,$B6,'UC MINI 2026'!T$5:T$61)</f>
        <v>0</v>
      </c>
      <c r="S6" s="189">
        <f>SUMIF('UC MINI 2026'!$D$5:$D$61,$B6,'UC MINI 2026'!$U$5:$U$61)</f>
        <v>0</v>
      </c>
      <c r="T6" s="247">
        <f>SUMIF('UC MINI 2026'!$D$5:$D$61,$B6,'UC MINI 2026'!V$5:V$61)</f>
        <v>0</v>
      </c>
      <c r="U6" s="189">
        <f>SUMIF('UC MINI 2026'!$D$5:$D$61,$B6,'UC MINI 2026'!$W$5:$W$61)</f>
        <v>0</v>
      </c>
      <c r="V6" s="247">
        <f>SUMIF('UC MINI 2026'!$D$5:$D$61,$B6,'UC MINI 2026'!X$5:X$61)</f>
        <v>0</v>
      </c>
      <c r="W6" s="189">
        <f>SUMIF('UC MINI 2026'!$D$5:$D$61,$B6,'UC MINI 2026'!$Y$5:$Y$61)</f>
        <v>0</v>
      </c>
      <c r="X6" s="247">
        <f>SUMIF('UC MINI 2026'!$D$5:$D$61,$B6,'UC MINI 2026'!Z$5:Z$61)</f>
        <v>0</v>
      </c>
      <c r="Y6" s="189">
        <f>SUMIF('UC MINI 2026'!$D$5:$D$61,$B6,'UC MINI 2026'!$AA$5:$AA$61)</f>
        <v>0</v>
      </c>
      <c r="Z6" s="247">
        <f>SUMIF('UC MINI 2026'!$D$5:$D$61,$B6,'UC MINI 2026'!AB$5:AB$61)</f>
        <v>0</v>
      </c>
      <c r="AA6" s="189">
        <f>SUMIF('UC MINI 2026'!$D$5:$D$61,$B6,'UC MINI 2026'!$AC$5:$AC$61)</f>
        <v>0</v>
      </c>
      <c r="AB6" s="249">
        <f>IF($AB$2="ENERO",D6,IF($AB$2="FEBRERO",D6+F6,IF($AB$2="MARZO",D6+F6+H6,IF($AB$2="ABRIL",D6+F6+H6+J6,IF($AB$2="MAYO",D6+F6+H6+J6+L6,IF($AB$2="JUNIO",D6+F6+H6+J6+L6+N6,IF($AB$2="JULIO",D6+F6+H6+J6+L6+N6+P6,IF($AB$2="AGOSTO",D6+F6+H6+J6+L6+N6+P6+R6,IF($AB$2="SEPTIEMBRE",D6+F6+H6+J6+L6+N6+P6+R6+T6,IF($AB$2="OCTUBRE",D6+F6+H6+J6+L6+N6+P6+R6+T6+V6,IF($AB$2="NOVIEMBRE",D6+F6+H6+J6+L6+N6+P6+R6+T6+V6+X6,IF($AB$2="DICIEMBRE",D6+F6+H6+J6+L6+N6+P6+R6+T6+V6+X6+Z6,""))))))))))))</f>
        <v>205</v>
      </c>
      <c r="AC6" s="86">
        <f>IF($AB$2="ENERO",E6,IF($AB$2="FEBRERO",E6+G6,IF($AB$2="MARZO",E6+G6+I6,IF($AB$2="ABRIL",E6+G6+I6+K6,IF($AB$2="MAYO",E6+G6+I6+K6+M6,IF($AB$2="JUNIO",E6+G6+I6+K6+M6+O6,IF($AB$2="JULIO",E6+G6+I6+K6+M6+O6+Q6,IF($AB$2="AGOSTO",E6+G6+I6+K6+M6+O6+Q6+S6,IF($AB$2="SEPTIEMBRE",E6+G6+I6+K6+M6+O6+Q6+S6+U6,IF($AB$2="OCTUBRE",E6+G6+I6+K6+M6+O6+Q6+S6+U6+W6,IF($AB$2="NOVIEMBRE",E6+G6+I6+K6+M6+O6+Q6+S6+U6+W6+Y6,IF($AB$2="DICIEMBRE",E6+G6+I6+K6+M6+O6+Q6+S6+U6+W6+Y6+AA6,""))))))))))))</f>
        <v>216</v>
      </c>
      <c r="AD6" s="243">
        <f t="shared" ref="AD6:AD32" si="4">IFERROR((AC6/AB6),0)</f>
        <v>1.0536585365853659</v>
      </c>
      <c r="AE6" s="249">
        <f t="shared" si="0"/>
        <v>205</v>
      </c>
      <c r="AF6" s="86">
        <f>IF($AB$2="ENERO",E6,IF($AB$2="FEBRERO",E6+G6,IF($AB$2="MARZO",E6+G6+I6,IF($AB$2="ABRIL",E6+G6+I6+K6,IF($AB$2="MAYO",E6+G6+I6+K6+M6,IF($AB$2="JUNIO",E6+G6+I6+K6+M6+O6,IF($AB$2="JULIO",E6+G6+I6+K6+M6+O6+Q6,IF($AB$2="AGOSTO",E6+G6+I6+K6+M6+O6+Q6+S6,IF($AB$2="SEPTIEMBRE",E6+G6+I6+K6+M6+O6+Q6+S6+U6,IF($AB$2="OCTUBRE",E6+G6+I6+K6+M6+O6+Q6+S6+U6+W6,IF($AB$2="NOVIEMBRE",E6+G6+I6+K6+M6+O6+Q6+S6+U6+W6+Y6,IF($AB$2="DICIEMBRE",E6+G6+I6+K6+M6+O6+Q6+S6+U6+W6+Y6+AA6,""))))))))))))</f>
        <v>216</v>
      </c>
      <c r="AG6" s="56">
        <f t="shared" si="1"/>
        <v>1.0536585365853659</v>
      </c>
      <c r="AH6" s="249">
        <f>IF($AH$3="Q1",D6+F6+H6,IF($AH$3="Q2",J6+L6++N6,IF($AH$3="Q3",P6+R6+T6,IF($AH$3="Q4",V6+X6+Z6,0))))</f>
        <v>0</v>
      </c>
      <c r="AI6" s="86">
        <f>IF($AH$3="Q1",E6+G6+I6,IF($AH$3="Q2",K6+M6++O6,IF($AH$3="Q3",Q6+S6+U6,IF($AH$3="Q4",W6+Y6+AA6,0))))</f>
        <v>0</v>
      </c>
      <c r="AJ6" s="56">
        <f t="shared" si="2"/>
        <v>0</v>
      </c>
      <c r="AK6" s="249">
        <f t="shared" ref="AK6:AK30" si="5">IF($AK$3="S 1",D6+F6+H6+J6+L6++N6,IF($AK$3="S 2",P6+R6+Z6+T6+V6+X6,0))</f>
        <v>205</v>
      </c>
      <c r="AL6" s="86">
        <f t="shared" ref="AL6:AL30" si="6">IF($AK$3="S 1",E6+G6+I6+K6+M6+O6,IF($AK$3="S 2",Q6+S6+U6+W6+Y6+AA6,0))</f>
        <v>216</v>
      </c>
      <c r="AM6" s="56">
        <f t="shared" si="3"/>
        <v>1.0536585365853659</v>
      </c>
    </row>
    <row r="7" spans="1:39" s="53" customFormat="1" ht="16" customHeight="1" x14ac:dyDescent="0.3">
      <c r="A7" s="50">
        <v>11</v>
      </c>
      <c r="B7" s="51">
        <v>20285</v>
      </c>
      <c r="C7" s="385" t="s">
        <v>78</v>
      </c>
      <c r="D7" s="247">
        <f>SUMIF('UC MINI 2026'!$D$5:$D$61,'UC MINI 2026 (Grp. Propieta'!$B7,'UC MINI 2026'!$F$5:$F$61)</f>
        <v>6</v>
      </c>
      <c r="E7" s="189">
        <f>SUMIF('UC MINI 2026'!$D$5:$D$61,'UC MINI 2026 (Grp. Propieta'!$B7,'UC MINI 2026'!$G$5:$G$61)</f>
        <v>4</v>
      </c>
      <c r="F7" s="247">
        <f>SUMIF('UC MINI 2026'!$D$5:$D$61,'UC MINI 2026 (Grp. Propieta'!$B7,'UC MINI 2026'!$H$5:$H$61)</f>
        <v>7</v>
      </c>
      <c r="G7" s="189">
        <f>SUMIF('UC MINI 2026'!$D$5:$D$61,'UC MINI 2026 (Grp. Propieta'!$B7,'UC MINI 2026'!$I$5:$I$61)</f>
        <v>3</v>
      </c>
      <c r="H7" s="247">
        <f>SUMIF('UC MINI 2026'!$D$5:$D$61,'UC MINI 2026 (Grp. Propieta'!$B7,'UC MINI 2026'!$J$5:$J$61)</f>
        <v>7</v>
      </c>
      <c r="I7" s="189">
        <f>SUMIF('UC MINI 2026'!$D$5:$D$61,'UC MINI 2026 (Grp. Propieta'!$B7,'UC MINI 2026'!$K$5:$K$61)</f>
        <v>6</v>
      </c>
      <c r="J7" s="247">
        <f>SUMIF('UC MINI 2026'!$D$5:$D$61,'UC MINI 2026 (Grp. Propieta'!$B7,'UC MINI 2026'!$L$5:$L$61)</f>
        <v>7</v>
      </c>
      <c r="K7" s="189">
        <f>SUMIF('UC MINI 2026'!$D$5:$D$61,'UC MINI 2026 (Grp. Propieta'!$B7,'UC MINI 2026'!$M$5:$M$61)</f>
        <v>6</v>
      </c>
      <c r="L7" s="247">
        <f>SUMIF('UC MINI 2026'!$D$5:$D$61,'UC MINI 2026 (Grp. Propieta'!$B7,'UC MINI 2026'!$N$5:$N$61)</f>
        <v>8</v>
      </c>
      <c r="M7" s="189">
        <f>SUMIF('UC MINI 2026'!$D$5:$D$61,'UC MINI 2026 (Grp. Propieta'!$B7,'UC MINI 2026'!$O$5:$O$61)</f>
        <v>5</v>
      </c>
      <c r="N7" s="247">
        <f>SUMIF('UC MINI 2026'!$D$5:$D$61,'UC MINI 2026 (Grp. Propieta'!$B7,'UC MINI 2026'!$P$5:$P$61)</f>
        <v>8</v>
      </c>
      <c r="O7" s="189">
        <f>SUMIF('UC MINI 2026'!$D$5:$D$61,'UC MINI 2026 (Grp. Propieta'!$B7,'UC MINI 2026'!$Q$5:$Q$61)</f>
        <v>7</v>
      </c>
      <c r="P7" s="247">
        <f>SUMIF('UC MINI 2026'!$D$5:$D$61,'UC MINI 2026 (Grp. Propieta'!$B7,'UC MINI 2026'!$R$5:$R$61)</f>
        <v>0</v>
      </c>
      <c r="Q7" s="189">
        <f>SUMIF('UC MINI 2026'!$D$5:$D$61,$B7,'UC MINI 2026'!$S$5:$S$61)</f>
        <v>0</v>
      </c>
      <c r="R7" s="247">
        <f>SUMIF('UC MINI 2026'!$D$5:$D$61,$B7,'UC MINI 2026'!T$5:T$61)</f>
        <v>0</v>
      </c>
      <c r="S7" s="189">
        <f>SUMIF('UC MINI 2026'!$D$5:$D$61,$B7,'UC MINI 2026'!$U$5:$U$61)</f>
        <v>0</v>
      </c>
      <c r="T7" s="247">
        <f>SUMIF('UC MINI 2026'!$D$5:$D$61,$B7,'UC MINI 2026'!V$5:V$61)</f>
        <v>0</v>
      </c>
      <c r="U7" s="189">
        <f>SUMIF('UC MINI 2026'!$D$5:$D$61,$B7,'UC MINI 2026'!$W$5:$W$61)</f>
        <v>0</v>
      </c>
      <c r="V7" s="247">
        <f>SUMIF('UC MINI 2026'!$D$5:$D$61,$B7,'UC MINI 2026'!X$5:X$61)</f>
        <v>0</v>
      </c>
      <c r="W7" s="189">
        <f>SUMIF('UC MINI 2026'!$D$5:$D$61,$B7,'UC MINI 2026'!$Y$5:$Y$61)</f>
        <v>0</v>
      </c>
      <c r="X7" s="247">
        <f>SUMIF('UC MINI 2026'!$D$5:$D$61,$B7,'UC MINI 2026'!Z$5:Z$61)</f>
        <v>0</v>
      </c>
      <c r="Y7" s="189">
        <f>SUMIF('UC MINI 2026'!$D$5:$D$61,$B7,'UC MINI 2026'!$AA$5:$AA$61)</f>
        <v>0</v>
      </c>
      <c r="Z7" s="247">
        <f>SUMIF('UC MINI 2026'!$D$5:$D$61,$B7,'UC MINI 2026'!AB$5:AB$61)</f>
        <v>0</v>
      </c>
      <c r="AA7" s="189">
        <f>SUMIF('UC MINI 2026'!$D$5:$D$61,$B7,'UC MINI 2026'!$AC$5:$AC$61)</f>
        <v>0</v>
      </c>
      <c r="AB7" s="249">
        <f t="shared" ref="AB7:AC29" si="7">IF($AB$2="ENERO",D7,IF($AB$2="FEBRERO",D7+F7,IF($AB$2="MARZO",D7+F7+H7,IF($AB$2="ABRIL",D7+F7+H7+J7,IF($AB$2="MAYO",D7+F7+H7+J7+L7,IF($AB$2="JUNIO",D7+F7+H7+J7+L7+N7,IF($AB$2="JULIO",D7+F7+H7+J7+L7+N7+P7,IF($AB$2="AGOSTO",D7+F7+H7+J7+L7+N7+P7+R7,IF($AB$2="SEPTIEMBRE",D7+F7+H7+J7+L7+N7+P7+R7+T7,IF($AB$2="OCTUBRE",D7+F7+H7+J7+L7+N7+P7+R7+T7+V7,IF($AB$2="NOVIEMBRE",D7+F7+H7+J7+L7+N7+P7+R7+T7+V7+X7,IF($AB$2="DICIEMBRE",D7+F7+H7+J7+L7+N7+P7+R7+T7+V7+X7+Z7,""))))))))))))</f>
        <v>43</v>
      </c>
      <c r="AC7" s="86">
        <f t="shared" si="7"/>
        <v>31</v>
      </c>
      <c r="AD7" s="243">
        <f t="shared" si="4"/>
        <v>0.72093023255813948</v>
      </c>
      <c r="AE7" s="249">
        <f t="shared" si="0"/>
        <v>43</v>
      </c>
      <c r="AF7" s="86">
        <f t="shared" ref="AF7:AF30" si="8">IF($AB$2="ENERO",E7,IF($AB$2="FEBRERO",E7+G7,IF($AB$2="MARZO",E7+G7+I7,IF($AB$2="ABRIL",E7+G7+I7+K7,IF($AB$2="MAYO",E7+G7+I7+K7+M7,IF($AB$2="JUNIO",E7+G7+I7+K7+M7+O7,IF($AB$2="JULIO",E7+G7+I7+K7+M7+O7+Q7,IF($AB$2="AGOSTO",E7+G7+I7+K7+M7+O7+Q7+S7,IF($AB$2="SEPTIEMBRE",E7+G7+I7+K7+M7+O7+Q7+S7+U7,IF($AB$2="OCTUBRE",E7+G7+I7+K7+M7+O7+Q7+S7+U7+W7,IF($AB$2="NOVIEMBRE",E7+G7+I7+K7+M7+O7+Q7+S7+U7+W7+Y7,IF($AB$2="DICIEMBRE",E7+G7+I7+K7+M7+O7+Q7+S7+U7+W7+Y7+AA7,""))))))))))))</f>
        <v>31</v>
      </c>
      <c r="AG7" s="56">
        <f t="shared" si="1"/>
        <v>0.72093023255813948</v>
      </c>
      <c r="AH7" s="249">
        <f t="shared" ref="AH7:AI29" si="9">IF($AH$3="Q1",D7+F7+H7,IF($AH$3="Q2",J7+L7++N7,IF($AH$3="Q3",P7+R7+T7,IF($AH$3="Q4",V7+X7+Z7,0))))</f>
        <v>0</v>
      </c>
      <c r="AI7" s="86">
        <f t="shared" si="9"/>
        <v>0</v>
      </c>
      <c r="AJ7" s="56">
        <f t="shared" si="2"/>
        <v>0</v>
      </c>
      <c r="AK7" s="249">
        <f t="shared" si="5"/>
        <v>43</v>
      </c>
      <c r="AL7" s="86">
        <f t="shared" si="6"/>
        <v>31</v>
      </c>
      <c r="AM7" s="56">
        <f t="shared" si="3"/>
        <v>0.72093023255813948</v>
      </c>
    </row>
    <row r="8" spans="1:39" s="53" customFormat="1" ht="16" customHeight="1" x14ac:dyDescent="0.3">
      <c r="A8" s="50">
        <v>11</v>
      </c>
      <c r="B8" s="51">
        <v>22761</v>
      </c>
      <c r="C8" s="385" t="s">
        <v>79</v>
      </c>
      <c r="D8" s="247">
        <f>SUMIF('UC MINI 2026'!$D$5:$D$61,'UC MINI 2026 (Grp. Propieta'!$B8,'UC MINI 2026'!$F$5:$F$61)</f>
        <v>19</v>
      </c>
      <c r="E8" s="189">
        <f>SUMIF('UC MINI 2026'!$D$5:$D$61,'UC MINI 2026 (Grp. Propieta'!$B8,'UC MINI 2026'!$G$5:$G$61)</f>
        <v>19</v>
      </c>
      <c r="F8" s="247">
        <f>SUMIF('UC MINI 2026'!$D$5:$D$61,'UC MINI 2026 (Grp. Propieta'!$B8,'UC MINI 2026'!$H$5:$H$61)</f>
        <v>19</v>
      </c>
      <c r="G8" s="189">
        <f>SUMIF('UC MINI 2026'!$D$5:$D$61,'UC MINI 2026 (Grp. Propieta'!$B8,'UC MINI 2026'!$I$5:$I$61)</f>
        <v>25</v>
      </c>
      <c r="H8" s="247">
        <f>SUMIF('UC MINI 2026'!$D$5:$D$61,'UC MINI 2026 (Grp. Propieta'!$B8,'UC MINI 2026'!$J$5:$J$61)</f>
        <v>22</v>
      </c>
      <c r="I8" s="189">
        <f>SUMIF('UC MINI 2026'!$D$5:$D$61,'UC MINI 2026 (Grp. Propieta'!$B8,'UC MINI 2026'!$K$5:$K$61)</f>
        <v>25</v>
      </c>
      <c r="J8" s="247">
        <f>SUMIF('UC MINI 2026'!$D$5:$D$61,'UC MINI 2026 (Grp. Propieta'!$B8,'UC MINI 2026'!$L$5:$L$61)</f>
        <v>21</v>
      </c>
      <c r="K8" s="189">
        <f>SUMIF('UC MINI 2026'!$D$5:$D$61,'UC MINI 2026 (Grp. Propieta'!$B8,'UC MINI 2026'!$M$5:$M$61)</f>
        <v>16</v>
      </c>
      <c r="L8" s="247">
        <f>SUMIF('UC MINI 2026'!$D$5:$D$61,'UC MINI 2026 (Grp. Propieta'!$B8,'UC MINI 2026'!$N$5:$N$61)</f>
        <v>23</v>
      </c>
      <c r="M8" s="189">
        <f>SUMIF('UC MINI 2026'!$D$5:$D$61,'UC MINI 2026 (Grp. Propieta'!$B8,'UC MINI 2026'!$O$5:$O$61)</f>
        <v>23</v>
      </c>
      <c r="N8" s="247">
        <f>SUMIF('UC MINI 2026'!$D$5:$D$61,'UC MINI 2026 (Grp. Propieta'!$B8,'UC MINI 2026'!$P$5:$P$61)</f>
        <v>23</v>
      </c>
      <c r="O8" s="189">
        <f>SUMIF('UC MINI 2026'!$D$5:$D$61,'UC MINI 2026 (Grp. Propieta'!$B8,'UC MINI 2026'!$Q$5:$Q$61)</f>
        <v>37</v>
      </c>
      <c r="P8" s="247">
        <f>SUMIF('UC MINI 2026'!$D$5:$D$61,'UC MINI 2026 (Grp. Propieta'!$B8,'UC MINI 2026'!$R$5:$R$61)</f>
        <v>13</v>
      </c>
      <c r="Q8" s="189">
        <f>SUMIF('UC MINI 2026'!$D$5:$D$61,$B8,'UC MINI 2026'!$S$5:$S$61)</f>
        <v>0</v>
      </c>
      <c r="R8" s="247">
        <f>SUMIF('UC MINI 2026'!$D$5:$D$61,$B8,'UC MINI 2026'!T$5:T$61)</f>
        <v>9</v>
      </c>
      <c r="S8" s="189">
        <f>SUMIF('UC MINI 2026'!$D$5:$D$61,$B8,'UC MINI 2026'!$U$5:$U$61)</f>
        <v>0</v>
      </c>
      <c r="T8" s="247">
        <f>SUMIF('UC MINI 2026'!$D$5:$D$61,$B8,'UC MINI 2026'!V$5:V$61)</f>
        <v>13</v>
      </c>
      <c r="U8" s="189">
        <f>SUMIF('UC MINI 2026'!$D$5:$D$61,$B8,'UC MINI 2026'!$W$5:$W$61)</f>
        <v>0</v>
      </c>
      <c r="V8" s="247">
        <f>SUMIF('UC MINI 2026'!$D$5:$D$61,$B8,'UC MINI 2026'!X$5:X$61)</f>
        <v>15</v>
      </c>
      <c r="W8" s="189">
        <f>SUMIF('UC MINI 2026'!$D$5:$D$61,$B8,'UC MINI 2026'!$Y$5:$Y$61)</f>
        <v>0</v>
      </c>
      <c r="X8" s="247">
        <f>SUMIF('UC MINI 2026'!$D$5:$D$61,$B8,'UC MINI 2026'!Z$5:Z$61)</f>
        <v>15</v>
      </c>
      <c r="Y8" s="189">
        <f>SUMIF('UC MINI 2026'!$D$5:$D$61,$B8,'UC MINI 2026'!$AA$5:$AA$61)</f>
        <v>0</v>
      </c>
      <c r="Z8" s="247">
        <f>SUMIF('UC MINI 2026'!$D$5:$D$61,$B8,'UC MINI 2026'!AB$5:AB$61)</f>
        <v>14</v>
      </c>
      <c r="AA8" s="189">
        <f>SUMIF('UC MINI 2026'!$D$5:$D$61,$B8,'UC MINI 2026'!$AC$5:$AC$61)</f>
        <v>0</v>
      </c>
      <c r="AB8" s="249">
        <f t="shared" si="7"/>
        <v>127</v>
      </c>
      <c r="AC8" s="86">
        <f t="shared" si="7"/>
        <v>145</v>
      </c>
      <c r="AD8" s="243">
        <f t="shared" si="4"/>
        <v>1.1417322834645669</v>
      </c>
      <c r="AE8" s="249">
        <f t="shared" si="0"/>
        <v>206</v>
      </c>
      <c r="AF8" s="86">
        <f t="shared" si="8"/>
        <v>145</v>
      </c>
      <c r="AG8" s="56">
        <f t="shared" si="1"/>
        <v>0.70388349514563109</v>
      </c>
      <c r="AH8" s="249">
        <f t="shared" si="9"/>
        <v>44</v>
      </c>
      <c r="AI8" s="86">
        <f t="shared" si="9"/>
        <v>0</v>
      </c>
      <c r="AJ8" s="56">
        <f t="shared" si="2"/>
        <v>0</v>
      </c>
      <c r="AK8" s="249">
        <f t="shared" si="5"/>
        <v>127</v>
      </c>
      <c r="AL8" s="86">
        <f t="shared" si="6"/>
        <v>145</v>
      </c>
      <c r="AM8" s="56">
        <f t="shared" si="3"/>
        <v>1.1417322834645669</v>
      </c>
    </row>
    <row r="9" spans="1:39" s="53" customFormat="1" ht="16" customHeight="1" x14ac:dyDescent="0.3">
      <c r="A9" s="50"/>
      <c r="B9" s="51">
        <v>1211</v>
      </c>
      <c r="C9" s="385" t="s">
        <v>80</v>
      </c>
      <c r="D9" s="247">
        <f>SUMIF('UC MINI 2026'!$D$5:$D$61,'UC MINI 2026 (Grp. Propieta'!$B9,'UC MINI 2026'!$F$5:$F$61)</f>
        <v>0</v>
      </c>
      <c r="E9" s="189">
        <f>SUMIF('UC MINI 2026'!$D$5:$D$61,'UC MINI 2026 (Grp. Propieta'!$B9,'UC MINI 2026'!$G$5:$G$61)</f>
        <v>0</v>
      </c>
      <c r="F9" s="247">
        <f>SUMIF('UC MINI 2026'!$D$5:$D$61,'UC MINI 2026 (Grp. Propieta'!$B9,'UC MINI 2026'!$H$5:$H$61)</f>
        <v>0</v>
      </c>
      <c r="G9" s="189">
        <f>SUMIF('UC MINI 2026'!$D$5:$D$61,'UC MINI 2026 (Grp. Propieta'!$B9,'UC MINI 2026'!$I$5:$I$61)</f>
        <v>0</v>
      </c>
      <c r="H9" s="247">
        <f>SUMIF('UC MINI 2026'!$D$5:$D$61,'UC MINI 2026 (Grp. Propieta'!$B9,'UC MINI 2026'!$J$5:$J$61)</f>
        <v>0</v>
      </c>
      <c r="I9" s="189">
        <f>SUMIF('UC MINI 2026'!$D$5:$D$61,'UC MINI 2026 (Grp. Propieta'!$B9,'UC MINI 2026'!$K$5:$K$61)</f>
        <v>0</v>
      </c>
      <c r="J9" s="247">
        <f>SUMIF('UC MINI 2026'!$D$5:$D$61,'UC MINI 2026 (Grp. Propieta'!$B9,'UC MINI 2026'!$L$5:$L$61)</f>
        <v>0</v>
      </c>
      <c r="K9" s="189">
        <f>SUMIF('UC MINI 2026'!$D$5:$D$61,'UC MINI 2026 (Grp. Propieta'!$B9,'UC MINI 2026'!$M$5:$M$61)</f>
        <v>1</v>
      </c>
      <c r="L9" s="247">
        <f>SUMIF('UC MINI 2026'!$D$5:$D$61,'UC MINI 2026 (Grp. Propieta'!$B9,'UC MINI 2026'!$N$5:$N$61)</f>
        <v>0</v>
      </c>
      <c r="M9" s="189">
        <f>SUMIF('UC MINI 2026'!$D$5:$D$61,'UC MINI 2026 (Grp. Propieta'!$B9,'UC MINI 2026'!$O$5:$O$61)</f>
        <v>0</v>
      </c>
      <c r="N9" s="247">
        <f>SUMIF('UC MINI 2026'!$D$5:$D$61,'UC MINI 2026 (Grp. Propieta'!$B9,'UC MINI 2026'!$P$5:$P$61)</f>
        <v>0</v>
      </c>
      <c r="O9" s="189">
        <f>SUMIF('UC MINI 2026'!$D$5:$D$61,'UC MINI 2026 (Grp. Propieta'!$B9,'UC MINI 2026'!$Q$5:$Q$61)</f>
        <v>0</v>
      </c>
      <c r="P9" s="247">
        <f>SUMIF('UC MINI 2026'!$D$5:$D$61,'UC MINI 2026 (Grp. Propieta'!$B9,'UC MINI 2026'!$R$5:$R$61)</f>
        <v>0</v>
      </c>
      <c r="Q9" s="189">
        <f>SUMIF('UC MINI 2026'!$D$5:$D$61,$B9,'UC MINI 2026'!$S$5:$S$61)</f>
        <v>0</v>
      </c>
      <c r="R9" s="247">
        <f>SUMIF('UC MINI 2026'!$D$5:$D$61,$B9,'UC MINI 2026'!T$5:T$61)</f>
        <v>0</v>
      </c>
      <c r="S9" s="189">
        <f>SUMIF('UC MINI 2026'!$D$5:$D$61,$B9,'UC MINI 2026'!$U$5:$U$61)</f>
        <v>0</v>
      </c>
      <c r="T9" s="247">
        <f>SUMIF('UC MINI 2026'!$D$5:$D$61,$B9,'UC MINI 2026'!V$5:V$61)</f>
        <v>0</v>
      </c>
      <c r="U9" s="189">
        <f>SUMIF('UC MINI 2026'!$D$5:$D$61,$B9,'UC MINI 2026'!$W$5:$W$61)</f>
        <v>0</v>
      </c>
      <c r="V9" s="247">
        <f>SUMIF('UC MINI 2026'!$D$5:$D$61,$B9,'UC MINI 2026'!X$5:X$61)</f>
        <v>0</v>
      </c>
      <c r="W9" s="189">
        <f>SUMIF('UC MINI 2026'!$D$5:$D$61,$B9,'UC MINI 2026'!$Y$5:$Y$61)</f>
        <v>0</v>
      </c>
      <c r="X9" s="247">
        <f>SUMIF('UC MINI 2026'!$D$5:$D$61,$B9,'UC MINI 2026'!Z$5:Z$61)</f>
        <v>0</v>
      </c>
      <c r="Y9" s="189">
        <f>SUMIF('UC MINI 2026'!$D$5:$D$61,$B9,'UC MINI 2026'!$AA$5:$AA$61)</f>
        <v>0</v>
      </c>
      <c r="Z9" s="247">
        <f>SUMIF('UC MINI 2026'!$D$5:$D$61,$B9,'UC MINI 2026'!AB$5:AB$61)</f>
        <v>0</v>
      </c>
      <c r="AA9" s="189">
        <f>SUMIF('UC MINI 2026'!$D$5:$D$61,$B9,'UC MINI 2026'!$AC$5:$AC$61)</f>
        <v>0</v>
      </c>
      <c r="AB9" s="249">
        <f t="shared" si="7"/>
        <v>0</v>
      </c>
      <c r="AC9" s="86">
        <f>IF($AB$2="ENERO",E9,IF($AB$2="FEBRERO",E9+G9,IF($AB$2="MARZO",E9+G9+I9,IF($AB$2="ABRIL",E9+G9+I9+K9,IF($AB$2="MAYO",E9+G9+I9+K9+M9,IF($AB$2="JUNIO",E9+G9+I9+K9+M9+O9,IF($AB$2="JULIO",E9+G9+I9+K9+M9+O9+Q9,IF($AB$2="AGOSTO",E9+G9+I9+K9+M9+O9+Q9+S9,IF($AB$2="SEPTIEMBRE",E9+G9+I9+K9+M9+O9+Q9+S9+U9,IF($AB$2="OCTUBRE",E9+G9+I9+K9+M9+O9+Q9+S9+U9+W9,IF($AB$2="NOVIEMBRE",E9+G9+I9+K9+M9+O9+Q9+S9+U9+W9+Y9,IF($AB$2="DICIEMBRE",E9+G9+I9+K9+M9+O9+Q9+S9+U9+W9+Y9+AA9,""))))))))))))</f>
        <v>1</v>
      </c>
      <c r="AD9" s="243">
        <f>IFERROR((AC9/AB9),0)</f>
        <v>0</v>
      </c>
      <c r="AE9" s="249">
        <f>+D9+F9+H9+J9+L9+N9+P9+R9+T9+V9+X9+Z9</f>
        <v>0</v>
      </c>
      <c r="AF9" s="86">
        <f>IF($AB$2="ENERO",E9,IF($AB$2="FEBRERO",E9+G9,IF($AB$2="MARZO",E9+G9+I9,IF($AB$2="ABRIL",E9+G9+I9+K9,IF($AB$2="MAYO",E9+G9+I9+K9+M9,IF($AB$2="JUNIO",E9+G9+I9+K9+M9+O9,IF($AB$2="JULIO",E9+G9+I9+K9+M9+O9+Q9,IF($AB$2="AGOSTO",E9+G9+I9+K9+M9+O9+Q9+S9,IF($AB$2="SEPTIEMBRE",E9+G9+I9+K9+M9+O9+Q9+S9+U9,IF($AB$2="OCTUBRE",E9+G9+I9+K9+M9+O9+Q9+S9+U9+W9,IF($AB$2="NOVIEMBRE",E9+G9+I9+K9+M9+O9+Q9+S9+U9+W9+Y9,IF($AB$2="DICIEMBRE",E9+G9+I9+K9+M9+O9+Q9+S9+U9+W9+Y9+AA9,""))))))))))))</f>
        <v>1</v>
      </c>
      <c r="AG9" s="56">
        <f>IFERROR((AF9/AE9),0)</f>
        <v>0</v>
      </c>
      <c r="AH9" s="249">
        <f>IF($AH$3="Q1",D9+F9+H9,IF($AH$3="Q2",J9+L9++N9,IF($AH$3="Q3",P9+R9+T9,IF($AH$3="Q4",V9+X9+Z9,0))))</f>
        <v>0</v>
      </c>
      <c r="AI9" s="86">
        <f>IF($AH$3="Q1",E9+G9+I9,IF($AH$3="Q2",K9+M9++O9,IF($AH$3="Q3",Q9+S9+U9,IF($AH$3="Q4",W9+Y9+AA9,0))))</f>
        <v>0</v>
      </c>
      <c r="AJ9" s="56">
        <f>IFERROR((AI9/AH9),0)</f>
        <v>0</v>
      </c>
      <c r="AK9" s="249">
        <f>IF($AK$3="S 1",D9+F9+H9+J9+L9++N9,IF($AK$3="S 2",P9+R9+Z9+T9+V9+X9,0))</f>
        <v>0</v>
      </c>
      <c r="AL9" s="86">
        <f>IF($AK$3="S 1",E9+G9+I9+K9+M9+O9,IF($AK$3="S 2",Q9+S9+U9+W9+Y9+AA9,0))</f>
        <v>1</v>
      </c>
      <c r="AM9" s="56">
        <f>IFERROR((AL9/AK9),0)</f>
        <v>0</v>
      </c>
    </row>
    <row r="10" spans="1:39" s="53" customFormat="1" ht="16" customHeight="1" x14ac:dyDescent="0.3">
      <c r="A10" s="50">
        <v>11</v>
      </c>
      <c r="B10" s="51">
        <v>9785</v>
      </c>
      <c r="C10" s="385" t="s">
        <v>81</v>
      </c>
      <c r="D10" s="247">
        <f>SUMIF('UC MINI 2026'!$D$5:$D$61,'UC MINI 2026 (Grp. Propieta'!$B10,'UC MINI 2026'!$F$5:$F$61)</f>
        <v>8</v>
      </c>
      <c r="E10" s="189">
        <f>SUMIF('UC MINI 2026'!$D$5:$D$61,'UC MINI 2026 (Grp. Propieta'!$B10,'UC MINI 2026'!$G$5:$G$61)</f>
        <v>8</v>
      </c>
      <c r="F10" s="247">
        <f>SUMIF('UC MINI 2026'!$D$5:$D$61,'UC MINI 2026 (Grp. Propieta'!$B10,'UC MINI 2026'!$H$5:$H$61)</f>
        <v>9</v>
      </c>
      <c r="G10" s="189">
        <f>SUMIF('UC MINI 2026'!$D$5:$D$61,'UC MINI 2026 (Grp. Propieta'!$B10,'UC MINI 2026'!$I$5:$I$61)</f>
        <v>5</v>
      </c>
      <c r="H10" s="247">
        <f>SUMIF('UC MINI 2026'!$D$5:$D$61,'UC MINI 2026 (Grp. Propieta'!$B10,'UC MINI 2026'!$J$5:$J$61)</f>
        <v>9</v>
      </c>
      <c r="I10" s="189">
        <f>SUMIF('UC MINI 2026'!$D$5:$D$61,'UC MINI 2026 (Grp. Propieta'!$B10,'UC MINI 2026'!$K$5:$K$61)</f>
        <v>7</v>
      </c>
      <c r="J10" s="247">
        <f>SUMIF('UC MINI 2026'!$D$5:$D$61,'UC MINI 2026 (Grp. Propieta'!$B10,'UC MINI 2026'!$L$5:$L$61)</f>
        <v>9</v>
      </c>
      <c r="K10" s="189">
        <f>SUMIF('UC MINI 2026'!$D$5:$D$61,'UC MINI 2026 (Grp. Propieta'!$B10,'UC MINI 2026'!$M$5:$M$61)</f>
        <v>11</v>
      </c>
      <c r="L10" s="247">
        <f>SUMIF('UC MINI 2026'!$D$5:$D$61,'UC MINI 2026 (Grp. Propieta'!$B10,'UC MINI 2026'!$N$5:$N$61)</f>
        <v>9</v>
      </c>
      <c r="M10" s="189">
        <f>SUMIF('UC MINI 2026'!$D$5:$D$61,'UC MINI 2026 (Grp. Propieta'!$B10,'UC MINI 2026'!$O$5:$O$61)</f>
        <v>12</v>
      </c>
      <c r="N10" s="247">
        <f>SUMIF('UC MINI 2026'!$D$5:$D$61,'UC MINI 2026 (Grp. Propieta'!$B10,'UC MINI 2026'!$P$5:$P$61)</f>
        <v>10</v>
      </c>
      <c r="O10" s="189">
        <f>SUMIF('UC MINI 2026'!$D$5:$D$61,'UC MINI 2026 (Grp. Propieta'!$B10,'UC MINI 2026'!$Q$5:$Q$61)</f>
        <v>7</v>
      </c>
      <c r="P10" s="247">
        <f>SUMIF('UC MINI 2026'!$D$5:$D$61,'UC MINI 2026 (Grp. Propieta'!$B10,'UC MINI 2026'!$R$5:$R$61)</f>
        <v>3</v>
      </c>
      <c r="Q10" s="189">
        <f>SUMIF('UC MINI 2026'!$D$5:$D$61,$B10,'UC MINI 2026'!$S$5:$S$61)</f>
        <v>0</v>
      </c>
      <c r="R10" s="247">
        <f>SUMIF('UC MINI 2026'!$D$5:$D$61,$B10,'UC MINI 2026'!T$5:T$61)</f>
        <v>3</v>
      </c>
      <c r="S10" s="189">
        <f>SUMIF('UC MINI 2026'!$D$5:$D$61,$B10,'UC MINI 2026'!$U$5:$U$61)</f>
        <v>0</v>
      </c>
      <c r="T10" s="247">
        <f>SUMIF('UC MINI 2026'!$D$5:$D$61,$B10,'UC MINI 2026'!V$5:V$61)</f>
        <v>3</v>
      </c>
      <c r="U10" s="189">
        <f>SUMIF('UC MINI 2026'!$D$5:$D$61,$B10,'UC MINI 2026'!$W$5:$W$61)</f>
        <v>0</v>
      </c>
      <c r="V10" s="247">
        <f>SUMIF('UC MINI 2026'!$D$5:$D$61,$B10,'UC MINI 2026'!X$5:X$61)</f>
        <v>3</v>
      </c>
      <c r="W10" s="189">
        <f>SUMIF('UC MINI 2026'!$D$5:$D$61,$B10,'UC MINI 2026'!$Y$5:$Y$61)</f>
        <v>0</v>
      </c>
      <c r="X10" s="247">
        <f>SUMIF('UC MINI 2026'!$D$5:$D$61,$B10,'UC MINI 2026'!Z$5:Z$61)</f>
        <v>3</v>
      </c>
      <c r="Y10" s="189">
        <f>SUMIF('UC MINI 2026'!$D$5:$D$61,$B10,'UC MINI 2026'!$AA$5:$AA$61)</f>
        <v>0</v>
      </c>
      <c r="Z10" s="247">
        <f>SUMIF('UC MINI 2026'!$D$5:$D$61,$B10,'UC MINI 2026'!AB$5:AB$61)</f>
        <v>3</v>
      </c>
      <c r="AA10" s="189">
        <f>SUMIF('UC MINI 2026'!$D$5:$D$61,$B10,'UC MINI 2026'!$AC$5:$AC$61)</f>
        <v>0</v>
      </c>
      <c r="AB10" s="249">
        <f t="shared" si="7"/>
        <v>54</v>
      </c>
      <c r="AC10" s="86">
        <f t="shared" si="7"/>
        <v>50</v>
      </c>
      <c r="AD10" s="243">
        <f t="shared" si="4"/>
        <v>0.92592592592592593</v>
      </c>
      <c r="AE10" s="249">
        <f t="shared" si="0"/>
        <v>72</v>
      </c>
      <c r="AF10" s="86">
        <f t="shared" si="8"/>
        <v>50</v>
      </c>
      <c r="AG10" s="56">
        <f t="shared" si="1"/>
        <v>0.69444444444444442</v>
      </c>
      <c r="AH10" s="249">
        <f t="shared" si="9"/>
        <v>9</v>
      </c>
      <c r="AI10" s="86">
        <f t="shared" si="9"/>
        <v>0</v>
      </c>
      <c r="AJ10" s="56">
        <f t="shared" si="2"/>
        <v>0</v>
      </c>
      <c r="AK10" s="249">
        <f t="shared" si="5"/>
        <v>54</v>
      </c>
      <c r="AL10" s="86">
        <f t="shared" si="6"/>
        <v>50</v>
      </c>
      <c r="AM10" s="56">
        <f t="shared" si="3"/>
        <v>0.92592592592592593</v>
      </c>
    </row>
    <row r="11" spans="1:39" s="53" customFormat="1" ht="16" customHeight="1" x14ac:dyDescent="0.3">
      <c r="A11" s="50">
        <v>12</v>
      </c>
      <c r="B11" s="51">
        <v>1212</v>
      </c>
      <c r="C11" s="385" t="s">
        <v>82</v>
      </c>
      <c r="D11" s="247">
        <f>SUMIF('UC MINI 2026'!$D$5:$D$61,'UC MINI 2026 (Grp. Propieta'!$B11,'UC MINI 2026'!$F$5:$F$61)</f>
        <v>3</v>
      </c>
      <c r="E11" s="189">
        <f>SUMIF('UC MINI 2026'!$D$5:$D$61,'UC MINI 2026 (Grp. Propieta'!$B11,'UC MINI 2026'!$G$5:$G$61)</f>
        <v>3</v>
      </c>
      <c r="F11" s="247">
        <f>SUMIF('UC MINI 2026'!$D$5:$D$61,'UC MINI 2026 (Grp. Propieta'!$B11,'UC MINI 2026'!$H$5:$H$61)</f>
        <v>3</v>
      </c>
      <c r="G11" s="189">
        <f>SUMIF('UC MINI 2026'!$D$5:$D$61,'UC MINI 2026 (Grp. Propieta'!$B11,'UC MINI 2026'!$I$5:$I$61)</f>
        <v>6</v>
      </c>
      <c r="H11" s="247">
        <f>SUMIF('UC MINI 2026'!$D$5:$D$61,'UC MINI 2026 (Grp. Propieta'!$B11,'UC MINI 2026'!$J$5:$J$61)</f>
        <v>3</v>
      </c>
      <c r="I11" s="189">
        <f>SUMIF('UC MINI 2026'!$D$5:$D$61,'UC MINI 2026 (Grp. Propieta'!$B11,'UC MINI 2026'!$K$5:$K$61)</f>
        <v>1</v>
      </c>
      <c r="J11" s="247">
        <f>SUMIF('UC MINI 2026'!$D$5:$D$61,'UC MINI 2026 (Grp. Propieta'!$B11,'UC MINI 2026'!$L$5:$L$61)</f>
        <v>3</v>
      </c>
      <c r="K11" s="189">
        <f>SUMIF('UC MINI 2026'!$D$5:$D$61,'UC MINI 2026 (Grp. Propieta'!$B11,'UC MINI 2026'!$M$5:$M$61)</f>
        <v>3</v>
      </c>
      <c r="L11" s="247">
        <f>SUMIF('UC MINI 2026'!$D$5:$D$61,'UC MINI 2026 (Grp. Propieta'!$B11,'UC MINI 2026'!$N$5:$N$61)</f>
        <v>3</v>
      </c>
      <c r="M11" s="189">
        <f>SUMIF('UC MINI 2026'!$D$5:$D$61,'UC MINI 2026 (Grp. Propieta'!$B11,'UC MINI 2026'!$O$5:$O$61)</f>
        <v>4</v>
      </c>
      <c r="N11" s="247">
        <f>SUMIF('UC MINI 2026'!$D$5:$D$61,'UC MINI 2026 (Grp. Propieta'!$B11,'UC MINI 2026'!$P$5:$P$61)</f>
        <v>3</v>
      </c>
      <c r="O11" s="189">
        <f>SUMIF('UC MINI 2026'!$D$5:$D$61,'UC MINI 2026 (Grp. Propieta'!$B11,'UC MINI 2026'!$Q$5:$Q$61)</f>
        <v>3</v>
      </c>
      <c r="P11" s="247">
        <f>SUMIF('UC MINI 2026'!$D$5:$D$61,'UC MINI 2026 (Grp. Propieta'!$B11,'UC MINI 2026'!$R$5:$R$61)</f>
        <v>0</v>
      </c>
      <c r="Q11" s="189">
        <f>SUMIF('UC MINI 2026'!$D$5:$D$61,$B11,'UC MINI 2026'!$S$5:$S$61)</f>
        <v>0</v>
      </c>
      <c r="R11" s="247">
        <f>SUMIF('UC MINI 2026'!$D$5:$D$61,$B11,'UC MINI 2026'!T$5:T$61)</f>
        <v>0</v>
      </c>
      <c r="S11" s="189">
        <f>SUMIF('UC MINI 2026'!$D$5:$D$61,$B11,'UC MINI 2026'!$U$5:$U$61)</f>
        <v>0</v>
      </c>
      <c r="T11" s="247">
        <f>SUMIF('UC MINI 2026'!$D$5:$D$61,$B11,'UC MINI 2026'!V$5:V$61)</f>
        <v>0</v>
      </c>
      <c r="U11" s="189">
        <f>SUMIF('UC MINI 2026'!$D$5:$D$61,$B11,'UC MINI 2026'!$W$5:$W$61)</f>
        <v>0</v>
      </c>
      <c r="V11" s="247">
        <f>SUMIF('UC MINI 2026'!$D$5:$D$61,$B11,'UC MINI 2026'!X$5:X$61)</f>
        <v>0</v>
      </c>
      <c r="W11" s="189">
        <f>SUMIF('UC MINI 2026'!$D$5:$D$61,$B11,'UC MINI 2026'!$Y$5:$Y$61)</f>
        <v>0</v>
      </c>
      <c r="X11" s="247">
        <f>SUMIF('UC MINI 2026'!$D$5:$D$61,$B11,'UC MINI 2026'!Z$5:Z$61)</f>
        <v>0</v>
      </c>
      <c r="Y11" s="189">
        <f>SUMIF('UC MINI 2026'!$D$5:$D$61,$B11,'UC MINI 2026'!$AA$5:$AA$61)</f>
        <v>0</v>
      </c>
      <c r="Z11" s="247">
        <f>SUMIF('UC MINI 2026'!$D$5:$D$61,$B11,'UC MINI 2026'!AB$5:AB$61)</f>
        <v>0</v>
      </c>
      <c r="AA11" s="189">
        <f>SUMIF('UC MINI 2026'!$D$5:$D$61,$B11,'UC MINI 2026'!$AC$5:$AC$61)</f>
        <v>0</v>
      </c>
      <c r="AB11" s="249">
        <f t="shared" si="7"/>
        <v>18</v>
      </c>
      <c r="AC11" s="86">
        <f t="shared" si="7"/>
        <v>20</v>
      </c>
      <c r="AD11" s="243">
        <f t="shared" si="4"/>
        <v>1.1111111111111112</v>
      </c>
      <c r="AE11" s="249">
        <f t="shared" si="0"/>
        <v>18</v>
      </c>
      <c r="AF11" s="86">
        <f t="shared" si="8"/>
        <v>20</v>
      </c>
      <c r="AG11" s="56">
        <f t="shared" si="1"/>
        <v>1.1111111111111112</v>
      </c>
      <c r="AH11" s="249">
        <f t="shared" si="9"/>
        <v>0</v>
      </c>
      <c r="AI11" s="86">
        <f t="shared" si="9"/>
        <v>0</v>
      </c>
      <c r="AJ11" s="56">
        <f t="shared" si="2"/>
        <v>0</v>
      </c>
      <c r="AK11" s="249">
        <f t="shared" si="5"/>
        <v>18</v>
      </c>
      <c r="AL11" s="86">
        <f t="shared" si="6"/>
        <v>20</v>
      </c>
      <c r="AM11" s="56">
        <f t="shared" si="3"/>
        <v>1.1111111111111112</v>
      </c>
    </row>
    <row r="12" spans="1:39" s="53" customFormat="1" ht="16" customHeight="1" x14ac:dyDescent="0.3">
      <c r="A12" s="50"/>
      <c r="B12" s="51">
        <v>5570</v>
      </c>
      <c r="C12" s="385" t="s">
        <v>83</v>
      </c>
      <c r="D12" s="247">
        <f>SUMIF('UC MINI 2026'!$D$5:$D$61,'UC MINI 2026 (Grp. Propieta'!$B12,'UC MINI 2026'!$F$5:$F$61)</f>
        <v>3</v>
      </c>
      <c r="E12" s="189">
        <f>SUMIF('UC MINI 2026'!$D$5:$D$61,'UC MINI 2026 (Grp. Propieta'!$B12,'UC MINI 2026'!$G$5:$G$61)</f>
        <v>0</v>
      </c>
      <c r="F12" s="247">
        <f>SUMIF('UC MINI 2026'!$D$5:$D$61,'UC MINI 2026 (Grp. Propieta'!$B12,'UC MINI 2026'!$H$5:$H$61)</f>
        <v>3</v>
      </c>
      <c r="G12" s="189">
        <f>SUMIF('UC MINI 2026'!$D$5:$D$61,'UC MINI 2026 (Grp. Propieta'!$B12,'UC MINI 2026'!$I$5:$I$61)</f>
        <v>5</v>
      </c>
      <c r="H12" s="247">
        <f>SUMIF('UC MINI 2026'!$D$5:$D$61,'UC MINI 2026 (Grp. Propieta'!$B12,'UC MINI 2026'!$J$5:$J$61)</f>
        <v>4</v>
      </c>
      <c r="I12" s="189">
        <f>SUMIF('UC MINI 2026'!$D$5:$D$61,'UC MINI 2026 (Grp. Propieta'!$B12,'UC MINI 2026'!$K$5:$K$61)</f>
        <v>2</v>
      </c>
      <c r="J12" s="247">
        <f>SUMIF('UC MINI 2026'!$D$5:$D$61,'UC MINI 2026 (Grp. Propieta'!$B12,'UC MINI 2026'!$L$5:$L$61)</f>
        <v>3</v>
      </c>
      <c r="K12" s="189">
        <f>SUMIF('UC MINI 2026'!$D$5:$D$61,'UC MINI 2026 (Grp. Propieta'!$B12,'UC MINI 2026'!$M$5:$M$61)</f>
        <v>5</v>
      </c>
      <c r="L12" s="247">
        <f>SUMIF('UC MINI 2026'!$D$5:$D$61,'UC MINI 2026 (Grp. Propieta'!$B12,'UC MINI 2026'!$N$5:$N$61)</f>
        <v>3</v>
      </c>
      <c r="M12" s="189">
        <f>SUMIF('UC MINI 2026'!$D$5:$D$61,'UC MINI 2026 (Grp. Propieta'!$B12,'UC MINI 2026'!$O$5:$O$61)</f>
        <v>2</v>
      </c>
      <c r="N12" s="247">
        <f>SUMIF('UC MINI 2026'!$D$5:$D$61,'UC MINI 2026 (Grp. Propieta'!$B12,'UC MINI 2026'!$P$5:$P$61)</f>
        <v>4</v>
      </c>
      <c r="O12" s="189">
        <f>SUMIF('UC MINI 2026'!$D$5:$D$61,'UC MINI 2026 (Grp. Propieta'!$B12,'UC MINI 2026'!$Q$5:$Q$61)</f>
        <v>1</v>
      </c>
      <c r="P12" s="247">
        <f>SUMIF('UC MINI 2026'!$D$5:$D$61,'UC MINI 2026 (Grp. Propieta'!$B12,'UC MINI 2026'!$R$5:$R$61)</f>
        <v>0</v>
      </c>
      <c r="Q12" s="189">
        <f>SUMIF('UC MINI 2026'!$D$5:$D$61,$B12,'UC MINI 2026'!$S$5:$S$61)</f>
        <v>0</v>
      </c>
      <c r="R12" s="247">
        <f>SUMIF('UC MINI 2026'!$D$5:$D$61,$B12,'UC MINI 2026'!T$5:T$61)</f>
        <v>0</v>
      </c>
      <c r="S12" s="189">
        <f>SUMIF('UC MINI 2026'!$D$5:$D$61,$B12,'UC MINI 2026'!$U$5:$U$61)</f>
        <v>0</v>
      </c>
      <c r="T12" s="247">
        <f>SUMIF('UC MINI 2026'!$D$5:$D$61,$B12,'UC MINI 2026'!V$5:V$61)</f>
        <v>0</v>
      </c>
      <c r="U12" s="189">
        <f>SUMIF('UC MINI 2026'!$D$5:$D$61,$B12,'UC MINI 2026'!$W$5:$W$61)</f>
        <v>0</v>
      </c>
      <c r="V12" s="247">
        <f>SUMIF('UC MINI 2026'!$D$5:$D$61,$B12,'UC MINI 2026'!X$5:X$61)</f>
        <v>0</v>
      </c>
      <c r="W12" s="189">
        <f>SUMIF('UC MINI 2026'!$D$5:$D$61,$B12,'UC MINI 2026'!$Y$5:$Y$61)</f>
        <v>0</v>
      </c>
      <c r="X12" s="247">
        <f>SUMIF('UC MINI 2026'!$D$5:$D$61,$B12,'UC MINI 2026'!Z$5:Z$61)</f>
        <v>0</v>
      </c>
      <c r="Y12" s="189">
        <f>SUMIF('UC MINI 2026'!$D$5:$D$61,$B12,'UC MINI 2026'!$AA$5:$AA$61)</f>
        <v>0</v>
      </c>
      <c r="Z12" s="247">
        <f>SUMIF('UC MINI 2026'!$D$5:$D$61,$B12,'UC MINI 2026'!AB$5:AB$61)</f>
        <v>0</v>
      </c>
      <c r="AA12" s="189">
        <f>SUMIF('UC MINI 2026'!$D$5:$D$61,$B12,'UC MINI 2026'!$AC$5:$AC$61)</f>
        <v>0</v>
      </c>
      <c r="AB12" s="249">
        <f t="shared" si="7"/>
        <v>20</v>
      </c>
      <c r="AC12" s="86">
        <f t="shared" si="7"/>
        <v>15</v>
      </c>
      <c r="AD12" s="243">
        <f t="shared" si="4"/>
        <v>0.75</v>
      </c>
      <c r="AE12" s="249">
        <f t="shared" si="0"/>
        <v>20</v>
      </c>
      <c r="AF12" s="86">
        <f t="shared" si="8"/>
        <v>15</v>
      </c>
      <c r="AG12" s="56">
        <f t="shared" si="1"/>
        <v>0.75</v>
      </c>
      <c r="AH12" s="249">
        <f t="shared" si="9"/>
        <v>0</v>
      </c>
      <c r="AI12" s="86">
        <f t="shared" si="9"/>
        <v>0</v>
      </c>
      <c r="AJ12" s="56">
        <f t="shared" si="2"/>
        <v>0</v>
      </c>
      <c r="AK12" s="249">
        <f t="shared" si="5"/>
        <v>20</v>
      </c>
      <c r="AL12" s="86">
        <f t="shared" si="6"/>
        <v>15</v>
      </c>
      <c r="AM12" s="56">
        <f t="shared" si="3"/>
        <v>0.75</v>
      </c>
    </row>
    <row r="13" spans="1:39" s="53" customFormat="1" ht="16" customHeight="1" x14ac:dyDescent="0.3">
      <c r="A13" s="50">
        <v>22</v>
      </c>
      <c r="B13" s="51">
        <v>8596</v>
      </c>
      <c r="C13" s="385" t="s">
        <v>105</v>
      </c>
      <c r="D13" s="247">
        <f>SUMIF('UC MINI 2026'!$D$5:$D$61,'UC MINI 2026 (Grp. Propieta'!$B13,'UC MINI 2026'!$F$5:$F$61)</f>
        <v>5</v>
      </c>
      <c r="E13" s="189">
        <f>SUMIF('UC MINI 2026'!$D$5:$D$61,'UC MINI 2026 (Grp. Propieta'!$B13,'UC MINI 2026'!$G$5:$G$61)</f>
        <v>6</v>
      </c>
      <c r="F13" s="247">
        <f>SUMIF('UC MINI 2026'!$D$5:$D$61,'UC MINI 2026 (Grp. Propieta'!$B13,'UC MINI 2026'!$H$5:$H$61)</f>
        <v>5</v>
      </c>
      <c r="G13" s="189">
        <f>SUMIF('UC MINI 2026'!$D$5:$D$61,'UC MINI 2026 (Grp. Propieta'!$B13,'UC MINI 2026'!$I$5:$I$61)</f>
        <v>4</v>
      </c>
      <c r="H13" s="247">
        <f>SUMIF('UC MINI 2026'!$D$5:$D$61,'UC MINI 2026 (Grp. Propieta'!$B13,'UC MINI 2026'!$J$5:$J$61)</f>
        <v>5</v>
      </c>
      <c r="I13" s="189">
        <f>SUMIF('UC MINI 2026'!$D$5:$D$61,'UC MINI 2026 (Grp. Propieta'!$B13,'UC MINI 2026'!$K$5:$K$61)</f>
        <v>6</v>
      </c>
      <c r="J13" s="247">
        <f>SUMIF('UC MINI 2026'!$D$5:$D$61,'UC MINI 2026 (Grp. Propieta'!$B13,'UC MINI 2026'!$L$5:$L$61)</f>
        <v>5</v>
      </c>
      <c r="K13" s="189">
        <f>SUMIF('UC MINI 2026'!$D$5:$D$61,'UC MINI 2026 (Grp. Propieta'!$B13,'UC MINI 2026'!$M$5:$M$61)</f>
        <v>5</v>
      </c>
      <c r="L13" s="247">
        <f>SUMIF('UC MINI 2026'!$D$5:$D$61,'UC MINI 2026 (Grp. Propieta'!$B13,'UC MINI 2026'!$N$5:$N$61)</f>
        <v>5</v>
      </c>
      <c r="M13" s="189">
        <f>SUMIF('UC MINI 2026'!$D$5:$D$61,'UC MINI 2026 (Grp. Propieta'!$B13,'UC MINI 2026'!$O$5:$O$61)</f>
        <v>7</v>
      </c>
      <c r="N13" s="247">
        <f>SUMIF('UC MINI 2026'!$D$5:$D$61,'UC MINI 2026 (Grp. Propieta'!$B13,'UC MINI 2026'!$P$5:$P$61)</f>
        <v>5</v>
      </c>
      <c r="O13" s="189">
        <f>SUMIF('UC MINI 2026'!$D$5:$D$61,'UC MINI 2026 (Grp. Propieta'!$B13,'UC MINI 2026'!$Q$5:$Q$61)</f>
        <v>6</v>
      </c>
      <c r="P13" s="247">
        <f>SUMIF('UC MINI 2026'!$D$5:$D$61,'UC MINI 2026 (Grp. Propieta'!$B13,'UC MINI 2026'!$R$5:$R$61)</f>
        <v>0</v>
      </c>
      <c r="Q13" s="189">
        <f>SUMIF('UC MINI 2026'!$D$5:$D$61,$B13,'UC MINI 2026'!$S$5:$S$61)</f>
        <v>0</v>
      </c>
      <c r="R13" s="247">
        <f>SUMIF('UC MINI 2026'!$D$5:$D$61,$B13,'UC MINI 2026'!T$5:T$61)</f>
        <v>0</v>
      </c>
      <c r="S13" s="189">
        <f>SUMIF('UC MINI 2026'!$D$5:$D$61,$B13,'UC MINI 2026'!$U$5:$U$61)</f>
        <v>0</v>
      </c>
      <c r="T13" s="247">
        <f>SUMIF('UC MINI 2026'!$D$5:$D$61,$B13,'UC MINI 2026'!V$5:V$61)</f>
        <v>0</v>
      </c>
      <c r="U13" s="189">
        <f>SUMIF('UC MINI 2026'!$D$5:$D$61,$B13,'UC MINI 2026'!$W$5:$W$61)</f>
        <v>0</v>
      </c>
      <c r="V13" s="247">
        <f>SUMIF('UC MINI 2026'!$D$5:$D$61,$B13,'UC MINI 2026'!X$5:X$61)</f>
        <v>0</v>
      </c>
      <c r="W13" s="189">
        <f>SUMIF('UC MINI 2026'!$D$5:$D$61,$B13,'UC MINI 2026'!$Y$5:$Y$61)</f>
        <v>0</v>
      </c>
      <c r="X13" s="247">
        <f>SUMIF('UC MINI 2026'!$D$5:$D$61,$B13,'UC MINI 2026'!Z$5:Z$61)</f>
        <v>0</v>
      </c>
      <c r="Y13" s="189">
        <f>SUMIF('UC MINI 2026'!$D$5:$D$61,$B13,'UC MINI 2026'!$AA$5:$AA$61)</f>
        <v>0</v>
      </c>
      <c r="Z13" s="247">
        <f>SUMIF('UC MINI 2026'!$D$5:$D$61,$B13,'UC MINI 2026'!AB$5:AB$61)</f>
        <v>0</v>
      </c>
      <c r="AA13" s="189">
        <f>SUMIF('UC MINI 2026'!$D$5:$D$61,$B13,'UC MINI 2026'!$AC$5:$AC$61)</f>
        <v>0</v>
      </c>
      <c r="AB13" s="249">
        <f t="shared" si="7"/>
        <v>30</v>
      </c>
      <c r="AC13" s="86">
        <f t="shared" si="7"/>
        <v>34</v>
      </c>
      <c r="AD13" s="243">
        <f t="shared" si="4"/>
        <v>1.1333333333333333</v>
      </c>
      <c r="AE13" s="249">
        <f t="shared" si="0"/>
        <v>30</v>
      </c>
      <c r="AF13" s="86">
        <f t="shared" si="8"/>
        <v>34</v>
      </c>
      <c r="AG13" s="56">
        <f t="shared" si="1"/>
        <v>1.1333333333333333</v>
      </c>
      <c r="AH13" s="249">
        <f t="shared" si="9"/>
        <v>0</v>
      </c>
      <c r="AI13" s="86">
        <f t="shared" si="9"/>
        <v>0</v>
      </c>
      <c r="AJ13" s="56">
        <f t="shared" si="2"/>
        <v>0</v>
      </c>
      <c r="AK13" s="249">
        <f t="shared" si="5"/>
        <v>30</v>
      </c>
      <c r="AL13" s="86">
        <f t="shared" si="6"/>
        <v>34</v>
      </c>
      <c r="AM13" s="56">
        <f t="shared" si="3"/>
        <v>1.1333333333333333</v>
      </c>
    </row>
    <row r="14" spans="1:39" s="53" customFormat="1" ht="16" customHeight="1" x14ac:dyDescent="0.3">
      <c r="A14" s="50">
        <v>21</v>
      </c>
      <c r="B14" s="51">
        <v>20822</v>
      </c>
      <c r="C14" s="385" t="s">
        <v>85</v>
      </c>
      <c r="D14" s="247">
        <f>SUMIF('UC MINI 2026'!$D$5:$D$61,'UC MINI 2026 (Grp. Propieta'!$B14,'UC MINI 2026'!$F$5:$F$61)</f>
        <v>5</v>
      </c>
      <c r="E14" s="189">
        <f>SUMIF('UC MINI 2026'!$D$5:$D$61,'UC MINI 2026 (Grp. Propieta'!$B14,'UC MINI 2026'!$G$5:$G$61)</f>
        <v>3</v>
      </c>
      <c r="F14" s="247">
        <f>SUMIF('UC MINI 2026'!$D$5:$D$61,'UC MINI 2026 (Grp. Propieta'!$B14,'UC MINI 2026'!$H$5:$H$61)</f>
        <v>5</v>
      </c>
      <c r="G14" s="189">
        <f>SUMIF('UC MINI 2026'!$D$5:$D$61,'UC MINI 2026 (Grp. Propieta'!$B14,'UC MINI 2026'!$I$5:$I$61)</f>
        <v>6</v>
      </c>
      <c r="H14" s="247">
        <f>SUMIF('UC MINI 2026'!$D$5:$D$61,'UC MINI 2026 (Grp. Propieta'!$B14,'UC MINI 2026'!$J$5:$J$61)</f>
        <v>5</v>
      </c>
      <c r="I14" s="189">
        <f>SUMIF('UC MINI 2026'!$D$5:$D$61,'UC MINI 2026 (Grp. Propieta'!$B14,'UC MINI 2026'!$K$5:$K$61)</f>
        <v>8</v>
      </c>
      <c r="J14" s="247">
        <f>SUMIF('UC MINI 2026'!$D$5:$D$61,'UC MINI 2026 (Grp. Propieta'!$B14,'UC MINI 2026'!$L$5:$L$61)</f>
        <v>5</v>
      </c>
      <c r="K14" s="189">
        <f>SUMIF('UC MINI 2026'!$D$5:$D$61,'UC MINI 2026 (Grp. Propieta'!$B14,'UC MINI 2026'!$M$5:$M$61)</f>
        <v>4</v>
      </c>
      <c r="L14" s="247">
        <f>SUMIF('UC MINI 2026'!$D$5:$D$61,'UC MINI 2026 (Grp. Propieta'!$B14,'UC MINI 2026'!$N$5:$N$61)</f>
        <v>5</v>
      </c>
      <c r="M14" s="189">
        <f>SUMIF('UC MINI 2026'!$D$5:$D$61,'UC MINI 2026 (Grp. Propieta'!$B14,'UC MINI 2026'!$O$5:$O$61)</f>
        <v>4</v>
      </c>
      <c r="N14" s="247">
        <f>SUMIF('UC MINI 2026'!$D$5:$D$61,'UC MINI 2026 (Grp. Propieta'!$B14,'UC MINI 2026'!$P$5:$P$61)</f>
        <v>5</v>
      </c>
      <c r="O14" s="189">
        <f>SUMIF('UC MINI 2026'!$D$5:$D$61,'UC MINI 2026 (Grp. Propieta'!$B14,'UC MINI 2026'!$Q$5:$Q$61)</f>
        <v>3</v>
      </c>
      <c r="P14" s="247">
        <f>SUMIF('UC MINI 2026'!$D$5:$D$61,'UC MINI 2026 (Grp. Propieta'!$B14,'UC MINI 2026'!$R$5:$R$61)</f>
        <v>0</v>
      </c>
      <c r="Q14" s="189">
        <f>SUMIF('UC MINI 2026'!$D$5:$D$61,$B14,'UC MINI 2026'!$S$5:$S$61)</f>
        <v>0</v>
      </c>
      <c r="R14" s="247">
        <f>SUMIF('UC MINI 2026'!$D$5:$D$61,$B14,'UC MINI 2026'!T$5:T$61)</f>
        <v>0</v>
      </c>
      <c r="S14" s="189">
        <f>SUMIF('UC MINI 2026'!$D$5:$D$61,$B14,'UC MINI 2026'!$U$5:$U$61)</f>
        <v>0</v>
      </c>
      <c r="T14" s="247">
        <f>SUMIF('UC MINI 2026'!$D$5:$D$61,$B14,'UC MINI 2026'!V$5:V$61)</f>
        <v>0</v>
      </c>
      <c r="U14" s="189">
        <f>SUMIF('UC MINI 2026'!$D$5:$D$61,$B14,'UC MINI 2026'!$W$5:$W$61)</f>
        <v>0</v>
      </c>
      <c r="V14" s="247">
        <f>SUMIF('UC MINI 2026'!$D$5:$D$61,$B14,'UC MINI 2026'!X$5:X$61)</f>
        <v>0</v>
      </c>
      <c r="W14" s="189">
        <f>SUMIF('UC MINI 2026'!$D$5:$D$61,$B14,'UC MINI 2026'!$Y$5:$Y$61)</f>
        <v>0</v>
      </c>
      <c r="X14" s="247">
        <f>SUMIF('UC MINI 2026'!$D$5:$D$61,$B14,'UC MINI 2026'!Z$5:Z$61)</f>
        <v>0</v>
      </c>
      <c r="Y14" s="189">
        <f>SUMIF('UC MINI 2026'!$D$5:$D$61,$B14,'UC MINI 2026'!$AA$5:$AA$61)</f>
        <v>0</v>
      </c>
      <c r="Z14" s="247">
        <f>SUMIF('UC MINI 2026'!$D$5:$D$61,$B14,'UC MINI 2026'!AB$5:AB$61)</f>
        <v>0</v>
      </c>
      <c r="AA14" s="189">
        <f>SUMIF('UC MINI 2026'!$D$5:$D$61,$B14,'UC MINI 2026'!$AC$5:$AC$61)</f>
        <v>0</v>
      </c>
      <c r="AB14" s="249">
        <f t="shared" si="7"/>
        <v>30</v>
      </c>
      <c r="AC14" s="86">
        <f t="shared" si="7"/>
        <v>28</v>
      </c>
      <c r="AD14" s="243">
        <f t="shared" si="4"/>
        <v>0.93333333333333335</v>
      </c>
      <c r="AE14" s="249">
        <f t="shared" si="0"/>
        <v>30</v>
      </c>
      <c r="AF14" s="86">
        <f t="shared" si="8"/>
        <v>28</v>
      </c>
      <c r="AG14" s="56">
        <f t="shared" si="1"/>
        <v>0.93333333333333335</v>
      </c>
      <c r="AH14" s="249">
        <f t="shared" si="9"/>
        <v>0</v>
      </c>
      <c r="AI14" s="86">
        <f t="shared" si="9"/>
        <v>0</v>
      </c>
      <c r="AJ14" s="56">
        <f t="shared" si="2"/>
        <v>0</v>
      </c>
      <c r="AK14" s="249">
        <f t="shared" si="5"/>
        <v>30</v>
      </c>
      <c r="AL14" s="86">
        <f t="shared" si="6"/>
        <v>28</v>
      </c>
      <c r="AM14" s="56">
        <f t="shared" si="3"/>
        <v>0.93333333333333335</v>
      </c>
    </row>
    <row r="15" spans="1:39" s="53" customFormat="1" ht="16" customHeight="1" x14ac:dyDescent="0.3">
      <c r="A15" s="50">
        <v>22</v>
      </c>
      <c r="B15" s="51">
        <v>23331</v>
      </c>
      <c r="C15" s="385" t="s">
        <v>86</v>
      </c>
      <c r="D15" s="247">
        <f>SUMIF('UC MINI 2026'!$D$5:$D$61,'UC MINI 2026 (Grp. Propieta'!$B15,'UC MINI 2026'!$F$5:$F$61)</f>
        <v>0</v>
      </c>
      <c r="E15" s="189">
        <f>SUMIF('UC MINI 2026'!$D$5:$D$61,'UC MINI 2026 (Grp. Propieta'!$B15,'UC MINI 2026'!$G$5:$G$61)</f>
        <v>0</v>
      </c>
      <c r="F15" s="247">
        <f>SUMIF('UC MINI 2026'!$D$5:$D$61,'UC MINI 2026 (Grp. Propieta'!$B15,'UC MINI 2026'!$H$5:$H$61)</f>
        <v>0</v>
      </c>
      <c r="G15" s="189">
        <f>SUMIF('UC MINI 2026'!$D$5:$D$61,'UC MINI 2026 (Grp. Propieta'!$B15,'UC MINI 2026'!$I$5:$I$61)</f>
        <v>0</v>
      </c>
      <c r="H15" s="247">
        <f>SUMIF('UC MINI 2026'!$D$5:$D$61,'UC MINI 2026 (Grp. Propieta'!$B15,'UC MINI 2026'!$J$5:$J$61)</f>
        <v>0</v>
      </c>
      <c r="I15" s="189">
        <f>SUMIF('UC MINI 2026'!$D$5:$D$61,'UC MINI 2026 (Grp. Propieta'!$B15,'UC MINI 2026'!$K$5:$K$61)</f>
        <v>0</v>
      </c>
      <c r="J15" s="247">
        <f>SUMIF('UC MINI 2026'!$D$5:$D$61,'UC MINI 2026 (Grp. Propieta'!$B15,'UC MINI 2026'!$L$5:$L$61)</f>
        <v>0</v>
      </c>
      <c r="K15" s="189">
        <f>SUMIF('UC MINI 2026'!$D$5:$D$61,'UC MINI 2026 (Grp. Propieta'!$B15,'UC MINI 2026'!$M$5:$M$61)</f>
        <v>0</v>
      </c>
      <c r="L15" s="247">
        <f>SUMIF('UC MINI 2026'!$D$5:$D$61,'UC MINI 2026 (Grp. Propieta'!$B15,'UC MINI 2026'!$N$5:$N$61)</f>
        <v>0</v>
      </c>
      <c r="M15" s="189">
        <f>SUMIF('UC MINI 2026'!$D$5:$D$61,'UC MINI 2026 (Grp. Propieta'!$B15,'UC MINI 2026'!$O$5:$O$61)</f>
        <v>0</v>
      </c>
      <c r="N15" s="247">
        <f>SUMIF('UC MINI 2026'!$D$5:$D$61,'UC MINI 2026 (Grp. Propieta'!$B15,'UC MINI 2026'!$P$5:$P$61)</f>
        <v>0</v>
      </c>
      <c r="O15" s="189">
        <f>SUMIF('UC MINI 2026'!$D$5:$D$61,'UC MINI 2026 (Grp. Propieta'!$B15,'UC MINI 2026'!$Q$5:$Q$61)</f>
        <v>0</v>
      </c>
      <c r="P15" s="247">
        <f>SUMIF('UC MINI 2026'!$D$5:$D$61,'UC MINI 2026 (Grp. Propieta'!$B15,'UC MINI 2026'!$R$5:$R$61)</f>
        <v>0</v>
      </c>
      <c r="Q15" s="189">
        <f>SUMIF('UC MINI 2026'!$D$5:$D$61,$B15,'UC MINI 2026'!$S$5:$S$61)</f>
        <v>0</v>
      </c>
      <c r="R15" s="247">
        <f>SUMIF('UC MINI 2026'!$D$5:$D$61,$B15,'UC MINI 2026'!T$5:T$61)</f>
        <v>0</v>
      </c>
      <c r="S15" s="189">
        <f>SUMIF('UC MINI 2026'!$D$5:$D$61,$B15,'UC MINI 2026'!$U$5:$U$61)</f>
        <v>0</v>
      </c>
      <c r="T15" s="247">
        <f>SUMIF('UC MINI 2026'!$D$5:$D$61,$B15,'UC MINI 2026'!V$5:V$61)</f>
        <v>0</v>
      </c>
      <c r="U15" s="189">
        <f>SUMIF('UC MINI 2026'!$D$5:$D$61,$B15,'UC MINI 2026'!$W$5:$W$61)</f>
        <v>0</v>
      </c>
      <c r="V15" s="247">
        <f>SUMIF('UC MINI 2026'!$D$5:$D$61,$B15,'UC MINI 2026'!X$5:X$61)</f>
        <v>0</v>
      </c>
      <c r="W15" s="189">
        <f>SUMIF('UC MINI 2026'!$D$5:$D$61,$B15,'UC MINI 2026'!$Y$5:$Y$61)</f>
        <v>0</v>
      </c>
      <c r="X15" s="247">
        <f>SUMIF('UC MINI 2026'!$D$5:$D$61,$B15,'UC MINI 2026'!Z$5:Z$61)</f>
        <v>0</v>
      </c>
      <c r="Y15" s="189">
        <f>SUMIF('UC MINI 2026'!$D$5:$D$61,$B15,'UC MINI 2026'!$AA$5:$AA$61)</f>
        <v>0</v>
      </c>
      <c r="Z15" s="247">
        <f>SUMIF('UC MINI 2026'!$D$5:$D$61,$B15,'UC MINI 2026'!AB$5:AB$61)</f>
        <v>0</v>
      </c>
      <c r="AA15" s="189">
        <f>SUMIF('UC MINI 2026'!$D$5:$D$61,$B15,'UC MINI 2026'!$AC$5:$AC$61)</f>
        <v>0</v>
      </c>
      <c r="AB15" s="249">
        <f t="shared" si="7"/>
        <v>0</v>
      </c>
      <c r="AC15" s="86">
        <f t="shared" si="7"/>
        <v>0</v>
      </c>
      <c r="AD15" s="243">
        <f t="shared" si="4"/>
        <v>0</v>
      </c>
      <c r="AE15" s="249">
        <f t="shared" si="0"/>
        <v>0</v>
      </c>
      <c r="AF15" s="86">
        <f t="shared" si="8"/>
        <v>0</v>
      </c>
      <c r="AG15" s="56">
        <f t="shared" si="1"/>
        <v>0</v>
      </c>
      <c r="AH15" s="249">
        <f t="shared" si="9"/>
        <v>0</v>
      </c>
      <c r="AI15" s="86">
        <f t="shared" si="9"/>
        <v>0</v>
      </c>
      <c r="AJ15" s="56">
        <f t="shared" si="2"/>
        <v>0</v>
      </c>
      <c r="AK15" s="249">
        <f t="shared" si="5"/>
        <v>0</v>
      </c>
      <c r="AL15" s="86">
        <f t="shared" si="6"/>
        <v>0</v>
      </c>
      <c r="AM15" s="56">
        <f t="shared" si="3"/>
        <v>0</v>
      </c>
    </row>
    <row r="16" spans="1:39" s="53" customFormat="1" ht="16" customHeight="1" x14ac:dyDescent="0.3">
      <c r="A16" s="50">
        <v>21</v>
      </c>
      <c r="B16" s="51">
        <v>39198</v>
      </c>
      <c r="C16" s="385" t="s">
        <v>88</v>
      </c>
      <c r="D16" s="247">
        <f>SUMIF('UC MINI 2026'!$D$5:$D$61,'UC MINI 2026 (Grp. Propieta'!$B16,'UC MINI 2026'!$F$5:$F$61)</f>
        <v>4</v>
      </c>
      <c r="E16" s="189">
        <f>SUMIF('UC MINI 2026'!$D$5:$D$61,'UC MINI 2026 (Grp. Propieta'!$B16,'UC MINI 2026'!$G$5:$G$61)</f>
        <v>2</v>
      </c>
      <c r="F16" s="247">
        <f>SUMIF('UC MINI 2026'!$D$5:$D$61,'UC MINI 2026 (Grp. Propieta'!$B16,'UC MINI 2026'!$H$5:$H$61)</f>
        <v>4</v>
      </c>
      <c r="G16" s="189">
        <f>SUMIF('UC MINI 2026'!$D$5:$D$61,'UC MINI 2026 (Grp. Propieta'!$B16,'UC MINI 2026'!$I$5:$I$61)</f>
        <v>5</v>
      </c>
      <c r="H16" s="247">
        <f>SUMIF('UC MINI 2026'!$D$5:$D$61,'UC MINI 2026 (Grp. Propieta'!$B16,'UC MINI 2026'!$J$5:$J$61)</f>
        <v>5</v>
      </c>
      <c r="I16" s="189">
        <f>SUMIF('UC MINI 2026'!$D$5:$D$61,'UC MINI 2026 (Grp. Propieta'!$B16,'UC MINI 2026'!$K$5:$K$61)</f>
        <v>5</v>
      </c>
      <c r="J16" s="247">
        <f>SUMIF('UC MINI 2026'!$D$5:$D$61,'UC MINI 2026 (Grp. Propieta'!$B16,'UC MINI 2026'!$L$5:$L$61)</f>
        <v>4</v>
      </c>
      <c r="K16" s="189">
        <f>SUMIF('UC MINI 2026'!$D$5:$D$61,'UC MINI 2026 (Grp. Propieta'!$B16,'UC MINI 2026'!$M$5:$M$61)</f>
        <v>6</v>
      </c>
      <c r="L16" s="247">
        <f>SUMIF('UC MINI 2026'!$D$5:$D$61,'UC MINI 2026 (Grp. Propieta'!$B16,'UC MINI 2026'!$N$5:$N$61)</f>
        <v>5</v>
      </c>
      <c r="M16" s="189">
        <f>SUMIF('UC MINI 2026'!$D$5:$D$61,'UC MINI 2026 (Grp. Propieta'!$B16,'UC MINI 2026'!$O$5:$O$61)</f>
        <v>2</v>
      </c>
      <c r="N16" s="247">
        <f>SUMIF('UC MINI 2026'!$D$5:$D$61,'UC MINI 2026 (Grp. Propieta'!$B16,'UC MINI 2026'!$P$5:$P$61)</f>
        <v>5</v>
      </c>
      <c r="O16" s="189">
        <f>SUMIF('UC MINI 2026'!$D$5:$D$61,'UC MINI 2026 (Grp. Propieta'!$B16,'UC MINI 2026'!$Q$5:$Q$61)</f>
        <v>11</v>
      </c>
      <c r="P16" s="247">
        <f>SUMIF('UC MINI 2026'!$D$5:$D$61,'UC MINI 2026 (Grp. Propieta'!$B16,'UC MINI 2026'!$R$5:$R$61)</f>
        <v>0</v>
      </c>
      <c r="Q16" s="189">
        <f>SUMIF('UC MINI 2026'!$D$5:$D$61,$B16,'UC MINI 2026'!$S$5:$S$61)</f>
        <v>0</v>
      </c>
      <c r="R16" s="247">
        <f>SUMIF('UC MINI 2026'!$D$5:$D$61,$B16,'UC MINI 2026'!T$5:T$61)</f>
        <v>0</v>
      </c>
      <c r="S16" s="189">
        <f>SUMIF('UC MINI 2026'!$D$5:$D$61,$B16,'UC MINI 2026'!$U$5:$U$61)</f>
        <v>0</v>
      </c>
      <c r="T16" s="247">
        <f>SUMIF('UC MINI 2026'!$D$5:$D$61,$B16,'UC MINI 2026'!V$5:V$61)</f>
        <v>0</v>
      </c>
      <c r="U16" s="189">
        <f>SUMIF('UC MINI 2026'!$D$5:$D$61,$B16,'UC MINI 2026'!$W$5:$W$61)</f>
        <v>0</v>
      </c>
      <c r="V16" s="247">
        <f>SUMIF('UC MINI 2026'!$D$5:$D$61,$B16,'UC MINI 2026'!X$5:X$61)</f>
        <v>0</v>
      </c>
      <c r="W16" s="189">
        <f>SUMIF('UC MINI 2026'!$D$5:$D$61,$B16,'UC MINI 2026'!$Y$5:$Y$61)</f>
        <v>0</v>
      </c>
      <c r="X16" s="247">
        <f>SUMIF('UC MINI 2026'!$D$5:$D$61,$B16,'UC MINI 2026'!Z$5:Z$61)</f>
        <v>0</v>
      </c>
      <c r="Y16" s="189">
        <f>SUMIF('UC MINI 2026'!$D$5:$D$61,$B16,'UC MINI 2026'!$AA$5:$AA$61)</f>
        <v>0</v>
      </c>
      <c r="Z16" s="247">
        <f>SUMIF('UC MINI 2026'!$D$5:$D$61,$B16,'UC MINI 2026'!AB$5:AB$61)</f>
        <v>0</v>
      </c>
      <c r="AA16" s="189">
        <f>SUMIF('UC MINI 2026'!$D$5:$D$61,$B16,'UC MINI 2026'!$AC$5:$AC$61)</f>
        <v>0</v>
      </c>
      <c r="AB16" s="249">
        <f t="shared" si="7"/>
        <v>27</v>
      </c>
      <c r="AC16" s="86">
        <f t="shared" si="7"/>
        <v>31</v>
      </c>
      <c r="AD16" s="243">
        <f t="shared" si="4"/>
        <v>1.1481481481481481</v>
      </c>
      <c r="AE16" s="249">
        <f t="shared" si="0"/>
        <v>27</v>
      </c>
      <c r="AF16" s="86">
        <f t="shared" si="8"/>
        <v>31</v>
      </c>
      <c r="AG16" s="56">
        <f t="shared" si="1"/>
        <v>1.1481481481481481</v>
      </c>
      <c r="AH16" s="249">
        <f t="shared" si="9"/>
        <v>0</v>
      </c>
      <c r="AI16" s="86">
        <f t="shared" si="9"/>
        <v>0</v>
      </c>
      <c r="AJ16" s="56">
        <f t="shared" si="2"/>
        <v>0</v>
      </c>
      <c r="AK16" s="249">
        <f t="shared" si="5"/>
        <v>27</v>
      </c>
      <c r="AL16" s="86">
        <f t="shared" si="6"/>
        <v>31</v>
      </c>
      <c r="AM16" s="56">
        <f t="shared" si="3"/>
        <v>1.1481481481481481</v>
      </c>
    </row>
    <row r="17" spans="1:39" s="53" customFormat="1" ht="16" customHeight="1" x14ac:dyDescent="0.3">
      <c r="A17" s="50">
        <v>12</v>
      </c>
      <c r="B17" s="51">
        <v>40230</v>
      </c>
      <c r="C17" s="385" t="s">
        <v>89</v>
      </c>
      <c r="D17" s="247">
        <f>SUMIF('UC MINI 2026'!$D$5:$D$61,'UC MINI 2026 (Grp. Propieta'!$B17,'UC MINI 2026'!$F$5:$F$61)</f>
        <v>5</v>
      </c>
      <c r="E17" s="189">
        <f>SUMIF('UC MINI 2026'!$D$5:$D$61,'UC MINI 2026 (Grp. Propieta'!$B17,'UC MINI 2026'!$G$5:$G$61)</f>
        <v>3</v>
      </c>
      <c r="F17" s="247">
        <f>SUMIF('UC MINI 2026'!$D$5:$D$61,'UC MINI 2026 (Grp. Propieta'!$B17,'UC MINI 2026'!$H$5:$H$61)</f>
        <v>5</v>
      </c>
      <c r="G17" s="189">
        <f>SUMIF('UC MINI 2026'!$D$5:$D$61,'UC MINI 2026 (Grp. Propieta'!$B17,'UC MINI 2026'!$I$5:$I$61)</f>
        <v>2</v>
      </c>
      <c r="H17" s="247">
        <f>SUMIF('UC MINI 2026'!$D$5:$D$61,'UC MINI 2026 (Grp. Propieta'!$B17,'UC MINI 2026'!$J$5:$J$61)</f>
        <v>6</v>
      </c>
      <c r="I17" s="189">
        <f>SUMIF('UC MINI 2026'!$D$5:$D$61,'UC MINI 2026 (Grp. Propieta'!$B17,'UC MINI 2026'!$K$5:$K$61)</f>
        <v>7</v>
      </c>
      <c r="J17" s="247">
        <f>SUMIF('UC MINI 2026'!$D$5:$D$61,'UC MINI 2026 (Grp. Propieta'!$B17,'UC MINI 2026'!$L$5:$L$61)</f>
        <v>5</v>
      </c>
      <c r="K17" s="189">
        <f>SUMIF('UC MINI 2026'!$D$5:$D$61,'UC MINI 2026 (Grp. Propieta'!$B17,'UC MINI 2026'!$M$5:$M$61)</f>
        <v>1</v>
      </c>
      <c r="L17" s="247">
        <f>SUMIF('UC MINI 2026'!$D$5:$D$61,'UC MINI 2026 (Grp. Propieta'!$B17,'UC MINI 2026'!$N$5:$N$61)</f>
        <v>5</v>
      </c>
      <c r="M17" s="189">
        <f>SUMIF('UC MINI 2026'!$D$5:$D$61,'UC MINI 2026 (Grp. Propieta'!$B17,'UC MINI 2026'!$O$5:$O$61)</f>
        <v>3</v>
      </c>
      <c r="N17" s="247">
        <f>SUMIF('UC MINI 2026'!$D$5:$D$61,'UC MINI 2026 (Grp. Propieta'!$B17,'UC MINI 2026'!$P$5:$P$61)</f>
        <v>6</v>
      </c>
      <c r="O17" s="189">
        <f>SUMIF('UC MINI 2026'!$D$5:$D$61,'UC MINI 2026 (Grp. Propieta'!$B17,'UC MINI 2026'!$Q$5:$Q$61)</f>
        <v>11</v>
      </c>
      <c r="P17" s="247">
        <f>SUMIF('UC MINI 2026'!$D$5:$D$61,'UC MINI 2026 (Grp. Propieta'!$B17,'UC MINI 2026'!$R$5:$R$61)</f>
        <v>0</v>
      </c>
      <c r="Q17" s="189">
        <f>SUMIF('UC MINI 2026'!$D$5:$D$61,$B17,'UC MINI 2026'!$S$5:$S$61)</f>
        <v>0</v>
      </c>
      <c r="R17" s="247">
        <f>SUMIF('UC MINI 2026'!$D$5:$D$61,$B17,'UC MINI 2026'!T$5:T$61)</f>
        <v>0</v>
      </c>
      <c r="S17" s="189">
        <f>SUMIF('UC MINI 2026'!$D$5:$D$61,$B17,'UC MINI 2026'!$U$5:$U$61)</f>
        <v>0</v>
      </c>
      <c r="T17" s="247">
        <f>SUMIF('UC MINI 2026'!$D$5:$D$61,$B17,'UC MINI 2026'!V$5:V$61)</f>
        <v>0</v>
      </c>
      <c r="U17" s="189">
        <f>SUMIF('UC MINI 2026'!$D$5:$D$61,$B17,'UC MINI 2026'!$W$5:$W$61)</f>
        <v>0</v>
      </c>
      <c r="V17" s="247">
        <f>SUMIF('UC MINI 2026'!$D$5:$D$61,$B17,'UC MINI 2026'!X$5:X$61)</f>
        <v>0</v>
      </c>
      <c r="W17" s="189">
        <f>SUMIF('UC MINI 2026'!$D$5:$D$61,$B17,'UC MINI 2026'!$Y$5:$Y$61)</f>
        <v>0</v>
      </c>
      <c r="X17" s="247">
        <f>SUMIF('UC MINI 2026'!$D$5:$D$61,$B17,'UC MINI 2026'!Z$5:Z$61)</f>
        <v>0</v>
      </c>
      <c r="Y17" s="189">
        <f>SUMIF('UC MINI 2026'!$D$5:$D$61,$B17,'UC MINI 2026'!$AA$5:$AA$61)</f>
        <v>0</v>
      </c>
      <c r="Z17" s="247">
        <f>SUMIF('UC MINI 2026'!$D$5:$D$61,$B17,'UC MINI 2026'!AB$5:AB$61)</f>
        <v>0</v>
      </c>
      <c r="AA17" s="189">
        <f>SUMIF('UC MINI 2026'!$D$5:$D$61,$B17,'UC MINI 2026'!$AC$5:$AC$61)</f>
        <v>0</v>
      </c>
      <c r="AB17" s="249">
        <f t="shared" si="7"/>
        <v>32</v>
      </c>
      <c r="AC17" s="86">
        <f t="shared" si="7"/>
        <v>27</v>
      </c>
      <c r="AD17" s="243">
        <f t="shared" si="4"/>
        <v>0.84375</v>
      </c>
      <c r="AE17" s="249">
        <f t="shared" si="0"/>
        <v>32</v>
      </c>
      <c r="AF17" s="86">
        <f t="shared" si="8"/>
        <v>27</v>
      </c>
      <c r="AG17" s="56">
        <f t="shared" si="1"/>
        <v>0.84375</v>
      </c>
      <c r="AH17" s="249">
        <f t="shared" si="9"/>
        <v>0</v>
      </c>
      <c r="AI17" s="86">
        <f t="shared" si="9"/>
        <v>0</v>
      </c>
      <c r="AJ17" s="56">
        <f t="shared" si="2"/>
        <v>0</v>
      </c>
      <c r="AK17" s="249">
        <f t="shared" si="5"/>
        <v>32</v>
      </c>
      <c r="AL17" s="86">
        <f t="shared" si="6"/>
        <v>27</v>
      </c>
      <c r="AM17" s="56">
        <f t="shared" si="3"/>
        <v>0.84375</v>
      </c>
    </row>
    <row r="18" spans="1:39" s="53" customFormat="1" ht="16" customHeight="1" x14ac:dyDescent="0.3">
      <c r="A18" s="50">
        <v>21</v>
      </c>
      <c r="B18" s="51">
        <v>54468</v>
      </c>
      <c r="C18" s="385" t="s">
        <v>254</v>
      </c>
      <c r="D18" s="247">
        <f>SUMIF('UC MINI 2026'!$D$5:$D$61,'UC MINI 2026 (Grp. Propieta'!$B18,'UC MINI 2026'!$F$5:$F$61)</f>
        <v>10</v>
      </c>
      <c r="E18" s="189">
        <f>SUMIF('UC MINI 2026'!$D$5:$D$61,'UC MINI 2026 (Grp. Propieta'!$B18,'UC MINI 2026'!$G$5:$G$61)</f>
        <v>6</v>
      </c>
      <c r="F18" s="247">
        <f>SUMIF('UC MINI 2026'!$D$5:$D$61,'UC MINI 2026 (Grp. Propieta'!$B18,'UC MINI 2026'!$H$5:$H$61)</f>
        <v>10</v>
      </c>
      <c r="G18" s="189">
        <f>SUMIF('UC MINI 2026'!$D$5:$D$61,'UC MINI 2026 (Grp. Propieta'!$B18,'UC MINI 2026'!$I$5:$I$61)</f>
        <v>5</v>
      </c>
      <c r="H18" s="247">
        <f>SUMIF('UC MINI 2026'!$D$5:$D$61,'UC MINI 2026 (Grp. Propieta'!$B18,'UC MINI 2026'!$J$5:$J$61)</f>
        <v>10</v>
      </c>
      <c r="I18" s="189">
        <f>SUMIF('UC MINI 2026'!$D$5:$D$61,'UC MINI 2026 (Grp. Propieta'!$B18,'UC MINI 2026'!$K$5:$K$61)</f>
        <v>7</v>
      </c>
      <c r="J18" s="247">
        <f>SUMIF('UC MINI 2026'!$D$5:$D$61,'UC MINI 2026 (Grp. Propieta'!$B18,'UC MINI 2026'!$L$5:$L$61)</f>
        <v>10</v>
      </c>
      <c r="K18" s="189">
        <f>SUMIF('UC MINI 2026'!$D$5:$D$61,'UC MINI 2026 (Grp. Propieta'!$B18,'UC MINI 2026'!$M$5:$M$61)</f>
        <v>13</v>
      </c>
      <c r="L18" s="247">
        <f>SUMIF('UC MINI 2026'!$D$5:$D$61,'UC MINI 2026 (Grp. Propieta'!$B18,'UC MINI 2026'!$N$5:$N$61)</f>
        <v>10</v>
      </c>
      <c r="M18" s="189">
        <f>SUMIF('UC MINI 2026'!$D$5:$D$61,'UC MINI 2026 (Grp. Propieta'!$B18,'UC MINI 2026'!$O$5:$O$61)</f>
        <v>12</v>
      </c>
      <c r="N18" s="247">
        <f>SUMIF('UC MINI 2026'!$D$5:$D$61,'UC MINI 2026 (Grp. Propieta'!$B18,'UC MINI 2026'!$P$5:$P$61)</f>
        <v>10</v>
      </c>
      <c r="O18" s="189">
        <f>SUMIF('UC MINI 2026'!$D$5:$D$61,'UC MINI 2026 (Grp. Propieta'!$B18,'UC MINI 2026'!$Q$5:$Q$61)</f>
        <v>12</v>
      </c>
      <c r="P18" s="247">
        <f>SUMIF('UC MINI 2026'!$D$5:$D$61,'UC MINI 2026 (Grp. Propieta'!$B18,'UC MINI 2026'!$R$5:$R$61)</f>
        <v>0</v>
      </c>
      <c r="Q18" s="189">
        <f>SUMIF('UC MINI 2026'!$D$5:$D$61,$B18,'UC MINI 2026'!$S$5:$S$61)</f>
        <v>0</v>
      </c>
      <c r="R18" s="247">
        <f>SUMIF('UC MINI 2026'!$D$5:$D$61,$B18,'UC MINI 2026'!T$5:T$61)</f>
        <v>0</v>
      </c>
      <c r="S18" s="189">
        <f>SUMIF('UC MINI 2026'!$D$5:$D$61,$B18,'UC MINI 2026'!$U$5:$U$61)</f>
        <v>0</v>
      </c>
      <c r="T18" s="247">
        <f>SUMIF('UC MINI 2026'!$D$5:$D$61,$B18,'UC MINI 2026'!V$5:V$61)</f>
        <v>0</v>
      </c>
      <c r="U18" s="189">
        <f>SUMIF('UC MINI 2026'!$D$5:$D$61,$B18,'UC MINI 2026'!$W$5:$W$61)</f>
        <v>0</v>
      </c>
      <c r="V18" s="247">
        <f>SUMIF('UC MINI 2026'!$D$5:$D$61,$B18,'UC MINI 2026'!X$5:X$61)</f>
        <v>0</v>
      </c>
      <c r="W18" s="189">
        <f>SUMIF('UC MINI 2026'!$D$5:$D$61,$B18,'UC MINI 2026'!$Y$5:$Y$61)</f>
        <v>0</v>
      </c>
      <c r="X18" s="247">
        <f>SUMIF('UC MINI 2026'!$D$5:$D$61,$B18,'UC MINI 2026'!Z$5:Z$61)</f>
        <v>0</v>
      </c>
      <c r="Y18" s="189">
        <f>SUMIF('UC MINI 2026'!$D$5:$D$61,$B18,'UC MINI 2026'!$AA$5:$AA$61)</f>
        <v>0</v>
      </c>
      <c r="Z18" s="247">
        <f>SUMIF('UC MINI 2026'!$D$5:$D$61,$B18,'UC MINI 2026'!AB$5:AB$61)</f>
        <v>0</v>
      </c>
      <c r="AA18" s="189">
        <f>SUMIF('UC MINI 2026'!$D$5:$D$61,$B18,'UC MINI 2026'!$AC$5:$AC$61)</f>
        <v>0</v>
      </c>
      <c r="AB18" s="249">
        <f t="shared" si="7"/>
        <v>60</v>
      </c>
      <c r="AC18" s="86">
        <f t="shared" si="7"/>
        <v>55</v>
      </c>
      <c r="AD18" s="243">
        <f t="shared" si="4"/>
        <v>0.91666666666666663</v>
      </c>
      <c r="AE18" s="249">
        <f t="shared" si="0"/>
        <v>60</v>
      </c>
      <c r="AF18" s="86">
        <f t="shared" si="8"/>
        <v>55</v>
      </c>
      <c r="AG18" s="56">
        <f t="shared" si="1"/>
        <v>0.91666666666666663</v>
      </c>
      <c r="AH18" s="249">
        <f t="shared" si="9"/>
        <v>0</v>
      </c>
      <c r="AI18" s="86">
        <f t="shared" si="9"/>
        <v>0</v>
      </c>
      <c r="AJ18" s="56">
        <f t="shared" si="2"/>
        <v>0</v>
      </c>
      <c r="AK18" s="249">
        <f t="shared" si="5"/>
        <v>60</v>
      </c>
      <c r="AL18" s="86">
        <f t="shared" si="6"/>
        <v>55</v>
      </c>
      <c r="AM18" s="56">
        <f t="shared" si="3"/>
        <v>0.91666666666666663</v>
      </c>
    </row>
    <row r="19" spans="1:39" s="53" customFormat="1" ht="16" customHeight="1" x14ac:dyDescent="0.3">
      <c r="A19" s="50">
        <v>22</v>
      </c>
      <c r="B19" s="51">
        <v>39200</v>
      </c>
      <c r="C19" s="385" t="s">
        <v>93</v>
      </c>
      <c r="D19" s="247">
        <f>SUMIF('UC MINI 2026'!$D$5:$D$61,'UC MINI 2026 (Grp. Propieta'!$B19,'UC MINI 2026'!$F$5:$F$61)</f>
        <v>2</v>
      </c>
      <c r="E19" s="189">
        <f>SUMIF('UC MINI 2026'!$D$5:$D$61,'UC MINI 2026 (Grp. Propieta'!$B19,'UC MINI 2026'!$G$5:$G$61)</f>
        <v>3</v>
      </c>
      <c r="F19" s="247">
        <f>SUMIF('UC MINI 2026'!$D$5:$D$61,'UC MINI 2026 (Grp. Propieta'!$B19,'UC MINI 2026'!$H$5:$H$61)</f>
        <v>2</v>
      </c>
      <c r="G19" s="189">
        <f>SUMIF('UC MINI 2026'!$D$5:$D$61,'UC MINI 2026 (Grp. Propieta'!$B19,'UC MINI 2026'!$I$5:$I$61)</f>
        <v>5</v>
      </c>
      <c r="H19" s="247">
        <f>SUMIF('UC MINI 2026'!$D$5:$D$61,'UC MINI 2026 (Grp. Propieta'!$B19,'UC MINI 2026'!$J$5:$J$61)</f>
        <v>3</v>
      </c>
      <c r="I19" s="189">
        <f>SUMIF('UC MINI 2026'!$D$5:$D$61,'UC MINI 2026 (Grp. Propieta'!$B19,'UC MINI 2026'!$K$5:$K$61)</f>
        <v>1</v>
      </c>
      <c r="J19" s="247">
        <f>SUMIF('UC MINI 2026'!$D$5:$D$61,'UC MINI 2026 (Grp. Propieta'!$B19,'UC MINI 2026'!$L$5:$L$61)</f>
        <v>2</v>
      </c>
      <c r="K19" s="189">
        <f>SUMIF('UC MINI 2026'!$D$5:$D$61,'UC MINI 2026 (Grp. Propieta'!$B19,'UC MINI 2026'!$M$5:$M$61)</f>
        <v>2</v>
      </c>
      <c r="L19" s="247">
        <f>SUMIF('UC MINI 2026'!$D$5:$D$61,'UC MINI 2026 (Grp. Propieta'!$B19,'UC MINI 2026'!$N$5:$N$61)</f>
        <v>3</v>
      </c>
      <c r="M19" s="189">
        <f>SUMIF('UC MINI 2026'!$D$5:$D$61,'UC MINI 2026 (Grp. Propieta'!$B19,'UC MINI 2026'!$O$5:$O$61)</f>
        <v>3</v>
      </c>
      <c r="N19" s="247">
        <f>SUMIF('UC MINI 2026'!$D$5:$D$61,'UC MINI 2026 (Grp. Propieta'!$B19,'UC MINI 2026'!$P$5:$P$61)</f>
        <v>3</v>
      </c>
      <c r="O19" s="189">
        <f>SUMIF('UC MINI 2026'!$D$5:$D$61,'UC MINI 2026 (Grp. Propieta'!$B19,'UC MINI 2026'!$Q$5:$Q$61)</f>
        <v>1</v>
      </c>
      <c r="P19" s="247">
        <f>SUMIF('UC MINI 2026'!$D$5:$D$61,'UC MINI 2026 (Grp. Propieta'!$B19,'UC MINI 2026'!$R$5:$R$61)</f>
        <v>0</v>
      </c>
      <c r="Q19" s="189">
        <f>SUMIF('UC MINI 2026'!$D$5:$D$61,$B19,'UC MINI 2026'!$S$5:$S$61)</f>
        <v>0</v>
      </c>
      <c r="R19" s="247">
        <f>SUMIF('UC MINI 2026'!$D$5:$D$61,$B19,'UC MINI 2026'!T$5:T$61)</f>
        <v>0</v>
      </c>
      <c r="S19" s="189">
        <f>SUMIF('UC MINI 2026'!$D$5:$D$61,$B19,'UC MINI 2026'!$U$5:$U$61)</f>
        <v>0</v>
      </c>
      <c r="T19" s="247">
        <f>SUMIF('UC MINI 2026'!$D$5:$D$61,$B19,'UC MINI 2026'!V$5:V$61)</f>
        <v>0</v>
      </c>
      <c r="U19" s="189">
        <f>SUMIF('UC MINI 2026'!$D$5:$D$61,$B19,'UC MINI 2026'!$W$5:$W$61)</f>
        <v>0</v>
      </c>
      <c r="V19" s="247">
        <f>SUMIF('UC MINI 2026'!$D$5:$D$61,$B19,'UC MINI 2026'!X$5:X$61)</f>
        <v>0</v>
      </c>
      <c r="W19" s="189">
        <f>SUMIF('UC MINI 2026'!$D$5:$D$61,$B19,'UC MINI 2026'!$Y$5:$Y$61)</f>
        <v>0</v>
      </c>
      <c r="X19" s="247">
        <f>SUMIF('UC MINI 2026'!$D$5:$D$61,$B19,'UC MINI 2026'!Z$5:Z$61)</f>
        <v>0</v>
      </c>
      <c r="Y19" s="189">
        <f>SUMIF('UC MINI 2026'!$D$5:$D$61,$B19,'UC MINI 2026'!$AA$5:$AA$61)</f>
        <v>0</v>
      </c>
      <c r="Z19" s="247">
        <f>SUMIF('UC MINI 2026'!$D$5:$D$61,$B19,'UC MINI 2026'!AB$5:AB$61)</f>
        <v>0</v>
      </c>
      <c r="AA19" s="189">
        <f>SUMIF('UC MINI 2026'!$D$5:$D$61,$B19,'UC MINI 2026'!$AC$5:$AC$61)</f>
        <v>0</v>
      </c>
      <c r="AB19" s="249">
        <f t="shared" si="7"/>
        <v>15</v>
      </c>
      <c r="AC19" s="86">
        <f t="shared" si="7"/>
        <v>15</v>
      </c>
      <c r="AD19" s="243">
        <f t="shared" si="4"/>
        <v>1</v>
      </c>
      <c r="AE19" s="249">
        <f t="shared" si="0"/>
        <v>15</v>
      </c>
      <c r="AF19" s="86">
        <f t="shared" si="8"/>
        <v>15</v>
      </c>
      <c r="AG19" s="56">
        <f t="shared" si="1"/>
        <v>1</v>
      </c>
      <c r="AH19" s="249">
        <f t="shared" si="9"/>
        <v>0</v>
      </c>
      <c r="AI19" s="86">
        <f t="shared" si="9"/>
        <v>0</v>
      </c>
      <c r="AJ19" s="56">
        <f t="shared" si="2"/>
        <v>0</v>
      </c>
      <c r="AK19" s="249">
        <f t="shared" si="5"/>
        <v>15</v>
      </c>
      <c r="AL19" s="86">
        <f t="shared" si="6"/>
        <v>15</v>
      </c>
      <c r="AM19" s="56">
        <f t="shared" si="3"/>
        <v>1</v>
      </c>
    </row>
    <row r="20" spans="1:39" s="53" customFormat="1" ht="16" customHeight="1" x14ac:dyDescent="0.3">
      <c r="A20" s="50">
        <v>21</v>
      </c>
      <c r="B20" s="51">
        <v>39349</v>
      </c>
      <c r="C20" s="385" t="s">
        <v>94</v>
      </c>
      <c r="D20" s="247">
        <f>SUMIF('UC MINI 2026'!$D$5:$D$61,'UC MINI 2026 (Grp. Propieta'!$B20,'UC MINI 2026'!$F$5:$F$61)</f>
        <v>20</v>
      </c>
      <c r="E20" s="189">
        <f>SUMIF('UC MINI 2026'!$D$5:$D$61,'UC MINI 2026 (Grp. Propieta'!$B20,'UC MINI 2026'!$G$5:$G$61)</f>
        <v>21</v>
      </c>
      <c r="F20" s="247">
        <f>SUMIF('UC MINI 2026'!$D$5:$D$61,'UC MINI 2026 (Grp. Propieta'!$B20,'UC MINI 2026'!$H$5:$H$61)</f>
        <v>21</v>
      </c>
      <c r="G20" s="189">
        <f>SUMIF('UC MINI 2026'!$D$5:$D$61,'UC MINI 2026 (Grp. Propieta'!$B20,'UC MINI 2026'!$I$5:$I$61)</f>
        <v>23</v>
      </c>
      <c r="H20" s="247">
        <f>SUMIF('UC MINI 2026'!$D$5:$D$61,'UC MINI 2026 (Grp. Propieta'!$B20,'UC MINI 2026'!$J$5:$J$61)</f>
        <v>21</v>
      </c>
      <c r="I20" s="189">
        <f>SUMIF('UC MINI 2026'!$D$5:$D$61,'UC MINI 2026 (Grp. Propieta'!$B20,'UC MINI 2026'!$K$5:$K$61)</f>
        <v>25</v>
      </c>
      <c r="J20" s="247">
        <f>SUMIF('UC MINI 2026'!$D$5:$D$61,'UC MINI 2026 (Grp. Propieta'!$B20,'UC MINI 2026'!$L$5:$L$61)</f>
        <v>20</v>
      </c>
      <c r="K20" s="189">
        <f>SUMIF('UC MINI 2026'!$D$5:$D$61,'UC MINI 2026 (Grp. Propieta'!$B20,'UC MINI 2026'!$M$5:$M$61)</f>
        <v>26</v>
      </c>
      <c r="L20" s="247">
        <f>SUMIF('UC MINI 2026'!$D$5:$D$61,'UC MINI 2026 (Grp. Propieta'!$B20,'UC MINI 2026'!$N$5:$N$61)</f>
        <v>21</v>
      </c>
      <c r="M20" s="189">
        <f>SUMIF('UC MINI 2026'!$D$5:$D$61,'UC MINI 2026 (Grp. Propieta'!$B20,'UC MINI 2026'!$O$5:$O$61)</f>
        <v>33</v>
      </c>
      <c r="N20" s="247">
        <f>SUMIF('UC MINI 2026'!$D$5:$D$61,'UC MINI 2026 (Grp. Propieta'!$B20,'UC MINI 2026'!$P$5:$P$61)</f>
        <v>22</v>
      </c>
      <c r="O20" s="189">
        <f>SUMIF('UC MINI 2026'!$D$5:$D$61,'UC MINI 2026 (Grp. Propieta'!$B20,'UC MINI 2026'!$Q$5:$Q$61)</f>
        <v>46</v>
      </c>
      <c r="P20" s="247">
        <f>SUMIF('UC MINI 2026'!$D$5:$D$61,'UC MINI 2026 (Grp. Propieta'!$B20,'UC MINI 2026'!$R$5:$R$61)</f>
        <v>26</v>
      </c>
      <c r="Q20" s="189">
        <f>SUMIF('UC MINI 2026'!$D$5:$D$61,$B20,'UC MINI 2026'!$S$5:$S$61)</f>
        <v>0</v>
      </c>
      <c r="R20" s="247">
        <f>SUMIF('UC MINI 2026'!$D$5:$D$61,$B20,'UC MINI 2026'!T$5:T$61)</f>
        <v>24</v>
      </c>
      <c r="S20" s="189">
        <f>SUMIF('UC MINI 2026'!$D$5:$D$61,$B20,'UC MINI 2026'!$U$5:$U$61)</f>
        <v>0</v>
      </c>
      <c r="T20" s="247">
        <f>SUMIF('UC MINI 2026'!$D$5:$D$61,$B20,'UC MINI 2026'!V$5:V$61)</f>
        <v>26</v>
      </c>
      <c r="U20" s="189">
        <f>SUMIF('UC MINI 2026'!$D$5:$D$61,$B20,'UC MINI 2026'!$W$5:$W$61)</f>
        <v>0</v>
      </c>
      <c r="V20" s="247">
        <f>SUMIF('UC MINI 2026'!$D$5:$D$61,$B20,'UC MINI 2026'!X$5:X$61)</f>
        <v>26</v>
      </c>
      <c r="W20" s="189">
        <f>SUMIF('UC MINI 2026'!$D$5:$D$61,$B20,'UC MINI 2026'!$Y$5:$Y$61)</f>
        <v>0</v>
      </c>
      <c r="X20" s="247">
        <f>SUMIF('UC MINI 2026'!$D$5:$D$61,$B20,'UC MINI 2026'!Z$5:Z$61)</f>
        <v>26</v>
      </c>
      <c r="Y20" s="189">
        <f>SUMIF('UC MINI 2026'!$D$5:$D$61,$B20,'UC MINI 2026'!$AA$5:$AA$61)</f>
        <v>0</v>
      </c>
      <c r="Z20" s="247">
        <f>SUMIF('UC MINI 2026'!$D$5:$D$61,$B20,'UC MINI 2026'!AB$5:AB$61)</f>
        <v>27</v>
      </c>
      <c r="AA20" s="189">
        <f>SUMIF('UC MINI 2026'!$D$5:$D$61,$B20,'UC MINI 2026'!$AC$5:$AC$61)</f>
        <v>0</v>
      </c>
      <c r="AB20" s="249">
        <f t="shared" si="7"/>
        <v>125</v>
      </c>
      <c r="AC20" s="86">
        <f t="shared" si="7"/>
        <v>174</v>
      </c>
      <c r="AD20" s="243">
        <f t="shared" si="4"/>
        <v>1.3919999999999999</v>
      </c>
      <c r="AE20" s="249">
        <f t="shared" si="0"/>
        <v>280</v>
      </c>
      <c r="AF20" s="86">
        <f t="shared" si="8"/>
        <v>174</v>
      </c>
      <c r="AG20" s="56">
        <f t="shared" si="1"/>
        <v>0.62142857142857144</v>
      </c>
      <c r="AH20" s="249">
        <f t="shared" si="9"/>
        <v>79</v>
      </c>
      <c r="AI20" s="86">
        <f t="shared" si="9"/>
        <v>0</v>
      </c>
      <c r="AJ20" s="56">
        <f t="shared" si="2"/>
        <v>0</v>
      </c>
      <c r="AK20" s="249">
        <f t="shared" si="5"/>
        <v>125</v>
      </c>
      <c r="AL20" s="86">
        <f t="shared" si="6"/>
        <v>174</v>
      </c>
      <c r="AM20" s="56">
        <f t="shared" si="3"/>
        <v>1.3919999999999999</v>
      </c>
    </row>
    <row r="21" spans="1:39" s="53" customFormat="1" ht="16" customHeight="1" x14ac:dyDescent="0.3">
      <c r="A21" s="50"/>
      <c r="B21" s="51">
        <v>34177</v>
      </c>
      <c r="C21" s="385" t="s">
        <v>87</v>
      </c>
      <c r="D21" s="247">
        <f>SUMIF('UC MINI 2026'!$D$5:$D$61,'UC MINI 2026 (Grp. Propieta'!$B21,'UC MINI 2026'!$F$5:$F$61)</f>
        <v>0</v>
      </c>
      <c r="E21" s="189">
        <f>SUMIF('UC MINI 2026'!$D$5:$D$61,'UC MINI 2026 (Grp. Propieta'!$B21,'UC MINI 2026'!$G$5:$G$61)</f>
        <v>0</v>
      </c>
      <c r="F21" s="247">
        <f>SUMIF('UC MINI 2026'!$D$5:$D$61,'UC MINI 2026 (Grp. Propieta'!$B21,'UC MINI 2026'!$H$5:$H$61)</f>
        <v>0</v>
      </c>
      <c r="G21" s="189">
        <f>SUMIF('UC MINI 2026'!$D$5:$D$61,'UC MINI 2026 (Grp. Propieta'!$B21,'UC MINI 2026'!$I$5:$I$61)</f>
        <v>0</v>
      </c>
      <c r="H21" s="247">
        <f>SUMIF('UC MINI 2026'!$D$5:$D$61,'UC MINI 2026 (Grp. Propieta'!$B21,'UC MINI 2026'!$J$5:$J$61)</f>
        <v>0</v>
      </c>
      <c r="I21" s="189">
        <f>SUMIF('UC MINI 2026'!$D$5:$D$61,'UC MINI 2026 (Grp. Propieta'!$B21,'UC MINI 2026'!$K$5:$K$61)</f>
        <v>0</v>
      </c>
      <c r="J21" s="247">
        <f>SUMIF('UC MINI 2026'!$D$5:$D$61,'UC MINI 2026 (Grp. Propieta'!$B21,'UC MINI 2026'!$L$5:$L$61)</f>
        <v>0</v>
      </c>
      <c r="K21" s="189">
        <f>SUMIF('UC MINI 2026'!$D$5:$D$61,'UC MINI 2026 (Grp. Propieta'!$B21,'UC MINI 2026'!$M$5:$M$61)</f>
        <v>0</v>
      </c>
      <c r="L21" s="247">
        <f>SUMIF('UC MINI 2026'!$D$5:$D$61,'UC MINI 2026 (Grp. Propieta'!$B21,'UC MINI 2026'!$N$5:$N$61)</f>
        <v>0</v>
      </c>
      <c r="M21" s="189">
        <f>SUMIF('UC MINI 2026'!$D$5:$D$61,'UC MINI 2026 (Grp. Propieta'!$B21,'UC MINI 2026'!$O$5:$O$61)</f>
        <v>0</v>
      </c>
      <c r="N21" s="247">
        <f>SUMIF('UC MINI 2026'!$D$5:$D$61,'UC MINI 2026 (Grp. Propieta'!$B21,'UC MINI 2026'!$P$5:$P$61)</f>
        <v>0</v>
      </c>
      <c r="O21" s="189">
        <f>SUMIF('UC MINI 2026'!$D$5:$D$61,'UC MINI 2026 (Grp. Propieta'!$B21,'UC MINI 2026'!$Q$5:$Q$61)</f>
        <v>0</v>
      </c>
      <c r="P21" s="247">
        <f>SUMIF('UC MINI 2026'!$D$5:$D$61,'UC MINI 2026 (Grp. Propieta'!$B21,'UC MINI 2026'!$R$5:$R$61)</f>
        <v>1</v>
      </c>
      <c r="Q21" s="189">
        <f>SUMIF('UC MINI 2026'!$D$5:$D$61,$B21,'UC MINI 2026'!$S$5:$S$61)</f>
        <v>0</v>
      </c>
      <c r="R21" s="247">
        <f>SUMIF('UC MINI 2026'!$D$5:$D$61,$B21,'UC MINI 2026'!T$5:T$61)</f>
        <v>1</v>
      </c>
      <c r="S21" s="189">
        <f>SUMIF('UC MINI 2026'!$D$5:$D$61,$B21,'UC MINI 2026'!$U$5:$U$61)</f>
        <v>0</v>
      </c>
      <c r="T21" s="247">
        <f>SUMIF('UC MINI 2026'!$D$5:$D$61,$B21,'UC MINI 2026'!V$5:V$61)</f>
        <v>1</v>
      </c>
      <c r="U21" s="189">
        <f>SUMIF('UC MINI 2026'!$D$5:$D$61,$B21,'UC MINI 2026'!$W$5:$W$61)</f>
        <v>0</v>
      </c>
      <c r="V21" s="247">
        <f>SUMIF('UC MINI 2026'!$D$5:$D$61,$B21,'UC MINI 2026'!X$5:X$61)</f>
        <v>1</v>
      </c>
      <c r="W21" s="189">
        <f>SUMIF('UC MINI 2026'!$D$5:$D$61,$B21,'UC MINI 2026'!$Y$5:$Y$61)</f>
        <v>0</v>
      </c>
      <c r="X21" s="247">
        <f>SUMIF('UC MINI 2026'!$D$5:$D$61,$B21,'UC MINI 2026'!Z$5:Z$61)</f>
        <v>1</v>
      </c>
      <c r="Y21" s="189">
        <f>SUMIF('UC MINI 2026'!$D$5:$D$61,$B21,'UC MINI 2026'!$AA$5:$AA$61)</f>
        <v>0</v>
      </c>
      <c r="Z21" s="247">
        <f>SUMIF('UC MINI 2026'!$D$5:$D$61,$B21,'UC MINI 2026'!AB$5:AB$61)</f>
        <v>1</v>
      </c>
      <c r="AA21" s="189">
        <f>SUMIF('UC MINI 2026'!$D$5:$D$61,$B21,'UC MINI 2026'!$AC$5:$AC$61)</f>
        <v>0</v>
      </c>
      <c r="AB21" s="249">
        <f>IF($AB$2="ENERO",D21,IF($AB$2="FEBRERO",D21+F21,IF($AB$2="MARZO",D21+F21+H21,IF($AB$2="ABRIL",D21+F21+H21+J21,IF($AB$2="MAYO",D21+F21+H21+J21+L21,IF($AB$2="JUNIO",D21+F21+H21+J21+L21+N21,IF($AB$2="JULIO",D21+F21+H21+J21+L21+N21+P21,IF($AB$2="AGOSTO",D21+F21+H21+J21+L21+N21+P21+R21,IF($AB$2="SEPTIEMBRE",D21+F21+H21+J21+L21+N21+P21+R21+T21,IF($AB$2="OCTUBRE",D21+F21+H21+J21+L21+N21+P21+R21+T21+V21,IF($AB$2="NOVIEMBRE",D21+F21+H21+J21+L21+N21+P21+R21+T21+V21+X21,IF($AB$2="DICIEMBRE",D21+F21+H21+J21+L21+N21+P21+R21+T21+V21+X21+Z21,""))))))))))))</f>
        <v>0</v>
      </c>
      <c r="AC21" s="86">
        <f>IF($AB$2="ENERO",E21,IF($AB$2="FEBRERO",E21+G21,IF($AB$2="MARZO",E21+G21+I21,IF($AB$2="ABRIL",E21+G21+I21+K21,IF($AB$2="MAYO",E21+G21+I21+K21+M21,IF($AB$2="JUNIO",E21+G21+I21+K21+M21+O21,IF($AB$2="JULIO",E21+G21+I21+K21+M21+O21+Q21,IF($AB$2="AGOSTO",E21+G21+I21+K21+M21+O21+Q21+S21,IF($AB$2="SEPTIEMBRE",E21+G21+I21+K21+M21+O21+Q21+S21+U21,IF($AB$2="OCTUBRE",E21+G21+I21+K21+M21+O21+Q21+S21+U21+W21,IF($AB$2="NOVIEMBRE",E21+G21+I21+K21+M21+O21+Q21+S21+U21+W21+Y21,IF($AB$2="DICIEMBRE",E21+G21+I21+K21+M21+O21+Q21+S21+U21+W21+Y21+AA21,""))))))))))))</f>
        <v>0</v>
      </c>
      <c r="AD21" s="243">
        <f>IFERROR((AC21/AB21),0)</f>
        <v>0</v>
      </c>
      <c r="AE21" s="249">
        <f>+D21+F21+H21+J21+L21+N21+P21+R21+T21+V21+X21+Z21</f>
        <v>6</v>
      </c>
      <c r="AF21" s="86">
        <f>IF($AB$2="ENERO",E21,IF($AB$2="FEBRERO",E21+G21,IF($AB$2="MARZO",E21+G21+I21,IF($AB$2="ABRIL",E21+G21+I21+K21,IF($AB$2="MAYO",E21+G21+I21+K21+M21,IF($AB$2="JUNIO",E21+G21+I21+K21+M21+O21,IF($AB$2="JULIO",E21+G21+I21+K21+M21+O21+Q21,IF($AB$2="AGOSTO",E21+G21+I21+K21+M21+O21+Q21+S21,IF($AB$2="SEPTIEMBRE",E21+G21+I21+K21+M21+O21+Q21+S21+U21,IF($AB$2="OCTUBRE",E21+G21+I21+K21+M21+O21+Q21+S21+U21+W21,IF($AB$2="NOVIEMBRE",E21+G21+I21+K21+M21+O21+Q21+S21+U21+W21+Y21,IF($AB$2="DICIEMBRE",E21+G21+I21+K21+M21+O21+Q21+S21+U21+W21+Y21+AA21,""))))))))))))</f>
        <v>0</v>
      </c>
      <c r="AG21" s="56">
        <f>IFERROR((AF21/AE21),0)</f>
        <v>0</v>
      </c>
      <c r="AH21" s="249">
        <f>IF($AH$3="Q1",D21+F21+H21,IF($AH$3="Q2",J21+L21++N21,IF($AH$3="Q3",P21+R21+T21,IF($AH$3="Q4",V21+X21+Z21,0))))</f>
        <v>3</v>
      </c>
      <c r="AI21" s="86">
        <f>IF($AH$3="Q1",E21+G21+I21,IF($AH$3="Q2",K21+M21++O21,IF($AH$3="Q3",Q21+S21+U21,IF($AH$3="Q4",W21+Y21+AA21,0))))</f>
        <v>0</v>
      </c>
      <c r="AJ21" s="56">
        <f>IFERROR((AI21/AH21),0)</f>
        <v>0</v>
      </c>
      <c r="AK21" s="249">
        <f>IF($AK$3="S 1",D21+F21+H21+J21+L21++N21,IF($AK$3="S 2",P21+R21+Z21+T21+V21+X21,0))</f>
        <v>0</v>
      </c>
      <c r="AL21" s="86">
        <f>IF($AK$3="S 1",E21+G21+I21+K21+M21+O21,IF($AK$3="S 2",Q21+S21+U21+W21+Y21+AA21,0))</f>
        <v>0</v>
      </c>
      <c r="AM21" s="56">
        <f>IFERROR((AL21/AK21),0)</f>
        <v>0</v>
      </c>
    </row>
    <row r="22" spans="1:39" s="53" customFormat="1" ht="16" customHeight="1" x14ac:dyDescent="0.3">
      <c r="A22" s="50">
        <v>21</v>
      </c>
      <c r="B22" s="51">
        <v>39812</v>
      </c>
      <c r="C22" s="385" t="s">
        <v>95</v>
      </c>
      <c r="D22" s="247">
        <f>SUMIF('UC MINI 2026'!$D$5:$D$61,'UC MINI 2026 (Grp. Propieta'!$B22,'UC MINI 2026'!$F$5:$F$61)</f>
        <v>21</v>
      </c>
      <c r="E22" s="189">
        <f>SUMIF('UC MINI 2026'!$D$5:$D$61,'UC MINI 2026 (Grp. Propieta'!$B22,'UC MINI 2026'!$G$5:$G$61)</f>
        <v>15</v>
      </c>
      <c r="F22" s="247">
        <f>SUMIF('UC MINI 2026'!$D$5:$D$61,'UC MINI 2026 (Grp. Propieta'!$B22,'UC MINI 2026'!$H$5:$H$61)</f>
        <v>22</v>
      </c>
      <c r="G22" s="189">
        <f>SUMIF('UC MINI 2026'!$D$5:$D$61,'UC MINI 2026 (Grp. Propieta'!$B22,'UC MINI 2026'!$I$5:$I$61)</f>
        <v>8</v>
      </c>
      <c r="H22" s="247">
        <f>SUMIF('UC MINI 2026'!$D$5:$D$61,'UC MINI 2026 (Grp. Propieta'!$B22,'UC MINI 2026'!$J$5:$J$61)</f>
        <v>22</v>
      </c>
      <c r="I22" s="189">
        <f>SUMIF('UC MINI 2026'!$D$5:$D$61,'UC MINI 2026 (Grp. Propieta'!$B22,'UC MINI 2026'!$K$5:$K$61)</f>
        <v>31</v>
      </c>
      <c r="J22" s="247">
        <f>SUMIF('UC MINI 2026'!$D$5:$D$61,'UC MINI 2026 (Grp. Propieta'!$B22,'UC MINI 2026'!$L$5:$L$61)</f>
        <v>21</v>
      </c>
      <c r="K22" s="189">
        <f>SUMIF('UC MINI 2026'!$D$5:$D$61,'UC MINI 2026 (Grp. Propieta'!$B22,'UC MINI 2026'!$M$5:$M$61)</f>
        <v>28</v>
      </c>
      <c r="L22" s="247">
        <f>SUMIF('UC MINI 2026'!$D$5:$D$61,'UC MINI 2026 (Grp. Propieta'!$B22,'UC MINI 2026'!$N$5:$N$61)</f>
        <v>22</v>
      </c>
      <c r="M22" s="189">
        <f>SUMIF('UC MINI 2026'!$D$5:$D$61,'UC MINI 2026 (Grp. Propieta'!$B22,'UC MINI 2026'!$O$5:$O$61)</f>
        <v>27</v>
      </c>
      <c r="N22" s="247">
        <f>SUMIF('UC MINI 2026'!$D$5:$D$61,'UC MINI 2026 (Grp. Propieta'!$B22,'UC MINI 2026'!$P$5:$P$61)</f>
        <v>22</v>
      </c>
      <c r="O22" s="189">
        <f>SUMIF('UC MINI 2026'!$D$5:$D$61,'UC MINI 2026 (Grp. Propieta'!$B22,'UC MINI 2026'!$Q$5:$Q$61)</f>
        <v>16</v>
      </c>
      <c r="P22" s="247">
        <f>SUMIF('UC MINI 2026'!$D$5:$D$61,'UC MINI 2026 (Grp. Propieta'!$B22,'UC MINI 2026'!$R$5:$R$61)</f>
        <v>0</v>
      </c>
      <c r="Q22" s="189">
        <f>SUMIF('UC MINI 2026'!$D$5:$D$61,$B22,'UC MINI 2026'!$S$5:$S$61)</f>
        <v>0</v>
      </c>
      <c r="R22" s="247">
        <f>SUMIF('UC MINI 2026'!$D$5:$D$61,$B22,'UC MINI 2026'!T$5:T$61)</f>
        <v>0</v>
      </c>
      <c r="S22" s="189">
        <f>SUMIF('UC MINI 2026'!$D$5:$D$61,$B22,'UC MINI 2026'!$U$5:$U$61)</f>
        <v>0</v>
      </c>
      <c r="T22" s="247">
        <f>SUMIF('UC MINI 2026'!$D$5:$D$61,$B22,'UC MINI 2026'!V$5:V$61)</f>
        <v>0</v>
      </c>
      <c r="U22" s="189">
        <f>SUMIF('UC MINI 2026'!$D$5:$D$61,$B22,'UC MINI 2026'!$W$5:$W$61)</f>
        <v>0</v>
      </c>
      <c r="V22" s="247">
        <f>SUMIF('UC MINI 2026'!$D$5:$D$61,$B22,'UC MINI 2026'!X$5:X$61)</f>
        <v>0</v>
      </c>
      <c r="W22" s="189">
        <f>SUMIF('UC MINI 2026'!$D$5:$D$61,$B22,'UC MINI 2026'!$Y$5:$Y$61)</f>
        <v>0</v>
      </c>
      <c r="X22" s="247">
        <f>SUMIF('UC MINI 2026'!$D$5:$D$61,$B22,'UC MINI 2026'!Z$5:Z$61)</f>
        <v>0</v>
      </c>
      <c r="Y22" s="189">
        <f>SUMIF('UC MINI 2026'!$D$5:$D$61,$B22,'UC MINI 2026'!$AA$5:$AA$61)</f>
        <v>0</v>
      </c>
      <c r="Z22" s="247">
        <f>SUMIF('UC MINI 2026'!$D$5:$D$61,$B22,'UC MINI 2026'!AB$5:AB$61)</f>
        <v>0</v>
      </c>
      <c r="AA22" s="189">
        <f>SUMIF('UC MINI 2026'!$D$5:$D$61,$B22,'UC MINI 2026'!$AC$5:$AC$61)</f>
        <v>0</v>
      </c>
      <c r="AB22" s="249">
        <f t="shared" si="7"/>
        <v>130</v>
      </c>
      <c r="AC22" s="86">
        <f t="shared" si="7"/>
        <v>125</v>
      </c>
      <c r="AD22" s="243">
        <f t="shared" si="4"/>
        <v>0.96153846153846156</v>
      </c>
      <c r="AE22" s="249">
        <f t="shared" si="0"/>
        <v>130</v>
      </c>
      <c r="AF22" s="86">
        <f t="shared" si="8"/>
        <v>125</v>
      </c>
      <c r="AG22" s="56">
        <f t="shared" si="1"/>
        <v>0.96153846153846156</v>
      </c>
      <c r="AH22" s="249">
        <f t="shared" si="9"/>
        <v>0</v>
      </c>
      <c r="AI22" s="86">
        <f t="shared" si="9"/>
        <v>0</v>
      </c>
      <c r="AJ22" s="56">
        <f t="shared" si="2"/>
        <v>0</v>
      </c>
      <c r="AK22" s="249">
        <f t="shared" si="5"/>
        <v>130</v>
      </c>
      <c r="AL22" s="86">
        <f t="shared" si="6"/>
        <v>125</v>
      </c>
      <c r="AM22" s="56">
        <f t="shared" si="3"/>
        <v>0.96153846153846156</v>
      </c>
    </row>
    <row r="23" spans="1:39" s="53" customFormat="1" ht="16" customHeight="1" x14ac:dyDescent="0.3">
      <c r="A23" s="50"/>
      <c r="B23" s="51">
        <v>1357</v>
      </c>
      <c r="C23" s="385" t="s">
        <v>96</v>
      </c>
      <c r="D23" s="247">
        <f>SUMIF('UC MINI 2026'!$D$5:$D$61,'UC MINI 2026 (Grp. Propieta'!$B23,'UC MINI 2026'!$F$5:$F$61)</f>
        <v>9</v>
      </c>
      <c r="E23" s="189">
        <f>SUMIF('UC MINI 2026'!$D$5:$D$61,'UC MINI 2026 (Grp. Propieta'!$B23,'UC MINI 2026'!$G$5:$G$61)</f>
        <v>9</v>
      </c>
      <c r="F23" s="247">
        <f>SUMIF('UC MINI 2026'!$D$5:$D$61,'UC MINI 2026 (Grp. Propieta'!$B23,'UC MINI 2026'!$H$5:$H$61)</f>
        <v>9</v>
      </c>
      <c r="G23" s="189">
        <f>SUMIF('UC MINI 2026'!$D$5:$D$61,'UC MINI 2026 (Grp. Propieta'!$B23,'UC MINI 2026'!$I$5:$I$61)</f>
        <v>12</v>
      </c>
      <c r="H23" s="247">
        <f>SUMIF('UC MINI 2026'!$D$5:$D$61,'UC MINI 2026 (Grp. Propieta'!$B23,'UC MINI 2026'!$J$5:$J$61)</f>
        <v>10</v>
      </c>
      <c r="I23" s="189">
        <f>SUMIF('UC MINI 2026'!$D$5:$D$61,'UC MINI 2026 (Grp. Propieta'!$B23,'UC MINI 2026'!$K$5:$K$61)</f>
        <v>17</v>
      </c>
      <c r="J23" s="247">
        <f>SUMIF('UC MINI 2026'!$D$5:$D$61,'UC MINI 2026 (Grp. Propieta'!$B23,'UC MINI 2026'!$L$5:$L$61)</f>
        <v>9</v>
      </c>
      <c r="K23" s="189">
        <f>SUMIF('UC MINI 2026'!$D$5:$D$61,'UC MINI 2026 (Grp. Propieta'!$B23,'UC MINI 2026'!$M$5:$M$61)</f>
        <v>10</v>
      </c>
      <c r="L23" s="247">
        <f>SUMIF('UC MINI 2026'!$D$5:$D$61,'UC MINI 2026 (Grp. Propieta'!$B23,'UC MINI 2026'!$N$5:$N$61)</f>
        <v>10</v>
      </c>
      <c r="M23" s="189">
        <f>SUMIF('UC MINI 2026'!$D$5:$D$61,'UC MINI 2026 (Grp. Propieta'!$B23,'UC MINI 2026'!$O$5:$O$61)</f>
        <v>6</v>
      </c>
      <c r="N23" s="247">
        <f>SUMIF('UC MINI 2026'!$D$5:$D$61,'UC MINI 2026 (Grp. Propieta'!$B23,'UC MINI 2026'!$P$5:$P$61)</f>
        <v>10</v>
      </c>
      <c r="O23" s="189">
        <f>SUMIF('UC MINI 2026'!$D$5:$D$61,'UC MINI 2026 (Grp. Propieta'!$B23,'UC MINI 2026'!$Q$5:$Q$61)</f>
        <v>9</v>
      </c>
      <c r="P23" s="247">
        <f>SUMIF('UC MINI 2026'!$D$5:$D$61,'UC MINI 2026 (Grp. Propieta'!$B23,'UC MINI 2026'!$R$5:$R$61)</f>
        <v>0</v>
      </c>
      <c r="Q23" s="189">
        <f>SUMIF('UC MINI 2026'!$D$5:$D$61,$B23,'UC MINI 2026'!$S$5:$S$61)</f>
        <v>0</v>
      </c>
      <c r="R23" s="247">
        <f>SUMIF('UC MINI 2026'!$D$5:$D$61,$B23,'UC MINI 2026'!T$5:T$61)</f>
        <v>0</v>
      </c>
      <c r="S23" s="189">
        <f>SUMIF('UC MINI 2026'!$D$5:$D$61,$B23,'UC MINI 2026'!$U$5:$U$61)</f>
        <v>0</v>
      </c>
      <c r="T23" s="247">
        <f>SUMIF('UC MINI 2026'!$D$5:$D$61,$B23,'UC MINI 2026'!V$5:V$61)</f>
        <v>0</v>
      </c>
      <c r="U23" s="189">
        <f>SUMIF('UC MINI 2026'!$D$5:$D$61,$B23,'UC MINI 2026'!$W$5:$W$61)</f>
        <v>0</v>
      </c>
      <c r="V23" s="247">
        <f>SUMIF('UC MINI 2026'!$D$5:$D$61,$B23,'UC MINI 2026'!X$5:X$61)</f>
        <v>0</v>
      </c>
      <c r="W23" s="189">
        <f>SUMIF('UC MINI 2026'!$D$5:$D$61,$B23,'UC MINI 2026'!$Y$5:$Y$61)</f>
        <v>0</v>
      </c>
      <c r="X23" s="247">
        <f>SUMIF('UC MINI 2026'!$D$5:$D$61,$B23,'UC MINI 2026'!Z$5:Z$61)</f>
        <v>0</v>
      </c>
      <c r="Y23" s="189">
        <f>SUMIF('UC MINI 2026'!$D$5:$D$61,$B23,'UC MINI 2026'!$AA$5:$AA$61)</f>
        <v>0</v>
      </c>
      <c r="Z23" s="247">
        <f>SUMIF('UC MINI 2026'!$D$5:$D$61,$B23,'UC MINI 2026'!AB$5:AB$61)</f>
        <v>0</v>
      </c>
      <c r="AA23" s="189">
        <f>SUMIF('UC MINI 2026'!$D$5:$D$61,$B23,'UC MINI 2026'!$AC$5:$AC$61)</f>
        <v>0</v>
      </c>
      <c r="AB23" s="249">
        <f t="shared" si="7"/>
        <v>57</v>
      </c>
      <c r="AC23" s="86">
        <f t="shared" si="7"/>
        <v>63</v>
      </c>
      <c r="AD23" s="243">
        <f t="shared" si="4"/>
        <v>1.1052631578947369</v>
      </c>
      <c r="AE23" s="249">
        <f t="shared" si="0"/>
        <v>57</v>
      </c>
      <c r="AF23" s="86">
        <f t="shared" si="8"/>
        <v>63</v>
      </c>
      <c r="AG23" s="56">
        <f t="shared" si="1"/>
        <v>1.1052631578947369</v>
      </c>
      <c r="AH23" s="249">
        <f t="shared" si="9"/>
        <v>0</v>
      </c>
      <c r="AI23" s="86">
        <f t="shared" si="9"/>
        <v>0</v>
      </c>
      <c r="AJ23" s="56">
        <f t="shared" si="2"/>
        <v>0</v>
      </c>
      <c r="AK23" s="249">
        <f t="shared" si="5"/>
        <v>57</v>
      </c>
      <c r="AL23" s="86">
        <f t="shared" si="6"/>
        <v>63</v>
      </c>
      <c r="AM23" s="56">
        <f t="shared" si="3"/>
        <v>1.1052631578947369</v>
      </c>
    </row>
    <row r="24" spans="1:39" s="53" customFormat="1" ht="16" customHeight="1" x14ac:dyDescent="0.3">
      <c r="A24" s="50">
        <v>32</v>
      </c>
      <c r="B24" s="51">
        <v>9911</v>
      </c>
      <c r="C24" s="385" t="s">
        <v>97</v>
      </c>
      <c r="D24" s="247">
        <f>SUMIF('UC MINI 2026'!$D$5:$D$61,'UC MINI 2026 (Grp. Propieta'!$B24,'UC MINI 2026'!$F$5:$F$61)</f>
        <v>21</v>
      </c>
      <c r="E24" s="189">
        <f>SUMIF('UC MINI 2026'!$D$5:$D$61,'UC MINI 2026 (Grp. Propieta'!$B24,'UC MINI 2026'!$G$5:$G$61)</f>
        <v>14</v>
      </c>
      <c r="F24" s="247">
        <f>SUMIF('UC MINI 2026'!$D$5:$D$61,'UC MINI 2026 (Grp. Propieta'!$B24,'UC MINI 2026'!$H$5:$H$61)</f>
        <v>22</v>
      </c>
      <c r="G24" s="189">
        <f>SUMIF('UC MINI 2026'!$D$5:$D$61,'UC MINI 2026 (Grp. Propieta'!$B24,'UC MINI 2026'!$I$5:$I$61)</f>
        <v>23</v>
      </c>
      <c r="H24" s="247">
        <f>SUMIF('UC MINI 2026'!$D$5:$D$61,'UC MINI 2026 (Grp. Propieta'!$B24,'UC MINI 2026'!$J$5:$J$61)</f>
        <v>23</v>
      </c>
      <c r="I24" s="189">
        <f>SUMIF('UC MINI 2026'!$D$5:$D$61,'UC MINI 2026 (Grp. Propieta'!$B24,'UC MINI 2026'!$K$5:$K$61)</f>
        <v>19</v>
      </c>
      <c r="J24" s="247">
        <f>SUMIF('UC MINI 2026'!$D$5:$D$61,'UC MINI 2026 (Grp. Propieta'!$B24,'UC MINI 2026'!$L$5:$L$61)</f>
        <v>21</v>
      </c>
      <c r="K24" s="189">
        <f>SUMIF('UC MINI 2026'!$D$5:$D$61,'UC MINI 2026 (Grp. Propieta'!$B24,'UC MINI 2026'!$M$5:$M$61)</f>
        <v>15</v>
      </c>
      <c r="L24" s="247">
        <f>SUMIF('UC MINI 2026'!$D$5:$D$61,'UC MINI 2026 (Grp. Propieta'!$B24,'UC MINI 2026'!$N$5:$N$61)</f>
        <v>22</v>
      </c>
      <c r="M24" s="189">
        <f>SUMIF('UC MINI 2026'!$D$5:$D$61,'UC MINI 2026 (Grp. Propieta'!$B24,'UC MINI 2026'!$O$5:$O$61)</f>
        <v>39</v>
      </c>
      <c r="N24" s="247">
        <f>SUMIF('UC MINI 2026'!$D$5:$D$61,'UC MINI 2026 (Grp. Propieta'!$B24,'UC MINI 2026'!$P$5:$P$61)</f>
        <v>24</v>
      </c>
      <c r="O24" s="189">
        <f>SUMIF('UC MINI 2026'!$D$5:$D$61,'UC MINI 2026 (Grp. Propieta'!$B24,'UC MINI 2026'!$Q$5:$Q$61)</f>
        <v>45</v>
      </c>
      <c r="P24" s="247">
        <f>SUMIF('UC MINI 2026'!$D$5:$D$61,'UC MINI 2026 (Grp. Propieta'!$B24,'UC MINI 2026'!$R$5:$R$61)</f>
        <v>0</v>
      </c>
      <c r="Q24" s="189">
        <f>SUMIF('UC MINI 2026'!$D$5:$D$61,$B24,'UC MINI 2026'!$S$5:$S$61)</f>
        <v>0</v>
      </c>
      <c r="R24" s="247">
        <f>SUMIF('UC MINI 2026'!$D$5:$D$61,$B24,'UC MINI 2026'!T$5:T$61)</f>
        <v>0</v>
      </c>
      <c r="S24" s="189">
        <f>SUMIF('UC MINI 2026'!$D$5:$D$61,$B24,'UC MINI 2026'!$U$5:$U$61)</f>
        <v>0</v>
      </c>
      <c r="T24" s="247">
        <f>SUMIF('UC MINI 2026'!$D$5:$D$61,$B24,'UC MINI 2026'!V$5:V$61)</f>
        <v>0</v>
      </c>
      <c r="U24" s="189">
        <f>SUMIF('UC MINI 2026'!$D$5:$D$61,$B24,'UC MINI 2026'!$W$5:$W$61)</f>
        <v>0</v>
      </c>
      <c r="V24" s="247">
        <f>SUMIF('UC MINI 2026'!$D$5:$D$61,$B24,'UC MINI 2026'!X$5:X$61)</f>
        <v>0</v>
      </c>
      <c r="W24" s="189">
        <f>SUMIF('UC MINI 2026'!$D$5:$D$61,$B24,'UC MINI 2026'!$Y$5:$Y$61)</f>
        <v>0</v>
      </c>
      <c r="X24" s="247">
        <f>SUMIF('UC MINI 2026'!$D$5:$D$61,$B24,'UC MINI 2026'!Z$5:Z$61)</f>
        <v>0</v>
      </c>
      <c r="Y24" s="189">
        <f>SUMIF('UC MINI 2026'!$D$5:$D$61,$B24,'UC MINI 2026'!$AA$5:$AA$61)</f>
        <v>0</v>
      </c>
      <c r="Z24" s="247">
        <f>SUMIF('UC MINI 2026'!$D$5:$D$61,$B24,'UC MINI 2026'!AB$5:AB$61)</f>
        <v>0</v>
      </c>
      <c r="AA24" s="189">
        <f>SUMIF('UC MINI 2026'!$D$5:$D$61,$B24,'UC MINI 2026'!$AC$5:$AC$61)</f>
        <v>0</v>
      </c>
      <c r="AB24" s="249">
        <f t="shared" si="7"/>
        <v>133</v>
      </c>
      <c r="AC24" s="86">
        <f t="shared" si="7"/>
        <v>155</v>
      </c>
      <c r="AD24" s="243">
        <f t="shared" si="4"/>
        <v>1.1654135338345866</v>
      </c>
      <c r="AE24" s="249">
        <f t="shared" si="0"/>
        <v>133</v>
      </c>
      <c r="AF24" s="86">
        <f t="shared" si="8"/>
        <v>155</v>
      </c>
      <c r="AG24" s="56">
        <f t="shared" si="1"/>
        <v>1.1654135338345866</v>
      </c>
      <c r="AH24" s="249">
        <f t="shared" si="9"/>
        <v>0</v>
      </c>
      <c r="AI24" s="86">
        <f t="shared" si="9"/>
        <v>0</v>
      </c>
      <c r="AJ24" s="56">
        <f t="shared" si="2"/>
        <v>0</v>
      </c>
      <c r="AK24" s="249">
        <f t="shared" si="5"/>
        <v>133</v>
      </c>
      <c r="AL24" s="86">
        <f t="shared" si="6"/>
        <v>155</v>
      </c>
      <c r="AM24" s="56">
        <f t="shared" si="3"/>
        <v>1.1654135338345866</v>
      </c>
    </row>
    <row r="25" spans="1:39" s="53" customFormat="1" ht="16" customHeight="1" x14ac:dyDescent="0.3">
      <c r="A25" s="50">
        <v>12</v>
      </c>
      <c r="B25" s="51">
        <v>20839</v>
      </c>
      <c r="C25" s="385" t="s">
        <v>201</v>
      </c>
      <c r="D25" s="247">
        <f>SUMIF('UC MINI 2026'!$D$5:$D$61,'UC MINI 2026 (Grp. Propieta'!$B25,'UC MINI 2026'!$F$5:$F$61)</f>
        <v>12</v>
      </c>
      <c r="E25" s="189">
        <f>SUMIF('UC MINI 2026'!$D$5:$D$61,'UC MINI 2026 (Grp. Propieta'!$B25,'UC MINI 2026'!$G$5:$G$61)</f>
        <v>12</v>
      </c>
      <c r="F25" s="247">
        <f>SUMIF('UC MINI 2026'!$D$5:$D$61,'UC MINI 2026 (Grp. Propieta'!$B25,'UC MINI 2026'!$H$5:$H$61)</f>
        <v>13</v>
      </c>
      <c r="G25" s="189">
        <f>SUMIF('UC MINI 2026'!$D$5:$D$61,'UC MINI 2026 (Grp. Propieta'!$B25,'UC MINI 2026'!$I$5:$I$61)</f>
        <v>8</v>
      </c>
      <c r="H25" s="247">
        <f>SUMIF('UC MINI 2026'!$D$5:$D$61,'UC MINI 2026 (Grp. Propieta'!$B25,'UC MINI 2026'!$J$5:$J$61)</f>
        <v>13</v>
      </c>
      <c r="I25" s="189">
        <f>SUMIF('UC MINI 2026'!$D$5:$D$61,'UC MINI 2026 (Grp. Propieta'!$B25,'UC MINI 2026'!$K$5:$K$61)</f>
        <v>20</v>
      </c>
      <c r="J25" s="247">
        <f>SUMIF('UC MINI 2026'!$D$5:$D$61,'UC MINI 2026 (Grp. Propieta'!$B25,'UC MINI 2026'!$L$5:$L$61)</f>
        <v>13</v>
      </c>
      <c r="K25" s="189">
        <f>SUMIF('UC MINI 2026'!$D$5:$D$61,'UC MINI 2026 (Grp. Propieta'!$B25,'UC MINI 2026'!$M$5:$M$61)</f>
        <v>14</v>
      </c>
      <c r="L25" s="247">
        <f>SUMIF('UC MINI 2026'!$D$5:$D$61,'UC MINI 2026 (Grp. Propieta'!$B25,'UC MINI 2026'!$N$5:$N$61)</f>
        <v>14</v>
      </c>
      <c r="M25" s="189">
        <f>SUMIF('UC MINI 2026'!$D$5:$D$61,'UC MINI 2026 (Grp. Propieta'!$B25,'UC MINI 2026'!$O$5:$O$61)</f>
        <v>13</v>
      </c>
      <c r="N25" s="247">
        <f>SUMIF('UC MINI 2026'!$D$5:$D$61,'UC MINI 2026 (Grp. Propieta'!$B25,'UC MINI 2026'!$P$5:$P$61)</f>
        <v>15</v>
      </c>
      <c r="O25" s="189">
        <f>SUMIF('UC MINI 2026'!$D$5:$D$61,'UC MINI 2026 (Grp. Propieta'!$B25,'UC MINI 2026'!$Q$5:$Q$61)</f>
        <v>14</v>
      </c>
      <c r="P25" s="247">
        <f>SUMIF('UC MINI 2026'!$D$5:$D$61,'UC MINI 2026 (Grp. Propieta'!$B25,'UC MINI 2026'!$R$5:$R$61)</f>
        <v>8</v>
      </c>
      <c r="Q25" s="189">
        <f>SUMIF('UC MINI 2026'!$D$5:$D$61,$B25,'UC MINI 2026'!$S$5:$S$61)</f>
        <v>0</v>
      </c>
      <c r="R25" s="247">
        <f>SUMIF('UC MINI 2026'!$D$5:$D$61,$B25,'UC MINI 2026'!T$5:T$61)</f>
        <v>4</v>
      </c>
      <c r="S25" s="189">
        <f>SUMIF('UC MINI 2026'!$D$5:$D$61,$B25,'UC MINI 2026'!$U$5:$U$61)</f>
        <v>0</v>
      </c>
      <c r="T25" s="247">
        <f>SUMIF('UC MINI 2026'!$D$5:$D$61,$B25,'UC MINI 2026'!V$5:V$61)</f>
        <v>8</v>
      </c>
      <c r="U25" s="189">
        <f>SUMIF('UC MINI 2026'!$D$5:$D$61,$B25,'UC MINI 2026'!$W$5:$W$61)</f>
        <v>0</v>
      </c>
      <c r="V25" s="247">
        <f>SUMIF('UC MINI 2026'!$D$5:$D$61,$B25,'UC MINI 2026'!X$5:X$61)</f>
        <v>7</v>
      </c>
      <c r="W25" s="189">
        <f>SUMIF('UC MINI 2026'!$D$5:$D$61,$B25,'UC MINI 2026'!$Y$5:$Y$61)</f>
        <v>0</v>
      </c>
      <c r="X25" s="247">
        <f>SUMIF('UC MINI 2026'!$D$5:$D$61,$B25,'UC MINI 2026'!Z$5:Z$61)</f>
        <v>7</v>
      </c>
      <c r="Y25" s="189">
        <f>SUMIF('UC MINI 2026'!$D$5:$D$61,$B25,'UC MINI 2026'!$AA$5:$AA$61)</f>
        <v>0</v>
      </c>
      <c r="Z25" s="247">
        <f>SUMIF('UC MINI 2026'!$D$5:$D$61,$B25,'UC MINI 2026'!AB$5:AB$61)</f>
        <v>6</v>
      </c>
      <c r="AA25" s="189">
        <f>SUMIF('UC MINI 2026'!$D$5:$D$61,$B25,'UC MINI 2026'!$AC$5:$AC$61)</f>
        <v>0</v>
      </c>
      <c r="AB25" s="249">
        <f t="shared" si="7"/>
        <v>80</v>
      </c>
      <c r="AC25" s="86">
        <f t="shared" si="7"/>
        <v>81</v>
      </c>
      <c r="AD25" s="243">
        <f t="shared" si="4"/>
        <v>1.0125</v>
      </c>
      <c r="AE25" s="249">
        <f t="shared" si="0"/>
        <v>120</v>
      </c>
      <c r="AF25" s="86">
        <f t="shared" si="8"/>
        <v>81</v>
      </c>
      <c r="AG25" s="56">
        <f t="shared" si="1"/>
        <v>0.67500000000000004</v>
      </c>
      <c r="AH25" s="249">
        <f t="shared" si="9"/>
        <v>20</v>
      </c>
      <c r="AI25" s="86">
        <f t="shared" si="9"/>
        <v>0</v>
      </c>
      <c r="AJ25" s="56">
        <f t="shared" si="2"/>
        <v>0</v>
      </c>
      <c r="AK25" s="249">
        <f t="shared" si="5"/>
        <v>80</v>
      </c>
      <c r="AL25" s="86">
        <f t="shared" si="6"/>
        <v>81</v>
      </c>
      <c r="AM25" s="56">
        <f t="shared" si="3"/>
        <v>1.0125</v>
      </c>
    </row>
    <row r="26" spans="1:39" s="53" customFormat="1" ht="16" customHeight="1" x14ac:dyDescent="0.3">
      <c r="A26" s="50"/>
      <c r="B26" s="51">
        <v>41672</v>
      </c>
      <c r="C26" s="385" t="s">
        <v>77</v>
      </c>
      <c r="D26" s="247">
        <f>SUMIF('UC MINI 2026'!$D$5:$D$61,'UC MINI 2026 (Grp. Propieta'!$B26,'UC MINI 2026'!$F$5:$F$61)</f>
        <v>2</v>
      </c>
      <c r="E26" s="189">
        <f>SUMIF('UC MINI 2026'!$D$5:$D$61,'UC MINI 2026 (Grp. Propieta'!$B26,'UC MINI 2026'!$G$5:$G$61)</f>
        <v>1</v>
      </c>
      <c r="F26" s="247">
        <f>SUMIF('UC MINI 2026'!$D$5:$D$61,'UC MINI 2026 (Grp. Propieta'!$B26,'UC MINI 2026'!$H$5:$H$61)</f>
        <v>2</v>
      </c>
      <c r="G26" s="189">
        <f>SUMIF('UC MINI 2026'!$D$5:$D$61,'UC MINI 2026 (Grp. Propieta'!$B26,'UC MINI 2026'!$I$5:$I$61)</f>
        <v>1</v>
      </c>
      <c r="H26" s="247">
        <f>SUMIF('UC MINI 2026'!$D$5:$D$61,'UC MINI 2026 (Grp. Propieta'!$B26,'UC MINI 2026'!$J$5:$J$61)</f>
        <v>2</v>
      </c>
      <c r="I26" s="189">
        <f>SUMIF('UC MINI 2026'!$D$5:$D$61,'UC MINI 2026 (Grp. Propieta'!$B26,'UC MINI 2026'!$K$5:$K$61)</f>
        <v>4</v>
      </c>
      <c r="J26" s="247">
        <f>SUMIF('UC MINI 2026'!$D$5:$D$61,'UC MINI 2026 (Grp. Propieta'!$B26,'UC MINI 2026'!$L$5:$L$61)</f>
        <v>2</v>
      </c>
      <c r="K26" s="189">
        <f>SUMIF('UC MINI 2026'!$D$5:$D$61,'UC MINI 2026 (Grp. Propieta'!$B26,'UC MINI 2026'!$M$5:$M$61)</f>
        <v>1</v>
      </c>
      <c r="L26" s="247">
        <f>SUMIF('UC MINI 2026'!$D$5:$D$61,'UC MINI 2026 (Grp. Propieta'!$B26,'UC MINI 2026'!$N$5:$N$61)</f>
        <v>2</v>
      </c>
      <c r="M26" s="189">
        <f>SUMIF('UC MINI 2026'!$D$5:$D$61,'UC MINI 2026 (Grp. Propieta'!$B26,'UC MINI 2026'!$O$5:$O$61)</f>
        <v>1</v>
      </c>
      <c r="N26" s="247">
        <f>SUMIF('UC MINI 2026'!$D$5:$D$61,'UC MINI 2026 (Grp. Propieta'!$B26,'UC MINI 2026'!$P$5:$P$61)</f>
        <v>3</v>
      </c>
      <c r="O26" s="189">
        <f>SUMIF('UC MINI 2026'!$D$5:$D$61,'UC MINI 2026 (Grp. Propieta'!$B26,'UC MINI 2026'!$Q$5:$Q$61)</f>
        <v>1</v>
      </c>
      <c r="P26" s="247">
        <f>SUMIF('UC MINI 2026'!$D$5:$D$61,'UC MINI 2026 (Grp. Propieta'!$B26,'UC MINI 2026'!$R$5:$R$61)</f>
        <v>0</v>
      </c>
      <c r="Q26" s="189">
        <f>SUMIF('UC MINI 2026'!$D$5:$D$61,$B26,'UC MINI 2026'!$S$5:$S$61)</f>
        <v>0</v>
      </c>
      <c r="R26" s="247">
        <f>SUMIF('UC MINI 2026'!$D$5:$D$61,$B26,'UC MINI 2026'!T$5:T$61)</f>
        <v>0</v>
      </c>
      <c r="S26" s="189">
        <f>SUMIF('UC MINI 2026'!$D$5:$D$61,$B26,'UC MINI 2026'!$U$5:$U$61)</f>
        <v>0</v>
      </c>
      <c r="T26" s="247">
        <f>SUMIF('UC MINI 2026'!$D$5:$D$61,$B26,'UC MINI 2026'!V$5:V$61)</f>
        <v>0</v>
      </c>
      <c r="U26" s="189">
        <f>SUMIF('UC MINI 2026'!$D$5:$D$61,$B26,'UC MINI 2026'!$W$5:$W$61)</f>
        <v>0</v>
      </c>
      <c r="V26" s="247">
        <f>SUMIF('UC MINI 2026'!$D$5:$D$61,$B26,'UC MINI 2026'!X$5:X$61)</f>
        <v>0</v>
      </c>
      <c r="W26" s="189">
        <f>SUMIF('UC MINI 2026'!$D$5:$D$61,$B26,'UC MINI 2026'!$Y$5:$Y$61)</f>
        <v>0</v>
      </c>
      <c r="X26" s="247">
        <f>SUMIF('UC MINI 2026'!$D$5:$D$61,$B26,'UC MINI 2026'!Z$5:Z$61)</f>
        <v>0</v>
      </c>
      <c r="Y26" s="189">
        <f>SUMIF('UC MINI 2026'!$D$5:$D$61,$B26,'UC MINI 2026'!$AA$5:$AA$61)</f>
        <v>0</v>
      </c>
      <c r="Z26" s="247">
        <f>SUMIF('UC MINI 2026'!$D$5:$D$61,$B26,'UC MINI 2026'!AB$5:AB$61)</f>
        <v>0</v>
      </c>
      <c r="AA26" s="189">
        <f>SUMIF('UC MINI 2026'!$D$5:$D$61,$B26,'UC MINI 2026'!$AC$5:$AC$61)</f>
        <v>0</v>
      </c>
      <c r="AB26" s="249">
        <f t="shared" si="7"/>
        <v>13</v>
      </c>
      <c r="AC26" s="86">
        <f t="shared" si="7"/>
        <v>9</v>
      </c>
      <c r="AD26" s="243">
        <f t="shared" si="4"/>
        <v>0.69230769230769229</v>
      </c>
      <c r="AE26" s="249">
        <f t="shared" si="0"/>
        <v>13</v>
      </c>
      <c r="AF26" s="86">
        <f t="shared" si="8"/>
        <v>9</v>
      </c>
      <c r="AG26" s="56">
        <f t="shared" si="1"/>
        <v>0.69230769230769229</v>
      </c>
      <c r="AH26" s="249">
        <f t="shared" si="9"/>
        <v>0</v>
      </c>
      <c r="AI26" s="86">
        <f t="shared" si="9"/>
        <v>0</v>
      </c>
      <c r="AJ26" s="56">
        <f t="shared" si="2"/>
        <v>0</v>
      </c>
      <c r="AK26" s="249">
        <f t="shared" si="5"/>
        <v>13</v>
      </c>
      <c r="AL26" s="86">
        <f t="shared" si="6"/>
        <v>9</v>
      </c>
      <c r="AM26" s="56">
        <f t="shared" si="3"/>
        <v>0.69230769230769229</v>
      </c>
    </row>
    <row r="27" spans="1:39" s="53" customFormat="1" ht="16" customHeight="1" x14ac:dyDescent="0.3">
      <c r="A27" s="50"/>
      <c r="B27" s="51">
        <v>52622</v>
      </c>
      <c r="C27" s="385" t="s">
        <v>164</v>
      </c>
      <c r="D27" s="247">
        <f>SUMIF('UC MINI 2026'!$D$5:$D$61,'UC MINI 2026 (Grp. Propieta'!$B27,'UC MINI 2026'!$F$5:$F$61)</f>
        <v>4</v>
      </c>
      <c r="E27" s="189">
        <f>SUMIF('UC MINI 2026'!$D$5:$D$61,'UC MINI 2026 (Grp. Propieta'!$B27,'UC MINI 2026'!$G$5:$G$61)</f>
        <v>3</v>
      </c>
      <c r="F27" s="247">
        <f>SUMIF('UC MINI 2026'!$D$5:$D$61,'UC MINI 2026 (Grp. Propieta'!$B27,'UC MINI 2026'!$H$5:$H$61)</f>
        <v>4</v>
      </c>
      <c r="G27" s="189">
        <f>SUMIF('UC MINI 2026'!$D$5:$D$61,'UC MINI 2026 (Grp. Propieta'!$B27,'UC MINI 2026'!$I$5:$I$61)</f>
        <v>8</v>
      </c>
      <c r="H27" s="247">
        <f>SUMIF('UC MINI 2026'!$D$5:$D$61,'UC MINI 2026 (Grp. Propieta'!$B27,'UC MINI 2026'!$J$5:$J$61)</f>
        <v>4</v>
      </c>
      <c r="I27" s="189">
        <f>SUMIF('UC MINI 2026'!$D$5:$D$61,'UC MINI 2026 (Grp. Propieta'!$B27,'UC MINI 2026'!$K$5:$K$61)</f>
        <v>5</v>
      </c>
      <c r="J27" s="247">
        <f>SUMIF('UC MINI 2026'!$D$5:$D$61,'UC MINI 2026 (Grp. Propieta'!$B27,'UC MINI 2026'!$L$5:$L$61)</f>
        <v>4</v>
      </c>
      <c r="K27" s="189">
        <f>SUMIF('UC MINI 2026'!$D$5:$D$61,'UC MINI 2026 (Grp. Propieta'!$B27,'UC MINI 2026'!$M$5:$M$61)</f>
        <v>10</v>
      </c>
      <c r="L27" s="247">
        <f>SUMIF('UC MINI 2026'!$D$5:$D$61,'UC MINI 2026 (Grp. Propieta'!$B27,'UC MINI 2026'!$N$5:$N$61)</f>
        <v>4</v>
      </c>
      <c r="M27" s="189">
        <f>SUMIF('UC MINI 2026'!$D$5:$D$61,'UC MINI 2026 (Grp. Propieta'!$B27,'UC MINI 2026'!$O$5:$O$61)</f>
        <v>4</v>
      </c>
      <c r="N27" s="247">
        <f>SUMIF('UC MINI 2026'!$D$5:$D$61,'UC MINI 2026 (Grp. Propieta'!$B27,'UC MINI 2026'!$P$5:$P$61)</f>
        <v>5</v>
      </c>
      <c r="O27" s="189">
        <f>SUMIF('UC MINI 2026'!$D$5:$D$61,'UC MINI 2026 (Grp. Propieta'!$B27,'UC MINI 2026'!$Q$5:$Q$61)</f>
        <v>9</v>
      </c>
      <c r="P27" s="247">
        <f>SUMIF('UC MINI 2026'!$D$5:$D$61,'UC MINI 2026 (Grp. Propieta'!$B27,'UC MINI 2026'!$R$5:$R$61)</f>
        <v>0</v>
      </c>
      <c r="Q27" s="189">
        <f>SUMIF('UC MINI 2026'!$D$5:$D$61,$B27,'UC MINI 2026'!$S$5:$S$61)</f>
        <v>0</v>
      </c>
      <c r="R27" s="247">
        <f>SUMIF('UC MINI 2026'!$D$5:$D$61,$B27,'UC MINI 2026'!T$5:T$61)</f>
        <v>0</v>
      </c>
      <c r="S27" s="189">
        <f>SUMIF('UC MINI 2026'!$D$5:$D$61,$B27,'UC MINI 2026'!$U$5:$U$61)</f>
        <v>0</v>
      </c>
      <c r="T27" s="247">
        <f>SUMIF('UC MINI 2026'!$D$5:$D$61,$B27,'UC MINI 2026'!V$5:V$61)</f>
        <v>0</v>
      </c>
      <c r="U27" s="189">
        <f>SUMIF('UC MINI 2026'!$D$5:$D$61,$B27,'UC MINI 2026'!$W$5:$W$61)</f>
        <v>0</v>
      </c>
      <c r="V27" s="247">
        <f>SUMIF('UC MINI 2026'!$D$5:$D$61,$B27,'UC MINI 2026'!X$5:X$61)</f>
        <v>0</v>
      </c>
      <c r="W27" s="189">
        <f>SUMIF('UC MINI 2026'!$D$5:$D$61,$B27,'UC MINI 2026'!$Y$5:$Y$61)</f>
        <v>0</v>
      </c>
      <c r="X27" s="247">
        <f>SUMIF('UC MINI 2026'!$D$5:$D$61,$B27,'UC MINI 2026'!Z$5:Z$61)</f>
        <v>0</v>
      </c>
      <c r="Y27" s="189">
        <f>SUMIF('UC MINI 2026'!$D$5:$D$61,$B27,'UC MINI 2026'!$AA$5:$AA$61)</f>
        <v>0</v>
      </c>
      <c r="Z27" s="247">
        <f>SUMIF('UC MINI 2026'!$D$5:$D$61,$B27,'UC MINI 2026'!AB$5:AB$61)</f>
        <v>0</v>
      </c>
      <c r="AA27" s="189">
        <f>SUMIF('UC MINI 2026'!$D$5:$D$61,$B27,'UC MINI 2026'!$AC$5:$AC$61)</f>
        <v>0</v>
      </c>
      <c r="AB27" s="249">
        <f t="shared" si="7"/>
        <v>25</v>
      </c>
      <c r="AC27" s="86">
        <f t="shared" si="7"/>
        <v>39</v>
      </c>
      <c r="AD27" s="243">
        <f t="shared" si="4"/>
        <v>1.56</v>
      </c>
      <c r="AE27" s="249">
        <f t="shared" si="0"/>
        <v>25</v>
      </c>
      <c r="AF27" s="86">
        <f t="shared" si="8"/>
        <v>39</v>
      </c>
      <c r="AG27" s="56">
        <f t="shared" si="1"/>
        <v>1.56</v>
      </c>
      <c r="AH27" s="249">
        <f t="shared" si="9"/>
        <v>0</v>
      </c>
      <c r="AI27" s="86">
        <f t="shared" si="9"/>
        <v>0</v>
      </c>
      <c r="AJ27" s="56">
        <f t="shared" si="2"/>
        <v>0</v>
      </c>
      <c r="AK27" s="249">
        <f t="shared" si="5"/>
        <v>25</v>
      </c>
      <c r="AL27" s="86">
        <f t="shared" si="6"/>
        <v>39</v>
      </c>
      <c r="AM27" s="56">
        <f t="shared" si="3"/>
        <v>1.56</v>
      </c>
    </row>
    <row r="28" spans="1:39" s="53" customFormat="1" ht="16" customHeight="1" x14ac:dyDescent="0.3">
      <c r="A28" s="50"/>
      <c r="B28" s="51">
        <v>9144</v>
      </c>
      <c r="C28" s="385" t="s">
        <v>203</v>
      </c>
      <c r="D28" s="247">
        <f>SUMIF('UC MINI 2026'!$D$5:$D$61,'UC MINI 2026 (Grp. Propieta'!$B28,'UC MINI 2026'!$F$5:$F$61)</f>
        <v>19</v>
      </c>
      <c r="E28" s="189">
        <f>SUMIF('UC MINI 2026'!$D$5:$D$61,'UC MINI 2026 (Grp. Propieta'!$B28,'UC MINI 2026'!$G$5:$G$61)</f>
        <v>18</v>
      </c>
      <c r="F28" s="247">
        <f>SUMIF('UC MINI 2026'!$D$5:$D$61,'UC MINI 2026 (Grp. Propieta'!$B28,'UC MINI 2026'!$H$5:$H$61)</f>
        <v>20</v>
      </c>
      <c r="G28" s="189">
        <f>SUMIF('UC MINI 2026'!$D$5:$D$61,'UC MINI 2026 (Grp. Propieta'!$B28,'UC MINI 2026'!$I$5:$I$61)</f>
        <v>21</v>
      </c>
      <c r="H28" s="247">
        <f>SUMIF('UC MINI 2026'!$D$5:$D$61,'UC MINI 2026 (Grp. Propieta'!$B28,'UC MINI 2026'!$J$5:$J$61)</f>
        <v>20</v>
      </c>
      <c r="I28" s="189">
        <f>SUMIF('UC MINI 2026'!$D$5:$D$61,'UC MINI 2026 (Grp. Propieta'!$B28,'UC MINI 2026'!$K$5:$K$61)</f>
        <v>19</v>
      </c>
      <c r="J28" s="247">
        <f>SUMIF('UC MINI 2026'!$D$5:$D$61,'UC MINI 2026 (Grp. Propieta'!$B28,'UC MINI 2026'!$L$5:$L$61)</f>
        <v>22</v>
      </c>
      <c r="K28" s="189">
        <f>SUMIF('UC MINI 2026'!$D$5:$D$61,'UC MINI 2026 (Grp. Propieta'!$B28,'UC MINI 2026'!$M$5:$M$61)</f>
        <v>13</v>
      </c>
      <c r="L28" s="247">
        <f>SUMIF('UC MINI 2026'!$D$5:$D$61,'UC MINI 2026 (Grp. Propieta'!$B28,'UC MINI 2026'!$N$5:$N$61)</f>
        <v>22</v>
      </c>
      <c r="M28" s="189">
        <f>SUMIF('UC MINI 2026'!$D$5:$D$61,'UC MINI 2026 (Grp. Propieta'!$B28,'UC MINI 2026'!$O$5:$O$61)</f>
        <v>29</v>
      </c>
      <c r="N28" s="247">
        <f>SUMIF('UC MINI 2026'!$D$5:$D$61,'UC MINI 2026 (Grp. Propieta'!$B28,'UC MINI 2026'!$P$5:$P$61)</f>
        <v>22</v>
      </c>
      <c r="O28" s="189">
        <f>SUMIF('UC MINI 2026'!$D$5:$D$61,'UC MINI 2026 (Grp. Propieta'!$B28,'UC MINI 2026'!$Q$5:$Q$61)</f>
        <v>28</v>
      </c>
      <c r="P28" s="247">
        <f>SUMIF('UC MINI 2026'!$D$5:$D$61,'UC MINI 2026 (Grp. Propieta'!$B28,'UC MINI 2026'!$R$5:$R$61)</f>
        <v>0</v>
      </c>
      <c r="Q28" s="189">
        <f>SUMIF('UC MINI 2026'!$D$5:$D$61,$B28,'UC MINI 2026'!$S$5:$S$61)</f>
        <v>0</v>
      </c>
      <c r="R28" s="247">
        <f>SUMIF('UC MINI 2026'!$D$5:$D$61,$B28,'UC MINI 2026'!T$5:T$61)</f>
        <v>0</v>
      </c>
      <c r="S28" s="189">
        <f>SUMIF('UC MINI 2026'!$D$5:$D$61,$B28,'UC MINI 2026'!$U$5:$U$61)</f>
        <v>0</v>
      </c>
      <c r="T28" s="247">
        <f>SUMIF('UC MINI 2026'!$D$5:$D$61,$B28,'UC MINI 2026'!V$5:V$61)</f>
        <v>0</v>
      </c>
      <c r="U28" s="189">
        <f>SUMIF('UC MINI 2026'!$D$5:$D$61,$B28,'UC MINI 2026'!$W$5:$W$61)</f>
        <v>0</v>
      </c>
      <c r="V28" s="247">
        <f>SUMIF('UC MINI 2026'!$D$5:$D$61,$B28,'UC MINI 2026'!X$5:X$61)</f>
        <v>0</v>
      </c>
      <c r="W28" s="189">
        <f>SUMIF('UC MINI 2026'!$D$5:$D$61,$B28,'UC MINI 2026'!$Y$5:$Y$61)</f>
        <v>0</v>
      </c>
      <c r="X28" s="247">
        <f>SUMIF('UC MINI 2026'!$D$5:$D$61,$B28,'UC MINI 2026'!Z$5:Z$61)</f>
        <v>0</v>
      </c>
      <c r="Y28" s="189">
        <f>SUMIF('UC MINI 2026'!$D$5:$D$61,$B28,'UC MINI 2026'!$AA$5:$AA$61)</f>
        <v>0</v>
      </c>
      <c r="Z28" s="247">
        <f>SUMIF('UC MINI 2026'!$D$5:$D$61,$B28,'UC MINI 2026'!AB$5:AB$61)</f>
        <v>0</v>
      </c>
      <c r="AA28" s="189">
        <f>SUMIF('UC MINI 2026'!$D$5:$D$61,$B28,'UC MINI 2026'!$AC$5:$AC$61)</f>
        <v>0</v>
      </c>
      <c r="AB28" s="249">
        <f t="shared" si="7"/>
        <v>125</v>
      </c>
      <c r="AC28" s="86">
        <f t="shared" si="7"/>
        <v>128</v>
      </c>
      <c r="AD28" s="243">
        <f t="shared" si="4"/>
        <v>1.024</v>
      </c>
      <c r="AE28" s="249">
        <f t="shared" si="0"/>
        <v>125</v>
      </c>
      <c r="AF28" s="86">
        <f t="shared" si="8"/>
        <v>128</v>
      </c>
      <c r="AG28" s="56">
        <f t="shared" si="1"/>
        <v>1.024</v>
      </c>
      <c r="AH28" s="249">
        <f t="shared" si="9"/>
        <v>0</v>
      </c>
      <c r="AI28" s="86">
        <f t="shared" si="9"/>
        <v>0</v>
      </c>
      <c r="AJ28" s="56">
        <f t="shared" si="2"/>
        <v>0</v>
      </c>
      <c r="AK28" s="249">
        <f t="shared" si="5"/>
        <v>125</v>
      </c>
      <c r="AL28" s="86">
        <f t="shared" si="6"/>
        <v>128</v>
      </c>
      <c r="AM28" s="56">
        <f t="shared" si="3"/>
        <v>1.024</v>
      </c>
    </row>
    <row r="29" spans="1:39" s="53" customFormat="1" ht="16" customHeight="1" x14ac:dyDescent="0.3">
      <c r="A29" s="50">
        <v>31</v>
      </c>
      <c r="B29" s="51">
        <v>34945</v>
      </c>
      <c r="C29" s="385" t="s">
        <v>98</v>
      </c>
      <c r="D29" s="247">
        <f>SUMIF('UC MINI 2026'!$D$5:$D$61,'UC MINI 2026 (Grp. Propieta'!$B29,'UC MINI 2026'!$F$5:$F$61)</f>
        <v>17</v>
      </c>
      <c r="E29" s="189">
        <f>SUMIF('UC MINI 2026'!$D$5:$D$61,'UC MINI 2026 (Grp. Propieta'!$B29,'UC MINI 2026'!$G$5:$G$61)</f>
        <v>16</v>
      </c>
      <c r="F29" s="247">
        <f>SUMIF('UC MINI 2026'!$D$5:$D$61,'UC MINI 2026 (Grp. Propieta'!$B29,'UC MINI 2026'!$H$5:$H$61)</f>
        <v>17</v>
      </c>
      <c r="G29" s="189">
        <f>SUMIF('UC MINI 2026'!$D$5:$D$61,'UC MINI 2026 (Grp. Propieta'!$B29,'UC MINI 2026'!$I$5:$I$61)</f>
        <v>20</v>
      </c>
      <c r="H29" s="247">
        <f>SUMIF('UC MINI 2026'!$D$5:$D$61,'UC MINI 2026 (Grp. Propieta'!$B29,'UC MINI 2026'!$J$5:$J$61)</f>
        <v>18</v>
      </c>
      <c r="I29" s="189">
        <f>SUMIF('UC MINI 2026'!$D$5:$D$61,'UC MINI 2026 (Grp. Propieta'!$B29,'UC MINI 2026'!$K$5:$K$61)</f>
        <v>25</v>
      </c>
      <c r="J29" s="247">
        <f>SUMIF('UC MINI 2026'!$D$5:$D$61,'UC MINI 2026 (Grp. Propieta'!$B29,'UC MINI 2026'!$L$5:$L$61)</f>
        <v>17</v>
      </c>
      <c r="K29" s="189">
        <f>SUMIF('UC MINI 2026'!$D$5:$D$61,'UC MINI 2026 (Grp. Propieta'!$B29,'UC MINI 2026'!$M$5:$M$61)</f>
        <v>29</v>
      </c>
      <c r="L29" s="247">
        <f>SUMIF('UC MINI 2026'!$D$5:$D$61,'UC MINI 2026 (Grp. Propieta'!$B29,'UC MINI 2026'!$N$5:$N$61)</f>
        <v>17</v>
      </c>
      <c r="M29" s="189">
        <f>SUMIF('UC MINI 2026'!$D$5:$D$61,'UC MINI 2026 (Grp. Propieta'!$B29,'UC MINI 2026'!$O$5:$O$61)</f>
        <v>28</v>
      </c>
      <c r="N29" s="247">
        <f>SUMIF('UC MINI 2026'!$D$5:$D$61,'UC MINI 2026 (Grp. Propieta'!$B29,'UC MINI 2026'!$P$5:$P$61)</f>
        <v>19</v>
      </c>
      <c r="O29" s="189">
        <f>SUMIF('UC MINI 2026'!$D$5:$D$61,'UC MINI 2026 (Grp. Propieta'!$B29,'UC MINI 2026'!$Q$5:$Q$61)</f>
        <v>29</v>
      </c>
      <c r="P29" s="247">
        <f>SUMIF('UC MINI 2026'!$D$5:$D$61,'UC MINI 2026 (Grp. Propieta'!$B29,'UC MINI 2026'!$R$5:$R$61)</f>
        <v>0</v>
      </c>
      <c r="Q29" s="189">
        <f>SUMIF('UC MINI 2026'!$D$5:$D$61,$B29,'UC MINI 2026'!$S$5:$S$61)</f>
        <v>0</v>
      </c>
      <c r="R29" s="247">
        <f>SUMIF('UC MINI 2026'!$D$5:$D$61,$B29,'UC MINI 2026'!T$5:T$61)</f>
        <v>0</v>
      </c>
      <c r="S29" s="189">
        <f>SUMIF('UC MINI 2026'!$D$5:$D$61,$B29,'UC MINI 2026'!$U$5:$U$61)</f>
        <v>0</v>
      </c>
      <c r="T29" s="247">
        <f>SUMIF('UC MINI 2026'!$D$5:$D$61,$B29,'UC MINI 2026'!V$5:V$61)</f>
        <v>0</v>
      </c>
      <c r="U29" s="189">
        <f>SUMIF('UC MINI 2026'!$D$5:$D$61,$B29,'UC MINI 2026'!$W$5:$W$61)</f>
        <v>0</v>
      </c>
      <c r="V29" s="247">
        <f>SUMIF('UC MINI 2026'!$D$5:$D$61,$B29,'UC MINI 2026'!X$5:X$61)</f>
        <v>0</v>
      </c>
      <c r="W29" s="189">
        <f>SUMIF('UC MINI 2026'!$D$5:$D$61,$B29,'UC MINI 2026'!$Y$5:$Y$61)</f>
        <v>0</v>
      </c>
      <c r="X29" s="247">
        <f>SUMIF('UC MINI 2026'!$D$5:$D$61,$B29,'UC MINI 2026'!Z$5:Z$61)</f>
        <v>0</v>
      </c>
      <c r="Y29" s="189">
        <f>SUMIF('UC MINI 2026'!$D$5:$D$61,$B29,'UC MINI 2026'!$AA$5:$AA$61)</f>
        <v>0</v>
      </c>
      <c r="Z29" s="247">
        <f>SUMIF('UC MINI 2026'!$D$5:$D$61,$B29,'UC MINI 2026'!AB$5:AB$61)</f>
        <v>0</v>
      </c>
      <c r="AA29" s="189">
        <f>SUMIF('UC MINI 2026'!$D$5:$D$61,$B29,'UC MINI 2026'!$AC$5:$AC$61)</f>
        <v>0</v>
      </c>
      <c r="AB29" s="249">
        <f t="shared" si="7"/>
        <v>105</v>
      </c>
      <c r="AC29" s="86">
        <f t="shared" si="7"/>
        <v>147</v>
      </c>
      <c r="AD29" s="243">
        <f t="shared" si="4"/>
        <v>1.4</v>
      </c>
      <c r="AE29" s="249">
        <f t="shared" si="0"/>
        <v>105</v>
      </c>
      <c r="AF29" s="86">
        <f t="shared" si="8"/>
        <v>147</v>
      </c>
      <c r="AG29" s="56">
        <f t="shared" si="1"/>
        <v>1.4</v>
      </c>
      <c r="AH29" s="249">
        <f t="shared" si="9"/>
        <v>0</v>
      </c>
      <c r="AI29" s="86">
        <f t="shared" si="9"/>
        <v>0</v>
      </c>
      <c r="AJ29" s="56">
        <f t="shared" si="2"/>
        <v>0</v>
      </c>
      <c r="AK29" s="249">
        <f t="shared" si="5"/>
        <v>105</v>
      </c>
      <c r="AL29" s="86">
        <f>IF($AK$3="S 1",E29+G29+I29+K29+M29+O29,IF($AK$3="S 2",Q29+S29+U29+W29+Y29+AA29,0))</f>
        <v>147</v>
      </c>
      <c r="AM29" s="56">
        <f t="shared" si="3"/>
        <v>1.4</v>
      </c>
    </row>
    <row r="30" spans="1:39" s="53" customFormat="1" ht="16" customHeight="1" x14ac:dyDescent="0.3">
      <c r="A30" s="50"/>
      <c r="B30" s="193">
        <v>51827</v>
      </c>
      <c r="C30" s="385" t="s">
        <v>157</v>
      </c>
      <c r="D30" s="247">
        <f>SUMIF('UC MINI 2026'!$D$5:$D$61,'UC MINI 2026 (Grp. Propieta'!$B30,'UC MINI 2026'!$F$5:$F$61)</f>
        <v>12</v>
      </c>
      <c r="E30" s="189">
        <f>SUMIF('UC MINI 2026'!$D$5:$D$61,'UC MINI 2026 (Grp. Propieta'!$B30,'UC MINI 2026'!$G$5:$G$61)</f>
        <v>15</v>
      </c>
      <c r="F30" s="247">
        <f>SUMIF('UC MINI 2026'!$D$5:$D$61,'UC MINI 2026 (Grp. Propieta'!$B30,'UC MINI 2026'!$H$5:$H$61)</f>
        <v>12</v>
      </c>
      <c r="G30" s="189">
        <f>SUMIF('UC MINI 2026'!$D$5:$D$61,'UC MINI 2026 (Grp. Propieta'!$B30,'UC MINI 2026'!$I$5:$I$61)</f>
        <v>16</v>
      </c>
      <c r="H30" s="247">
        <f>SUMIF('UC MINI 2026'!$D$5:$D$61,'UC MINI 2026 (Grp. Propieta'!$B30,'UC MINI 2026'!$J$5:$J$61)</f>
        <v>13</v>
      </c>
      <c r="I30" s="189">
        <f>SUMIF('UC MINI 2026'!$D$5:$D$61,'UC MINI 2026 (Grp. Propieta'!$B30,'UC MINI 2026'!$K$5:$K$61)</f>
        <v>14</v>
      </c>
      <c r="J30" s="247">
        <f>SUMIF('UC MINI 2026'!$D$5:$D$61,'UC MINI 2026 (Grp. Propieta'!$B30,'UC MINI 2026'!$L$5:$L$61)</f>
        <v>12</v>
      </c>
      <c r="K30" s="189">
        <f>SUMIF('UC MINI 2026'!$D$5:$D$61,'UC MINI 2026 (Grp. Propieta'!$B30,'UC MINI 2026'!$M$5:$M$61)</f>
        <v>17</v>
      </c>
      <c r="L30" s="247">
        <f>SUMIF('UC MINI 2026'!$D$5:$D$61,'UC MINI 2026 (Grp. Propieta'!$B30,'UC MINI 2026'!$N$5:$N$61)</f>
        <v>13</v>
      </c>
      <c r="M30" s="189">
        <f>SUMIF('UC MINI 2026'!$D$5:$D$61,'UC MINI 2026 (Grp. Propieta'!$B30,'UC MINI 2026'!$O$5:$O$61)</f>
        <v>22</v>
      </c>
      <c r="N30" s="247">
        <f>SUMIF('UC MINI 2026'!$D$5:$D$61,'UC MINI 2026 (Grp. Propieta'!$B30,'UC MINI 2026'!$P$5:$P$61)</f>
        <v>13</v>
      </c>
      <c r="O30" s="189">
        <f>SUMIF('UC MINI 2026'!$D$5:$D$61,'UC MINI 2026 (Grp. Propieta'!$B30,'UC MINI 2026'!$Q$5:$Q$61)</f>
        <v>23</v>
      </c>
      <c r="P30" s="247">
        <f>SUMIF('UC MINI 2026'!$D$5:$D$61,'UC MINI 2026 (Grp. Propieta'!$B30,'UC MINI 2026'!$R$5:$R$61)</f>
        <v>0</v>
      </c>
      <c r="Q30" s="189">
        <f>SUMIF('UC MINI 2026'!$D$5:$D$61,$B30,'UC MINI 2026'!$S$5:$S$61)</f>
        <v>0</v>
      </c>
      <c r="R30" s="247">
        <f>SUMIF('UC MINI 2026'!$D$5:$D$61,$B30,'UC MINI 2026'!T$5:T$61)</f>
        <v>0</v>
      </c>
      <c r="S30" s="189">
        <f>SUMIF('UC MINI 2026'!$D$5:$D$61,$B30,'UC MINI 2026'!$U$5:$U$61)</f>
        <v>0</v>
      </c>
      <c r="T30" s="247">
        <f>SUMIF('UC MINI 2026'!$D$5:$D$61,$B30,'UC MINI 2026'!V$5:V$61)</f>
        <v>0</v>
      </c>
      <c r="U30" s="189">
        <f>SUMIF('UC MINI 2026'!$D$5:$D$61,$B30,'UC MINI 2026'!$W$5:$W$61)</f>
        <v>0</v>
      </c>
      <c r="V30" s="247">
        <f>SUMIF('UC MINI 2026'!$D$5:$D$61,$B30,'UC MINI 2026'!X$5:X$61)</f>
        <v>0</v>
      </c>
      <c r="W30" s="189">
        <f>SUMIF('UC MINI 2026'!$D$5:$D$61,$B30,'UC MINI 2026'!$Y$5:$Y$61)</f>
        <v>0</v>
      </c>
      <c r="X30" s="247">
        <f>SUMIF('UC MINI 2026'!$D$5:$D$61,$B30,'UC MINI 2026'!Z$5:Z$61)</f>
        <v>0</v>
      </c>
      <c r="Y30" s="189">
        <f>SUMIF('UC MINI 2026'!$D$5:$D$61,$B30,'UC MINI 2026'!$AA$5:$AA$61)</f>
        <v>0</v>
      </c>
      <c r="Z30" s="247">
        <f>SUMIF('UC MINI 2026'!$D$5:$D$61,$B30,'UC MINI 2026'!AB$5:AB$61)</f>
        <v>0</v>
      </c>
      <c r="AA30" s="189">
        <f>SUMIF('UC MINI 2026'!$D$5:$D$61,$B30,'UC MINI 2026'!$AC$5:$AC$61)</f>
        <v>0</v>
      </c>
      <c r="AB30" s="250">
        <f t="shared" ref="AB30:AC32" si="10">IF($AB$2="ENERO",D30,IF($AB$2="FEBRERO",D30+F30,IF($AB$2="MARZO",D30+F30+H30,IF($AB$2="ABRIL",D30+F30+H30+J30,IF($AB$2="MAYO",D30+F30+H30+J30+L30,IF($AB$2="JUNIO",D30+F30+H30+J30+L30+N30,IF($AB$2="JULIO",D30+F30+H30+J30+L30+N30+P30,IF($AB$2="AGOSTO",D30+F30+H30+J30+L30+N30+P30+R30,IF($AB$2="SEPTIEMBRE",D30+F30+H30+J30+L30+N30+P30+R30+T30,IF($AB$2="OCTUBRE",D30+F30+H30+J30+L30+N30+P30+R30+T30+V30,IF($AB$2="NOVIEMBRE",D30+F30+H30+J30+L30+N30+P30+R30+T30+V30+X30,IF($AB$2="DICIEMBRE",D30+F30+H30+J30+L30+N30+P30+R30+T30+V30+X30+Z30,""))))))))))))</f>
        <v>75</v>
      </c>
      <c r="AC30" s="191">
        <f t="shared" si="10"/>
        <v>107</v>
      </c>
      <c r="AD30" s="244">
        <f t="shared" si="4"/>
        <v>1.4266666666666667</v>
      </c>
      <c r="AE30" s="250">
        <f t="shared" si="0"/>
        <v>75</v>
      </c>
      <c r="AF30" s="191">
        <f t="shared" si="8"/>
        <v>107</v>
      </c>
      <c r="AG30" s="192">
        <f t="shared" si="1"/>
        <v>1.4266666666666667</v>
      </c>
      <c r="AH30" s="250">
        <f t="shared" ref="AH30:AI32" si="11">IF($AH$3="Q1",D30+F30+H30,IF($AH$3="Q2",J30+L30++N30,IF($AH$3="Q3",P30+R30+T30,IF($AH$3="Q4",V30+X30+Z30,0))))</f>
        <v>0</v>
      </c>
      <c r="AI30" s="191">
        <f t="shared" si="11"/>
        <v>0</v>
      </c>
      <c r="AJ30" s="192">
        <f t="shared" si="2"/>
        <v>0</v>
      </c>
      <c r="AK30" s="250">
        <f t="shared" si="5"/>
        <v>75</v>
      </c>
      <c r="AL30" s="191">
        <f t="shared" si="6"/>
        <v>107</v>
      </c>
      <c r="AM30" s="192">
        <f t="shared" si="3"/>
        <v>1.4266666666666667</v>
      </c>
    </row>
    <row r="31" spans="1:39" s="53" customFormat="1" ht="16" customHeight="1" thickBot="1" x14ac:dyDescent="0.35">
      <c r="A31" s="50"/>
      <c r="B31" s="193">
        <v>12345</v>
      </c>
      <c r="C31" s="385" t="s">
        <v>278</v>
      </c>
      <c r="D31" s="247">
        <f>SUMIF('UC MINI 2026'!$D$5:$D$63,'UC MINI 2026 (Grp. Propieta'!$B31,'UC MINI 2026'!$F$5:$F$63)</f>
        <v>0</v>
      </c>
      <c r="E31" s="189">
        <f>SUMIF('UC MINI 2026'!$D$5:$D$63,'UC MINI 2026 (Grp. Propieta'!$B31,'UC MINI 2026'!$G$5:$G$63)</f>
        <v>4</v>
      </c>
      <c r="F31" s="247">
        <f>SUMIF('UC MINI 2026'!$D$5:$D$63,'UC MINI 2026 (Grp. Propieta'!$B31,'UC MINI 2026'!$H$5:$H$63)</f>
        <v>0</v>
      </c>
      <c r="G31" s="189">
        <f>SUMIF('UC MINI 2026'!$D$5:$D$63,'UC MINI 2026 (Grp. Propieta'!$B31,'UC MINI 2026'!$I$5:$I$63)</f>
        <v>7</v>
      </c>
      <c r="H31" s="247">
        <f>SUMIF('UC MINI 2026'!$D$5:$D$63,'UC MINI 2026 (Grp. Propieta'!$B31,'UC MINI 2026'!$J$5:$J$63)</f>
        <v>0</v>
      </c>
      <c r="I31" s="189">
        <f>SUMIF('UC MINI 2026'!$D$5:$D$63,'UC MINI 2026 (Grp. Propieta'!$B31,'UC MINI 2026'!$K$5:$K$63)</f>
        <v>2</v>
      </c>
      <c r="J31" s="247">
        <f>SUMIF('UC MINI 2026'!$D$5:$D$63,'UC MINI 2026 (Grp. Propieta'!$B31,'UC MINI 2026'!$L$5:$L$63)</f>
        <v>0</v>
      </c>
      <c r="K31" s="189">
        <f>SUMIF('UC MINI 2026'!$D$5:$D$63,'UC MINI 2026 (Grp. Propieta'!$B31,'UC MINI 2026'!$M$5:$M$63)</f>
        <v>4</v>
      </c>
      <c r="L31" s="247">
        <f>SUMIF('UC MINI 2026'!$D$5:$D$63,'UC MINI 2026 (Grp. Propieta'!$B31,'UC MINI 2026'!$N$5:$N$63)</f>
        <v>0</v>
      </c>
      <c r="M31" s="189">
        <f>SUMIF('UC MINI 2026'!$D$5:$D$63,'UC MINI 2026 (Grp. Propieta'!$B31,'UC MINI 2026'!$O$5:$O$63)</f>
        <v>6</v>
      </c>
      <c r="N31" s="247">
        <f>SUMIF('UC MINI 2026'!$D$5:$D$63,'UC MINI 2026 (Grp. Propieta'!$B31,'UC MINI 2026'!$P$5:$P$63)</f>
        <v>0</v>
      </c>
      <c r="O31" s="189">
        <f>SUMIF('UC MINI 2026'!$D$5:$D$63,'UC MINI 2026 (Grp. Propieta'!$B31,'UC MINI 2026'!$Q$5:$Q$63)</f>
        <v>13</v>
      </c>
      <c r="P31" s="247">
        <f>SUMIF('UC MINI 2026'!$D$5:$D$63,'UC MINI 2026 (Grp. Propieta'!$B31,'UC MINI 2026'!$R$5:$R$63)</f>
        <v>0</v>
      </c>
      <c r="Q31" s="189">
        <f>SUMIF('UC MINI 2026'!$D$5:$D$63,$B31,'UC MINI 2026'!$S$5:$S$63)</f>
        <v>0</v>
      </c>
      <c r="R31" s="247">
        <f>SUMIF('UC MINI 2026'!$D$5:$D$63,$B31,'UC MINI 2026'!T$5:T$63)</f>
        <v>0</v>
      </c>
      <c r="S31" s="189">
        <f>SUMIF('UC MINI 2026'!$D$5:$D$63,$B31,'UC MINI 2026'!$U$5:$U$63)</f>
        <v>0</v>
      </c>
      <c r="T31" s="247">
        <f>SUMIF('UC MINI 2026'!$D$5:$D$63,$B31,'UC MINI 2026'!V$5:V$63)</f>
        <v>0</v>
      </c>
      <c r="U31" s="189">
        <f>SUMIF('UC MINI 2026'!$D$5:$D$63,$B31,'UC MINI 2026'!$W$5:$W$63)</f>
        <v>0</v>
      </c>
      <c r="V31" s="247">
        <f>SUMIF('UC MINI 2026'!$D$5:$D$63,$B31,'UC MINI 2026'!X$5:X$63)</f>
        <v>0</v>
      </c>
      <c r="W31" s="189">
        <f>SUMIF('UC MINI 2026'!$D$5:$D$63,$B31,'UC MINI 2026'!$Y$5:$Y$63)</f>
        <v>0</v>
      </c>
      <c r="X31" s="247">
        <f>SUMIF('UC MINI 2026'!$D$5:$D$63,$B31,'UC MINI 2026'!Z$5:Z$63)</f>
        <v>0</v>
      </c>
      <c r="Y31" s="189">
        <f>SUMIF('UC MINI 2026'!$D$5:$D$63,$B31,'UC MINI 2026'!$AA$5:$AA$63)</f>
        <v>0</v>
      </c>
      <c r="Z31" s="247">
        <f>SUMIF('UC MINI 2026'!$D$5:$D$63,$B31,'UC MINI 2026'!AB$5:AB$63)</f>
        <v>0</v>
      </c>
      <c r="AA31" s="189">
        <f>SUMIF('UC MINI 2026'!$D$5:$D$63,$B31,'UC MINI 2026'!$AC$5:$AC$63)</f>
        <v>0</v>
      </c>
      <c r="AB31" s="250">
        <f t="shared" si="10"/>
        <v>0</v>
      </c>
      <c r="AC31" s="191">
        <f t="shared" si="10"/>
        <v>36</v>
      </c>
      <c r="AD31" s="244">
        <f>IFERROR((AC31/AB31),0)</f>
        <v>0</v>
      </c>
      <c r="AE31" s="250">
        <f>+D31+F31+H31+J31+L31+N31+P31+R31+T31+V31+X31+Z31</f>
        <v>0</v>
      </c>
      <c r="AF31" s="191">
        <f>IF($AB$2="ENERO",E31,IF($AB$2="FEBRERO",E31+G31,IF($AB$2="MARZO",E31+G31+I31,IF($AB$2="ABRIL",E31+G31+I31+K31,IF($AB$2="MAYO",E31+G31+I31+K31+M31,IF($AB$2="JUNIO",E31+G31+I31+K31+M31+O31,IF($AB$2="JULIO",E31+G31+I31+K31+M31+O31+Q31,IF($AB$2="AGOSTO",E31+G31+I31+K31+M31+O31+Q31+S31,IF($AB$2="SEPTIEMBRE",E31+G31+I31+K31+M31+O31+Q31+S31+U31,IF($AB$2="OCTUBRE",E31+G31+I31+K31+M31+O31+Q31+S31+U31+W31,IF($AB$2="NOVIEMBRE",E31+G31+I31+K31+M31+O31+Q31+S31+U31+W31+Y31,IF($AB$2="DICIEMBRE",E31+G31+I31+K31+M31+O31+Q31+S31+U31+W31+Y31+AA31,""))))))))))))</f>
        <v>36</v>
      </c>
      <c r="AG31" s="192">
        <f>IFERROR((AF31/AE31),0)</f>
        <v>0</v>
      </c>
      <c r="AH31" s="250">
        <f t="shared" si="11"/>
        <v>0</v>
      </c>
      <c r="AI31" s="191">
        <f t="shared" si="11"/>
        <v>0</v>
      </c>
      <c r="AJ31" s="192">
        <f>IFERROR((AI31/AH31),0)</f>
        <v>0</v>
      </c>
      <c r="AK31" s="250">
        <f>IF($AK$3="S 1",D31+F31+H31+J31+L31++N31,IF($AK$3="S 2",P31+R31+Z31+T31+V31+X31,0))</f>
        <v>0</v>
      </c>
      <c r="AL31" s="191">
        <f>IF($AK$3="S 1",E31+G31+I31+K31+M31+O31,IF($AK$3="S 2",Q31+S31+U31+W31+Y31+AA31,0))</f>
        <v>36</v>
      </c>
      <c r="AM31" s="192">
        <f>IFERROR((AL31/AK31),0)</f>
        <v>0</v>
      </c>
    </row>
    <row r="32" spans="1:39" s="53" customFormat="1" ht="16" customHeight="1" thickBot="1" x14ac:dyDescent="0.35">
      <c r="A32" s="50"/>
      <c r="B32" s="731" t="s">
        <v>27</v>
      </c>
      <c r="C32" s="732"/>
      <c r="D32" s="426">
        <f t="shared" ref="D32:AA32" si="12">SUM(D5:D31)</f>
        <v>280</v>
      </c>
      <c r="E32" s="419">
        <f t="shared" si="12"/>
        <v>255</v>
      </c>
      <c r="F32" s="426">
        <f t="shared" si="12"/>
        <v>292</v>
      </c>
      <c r="G32" s="419">
        <f t="shared" si="12"/>
        <v>287</v>
      </c>
      <c r="H32" s="426">
        <f t="shared" si="12"/>
        <v>308</v>
      </c>
      <c r="I32" s="419">
        <f t="shared" si="12"/>
        <v>346</v>
      </c>
      <c r="J32" s="426">
        <f t="shared" si="12"/>
        <v>293</v>
      </c>
      <c r="K32" s="419">
        <f t="shared" si="12"/>
        <v>335</v>
      </c>
      <c r="L32" s="426">
        <f t="shared" si="12"/>
        <v>310</v>
      </c>
      <c r="M32" s="419">
        <f t="shared" si="12"/>
        <v>369</v>
      </c>
      <c r="N32" s="426">
        <f t="shared" si="12"/>
        <v>321</v>
      </c>
      <c r="O32" s="419">
        <f t="shared" si="12"/>
        <v>450</v>
      </c>
      <c r="P32" s="426">
        <f t="shared" si="12"/>
        <v>51</v>
      </c>
      <c r="Q32" s="419">
        <f t="shared" si="12"/>
        <v>0</v>
      </c>
      <c r="R32" s="426">
        <f t="shared" si="12"/>
        <v>41</v>
      </c>
      <c r="S32" s="419">
        <f t="shared" si="12"/>
        <v>0</v>
      </c>
      <c r="T32" s="426">
        <f t="shared" si="12"/>
        <v>51</v>
      </c>
      <c r="U32" s="419">
        <f t="shared" si="12"/>
        <v>0</v>
      </c>
      <c r="V32" s="426">
        <f t="shared" si="12"/>
        <v>52</v>
      </c>
      <c r="W32" s="419">
        <f t="shared" si="12"/>
        <v>0</v>
      </c>
      <c r="X32" s="426">
        <f t="shared" si="12"/>
        <v>52</v>
      </c>
      <c r="Y32" s="419">
        <f t="shared" si="12"/>
        <v>0</v>
      </c>
      <c r="Z32" s="426">
        <f t="shared" si="12"/>
        <v>51</v>
      </c>
      <c r="AA32" s="419">
        <f t="shared" si="12"/>
        <v>0</v>
      </c>
      <c r="AB32" s="428">
        <f t="shared" si="10"/>
        <v>1804</v>
      </c>
      <c r="AC32" s="428">
        <f t="shared" si="10"/>
        <v>2042</v>
      </c>
      <c r="AD32" s="429">
        <f t="shared" si="4"/>
        <v>1.1319290465631928</v>
      </c>
      <c r="AE32" s="428">
        <f t="shared" si="0"/>
        <v>2102</v>
      </c>
      <c r="AF32" s="430">
        <f>IF($AB$2="ENERO",E32,IF($AB$2="FEBRERO",E32+G32,IF($AB$2="MARZO",E32+G32+I32,IF($AB$2="ABRIL",E32+G32+I32+K32,IF($AB$2="MAYO",E32+G32+I32+K32+M32,IF($AB$2="JUNIO",E32+G32+I32+K32+M32+O32,IF($AB$2="JULIO",E32+G32+I32+K32+M32+O32+Q32,IF($AB$2="AGOSTO",E32+G32+I32+K32+M32+O32+Q32+S32,IF($AB$2="SEPTIEMBRE",E32+G32+I32+K32+M32+O32+Q32+S32+U32,IF($AB$2="OCTUBRE",E32+G32+I32+K32+M32+O32+Q32+S32+U32+W32,IF($AB$2="NOVIEMBRE",E32+G32+I32+K32+M32+O32+Q32+S32+U32+W32+Y32,IF($AB$2="DICIEMBRE",E32+G32+I32+K32+M32+O32+Q32+S32+U32+W32+Y32+AA32,""))))))))))))</f>
        <v>2042</v>
      </c>
      <c r="AG32" s="421">
        <f t="shared" si="1"/>
        <v>0.97145575642245485</v>
      </c>
      <c r="AH32" s="195">
        <f t="shared" si="11"/>
        <v>155</v>
      </c>
      <c r="AI32" s="196">
        <f t="shared" si="11"/>
        <v>0</v>
      </c>
      <c r="AJ32" s="197">
        <f t="shared" si="2"/>
        <v>0</v>
      </c>
      <c r="AK32" s="431">
        <f>SUM(AK5:AK30)</f>
        <v>1804</v>
      </c>
      <c r="AL32" s="431">
        <f>SUM(AL5:AL30)</f>
        <v>2006</v>
      </c>
      <c r="AM32" s="421">
        <f t="shared" si="3"/>
        <v>1.1119733924611974</v>
      </c>
    </row>
    <row r="33" spans="2:29" s="53" customFormat="1" x14ac:dyDescent="0.3">
      <c r="B33" s="44"/>
    </row>
    <row r="34" spans="2:29" x14ac:dyDescent="0.3">
      <c r="B34" s="14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C34" s="77"/>
    </row>
    <row r="35" spans="2:29" x14ac:dyDescent="0.3">
      <c r="B35" s="146"/>
      <c r="AC35" s="77"/>
    </row>
    <row r="36" spans="2:29" x14ac:dyDescent="0.3">
      <c r="B36" s="146"/>
    </row>
    <row r="37" spans="2:29" x14ac:dyDescent="0.3">
      <c r="B37" s="146"/>
    </row>
  </sheetData>
  <mergeCells count="19">
    <mergeCell ref="B1:AM1"/>
    <mergeCell ref="B3:C4"/>
    <mergeCell ref="D3:E3"/>
    <mergeCell ref="F3:G3"/>
    <mergeCell ref="H3:I3"/>
    <mergeCell ref="J3:K3"/>
    <mergeCell ref="L3:M3"/>
    <mergeCell ref="N3:O3"/>
    <mergeCell ref="P3:Q3"/>
    <mergeCell ref="R3:S3"/>
    <mergeCell ref="AH3:AJ3"/>
    <mergeCell ref="AK3:AM3"/>
    <mergeCell ref="AB3:AD3"/>
    <mergeCell ref="AE3:AG3"/>
    <mergeCell ref="B32:C32"/>
    <mergeCell ref="T3:U3"/>
    <mergeCell ref="V3:W3"/>
    <mergeCell ref="X3:Y3"/>
    <mergeCell ref="Z3:AA3"/>
  </mergeCells>
  <conditionalFormatting sqref="B1">
    <cfRule type="duplicateValues" dxfId="173" priority="1"/>
  </conditionalFormatting>
  <conditionalFormatting sqref="D3:AA3">
    <cfRule type="expression" dxfId="172" priority="2">
      <formula>IF($AB$2="DICIEMBRE","VERDADERO")</formula>
    </cfRule>
    <cfRule type="expression" dxfId="171" priority="3">
      <formula>IF($AB$2="NOVIEMBRE","VERDADERO")</formula>
    </cfRule>
    <cfRule type="expression" dxfId="170" priority="4">
      <formula>IF($AB$2="OCTUBRE","VERDADERO")</formula>
    </cfRule>
    <cfRule type="expression" dxfId="169" priority="5">
      <formula>IF($AB$2="SEPTIEMBRE","VERDADERO")</formula>
    </cfRule>
    <cfRule type="expression" dxfId="168" priority="6">
      <formula>IF($AB$2="AGOSTO","VERDADERO")</formula>
    </cfRule>
    <cfRule type="expression" dxfId="167" priority="7">
      <formula>IF($AB$2="JULIO","VERDADERO")</formula>
    </cfRule>
    <cfRule type="expression" dxfId="166" priority="8">
      <formula>IF($AB$2="JUNIO","VERDADERO")</formula>
    </cfRule>
    <cfRule type="expression" dxfId="165" priority="9">
      <formula>IF($AB$2="MAYO","VERDADERO")</formula>
    </cfRule>
    <cfRule type="expression" dxfId="164" priority="10">
      <formula>IF($AB$2="ABRIL","VERDADERO")</formula>
    </cfRule>
    <cfRule type="expression" dxfId="163" priority="11">
      <formula>IF($AB$2="MARZO","VERDADERO")</formula>
    </cfRule>
    <cfRule type="expression" dxfId="162" priority="12">
      <formula>IF($AB$2="FEBRERO","VERDADERO")</formula>
    </cfRule>
    <cfRule type="expression" dxfId="161" priority="13">
      <formula>IF($AB$2="ENERO","VERDADERO")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FABD85-3C2E-41FC-ADF1-E1632394CAF4}">
          <x14:formula1>
            <xm:f>MAESTRO!$H$3:$H$14</xm:f>
          </x14:formula1>
          <xm:sqref>AB2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F30A-DB24-4DF7-BC4A-A49C2CCC52CB}">
  <sheetPr codeName="Hoja10">
    <tabColor theme="9" tint="0.39997558519241921"/>
    <pageSetUpPr fitToPage="1"/>
  </sheetPr>
  <dimension ref="A1:ED86"/>
  <sheetViews>
    <sheetView topLeftCell="AD3" workbookViewId="0">
      <selection activeCell="BA7" sqref="BA7"/>
    </sheetView>
  </sheetViews>
  <sheetFormatPr baseColWidth="10" defaultColWidth="11.453125" defaultRowHeight="13" x14ac:dyDescent="0.3"/>
  <cols>
    <col min="1" max="1" width="7.6328125" style="44" customWidth="1"/>
    <col min="2" max="2" width="10.54296875" style="78" customWidth="1"/>
    <col min="3" max="3" width="24.81640625" style="44" customWidth="1"/>
    <col min="4" max="4" width="2.1796875" style="44" customWidth="1"/>
    <col min="5" max="5" width="24" style="44" customWidth="1"/>
    <col min="6" max="6" width="6.54296875" style="44" customWidth="1"/>
    <col min="7" max="10" width="6.54296875" style="76" customWidth="1"/>
    <col min="11" max="11" width="7.54296875" style="76" customWidth="1"/>
    <col min="12" max="12" width="7.26953125" style="76" customWidth="1"/>
    <col min="13" max="17" width="6.54296875" style="44" customWidth="1"/>
    <col min="18" max="18" width="7.1796875" style="44" customWidth="1"/>
    <col min="19" max="19" width="7.453125" style="44" customWidth="1"/>
    <col min="20" max="24" width="6.54296875" style="44" customWidth="1"/>
    <col min="25" max="25" width="7.26953125" style="44" customWidth="1"/>
    <col min="26" max="26" width="7.1796875" style="44" customWidth="1"/>
    <col min="27" max="31" width="6.54296875" style="44" customWidth="1"/>
    <col min="32" max="32" width="7.26953125" style="44" customWidth="1"/>
    <col min="33" max="33" width="7.1796875" style="44" customWidth="1"/>
    <col min="34" max="38" width="6.54296875" style="44" customWidth="1"/>
    <col min="39" max="39" width="7.26953125" style="44" customWidth="1"/>
    <col min="40" max="40" width="6.81640625" style="44" customWidth="1"/>
    <col min="41" max="45" width="6.54296875" style="44" customWidth="1"/>
    <col min="46" max="46" width="7.453125" style="44" customWidth="1"/>
    <col min="47" max="47" width="7.1796875" style="44" customWidth="1"/>
    <col min="48" max="52" width="6.54296875" style="44" customWidth="1"/>
    <col min="53" max="53" width="7.453125" style="44" customWidth="1"/>
    <col min="54" max="54" width="7" style="44" customWidth="1"/>
    <col min="55" max="57" width="6.54296875" style="44" customWidth="1"/>
    <col min="58" max="58" width="6.453125" style="44" customWidth="1"/>
    <col min="59" max="59" width="6.54296875" style="44" customWidth="1"/>
    <col min="60" max="60" width="7.1796875" style="44" customWidth="1"/>
    <col min="61" max="61" width="7.26953125" style="44" customWidth="1"/>
    <col min="62" max="66" width="6.54296875" style="44" customWidth="1"/>
    <col min="67" max="67" width="7.26953125" style="44" customWidth="1"/>
    <col min="68" max="68" width="7.453125" style="44" customWidth="1"/>
    <col min="69" max="73" width="6.54296875" style="44" customWidth="1"/>
    <col min="74" max="74" width="7.26953125" style="44" customWidth="1"/>
    <col min="75" max="75" width="7.453125" style="44" customWidth="1"/>
    <col min="76" max="80" width="6.54296875" style="44" customWidth="1"/>
    <col min="81" max="81" width="7.54296875" style="44" customWidth="1"/>
    <col min="82" max="82" width="7.1796875" style="44" customWidth="1"/>
    <col min="83" max="87" width="6.54296875" style="44" customWidth="1"/>
    <col min="88" max="88" width="7.453125" style="44" customWidth="1"/>
    <col min="89" max="89" width="7.26953125" style="44" customWidth="1"/>
    <col min="90" max="90" width="12" style="44" customWidth="1"/>
    <col min="91" max="103" width="10.1796875" style="44" customWidth="1"/>
    <col min="104" max="106" width="10.1796875" style="44" hidden="1" customWidth="1"/>
    <col min="107" max="110" width="11.453125" style="44" hidden="1" customWidth="1"/>
    <col min="111" max="117" width="11.453125" style="44" customWidth="1"/>
    <col min="118" max="124" width="11.453125" style="44" hidden="1" customWidth="1"/>
    <col min="125" max="16384" width="11.453125" style="44"/>
  </cols>
  <sheetData>
    <row r="1" spans="1:134" hidden="1" x14ac:dyDescent="0.3">
      <c r="E1" s="117" t="s">
        <v>109</v>
      </c>
      <c r="F1" s="2" t="s">
        <v>0</v>
      </c>
      <c r="G1" s="2" t="s">
        <v>0</v>
      </c>
      <c r="H1" s="2"/>
      <c r="I1" s="2" t="s">
        <v>0</v>
      </c>
      <c r="J1" s="2" t="s">
        <v>0</v>
      </c>
      <c r="K1" s="2"/>
      <c r="L1" s="2"/>
      <c r="M1" s="2" t="s">
        <v>1</v>
      </c>
      <c r="N1" s="2" t="s">
        <v>1</v>
      </c>
      <c r="O1" s="2"/>
      <c r="P1" s="2" t="s">
        <v>1</v>
      </c>
      <c r="Q1" s="2" t="s">
        <v>1</v>
      </c>
      <c r="R1" s="2"/>
      <c r="S1" s="2"/>
      <c r="T1" s="2" t="s">
        <v>2</v>
      </c>
      <c r="U1" s="2" t="s">
        <v>2</v>
      </c>
      <c r="V1" s="2"/>
      <c r="W1" s="2" t="s">
        <v>2</v>
      </c>
      <c r="X1" s="2" t="s">
        <v>2</v>
      </c>
      <c r="Y1" s="2"/>
      <c r="Z1" s="2"/>
      <c r="AA1" s="2" t="s">
        <v>3</v>
      </c>
      <c r="AB1" s="2" t="s">
        <v>3</v>
      </c>
      <c r="AC1" s="2"/>
      <c r="AD1" s="2" t="s">
        <v>3</v>
      </c>
      <c r="AE1" s="2" t="s">
        <v>3</v>
      </c>
      <c r="AF1" s="2"/>
      <c r="AG1" s="2"/>
      <c r="AH1" s="2" t="s">
        <v>4</v>
      </c>
      <c r="AI1" s="2" t="s">
        <v>4</v>
      </c>
      <c r="AJ1" s="2"/>
      <c r="AK1" s="2" t="s">
        <v>4</v>
      </c>
      <c r="AL1" s="2" t="s">
        <v>4</v>
      </c>
      <c r="AM1" s="2"/>
      <c r="AN1" s="2"/>
      <c r="AO1" s="2" t="s">
        <v>5</v>
      </c>
      <c r="AP1" s="2" t="s">
        <v>5</v>
      </c>
      <c r="AQ1" s="2"/>
      <c r="AR1" s="2" t="s">
        <v>5</v>
      </c>
      <c r="AS1" s="2" t="s">
        <v>5</v>
      </c>
      <c r="AT1" s="2"/>
      <c r="AU1" s="2"/>
      <c r="AV1" s="2" t="s">
        <v>6</v>
      </c>
      <c r="AW1" s="2" t="s">
        <v>6</v>
      </c>
      <c r="AX1" s="2"/>
      <c r="AY1" s="2" t="s">
        <v>6</v>
      </c>
      <c r="AZ1" s="2" t="s">
        <v>6</v>
      </c>
      <c r="BA1" s="2"/>
      <c r="BB1" s="2"/>
      <c r="BC1" s="2" t="s">
        <v>7</v>
      </c>
      <c r="BD1" s="2" t="s">
        <v>7</v>
      </c>
      <c r="BE1" s="2"/>
      <c r="BF1" s="2" t="s">
        <v>7</v>
      </c>
      <c r="BG1" s="2" t="s">
        <v>7</v>
      </c>
      <c r="BH1" s="2"/>
      <c r="BI1" s="2"/>
      <c r="BJ1" s="2" t="s">
        <v>101</v>
      </c>
      <c r="BK1" s="2" t="s">
        <v>101</v>
      </c>
      <c r="BL1" s="2"/>
      <c r="BM1" s="2" t="s">
        <v>101</v>
      </c>
      <c r="BN1" s="2" t="s">
        <v>101</v>
      </c>
      <c r="BO1" s="2"/>
      <c r="BP1" s="2"/>
      <c r="BQ1" s="2" t="s">
        <v>102</v>
      </c>
      <c r="BR1" s="2" t="s">
        <v>102</v>
      </c>
      <c r="BS1" s="2"/>
      <c r="BT1" s="2" t="s">
        <v>102</v>
      </c>
      <c r="BU1" s="2" t="s">
        <v>102</v>
      </c>
      <c r="BV1" s="2"/>
      <c r="BW1" s="2"/>
      <c r="BX1" s="2" t="s">
        <v>103</v>
      </c>
      <c r="BY1" s="2" t="s">
        <v>103</v>
      </c>
      <c r="BZ1" s="2"/>
      <c r="CA1" s="2" t="s">
        <v>103</v>
      </c>
      <c r="CB1" s="2" t="s">
        <v>103</v>
      </c>
      <c r="CC1" s="2"/>
      <c r="CD1" s="2"/>
      <c r="CE1" s="2" t="s">
        <v>104</v>
      </c>
      <c r="CF1" s="2" t="s">
        <v>104</v>
      </c>
      <c r="CG1" s="2"/>
      <c r="CH1" s="2" t="s">
        <v>104</v>
      </c>
      <c r="CI1" s="2" t="s">
        <v>104</v>
      </c>
      <c r="CJ1" s="2"/>
      <c r="CK1" s="2"/>
    </row>
    <row r="2" spans="1:134" hidden="1" x14ac:dyDescent="0.3">
      <c r="E2" s="117" t="s">
        <v>108</v>
      </c>
      <c r="F2" s="140" t="str">
        <f>$CL$4</f>
        <v>JUNIO</v>
      </c>
      <c r="G2" s="140" t="str">
        <f>$CL$4</f>
        <v>JUNIO</v>
      </c>
      <c r="H2" s="140"/>
      <c r="I2" s="140" t="str">
        <f>$CL$4</f>
        <v>JUNIO</v>
      </c>
      <c r="J2" s="140" t="str">
        <f>$CL$4</f>
        <v>JUNIO</v>
      </c>
      <c r="K2" s="140"/>
      <c r="L2" s="140"/>
      <c r="M2" s="140" t="str">
        <f>IF($CL$4="ENERO",0,$CL$4)</f>
        <v>JUNIO</v>
      </c>
      <c r="N2" s="140" t="str">
        <f>IF($CL$4="ENERO",0,$CL$4)</f>
        <v>JUNIO</v>
      </c>
      <c r="O2" s="140"/>
      <c r="P2" s="140" t="str">
        <f>IF($CL$4="ENERO",0,$CL$4)</f>
        <v>JUNIO</v>
      </c>
      <c r="Q2" s="140" t="str">
        <f>IF($CL$4="ENERO",0,$CL$4)</f>
        <v>JUNIO</v>
      </c>
      <c r="R2" s="140"/>
      <c r="S2" s="140"/>
      <c r="T2" s="140" t="str">
        <f>IF(OR($CL$4="ENERO",$CL$4="FEBRERO"),0,$CL$4)</f>
        <v>JUNIO</v>
      </c>
      <c r="U2" s="140" t="str">
        <f>IF(OR($CL$4="ENERO",$CL$4="FEBRERO"),0,$CL$4)</f>
        <v>JUNIO</v>
      </c>
      <c r="V2" s="140"/>
      <c r="W2" s="140" t="str">
        <f>IF(OR($CL$4="ENERO",$CL$4="FEBRERO"),0,$CL$4)</f>
        <v>JUNIO</v>
      </c>
      <c r="X2" s="140" t="str">
        <f>IF(OR($CL$4="ENERO",$CL$4="FEBRERO"),0,$CL$4)</f>
        <v>JUNIO</v>
      </c>
      <c r="Y2" s="140"/>
      <c r="Z2" s="140"/>
      <c r="AA2" s="140" t="str">
        <f>IF(OR($CL$4="ENERO",$CL$4="FEBRERO",$CL$4="MARZO"),0,$CL$4)</f>
        <v>JUNIO</v>
      </c>
      <c r="AB2" s="140" t="str">
        <f>IF(OR($CL$4="ENERO",$CL$4="FEBRERO",$CL$4="MARZO"),0,$CL$4)</f>
        <v>JUNIO</v>
      </c>
      <c r="AC2" s="140"/>
      <c r="AD2" s="140" t="str">
        <f>IF(OR($CL$4="ENERO",$CL$4="FEBRERO",$CL$4="MARZO"),0,$CL$4)</f>
        <v>JUNIO</v>
      </c>
      <c r="AE2" s="140" t="str">
        <f>IF(OR($CL$4="ENERO",$CL$4="FEBRERO",$CL$4="MARZO"),0,$CL$4)</f>
        <v>JUNIO</v>
      </c>
      <c r="AF2" s="140"/>
      <c r="AG2" s="140"/>
      <c r="AH2" s="140" t="str">
        <f>IF(OR($CL$4="ENERO",$CL$4="FEBRERO",$CL$4="MARZO",$CL$4="ABRIL"),0,$CL$4)</f>
        <v>JUNIO</v>
      </c>
      <c r="AI2" s="140" t="str">
        <f>IF(OR($CL$4="ENERO",$CL$4="FEBRERO",$CL$4="MARZO",$CL$4="ABRIL"),0,$CL$4)</f>
        <v>JUNIO</v>
      </c>
      <c r="AJ2" s="140"/>
      <c r="AK2" s="140" t="str">
        <f>IF(OR($CL$4="ENERO",$CL$4="FEBRERO",$CL$4="MARZO",$CL$4="ABRIL"),0,$CL$4)</f>
        <v>JUNIO</v>
      </c>
      <c r="AL2" s="140" t="str">
        <f>IF(OR($CL$4="ENERO",$CL$4="FEBRERO",$CL$4="MARZO",$CL$4="ABRIL"),0,$CL$4)</f>
        <v>JUNIO</v>
      </c>
      <c r="AM2" s="140"/>
      <c r="AN2" s="140"/>
      <c r="AO2" s="140" t="str">
        <f>IF(OR($CL$4="ENERO",$CL$4="FEBRERO",$CL$4="MARZO",$CL$4="ABRIL",$CL$4="MAYO"),0,$CL$4)</f>
        <v>JUNIO</v>
      </c>
      <c r="AP2" s="140" t="str">
        <f>IF(OR($CL$4="ENERO",$CL$4="FEBRERO",$CL$4="MARZO",$CL$4="ABRIL",$CL$4="MAYO"),0,$CL$4)</f>
        <v>JUNIO</v>
      </c>
      <c r="AQ2" s="140"/>
      <c r="AR2" s="140" t="str">
        <f>IF(OR($CL$4="ENERO",$CL$4="FEBRERO",$CL$4="MARZO",$CL$4="ABRIL",$CL$4="MAYO"),0,$CL$4)</f>
        <v>JUNIO</v>
      </c>
      <c r="AS2" s="140" t="str">
        <f>IF(OR($CL$4="ENERO",$CL$4="FEBRERO",$CL$4="MARZO",$CL$4="ABRIL",$CL$4="MAYO"),0,$CL$4)</f>
        <v>JUNIO</v>
      </c>
      <c r="AT2" s="140"/>
      <c r="AU2" s="140"/>
      <c r="AV2" s="140">
        <f>IF(OR($CL$4="ENERO",$CL$4="FEBRERO",$CL$4="MARZO",$CL$4="ABRIL",$CL$4="MAYO",$CL$4="JUNIO"),0,$CL$4)</f>
        <v>0</v>
      </c>
      <c r="AW2" s="140">
        <f>IF(OR($CL$4="ENERO",$CL$4="FEBRERO",$CL$4="MARZO",$CL$4="ABRIL",$CL$4="MAYO",$CL$4="JUNIO"),0,$CL$4)</f>
        <v>0</v>
      </c>
      <c r="AX2" s="140"/>
      <c r="AY2" s="140">
        <f>IF(OR($CL$4="ENERO",$CL$4="FEBRERO",$CL$4="MARZO",$CL$4="ABRIL",$CL$4="MAYO",$CL$4="JUNIO"),0,$CL$4)</f>
        <v>0</v>
      </c>
      <c r="AZ2" s="140">
        <f>IF(OR($CL$4="ENERO",$CL$4="FEBRERO",$CL$4="MARZO",$CL$4="ABRIL",$CL$4="MAYO",$CL$4="JUNIO"),0,$CL$4)</f>
        <v>0</v>
      </c>
      <c r="BA2" s="140"/>
      <c r="BB2" s="140"/>
      <c r="BC2" s="140">
        <f>IF(OR($CL$4="ENERO",$CL$4="FEBRERO",$CL$4="MARZO",$CL$4="ABRIL",$CL$4="MAYO",$CL$4="JUNIO",$CL$4="JULIO"),0,$CL$4)</f>
        <v>0</v>
      </c>
      <c r="BD2" s="140">
        <f>IF(OR($CL$4="ENERO",$CL$4="FEBRERO",$CL$4="MARZO",$CL$4="ABRIL",$CL$4="MAYO",$CL$4="JUNIO",$CL$4="JULIO"),0,$CL$4)</f>
        <v>0</v>
      </c>
      <c r="BE2" s="140"/>
      <c r="BF2" s="140">
        <f>IF(OR($CL$4="ENERO",$CL$4="FEBRERO",$CL$4="MARZO",$CL$4="ABRIL",$CL$4="MAYO",$CL$4="JUNIO",$CL$4="JULIO"),0,$CL$4)</f>
        <v>0</v>
      </c>
      <c r="BG2" s="140">
        <f>IF(OR($CL$4="ENERO",$CL$4="FEBRERO",$CL$4="MARZO",$CL$4="ABRIL",$CL$4="MAYO",$CL$4="JUNIO",$CL$4="JULIO"),0,$CL$4)</f>
        <v>0</v>
      </c>
      <c r="BH2" s="140"/>
      <c r="BI2" s="140"/>
      <c r="BJ2" s="140">
        <f>IF(OR($CL$4="ENERO",$CL$4="FEBRERO",$CL$4="MARZO",$CL$4="ABRIL",$CL$4="MAYO",$CL$4="JUNIO",$CL$4="JULIO",$CL$4="AGOSTO"),0,$CL$4)</f>
        <v>0</v>
      </c>
      <c r="BK2" s="140">
        <f>IF(OR($CL$4="ENERO",$CL$4="FEBRERO",$CL$4="MARZO",$CL$4="ABRIL",$CL$4="MAYO",$CL$4="JUNIO",$CL$4="JULIO",$CL$4="AGOSTO"),0,$CL$4)</f>
        <v>0</v>
      </c>
      <c r="BL2" s="140"/>
      <c r="BM2" s="140">
        <f>IF(OR($CL$4="ENERO",$CL$4="FEBRERO",$CL$4="MARZO",$CL$4="ABRIL",$CL$4="MAYO",$CL$4="JUNIO",$CL$4="JULIO",$CL$4="AGOSTO"),0,$CL$4)</f>
        <v>0</v>
      </c>
      <c r="BN2" s="140">
        <f>IF(OR($CL$4="ENERO",$CL$4="FEBRERO",$CL$4="MARZO",$CL$4="ABRIL",$CL$4="MAYO",$CL$4="JUNIO",$CL$4="JULIO",$CL$4="AGOSTO"),0,$CL$4)</f>
        <v>0</v>
      </c>
      <c r="BO2" s="140"/>
      <c r="BP2" s="140"/>
      <c r="BQ2" s="140">
        <f>IF(OR($CL$4="ENERO",$CL$4="FEBRERO",$CL$4="MARZO",$CL$4="ABRIL",$CL$4="MAYO",$CL$4="JUNIO",$CL$4="JULIO",$CL$4="AGOSTO",$CL$4="SEPTIEMBRE"),0,$CL$4)</f>
        <v>0</v>
      </c>
      <c r="BR2" s="140">
        <f>IF(OR($CL$4="ENERO",$CL$4="FEBRERO",$CL$4="MARZO",$CL$4="ABRIL",$CL$4="MAYO",$CL$4="JUNIO",$CL$4="JULIO",$CL$4="AGOSTO",$CL$4="SEPTIEMBRE"),0,$CL$4)</f>
        <v>0</v>
      </c>
      <c r="BS2" s="140"/>
      <c r="BT2" s="140">
        <f>IF(OR($CL$4="ENERO",$CL$4="FEBRERO",$CL$4="MARZO",$CL$4="ABRIL",$CL$4="MAYO",$CL$4="JUNIO",$CL$4="JULIO",$CL$4="AGOSTO",$CL$4="SEPTIEMBRE"),0,$CL$4)</f>
        <v>0</v>
      </c>
      <c r="BU2" s="140">
        <f>IF(OR($CL$4="ENERO",$CL$4="FEBRERO",$CL$4="MARZO",$CL$4="ABRIL",$CL$4="MAYO",$CL$4="JUNIO",$CL$4="JULIO",$CL$4="AGOSTO",$CL$4="SEPTIEMBRE"),0,$CL$4)</f>
        <v>0</v>
      </c>
      <c r="BV2" s="140"/>
      <c r="BW2" s="140"/>
      <c r="BX2" s="140">
        <f>IF(OR($CL$4="ENERO",$CL$4="FEBRERO",$CL$4="MARZO",$CL$4="ABRIL",$CL$4="MAYO",$CL$4="JUNIO",$CL$4="JULIO",$CL$4="AGOSTO",$CL$4="SEPTIEMBRE",$CL$4="OCTUBRE"),0,$CL$4)</f>
        <v>0</v>
      </c>
      <c r="BY2" s="140">
        <f>IF(OR($CL$4="ENERO",$CL$4="FEBRERO",$CL$4="MARZO",$CL$4="ABRIL",$CL$4="MAYO",$CL$4="JUNIO",$CL$4="JULIO",$CL$4="AGOSTO",$CL$4="SEPTIEMBRE",$CL$4="OCTUBRE"),0,$CL$4)</f>
        <v>0</v>
      </c>
      <c r="BZ2" s="140"/>
      <c r="CA2" s="140">
        <f>IF(OR($CL$4="ENERO",$CL$4="FEBRERO",$CL$4="MARZO",$CL$4="ABRIL",$CL$4="MAYO",$CL$4="JUNIO",$CL$4="JULIO",$CL$4="AGOSTO",$CL$4="SEPTIEMBRE",$CL$4="OCTUBRE"),0,$CL$4)</f>
        <v>0</v>
      </c>
      <c r="CB2" s="140">
        <f>IF(OR($CL$4="ENERO",$CL$4="FEBRERO",$CL$4="MARZO",$CL$4="ABRIL",$CL$4="MAYO",$CL$4="JUNIO",$CL$4="JULIO",$CL$4="AGOSTO",$CL$4="SEPTIEMBRE",$CL$4="OCTUBRE"),0,$CL$4)</f>
        <v>0</v>
      </c>
      <c r="CC2" s="140"/>
      <c r="CD2" s="140"/>
      <c r="CE2" s="140">
        <f>IF(OR($CL$4="ENERO",$CL$4="FEBRERO",$CL$4="MARZO",$CL$4="ABRIL",$CL$4="MAYO",$CL$4="JUNIO",$CL$4="JULIO",$CL$4="AGOSTO",$CL$4="SEPTIEMBRE",$CL$4="OCTUBRE",$CL$4="NOVIEMBRE"),0,$CL$4)</f>
        <v>0</v>
      </c>
      <c r="CF2" s="140">
        <f>IF(OR($CL$4="ENERO",$CL$4="FEBRERO",$CL$4="MARZO",$CL$4="ABRIL",$CL$4="MAYO",$CL$4="JUNIO",$CL$4="JULIO",$CL$4="AGOSTO",$CL$4="SEPTIEMBRE",$CL$4="OCTUBRE",$CL$4="NOVIEMBRE"),0,$CL$4)</f>
        <v>0</v>
      </c>
      <c r="CG2" s="140"/>
      <c r="CH2" s="140">
        <f>IF(OR($CL$4="ENERO",$CL$4="FEBRERO",$CL$4="MARZO",$CL$4="ABRIL",$CL$4="MAYO",$CL$4="JUNIO",$CL$4="JULIO",$CL$4="AGOSTO",$CL$4="SEPTIEMBRE",$CL$4="OCTUBRE",$CL$4="NOVIEMBRE"),0,$CL$4)</f>
        <v>0</v>
      </c>
      <c r="CI2" s="140">
        <f>IF(OR($CL$4="ENERO",$CL$4="FEBRERO",$CL$4="MARZO",$CL$4="ABRIL",$CL$4="MAYO",$CL$4="JUNIO",$CL$4="JULIO",$CL$4="AGOSTO",$CL$4="SEPTIEMBRE",$CL$4="OCTUBRE",$CL$4="NOVIEMBRE"),0,$CL$4)</f>
        <v>0</v>
      </c>
      <c r="CJ2" s="140"/>
      <c r="CK2" s="140"/>
    </row>
    <row r="3" spans="1:134" s="42" customFormat="1" ht="18.5" thickBot="1" x14ac:dyDescent="0.35">
      <c r="A3" s="141"/>
      <c r="B3" s="747" t="s">
        <v>259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  <c r="AA3" s="747"/>
      <c r="AB3" s="747"/>
      <c r="AC3" s="747"/>
      <c r="AD3" s="747"/>
      <c r="AE3" s="747"/>
      <c r="AF3" s="747"/>
      <c r="AG3" s="747"/>
      <c r="AH3" s="747"/>
      <c r="AI3" s="747"/>
      <c r="AJ3" s="747"/>
      <c r="AK3" s="747"/>
      <c r="AL3" s="747"/>
      <c r="AM3" s="747"/>
      <c r="AN3" s="747"/>
      <c r="AO3" s="747"/>
      <c r="AP3" s="747"/>
      <c r="AQ3" s="747"/>
      <c r="AR3" s="747"/>
      <c r="AS3" s="747"/>
      <c r="AT3" s="747"/>
      <c r="AU3" s="747"/>
      <c r="AV3" s="747"/>
      <c r="AW3" s="747"/>
      <c r="AX3" s="747"/>
      <c r="AY3" s="747"/>
      <c r="AZ3" s="747"/>
      <c r="BA3" s="747"/>
      <c r="BB3" s="747"/>
      <c r="BC3" s="747"/>
      <c r="BD3" s="747"/>
      <c r="BE3" s="747"/>
      <c r="BF3" s="747"/>
      <c r="BG3" s="747"/>
      <c r="BH3" s="747"/>
      <c r="BI3" s="747"/>
      <c r="BJ3" s="747"/>
      <c r="BK3" s="747"/>
      <c r="BL3" s="747"/>
      <c r="BM3" s="747"/>
      <c r="BN3" s="747"/>
      <c r="BO3" s="747"/>
      <c r="BP3" s="747"/>
      <c r="BQ3" s="747"/>
      <c r="BR3" s="747"/>
      <c r="BS3" s="747"/>
      <c r="BT3" s="747"/>
      <c r="BU3" s="747"/>
      <c r="BV3" s="747"/>
      <c r="BW3" s="747"/>
      <c r="BX3" s="747"/>
      <c r="BY3" s="747"/>
      <c r="BZ3" s="747"/>
      <c r="CA3" s="747"/>
      <c r="CB3" s="747"/>
      <c r="CC3" s="747"/>
      <c r="CD3" s="747"/>
      <c r="CE3" s="747"/>
      <c r="CF3" s="747"/>
      <c r="CG3" s="747"/>
      <c r="CH3" s="747"/>
      <c r="CI3" s="747"/>
      <c r="CJ3" s="747"/>
      <c r="CK3" s="747"/>
      <c r="CL3" s="747"/>
      <c r="CM3" s="747"/>
      <c r="CN3" s="747"/>
      <c r="CO3" s="747"/>
      <c r="CP3" s="747"/>
      <c r="CQ3" s="747"/>
      <c r="CR3" s="747"/>
      <c r="CS3" s="747"/>
      <c r="CT3" s="747"/>
      <c r="CU3" s="747"/>
      <c r="CV3" s="747"/>
      <c r="CW3" s="747"/>
      <c r="CX3" s="747"/>
      <c r="CY3" s="747"/>
      <c r="CZ3" s="747"/>
      <c r="DA3" s="747"/>
      <c r="DB3" s="747"/>
      <c r="DC3" s="747"/>
      <c r="DD3" s="747"/>
      <c r="DE3" s="747"/>
      <c r="DF3" s="747"/>
      <c r="DG3" s="747"/>
      <c r="DH3" s="747"/>
      <c r="DI3" s="747"/>
      <c r="DJ3" s="747"/>
      <c r="DK3" s="747"/>
      <c r="DL3" s="747"/>
      <c r="DM3" s="747"/>
    </row>
    <row r="4" spans="1:134" ht="13.5" thickBot="1" x14ac:dyDescent="0.35">
      <c r="F4" s="142">
        <v>5</v>
      </c>
      <c r="G4" s="142">
        <v>3</v>
      </c>
      <c r="H4" s="142"/>
      <c r="I4" s="143">
        <v>4</v>
      </c>
      <c r="J4" s="144"/>
      <c r="K4" s="144"/>
      <c r="L4" s="144"/>
      <c r="M4" s="142">
        <f>F4+2</f>
        <v>7</v>
      </c>
      <c r="N4" s="142">
        <v>8</v>
      </c>
      <c r="O4" s="142"/>
      <c r="P4" s="143">
        <v>9</v>
      </c>
      <c r="Q4" s="145"/>
      <c r="R4" s="145"/>
      <c r="S4" s="145"/>
      <c r="T4" s="142">
        <f>M4+2</f>
        <v>9</v>
      </c>
      <c r="U4" s="142">
        <v>13</v>
      </c>
      <c r="V4" s="142"/>
      <c r="W4" s="143">
        <v>14</v>
      </c>
      <c r="X4" s="145"/>
      <c r="Y4" s="145"/>
      <c r="Z4" s="145"/>
      <c r="AA4" s="142">
        <f>T4+2</f>
        <v>11</v>
      </c>
      <c r="AB4" s="142">
        <f>AA4+1</f>
        <v>12</v>
      </c>
      <c r="AC4" s="142"/>
      <c r="AD4" s="143">
        <f>W4+1</f>
        <v>15</v>
      </c>
      <c r="AE4" s="145"/>
      <c r="AF4" s="145"/>
      <c r="AG4" s="145"/>
      <c r="AH4" s="142">
        <f>AA4+2</f>
        <v>13</v>
      </c>
      <c r="AI4" s="142">
        <f>AH4+1</f>
        <v>14</v>
      </c>
      <c r="AJ4" s="142"/>
      <c r="AK4" s="143">
        <f>AD4+1</f>
        <v>16</v>
      </c>
      <c r="AL4" s="145"/>
      <c r="AM4" s="145"/>
      <c r="AN4" s="145"/>
      <c r="AO4" s="142">
        <f>AH4+2</f>
        <v>15</v>
      </c>
      <c r="AP4" s="142">
        <f>AO4+1</f>
        <v>16</v>
      </c>
      <c r="AQ4" s="142"/>
      <c r="AR4" s="143">
        <f>AK4+1</f>
        <v>17</v>
      </c>
      <c r="AS4" s="145"/>
      <c r="AT4" s="145"/>
      <c r="AU4" s="145"/>
      <c r="AV4" s="142">
        <f>AO4+2</f>
        <v>17</v>
      </c>
      <c r="AW4" s="142">
        <f>AV4+1</f>
        <v>18</v>
      </c>
      <c r="AX4" s="142"/>
      <c r="AY4" s="143">
        <f>AR4+1</f>
        <v>18</v>
      </c>
      <c r="AZ4" s="145"/>
      <c r="BA4" s="145"/>
      <c r="BB4" s="145"/>
      <c r="BC4" s="142">
        <f>AV4+2</f>
        <v>19</v>
      </c>
      <c r="BD4" s="142">
        <f>BC4+1</f>
        <v>20</v>
      </c>
      <c r="BE4" s="142"/>
      <c r="BF4" s="143">
        <f>AY4+1</f>
        <v>19</v>
      </c>
      <c r="BG4" s="145"/>
      <c r="BH4" s="145"/>
      <c r="BI4" s="145"/>
      <c r="BJ4" s="142">
        <f>BC4+2</f>
        <v>21</v>
      </c>
      <c r="BK4" s="142">
        <f>BJ4+1</f>
        <v>22</v>
      </c>
      <c r="BL4" s="142"/>
      <c r="BM4" s="143">
        <f>BF4+1</f>
        <v>20</v>
      </c>
      <c r="BN4" s="145"/>
      <c r="BO4" s="145"/>
      <c r="BP4" s="145"/>
      <c r="BQ4" s="142">
        <f>BJ4+2</f>
        <v>23</v>
      </c>
      <c r="BR4" s="142">
        <f>BQ4+1</f>
        <v>24</v>
      </c>
      <c r="BS4" s="142"/>
      <c r="BT4" s="143">
        <f>BM4+1</f>
        <v>21</v>
      </c>
      <c r="BU4" s="145"/>
      <c r="BV4" s="145"/>
      <c r="BW4" s="145"/>
      <c r="BX4" s="142">
        <f>BQ4+2</f>
        <v>25</v>
      </c>
      <c r="BY4" s="142">
        <f>BX4+1</f>
        <v>26</v>
      </c>
      <c r="BZ4" s="142"/>
      <c r="CA4" s="143">
        <f>BT4+1</f>
        <v>22</v>
      </c>
      <c r="CB4" s="145"/>
      <c r="CC4" s="145"/>
      <c r="CD4" s="145"/>
      <c r="CE4" s="142">
        <f>BX4+2</f>
        <v>27</v>
      </c>
      <c r="CF4" s="142">
        <f>CE4+1</f>
        <v>28</v>
      </c>
      <c r="CG4" s="142"/>
      <c r="CH4" s="143">
        <f>CA4+1</f>
        <v>23</v>
      </c>
      <c r="CL4" s="82" t="s">
        <v>5</v>
      </c>
    </row>
    <row r="5" spans="1:134" ht="15" customHeight="1" thickBot="1" x14ac:dyDescent="0.35">
      <c r="B5" s="632" t="s">
        <v>35</v>
      </c>
      <c r="C5" s="630" t="s">
        <v>36</v>
      </c>
      <c r="E5" s="748" t="s">
        <v>76</v>
      </c>
      <c r="F5" s="745" t="s">
        <v>0</v>
      </c>
      <c r="G5" s="744"/>
      <c r="H5" s="744"/>
      <c r="I5" s="744"/>
      <c r="J5" s="744"/>
      <c r="K5" s="744"/>
      <c r="L5" s="746"/>
      <c r="M5" s="745" t="s">
        <v>1</v>
      </c>
      <c r="N5" s="744"/>
      <c r="O5" s="744"/>
      <c r="P5" s="744"/>
      <c r="Q5" s="744"/>
      <c r="R5" s="744"/>
      <c r="S5" s="746"/>
      <c r="T5" s="744" t="s">
        <v>2</v>
      </c>
      <c r="U5" s="744"/>
      <c r="V5" s="744"/>
      <c r="W5" s="744"/>
      <c r="X5" s="744"/>
      <c r="Y5" s="744"/>
      <c r="Z5" s="744"/>
      <c r="AA5" s="745" t="s">
        <v>3</v>
      </c>
      <c r="AB5" s="744"/>
      <c r="AC5" s="744"/>
      <c r="AD5" s="744"/>
      <c r="AE5" s="744"/>
      <c r="AF5" s="744"/>
      <c r="AG5" s="746"/>
      <c r="AH5" s="744" t="s">
        <v>4</v>
      </c>
      <c r="AI5" s="744"/>
      <c r="AJ5" s="744"/>
      <c r="AK5" s="744"/>
      <c r="AL5" s="744"/>
      <c r="AM5" s="744"/>
      <c r="AN5" s="744"/>
      <c r="AO5" s="750" t="s">
        <v>5</v>
      </c>
      <c r="AP5" s="751"/>
      <c r="AQ5" s="751"/>
      <c r="AR5" s="751"/>
      <c r="AS5" s="751"/>
      <c r="AT5" s="751"/>
      <c r="AU5" s="752"/>
      <c r="AV5" s="744" t="s">
        <v>6</v>
      </c>
      <c r="AW5" s="744"/>
      <c r="AX5" s="744"/>
      <c r="AY5" s="744"/>
      <c r="AZ5" s="744"/>
      <c r="BA5" s="744"/>
      <c r="BB5" s="744"/>
      <c r="BC5" s="745" t="s">
        <v>7</v>
      </c>
      <c r="BD5" s="744"/>
      <c r="BE5" s="744"/>
      <c r="BF5" s="744"/>
      <c r="BG5" s="744"/>
      <c r="BH5" s="744"/>
      <c r="BI5" s="746"/>
      <c r="BJ5" s="744" t="s">
        <v>29</v>
      </c>
      <c r="BK5" s="744"/>
      <c r="BL5" s="744"/>
      <c r="BM5" s="744"/>
      <c r="BN5" s="744"/>
      <c r="BO5" s="744"/>
      <c r="BP5" s="744"/>
      <c r="BQ5" s="745" t="s">
        <v>30</v>
      </c>
      <c r="BR5" s="744"/>
      <c r="BS5" s="744"/>
      <c r="BT5" s="744"/>
      <c r="BU5" s="744"/>
      <c r="BV5" s="744"/>
      <c r="BW5" s="746"/>
      <c r="BX5" s="744" t="s">
        <v>31</v>
      </c>
      <c r="BY5" s="744"/>
      <c r="BZ5" s="744"/>
      <c r="CA5" s="744"/>
      <c r="CB5" s="744"/>
      <c r="CC5" s="744"/>
      <c r="CD5" s="744"/>
      <c r="CE5" s="745" t="s">
        <v>32</v>
      </c>
      <c r="CF5" s="744"/>
      <c r="CG5" s="744"/>
      <c r="CH5" s="744"/>
      <c r="CI5" s="744"/>
      <c r="CJ5" s="744"/>
      <c r="CK5" s="746"/>
      <c r="CL5" s="742" t="s">
        <v>33</v>
      </c>
      <c r="CM5" s="742"/>
      <c r="CN5" s="742"/>
      <c r="CO5" s="742"/>
      <c r="CP5" s="742"/>
      <c r="CQ5" s="368"/>
      <c r="CR5" s="368"/>
      <c r="CS5" s="741" t="s">
        <v>34</v>
      </c>
      <c r="CT5" s="742"/>
      <c r="CU5" s="742"/>
      <c r="CV5" s="742"/>
      <c r="CW5" s="742"/>
      <c r="CX5" s="742"/>
      <c r="CY5" s="742"/>
      <c r="CZ5" s="741" t="s">
        <v>70</v>
      </c>
      <c r="DA5" s="742"/>
      <c r="DB5" s="742"/>
      <c r="DC5" s="742"/>
      <c r="DD5" s="742"/>
      <c r="DE5" s="742"/>
      <c r="DF5" s="743"/>
      <c r="DG5" s="741" t="s">
        <v>171</v>
      </c>
      <c r="DH5" s="742"/>
      <c r="DI5" s="742"/>
      <c r="DJ5" s="742"/>
      <c r="DK5" s="742"/>
      <c r="DL5" s="742"/>
      <c r="DM5" s="743"/>
      <c r="DN5" s="741" t="s">
        <v>172</v>
      </c>
      <c r="DO5" s="742"/>
      <c r="DP5" s="742"/>
      <c r="DQ5" s="742"/>
      <c r="DR5" s="742"/>
      <c r="DS5" s="742"/>
      <c r="DT5" s="743"/>
      <c r="DX5" s="741" t="s">
        <v>172</v>
      </c>
      <c r="DY5" s="742"/>
      <c r="DZ5" s="742"/>
      <c r="EA5" s="742"/>
      <c r="EB5" s="742"/>
      <c r="EC5" s="742"/>
      <c r="ED5" s="743"/>
    </row>
    <row r="6" spans="1:134" s="74" customFormat="1" ht="44.5" customHeight="1" thickBot="1" x14ac:dyDescent="0.4">
      <c r="B6" s="634"/>
      <c r="C6" s="631"/>
      <c r="D6" s="322"/>
      <c r="E6" s="749"/>
      <c r="F6" s="318" t="s">
        <v>168</v>
      </c>
      <c r="G6" s="319" t="s">
        <v>37</v>
      </c>
      <c r="H6" s="319" t="s">
        <v>174</v>
      </c>
      <c r="I6" s="323" t="s">
        <v>133</v>
      </c>
      <c r="J6" s="323" t="s">
        <v>134</v>
      </c>
      <c r="K6" s="323" t="s">
        <v>173</v>
      </c>
      <c r="L6" s="324" t="s">
        <v>169</v>
      </c>
      <c r="M6" s="318" t="s">
        <v>168</v>
      </c>
      <c r="N6" s="319" t="s">
        <v>37</v>
      </c>
      <c r="O6" s="319" t="s">
        <v>174</v>
      </c>
      <c r="P6" s="323" t="s">
        <v>133</v>
      </c>
      <c r="Q6" s="323" t="s">
        <v>134</v>
      </c>
      <c r="R6" s="323" t="s">
        <v>173</v>
      </c>
      <c r="S6" s="324" t="s">
        <v>169</v>
      </c>
      <c r="T6" s="319" t="s">
        <v>168</v>
      </c>
      <c r="U6" s="319" t="s">
        <v>37</v>
      </c>
      <c r="V6" s="319" t="s">
        <v>174</v>
      </c>
      <c r="W6" s="323" t="s">
        <v>133</v>
      </c>
      <c r="X6" s="323" t="s">
        <v>134</v>
      </c>
      <c r="Y6" s="323" t="s">
        <v>173</v>
      </c>
      <c r="Z6" s="324" t="s">
        <v>169</v>
      </c>
      <c r="AA6" s="318" t="s">
        <v>168</v>
      </c>
      <c r="AB6" s="319" t="s">
        <v>37</v>
      </c>
      <c r="AC6" s="319" t="s">
        <v>174</v>
      </c>
      <c r="AD6" s="323" t="s">
        <v>133</v>
      </c>
      <c r="AE6" s="323" t="s">
        <v>134</v>
      </c>
      <c r="AF6" s="323" t="s">
        <v>173</v>
      </c>
      <c r="AG6" s="324" t="s">
        <v>169</v>
      </c>
      <c r="AH6" s="319" t="s">
        <v>168</v>
      </c>
      <c r="AI6" s="319" t="s">
        <v>37</v>
      </c>
      <c r="AJ6" s="319" t="s">
        <v>174</v>
      </c>
      <c r="AK6" s="323" t="s">
        <v>133</v>
      </c>
      <c r="AL6" s="323" t="s">
        <v>134</v>
      </c>
      <c r="AM6" s="323" t="s">
        <v>173</v>
      </c>
      <c r="AN6" s="324" t="s">
        <v>169</v>
      </c>
      <c r="AO6" s="318" t="s">
        <v>168</v>
      </c>
      <c r="AP6" s="319" t="s">
        <v>37</v>
      </c>
      <c r="AQ6" s="319" t="s">
        <v>174</v>
      </c>
      <c r="AR6" s="323" t="s">
        <v>133</v>
      </c>
      <c r="AS6" s="323" t="s">
        <v>134</v>
      </c>
      <c r="AT6" s="323" t="s">
        <v>173</v>
      </c>
      <c r="AU6" s="324" t="s">
        <v>169</v>
      </c>
      <c r="AV6" s="319" t="s">
        <v>168</v>
      </c>
      <c r="AW6" s="319" t="s">
        <v>37</v>
      </c>
      <c r="AX6" s="319" t="s">
        <v>174</v>
      </c>
      <c r="AY6" s="323" t="s">
        <v>133</v>
      </c>
      <c r="AZ6" s="323" t="s">
        <v>134</v>
      </c>
      <c r="BA6" s="323" t="s">
        <v>173</v>
      </c>
      <c r="BB6" s="324" t="s">
        <v>169</v>
      </c>
      <c r="BC6" s="318" t="s">
        <v>168</v>
      </c>
      <c r="BD6" s="319" t="s">
        <v>37</v>
      </c>
      <c r="BE6" s="319" t="s">
        <v>174</v>
      </c>
      <c r="BF6" s="323" t="s">
        <v>133</v>
      </c>
      <c r="BG6" s="323" t="s">
        <v>134</v>
      </c>
      <c r="BH6" s="323" t="s">
        <v>173</v>
      </c>
      <c r="BI6" s="324" t="s">
        <v>169</v>
      </c>
      <c r="BJ6" s="319" t="s">
        <v>168</v>
      </c>
      <c r="BK6" s="319" t="s">
        <v>37</v>
      </c>
      <c r="BL6" s="319" t="s">
        <v>174</v>
      </c>
      <c r="BM6" s="323" t="s">
        <v>133</v>
      </c>
      <c r="BN6" s="323" t="s">
        <v>134</v>
      </c>
      <c r="BO6" s="323" t="s">
        <v>173</v>
      </c>
      <c r="BP6" s="324" t="s">
        <v>169</v>
      </c>
      <c r="BQ6" s="318" t="s">
        <v>168</v>
      </c>
      <c r="BR6" s="319" t="s">
        <v>37</v>
      </c>
      <c r="BS6" s="319" t="s">
        <v>174</v>
      </c>
      <c r="BT6" s="323" t="s">
        <v>133</v>
      </c>
      <c r="BU6" s="323" t="s">
        <v>134</v>
      </c>
      <c r="BV6" s="323" t="s">
        <v>173</v>
      </c>
      <c r="BW6" s="324" t="s">
        <v>169</v>
      </c>
      <c r="BX6" s="319" t="s">
        <v>168</v>
      </c>
      <c r="BY6" s="319" t="s">
        <v>37</v>
      </c>
      <c r="BZ6" s="319" t="s">
        <v>174</v>
      </c>
      <c r="CA6" s="323" t="s">
        <v>133</v>
      </c>
      <c r="CB6" s="323" t="s">
        <v>134</v>
      </c>
      <c r="CC6" s="323" t="s">
        <v>173</v>
      </c>
      <c r="CD6" s="324" t="s">
        <v>169</v>
      </c>
      <c r="CE6" s="318" t="s">
        <v>168</v>
      </c>
      <c r="CF6" s="319" t="s">
        <v>37</v>
      </c>
      <c r="CG6" s="319" t="s">
        <v>174</v>
      </c>
      <c r="CH6" s="323" t="s">
        <v>133</v>
      </c>
      <c r="CI6" s="323" t="s">
        <v>134</v>
      </c>
      <c r="CJ6" s="323" t="s">
        <v>173</v>
      </c>
      <c r="CK6" s="324" t="s">
        <v>169</v>
      </c>
      <c r="CL6" s="84" t="s">
        <v>168</v>
      </c>
      <c r="CM6" s="325" t="s">
        <v>37</v>
      </c>
      <c r="CN6" s="326" t="s">
        <v>38</v>
      </c>
      <c r="CO6" s="327" t="s">
        <v>133</v>
      </c>
      <c r="CP6" s="327" t="s">
        <v>134</v>
      </c>
      <c r="CQ6" s="323" t="s">
        <v>173</v>
      </c>
      <c r="CR6" s="324" t="s">
        <v>169</v>
      </c>
      <c r="CS6" s="303" t="s">
        <v>168</v>
      </c>
      <c r="CT6" s="84" t="s">
        <v>37</v>
      </c>
      <c r="CU6" s="326" t="s">
        <v>38</v>
      </c>
      <c r="CV6" s="327" t="s">
        <v>133</v>
      </c>
      <c r="CW6" s="327" t="s">
        <v>134</v>
      </c>
      <c r="CX6" s="323" t="s">
        <v>173</v>
      </c>
      <c r="CY6" s="324" t="s">
        <v>169</v>
      </c>
      <c r="CZ6" s="328" t="s">
        <v>168</v>
      </c>
      <c r="DA6" s="329" t="s">
        <v>37</v>
      </c>
      <c r="DB6" s="330" t="s">
        <v>38</v>
      </c>
      <c r="DC6" s="331" t="s">
        <v>133</v>
      </c>
      <c r="DD6" s="331" t="s">
        <v>134</v>
      </c>
      <c r="DE6" s="387" t="s">
        <v>173</v>
      </c>
      <c r="DF6" s="332" t="s">
        <v>169</v>
      </c>
      <c r="DG6" s="328" t="s">
        <v>168</v>
      </c>
      <c r="DH6" s="329" t="s">
        <v>37</v>
      </c>
      <c r="DI6" s="330" t="s">
        <v>38</v>
      </c>
      <c r="DJ6" s="331" t="s">
        <v>133</v>
      </c>
      <c r="DK6" s="331" t="s">
        <v>134</v>
      </c>
      <c r="DL6" s="387" t="s">
        <v>173</v>
      </c>
      <c r="DM6" s="332" t="s">
        <v>169</v>
      </c>
      <c r="DN6" s="328" t="s">
        <v>168</v>
      </c>
      <c r="DO6" s="329" t="s">
        <v>37</v>
      </c>
      <c r="DP6" s="330" t="s">
        <v>38</v>
      </c>
      <c r="DQ6" s="331" t="s">
        <v>133</v>
      </c>
      <c r="DR6" s="331" t="s">
        <v>134</v>
      </c>
      <c r="DS6" s="387" t="s">
        <v>173</v>
      </c>
      <c r="DT6" s="332" t="s">
        <v>169</v>
      </c>
      <c r="DX6" s="328" t="s">
        <v>168</v>
      </c>
      <c r="DY6" s="329" t="s">
        <v>37</v>
      </c>
      <c r="DZ6" s="512" t="s">
        <v>248</v>
      </c>
      <c r="EA6" s="331" t="s">
        <v>133</v>
      </c>
      <c r="EB6" s="331" t="s">
        <v>134</v>
      </c>
      <c r="EC6" s="387" t="s">
        <v>173</v>
      </c>
      <c r="ED6" s="332" t="s">
        <v>169</v>
      </c>
    </row>
    <row r="7" spans="1:134" s="53" customFormat="1" ht="16" customHeight="1" x14ac:dyDescent="0.3">
      <c r="A7" s="53">
        <f>_xlfn.XLOOKUP(B7,'UC MINI 2026'!$B$5:$B$61,'UC MINI 2026'!$A$5:$A$61)</f>
        <v>1</v>
      </c>
      <c r="B7" s="179">
        <v>100323</v>
      </c>
      <c r="C7" s="381" t="s">
        <v>165</v>
      </c>
      <c r="D7" s="146"/>
      <c r="E7" s="309" t="s">
        <v>274</v>
      </c>
      <c r="F7" s="54">
        <f>SUMIF('UC MINI 2026'!$B$5:$B$71,'UC MINI 2026 MINI NEXT'!$B7,'UC MINI 2026'!$F$5:$F$71)</f>
        <v>11</v>
      </c>
      <c r="G7" s="86">
        <f>SUMIF('UC MINI 2026'!$B$5:$B$71,'UC MINI 2026 MINI NEXT'!$B7,'UC MINI 2026'!$G$5:$G$71)</f>
        <v>9</v>
      </c>
      <c r="H7" s="297">
        <f t="shared" ref="H7:H12" si="0">IFERROR(G7/F7,0)</f>
        <v>0.81818181818181823</v>
      </c>
      <c r="I7" s="86">
        <f>IFERROR(VLOOKUP(B7,[2]BPS!$S$10:$AF$64,3,0),0)-IF(B7=100873,IFERROR(VLOOKUP("Enero",[2]BPS!$S$74:$T$89,2,0),0),0)</f>
        <v>9</v>
      </c>
      <c r="J7" s="297">
        <f t="shared" ref="J7:J12" si="1">IFERROR(I7/G7,0)</f>
        <v>1</v>
      </c>
      <c r="K7" s="86">
        <f>IFERROR(VLOOKUP(B7,'[2]RETAIL ORIGEN RMKT'!$S$11:$AF$62,3,0),0)</f>
        <v>7</v>
      </c>
      <c r="L7" s="150">
        <f t="shared" ref="L7:L12" si="2">IFERROR(K7/F7,0)</f>
        <v>0.63636363636363635</v>
      </c>
      <c r="M7" s="79">
        <f>SUMIF('UC MINI 2026'!$B$5:$B$61,'UC MINI 2026 MINI NEXT'!$B7,'UC MINI 2026'!$H$5:$H$61)</f>
        <v>12</v>
      </c>
      <c r="N7" s="86">
        <f>SUMIF('UC MINI 2026'!$B$5:$B$61,'UC MINI 2026 MINI NEXT'!$B7,'UC MINI 2026'!$I$5:$I$61)</f>
        <v>6</v>
      </c>
      <c r="O7" s="297">
        <f t="shared" ref="O7:O12" si="3">IFERROR(N7/M7,0)</f>
        <v>0.5</v>
      </c>
      <c r="P7" s="86">
        <f>IFERROR(VLOOKUP(B7,[2]BPS!$S$10:$AF$64,4,0),0)-IF(B7=100873,IFERROR(VLOOKUP("FEBRERO",[2]BPS!$S$74:$T$89,2,0),0),0)</f>
        <v>6</v>
      </c>
      <c r="Q7" s="297">
        <f t="shared" ref="Q7:Q23" si="4">IFERROR(P7/N7,0)</f>
        <v>1</v>
      </c>
      <c r="R7" s="86">
        <f>IFERROR(VLOOKUP(B7,'[2]RETAIL ORIGEN RMKT'!$S$11:$AF$62,4,0),0)</f>
        <v>1</v>
      </c>
      <c r="S7" s="150">
        <f t="shared" ref="S7:S12" si="5">IFERROR(R7/M7,0)</f>
        <v>8.3333333333333329E-2</v>
      </c>
      <c r="T7" s="148">
        <f>SUMIF('UC MINI 2026'!$B$5:$B$71,'UC MINI 2026 MINI NEXT'!$B7,'UC MINI 2026'!$J$5:$J$71)</f>
        <v>12</v>
      </c>
      <c r="U7" s="86">
        <f>SUMIF('UC MINI 2026'!$B$5:$B$61,'UC MINI 2026 MINI NEXT'!$B7,'UC MINI 2026'!$K$5:$K$61)</f>
        <v>14</v>
      </c>
      <c r="V7" s="297">
        <f t="shared" ref="V7:V12" si="6">IFERROR(U7/T7,0)</f>
        <v>1.1666666666666667</v>
      </c>
      <c r="W7" s="86">
        <f>IFERROR(VLOOKUP(B7,[2]BPS!$S$10:$AF$64,5,0),0)-IF(B7=100873,IFERROR(VLOOKUP("MARZO",[2]BPS!$S$74:$T$89,2,0),0),0)</f>
        <v>13</v>
      </c>
      <c r="X7" s="297">
        <f t="shared" ref="X7:X23" si="7">IFERROR(W7/U7,0)</f>
        <v>0.9285714285714286</v>
      </c>
      <c r="Y7" s="86">
        <f>IFERROR(VLOOKUP(B7,'[2]RETAIL ORIGEN RMKT'!$S$11:$AF$62,5,0),0)</f>
        <v>2</v>
      </c>
      <c r="Z7" s="150">
        <f t="shared" ref="Z7:Z12" si="8">IFERROR(Y7/T7,0)</f>
        <v>0.16666666666666666</v>
      </c>
      <c r="AA7" s="148">
        <f>SUMIF('UC MINI 2026'!$B$5:$B$61,'UC MINI 2026 MINI NEXT'!$B7,'UC MINI 2026'!$L$5:$L$61)</f>
        <v>11</v>
      </c>
      <c r="AB7" s="86">
        <f>SUMIF('UC MINI 2026'!$B$5:$B$61,'UC MINI 2026 MINI NEXT'!$B7,'UC MINI 2026'!$M$5:$M$61)</f>
        <v>12</v>
      </c>
      <c r="AC7" s="297">
        <f t="shared" ref="AC7:AC12" si="9">IFERROR(AB7/AA7,0)</f>
        <v>1.0909090909090908</v>
      </c>
      <c r="AD7" s="86">
        <f>IFERROR(VLOOKUP(B7,[2]BPS!$S$10:$AF$64,6,0),0)-IF(B7=100873,IFERROR(VLOOKUP("ABRIL",[2]BPS!$S$74:$T$89,2,0),0),0)</f>
        <v>12</v>
      </c>
      <c r="AE7" s="285">
        <f t="shared" ref="AE7:AE23" si="10">IFERROR(AD7/AB7,0)</f>
        <v>1</v>
      </c>
      <c r="AF7" s="86">
        <f>IFERROR(VLOOKUP(B7,'[2]RETAIL ORIGEN RMKT'!$S$11:$AF$62,6,0),0)</f>
        <v>9</v>
      </c>
      <c r="AG7" s="150">
        <f t="shared" ref="AG7:AG12" si="11">IFERROR(AF7/AA7,0)</f>
        <v>0.81818181818181823</v>
      </c>
      <c r="AH7" s="148">
        <f>SUMIF('UC MINI 2026'!$B$5:$B$61,'UC MINI 2026 MINI NEXT'!$B7,'UC MINI 2026'!$N$5:$N$61)</f>
        <v>12</v>
      </c>
      <c r="AI7" s="86">
        <f>SUMIF('UC MINI 2026'!$B$5:$B$61,'UC MINI 2026 MINI NEXT'!$B7,'UC MINI 2026'!$O$5:$O$61)</f>
        <v>8</v>
      </c>
      <c r="AJ7" s="297">
        <f t="shared" ref="AJ7:AJ12" si="12">IFERROR(AI7/AH7,0)</f>
        <v>0.66666666666666663</v>
      </c>
      <c r="AK7" s="86">
        <f>IFERROR(VLOOKUP(B7,[2]BPS!$S$10:$AF$64,7,0),0)-IF(B7=100873,IFERROR(VLOOKUP("MAYO",[2]BPS!$S$74:$T$89,2,0),0),0)</f>
        <v>8</v>
      </c>
      <c r="AL7" s="285">
        <f t="shared" ref="AL7:AL23" si="13">IFERROR(AK7/AI7,0)</f>
        <v>1</v>
      </c>
      <c r="AM7" s="86">
        <f>IFERROR(VLOOKUP(B7,'[2]RETAIL ORIGEN RMKT'!$S$11:$AF$62,7,0),0)</f>
        <v>4</v>
      </c>
      <c r="AN7" s="150">
        <f t="shared" ref="AN7:AN12" si="14">IFERROR(AM7/AH7,0)</f>
        <v>0.33333333333333331</v>
      </c>
      <c r="AO7" s="148">
        <f>SUMIF('UC MINI 2026'!$B$5:$B$61,'UC MINI 2026 MINI NEXT'!$B7,'UC MINI 2026'!$P$5:$P$61)</f>
        <v>12</v>
      </c>
      <c r="AP7" s="86">
        <f>SUMIF('UC MINI 2026'!$B$5:$B$61,'UC MINI 2026 MINI NEXT'!$B7,'UC MINI 2026'!$Q$5:$Q$61)</f>
        <v>14</v>
      </c>
      <c r="AQ7" s="297">
        <f t="shared" ref="AQ7:AQ12" si="15">IFERROR(AP7/AO7,0)</f>
        <v>1.1666666666666667</v>
      </c>
      <c r="AR7" s="86">
        <f>IFERROR(VLOOKUP(B7,[2]BPS!$S$10:$AF$64,8,0),0)-IF(B7=100873,IFERROR(VLOOKUP("JUNIO",[2]BPS!$S$74:$T$89,2,0),0),0)</f>
        <v>14</v>
      </c>
      <c r="AS7" s="285">
        <f t="shared" ref="AS7:AS23" si="16">IFERROR(AR7/AP7,0)</f>
        <v>1</v>
      </c>
      <c r="AT7" s="86">
        <f>IFERROR(VLOOKUP(B7,'[2]RETAIL ORIGEN RMKT'!$S$11:$AF$62,8,0),0)</f>
        <v>6</v>
      </c>
      <c r="AU7" s="150">
        <f t="shared" ref="AU7:AU12" si="17">IFERROR(AT7/AO7,0)</f>
        <v>0.5</v>
      </c>
      <c r="AV7" s="148">
        <f>SUMIF('UC MINI 2026'!$B$5:$B$61,'UC MINI 2026 MINI NEXT'!$B7,'UC MINI 2026'!$R$5:$R$61)</f>
        <v>0</v>
      </c>
      <c r="AW7" s="86">
        <f>SUMIF('UC MINI 2026'!$B$5:$B$61,'UC MINI 2026 MINI NEXT'!$B7,'UC MINI 2026'!$S$5:$S$61)</f>
        <v>0</v>
      </c>
      <c r="AX7" s="297">
        <f t="shared" ref="AX7:AX12" si="18">IFERROR(AW7/AV7,0)</f>
        <v>0</v>
      </c>
      <c r="AY7" s="86">
        <f>IFERROR(VLOOKUP(B7,[2]BPS!$S$10:$AF$64,9,0),0)-IF(B7=100873,IFERROR(VLOOKUP("JULIO",[2]BPS!$S$74:$T$89,2,0),0),0)</f>
        <v>0</v>
      </c>
      <c r="AZ7" s="285">
        <f t="shared" ref="AZ7:AZ23" si="19">IFERROR(AY7/AW7,0)</f>
        <v>0</v>
      </c>
      <c r="BA7" s="86">
        <f>IFERROR(VLOOKUP(I7,'[2]RETAIL ORIGEN RMKT'!$S$11:$AF$62,9,0),0)</f>
        <v>0</v>
      </c>
      <c r="BB7" s="150">
        <f t="shared" ref="BB7:BB12" si="20">IFERROR(BA7/AV7,0)</f>
        <v>0</v>
      </c>
      <c r="BC7" s="148">
        <f>SUMIF('UC MINI 2026'!$B$5:$B$61,'UC MINI 2026 MINI NEXT'!$B7,'UC MINI 2026'!$T$5:$T$61)</f>
        <v>0</v>
      </c>
      <c r="BD7" s="86">
        <f>SUMIF('UC MINI 2026'!$B$5:$B$61,'UC MINI 2026 MINI NEXT'!$B7,'UC MINI 2026'!$U$5:$U$61)</f>
        <v>0</v>
      </c>
      <c r="BE7" s="297">
        <f t="shared" ref="BE7:BE12" si="21">IFERROR(BD7/BC7,0)</f>
        <v>0</v>
      </c>
      <c r="BF7" s="86">
        <f>IFERROR(VLOOKUP(B7,[2]BPS!$S$10:$AF$64,10,0),0)-IF(B7=100873,IFERROR(VLOOKUP("AGOSTO",[2]BPS!$S$74:$T$89,2,0),0),0)</f>
        <v>0</v>
      </c>
      <c r="BG7" s="285">
        <f t="shared" ref="BG7:BG23" si="22">IFERROR(BF7/BD7,0)</f>
        <v>0</v>
      </c>
      <c r="BH7" s="86">
        <f>IFERROR(VLOOKUP(P7,'[2]RETAIL ORIGEN RMKT'!$S$11:$AF$62,10,0),0)</f>
        <v>0</v>
      </c>
      <c r="BI7" s="150">
        <f t="shared" ref="BI7:BI12" si="23">IFERROR(BH7/BC7,0)</f>
        <v>0</v>
      </c>
      <c r="BJ7" s="148">
        <f>SUMIF('UC MINI 2026'!$B$5:$B$61,'UC MINI 2026 MINI NEXT'!$B7,'UC MINI 2026'!$V$5:$V$61)</f>
        <v>0</v>
      </c>
      <c r="BK7" s="86">
        <f>SUMIF('UC MINI 2026'!$B$5:$B$61,'UC MINI 2026 MINI NEXT'!$B7,'UC MINI 2026'!$W$5:$W$61)</f>
        <v>0</v>
      </c>
      <c r="BL7" s="297">
        <f t="shared" ref="BL7:BL12" si="24">IFERROR(BK7/BJ7,0)</f>
        <v>0</v>
      </c>
      <c r="BM7" s="86">
        <f>IFERROR(VLOOKUP(B7,[2]BPS!$S$10:$AF$64,11,0),0)-IF(B7=100873,IFERROR(VLOOKUP("SEPTIEMBRE",[2]BPS!$S$74:$T$89,2,0),0),0)</f>
        <v>0</v>
      </c>
      <c r="BN7" s="285">
        <f t="shared" ref="BN7:BN23" si="25">IFERROR(BM7/BK7,0)</f>
        <v>0</v>
      </c>
      <c r="BO7" s="86">
        <f>IFERROR(VLOOKUP(W7,'[2]RETAIL ORIGEN RMKT'!$S$11:$AF$62,11,0),0)</f>
        <v>0</v>
      </c>
      <c r="BP7" s="150">
        <f t="shared" ref="BP7:BP12" si="26">IFERROR(BO7/BJ7,0)</f>
        <v>0</v>
      </c>
      <c r="BQ7" s="148">
        <f>SUMIF('UC MINI 2026'!$B$5:$B$61,'UC MINI 2026 MINI NEXT'!$B7,'UC MINI 2026'!$V$5:$V$61)</f>
        <v>0</v>
      </c>
      <c r="BR7" s="86">
        <f>SUMIF('UC MINI 2026'!$B$5:$B$61,'UC MINI 2026 MINI NEXT'!$B7,'UC MINI 2026'!$Y$5:$Y$61)</f>
        <v>0</v>
      </c>
      <c r="BS7" s="297">
        <f t="shared" ref="BS7:BS12" si="27">IFERROR(BR7/BQ7,0)</f>
        <v>0</v>
      </c>
      <c r="BT7" s="86">
        <f>IFERROR(VLOOKUP(B7,[2]BPS!$S$10:$AF$64,12,0),0)-IF(B7=100873,IFERROR(VLOOKUP("OCTUBRE",[2]BPS!$S$74:$T$89,2,0),0),0)</f>
        <v>0</v>
      </c>
      <c r="BU7" s="285">
        <f t="shared" ref="BU7:BU23" si="28">IFERROR(BT7/BR7,0)</f>
        <v>0</v>
      </c>
      <c r="BV7" s="86">
        <f>IFERROR(VLOOKUP(AD7,'[2]RETAIL ORIGEN RMKT'!$S$11:$AF$62,12,0),0)</f>
        <v>0</v>
      </c>
      <c r="BW7" s="150">
        <f t="shared" ref="BW7:BW12" si="29">IFERROR(BV7/BQ7,0)</f>
        <v>0</v>
      </c>
      <c r="BX7" s="148">
        <f>SUMIF('UC MINI 2026'!$B$5:$B$61,'UC MINI 2026 MINI NEXT'!$B7,'UC MINI 2026'!$V$5:$V$61)</f>
        <v>0</v>
      </c>
      <c r="BY7" s="86">
        <f>SUMIF('UC MINI 2026'!$B$5:$B$61,'UC MINI 2026 MINI NEXT'!$B7,'UC MINI 2026'!$AA$5:$AA$61)</f>
        <v>0</v>
      </c>
      <c r="BZ7" s="297">
        <f t="shared" ref="BZ7:BZ12" si="30">IFERROR(BY7/BX7,0)</f>
        <v>0</v>
      </c>
      <c r="CA7" s="86">
        <f>IFERROR(VLOOKUP(B7,[2]BPS!$S$10:$AF$64,13,0),0)-IF(B7=100873,IFERROR(VLOOKUP("NOVIEMBRE",[2]BPS!$S$74:$T$89,2,0),0),0)</f>
        <v>0</v>
      </c>
      <c r="CB7" s="285">
        <f t="shared" ref="CB7:CB23" si="31">IFERROR(CA7/BY7,0)</f>
        <v>0</v>
      </c>
      <c r="CC7" s="86">
        <f>IFERROR(VLOOKUP(AK7,'[2]RETAIL ORIGEN RMKT'!$S$11:$AF$62,13,0),0)</f>
        <v>0</v>
      </c>
      <c r="CD7" s="150">
        <f t="shared" ref="CD7:CD12" si="32">IFERROR(CC7/BX7,0)</f>
        <v>0</v>
      </c>
      <c r="CE7" s="148">
        <f>SUMIF('UC MINI 2026'!$B$5:$B$61,'UC MINI 2026 MINI NEXT'!$B7,'UC MINI 2026'!$V$5:$V$61)</f>
        <v>0</v>
      </c>
      <c r="CF7" s="86">
        <f>SUMIF('UC MINI 2026'!$B$5:$B$61,'UC MINI 2026 MINI NEXT'!$B7,'UC MINI 2026'!$AC$5:$AC$61)</f>
        <v>0</v>
      </c>
      <c r="CG7" s="297">
        <f t="shared" ref="CG7:CG12" si="33">IFERROR(CF7/CE7,0)</f>
        <v>0</v>
      </c>
      <c r="CH7" s="86">
        <f>IFERROR(VLOOKUP(B7,[2]BPS!$S$10:$AF$64,14,0),0)-IF(B7=100873,IFERROR(VLOOKUP("DICIEMBRE",[2]BPS!$S$74:$T$89,2,0),0),0)</f>
        <v>0</v>
      </c>
      <c r="CI7" s="285">
        <f t="shared" ref="CI7:CI23" si="34">IFERROR(CH7/CF7,0)</f>
        <v>0</v>
      </c>
      <c r="CJ7" s="86">
        <f>IFERROR(VLOOKUP(AR7,'[2]RETAIL ORIGEN RMKT'!$S$11:$AF$62,14,0),0)</f>
        <v>0</v>
      </c>
      <c r="CK7" s="150">
        <f t="shared" ref="CK7:CK23" si="35">IFERROR(CJ7/CE7,0)</f>
        <v>0</v>
      </c>
      <c r="CL7" s="54">
        <f t="shared" ref="CL7:CM10" si="36">IF($CL$4="ENERO",F7,IF($CL$4="FEBRERO",F7+M7,IF($CL$4="MARZO",F7+M7+T7,IF($CL$4="ABRIL",F7+M7+T7+AA7,IF($CL$4="MAYO",F7+M7+T7+AA7+AH7,IF($CL$4="JUNIO",F7+M7+T7+AA7+AH7+AO7,IF($CL$4="JULIO",F7+M7+T7+AA7+AH7+AO7+AV7,IF($CL$4="AGOSTO",F7+M7+T7+AA7+AH7+AO7+AV7+BC7,IF($CL$4="SEPTIEMBRE",F7+M7+T7+AA7+AH7+AO7+AV7+BC7+BJ7,IF($CL$4="OCTUBRE",F7+M7+T7+AA7+AH7+AO7+AV7+BC7+BJ7+BQ7,IF($CL$4="NOVIEMBRE",F7+M7+T7+AA7+AH7+AO7+AV7+BC7+BJ7+BQ7+BX7,IF($CL$4="DICIEMBRE",F7+M7+T7+AA7+AH7+AO7+AV7+BC7+BJ7+BQ7+BX7+CE7,""))))))))))))</f>
        <v>70</v>
      </c>
      <c r="CM7" s="86">
        <f t="shared" si="36"/>
        <v>63</v>
      </c>
      <c r="CN7" s="109">
        <f t="shared" ref="CN7:CN23" si="37">IFERROR((CM7/CL7),0)</f>
        <v>0.9</v>
      </c>
      <c r="CO7" s="86">
        <f>IFERROR(IF($CL$4="ENERO",I7,IF($CL$4="FEBRERO",I7+P7,IF($CL$4="MARZO",I7+P7+W7,IF($CL$4="ABRIL",I7+P7+W7+AD7,IF($CL$4="MAYO",I7+P7+W7+AD7+AK7,IF($CL$4="JUNIO",I7+P7+W7+AD7+AK7+AR7,IF($CL$4="JULIO",I7+P7+W7+AD7+AK7+AR7+AY7,IF($CL$4="AGOSTO",I7+P7+W7+AD7+AK7+AR7+AY7+BF7,IF($CL$4="SEPTIEMBRE",I7+P7+W7+AD7+AK7+AR7+AY7+BF7+BM7,IF($CL$4="OCTUBRE",I7+P7+W7+AD7+AK7+AR7+AY7+BF7+BM7+BT7,IF($CL$4="NOVIEMBRE",I7+P7+W7+AD7+AK7+AR7+AY7+BF7+BM7+BT7+CA7,IF($CL$4="DICIEMBRE",I7+P7+W7+AD7+AK7+AR7+AY7+BF7+BM7+BT7+CA7+CH7,"")))))))))))),0)</f>
        <v>62</v>
      </c>
      <c r="CP7" s="297">
        <f>IFERROR(IF(CM7=0,"N.D.",CO7/CM7),0)</f>
        <v>0.98412698412698407</v>
      </c>
      <c r="CQ7" s="348">
        <f>IFERROR(IF($CL$4="ENERO",K7,
IF($CL$4="FEBRERO",K7+R7,
IF($CL$4="MARZO",K7+R7+Y7,
IF($CL$4="ABRIL",K7+R7+Y7+AF7,
IF($CL$4="MAYO",K7+R7+Y7+AF7+AM7,
IF($CL$4="JUNIO",K7+R7+Y7+AF7+AM7+AT7,
IF($CL$4="JULIO",K7+R7+Y7+AF7+AM7+AT7+BA7,
IF($CL$4="AGOSTO",K7+R7+Y7+AF7+AM7+AT7+BA7+BH7,
IF($CL$4="SEPTIEMBRE",K7+R7+Y7+AF7+AM7+AT7+BA7+BH7+BO7,
IF($CL$4="OCTUBRE",K7+R7+Y7+AF7+AM7+AT7+BA7+BH7+BO7+BV7,
IF($CL$4="NOVIEMBRE",K7+R7+Y7+AF7+AM7+AT7+BA7+BH7+BO7+BV7+CC7,
IF($CL$4="DICIEMBRE",K7+R7+Y7+AF7+AM7+AT7+BA7+BH7+BO7+BV7+CC7+CJ7,"")))))))))))),0)</f>
        <v>29</v>
      </c>
      <c r="CR7" s="149">
        <f t="shared" ref="CR7:CR23" si="38">IFERROR(CQ7/CL7,0)</f>
        <v>0.41428571428571431</v>
      </c>
      <c r="CS7" s="54">
        <f>+F7+M7+T7+AA7+AH7+AO7++AV7+BC7+BJ7+BQ7+BX7+CE7</f>
        <v>70</v>
      </c>
      <c r="CT7" s="86">
        <f>SUMIFS($F7:$CI7,$F$6:$CI$6,CT$6,$F$2:$CI$2,$CL$4)</f>
        <v>63</v>
      </c>
      <c r="CU7" s="109">
        <f>IFERROR((CT7/CS7),0)</f>
        <v>0.9</v>
      </c>
      <c r="CV7" s="86">
        <f>IFERROR(I7+P7+W7+AD7+AK7+AR7+AY7+BF7+BM7+BT7+CA7+CH7,0)</f>
        <v>62</v>
      </c>
      <c r="CW7" s="297">
        <f>IF(CT7=0,"N.D.",CV7/CT7)</f>
        <v>0.98412698412698407</v>
      </c>
      <c r="CX7" s="348">
        <f>IFERROR(K7+R7+Y7+AF7+AM7+AT7+BA7+BH7+BO7+BV7+CC7+CJ7,0)</f>
        <v>29</v>
      </c>
      <c r="CY7" s="149">
        <f t="shared" ref="CY7:CY23" si="39">IFERROR(CX7/CS7,0)</f>
        <v>0.41428571428571431</v>
      </c>
      <c r="CZ7" s="54">
        <f t="shared" ref="CZ7:DA10" si="40">IF($CZ$5="Q1",F7+M7+T7,
IF($CZ$5="Q2",AA7+AH7++AO7,
IF($CZ$5="Q3",AV7+BC7+BJ7,
IF($CZ$5="Q4",BQ7+BX7+CE7,0))))</f>
        <v>35</v>
      </c>
      <c r="DA7" s="86">
        <f t="shared" si="40"/>
        <v>29</v>
      </c>
      <c r="DB7" s="109">
        <f t="shared" ref="DB7:DB23" si="41">IFERROR((DA7/CZ7),0)</f>
        <v>0.82857142857142863</v>
      </c>
      <c r="DC7" s="86">
        <f>IFERROR(IF($CZ$5="Q1",I7+P7+W7,
IF($CZ$5="Q2",AD7+AK7++AR7,
IF($CZ$5="Q3",AY7+BF7+BM7,
IF($CZ$5="Q4",BT7+CA7+CH7,0)))),0)</f>
        <v>28</v>
      </c>
      <c r="DD7" s="297">
        <f>IF(DA7=0,"N.D.",DC7/DA7)</f>
        <v>0.96551724137931039</v>
      </c>
      <c r="DE7" s="348">
        <f>IFERROR(IF($CZ$5="Q1",K7+R7+Y7,
IF($CZ$5="Q2",AF7+AM7+AT7,
IF($CZ$5="Q3",BA7+BH7+BO7,
IF($CZ$5="Q4",BV7+CC7+CJ7,0)))),0)</f>
        <v>10</v>
      </c>
      <c r="DF7" s="150">
        <f t="shared" ref="DF7:DF23" si="42">IFERROR((DE7/CZ7),0)</f>
        <v>0.2857142857142857</v>
      </c>
      <c r="DG7" s="54">
        <f t="shared" ref="DG7:DH10" si="43">IF($DG$5="S 1",F7+M7+T7+AA7+AH7+AO7,
IF($DG$5="S 2",AV7+BC7+BJ7+BQ7+BX7+CE7,0))</f>
        <v>70</v>
      </c>
      <c r="DH7" s="86">
        <f t="shared" si="43"/>
        <v>63</v>
      </c>
      <c r="DI7" s="109">
        <f t="shared" ref="DI7:DI23" si="44">IFERROR((DH7/DG7),0)</f>
        <v>0.9</v>
      </c>
      <c r="DJ7" s="86">
        <f>IFERROR(IF($DG$5="S 1",I7+P7+W7+AD7+AK7++AR7,
IF($DG$5="S 2",AY7+BF7+BM7+BT7+CA7+CH7,0)),0)</f>
        <v>62</v>
      </c>
      <c r="DK7" s="297">
        <f t="shared" ref="DK7:DK23" si="45">IF(DH7=0,"N.D.",DJ7/DH7)</f>
        <v>0.98412698412698407</v>
      </c>
      <c r="DL7" s="348">
        <f>IFERROR(IF($DG$5="S 1",K7+R7+Y7+AF7+AM7+AT7,
IF($DG$5="S 2",BA7+BH7+BO7+BV7+CC7+CJ7,0)),0)</f>
        <v>29</v>
      </c>
      <c r="DM7" s="150">
        <f t="shared" ref="DM7:DM23" si="46">IFERROR((DL7/DG7),0)</f>
        <v>0.41428571428571431</v>
      </c>
      <c r="DN7" s="54">
        <f t="shared" ref="DN7:DO10" si="47">IF($DN$5="S 1",F7+M7+T7+AA7+AH7+AO7,
IF($DN$5="S 2",AV7+BC7+BJ7+BQ7+BX7+CE7,0))</f>
        <v>0</v>
      </c>
      <c r="DO7" s="79">
        <f t="shared" si="47"/>
        <v>0</v>
      </c>
      <c r="DP7" s="109">
        <f t="shared" ref="DP7:DP23" si="48">IFERROR((DO7/DN7),0)</f>
        <v>0</v>
      </c>
      <c r="DQ7" s="86">
        <f>IFERROR(IF($DN$5="S 1",I7+P7+W7+AD7+AK7++AR7,
IF($DN$5="S 2",AY7+BF7+BM7+BT7+CA7+CH7,0)),0)</f>
        <v>0</v>
      </c>
      <c r="DR7" s="297" t="str">
        <f t="shared" ref="DR7:DR23" si="49">IF(DO7=0,"N.D.",DQ7/DO7)</f>
        <v>N.D.</v>
      </c>
      <c r="DS7" s="348">
        <f>IFERROR(IF($DN$5="S 1",K7+R7+Y7+AF7+AM7+AT7,
IF($DN$5="S 2",BA7+BH7+BO7+BV7+CC7+CJ7,0)),0)</f>
        <v>0</v>
      </c>
      <c r="DT7" s="150">
        <f t="shared" ref="DT7:DT23" si="50">IFERROR((DS7/DN7),0)</f>
        <v>0</v>
      </c>
      <c r="DU7" s="53">
        <v>1</v>
      </c>
      <c r="DZ7" s="513"/>
      <c r="EB7" s="513"/>
      <c r="ED7" s="513"/>
    </row>
    <row r="8" spans="1:134" s="53" customFormat="1" ht="16" customHeight="1" x14ac:dyDescent="0.3">
      <c r="A8" s="53">
        <f>_xlfn.XLOOKUP(B8,'UC MINI 2026'!$B$5:$B$61,'UC MINI 2026'!$A$5:$A$61)</f>
        <v>1</v>
      </c>
      <c r="B8" s="179">
        <v>100873</v>
      </c>
      <c r="C8" s="381" t="s">
        <v>166</v>
      </c>
      <c r="D8" s="146"/>
      <c r="E8" s="309" t="s">
        <v>156</v>
      </c>
      <c r="F8" s="54">
        <f>SUMIF('UC MINI 2026'!$B$5:$B$71,'UC MINI 2026 MINI NEXT'!$B8,'UC MINI 2026'!$F$5:$F$71)</f>
        <v>12</v>
      </c>
      <c r="G8" s="86">
        <f>SUMIF('UC MINI 2026'!$B$5:$B$71,'UC MINI 2026 MINI NEXT'!$B8,'UC MINI 2026'!$G$5:$G$71)</f>
        <v>15</v>
      </c>
      <c r="H8" s="297">
        <f t="shared" si="0"/>
        <v>1.25</v>
      </c>
      <c r="I8" s="86">
        <f>IFERROR(VLOOKUP(B8,[2]BPS!$S$10:$AF$64,3,0),0)-IF(B8=100873,IFERROR(VLOOKUP("Enero",[2]BPS!$S$74:$T$89,2,0),0),0)</f>
        <v>12</v>
      </c>
      <c r="J8" s="297">
        <f t="shared" si="1"/>
        <v>0.8</v>
      </c>
      <c r="K8" s="86">
        <f>IFERROR(VLOOKUP(B8,'[2]RETAIL ORIGEN RMKT'!$S$11:$AF$62,3,0),0)</f>
        <v>0</v>
      </c>
      <c r="L8" s="150">
        <f t="shared" si="2"/>
        <v>0</v>
      </c>
      <c r="M8" s="79">
        <f>SUMIF('UC MINI 2026'!$B$5:$B$61,'UC MINI 2026 MINI NEXT'!$B8,'UC MINI 2026'!$H$5:$H$61)</f>
        <v>12</v>
      </c>
      <c r="N8" s="86">
        <f>SUMIF('UC MINI 2026'!$B$5:$B$61,'UC MINI 2026 MINI NEXT'!$B8,'UC MINI 2026'!$I$5:$I$61)</f>
        <v>16</v>
      </c>
      <c r="O8" s="297">
        <f t="shared" si="3"/>
        <v>1.3333333333333333</v>
      </c>
      <c r="P8" s="86">
        <f>IFERROR(VLOOKUP(B8,[2]BPS!$S$10:$AF$64,4,0),0)-IF(B8=100873,IFERROR(VLOOKUP("FEBRERO",[2]BPS!$S$74:$T$89,2,0),0),0)</f>
        <v>15</v>
      </c>
      <c r="Q8" s="297">
        <f t="shared" si="4"/>
        <v>0.9375</v>
      </c>
      <c r="R8" s="86">
        <f>IFERROR(VLOOKUP(B8,'[2]RETAIL ORIGEN RMKT'!$S$11:$AF$62,4,0),0)</f>
        <v>0</v>
      </c>
      <c r="S8" s="150">
        <f t="shared" si="5"/>
        <v>0</v>
      </c>
      <c r="T8" s="148">
        <f>SUMIF('UC MINI 2026'!$B$5:$B$71,'UC MINI 2026 MINI NEXT'!$B8,'UC MINI 2026'!$J$5:$J$71)</f>
        <v>13</v>
      </c>
      <c r="U8" s="86">
        <f>SUMIF('UC MINI 2026'!$B$5:$B$61,'UC MINI 2026 MINI NEXT'!$B8,'UC MINI 2026'!$K$5:$K$61)</f>
        <v>14</v>
      </c>
      <c r="V8" s="297">
        <f t="shared" si="6"/>
        <v>1.0769230769230769</v>
      </c>
      <c r="W8" s="86">
        <f>IFERROR(VLOOKUP(B8,[2]BPS!$S$10:$AF$64,5,0),0)-IF(B8=100873,IFERROR(VLOOKUP("MARZO",[2]BPS!$S$74:$T$89,2,0),0),0)</f>
        <v>13</v>
      </c>
      <c r="X8" s="297">
        <f t="shared" si="7"/>
        <v>0.9285714285714286</v>
      </c>
      <c r="Y8" s="86">
        <f>IFERROR(VLOOKUP(B8,'[2]RETAIL ORIGEN RMKT'!$S$11:$AF$62,5,0),0)</f>
        <v>5</v>
      </c>
      <c r="Z8" s="150">
        <f t="shared" si="8"/>
        <v>0.38461538461538464</v>
      </c>
      <c r="AA8" s="148">
        <f>SUMIF('UC MINI 2026'!$B$5:$B$61,'UC MINI 2026 MINI NEXT'!$B8,'UC MINI 2026'!$L$5:$L$61)</f>
        <v>12</v>
      </c>
      <c r="AB8" s="86">
        <f>SUMIF('UC MINI 2026'!$B$5:$B$61,'UC MINI 2026 MINI NEXT'!$B8,'UC MINI 2026'!$M$5:$M$61)</f>
        <v>17</v>
      </c>
      <c r="AC8" s="297">
        <f t="shared" si="9"/>
        <v>1.4166666666666667</v>
      </c>
      <c r="AD8" s="86">
        <f>IFERROR(VLOOKUP(B8,[2]BPS!$S$10:$AF$64,6,0),0)-IF(B8=100873,IFERROR(VLOOKUP("ABRIL",[2]BPS!$S$74:$T$89,2,0),0),0)</f>
        <v>14</v>
      </c>
      <c r="AE8" s="285">
        <f t="shared" si="10"/>
        <v>0.82352941176470584</v>
      </c>
      <c r="AF8" s="86">
        <f>IFERROR(VLOOKUP(B8,'[2]RETAIL ORIGEN RMKT'!$S$11:$AF$62,6,0),0)</f>
        <v>5</v>
      </c>
      <c r="AG8" s="150">
        <f t="shared" si="11"/>
        <v>0.41666666666666669</v>
      </c>
      <c r="AH8" s="148">
        <f>SUMIF('UC MINI 2026'!$B$5:$B$61,'UC MINI 2026 MINI NEXT'!$B8,'UC MINI 2026'!$N$5:$N$61)</f>
        <v>13</v>
      </c>
      <c r="AI8" s="86">
        <f>SUMIF('UC MINI 2026'!$B$5:$B$61,'UC MINI 2026 MINI NEXT'!$B8,'UC MINI 2026'!$O$5:$O$61)</f>
        <v>22</v>
      </c>
      <c r="AJ8" s="297">
        <f t="shared" si="12"/>
        <v>1.6923076923076923</v>
      </c>
      <c r="AK8" s="86">
        <f>IFERROR(VLOOKUP(B8,[2]BPS!$S$10:$AF$64,7,0),0)-IF(B8=100873,IFERROR(VLOOKUP("MAYO",[2]BPS!$S$74:$T$89,2,0),0),0)</f>
        <v>21</v>
      </c>
      <c r="AL8" s="285">
        <f t="shared" si="13"/>
        <v>0.95454545454545459</v>
      </c>
      <c r="AM8" s="86">
        <f>IFERROR(VLOOKUP(B8,'[2]RETAIL ORIGEN RMKT'!$S$11:$AF$62,7,0),0)</f>
        <v>7</v>
      </c>
      <c r="AN8" s="150">
        <f t="shared" si="14"/>
        <v>0.53846153846153844</v>
      </c>
      <c r="AO8" s="148">
        <f>SUMIF('UC MINI 2026'!$B$5:$B$61,'UC MINI 2026 MINI NEXT'!$B8,'UC MINI 2026'!$P$5:$P$61)</f>
        <v>13</v>
      </c>
      <c r="AP8" s="86">
        <f>SUMIF('UC MINI 2026'!$B$5:$B$61,'UC MINI 2026 MINI NEXT'!$B8,'UC MINI 2026'!$Q$5:$Q$61)</f>
        <v>23</v>
      </c>
      <c r="AQ8" s="297">
        <f t="shared" si="15"/>
        <v>1.7692307692307692</v>
      </c>
      <c r="AR8" s="86">
        <f>IFERROR(VLOOKUP(B8,[2]BPS!$S$10:$AF$64,8,0),0)-IF(B8=100873,IFERROR(VLOOKUP("JUNIO",[2]BPS!$S$74:$T$89,2,0),0),0)</f>
        <v>23</v>
      </c>
      <c r="AS8" s="285">
        <f t="shared" si="16"/>
        <v>1</v>
      </c>
      <c r="AT8" s="86">
        <f>IFERROR(VLOOKUP(B8,'[2]RETAIL ORIGEN RMKT'!$S$11:$AF$62,8,0),0)</f>
        <v>10</v>
      </c>
      <c r="AU8" s="150">
        <f t="shared" si="17"/>
        <v>0.76923076923076927</v>
      </c>
      <c r="AV8" s="148">
        <f>SUMIF('UC MINI 2026'!$B$5:$B$61,'UC MINI 2026 MINI NEXT'!$B8,'UC MINI 2026'!$R$5:$R$61)</f>
        <v>0</v>
      </c>
      <c r="AW8" s="86">
        <f>SUMIF('UC MINI 2026'!$B$5:$B$61,'UC MINI 2026 MINI NEXT'!$B8,'UC MINI 2026'!$S$5:$S$61)</f>
        <v>0</v>
      </c>
      <c r="AX8" s="297">
        <f t="shared" si="18"/>
        <v>0</v>
      </c>
      <c r="AY8" s="86">
        <f>IFERROR(VLOOKUP(B8,[2]BPS!$S$10:$AF$64,9,0),0)-IF(B8=100873,IFERROR(VLOOKUP("JULIO",[2]BPS!$S$74:$T$89,2,0),0),0)</f>
        <v>0</v>
      </c>
      <c r="AZ8" s="285">
        <f t="shared" si="19"/>
        <v>0</v>
      </c>
      <c r="BA8" s="86">
        <f>IFERROR(VLOOKUP(I8,'[2]RETAIL ORIGEN RMKT'!$S$11:$AF$62,9,0),0)</f>
        <v>0</v>
      </c>
      <c r="BB8" s="150">
        <f t="shared" si="20"/>
        <v>0</v>
      </c>
      <c r="BC8" s="148">
        <f>SUMIF('UC MINI 2026'!$B$5:$B$61,'UC MINI 2026 MINI NEXT'!$B8,'UC MINI 2026'!$T$5:$T$61)</f>
        <v>0</v>
      </c>
      <c r="BD8" s="86">
        <f>SUMIF('UC MINI 2026'!$B$5:$B$61,'UC MINI 2026 MINI NEXT'!$B8,'UC MINI 2026'!$U$5:$U$61)</f>
        <v>0</v>
      </c>
      <c r="BE8" s="297">
        <f t="shared" si="21"/>
        <v>0</v>
      </c>
      <c r="BF8" s="86">
        <f>IFERROR(VLOOKUP(B8,[2]BPS!$S$10:$AF$64,10,0),0)-IF(B8=100873,IFERROR(VLOOKUP("AGOSTO",[2]BPS!$S$74:$T$89,2,0),0),0)</f>
        <v>0</v>
      </c>
      <c r="BG8" s="285">
        <f t="shared" si="22"/>
        <v>0</v>
      </c>
      <c r="BH8" s="86">
        <f>IFERROR(VLOOKUP(P8,'[2]RETAIL ORIGEN RMKT'!$S$11:$AF$62,10,0),0)</f>
        <v>0</v>
      </c>
      <c r="BI8" s="150">
        <f t="shared" si="23"/>
        <v>0</v>
      </c>
      <c r="BJ8" s="148">
        <f>SUMIF('UC MINI 2026'!$B$5:$B$61,'UC MINI 2026 MINI NEXT'!$B8,'UC MINI 2026'!$V$5:$V$61)</f>
        <v>0</v>
      </c>
      <c r="BK8" s="86">
        <f>SUMIF('UC MINI 2026'!$B$5:$B$61,'UC MINI 2026 MINI NEXT'!$B8,'UC MINI 2026'!$W$5:$W$61)</f>
        <v>0</v>
      </c>
      <c r="BL8" s="297">
        <f t="shared" si="24"/>
        <v>0</v>
      </c>
      <c r="BM8" s="86">
        <f>IFERROR(VLOOKUP(B8,[2]BPS!$S$10:$AF$64,11,0),0)-IF(B8=100873,IFERROR(VLOOKUP("SEPTIEMBRE",[2]BPS!$S$74:$T$89,2,0),0),0)</f>
        <v>0</v>
      </c>
      <c r="BN8" s="285">
        <f t="shared" si="25"/>
        <v>0</v>
      </c>
      <c r="BO8" s="86">
        <f>IFERROR(VLOOKUP(W8,'[2]RETAIL ORIGEN RMKT'!$S$11:$AF$62,11,0),0)</f>
        <v>0</v>
      </c>
      <c r="BP8" s="150">
        <f t="shared" si="26"/>
        <v>0</v>
      </c>
      <c r="BQ8" s="148">
        <f>SUMIF('UC MINI 2026'!$B$5:$B$61,'UC MINI 2026 MINI NEXT'!$B8,'UC MINI 2026'!$V$5:$V$61)</f>
        <v>0</v>
      </c>
      <c r="BR8" s="86">
        <f>SUMIF('UC MINI 2026'!$B$5:$B$61,'UC MINI 2026 MINI NEXT'!$B8,'UC MINI 2026'!$Y$5:$Y$61)</f>
        <v>0</v>
      </c>
      <c r="BS8" s="297">
        <f t="shared" si="27"/>
        <v>0</v>
      </c>
      <c r="BT8" s="86">
        <f>IFERROR(VLOOKUP(B8,[2]BPS!$S$10:$AF$64,12,0),0)-IF(B8=100873,IFERROR(VLOOKUP("OCTUBRE",[2]BPS!$S$74:$T$89,2,0),0),0)</f>
        <v>0</v>
      </c>
      <c r="BU8" s="285">
        <f t="shared" si="28"/>
        <v>0</v>
      </c>
      <c r="BV8" s="86">
        <f>IFERROR(VLOOKUP(AD8,'[2]RETAIL ORIGEN RMKT'!$S$11:$AF$62,12,0),0)</f>
        <v>0</v>
      </c>
      <c r="BW8" s="150">
        <f t="shared" si="29"/>
        <v>0</v>
      </c>
      <c r="BX8" s="148">
        <f>SUMIF('UC MINI 2026'!$B$5:$B$61,'UC MINI 2026 MINI NEXT'!$B8,'UC MINI 2026'!$V$5:$V$61)</f>
        <v>0</v>
      </c>
      <c r="BY8" s="86">
        <f>SUMIF('UC MINI 2026'!$B$5:$B$61,'UC MINI 2026 MINI NEXT'!$B8,'UC MINI 2026'!$AA$5:$AA$61)</f>
        <v>0</v>
      </c>
      <c r="BZ8" s="297">
        <f t="shared" si="30"/>
        <v>0</v>
      </c>
      <c r="CA8" s="86">
        <f>IFERROR(VLOOKUP(B8,[2]BPS!$S$10:$AF$64,13,0),0)-IF(B8=100873,IFERROR(VLOOKUP("NOVIEMBRE",[2]BPS!$S$74:$T$89,2,0),0),0)</f>
        <v>0</v>
      </c>
      <c r="CB8" s="285">
        <f t="shared" si="31"/>
        <v>0</v>
      </c>
      <c r="CC8" s="86">
        <f>IFERROR(VLOOKUP(AK8,'[2]RETAIL ORIGEN RMKT'!$S$11:$AF$62,13,0),0)</f>
        <v>0</v>
      </c>
      <c r="CD8" s="150">
        <f t="shared" si="32"/>
        <v>0</v>
      </c>
      <c r="CE8" s="148">
        <f>SUMIF('UC MINI 2026'!$B$5:$B$61,'UC MINI 2026 MINI NEXT'!$B8,'UC MINI 2026'!$V$5:$V$61)</f>
        <v>0</v>
      </c>
      <c r="CF8" s="86">
        <f>SUMIF('UC MINI 2026'!$B$5:$B$61,'UC MINI 2026 MINI NEXT'!$B8,'UC MINI 2026'!$AC$5:$AC$61)</f>
        <v>0</v>
      </c>
      <c r="CG8" s="297">
        <f t="shared" si="33"/>
        <v>0</v>
      </c>
      <c r="CH8" s="86">
        <f>IFERROR(VLOOKUP(B8,[2]BPS!$S$10:$AF$64,14,0),0)-IF(B8=100873,IFERROR(VLOOKUP("DICIEMBRE",[2]BPS!$S$74:$T$89,2,0),0),0)</f>
        <v>0</v>
      </c>
      <c r="CI8" s="285">
        <f t="shared" si="34"/>
        <v>0</v>
      </c>
      <c r="CJ8" s="86">
        <f>IFERROR(VLOOKUP(AR8,'[2]RETAIL ORIGEN RMKT'!$S$11:$AF$62,14,0),0)</f>
        <v>0</v>
      </c>
      <c r="CK8" s="150">
        <f t="shared" si="35"/>
        <v>0</v>
      </c>
      <c r="CL8" s="54">
        <f t="shared" si="36"/>
        <v>75</v>
      </c>
      <c r="CM8" s="86">
        <f t="shared" si="36"/>
        <v>107</v>
      </c>
      <c r="CN8" s="109">
        <f t="shared" si="37"/>
        <v>1.4266666666666667</v>
      </c>
      <c r="CO8" s="86">
        <f>IFERROR(IF($CL$4="ENERO",I8,IF($CL$4="FEBRERO",I8+P8,IF($CL$4="MARZO",I8+P8+W8,IF($CL$4="ABRIL",I8+P8+W8+AD8,IF($CL$4="MAYO",I8+P8+W8+AD8+AK8,IF($CL$4="JUNIO",I8+P8+W8+AD8+AK8+AR8,IF($CL$4="JULIO",I8+P8+W8+AD8+AK8+AR8+AY8,IF($CL$4="AGOSTO",I8+P8+W8+AD8+AK8+AR8+AY8+BF8,IF($CL$4="SEPTIEMBRE",I8+P8+W8+AD8+AK8+AR8+AY8+BF8+BM8,IF($CL$4="OCTUBRE",I8+P8+W8+AD8+AK8+AR8+AY8+BF8+BM8+BT8,IF($CL$4="NOVIEMBRE",I8+P8+W8+AD8+AK8+AR8+AY8+BF8+BM8+BT8+CA8,IF($CL$4="DICIEMBRE",I8+P8+W8+AD8+AK8+AR8+AY8+BF8+BM8+BT8+CA8+CH8,"")))))))))))),0)</f>
        <v>98</v>
      </c>
      <c r="CP8" s="297">
        <f>IFERROR(IF(CM8=0,"N.D.",CO8/CM8),0)</f>
        <v>0.91588785046728971</v>
      </c>
      <c r="CQ8" s="348">
        <f>IFERROR(IF($CL$4="ENERO",K8,
IF($CL$4="FEBRERO",K8+R8,
IF($CL$4="MARZO",K8+R8+Y8,
IF($CL$4="ABRIL",K8+R8+Y8+AF8,
IF($CL$4="MAYO",K8+R8+Y8+AF8+AM8,
IF($CL$4="JUNIO",K8+R8+Y8+AF8+AM8+AT8,
IF($CL$4="JULIO",K8+R8+Y8+AF8+AM8+AT8+BA8,
IF($CL$4="AGOSTO",K8+R8+Y8+AF8+AM8+AT8+BA8+BH8,
IF($CL$4="SEPTIEMBRE",K8+R8+Y8+AF8+AM8+AT8+BA8+BH8+BO8,
IF($CL$4="OCTUBRE",K8+R8+Y8+AF8+AM8+AT8+BA8+BH8+BO8+BV8,
IF($CL$4="NOVIEMBRE",K8+R8+Y8+AF8+AM8+AT8+BA8+BH8+BO8+BV8+CC8,
IF($CL$4="DICIEMBRE",K8+R8+Y8+AF8+AM8+AT8+BA8+BH8+BO8+BV8+CC8+CJ8,"")))))))))))),0)</f>
        <v>27</v>
      </c>
      <c r="CR8" s="149">
        <f t="shared" si="38"/>
        <v>0.36</v>
      </c>
      <c r="CS8" s="54">
        <f>+F8+M8+T8+AA8+AH8+AO8++AV8+BC8+BJ8+BQ8+BX8+CE8</f>
        <v>75</v>
      </c>
      <c r="CT8" s="86">
        <f>SUMIFS($F8:$CI8,$F$6:$CI$6,CT$6,$F$2:$CI$2,$CL$4)</f>
        <v>107</v>
      </c>
      <c r="CU8" s="109">
        <f>IFERROR((CT8/CS8),0)</f>
        <v>1.4266666666666667</v>
      </c>
      <c r="CV8" s="86">
        <f>IFERROR(I8+P8+W8+AD8+AK8+AR8+AY8+BF8+BM8+BT8+CA8+CH8,0)</f>
        <v>98</v>
      </c>
      <c r="CW8" s="297">
        <f>IF(CT8=0,"N.D.",CV8/CT8)</f>
        <v>0.91588785046728971</v>
      </c>
      <c r="CX8" s="348">
        <f>IFERROR(K8+R8+Y8+AF8+AM8+AT8+BA8+BH8+BO8+BV8+CC8+CJ8,0)</f>
        <v>27</v>
      </c>
      <c r="CY8" s="149">
        <f t="shared" si="39"/>
        <v>0.36</v>
      </c>
      <c r="CZ8" s="54">
        <f t="shared" si="40"/>
        <v>37</v>
      </c>
      <c r="DA8" s="86">
        <f t="shared" si="40"/>
        <v>45</v>
      </c>
      <c r="DB8" s="109">
        <f t="shared" si="41"/>
        <v>1.2162162162162162</v>
      </c>
      <c r="DC8" s="86">
        <f>IFERROR(IF($CZ$5="Q1",I8+P8+W8,
IF($CZ$5="Q2",AD8+AK8++AR8,
IF($CZ$5="Q3",AY8+BF8+BM8,
IF($CZ$5="Q4",BT8+CA8+CH8,0)))),0)</f>
        <v>40</v>
      </c>
      <c r="DD8" s="297">
        <f>IF(DA8=0,"N.D.",DC8/DA8)</f>
        <v>0.88888888888888884</v>
      </c>
      <c r="DE8" s="348">
        <f>IFERROR(IF($CZ$5="Q1",K8+R8+Y8,
IF($CZ$5="Q2",AF8+AM8+AT8,
IF($CZ$5="Q3",BA8+BH8+BO8,
IF($CZ$5="Q4",BV8+CC8+CJ8,0)))),0)</f>
        <v>5</v>
      </c>
      <c r="DF8" s="150">
        <f t="shared" si="42"/>
        <v>0.13513513513513514</v>
      </c>
      <c r="DG8" s="54">
        <f t="shared" si="43"/>
        <v>75</v>
      </c>
      <c r="DH8" s="86">
        <f t="shared" si="43"/>
        <v>107</v>
      </c>
      <c r="DI8" s="109">
        <f t="shared" si="44"/>
        <v>1.4266666666666667</v>
      </c>
      <c r="DJ8" s="86">
        <f>IFERROR(IF($DG$5="S 1",I8+P8+W8+AD8+AK8++AR8,
IF($DG$5="S 2",AY8+BF8+BM8+BT8+CA8+CH8,0)),0)</f>
        <v>98</v>
      </c>
      <c r="DK8" s="297">
        <f t="shared" si="45"/>
        <v>0.91588785046728971</v>
      </c>
      <c r="DL8" s="348">
        <f>IFERROR(IF($DG$5="S 1",K8+R8+Y8+AF8+AM8+AT8,
IF($DG$5="S 2",BA8+BH8+BO8+BV8+CC8+CJ8,0)),0)</f>
        <v>27</v>
      </c>
      <c r="DM8" s="150">
        <f t="shared" si="46"/>
        <v>0.36</v>
      </c>
      <c r="DN8" s="54">
        <f t="shared" si="47"/>
        <v>0</v>
      </c>
      <c r="DO8" s="79">
        <f t="shared" si="47"/>
        <v>0</v>
      </c>
      <c r="DP8" s="109">
        <f t="shared" si="48"/>
        <v>0</v>
      </c>
      <c r="DQ8" s="86">
        <f>IFERROR(IF($DN$5="S 1",I8+P8+W8+AD8+AK8++AR8,
IF($DN$5="S 2",AY8+BF8+BM8+BT8+CA8+CH8,0)),0)</f>
        <v>0</v>
      </c>
      <c r="DR8" s="297" t="str">
        <f t="shared" si="49"/>
        <v>N.D.</v>
      </c>
      <c r="DS8" s="348">
        <f>IFERROR(IF($DN$5="S 1",K8+R8+Y8+AF8+AM8+AT8,
IF($DN$5="S 2",BA8+BH8+BO8+BV8+CC8+CJ8,0)),0)</f>
        <v>0</v>
      </c>
      <c r="DT8" s="150">
        <f t="shared" si="50"/>
        <v>0</v>
      </c>
      <c r="DU8" s="53">
        <v>1</v>
      </c>
      <c r="DZ8" s="513"/>
      <c r="EB8" s="513"/>
      <c r="ED8" s="513"/>
    </row>
    <row r="9" spans="1:134" s="53" customFormat="1" ht="16" customHeight="1" x14ac:dyDescent="0.3">
      <c r="A9" s="53">
        <f>_xlfn.XLOOKUP(B9,'UC MINI 2026'!$B$5:$B$61,'UC MINI 2026'!$A$5:$A$61)</f>
        <v>1</v>
      </c>
      <c r="B9" s="179">
        <v>100389</v>
      </c>
      <c r="C9" s="381" t="s">
        <v>40</v>
      </c>
      <c r="D9" s="146"/>
      <c r="E9" s="309" t="s">
        <v>275</v>
      </c>
      <c r="F9" s="54">
        <f>SUMIF('UC MINI 2026'!$B$5:$B$71,'UC MINI 2026 MINI NEXT'!$B9,'UC MINI 2026'!$F$5:$F$71)</f>
        <v>5</v>
      </c>
      <c r="G9" s="86">
        <f>SUMIF('UC MINI 2026'!$B$5:$B$71,'UC MINI 2026 MINI NEXT'!$B9,'UC MINI 2026'!$G$5:$G$71)</f>
        <v>3</v>
      </c>
      <c r="H9" s="297">
        <f t="shared" si="0"/>
        <v>0.6</v>
      </c>
      <c r="I9" s="86">
        <f>IFERROR(VLOOKUP(B9,[2]BPS!$S$10:$AF$64,3,0),0)-IF(B9=100873,IFERROR(VLOOKUP("Enero",[2]BPS!$S$74:$T$89,2,0),0),0)</f>
        <v>3</v>
      </c>
      <c r="J9" s="297">
        <f t="shared" si="1"/>
        <v>1</v>
      </c>
      <c r="K9" s="86">
        <f>IFERROR(VLOOKUP(B9,'[2]RETAIL ORIGEN RMKT'!$S$11:$AF$62,3,0),0)</f>
        <v>0</v>
      </c>
      <c r="L9" s="150">
        <f t="shared" si="2"/>
        <v>0</v>
      </c>
      <c r="M9" s="79">
        <f>SUMIF('UC MINI 2026'!$B$5:$B$61,'UC MINI 2026 MINI NEXT'!$B9,'UC MINI 2026'!$H$5:$H$61)</f>
        <v>5</v>
      </c>
      <c r="N9" s="86">
        <f>SUMIF('UC MINI 2026'!$B$5:$B$61,'UC MINI 2026 MINI NEXT'!$B9,'UC MINI 2026'!$I$5:$I$61)</f>
        <v>6</v>
      </c>
      <c r="O9" s="297">
        <f t="shared" si="3"/>
        <v>1.2</v>
      </c>
      <c r="P9" s="86">
        <f>IFERROR(VLOOKUP(B9,[2]BPS!$S$10:$AF$64,4,0),0)-IF(B9=100873,IFERROR(VLOOKUP("FEBRERO",[2]BPS!$S$74:$T$89,2,0),0),0)</f>
        <v>5</v>
      </c>
      <c r="Q9" s="297">
        <f t="shared" si="4"/>
        <v>0.83333333333333337</v>
      </c>
      <c r="R9" s="86">
        <f>IFERROR(VLOOKUP(B9,'[2]RETAIL ORIGEN RMKT'!$S$11:$AF$62,4,0),0)</f>
        <v>1</v>
      </c>
      <c r="S9" s="150">
        <f t="shared" si="5"/>
        <v>0.2</v>
      </c>
      <c r="T9" s="148">
        <f>SUMIF('UC MINI 2026'!$B$5:$B$71,'UC MINI 2026 MINI NEXT'!$B9,'UC MINI 2026'!$J$5:$J$71)</f>
        <v>5</v>
      </c>
      <c r="U9" s="86">
        <f>SUMIF('UC MINI 2026'!$B$5:$B$61,'UC MINI 2026 MINI NEXT'!$B9,'UC MINI 2026'!$K$5:$K$61)</f>
        <v>8</v>
      </c>
      <c r="V9" s="297">
        <f t="shared" si="6"/>
        <v>1.6</v>
      </c>
      <c r="W9" s="86">
        <f>IFERROR(VLOOKUP(B9,[2]BPS!$S$10:$AF$64,5,0),0)-IF(B9=100873,IFERROR(VLOOKUP("MARZO",[2]BPS!$S$74:$T$89,2,0),0),0)</f>
        <v>6</v>
      </c>
      <c r="X9" s="297">
        <f t="shared" si="7"/>
        <v>0.75</v>
      </c>
      <c r="Y9" s="86">
        <f>IFERROR(VLOOKUP(B9,'[2]RETAIL ORIGEN RMKT'!$S$11:$AF$62,5,0),0)</f>
        <v>0</v>
      </c>
      <c r="Z9" s="150">
        <f t="shared" si="8"/>
        <v>0</v>
      </c>
      <c r="AA9" s="148">
        <f>SUMIF('UC MINI 2026'!$B$5:$B$61,'UC MINI 2026 MINI NEXT'!$B9,'UC MINI 2026'!$L$5:$L$61)</f>
        <v>5</v>
      </c>
      <c r="AB9" s="86">
        <f>SUMIF('UC MINI 2026'!$B$5:$B$61,'UC MINI 2026 MINI NEXT'!$B9,'UC MINI 2026'!$M$5:$M$61)</f>
        <v>4</v>
      </c>
      <c r="AC9" s="297">
        <f t="shared" si="9"/>
        <v>0.8</v>
      </c>
      <c r="AD9" s="86">
        <f>IFERROR(VLOOKUP(B9,[2]BPS!$S$10:$AF$64,6,0),0)-IF(B9=100873,IFERROR(VLOOKUP("ABRIL",[2]BPS!$S$74:$T$89,2,0),0),0)</f>
        <v>3</v>
      </c>
      <c r="AE9" s="285">
        <f t="shared" si="10"/>
        <v>0.75</v>
      </c>
      <c r="AF9" s="86">
        <f>IFERROR(VLOOKUP(B9,'[2]RETAIL ORIGEN RMKT'!$S$11:$AF$62,6,0),0)</f>
        <v>0</v>
      </c>
      <c r="AG9" s="150">
        <f t="shared" si="11"/>
        <v>0</v>
      </c>
      <c r="AH9" s="148">
        <f>SUMIF('UC MINI 2026'!$B$5:$B$61,'UC MINI 2026 MINI NEXT'!$B9,'UC MINI 2026'!$N$5:$N$61)</f>
        <v>5</v>
      </c>
      <c r="AI9" s="86">
        <f>SUMIF('UC MINI 2026'!$B$5:$B$61,'UC MINI 2026 MINI NEXT'!$B9,'UC MINI 2026'!$O$5:$O$61)</f>
        <v>4</v>
      </c>
      <c r="AJ9" s="297">
        <f t="shared" si="12"/>
        <v>0.8</v>
      </c>
      <c r="AK9" s="86">
        <f>IFERROR(VLOOKUP(B9,[2]BPS!$S$10:$AF$64,7,0),0)-IF(B9=100873,IFERROR(VLOOKUP("MAYO",[2]BPS!$S$74:$T$89,2,0),0),0)</f>
        <v>4</v>
      </c>
      <c r="AL9" s="285">
        <f t="shared" si="13"/>
        <v>1</v>
      </c>
      <c r="AM9" s="86">
        <f>IFERROR(VLOOKUP(B9,'[2]RETAIL ORIGEN RMKT'!$S$11:$AF$62,7,0),0)</f>
        <v>0</v>
      </c>
      <c r="AN9" s="150">
        <f t="shared" si="14"/>
        <v>0</v>
      </c>
      <c r="AO9" s="148">
        <f>SUMIF('UC MINI 2026'!$B$5:$B$61,'UC MINI 2026 MINI NEXT'!$B9,'UC MINI 2026'!$P$5:$P$61)</f>
        <v>5</v>
      </c>
      <c r="AP9" s="86">
        <f>SUMIF('UC MINI 2026'!$B$5:$B$61,'UC MINI 2026 MINI NEXT'!$B9,'UC MINI 2026'!$Q$5:$Q$61)</f>
        <v>3</v>
      </c>
      <c r="AQ9" s="297">
        <f t="shared" si="15"/>
        <v>0.6</v>
      </c>
      <c r="AR9" s="86">
        <f>IFERROR(VLOOKUP(B9,[2]BPS!$S$10:$AF$64,8,0),0)-IF(B9=100873,IFERROR(VLOOKUP("JUNIO",[2]BPS!$S$74:$T$89,2,0),0),0)</f>
        <v>1</v>
      </c>
      <c r="AS9" s="285">
        <f t="shared" si="16"/>
        <v>0.33333333333333331</v>
      </c>
      <c r="AT9" s="86">
        <f>IFERROR(VLOOKUP(B9,'[2]RETAIL ORIGEN RMKT'!$S$11:$AF$62,8,0),0)</f>
        <v>1</v>
      </c>
      <c r="AU9" s="150">
        <f t="shared" si="17"/>
        <v>0.2</v>
      </c>
      <c r="AV9" s="148">
        <f>SUMIF('UC MINI 2026'!$B$5:$B$61,'UC MINI 2026 MINI NEXT'!$B9,'UC MINI 2026'!$R$5:$R$61)</f>
        <v>0</v>
      </c>
      <c r="AW9" s="86">
        <f>SUMIF('UC MINI 2026'!$B$5:$B$61,'UC MINI 2026 MINI NEXT'!$B9,'UC MINI 2026'!$S$5:$S$61)</f>
        <v>0</v>
      </c>
      <c r="AX9" s="297">
        <f t="shared" si="18"/>
        <v>0</v>
      </c>
      <c r="AY9" s="86">
        <f>IFERROR(VLOOKUP(B9,[2]BPS!$S$10:$AF$64,9,0),0)-IF(B9=100873,IFERROR(VLOOKUP("JULIO",[2]BPS!$S$74:$T$89,2,0),0),0)</f>
        <v>0</v>
      </c>
      <c r="AZ9" s="285">
        <f t="shared" si="19"/>
        <v>0</v>
      </c>
      <c r="BA9" s="86">
        <f>IFERROR(VLOOKUP(I9,'[2]RETAIL ORIGEN RMKT'!$S$11:$AF$62,9,0),0)</f>
        <v>0</v>
      </c>
      <c r="BB9" s="150">
        <f t="shared" si="20"/>
        <v>0</v>
      </c>
      <c r="BC9" s="148">
        <f>SUMIF('UC MINI 2026'!$B$5:$B$61,'UC MINI 2026 MINI NEXT'!$B9,'UC MINI 2026'!$T$5:$T$61)</f>
        <v>0</v>
      </c>
      <c r="BD9" s="86">
        <f>SUMIF('UC MINI 2026'!$B$5:$B$61,'UC MINI 2026 MINI NEXT'!$B9,'UC MINI 2026'!$U$5:$U$61)</f>
        <v>0</v>
      </c>
      <c r="BE9" s="297">
        <f t="shared" si="21"/>
        <v>0</v>
      </c>
      <c r="BF9" s="86">
        <f>IFERROR(VLOOKUP(B9,[2]BPS!$S$10:$AF$64,10,0),0)-IF(B9=100873,IFERROR(VLOOKUP("AGOSTO",[2]BPS!$S$74:$T$89,2,0),0),0)</f>
        <v>0</v>
      </c>
      <c r="BG9" s="285">
        <f t="shared" si="22"/>
        <v>0</v>
      </c>
      <c r="BH9" s="86">
        <f>IFERROR(VLOOKUP(P9,'[2]RETAIL ORIGEN RMKT'!$S$11:$AF$62,10,0),0)</f>
        <v>0</v>
      </c>
      <c r="BI9" s="150">
        <f t="shared" si="23"/>
        <v>0</v>
      </c>
      <c r="BJ9" s="148">
        <f>SUMIF('UC MINI 2026'!$B$5:$B$61,'UC MINI 2026 MINI NEXT'!$B9,'UC MINI 2026'!$V$5:$V$61)</f>
        <v>0</v>
      </c>
      <c r="BK9" s="86">
        <f>SUMIF('UC MINI 2026'!$B$5:$B$61,'UC MINI 2026 MINI NEXT'!$B9,'UC MINI 2026'!$W$5:$W$61)</f>
        <v>0</v>
      </c>
      <c r="BL9" s="297">
        <f t="shared" si="24"/>
        <v>0</v>
      </c>
      <c r="BM9" s="86">
        <f>IFERROR(VLOOKUP(B9,[2]BPS!$S$10:$AF$64,11,0),0)-IF(B9=100873,IFERROR(VLOOKUP("SEPTIEMBRE",[2]BPS!$S$74:$T$89,2,0),0),0)</f>
        <v>0</v>
      </c>
      <c r="BN9" s="285">
        <f t="shared" si="25"/>
        <v>0</v>
      </c>
      <c r="BO9" s="86">
        <f>IFERROR(VLOOKUP(W9,'[2]RETAIL ORIGEN RMKT'!$S$11:$AF$62,11,0),0)</f>
        <v>0</v>
      </c>
      <c r="BP9" s="150">
        <f t="shared" si="26"/>
        <v>0</v>
      </c>
      <c r="BQ9" s="148">
        <f>SUMIF('UC MINI 2026'!$B$5:$B$61,'UC MINI 2026 MINI NEXT'!$B9,'UC MINI 2026'!$V$5:$V$61)</f>
        <v>0</v>
      </c>
      <c r="BR9" s="86">
        <f>SUMIF('UC MINI 2026'!$B$5:$B$61,'UC MINI 2026 MINI NEXT'!$B9,'UC MINI 2026'!$Y$5:$Y$61)</f>
        <v>0</v>
      </c>
      <c r="BS9" s="297">
        <f t="shared" si="27"/>
        <v>0</v>
      </c>
      <c r="BT9" s="86">
        <f>IFERROR(VLOOKUP(B9,[2]BPS!$S$10:$AF$64,12,0),0)-IF(B9=100873,IFERROR(VLOOKUP("OCTUBRE",[2]BPS!$S$74:$T$89,2,0),0),0)</f>
        <v>0</v>
      </c>
      <c r="BU9" s="285">
        <f t="shared" si="28"/>
        <v>0</v>
      </c>
      <c r="BV9" s="86">
        <f>IFERROR(VLOOKUP(AD9,'[2]RETAIL ORIGEN RMKT'!$S$11:$AF$62,12,0),0)</f>
        <v>0</v>
      </c>
      <c r="BW9" s="150">
        <f t="shared" si="29"/>
        <v>0</v>
      </c>
      <c r="BX9" s="148">
        <f>SUMIF('UC MINI 2026'!$B$5:$B$61,'UC MINI 2026 MINI NEXT'!$B9,'UC MINI 2026'!$V$5:$V$61)</f>
        <v>0</v>
      </c>
      <c r="BY9" s="86">
        <f>SUMIF('UC MINI 2026'!$B$5:$B$61,'UC MINI 2026 MINI NEXT'!$B9,'UC MINI 2026'!$AA$5:$AA$61)</f>
        <v>0</v>
      </c>
      <c r="BZ9" s="297">
        <f t="shared" si="30"/>
        <v>0</v>
      </c>
      <c r="CA9" s="86">
        <f>IFERROR(VLOOKUP(B9,[2]BPS!$S$10:$AF$64,13,0),0)-IF(B9=100873,IFERROR(VLOOKUP("NOVIEMBRE",[2]BPS!$S$74:$T$89,2,0),0),0)</f>
        <v>0</v>
      </c>
      <c r="CB9" s="285">
        <f t="shared" si="31"/>
        <v>0</v>
      </c>
      <c r="CC9" s="86">
        <f>IFERROR(VLOOKUP(AK9,'[2]RETAIL ORIGEN RMKT'!$S$11:$AF$62,13,0),0)</f>
        <v>0</v>
      </c>
      <c r="CD9" s="150">
        <f t="shared" si="32"/>
        <v>0</v>
      </c>
      <c r="CE9" s="148">
        <f>SUMIF('UC MINI 2026'!$B$5:$B$61,'UC MINI 2026 MINI NEXT'!$B9,'UC MINI 2026'!$V$5:$V$61)</f>
        <v>0</v>
      </c>
      <c r="CF9" s="86">
        <f>SUMIF('UC MINI 2026'!$B$5:$B$61,'UC MINI 2026 MINI NEXT'!$B9,'UC MINI 2026'!$AC$5:$AC$61)</f>
        <v>0</v>
      </c>
      <c r="CG9" s="297">
        <f t="shared" si="33"/>
        <v>0</v>
      </c>
      <c r="CH9" s="86">
        <f>IFERROR(VLOOKUP(B9,[2]BPS!$S$10:$AF$64,14,0),0)-IF(B9=100873,IFERROR(VLOOKUP("DICIEMBRE",[2]BPS!$S$74:$T$89,2,0),0),0)</f>
        <v>0</v>
      </c>
      <c r="CI9" s="285">
        <f t="shared" si="34"/>
        <v>0</v>
      </c>
      <c r="CJ9" s="86">
        <f>IFERROR(VLOOKUP(AR9,'[2]RETAIL ORIGEN RMKT'!$S$11:$AF$62,14,0),0)</f>
        <v>0</v>
      </c>
      <c r="CK9" s="150">
        <f t="shared" si="35"/>
        <v>0</v>
      </c>
      <c r="CL9" s="54">
        <f t="shared" si="36"/>
        <v>30</v>
      </c>
      <c r="CM9" s="86">
        <f t="shared" si="36"/>
        <v>28</v>
      </c>
      <c r="CN9" s="109">
        <f t="shared" si="37"/>
        <v>0.93333333333333335</v>
      </c>
      <c r="CO9" s="86">
        <f>IFERROR(IF($CL$4="ENERO",I9,IF($CL$4="FEBRERO",I9+P9,IF($CL$4="MARZO",I9+P9+W9,IF($CL$4="ABRIL",I9+P9+W9+AD9,IF($CL$4="MAYO",I9+P9+W9+AD9+AK9,IF($CL$4="JUNIO",I9+P9+W9+AD9+AK9+AR9,IF($CL$4="JULIO",I9+P9+W9+AD9+AK9+AR9+AY9,IF($CL$4="AGOSTO",I9+P9+W9+AD9+AK9+AR9+AY9+BF9,IF($CL$4="SEPTIEMBRE",I9+P9+W9+AD9+AK9+AR9+AY9+BF9+BM9,IF($CL$4="OCTUBRE",I9+P9+W9+AD9+AK9+AR9+AY9+BF9+BM9+BT9,IF($CL$4="NOVIEMBRE",I9+P9+W9+AD9+AK9+AR9+AY9+BF9+BM9+BT9+CA9,IF($CL$4="DICIEMBRE",I9+P9+W9+AD9+AK9+AR9+AY9+BF9+BM9+BT9+CA9+CH9,"")))))))))))),0)</f>
        <v>22</v>
      </c>
      <c r="CP9" s="297">
        <f>IFERROR(IF(CM9=0,"N.D.",CO9/CM9),0)</f>
        <v>0.7857142857142857</v>
      </c>
      <c r="CQ9" s="348">
        <f>IFERROR(IF($CL$4="ENERO",K9,
IF($CL$4="FEBRERO",K9+R9,
IF($CL$4="MARZO",K9+R9+Y9,
IF($CL$4="ABRIL",K9+R9+Y9+AF9,
IF($CL$4="MAYO",K9+R9+Y9+AF9+AM9,
IF($CL$4="JUNIO",K9+R9+Y9+AF9+AM9+AT9,
IF($CL$4="JULIO",K9+R9+Y9+AF9+AM9+AT9+BA9,
IF($CL$4="AGOSTO",K9+R9+Y9+AF9+AM9+AT9+BA9+BH9,
IF($CL$4="SEPTIEMBRE",K9+R9+Y9+AF9+AM9+AT9+BA9+BH9+BO9,
IF($CL$4="OCTUBRE",K9+R9+Y9+AF9+AM9+AT9+BA9+BH9+BO9+BV9,
IF($CL$4="NOVIEMBRE",K9+R9+Y9+AF9+AM9+AT9+BA9+BH9+BO9+BV9+CC9,
IF($CL$4="DICIEMBRE",K9+R9+Y9+AF9+AM9+AT9+BA9+BH9+BO9+BV9+CC9+CJ9,"")))))))))))),0)</f>
        <v>2</v>
      </c>
      <c r="CR9" s="149">
        <f t="shared" si="38"/>
        <v>6.6666666666666666E-2</v>
      </c>
      <c r="CS9" s="54">
        <f>+F9+M9+T9+AA9+AH9+AO9++AV9+BC9+BJ9+BQ9+BX9+CE9</f>
        <v>30</v>
      </c>
      <c r="CT9" s="86">
        <f>SUMIFS($F9:$CI9,$F$6:$CI$6,CT$6,$F$2:$CI$2,$CL$4)</f>
        <v>28</v>
      </c>
      <c r="CU9" s="109">
        <f>IFERROR((CT9/CS9),0)</f>
        <v>0.93333333333333335</v>
      </c>
      <c r="CV9" s="86">
        <f>IFERROR(I9+P9+W9+AD9+AK9+AR9+AY9+BF9+BM9+BT9+CA9+CH9,0)</f>
        <v>22</v>
      </c>
      <c r="CW9" s="297">
        <f>IF(CT9=0,"N.D.",CV9/CT9)</f>
        <v>0.7857142857142857</v>
      </c>
      <c r="CX9" s="348">
        <f>IFERROR(K9+R9+Y9+AF9+AM9+AT9+BA9+BH9+BO9+BV9+CC9+CJ9,0)</f>
        <v>2</v>
      </c>
      <c r="CY9" s="149">
        <f t="shared" si="39"/>
        <v>6.6666666666666666E-2</v>
      </c>
      <c r="CZ9" s="54">
        <f t="shared" si="40"/>
        <v>15</v>
      </c>
      <c r="DA9" s="86">
        <f t="shared" si="40"/>
        <v>17</v>
      </c>
      <c r="DB9" s="109">
        <f t="shared" si="41"/>
        <v>1.1333333333333333</v>
      </c>
      <c r="DC9" s="86">
        <f>IFERROR(IF($CZ$5="Q1",I9+P9+W9,
IF($CZ$5="Q2",AD9+AK9++AR9,
IF($CZ$5="Q3",AY9+BF9+BM9,
IF($CZ$5="Q4",BT9+CA9+CH9,0)))),0)</f>
        <v>14</v>
      </c>
      <c r="DD9" s="297">
        <f>IF(DA9=0,"N.D.",DC9/DA9)</f>
        <v>0.82352941176470584</v>
      </c>
      <c r="DE9" s="348">
        <f>IFERROR(IF($CZ$5="Q1",K9+R9+Y9,
IF($CZ$5="Q2",AF9+AM9+AT9,
IF($CZ$5="Q3",BA9+BH9+BO9,
IF($CZ$5="Q4",BV9+CC9+CJ9,0)))),0)</f>
        <v>1</v>
      </c>
      <c r="DF9" s="150">
        <f t="shared" si="42"/>
        <v>6.6666666666666666E-2</v>
      </c>
      <c r="DG9" s="54">
        <f t="shared" si="43"/>
        <v>30</v>
      </c>
      <c r="DH9" s="86">
        <f t="shared" si="43"/>
        <v>28</v>
      </c>
      <c r="DI9" s="109">
        <f t="shared" si="44"/>
        <v>0.93333333333333335</v>
      </c>
      <c r="DJ9" s="86">
        <f>IFERROR(IF($DG$5="S 1",I9+P9+W9+AD9+AK9++AR9,
IF($DG$5="S 2",AY9+BF9+BM9+BT9+CA9+CH9,0)),0)</f>
        <v>22</v>
      </c>
      <c r="DK9" s="297">
        <f t="shared" si="45"/>
        <v>0.7857142857142857</v>
      </c>
      <c r="DL9" s="348">
        <f>IFERROR(IF($DG$5="S 1",K9+R9+Y9+AF9+AM9+AT9,
IF($DG$5="S 2",BA9+BH9+BO9+BV9+CC9+CJ9,0)),0)</f>
        <v>2</v>
      </c>
      <c r="DM9" s="150">
        <f t="shared" si="46"/>
        <v>6.6666666666666666E-2</v>
      </c>
      <c r="DN9" s="54">
        <f t="shared" si="47"/>
        <v>0</v>
      </c>
      <c r="DO9" s="79">
        <f t="shared" si="47"/>
        <v>0</v>
      </c>
      <c r="DP9" s="109">
        <f t="shared" si="48"/>
        <v>0</v>
      </c>
      <c r="DQ9" s="86">
        <f>IFERROR(IF($DN$5="S 1",I9+P9+W9+AD9+AK9++AR9,
IF($DN$5="S 2",AY9+BF9+BM9+BT9+CA9+CH9,0)),0)</f>
        <v>0</v>
      </c>
      <c r="DR9" s="297" t="str">
        <f t="shared" si="49"/>
        <v>N.D.</v>
      </c>
      <c r="DS9" s="348">
        <f>IFERROR(IF($DN$5="S 1",K9+R9+Y9+AF9+AM9+AT9,
IF($DN$5="S 2",BA9+BH9+BO9+BV9+CC9+CJ9,0)),0)</f>
        <v>0</v>
      </c>
      <c r="DT9" s="150">
        <f t="shared" si="50"/>
        <v>0</v>
      </c>
      <c r="DU9" s="53">
        <v>1</v>
      </c>
      <c r="DZ9" s="513"/>
      <c r="EB9" s="513"/>
      <c r="ED9" s="513"/>
    </row>
    <row r="10" spans="1:134" s="53" customFormat="1" ht="16" customHeight="1" thickBot="1" x14ac:dyDescent="0.35">
      <c r="A10" s="53">
        <f>_xlfn.XLOOKUP(B10,'UC MINI 2026'!$B$5:$B$61,'UC MINI 2026'!$A$5:$A$61)</f>
        <v>1</v>
      </c>
      <c r="B10" s="179">
        <v>100738</v>
      </c>
      <c r="C10" s="381" t="s">
        <v>42</v>
      </c>
      <c r="D10" s="163"/>
      <c r="E10" s="309" t="s">
        <v>89</v>
      </c>
      <c r="F10" s="54">
        <f>SUMIF('UC MINI 2026'!$B$5:$B$71,'UC MINI 2026 MINI NEXT'!$B10,'UC MINI 2026'!$F$5:$F$71)</f>
        <v>5</v>
      </c>
      <c r="G10" s="86">
        <f>SUMIF('UC MINI 2026'!$B$5:$B$71,'UC MINI 2026 MINI NEXT'!$B10,'UC MINI 2026'!$G$5:$G$71)</f>
        <v>3</v>
      </c>
      <c r="H10" s="299">
        <f t="shared" si="0"/>
        <v>0.6</v>
      </c>
      <c r="I10" s="86">
        <f>IFERROR(VLOOKUP(B10,[2]BPS!$S$10:$AF$64,3,0),0)-IF(B10=100873,IFERROR(VLOOKUP("Enero",[2]BPS!$S$74:$T$89,2,0),0),0)</f>
        <v>2</v>
      </c>
      <c r="J10" s="299">
        <f t="shared" si="1"/>
        <v>0.66666666666666663</v>
      </c>
      <c r="K10" s="86">
        <f>IFERROR(VLOOKUP(B10,'[2]RETAIL ORIGEN RMKT'!$S$11:$AF$62,3,0),0)</f>
        <v>0</v>
      </c>
      <c r="L10" s="153">
        <f t="shared" si="2"/>
        <v>0</v>
      </c>
      <c r="M10" s="79">
        <f>SUMIF('UC MINI 2026'!$B$5:$B$61,'UC MINI 2026 MINI NEXT'!$B10,'UC MINI 2026'!$H$5:$H$61)</f>
        <v>5</v>
      </c>
      <c r="N10" s="86">
        <f>SUMIF('UC MINI 2026'!$B$5:$B$61,'UC MINI 2026 MINI NEXT'!$B10,'UC MINI 2026'!$I$5:$I$61)</f>
        <v>2</v>
      </c>
      <c r="O10" s="299">
        <f t="shared" si="3"/>
        <v>0.4</v>
      </c>
      <c r="P10" s="86">
        <f>IFERROR(VLOOKUP(B10,[2]BPS!$S$10:$AF$64,4,0),0)-IF(B10=100873,IFERROR(VLOOKUP("FEBRERO",[2]BPS!$S$74:$T$89,2,0),0),0)</f>
        <v>2</v>
      </c>
      <c r="Q10" s="299">
        <f t="shared" si="4"/>
        <v>1</v>
      </c>
      <c r="R10" s="86">
        <f>IFERROR(VLOOKUP(B10,'[2]RETAIL ORIGEN RMKT'!$S$11:$AF$62,4,0),0)</f>
        <v>0</v>
      </c>
      <c r="S10" s="153">
        <f t="shared" si="5"/>
        <v>0</v>
      </c>
      <c r="T10" s="148">
        <f>SUMIF('UC MINI 2026'!$B$5:$B$71,'UC MINI 2026 MINI NEXT'!$B10,'UC MINI 2026'!$J$5:$J$71)</f>
        <v>6</v>
      </c>
      <c r="U10" s="86">
        <f>SUMIF('UC MINI 2026'!$B$5:$B$61,'UC MINI 2026 MINI NEXT'!$B10,'UC MINI 2026'!$K$5:$K$61)</f>
        <v>7</v>
      </c>
      <c r="V10" s="299">
        <f t="shared" si="6"/>
        <v>1.1666666666666667</v>
      </c>
      <c r="W10" s="86">
        <f>IFERROR(VLOOKUP(B10,[2]BPS!$S$10:$AF$64,5,0),0)-IF(B10=100873,IFERROR(VLOOKUP("MARZO",[2]BPS!$S$74:$T$89,2,0),0),0)</f>
        <v>5</v>
      </c>
      <c r="X10" s="299">
        <f t="shared" si="7"/>
        <v>0.7142857142857143</v>
      </c>
      <c r="Y10" s="86">
        <f>IFERROR(VLOOKUP(B10,'[2]RETAIL ORIGEN RMKT'!$S$11:$AF$62,5,0),0)</f>
        <v>0</v>
      </c>
      <c r="Z10" s="153">
        <f t="shared" si="8"/>
        <v>0</v>
      </c>
      <c r="AA10" s="148">
        <f>SUMIF('UC MINI 2026'!$B$5:$B$61,'UC MINI 2026 MINI NEXT'!$B10,'UC MINI 2026'!$L$5:$L$61)</f>
        <v>5</v>
      </c>
      <c r="AB10" s="86">
        <f>SUMIF('UC MINI 2026'!$B$5:$B$61,'UC MINI 2026 MINI NEXT'!$B10,'UC MINI 2026'!$M$5:$M$61)</f>
        <v>1</v>
      </c>
      <c r="AC10" s="299">
        <f t="shared" si="9"/>
        <v>0.2</v>
      </c>
      <c r="AD10" s="86">
        <f>IFERROR(VLOOKUP(B10,[2]BPS!$S$10:$AF$64,6,0),0)-IF(B10=100873,IFERROR(VLOOKUP("ABRIL",[2]BPS!$S$74:$T$89,2,0),0),0)</f>
        <v>1</v>
      </c>
      <c r="AE10" s="285">
        <f t="shared" si="10"/>
        <v>1</v>
      </c>
      <c r="AF10" s="86">
        <f>IFERROR(VLOOKUP(B10,'[2]RETAIL ORIGEN RMKT'!$S$11:$AF$62,6,0),0)</f>
        <v>0</v>
      </c>
      <c r="AG10" s="153">
        <f t="shared" si="11"/>
        <v>0</v>
      </c>
      <c r="AH10" s="148">
        <f>SUMIF('UC MINI 2026'!$B$5:$B$61,'UC MINI 2026 MINI NEXT'!$B10,'UC MINI 2026'!$N$5:$N$61)</f>
        <v>5</v>
      </c>
      <c r="AI10" s="86">
        <f>SUMIF('UC MINI 2026'!$B$5:$B$61,'UC MINI 2026 MINI NEXT'!$B10,'UC MINI 2026'!$O$5:$O$61)</f>
        <v>3</v>
      </c>
      <c r="AJ10" s="299">
        <f t="shared" si="12"/>
        <v>0.6</v>
      </c>
      <c r="AK10" s="86">
        <f>IFERROR(VLOOKUP(B10,[2]BPS!$S$10:$AF$64,7,0),0)-IF(B10=100873,IFERROR(VLOOKUP("MAYO",[2]BPS!$S$74:$T$89,2,0),0),0)</f>
        <v>3</v>
      </c>
      <c r="AL10" s="285">
        <f t="shared" si="13"/>
        <v>1</v>
      </c>
      <c r="AM10" s="86">
        <f>IFERROR(VLOOKUP(B10,'[2]RETAIL ORIGEN RMKT'!$S$11:$AF$62,7,0),0)</f>
        <v>0</v>
      </c>
      <c r="AN10" s="153">
        <f t="shared" si="14"/>
        <v>0</v>
      </c>
      <c r="AO10" s="148">
        <f>SUMIF('UC MINI 2026'!$B$5:$B$61,'UC MINI 2026 MINI NEXT'!$B10,'UC MINI 2026'!$P$5:$P$61)</f>
        <v>6</v>
      </c>
      <c r="AP10" s="86">
        <f>SUMIF('UC MINI 2026'!$B$5:$B$61,'UC MINI 2026 MINI NEXT'!$B10,'UC MINI 2026'!$Q$5:$Q$61)</f>
        <v>11</v>
      </c>
      <c r="AQ10" s="299">
        <f t="shared" si="15"/>
        <v>1.8333333333333333</v>
      </c>
      <c r="AR10" s="86">
        <f>IFERROR(VLOOKUP(B10,[2]BPS!$S$10:$AF$64,8,0),0)-IF(B10=100873,IFERROR(VLOOKUP("JUNIO",[2]BPS!$S$74:$T$89,2,0),0),0)</f>
        <v>10</v>
      </c>
      <c r="AS10" s="285">
        <f t="shared" si="16"/>
        <v>0.90909090909090906</v>
      </c>
      <c r="AT10" s="86">
        <f>IFERROR(VLOOKUP(B10,'[2]RETAIL ORIGEN RMKT'!$S$11:$AF$62,8,0),0)</f>
        <v>0</v>
      </c>
      <c r="AU10" s="153">
        <f t="shared" si="17"/>
        <v>0</v>
      </c>
      <c r="AV10" s="148">
        <f>SUMIF('UC MINI 2026'!$B$5:$B$61,'UC MINI 2026 MINI NEXT'!$B10,'UC MINI 2026'!$R$5:$R$61)</f>
        <v>0</v>
      </c>
      <c r="AW10" s="86">
        <f>SUMIF('UC MINI 2026'!$B$5:$B$61,'UC MINI 2026 MINI NEXT'!$B10,'UC MINI 2026'!$S$5:$S$61)</f>
        <v>0</v>
      </c>
      <c r="AX10" s="299">
        <f t="shared" si="18"/>
        <v>0</v>
      </c>
      <c r="AY10" s="86">
        <f>IFERROR(VLOOKUP(B10,[2]BPS!$S$10:$AF$64,9,0),0)-IF(B10=100873,IFERROR(VLOOKUP("JULIO",[2]BPS!$S$74:$T$89,2,0),0),0)</f>
        <v>0</v>
      </c>
      <c r="AZ10" s="285">
        <f t="shared" si="19"/>
        <v>0</v>
      </c>
      <c r="BA10" s="86">
        <f>IFERROR(VLOOKUP(I10,'[2]RETAIL ORIGEN RMKT'!$S$11:$AF$62,9,0),0)</f>
        <v>0</v>
      </c>
      <c r="BB10" s="153">
        <f t="shared" si="20"/>
        <v>0</v>
      </c>
      <c r="BC10" s="148">
        <f>SUMIF('UC MINI 2026'!$B$5:$B$61,'UC MINI 2026 MINI NEXT'!$B10,'UC MINI 2026'!$T$5:$T$61)</f>
        <v>0</v>
      </c>
      <c r="BD10" s="86">
        <f>SUMIF('UC MINI 2026'!$B$5:$B$61,'UC MINI 2026 MINI NEXT'!$B10,'UC MINI 2026'!$U$5:$U$61)</f>
        <v>0</v>
      </c>
      <c r="BE10" s="299">
        <f t="shared" si="21"/>
        <v>0</v>
      </c>
      <c r="BF10" s="86">
        <f>IFERROR(VLOOKUP(B10,[2]BPS!$S$10:$AF$64,10,0),0)-IF(B10=100873,IFERROR(VLOOKUP("AGOSTO",[2]BPS!$S$74:$T$89,2,0),0),0)</f>
        <v>0</v>
      </c>
      <c r="BG10" s="285">
        <f t="shared" si="22"/>
        <v>0</v>
      </c>
      <c r="BH10" s="86">
        <f>IFERROR(VLOOKUP(P10,'[2]RETAIL ORIGEN RMKT'!$S$11:$AF$62,10,0),0)</f>
        <v>0</v>
      </c>
      <c r="BI10" s="153">
        <f t="shared" si="23"/>
        <v>0</v>
      </c>
      <c r="BJ10" s="148">
        <f>SUMIF('UC MINI 2026'!$B$5:$B$61,'UC MINI 2026 MINI NEXT'!$B10,'UC MINI 2026'!$V$5:$V$61)</f>
        <v>0</v>
      </c>
      <c r="BK10" s="86">
        <f>SUMIF('UC MINI 2026'!$B$5:$B$61,'UC MINI 2026 MINI NEXT'!$B10,'UC MINI 2026'!$W$5:$W$61)</f>
        <v>0</v>
      </c>
      <c r="BL10" s="299">
        <f t="shared" si="24"/>
        <v>0</v>
      </c>
      <c r="BM10" s="86">
        <f>IFERROR(VLOOKUP(B10,[2]BPS!$S$10:$AF$64,11,0),0)-IF(B10=100873,IFERROR(VLOOKUP("SEPTIEMBRE",[2]BPS!$S$74:$T$89,2,0),0),0)</f>
        <v>0</v>
      </c>
      <c r="BN10" s="285">
        <f t="shared" si="25"/>
        <v>0</v>
      </c>
      <c r="BO10" s="86">
        <f>IFERROR(VLOOKUP(W10,'[2]RETAIL ORIGEN RMKT'!$S$11:$AF$62,11,0),0)</f>
        <v>0</v>
      </c>
      <c r="BP10" s="153">
        <f t="shared" si="26"/>
        <v>0</v>
      </c>
      <c r="BQ10" s="148">
        <f>SUMIF('UC MINI 2026'!$B$5:$B$61,'UC MINI 2026 MINI NEXT'!$B10,'UC MINI 2026'!$V$5:$V$61)</f>
        <v>0</v>
      </c>
      <c r="BR10" s="86">
        <f>SUMIF('UC MINI 2026'!$B$5:$B$61,'UC MINI 2026 MINI NEXT'!$B10,'UC MINI 2026'!$Y$5:$Y$61)</f>
        <v>0</v>
      </c>
      <c r="BS10" s="299">
        <f t="shared" si="27"/>
        <v>0</v>
      </c>
      <c r="BT10" s="86">
        <f>IFERROR(VLOOKUP(B10,[2]BPS!$S$10:$AF$64,12,0),0)-IF(B10=100873,IFERROR(VLOOKUP("OCTUBRE",[2]BPS!$S$74:$T$89,2,0),0),0)</f>
        <v>0</v>
      </c>
      <c r="BU10" s="285">
        <f t="shared" si="28"/>
        <v>0</v>
      </c>
      <c r="BV10" s="86">
        <f>IFERROR(VLOOKUP(AD10,'[2]RETAIL ORIGEN RMKT'!$S$11:$AF$62,12,0),0)</f>
        <v>0</v>
      </c>
      <c r="BW10" s="153">
        <f t="shared" si="29"/>
        <v>0</v>
      </c>
      <c r="BX10" s="148">
        <f>SUMIF('UC MINI 2026'!$B$5:$B$61,'UC MINI 2026 MINI NEXT'!$B10,'UC MINI 2026'!$V$5:$V$61)</f>
        <v>0</v>
      </c>
      <c r="BY10" s="86">
        <f>SUMIF('UC MINI 2026'!$B$5:$B$61,'UC MINI 2026 MINI NEXT'!$B10,'UC MINI 2026'!$AA$5:$AA$61)</f>
        <v>0</v>
      </c>
      <c r="BZ10" s="299">
        <f t="shared" si="30"/>
        <v>0</v>
      </c>
      <c r="CA10" s="86">
        <f>IFERROR(VLOOKUP(B10,[2]BPS!$S$10:$AF$64,13,0),0)-IF(B10=100873,IFERROR(VLOOKUP("NOVIEMBRE",[2]BPS!$S$74:$T$89,2,0),0),0)</f>
        <v>0</v>
      </c>
      <c r="CB10" s="285">
        <f t="shared" si="31"/>
        <v>0</v>
      </c>
      <c r="CC10" s="86">
        <f>IFERROR(VLOOKUP(AK10,'[2]RETAIL ORIGEN RMKT'!$S$11:$AF$62,13,0),0)</f>
        <v>0</v>
      </c>
      <c r="CD10" s="153">
        <f t="shared" si="32"/>
        <v>0</v>
      </c>
      <c r="CE10" s="148">
        <f>SUMIF('UC MINI 2026'!$B$5:$B$61,'UC MINI 2026 MINI NEXT'!$B10,'UC MINI 2026'!$V$5:$V$61)</f>
        <v>0</v>
      </c>
      <c r="CF10" s="86">
        <f>SUMIF('UC MINI 2026'!$B$5:$B$61,'UC MINI 2026 MINI NEXT'!$B10,'UC MINI 2026'!$AC$5:$AC$61)</f>
        <v>0</v>
      </c>
      <c r="CG10" s="299">
        <f t="shared" si="33"/>
        <v>0</v>
      </c>
      <c r="CH10" s="86">
        <f>IFERROR(VLOOKUP(B10,[2]BPS!$S$10:$AF$64,14,0),0)-IF(B10=100873,IFERROR(VLOOKUP("DICIEMBRE",[2]BPS!$S$74:$T$89,2,0),0),0)</f>
        <v>0</v>
      </c>
      <c r="CI10" s="285">
        <f t="shared" si="34"/>
        <v>0</v>
      </c>
      <c r="CJ10" s="86">
        <f>IFERROR(VLOOKUP(AR10,'[2]RETAIL ORIGEN RMKT'!$S$11:$AF$62,14,0),0)</f>
        <v>0</v>
      </c>
      <c r="CK10" s="153">
        <f t="shared" si="35"/>
        <v>0</v>
      </c>
      <c r="CL10" s="58">
        <f t="shared" si="36"/>
        <v>32</v>
      </c>
      <c r="CM10" s="59">
        <f t="shared" si="36"/>
        <v>27</v>
      </c>
      <c r="CN10" s="112">
        <f t="shared" si="37"/>
        <v>0.84375</v>
      </c>
      <c r="CO10" s="86">
        <f>IFERROR(IF($CL$4="ENERO",I10,IF($CL$4="FEBRERO",I10+P10,IF($CL$4="MARZO",I10+P10+W10,IF($CL$4="ABRIL",I10+P10+W10+AD10,IF($CL$4="MAYO",I10+P10+W10+AD10+AK10,IF($CL$4="JUNIO",I10+P10+W10+AD10+AK10+AR10,IF($CL$4="JULIO",I10+P10+W10+AD10+AK10+AR10+AY10,IF($CL$4="AGOSTO",I10+P10+W10+AD10+AK10+AR10+AY10+BF10,IF($CL$4="SEPTIEMBRE",I10+P10+W10+AD10+AK10+AR10+AY10+BF10+BM10,IF($CL$4="OCTUBRE",I10+P10+W10+AD10+AK10+AR10+AY10+BF10+BM10+BT10,IF($CL$4="NOVIEMBRE",I10+P10+W10+AD10+AK10+AR10+AY10+BF10+BM10+BT10+CA10,IF($CL$4="DICIEMBRE",I10+P10+W10+AD10+AK10+AR10+AY10+BF10+BM10+BT10+CA10+CH10,"")))))))))))),0)</f>
        <v>23</v>
      </c>
      <c r="CP10" s="297">
        <f>IFERROR(IF(CM10=0,"N.D.",CO10/CM10),0)</f>
        <v>0.85185185185185186</v>
      </c>
      <c r="CQ10" s="348">
        <f>IFERROR(IF($CL$4="ENERO",K10,
IF($CL$4="FEBRERO",K10+R10,
IF($CL$4="MARZO",K10+R10+Y10,
IF($CL$4="ABRIL",K10+R10+Y10+AF10,
IF($CL$4="MAYO",K10+R10+Y10+AF10+AM10,
IF($CL$4="JUNIO",K10+R10+Y10+AF10+AM10+AT10,
IF($CL$4="JULIO",K10+R10+Y10+AF10+AM10+AT10+BA10,
IF($CL$4="AGOSTO",K10+R10+Y10+AF10+AM10+AT10+BA10+BH10,
IF($CL$4="SEPTIEMBRE",K10+R10+Y10+AF10+AM10+AT10+BA10+BH10+BO10,
IF($CL$4="OCTUBRE",K10+R10+Y10+AF10+AM10+AT10+BA10+BH10+BO10+BV10,
IF($CL$4="NOVIEMBRE",K10+R10+Y10+AF10+AM10+AT10+BA10+BH10+BO10+BV10+CC10,
IF($CL$4="DICIEMBRE",K10+R10+Y10+AF10+AM10+AT10+BA10+BH10+BO10+BV10+CC10+CJ10,"")))))))))))),0)</f>
        <v>0</v>
      </c>
      <c r="CR10" s="152">
        <f t="shared" si="38"/>
        <v>0</v>
      </c>
      <c r="CS10" s="58">
        <f>+F10+M10+T10+AA10+AH10+AO10++AV10+BC10+BJ10+BQ10+BX10+CE10</f>
        <v>32</v>
      </c>
      <c r="CT10" s="59">
        <f>SUMIFS($F10:$CI10,$F$6:$CI$6,CT$6,$F$2:$CI$2,$CL$4)</f>
        <v>27</v>
      </c>
      <c r="CU10" s="112">
        <f>IFERROR((CT10/CS10),0)</f>
        <v>0.84375</v>
      </c>
      <c r="CV10" s="86">
        <f>IFERROR(I10+P10+W10+AD10+AK10+AR10+AY10+BF10+BM10+BT10+CA10+CH10,0)</f>
        <v>23</v>
      </c>
      <c r="CW10" s="297">
        <f>IF(CT10=0,"N.D.",CV10/CT10)</f>
        <v>0.85185185185185186</v>
      </c>
      <c r="CX10" s="348">
        <f>IFERROR(K10+R10+Y10+AF10+AM10+AT10+BA10+BH10+BO10+BV10+CC10+CJ10,0)</f>
        <v>0</v>
      </c>
      <c r="CY10" s="152">
        <f t="shared" si="39"/>
        <v>0</v>
      </c>
      <c r="CZ10" s="58">
        <f t="shared" si="40"/>
        <v>16</v>
      </c>
      <c r="DA10" s="59">
        <f t="shared" si="40"/>
        <v>12</v>
      </c>
      <c r="DB10" s="112">
        <f t="shared" si="41"/>
        <v>0.75</v>
      </c>
      <c r="DC10" s="86">
        <f>IFERROR(IF($CZ$5="Q1",I10+P10+W10,
IF($CZ$5="Q2",AD10+AK10++AR10,
IF($CZ$5="Q3",AY10+BF10+BM10,
IF($CZ$5="Q4",BT10+CA10+CH10,0)))),0)</f>
        <v>9</v>
      </c>
      <c r="DD10" s="297">
        <f>IF(DA10=0,"N.D.",DC10/DA10)</f>
        <v>0.75</v>
      </c>
      <c r="DE10" s="348">
        <f>IFERROR(IF($CZ$5="Q1",K10+R10+Y10,
IF($CZ$5="Q2",AF10+AM10+AT10,
IF($CZ$5="Q3",BA10+BH10+BO10,
IF($CZ$5="Q4",BV10+CC10+CJ10,0)))),0)</f>
        <v>0</v>
      </c>
      <c r="DF10" s="153">
        <f t="shared" si="42"/>
        <v>0</v>
      </c>
      <c r="DG10" s="58">
        <f t="shared" si="43"/>
        <v>32</v>
      </c>
      <c r="DH10" s="59">
        <f t="shared" si="43"/>
        <v>27</v>
      </c>
      <c r="DI10" s="112">
        <f t="shared" si="44"/>
        <v>0.84375</v>
      </c>
      <c r="DJ10" s="86">
        <f>IFERROR(IF($DG$5="S 1",I10+P10+W10+AD10+AK10++AR10,
IF($DG$5="S 2",AY10+BF10+BM10+BT10+CA10+CH10,0)),0)</f>
        <v>23</v>
      </c>
      <c r="DK10" s="297">
        <f t="shared" si="45"/>
        <v>0.85185185185185186</v>
      </c>
      <c r="DL10" s="348">
        <f>IFERROR(IF($DG$5="S 1",K10+R10+Y10+AF10+AM10+AT10,
IF($DG$5="S 2",BA10+BH10+BO10+BV10+CC10+CJ10,0)),0)</f>
        <v>0</v>
      </c>
      <c r="DM10" s="153">
        <f t="shared" si="46"/>
        <v>0</v>
      </c>
      <c r="DN10" s="54">
        <f t="shared" si="47"/>
        <v>0</v>
      </c>
      <c r="DO10" s="79">
        <f t="shared" si="47"/>
        <v>0</v>
      </c>
      <c r="DP10" s="112">
        <f t="shared" si="48"/>
        <v>0</v>
      </c>
      <c r="DQ10" s="86">
        <f>IFERROR(IF($DN$5="S 1",I10+P10+W10+AD10+AK10++AR10,
IF($DN$5="S 2",AY10+BF10+BM10+BT10+CA10+CH10,0)),0)</f>
        <v>0</v>
      </c>
      <c r="DR10" s="297" t="str">
        <f t="shared" si="49"/>
        <v>N.D.</v>
      </c>
      <c r="DS10" s="348">
        <f>IFERROR(IF($DN$5="S 1",K10+R10+Y10+AF10+AM10+AT10,
IF($DN$5="S 2",BA10+BH10+BO10+BV10+CC10+CJ10,0)),0)</f>
        <v>0</v>
      </c>
      <c r="DT10" s="153">
        <f t="shared" si="50"/>
        <v>0</v>
      </c>
      <c r="DU10" s="53">
        <v>1</v>
      </c>
      <c r="DZ10" s="513"/>
      <c r="EB10" s="513"/>
      <c r="ED10" s="513"/>
    </row>
    <row r="11" spans="1:134" s="53" customFormat="1" ht="16" customHeight="1" thickBot="1" x14ac:dyDescent="0.35">
      <c r="A11" s="53">
        <f>_xlfn.XLOOKUP(B11,'UC MINI 2026'!$B$5:$B$61,'UC MINI 2026'!$A$5:$A$61)</f>
        <v>0</v>
      </c>
      <c r="B11" s="180" t="s">
        <v>264</v>
      </c>
      <c r="C11" s="62"/>
      <c r="D11" s="154"/>
      <c r="E11" s="80"/>
      <c r="F11" s="155">
        <f>SUM(F7:F10)</f>
        <v>33</v>
      </c>
      <c r="G11" s="155">
        <f>SUM(G7:G10)</f>
        <v>30</v>
      </c>
      <c r="H11" s="156">
        <f t="shared" si="0"/>
        <v>0.90909090909090906</v>
      </c>
      <c r="I11" s="155">
        <f>SUM(I7:I10)</f>
        <v>26</v>
      </c>
      <c r="J11" s="156">
        <f t="shared" si="1"/>
        <v>0.8666666666666667</v>
      </c>
      <c r="K11" s="155">
        <f>SUM(K7:K10)</f>
        <v>7</v>
      </c>
      <c r="L11" s="301">
        <f t="shared" si="2"/>
        <v>0.21212121212121213</v>
      </c>
      <c r="M11" s="155">
        <f>SUM(M7:M10)</f>
        <v>34</v>
      </c>
      <c r="N11" s="155">
        <f>SUM(N7:N10)</f>
        <v>30</v>
      </c>
      <c r="O11" s="156">
        <f t="shared" si="3"/>
        <v>0.88235294117647056</v>
      </c>
      <c r="P11" s="155">
        <f>SUM(P7:P10)</f>
        <v>28</v>
      </c>
      <c r="Q11" s="156">
        <f t="shared" si="4"/>
        <v>0.93333333333333335</v>
      </c>
      <c r="R11" s="155">
        <f>SUM(R7:R10)</f>
        <v>2</v>
      </c>
      <c r="S11" s="301">
        <f t="shared" si="5"/>
        <v>5.8823529411764705E-2</v>
      </c>
      <c r="T11" s="155">
        <f>SUM(T7:T10)</f>
        <v>36</v>
      </c>
      <c r="U11" s="155">
        <f>SUM(U7:U10)</f>
        <v>43</v>
      </c>
      <c r="V11" s="156">
        <f t="shared" si="6"/>
        <v>1.1944444444444444</v>
      </c>
      <c r="W11" s="155">
        <f>SUM(W7:W10)</f>
        <v>37</v>
      </c>
      <c r="X11" s="156">
        <f t="shared" si="7"/>
        <v>0.86046511627906974</v>
      </c>
      <c r="Y11" s="155">
        <f>SUM(Y7:Y10)</f>
        <v>7</v>
      </c>
      <c r="Z11" s="301">
        <f t="shared" si="8"/>
        <v>0.19444444444444445</v>
      </c>
      <c r="AA11" s="155">
        <f>SUM(AA7:AA10)</f>
        <v>33</v>
      </c>
      <c r="AB11" s="155">
        <f>SUM(AB7:AB10)</f>
        <v>34</v>
      </c>
      <c r="AC11" s="156">
        <f t="shared" si="9"/>
        <v>1.0303030303030303</v>
      </c>
      <c r="AD11" s="155">
        <f>SUM(AD7:AD10)</f>
        <v>30</v>
      </c>
      <c r="AE11" s="156">
        <f t="shared" si="10"/>
        <v>0.88235294117647056</v>
      </c>
      <c r="AF11" s="155">
        <f>SUM(AF7:AF10)</f>
        <v>14</v>
      </c>
      <c r="AG11" s="301">
        <f t="shared" si="11"/>
        <v>0.42424242424242425</v>
      </c>
      <c r="AH11" s="155">
        <f>SUM(AH7:AH10)</f>
        <v>35</v>
      </c>
      <c r="AI11" s="155">
        <f>SUM(AI7:AI10)</f>
        <v>37</v>
      </c>
      <c r="AJ11" s="156">
        <f t="shared" si="12"/>
        <v>1.0571428571428572</v>
      </c>
      <c r="AK11" s="155">
        <f>SUM(AK7:AK10)</f>
        <v>36</v>
      </c>
      <c r="AL11" s="156">
        <f t="shared" si="13"/>
        <v>0.97297297297297303</v>
      </c>
      <c r="AM11" s="155">
        <f>SUM(AM7:AM10)</f>
        <v>11</v>
      </c>
      <c r="AN11" s="301">
        <f t="shared" si="14"/>
        <v>0.31428571428571428</v>
      </c>
      <c r="AO11" s="155">
        <f>SUM(AO7:AO10)</f>
        <v>36</v>
      </c>
      <c r="AP11" s="155">
        <f>SUM(AP7:AP10)</f>
        <v>51</v>
      </c>
      <c r="AQ11" s="156">
        <f t="shared" si="15"/>
        <v>1.4166666666666667</v>
      </c>
      <c r="AR11" s="155">
        <f>SUM(AR7:AR10)</f>
        <v>48</v>
      </c>
      <c r="AS11" s="156">
        <f t="shared" si="16"/>
        <v>0.94117647058823528</v>
      </c>
      <c r="AT11" s="155">
        <f>SUM(AT7:AT10)</f>
        <v>17</v>
      </c>
      <c r="AU11" s="301">
        <f t="shared" si="17"/>
        <v>0.47222222222222221</v>
      </c>
      <c r="AV11" s="155">
        <f>SUM(AV7:AV10)</f>
        <v>0</v>
      </c>
      <c r="AW11" s="155">
        <f>SUM(AW7:AW10)</f>
        <v>0</v>
      </c>
      <c r="AX11" s="156">
        <f t="shared" si="18"/>
        <v>0</v>
      </c>
      <c r="AY11" s="155">
        <f>SUM(AY7:AY10)</f>
        <v>0</v>
      </c>
      <c r="AZ11" s="156">
        <f t="shared" si="19"/>
        <v>0</v>
      </c>
      <c r="BA11" s="155">
        <f>SUM(BA7:BA10)</f>
        <v>0</v>
      </c>
      <c r="BB11" s="301">
        <f t="shared" si="20"/>
        <v>0</v>
      </c>
      <c r="BC11" s="155">
        <f>SUM(BC7:BC10)</f>
        <v>0</v>
      </c>
      <c r="BD11" s="155">
        <f>SUM(BD7:BD10)</f>
        <v>0</v>
      </c>
      <c r="BE11" s="156">
        <f t="shared" si="21"/>
        <v>0</v>
      </c>
      <c r="BF11" s="155">
        <f>SUM(BF7:BF10)</f>
        <v>0</v>
      </c>
      <c r="BG11" s="156">
        <f t="shared" si="22"/>
        <v>0</v>
      </c>
      <c r="BH11" s="155">
        <f>SUM(BH7:BH10)</f>
        <v>0</v>
      </c>
      <c r="BI11" s="301">
        <f t="shared" si="23"/>
        <v>0</v>
      </c>
      <c r="BJ11" s="155">
        <f>SUM(BJ7:BJ10)</f>
        <v>0</v>
      </c>
      <c r="BK11" s="155">
        <f>SUM(BK7:BK10)</f>
        <v>0</v>
      </c>
      <c r="BL11" s="156">
        <f t="shared" si="24"/>
        <v>0</v>
      </c>
      <c r="BM11" s="155">
        <f>SUM(BM7:BM10)</f>
        <v>0</v>
      </c>
      <c r="BN11" s="156">
        <f t="shared" si="25"/>
        <v>0</v>
      </c>
      <c r="BO11" s="155">
        <f>SUM(BO7:BO10)</f>
        <v>0</v>
      </c>
      <c r="BP11" s="301">
        <f t="shared" si="26"/>
        <v>0</v>
      </c>
      <c r="BQ11" s="155">
        <f>SUM(BQ7:BQ10)</f>
        <v>0</v>
      </c>
      <c r="BR11" s="155">
        <f>SUM(BR7:BR10)</f>
        <v>0</v>
      </c>
      <c r="BS11" s="156">
        <f t="shared" si="27"/>
        <v>0</v>
      </c>
      <c r="BT11" s="155">
        <f>SUM(BT7:BT10)</f>
        <v>0</v>
      </c>
      <c r="BU11" s="156">
        <f t="shared" si="28"/>
        <v>0</v>
      </c>
      <c r="BV11" s="155">
        <f>SUM(BV7:BV10)</f>
        <v>0</v>
      </c>
      <c r="BW11" s="301">
        <f t="shared" si="29"/>
        <v>0</v>
      </c>
      <c r="BX11" s="155">
        <f>SUM(BX7:BX10)</f>
        <v>0</v>
      </c>
      <c r="BY11" s="155">
        <f>SUM(BY7:BY10)</f>
        <v>0</v>
      </c>
      <c r="BZ11" s="156">
        <f t="shared" si="30"/>
        <v>0</v>
      </c>
      <c r="CA11" s="155">
        <f>SUM(CA7:CA10)</f>
        <v>0</v>
      </c>
      <c r="CB11" s="156">
        <f t="shared" si="31"/>
        <v>0</v>
      </c>
      <c r="CC11" s="155">
        <f>SUM(CC7:CC10)</f>
        <v>0</v>
      </c>
      <c r="CD11" s="301">
        <f t="shared" si="32"/>
        <v>0</v>
      </c>
      <c r="CE11" s="155">
        <f>SUM(CE7:CE10)</f>
        <v>0</v>
      </c>
      <c r="CF11" s="155">
        <f>SUM(CF7:CF10)</f>
        <v>0</v>
      </c>
      <c r="CG11" s="156">
        <f t="shared" si="33"/>
        <v>0</v>
      </c>
      <c r="CH11" s="155">
        <f>SUM(CH7:CH10)</f>
        <v>0</v>
      </c>
      <c r="CI11" s="156">
        <f t="shared" si="34"/>
        <v>0</v>
      </c>
      <c r="CJ11" s="155">
        <f>SUM(CJ7:CJ10)</f>
        <v>0</v>
      </c>
      <c r="CK11" s="301">
        <f t="shared" si="35"/>
        <v>0</v>
      </c>
      <c r="CL11" s="63">
        <f>SUM(CL7:CL10)</f>
        <v>207</v>
      </c>
      <c r="CM11" s="63">
        <f>SUM(CM7:CM10)</f>
        <v>225</v>
      </c>
      <c r="CN11" s="157">
        <f t="shared" si="37"/>
        <v>1.0869565217391304</v>
      </c>
      <c r="CO11" s="63">
        <f>SUM(CO7:CO10)</f>
        <v>205</v>
      </c>
      <c r="CP11" s="321">
        <f>IFERROR(CO11/CM11,0)</f>
        <v>0.91111111111111109</v>
      </c>
      <c r="CQ11" s="63">
        <f>SUM(CQ7:CQ10)</f>
        <v>58</v>
      </c>
      <c r="CR11" s="320">
        <f t="shared" si="38"/>
        <v>0.28019323671497587</v>
      </c>
      <c r="CS11" s="63">
        <f>SUM(CS7:CS10)</f>
        <v>207</v>
      </c>
      <c r="CT11" s="63">
        <f>SUM(CT7:CT10)</f>
        <v>225</v>
      </c>
      <c r="CU11" s="157">
        <f>IFERROR((CT11/CS11),0)</f>
        <v>1.0869565217391304</v>
      </c>
      <c r="CV11" s="63">
        <f>SUM(CV7:CV10)</f>
        <v>205</v>
      </c>
      <c r="CW11" s="321">
        <f>IFERROR((CV11/CT11),0)</f>
        <v>0.91111111111111109</v>
      </c>
      <c r="CX11" s="349">
        <f>K11+R11+Y11+AF11+AM11+AT11+BA11+BH11+BO11+BV11+CC11+CJ11</f>
        <v>58</v>
      </c>
      <c r="CY11" s="320">
        <f t="shared" si="39"/>
        <v>0.28019323671497587</v>
      </c>
      <c r="CZ11" s="63">
        <f>SUM(CZ2:CZ10)</f>
        <v>103</v>
      </c>
      <c r="DA11" s="65">
        <f>SUM(DA2:DA10)</f>
        <v>103</v>
      </c>
      <c r="DB11" s="157">
        <f t="shared" si="41"/>
        <v>1</v>
      </c>
      <c r="DC11" s="65">
        <f>SUM(DC2:DC10)</f>
        <v>91</v>
      </c>
      <c r="DD11" s="321">
        <f>IFERROR(DC11/DA11,0)</f>
        <v>0.88349514563106801</v>
      </c>
      <c r="DE11" s="349">
        <f>IF($CZ$5="Q1",K11+R11+Y11,
IF($CZ$5="Q2",AF11+AM11+AT11,
IF($CZ$5="Q3",BA11+BH11+BO11,
IF($CZ$5="Q4",BV11+CC11+CJ11,0))))</f>
        <v>16</v>
      </c>
      <c r="DF11" s="333">
        <f t="shared" si="42"/>
        <v>0.1553398058252427</v>
      </c>
      <c r="DG11" s="63">
        <f>IF($DG$5="S 1",F11+M11+T11+AA11+AH11+AO11,
IF($DG$5="S 2",AV11+BC11+BJ11+BQ11+BX11+CE11,0))</f>
        <v>207</v>
      </c>
      <c r="DH11" s="65">
        <f>IF($DG$5="S 1",G11+N11+U11+AB11+AI11+AP11,
IF($DG$5="S 2",AW11+BD11+BK11+BR11+BY11+CF11,0))</f>
        <v>225</v>
      </c>
      <c r="DI11" s="157">
        <f t="shared" si="44"/>
        <v>1.0869565217391304</v>
      </c>
      <c r="DJ11" s="65">
        <f>IF($DG$5="S 1",I11+P11+W11+AD11+AK11++AR11,
IF($DG$5="S 2",AY11+BF11+BM11+BT11+CA11+CH11,0))</f>
        <v>205</v>
      </c>
      <c r="DK11" s="321">
        <f t="shared" si="45"/>
        <v>0.91111111111111109</v>
      </c>
      <c r="DL11" s="349">
        <f>IF($DG$5="S 1",K11+R11+Y11+AF11+AM11+AT11,
IF($DG$5="S 2",BA11+BH11+BO11+BV11+CC11+CJ11,0))</f>
        <v>58</v>
      </c>
      <c r="DM11" s="333">
        <f t="shared" si="46"/>
        <v>0.28019323671497587</v>
      </c>
      <c r="DN11" s="63">
        <f>IFERROR(SUM(DN2:DN10),0)</f>
        <v>0</v>
      </c>
      <c r="DO11" s="64">
        <f>IFERROR(SUM(DO2:DO10),0)</f>
        <v>0</v>
      </c>
      <c r="DP11" s="157">
        <f t="shared" si="48"/>
        <v>0</v>
      </c>
      <c r="DQ11" s="65">
        <f>IFERROR(SUM(DQ2:DQ10),0)</f>
        <v>0</v>
      </c>
      <c r="DR11" s="321" t="str">
        <f t="shared" si="49"/>
        <v>N.D.</v>
      </c>
      <c r="DS11" s="349">
        <f>IFERROR(SUM(DS2:DS10),0)</f>
        <v>0</v>
      </c>
      <c r="DT11" s="333">
        <f t="shared" si="50"/>
        <v>0</v>
      </c>
      <c r="DU11" s="53">
        <v>0</v>
      </c>
      <c r="DZ11" s="513"/>
      <c r="EB11" s="513"/>
      <c r="ED11" s="513"/>
    </row>
    <row r="12" spans="1:134" s="53" customFormat="1" ht="16" customHeight="1" x14ac:dyDescent="0.3">
      <c r="A12" s="53">
        <f>_xlfn.XLOOKUP(B12,'UC MINI 2026'!$B$5:$B$61,'UC MINI 2026'!$A$5:$A$61)</f>
        <v>2</v>
      </c>
      <c r="B12" s="179">
        <v>100213</v>
      </c>
      <c r="C12" s="381" t="s">
        <v>15</v>
      </c>
      <c r="D12" s="146"/>
      <c r="E12" s="309" t="s">
        <v>276</v>
      </c>
      <c r="F12" s="54">
        <f>SUMIF('UC MINI 2026'!$B$5:$B$71,'UC MINI 2026 MINI NEXT'!$B12,'UC MINI 2026'!$F$5:$F$71)</f>
        <v>15</v>
      </c>
      <c r="G12" s="86">
        <f>SUMIF('UC MINI 2026'!$B$5:$B$71,'UC MINI 2026 MINI NEXT'!$B12,'UC MINI 2026'!$G$5:$G$71)</f>
        <v>23</v>
      </c>
      <c r="H12" s="297">
        <f t="shared" si="0"/>
        <v>1.5333333333333334</v>
      </c>
      <c r="I12" s="86">
        <f>IFERROR(VLOOKUP(B12,[2]BPS!$S$10:$AF$64,3,0),0)-IF(B12=100873,IFERROR(VLOOKUP("Enero",[2]BPS!$S$74:$T$89,2,0),0),0)</f>
        <v>22</v>
      </c>
      <c r="J12" s="297">
        <f t="shared" si="1"/>
        <v>0.95652173913043481</v>
      </c>
      <c r="K12" s="86">
        <f>IFERROR(VLOOKUP(B12,'[2]RETAIL ORIGEN RMKT'!$S$11:$AF$62,3,0),0)</f>
        <v>9</v>
      </c>
      <c r="L12" s="150">
        <f t="shared" si="2"/>
        <v>0.6</v>
      </c>
      <c r="M12" s="79">
        <f>SUMIF('UC MINI 2026'!$B$5:$B$61,'UC MINI 2026 MINI NEXT'!$B12,'UC MINI 2026'!$H$5:$H$61)</f>
        <v>15</v>
      </c>
      <c r="N12" s="86">
        <f>SUMIF('UC MINI 2026'!$B$5:$B$61,'UC MINI 2026 MINI NEXT'!$B12,'UC MINI 2026'!$I$5:$I$61)</f>
        <v>17</v>
      </c>
      <c r="O12" s="297">
        <f t="shared" si="3"/>
        <v>1.1333333333333333</v>
      </c>
      <c r="P12" s="86">
        <f>IFERROR(VLOOKUP(B12,[2]BPS!$S$10:$AF$64,4,0),0)-IF(B12=100873,IFERROR(VLOOKUP("FEBRERO",[2]BPS!$S$74:$T$89,2,0),0),0)</f>
        <v>16</v>
      </c>
      <c r="Q12" s="297">
        <f t="shared" si="4"/>
        <v>0.94117647058823528</v>
      </c>
      <c r="R12" s="86">
        <f>IFERROR(VLOOKUP(B12,'[2]RETAIL ORIGEN RMKT'!$S$11:$AF$62,4,0),0)</f>
        <v>1</v>
      </c>
      <c r="S12" s="150">
        <f t="shared" si="5"/>
        <v>6.6666666666666666E-2</v>
      </c>
      <c r="T12" s="148">
        <f>SUMIF('UC MINI 2026'!$B$5:$B$71,'UC MINI 2026 MINI NEXT'!$B12,'UC MINI 2026'!$J$5:$J$71)</f>
        <v>15</v>
      </c>
      <c r="U12" s="86">
        <f>SUMIF('UC MINI 2026'!$B$10:$B$61,'UC MINI 2026 MINI NEXT'!$B12,'UC MINI 2026'!$K$10:$K$61)</f>
        <v>16</v>
      </c>
      <c r="V12" s="297">
        <f t="shared" si="6"/>
        <v>1.0666666666666667</v>
      </c>
      <c r="W12" s="86">
        <f>IFERROR(VLOOKUP(B12,[2]BPS!$S$10:$AF$64,5,0),0)-IF(B12=100873,IFERROR(VLOOKUP("MARZO",[2]BPS!$S$74:$T$89,2,0),0),0)</f>
        <v>14</v>
      </c>
      <c r="X12" s="297">
        <f t="shared" si="7"/>
        <v>0.875</v>
      </c>
      <c r="Y12" s="86">
        <f>IFERROR(VLOOKUP(B12,'[2]RETAIL ORIGEN RMKT'!$S$11:$AF$62,5,0),0)</f>
        <v>6</v>
      </c>
      <c r="Z12" s="150">
        <f t="shared" si="8"/>
        <v>0.4</v>
      </c>
      <c r="AA12" s="148">
        <f>SUMIF('UC MINI 2026'!$B$5:$B$61,'UC MINI 2026 MINI NEXT'!$B12,'UC MINI 2026'!$L$5:$L$61)</f>
        <v>15</v>
      </c>
      <c r="AB12" s="86">
        <f>SUMIF('UC MINI 2026'!$B$5:$B$61,'UC MINI 2026 MINI NEXT'!$B12,'UC MINI 2026'!$M$5:$M$61)</f>
        <v>14</v>
      </c>
      <c r="AC12" s="297">
        <f t="shared" si="9"/>
        <v>0.93333333333333335</v>
      </c>
      <c r="AD12" s="86">
        <f>IFERROR(VLOOKUP(B12,[2]BPS!$S$10:$AF$64,6,0),0)-IF(B12=100873,IFERROR(VLOOKUP("ABRIL",[2]BPS!$S$74:$T$89,2,0),0),0)</f>
        <v>12</v>
      </c>
      <c r="AE12" s="285">
        <f t="shared" si="10"/>
        <v>0.8571428571428571</v>
      </c>
      <c r="AF12" s="86">
        <f>IFERROR(VLOOKUP(B12,'[2]RETAIL ORIGEN RMKT'!$S$11:$AF$62,6,0),0)</f>
        <v>2</v>
      </c>
      <c r="AG12" s="150">
        <f t="shared" si="11"/>
        <v>0.13333333333333333</v>
      </c>
      <c r="AH12" s="148">
        <f>SUMIF('UC MINI 2026'!$B$5:$B$61,'UC MINI 2026 MINI NEXT'!$B12,'UC MINI 2026'!$N$5:$N$61)</f>
        <v>15</v>
      </c>
      <c r="AI12" s="86">
        <f>SUMIF('UC MINI 2026'!$B$5:$B$61,'UC MINI 2026 MINI NEXT'!$B12,'UC MINI 2026'!$O$5:$O$61)</f>
        <v>22</v>
      </c>
      <c r="AJ12" s="297">
        <f t="shared" si="12"/>
        <v>1.4666666666666666</v>
      </c>
      <c r="AK12" s="86">
        <f>IFERROR(VLOOKUP(B12,[2]BPS!$S$10:$AF$64,7,0),0)-IF(B12=100873,IFERROR(VLOOKUP("MAYO",[2]BPS!$S$74:$T$89,2,0),0),0)</f>
        <v>22</v>
      </c>
      <c r="AL12" s="285">
        <f t="shared" si="13"/>
        <v>1</v>
      </c>
      <c r="AM12" s="86">
        <f>IFERROR(VLOOKUP(B12,'[2]RETAIL ORIGEN RMKT'!$S$11:$AF$62,7,0),0)</f>
        <v>6</v>
      </c>
      <c r="AN12" s="150">
        <f t="shared" si="14"/>
        <v>0.4</v>
      </c>
      <c r="AO12" s="148">
        <f>SUMIF('UC MINI 2026'!$B$5:$B$61,'UC MINI 2026 MINI NEXT'!$B12,'UC MINI 2026'!$P$5:$P$61)</f>
        <v>15</v>
      </c>
      <c r="AP12" s="86">
        <f>SUMIF('UC MINI 2026'!$B$5:$B$61,'UC MINI 2026 MINI NEXT'!$B12,'UC MINI 2026'!$Q$5:$Q$61)</f>
        <v>32</v>
      </c>
      <c r="AQ12" s="297">
        <f t="shared" si="15"/>
        <v>2.1333333333333333</v>
      </c>
      <c r="AR12" s="86">
        <f>IFERROR(VLOOKUP(B12,[2]BPS!$S$10:$AF$64,8,0),0)-IF(B12=100873,IFERROR(VLOOKUP("JUNIO",[2]BPS!$S$74:$T$89,2,0),0),0)</f>
        <v>30</v>
      </c>
      <c r="AS12" s="285">
        <f t="shared" si="16"/>
        <v>0.9375</v>
      </c>
      <c r="AT12" s="86">
        <f>IFERROR(VLOOKUP(B12,'[2]RETAIL ORIGEN RMKT'!$S$11:$AF$62,8,0),0)</f>
        <v>7</v>
      </c>
      <c r="AU12" s="150">
        <f t="shared" si="17"/>
        <v>0.46666666666666667</v>
      </c>
      <c r="AV12" s="148">
        <f>SUMIF('UC MINI 2026'!$B$5:$B$61,'UC MINI 2026 MINI NEXT'!$B12,'UC MINI 2026'!$R$5:$R$61)</f>
        <v>0</v>
      </c>
      <c r="AW12" s="86">
        <f>SUMIF('UC MINI 2026'!$B$5:$B$61,'UC MINI 2026 MINI NEXT'!$B12,'UC MINI 2026'!$S$5:$S$61)</f>
        <v>0</v>
      </c>
      <c r="AX12" s="297">
        <f t="shared" si="18"/>
        <v>0</v>
      </c>
      <c r="AY12" s="86">
        <f>IFERROR(VLOOKUP(B12,[2]BPS!$S$10:$AF$64,9,0),0)-IF(B12=100873,IFERROR(VLOOKUP("JULIO",[2]BPS!$S$74:$T$89,2,0),0),0)</f>
        <v>0</v>
      </c>
      <c r="AZ12" s="285">
        <f t="shared" si="19"/>
        <v>0</v>
      </c>
      <c r="BA12" s="86">
        <f>IFERROR(VLOOKUP(I12,'[2]RETAIL ORIGEN RMKT'!$S$11:$AF$62,9,0),0)</f>
        <v>0</v>
      </c>
      <c r="BB12" s="150">
        <f t="shared" si="20"/>
        <v>0</v>
      </c>
      <c r="BC12" s="148">
        <f>SUMIF('UC MINI 2026'!$B$5:$B$61,'UC MINI 2026 MINI NEXT'!$B12,'UC MINI 2026'!$T$5:$T$61)</f>
        <v>0</v>
      </c>
      <c r="BD12" s="86">
        <f>SUMIF('UC MINI 2026'!$B$5:$B$61,'UC MINI 2026 MINI NEXT'!$B12,'UC MINI 2026'!$U$5:$U$61)</f>
        <v>0</v>
      </c>
      <c r="BE12" s="297">
        <f t="shared" si="21"/>
        <v>0</v>
      </c>
      <c r="BF12" s="86">
        <f>IFERROR(VLOOKUP(B12,[2]BPS!$S$10:$AF$64,10,0),0)-IF(B12=100873,IFERROR(VLOOKUP("AGOSTO",[2]BPS!$S$74:$T$89,2,0),0),0)</f>
        <v>0</v>
      </c>
      <c r="BG12" s="285">
        <f t="shared" si="22"/>
        <v>0</v>
      </c>
      <c r="BH12" s="86">
        <f>IFERROR(VLOOKUP(P12,'[2]RETAIL ORIGEN RMKT'!$S$11:$AF$62,10,0),0)</f>
        <v>0</v>
      </c>
      <c r="BI12" s="150">
        <f t="shared" si="23"/>
        <v>0</v>
      </c>
      <c r="BJ12" s="148">
        <f>SUMIF('UC MINI 2026'!$B$5:$B$61,'UC MINI 2026 MINI NEXT'!$B12,'UC MINI 2026'!$V$5:$V$61)</f>
        <v>0</v>
      </c>
      <c r="BK12" s="86">
        <f>SUMIF('UC MINI 2026'!$B$5:$B$61,'UC MINI 2026 MINI NEXT'!$B12,'UC MINI 2026'!$W$5:$W$61)</f>
        <v>0</v>
      </c>
      <c r="BL12" s="297">
        <f t="shared" si="24"/>
        <v>0</v>
      </c>
      <c r="BM12" s="86">
        <f>IFERROR(VLOOKUP(B12,[2]BPS!$S$10:$AF$64,11,0),0)-IF(B12=100873,IFERROR(VLOOKUP("SEPTIEMBRE",[2]BPS!$S$74:$T$89,2,0),0),0)</f>
        <v>0</v>
      </c>
      <c r="BN12" s="285">
        <f t="shared" si="25"/>
        <v>0</v>
      </c>
      <c r="BO12" s="86">
        <f>IFERROR(VLOOKUP(W12,'[2]RETAIL ORIGEN RMKT'!$S$11:$AF$62,11,0),0)</f>
        <v>0</v>
      </c>
      <c r="BP12" s="150">
        <f t="shared" si="26"/>
        <v>0</v>
      </c>
      <c r="BQ12" s="148">
        <f>SUMIF('UC MINI 2026'!$B$5:$B$61,'UC MINI 2026 MINI NEXT'!$B12,'UC MINI 2026'!$V$5:$V$61)</f>
        <v>0</v>
      </c>
      <c r="BR12" s="86">
        <f>SUMIF('UC MINI 2026'!$B$5:$B$61,'UC MINI 2026 MINI NEXT'!$B12,'UC MINI 2026'!$Y$5:$Y$61)</f>
        <v>0</v>
      </c>
      <c r="BS12" s="297">
        <f t="shared" si="27"/>
        <v>0</v>
      </c>
      <c r="BT12" s="86">
        <f>IFERROR(VLOOKUP(B12,[2]BPS!$S$10:$AF$64,12,0),0)-IF(B12=100873,IFERROR(VLOOKUP("OCTUBRE",[2]BPS!$S$74:$T$89,2,0),0),0)</f>
        <v>0</v>
      </c>
      <c r="BU12" s="285">
        <f t="shared" si="28"/>
        <v>0</v>
      </c>
      <c r="BV12" s="86">
        <f>IFERROR(VLOOKUP(AD12,'[2]RETAIL ORIGEN RMKT'!$S$11:$AF$62,12,0),0)</f>
        <v>0</v>
      </c>
      <c r="BW12" s="150">
        <f t="shared" si="29"/>
        <v>0</v>
      </c>
      <c r="BX12" s="148">
        <f>SUMIF('UC MINI 2026'!$B$5:$B$61,'UC MINI 2026 MINI NEXT'!$B12,'UC MINI 2026'!$V$5:$V$61)</f>
        <v>0</v>
      </c>
      <c r="BY12" s="86">
        <f>SUMIF('UC MINI 2026'!$B$5:$B$61,'UC MINI 2026 MINI NEXT'!$B12,'UC MINI 2026'!$AA$5:$AA$61)</f>
        <v>0</v>
      </c>
      <c r="BZ12" s="297">
        <f t="shared" si="30"/>
        <v>0</v>
      </c>
      <c r="CA12" s="86">
        <f>IFERROR(VLOOKUP(B12,[2]BPS!$S$10:$AF$64,13,0),0)-IF(B12=100873,IFERROR(VLOOKUP("NOVIEMBRE",[2]BPS!$S$74:$T$89,2,0),0),0)</f>
        <v>0</v>
      </c>
      <c r="CB12" s="285">
        <f t="shared" si="31"/>
        <v>0</v>
      </c>
      <c r="CC12" s="86">
        <f>IFERROR(VLOOKUP(AK12,'[2]RETAIL ORIGEN RMKT'!$S$11:$AF$62,13,0),0)</f>
        <v>0</v>
      </c>
      <c r="CD12" s="150">
        <f t="shared" si="32"/>
        <v>0</v>
      </c>
      <c r="CE12" s="148">
        <f>SUMIF('UC MINI 2026'!$B$5:$B$61,'UC MINI 2026 MINI NEXT'!$B12,'UC MINI 2026'!$V$5:$V$61)</f>
        <v>0</v>
      </c>
      <c r="CF12" s="86">
        <f>SUMIF('UC MINI 2026'!$B$5:$B$61,'UC MINI 2026 MINI NEXT'!$B12,'UC MINI 2026'!$AC$5:$AC$61)</f>
        <v>0</v>
      </c>
      <c r="CG12" s="297">
        <f t="shared" si="33"/>
        <v>0</v>
      </c>
      <c r="CH12" s="86">
        <f>IFERROR(VLOOKUP(B12,[2]BPS!$S$10:$AF$64,14,0),0)-IF(B12=100873,IFERROR(VLOOKUP("DICIEMBRE",[2]BPS!$S$74:$T$89,2,0),0),0)</f>
        <v>0</v>
      </c>
      <c r="CI12" s="285">
        <f t="shared" si="34"/>
        <v>0</v>
      </c>
      <c r="CJ12" s="86">
        <f>IFERROR(VLOOKUP(AR12,'[2]RETAIL ORIGEN RMKT'!$S$11:$AF$62,14,0),0)</f>
        <v>0</v>
      </c>
      <c r="CK12" s="150">
        <f t="shared" si="35"/>
        <v>0</v>
      </c>
      <c r="CL12" s="54">
        <f t="shared" ref="CL12:CM21" si="51">IF($CL$4="ENERO",F12,IF($CL$4="FEBRERO",F12+M12,IF($CL$4="MARZO",F12+M12+T12,IF($CL$4="ABRIL",F12+M12+T12+AA12,IF($CL$4="MAYO",F12+M12+T12+AA12+AH12,IF($CL$4="JUNIO",F12+M12+T12+AA12+AH12+AO12,IF($CL$4="JULIO",F12+M12+T12+AA12+AH12+AO12+AV12,IF($CL$4="AGOSTO",F12+M12+T12+AA12+AH12+AO12+AV12+BC12,IF($CL$4="SEPTIEMBRE",F12+M12+T12+AA12+AH12+AO12+AV12+BC12+BJ12,IF($CL$4="OCTUBRE",F12+M12+T12+AA12+AH12+AO12+AV12+BC12+BJ12+BQ12,IF($CL$4="NOVIEMBRE",F12+M12+T12+AA12+AH12+AO12+AV12+BC12+BJ12+BQ12+BX12,IF($CL$4="DICIEMBRE",F12+M12+T12+AA12+AH12+AO12+AV12+BC12+BJ12+BQ12+BX12+CE12,""))))))))))))</f>
        <v>90</v>
      </c>
      <c r="CM12" s="86">
        <f t="shared" si="51"/>
        <v>124</v>
      </c>
      <c r="CN12" s="109">
        <f t="shared" si="37"/>
        <v>1.3777777777777778</v>
      </c>
      <c r="CO12" s="86">
        <f>IFERROR(IF($CL$4="ENERO",I12,IF($CL$4="FEBRERO",I12+P12,IF($CL$4="MARZO",I12+P12+W12,IF($CL$4="ABRIL",I12+P12+W12+AD12,IF($CL$4="MAYO",I12+P12+W12+AD12+AK12,IF($CL$4="JUNIO",I12+P12+W12+AD12+AK12+AR12,IF($CL$4="JULIO",I12+P12+W12+AD12+AK12+AR12+AY12,IF($CL$4="AGOSTO",I12+P12+W12+AD12+AK12+AR12+AY12+BF12,IF($CL$4="SEPTIEMBRE",I12+P12+W12+AD12+AK12+AR12+AY12+BF12+BM12,IF($CL$4="OCTUBRE",I12+P12+W12+AD12+AK12+AR12+AY12+BF12+BM12+BT12,IF($CL$4="NOVIEMBRE",I12+P12+W12+AD12+AK12+AR12+AY12+BF12+BM12+BT12+CA12,IF($CL$4="DICIEMBRE",I12+P12+W12+AD12+AK12+AR12+AY12+BF12+BM12+BT12+CA12+CH12,"")))))))))))),0)</f>
        <v>116</v>
      </c>
      <c r="CP12" s="297">
        <f>IFERROR(IF(CM12=0,"N.D.",CO12/CM12),0)</f>
        <v>0.93548387096774188</v>
      </c>
      <c r="CQ12" s="348">
        <f>IFERROR(IF($CL$4="ENERO",K12,
IF($CL$4="FEBRERO",K12+R12,
IF($CL$4="MARZO",K12+R12+Y12,
IF($CL$4="ABRIL",K12+R12+Y12+AF12,
IF($CL$4="MAYO",K12+R12+Y12+AF12+AM12,
IF($CL$4="JUNIO",K12+R12+Y12+AF12+AM12+AT12,
IF($CL$4="JULIO",K12+R12+Y12+AF12+AM12+AT12+BA12,
IF($CL$4="AGOSTO",K12+R12+Y12+AF12+AM12+AT12+BA12+BH12,
IF($CL$4="SEPTIEMBRE",K12+R12+Y12+AF12+AM12+AT12+BA12+BH12+BO12,
IF($CL$4="OCTUBRE",K12+R12+Y12+AF12+AM12+AT12+BA12+BH12+BO12+BV12,
IF($CL$4="NOVIEMBRE",K12+R12+Y12+AF12+AM12+AT12+BA12+BH12+BO12+BV12+CC12,
IF($CL$4="DICIEMBRE",K12+R12+Y12+AF12+AM12+AT12+BA12+BH12+BO12+BV12+CC12+CJ12,"")))))))))))),0)</f>
        <v>31</v>
      </c>
      <c r="CR12" s="149">
        <f t="shared" si="38"/>
        <v>0.34444444444444444</v>
      </c>
      <c r="CS12" s="54">
        <f>+F12+M12+T12+AA12+AH12+AO12++AV12+BC12+BJ12+BQ12+BX12+CE12</f>
        <v>90</v>
      </c>
      <c r="CT12" s="86">
        <f>+G12+N12+U12+AB12+AI12+AP12++AW12+BD12+BK12+BR12+BY12+CF12</f>
        <v>124</v>
      </c>
      <c r="CU12" s="109">
        <f t="shared" ref="CU12:CU64" si="52">IFERROR((CT12/CS12),0)</f>
        <v>1.3777777777777778</v>
      </c>
      <c r="CV12" s="68">
        <f>IFERROR(I12+P12+W12+AD12+AK12+AR12+AY12+BF12+BM12+BT12+CA12+CH12,0)</f>
        <v>116</v>
      </c>
      <c r="CW12" s="297">
        <f>IF(CT12=0,"N.D.",CV12/CT12)</f>
        <v>0.93548387096774188</v>
      </c>
      <c r="CX12" s="350">
        <f>IFERROR(K12+R12+Y12+AF12+AM12+AT12+BA12+BH12+BO12+BV12+CC12+CJ12,0)</f>
        <v>31</v>
      </c>
      <c r="CY12" s="149">
        <f t="shared" si="39"/>
        <v>0.34444444444444444</v>
      </c>
      <c r="CZ12" s="54">
        <f t="shared" ref="CZ12:DA21" si="53">IF($CZ$5="Q1",F12+M12+T12,
IF($CZ$5="Q2",AA12+AH12++AO12,
IF($CZ$5="Q3",AV12+BC12+BJ12,
IF($CZ$5="Q4",BQ12+BX12+CE12,0))))</f>
        <v>45</v>
      </c>
      <c r="DA12" s="86">
        <f t="shared" si="53"/>
        <v>56</v>
      </c>
      <c r="DB12" s="109">
        <f t="shared" si="41"/>
        <v>1.2444444444444445</v>
      </c>
      <c r="DC12" s="68">
        <f>IFERROR(IF($CZ$5="Q1",I12+P12+W12,
IF($CZ$5="Q2",AD12+AK12++AR12,
IF($CZ$5="Q3",AY12+BF12+BM12,
IF($CZ$5="Q4",BT12+CA12+CH12,0)))),0)</f>
        <v>52</v>
      </c>
      <c r="DD12" s="297">
        <f>IF(DA12=0,"N.D.",DC12/DA12)</f>
        <v>0.9285714285714286</v>
      </c>
      <c r="DE12" s="350">
        <f>IFERROR(IF($CZ$5="Q1",K12+R12+Y12,
IF($CZ$5="Q2",AF12+AM12+AT12,
IF($CZ$5="Q3",BA12+BH12+BO12,
IF($CZ$5="Q4",BV12+CC12+CJ12,0)))),0)</f>
        <v>16</v>
      </c>
      <c r="DF12" s="150">
        <f t="shared" si="42"/>
        <v>0.35555555555555557</v>
      </c>
      <c r="DG12" s="54">
        <f>IF($DG$5="S 1",F12+M12+T12+AA12+AH12+AO12,
IF($DG$5="S 2",AV12+BC12+BJ12+BQ12+BX12+CE12,0))</f>
        <v>90</v>
      </c>
      <c r="DH12" s="86">
        <f>IF($DG$5="S 1",G12+N12+U12+AB12+AI12+AP12,
IF($DG$5="S 2",AW12+BD12+BK12+BR12+BY12+CF12,0))</f>
        <v>124</v>
      </c>
      <c r="DI12" s="109">
        <f t="shared" si="44"/>
        <v>1.3777777777777778</v>
      </c>
      <c r="DJ12" s="68">
        <f>IFERROR(IF($DG$5="S 1",I12+P12+W12+AD12+AK12++AR12,
IF($DG$5="S 2",AY12+BF12+BM12+BT12+CA12+CH12,0)),0)</f>
        <v>116</v>
      </c>
      <c r="DK12" s="297">
        <f t="shared" si="45"/>
        <v>0.93548387096774188</v>
      </c>
      <c r="DL12" s="350">
        <f>IFERROR(IF($DG$5="S 1",K12+R12+Y12+AF12+AM12+AT12,
IF($DG$5="S 2",BA12+BH12+BO12+BV12+CC12+CJ12,0)),0)</f>
        <v>31</v>
      </c>
      <c r="DM12" s="150">
        <f t="shared" si="46"/>
        <v>0.34444444444444444</v>
      </c>
      <c r="DN12" s="67">
        <f>IF($DN$5="S 1",F12+M12+T12+AA12+AH12+AO12,
IF($DN$5="S 2",AV12+BC12+BJ12+BQ12+BX12+CE12,0))</f>
        <v>0</v>
      </c>
      <c r="DO12" s="266">
        <f>IF($DN$5="S 1",G12+N12+U12+AB12+AI12+AP12,
IF($DN$5="S 2",AW12+BD12+BK12+BR12+BY12+CF12,0))</f>
        <v>0</v>
      </c>
      <c r="DP12" s="109">
        <f t="shared" si="48"/>
        <v>0</v>
      </c>
      <c r="DQ12" s="68">
        <f>IFERROR(IF($DN$5="S 1",I12+P12+W12+AD12+AK12++AR12,
IF($DN$5="S 2",AY12+BF12+BM12+BT12+CA12+CH12,0)),0)</f>
        <v>0</v>
      </c>
      <c r="DR12" s="297" t="str">
        <f t="shared" si="49"/>
        <v>N.D.</v>
      </c>
      <c r="DS12" s="350">
        <f>IFERROR(IF($DN$5="S 1",K12+R12+Y12+AF12+AM12+AT12,
IF($DN$5="S 2",BA12+BH12+BO12+BV12+CC12+CJ12,0)),0)</f>
        <v>0</v>
      </c>
      <c r="DT12" s="150">
        <f t="shared" si="50"/>
        <v>0</v>
      </c>
      <c r="DU12" s="53">
        <v>1</v>
      </c>
      <c r="DX12" s="53" cm="1">
        <f t="array" ref="DX12:DX53">_xlfn._xlws.SORT(_xlfn._xlws.FILTER(CL12:CL63, DU12:DU63=1),1, -1)</f>
        <v>135</v>
      </c>
      <c r="DY12" s="53" cm="1">
        <f t="array" ref="DY12:DY53">_xlfn._xlws.SORT(_xlfn._xlws.FILTER(CM12:CM63, DU12:DU63=1),1, -1)</f>
        <v>153</v>
      </c>
      <c r="DZ12" s="513" cm="1">
        <f t="array" ref="DZ12:DZ53">_xlfn._xlws.SORT(_xlfn._xlws.FILTER(CN12:CN63, DU12:DU63=1),1, -1)</f>
        <v>1.84</v>
      </c>
      <c r="EB12" s="513" cm="1">
        <f t="array" ref="EB12:EB53">_xlfn._xlws.SORT(_xlfn._xlws.FILTER(CP12:CP63, DU12:DU63=1),1, -1)</f>
        <v>1</v>
      </c>
      <c r="EC12" s="53" cm="1">
        <f t="array" ref="EC12:EC53">_xlfn._xlws.SORT(_xlfn._xlws.FILTER(CQ12:CQ63, DU12:DU63=1),1, -1)</f>
        <v>40</v>
      </c>
      <c r="ED12" s="513" cm="1">
        <f t="array" ref="ED12:ED53">_xlfn._xlws.SORT(_xlfn._xlws.FILTER(CR12:CR63, DU12:DU63=1),1, -1)</f>
        <v>0.6</v>
      </c>
    </row>
    <row r="13" spans="1:134" s="53" customFormat="1" ht="16" customHeight="1" x14ac:dyDescent="0.3">
      <c r="A13" s="53">
        <f>_xlfn.XLOOKUP(B13,'UC MINI 2026'!$B$5:$B$61,'UC MINI 2026'!$A$5:$A$61)</f>
        <v>2</v>
      </c>
      <c r="B13" s="179">
        <v>100319</v>
      </c>
      <c r="C13" s="381" t="s">
        <v>16</v>
      </c>
      <c r="D13" s="146"/>
      <c r="E13" s="309" t="s">
        <v>276</v>
      </c>
      <c r="F13" s="54">
        <f>SUMIF('UC MINI 2026'!$B$5:$B$71,'UC MINI 2026 MINI NEXT'!$B13,'UC MINI 2026'!$F$5:$F$71)</f>
        <v>12</v>
      </c>
      <c r="G13" s="86">
        <f>SUMIF('UC MINI 2026'!$B$5:$B$71,'UC MINI 2026 MINI NEXT'!$B13,'UC MINI 2026'!$G$5:$G$71)</f>
        <v>7</v>
      </c>
      <c r="H13" s="297">
        <f t="shared" ref="H13:H66" si="54">IFERROR(G13/F13,0)</f>
        <v>0.58333333333333337</v>
      </c>
      <c r="I13" s="86">
        <f>IFERROR(VLOOKUP(B13,[2]BPS!$S$10:$AF$64,3,0),0)-IF(B13=100873,IFERROR(VLOOKUP("Enero",[2]BPS!$S$74:$T$89,2,0),0),0)</f>
        <v>7</v>
      </c>
      <c r="J13" s="297">
        <f t="shared" ref="J13:J66" si="55">IFERROR(I13/G13,0)</f>
        <v>1</v>
      </c>
      <c r="K13" s="86">
        <f>IFERROR(VLOOKUP(B13,'[2]RETAIL ORIGEN RMKT'!$S$11:$AF$62,3,0),0)</f>
        <v>1</v>
      </c>
      <c r="L13" s="150">
        <f t="shared" ref="L13:L66" si="56">IFERROR(K13/F13,0)</f>
        <v>8.3333333333333329E-2</v>
      </c>
      <c r="M13" s="79">
        <f>SUMIF('UC MINI 2026'!$B$5:$B$61,'UC MINI 2026 MINI NEXT'!$B13,'UC MINI 2026'!$H$5:$H$61)</f>
        <v>14</v>
      </c>
      <c r="N13" s="86">
        <f>SUMIF('UC MINI 2026'!$B$5:$B$61,'UC MINI 2026 MINI NEXT'!$B13,'UC MINI 2026'!$I$5:$I$61)</f>
        <v>8</v>
      </c>
      <c r="O13" s="297">
        <f t="shared" ref="O13:O23" si="57">IFERROR(N13/M13,0)</f>
        <v>0.5714285714285714</v>
      </c>
      <c r="P13" s="86">
        <f>IFERROR(VLOOKUP(B13,[2]BPS!$S$10:$AF$64,4,0),0)-IF(B13=100873,IFERROR(VLOOKUP("FEBRERO",[2]BPS!$S$74:$T$89,2,0),0),0)</f>
        <v>7</v>
      </c>
      <c r="Q13" s="297">
        <f t="shared" si="4"/>
        <v>0.875</v>
      </c>
      <c r="R13" s="86">
        <f>IFERROR(VLOOKUP(B13,'[2]RETAIL ORIGEN RMKT'!$S$11:$AF$62,4,0),0)</f>
        <v>3</v>
      </c>
      <c r="S13" s="150">
        <f t="shared" ref="S13:S23" si="58">IFERROR(R13/M13,0)</f>
        <v>0.21428571428571427</v>
      </c>
      <c r="T13" s="148">
        <f>SUMIF('UC MINI 2026'!$B$5:$B$71,'UC MINI 2026 MINI NEXT'!$B13,'UC MINI 2026'!$J$5:$J$71)</f>
        <v>14</v>
      </c>
      <c r="U13" s="86">
        <f>SUMIF('UC MINI 2026'!$B$10:$B$61,'UC MINI 2026 MINI NEXT'!$B13,'UC MINI 2026'!$K$10:$K$61)</f>
        <v>19</v>
      </c>
      <c r="V13" s="297">
        <f t="shared" ref="V13:V23" si="59">IFERROR(U13/T13,0)</f>
        <v>1.3571428571428572</v>
      </c>
      <c r="W13" s="86">
        <f>IFERROR(VLOOKUP(B13,[2]BPS!$S$10:$AF$64,5,0),0)-IF(B13=100873,IFERROR(VLOOKUP("MARZO",[2]BPS!$S$74:$T$89,2,0),0),0)</f>
        <v>18</v>
      </c>
      <c r="X13" s="297">
        <f t="shared" si="7"/>
        <v>0.94736842105263153</v>
      </c>
      <c r="Y13" s="86">
        <f>IFERROR(VLOOKUP(B13,'[2]RETAIL ORIGEN RMKT'!$S$11:$AF$62,5,0),0)</f>
        <v>12</v>
      </c>
      <c r="Z13" s="150">
        <f t="shared" ref="Z13:Z23" si="60">IFERROR(Y13/T13,0)</f>
        <v>0.8571428571428571</v>
      </c>
      <c r="AA13" s="148">
        <f>SUMIF('UC MINI 2026'!$B$5:$B$61,'UC MINI 2026 MINI NEXT'!$B13,'UC MINI 2026'!$L$5:$L$61)</f>
        <v>12</v>
      </c>
      <c r="AB13" s="86">
        <f>SUMIF('UC MINI 2026'!$B$5:$B$61,'UC MINI 2026 MINI NEXT'!$B13,'UC MINI 2026'!$M$5:$M$61)</f>
        <v>21</v>
      </c>
      <c r="AC13" s="297">
        <f t="shared" ref="AC13:AC23" si="61">IFERROR(AB13/AA13,0)</f>
        <v>1.75</v>
      </c>
      <c r="AD13" s="86">
        <f>IFERROR(VLOOKUP(B13,[2]BPS!$S$10:$AF$64,6,0),0)-IF(B13=100873,IFERROR(VLOOKUP("ABRIL",[2]BPS!$S$74:$T$89,2,0),0),0)</f>
        <v>21</v>
      </c>
      <c r="AE13" s="285">
        <f t="shared" si="10"/>
        <v>1</v>
      </c>
      <c r="AF13" s="86">
        <f>IFERROR(VLOOKUP(B13,'[2]RETAIL ORIGEN RMKT'!$S$11:$AF$62,6,0),0)</f>
        <v>10</v>
      </c>
      <c r="AG13" s="150">
        <f t="shared" ref="AG13:AG23" si="62">IFERROR(AF13/AA13,0)</f>
        <v>0.83333333333333337</v>
      </c>
      <c r="AH13" s="148">
        <f>SUMIF('UC MINI 2026'!$B$5:$B$61,'UC MINI 2026 MINI NEXT'!$B13,'UC MINI 2026'!$N$5:$N$61)</f>
        <v>14</v>
      </c>
      <c r="AI13" s="86">
        <f>SUMIF('UC MINI 2026'!$B$5:$B$61,'UC MINI 2026 MINI NEXT'!$B13,'UC MINI 2026'!$O$5:$O$61)</f>
        <v>10</v>
      </c>
      <c r="AJ13" s="297">
        <f t="shared" ref="AJ13:AJ23" si="63">IFERROR(AI13/AH13,0)</f>
        <v>0.7142857142857143</v>
      </c>
      <c r="AK13" s="86">
        <f>IFERROR(VLOOKUP(B13,[2]BPS!$S$10:$AF$64,7,0),0)-IF(B13=100873,IFERROR(VLOOKUP("MAYO",[2]BPS!$S$74:$T$89,2,0),0),0)</f>
        <v>10</v>
      </c>
      <c r="AL13" s="285">
        <f t="shared" si="13"/>
        <v>1</v>
      </c>
      <c r="AM13" s="86">
        <f>IFERROR(VLOOKUP(B13,'[2]RETAIL ORIGEN RMKT'!$S$11:$AF$62,7,0),0)</f>
        <v>3</v>
      </c>
      <c r="AN13" s="150">
        <f t="shared" ref="AN13:AN23" si="64">IFERROR(AM13/AH13,0)</f>
        <v>0.21428571428571427</v>
      </c>
      <c r="AO13" s="148">
        <f>SUMIF('UC MINI 2026'!$B$5:$B$61,'UC MINI 2026 MINI NEXT'!$B13,'UC MINI 2026'!$P$5:$P$61)</f>
        <v>14</v>
      </c>
      <c r="AP13" s="86">
        <f>SUMIF('UC MINI 2026'!$B$5:$B$61,'UC MINI 2026 MINI NEXT'!$B13,'UC MINI 2026'!$Q$5:$Q$61)</f>
        <v>19</v>
      </c>
      <c r="AQ13" s="297">
        <f t="shared" ref="AQ13:AQ23" si="65">IFERROR(AP13/AO13,0)</f>
        <v>1.3571428571428572</v>
      </c>
      <c r="AR13" s="86">
        <f>IFERROR(VLOOKUP(B13,[2]BPS!$S$10:$AF$64,8,0),0)-IF(B13=100873,IFERROR(VLOOKUP("JUNIO",[2]BPS!$S$74:$T$89,2,0),0),0)</f>
        <v>19</v>
      </c>
      <c r="AS13" s="285">
        <f t="shared" si="16"/>
        <v>1</v>
      </c>
      <c r="AT13" s="86">
        <f>IFERROR(VLOOKUP(B13,'[2]RETAIL ORIGEN RMKT'!$S$11:$AF$62,8,0),0)</f>
        <v>10</v>
      </c>
      <c r="AU13" s="150">
        <f t="shared" ref="AU13:AU23" si="66">IFERROR(AT13/AO13,0)</f>
        <v>0.7142857142857143</v>
      </c>
      <c r="AV13" s="148">
        <f>SUMIF('UC MINI 2026'!$B$5:$B$61,'UC MINI 2026 MINI NEXT'!$B13,'UC MINI 2026'!$R$5:$R$61)</f>
        <v>0</v>
      </c>
      <c r="AW13" s="86">
        <f>SUMIF('UC MINI 2026'!$B$5:$B$61,'UC MINI 2026 MINI NEXT'!$B13,'UC MINI 2026'!$S$5:$S$61)</f>
        <v>0</v>
      </c>
      <c r="AX13" s="297">
        <f t="shared" ref="AX13:AX23" si="67">IFERROR(AW13/AV13,0)</f>
        <v>0</v>
      </c>
      <c r="AY13" s="86">
        <f>IFERROR(VLOOKUP(B13,[2]BPS!$S$10:$AF$64,9,0),0)-IF(B13=100873,IFERROR(VLOOKUP("JULIO",[2]BPS!$S$74:$T$89,2,0),0),0)</f>
        <v>0</v>
      </c>
      <c r="AZ13" s="285">
        <f t="shared" si="19"/>
        <v>0</v>
      </c>
      <c r="BA13" s="86">
        <f>IFERROR(VLOOKUP(I13,'[2]RETAIL ORIGEN RMKT'!$S$11:$AF$62,9,0),0)</f>
        <v>0</v>
      </c>
      <c r="BB13" s="150">
        <f t="shared" ref="BB13:BB23" si="68">IFERROR(BA13/AV13,0)</f>
        <v>0</v>
      </c>
      <c r="BC13" s="148">
        <f>SUMIF('UC MINI 2026'!$B$5:$B$61,'UC MINI 2026 MINI NEXT'!$B13,'UC MINI 2026'!$T$5:$T$61)</f>
        <v>0</v>
      </c>
      <c r="BD13" s="86">
        <f>SUMIF('UC MINI 2026'!$B$5:$B$61,'UC MINI 2026 MINI NEXT'!$B13,'UC MINI 2026'!$U$5:$U$61)</f>
        <v>0</v>
      </c>
      <c r="BE13" s="297">
        <f t="shared" ref="BE13:BE23" si="69">IFERROR(BD13/BC13,0)</f>
        <v>0</v>
      </c>
      <c r="BF13" s="86">
        <f>IFERROR(VLOOKUP(B13,[2]BPS!$S$10:$AF$64,10,0),0)-IF(B13=100873,IFERROR(VLOOKUP("AGOSTO",[2]BPS!$S$74:$T$89,2,0),0),0)</f>
        <v>0</v>
      </c>
      <c r="BG13" s="285">
        <f t="shared" si="22"/>
        <v>0</v>
      </c>
      <c r="BH13" s="86">
        <f>IFERROR(VLOOKUP(P13,'[2]RETAIL ORIGEN RMKT'!$S$11:$AF$62,10,0),0)</f>
        <v>0</v>
      </c>
      <c r="BI13" s="150">
        <f t="shared" ref="BI13:BI23" si="70">IFERROR(BH13/BC13,0)</f>
        <v>0</v>
      </c>
      <c r="BJ13" s="148">
        <f>SUMIF('UC MINI 2026'!$B$5:$B$61,'UC MINI 2026 MINI NEXT'!$B13,'UC MINI 2026'!$V$5:$V$61)</f>
        <v>0</v>
      </c>
      <c r="BK13" s="86">
        <f>SUMIF('UC MINI 2026'!$B$5:$B$61,'UC MINI 2026 MINI NEXT'!$B13,'UC MINI 2026'!$W$5:$W$61)</f>
        <v>0</v>
      </c>
      <c r="BL13" s="297">
        <f t="shared" ref="BL13:BL23" si="71">IFERROR(BK13/BJ13,0)</f>
        <v>0</v>
      </c>
      <c r="BM13" s="86">
        <f>IFERROR(VLOOKUP(B13,[2]BPS!$S$10:$AF$64,11,0),0)-IF(B13=100873,IFERROR(VLOOKUP("SEPTIEMBRE",[2]BPS!$S$74:$T$89,2,0),0),0)</f>
        <v>0</v>
      </c>
      <c r="BN13" s="285">
        <f t="shared" si="25"/>
        <v>0</v>
      </c>
      <c r="BO13" s="86">
        <f>IFERROR(VLOOKUP(W13,'[2]RETAIL ORIGEN RMKT'!$S$11:$AF$62,11,0),0)</f>
        <v>0</v>
      </c>
      <c r="BP13" s="150">
        <f t="shared" ref="BP13:BP23" si="72">IFERROR(BO13/BJ13,0)</f>
        <v>0</v>
      </c>
      <c r="BQ13" s="148">
        <f>SUMIF('UC MINI 2026'!$B$5:$B$61,'UC MINI 2026 MINI NEXT'!$B13,'UC MINI 2026'!$V$5:$V$61)</f>
        <v>0</v>
      </c>
      <c r="BR13" s="86">
        <f>SUMIF('UC MINI 2026'!$B$5:$B$61,'UC MINI 2026 MINI NEXT'!$B13,'UC MINI 2026'!$Y$5:$Y$61)</f>
        <v>0</v>
      </c>
      <c r="BS13" s="297">
        <f t="shared" ref="BS13:BS23" si="73">IFERROR(BR13/BQ13,0)</f>
        <v>0</v>
      </c>
      <c r="BT13" s="86">
        <f>IFERROR(VLOOKUP(B13,[2]BPS!$S$10:$AF$64,12,0),0)-IF(B13=100873,IFERROR(VLOOKUP("OCTUBRE",[2]BPS!$S$74:$T$89,2,0),0),0)</f>
        <v>0</v>
      </c>
      <c r="BU13" s="285">
        <f t="shared" si="28"/>
        <v>0</v>
      </c>
      <c r="BV13" s="86">
        <f>IFERROR(VLOOKUP(AD13,'[2]RETAIL ORIGEN RMKT'!$S$11:$AF$62,12,0),0)</f>
        <v>0</v>
      </c>
      <c r="BW13" s="150">
        <f t="shared" ref="BW13:BW23" si="74">IFERROR(BV13/BQ13,0)</f>
        <v>0</v>
      </c>
      <c r="BX13" s="148">
        <f>SUMIF('UC MINI 2026'!$B$5:$B$61,'UC MINI 2026 MINI NEXT'!$B13,'UC MINI 2026'!$V$5:$V$61)</f>
        <v>0</v>
      </c>
      <c r="BY13" s="86">
        <f>SUMIF('UC MINI 2026'!$B$5:$B$61,'UC MINI 2026 MINI NEXT'!$B13,'UC MINI 2026'!$AA$5:$AA$61)</f>
        <v>0</v>
      </c>
      <c r="BZ13" s="297">
        <f t="shared" ref="BZ13:BZ23" si="75">IFERROR(BY13/BX13,0)</f>
        <v>0</v>
      </c>
      <c r="CA13" s="86">
        <f>IFERROR(VLOOKUP(B13,[2]BPS!$S$10:$AF$64,13,0),0)-IF(B13=100873,IFERROR(VLOOKUP("NOVIEMBRE",[2]BPS!$S$74:$T$89,2,0),0),0)</f>
        <v>0</v>
      </c>
      <c r="CB13" s="285">
        <f t="shared" si="31"/>
        <v>0</v>
      </c>
      <c r="CC13" s="86">
        <f>IFERROR(VLOOKUP(AK13,'[2]RETAIL ORIGEN RMKT'!$S$11:$AF$62,13,0),0)</f>
        <v>0</v>
      </c>
      <c r="CD13" s="150">
        <f t="shared" ref="CD13:CD23" si="76">IFERROR(CC13/BX13,0)</f>
        <v>0</v>
      </c>
      <c r="CE13" s="148">
        <f>SUMIF('UC MINI 2026'!$B$5:$B$61,'UC MINI 2026 MINI NEXT'!$B13,'UC MINI 2026'!$V$5:$V$61)</f>
        <v>0</v>
      </c>
      <c r="CF13" s="86">
        <f>SUMIF('UC MINI 2026'!$B$5:$B$61,'UC MINI 2026 MINI NEXT'!$B13,'UC MINI 2026'!$AC$5:$AC$61)</f>
        <v>0</v>
      </c>
      <c r="CG13" s="297">
        <f t="shared" ref="CG13:CG23" si="77">IFERROR(CF13/CE13,0)</f>
        <v>0</v>
      </c>
      <c r="CH13" s="86">
        <f>IFERROR(VLOOKUP(B13,[2]BPS!$S$10:$AF$64,14,0),0)-IF(B13=100873,IFERROR(VLOOKUP("DICIEMBRE",[2]BPS!$S$74:$T$89,2,0),0),0)</f>
        <v>0</v>
      </c>
      <c r="CI13" s="285">
        <f t="shared" si="34"/>
        <v>0</v>
      </c>
      <c r="CJ13" s="86">
        <f>IFERROR(VLOOKUP(AR13,'[2]RETAIL ORIGEN RMKT'!$S$11:$AF$62,14,0),0)</f>
        <v>0</v>
      </c>
      <c r="CK13" s="150">
        <f t="shared" si="35"/>
        <v>0</v>
      </c>
      <c r="CL13" s="54">
        <f t="shared" si="51"/>
        <v>80</v>
      </c>
      <c r="CM13" s="86">
        <f t="shared" si="51"/>
        <v>84</v>
      </c>
      <c r="CN13" s="109">
        <f t="shared" si="37"/>
        <v>1.05</v>
      </c>
      <c r="CO13" s="86">
        <f t="shared" ref="CO13:CO21" si="78">IFERROR(IF($CL$4="ENERO",I13,IF($CL$4="FEBRERO",I13+P13,IF($CL$4="MARZO",I13+P13+W13,IF($CL$4="ABRIL",I13+P13+W13+AD13,IF($CL$4="MAYO",I13+P13+W13+AD13+AK13,IF($CL$4="JUNIO",I13+P13+W13+AD13+AK13+AR13,IF($CL$4="JULIO",I13+P13+W13+AD13+AK13+AR13+AY13,IF($CL$4="AGOSTO",I13+P13+W13+AD13+AK13+AR13+AY13+BF13,IF($CL$4="SEPTIEMBRE",I13+P13+W13+AD13+AK13+AR13+AY13+BF13+BM13,IF($CL$4="OCTUBRE",I13+P13+W13+AD13+AK13+AR13+AY13+BF13+BM13+BT13,IF($CL$4="NOVIEMBRE",I13+P13+W13+AD13+AK13+AR13+AY13+BF13+BM13+BT13+CA13,IF($CL$4="DICIEMBRE",I13+P13+W13+AD13+AK13+AR13+AY13+BF13+BM13+BT13+CA13+CH13,"")))))))))))),0)</f>
        <v>82</v>
      </c>
      <c r="CP13" s="297">
        <f t="shared" ref="CP13:CP21" si="79">IFERROR(IF(CM13=0,"N.D.",CO13/CM13),0)</f>
        <v>0.97619047619047616</v>
      </c>
      <c r="CQ13" s="348">
        <f t="shared" ref="CQ13:CQ21" si="80">IFERROR(IF($CL$4="ENERO",K13,
IF($CL$4="FEBRERO",K13+R13,
IF($CL$4="MARZO",K13+R13+Y13,
IF($CL$4="ABRIL",K13+R13+Y13+AF13,
IF($CL$4="MAYO",K13+R13+Y13+AF13+AM13,
IF($CL$4="JUNIO",K13+R13+Y13+AF13+AM13+AT13,
IF($CL$4="JULIO",K13+R13+Y13+AF13+AM13+AT13+BA13,
IF($CL$4="AGOSTO",K13+R13+Y13+AF13+AM13+AT13+BA13+BH13,
IF($CL$4="SEPTIEMBRE",K13+R13+Y13+AF13+AM13+AT13+BA13+BH13+BO13,
IF($CL$4="OCTUBRE",K13+R13+Y13+AF13+AM13+AT13+BA13+BH13+BO13+BV13,
IF($CL$4="NOVIEMBRE",K13+R13+Y13+AF13+AM13+AT13+BA13+BH13+BO13+BV13+CC13,
IF($CL$4="DICIEMBRE",K13+R13+Y13+AF13+AM13+AT13+BA13+BH13+BO13+BV13+CC13+CJ13,"")))))))))))),0)</f>
        <v>39</v>
      </c>
      <c r="CR13" s="149">
        <f t="shared" si="38"/>
        <v>0.48749999999999999</v>
      </c>
      <c r="CS13" s="54">
        <f t="shared" ref="CS13:CS21" si="81">+F13+M13+T13+AA13+AH13+AO13++AV13+BC13+BJ13+BQ13+BX13+CE13</f>
        <v>80</v>
      </c>
      <c r="CT13" s="86">
        <f t="shared" ref="CT13:CT21" si="82">SUMIFS($F13:$CI13,$F$6:$CI$6,CT$6,$F$2:$CI$2,$CL$4)</f>
        <v>84</v>
      </c>
      <c r="CU13" s="109">
        <f t="shared" si="52"/>
        <v>1.05</v>
      </c>
      <c r="CV13" s="86">
        <f t="shared" ref="CV13:CV21" si="83">IFERROR(I13+P13+W13+AD13+AK13+AR13+AY13+BF13+BM13+BT13+CA13+CH13,0)</f>
        <v>82</v>
      </c>
      <c r="CW13" s="297">
        <f t="shared" ref="CW13:CW21" si="84">IF(CT13=0,"N.D.",CV13/CT13)</f>
        <v>0.97619047619047616</v>
      </c>
      <c r="CX13" s="348">
        <f t="shared" ref="CX13:CX21" si="85">IFERROR(K13+R13+Y13+AF13+AM13+AT13+BA13+BH13+BO13+BV13+CC13+CJ13,0)</f>
        <v>39</v>
      </c>
      <c r="CY13" s="149">
        <f t="shared" si="39"/>
        <v>0.48749999999999999</v>
      </c>
      <c r="CZ13" s="54">
        <f t="shared" si="53"/>
        <v>40</v>
      </c>
      <c r="DA13" s="86">
        <f t="shared" si="53"/>
        <v>34</v>
      </c>
      <c r="DB13" s="109">
        <f t="shared" si="41"/>
        <v>0.85</v>
      </c>
      <c r="DC13" s="86">
        <f t="shared" ref="DC13:DC21" si="86">IFERROR(IF($CZ$5="Q1",I13+P13+W13,
IF($CZ$5="Q2",AD13+AK13++AR13,
IF($CZ$5="Q3",AY13+BF13+BM13,
IF($CZ$5="Q4",BT13+CA13+CH13,0)))),0)</f>
        <v>32</v>
      </c>
      <c r="DD13" s="297">
        <f t="shared" ref="DD13:DD21" si="87">IF(DA13=0,"N.D.",DC13/DA13)</f>
        <v>0.94117647058823528</v>
      </c>
      <c r="DE13" s="348">
        <f t="shared" ref="DE13:DE21" si="88">IFERROR(IF($CZ$5="Q1",K13+R13+Y13,
IF($CZ$5="Q2",AF13+AM13+AT13,
IF($CZ$5="Q3",BA13+BH13+BO13,
IF($CZ$5="Q4",BV13+CC13+CJ13,0)))),0)</f>
        <v>16</v>
      </c>
      <c r="DF13" s="150">
        <f t="shared" si="42"/>
        <v>0.4</v>
      </c>
      <c r="DG13" s="54">
        <f t="shared" ref="DG13:DH64" si="89">IF($DG$5="S 1",F13+M13+T13+AA13+AH13+AO13,
IF($DG$5="S 2",AV13+BC13+BJ13+BQ13+BX13+CE13,0))</f>
        <v>80</v>
      </c>
      <c r="DH13" s="86">
        <f t="shared" si="89"/>
        <v>84</v>
      </c>
      <c r="DI13" s="109">
        <f t="shared" si="44"/>
        <v>1.05</v>
      </c>
      <c r="DJ13" s="86">
        <f t="shared" ref="DJ13:DJ21" si="90">IFERROR(IF($DG$5="S 1",I13+P13+W13+AD13+AK13++AR13,
IF($DG$5="S 2",AY13+BF13+BM13+BT13+CA13+CH13,0)),0)</f>
        <v>82</v>
      </c>
      <c r="DK13" s="297">
        <f t="shared" si="45"/>
        <v>0.97619047619047616</v>
      </c>
      <c r="DL13" s="348">
        <f t="shared" ref="DL13:DL21" si="91">IFERROR(IF($DG$5="S 1",K13+R13+Y13+AF13+AM13+AT13,
IF($DG$5="S 2",BA13+BH13+BO13+BV13+CC13+CJ13,0)),0)</f>
        <v>39</v>
      </c>
      <c r="DM13" s="150">
        <f t="shared" si="46"/>
        <v>0.48749999999999999</v>
      </c>
      <c r="DN13" s="54">
        <f>IF($DN$5="S 1",F13+M13+T13+AA13+AH13+AO13,
IF($DN$5="S 2",AV13+BC13+BJ13+BQ13+BX13+CE13,0))</f>
        <v>0</v>
      </c>
      <c r="DO13" s="79">
        <f t="shared" ref="DO13:DO21" si="92">IF($DN$5="S 1",G13+N13+U13+AB13+AI13+AP13,
IF($DN$5="S 2",AW13+BD13+BK13+BR13+BY13+CF13,0))</f>
        <v>0</v>
      </c>
      <c r="DP13" s="109">
        <f t="shared" si="48"/>
        <v>0</v>
      </c>
      <c r="DQ13" s="86">
        <f t="shared" ref="DQ13:DQ21" si="93">IFERROR(IF($DN$5="S 1",I13+P13+W13+AD13+AK13++AR13,
IF($DN$5="S 2",AY13+BF13+BM13+BT13+CA13+CH13,0)),0)</f>
        <v>0</v>
      </c>
      <c r="DR13" s="297" t="str">
        <f t="shared" si="49"/>
        <v>N.D.</v>
      </c>
      <c r="DS13" s="348">
        <f t="shared" ref="DS13:DS21" si="94">IFERROR(IF($DN$5="S 1",K13+R13+Y13+AF13+AM13+AT13,
IF($DN$5="S 2",BA13+BH13+BO13+BV13+CC13+CJ13,0)),0)</f>
        <v>0</v>
      </c>
      <c r="DT13" s="150">
        <f t="shared" si="50"/>
        <v>0</v>
      </c>
      <c r="DU13" s="53">
        <v>1</v>
      </c>
      <c r="DX13" s="53">
        <v>130</v>
      </c>
      <c r="DY13" s="53">
        <v>125</v>
      </c>
      <c r="DZ13" s="513">
        <v>1.8</v>
      </c>
      <c r="EB13" s="513">
        <v>1</v>
      </c>
      <c r="EC13" s="53">
        <v>39</v>
      </c>
      <c r="ED13" s="513">
        <v>0.6</v>
      </c>
    </row>
    <row r="14" spans="1:134" s="53" customFormat="1" ht="16" customHeight="1" x14ac:dyDescent="0.3">
      <c r="A14" s="53">
        <f>_xlfn.XLOOKUP(B14,'UC MINI 2026'!$B$5:$B$61,'UC MINI 2026'!$A$5:$A$61)</f>
        <v>2</v>
      </c>
      <c r="B14" s="179">
        <v>100349</v>
      </c>
      <c r="C14" s="381" t="s">
        <v>10</v>
      </c>
      <c r="D14" s="146"/>
      <c r="E14" s="309" t="s">
        <v>276</v>
      </c>
      <c r="F14" s="54">
        <f>SUMIF('UC MINI 2026'!$B$5:$B$71,'UC MINI 2026 MINI NEXT'!$B14,'UC MINI 2026'!$F$5:$F$71)</f>
        <v>12</v>
      </c>
      <c r="G14" s="86">
        <f>SUMIF('UC MINI 2026'!$B$5:$B$71,'UC MINI 2026 MINI NEXT'!$B14,'UC MINI 2026'!$G$5:$G$71)</f>
        <v>11</v>
      </c>
      <c r="H14" s="297">
        <f>IFERROR(G14/F14,0)</f>
        <v>0.91666666666666663</v>
      </c>
      <c r="I14" s="86">
        <f>IFERROR(VLOOKUP(B14,[2]BPS!$S$10:$AF$64,3,0),0)-IF(B14=100873,IFERROR(VLOOKUP("Enero",[2]BPS!$S$74:$T$89,2,0),0),0)</f>
        <v>11</v>
      </c>
      <c r="J14" s="297">
        <f>IFERROR(I14/G14,0)</f>
        <v>1</v>
      </c>
      <c r="K14" s="86">
        <f>IFERROR(VLOOKUP(B14,'[2]RETAIL ORIGEN RMKT'!$S$11:$AF$62,3,0),0)</f>
        <v>4</v>
      </c>
      <c r="L14" s="150">
        <f>IFERROR(K14/F14,0)</f>
        <v>0.33333333333333331</v>
      </c>
      <c r="M14" s="79">
        <f>SUMIF('UC MINI 2026'!$B$5:$B$61,'UC MINI 2026 MINI NEXT'!$B14,'UC MINI 2026'!$H$5:$H$61)</f>
        <v>14</v>
      </c>
      <c r="N14" s="86">
        <f>SUMIF('UC MINI 2026'!$B$5:$B$61,'UC MINI 2026 MINI NEXT'!$B14,'UC MINI 2026'!$I$5:$I$61)</f>
        <v>8</v>
      </c>
      <c r="O14" s="297">
        <f t="shared" si="57"/>
        <v>0.5714285714285714</v>
      </c>
      <c r="P14" s="86">
        <f>IFERROR(VLOOKUP(B14,[2]BPS!$S$10:$AF$64,4,0),0)-IF(B14=100873,IFERROR(VLOOKUP("FEBRERO",[2]BPS!$S$74:$T$89,2,0),0),0)</f>
        <v>7</v>
      </c>
      <c r="Q14" s="297">
        <f t="shared" si="4"/>
        <v>0.875</v>
      </c>
      <c r="R14" s="86">
        <f>IFERROR(VLOOKUP(B14,'[2]RETAIL ORIGEN RMKT'!$S$11:$AF$62,4,0),0)</f>
        <v>6</v>
      </c>
      <c r="S14" s="150">
        <f t="shared" si="58"/>
        <v>0.42857142857142855</v>
      </c>
      <c r="T14" s="148">
        <f>SUMIF('UC MINI 2026'!$B$5:$B$71,'UC MINI 2026 MINI NEXT'!$B14,'UC MINI 2026'!$J$5:$J$71)</f>
        <v>14</v>
      </c>
      <c r="U14" s="86">
        <f>SUMIF('UC MINI 2026'!$B$10:$B$61,'UC MINI 2026 MINI NEXT'!$B14,'UC MINI 2026'!$K$10:$K$61)</f>
        <v>14</v>
      </c>
      <c r="V14" s="297">
        <f t="shared" si="59"/>
        <v>1</v>
      </c>
      <c r="W14" s="86">
        <f>IFERROR(VLOOKUP(B14,[2]BPS!$S$10:$AF$64,5,0),0)-IF(B14=100873,IFERROR(VLOOKUP("MARZO",[2]BPS!$S$74:$T$89,2,0),0),0)</f>
        <v>12</v>
      </c>
      <c r="X14" s="297">
        <f t="shared" si="7"/>
        <v>0.8571428571428571</v>
      </c>
      <c r="Y14" s="86">
        <f>IFERROR(VLOOKUP(B14,'[2]RETAIL ORIGEN RMKT'!$S$11:$AF$62,5,0),0)</f>
        <v>6</v>
      </c>
      <c r="Z14" s="150">
        <f t="shared" si="60"/>
        <v>0.42857142857142855</v>
      </c>
      <c r="AA14" s="148">
        <f>SUMIF('UC MINI 2026'!$B$5:$B$61,'UC MINI 2026 MINI NEXT'!$B14,'UC MINI 2026'!$L$5:$L$61)</f>
        <v>12</v>
      </c>
      <c r="AB14" s="86">
        <f>SUMIF('UC MINI 2026'!$B$5:$B$61,'UC MINI 2026 MINI NEXT'!$B14,'UC MINI 2026'!$M$5:$M$61)</f>
        <v>14</v>
      </c>
      <c r="AC14" s="297">
        <f t="shared" si="61"/>
        <v>1.1666666666666667</v>
      </c>
      <c r="AD14" s="86">
        <f>IFERROR(VLOOKUP(B14,[2]BPS!$S$10:$AF$64,6,0),0)-IF(B14=100873,IFERROR(VLOOKUP("ABRIL",[2]BPS!$S$74:$T$89,2,0),0),0)</f>
        <v>10</v>
      </c>
      <c r="AE14" s="285">
        <f t="shared" si="10"/>
        <v>0.7142857142857143</v>
      </c>
      <c r="AF14" s="86">
        <f>IFERROR(VLOOKUP(B14,'[2]RETAIL ORIGEN RMKT'!$S$11:$AF$62,6,0),0)</f>
        <v>5</v>
      </c>
      <c r="AG14" s="150">
        <f t="shared" si="62"/>
        <v>0.41666666666666669</v>
      </c>
      <c r="AH14" s="148">
        <f>SUMIF('UC MINI 2026'!$B$5:$B$61,'UC MINI 2026 MINI NEXT'!$B14,'UC MINI 2026'!$N$5:$N$61)</f>
        <v>14</v>
      </c>
      <c r="AI14" s="86">
        <f>SUMIF('UC MINI 2026'!$B$5:$B$61,'UC MINI 2026 MINI NEXT'!$B14,'UC MINI 2026'!$O$5:$O$61)</f>
        <v>17</v>
      </c>
      <c r="AJ14" s="297">
        <f t="shared" si="63"/>
        <v>1.2142857142857142</v>
      </c>
      <c r="AK14" s="86">
        <f>IFERROR(VLOOKUP(B14,[2]BPS!$S$10:$AF$64,7,0),0)-IF(B14=100873,IFERROR(VLOOKUP("MAYO",[2]BPS!$S$74:$T$89,2,0),0),0)</f>
        <v>13</v>
      </c>
      <c r="AL14" s="285">
        <f t="shared" si="13"/>
        <v>0.76470588235294112</v>
      </c>
      <c r="AM14" s="86">
        <f>IFERROR(VLOOKUP(B14,'[2]RETAIL ORIGEN RMKT'!$S$11:$AF$62,7,0),0)</f>
        <v>3</v>
      </c>
      <c r="AN14" s="150">
        <f t="shared" si="64"/>
        <v>0.21428571428571427</v>
      </c>
      <c r="AO14" s="148">
        <f>SUMIF('UC MINI 2026'!$B$5:$B$61,'UC MINI 2026 MINI NEXT'!$B14,'UC MINI 2026'!$P$5:$P$61)</f>
        <v>14</v>
      </c>
      <c r="AP14" s="86">
        <f>SUMIF('UC MINI 2026'!$B$5:$B$61,'UC MINI 2026 MINI NEXT'!$B14,'UC MINI 2026'!$Q$5:$Q$61)</f>
        <v>19</v>
      </c>
      <c r="AQ14" s="297">
        <f t="shared" si="65"/>
        <v>1.3571428571428572</v>
      </c>
      <c r="AR14" s="86">
        <f>IFERROR(VLOOKUP(B14,[2]BPS!$S$10:$AF$64,8,0),0)-IF(B14=100873,IFERROR(VLOOKUP("JUNIO",[2]BPS!$S$74:$T$89,2,0),0),0)</f>
        <v>17</v>
      </c>
      <c r="AS14" s="285">
        <f t="shared" si="16"/>
        <v>0.89473684210526316</v>
      </c>
      <c r="AT14" s="86">
        <f>IFERROR(VLOOKUP(B14,'[2]RETAIL ORIGEN RMKT'!$S$11:$AF$62,8,0),0)</f>
        <v>5</v>
      </c>
      <c r="AU14" s="150">
        <f t="shared" si="66"/>
        <v>0.35714285714285715</v>
      </c>
      <c r="AV14" s="148">
        <f>SUMIF('UC MINI 2026'!$B$5:$B$61,'UC MINI 2026 MINI NEXT'!$B14,'UC MINI 2026'!$R$5:$R$61)</f>
        <v>0</v>
      </c>
      <c r="AW14" s="86">
        <f>SUMIF('UC MINI 2026'!$B$5:$B$61,'UC MINI 2026 MINI NEXT'!$B14,'UC MINI 2026'!$S$5:$S$61)</f>
        <v>0</v>
      </c>
      <c r="AX14" s="297">
        <f t="shared" si="67"/>
        <v>0</v>
      </c>
      <c r="AY14" s="86">
        <f>IFERROR(VLOOKUP(B14,[2]BPS!$S$10:$AF$64,9,0),0)-IF(B14=100873,IFERROR(VLOOKUP("JULIO",[2]BPS!$S$74:$T$89,2,0),0),0)</f>
        <v>0</v>
      </c>
      <c r="AZ14" s="285">
        <f t="shared" si="19"/>
        <v>0</v>
      </c>
      <c r="BA14" s="86">
        <f>IFERROR(VLOOKUP(I14,'[2]RETAIL ORIGEN RMKT'!$S$11:$AF$62,9,0),0)</f>
        <v>0</v>
      </c>
      <c r="BB14" s="150">
        <f t="shared" si="68"/>
        <v>0</v>
      </c>
      <c r="BC14" s="148">
        <f>SUMIF('UC MINI 2026'!$B$5:$B$61,'UC MINI 2026 MINI NEXT'!$B14,'UC MINI 2026'!$T$5:$T$61)</f>
        <v>0</v>
      </c>
      <c r="BD14" s="86">
        <f>SUMIF('UC MINI 2026'!$B$5:$B$61,'UC MINI 2026 MINI NEXT'!$B14,'UC MINI 2026'!$U$5:$U$61)</f>
        <v>0</v>
      </c>
      <c r="BE14" s="297">
        <f t="shared" si="69"/>
        <v>0</v>
      </c>
      <c r="BF14" s="86">
        <f>IFERROR(VLOOKUP(B14,[2]BPS!$S$10:$AF$64,10,0),0)-IF(B14=100873,IFERROR(VLOOKUP("AGOSTO",[2]BPS!$S$74:$T$89,2,0),0),0)</f>
        <v>0</v>
      </c>
      <c r="BG14" s="285">
        <f t="shared" si="22"/>
        <v>0</v>
      </c>
      <c r="BH14" s="86">
        <f>IFERROR(VLOOKUP(P14,'[2]RETAIL ORIGEN RMKT'!$S$11:$AF$62,10,0),0)</f>
        <v>0</v>
      </c>
      <c r="BI14" s="150">
        <f t="shared" si="70"/>
        <v>0</v>
      </c>
      <c r="BJ14" s="148">
        <f>SUMIF('UC MINI 2026'!$B$5:$B$61,'UC MINI 2026 MINI NEXT'!$B14,'UC MINI 2026'!$V$5:$V$61)</f>
        <v>0</v>
      </c>
      <c r="BK14" s="86">
        <f>SUMIF('UC MINI 2026'!$B$5:$B$61,'UC MINI 2026 MINI NEXT'!$B14,'UC MINI 2026'!$W$5:$W$61)</f>
        <v>0</v>
      </c>
      <c r="BL14" s="297">
        <f t="shared" si="71"/>
        <v>0</v>
      </c>
      <c r="BM14" s="86">
        <f>IFERROR(VLOOKUP(B14,[2]BPS!$S$10:$AF$64,11,0),0)-IF(B14=100873,IFERROR(VLOOKUP("SEPTIEMBRE",[2]BPS!$S$74:$T$89,2,0),0),0)</f>
        <v>0</v>
      </c>
      <c r="BN14" s="285">
        <f t="shared" si="25"/>
        <v>0</v>
      </c>
      <c r="BO14" s="86">
        <f>IFERROR(VLOOKUP(W14,'[2]RETAIL ORIGEN RMKT'!$S$11:$AF$62,11,0),0)</f>
        <v>0</v>
      </c>
      <c r="BP14" s="150">
        <f t="shared" si="72"/>
        <v>0</v>
      </c>
      <c r="BQ14" s="148">
        <f>SUMIF('UC MINI 2026'!$B$5:$B$61,'UC MINI 2026 MINI NEXT'!$B14,'UC MINI 2026'!$V$5:$V$61)</f>
        <v>0</v>
      </c>
      <c r="BR14" s="86">
        <f>SUMIF('UC MINI 2026'!$B$5:$B$61,'UC MINI 2026 MINI NEXT'!$B14,'UC MINI 2026'!$Y$5:$Y$61)</f>
        <v>0</v>
      </c>
      <c r="BS14" s="297">
        <f t="shared" si="73"/>
        <v>0</v>
      </c>
      <c r="BT14" s="86">
        <f>IFERROR(VLOOKUP(B14,[2]BPS!$S$10:$AF$64,12,0),0)-IF(B14=100873,IFERROR(VLOOKUP("OCTUBRE",[2]BPS!$S$74:$T$89,2,0),0),0)</f>
        <v>0</v>
      </c>
      <c r="BU14" s="285">
        <f t="shared" si="28"/>
        <v>0</v>
      </c>
      <c r="BV14" s="86">
        <f>IFERROR(VLOOKUP(AD14,'[2]RETAIL ORIGEN RMKT'!$S$11:$AF$62,12,0),0)</f>
        <v>0</v>
      </c>
      <c r="BW14" s="150">
        <f t="shared" si="74"/>
        <v>0</v>
      </c>
      <c r="BX14" s="148">
        <f>SUMIF('UC MINI 2026'!$B$5:$B$61,'UC MINI 2026 MINI NEXT'!$B14,'UC MINI 2026'!$V$5:$V$61)</f>
        <v>0</v>
      </c>
      <c r="BY14" s="86">
        <f>SUMIF('UC MINI 2026'!$B$5:$B$61,'UC MINI 2026 MINI NEXT'!$B14,'UC MINI 2026'!$AA$5:$AA$61)</f>
        <v>0</v>
      </c>
      <c r="BZ14" s="297">
        <f t="shared" si="75"/>
        <v>0</v>
      </c>
      <c r="CA14" s="86">
        <f>IFERROR(VLOOKUP(B14,[2]BPS!$S$10:$AF$64,13,0),0)-IF(B14=100873,IFERROR(VLOOKUP("NOVIEMBRE",[2]BPS!$S$74:$T$89,2,0),0),0)</f>
        <v>0</v>
      </c>
      <c r="CB14" s="285">
        <f t="shared" si="31"/>
        <v>0</v>
      </c>
      <c r="CC14" s="86">
        <f>IFERROR(VLOOKUP(AK14,'[2]RETAIL ORIGEN RMKT'!$S$11:$AF$62,13,0),0)</f>
        <v>0</v>
      </c>
      <c r="CD14" s="150">
        <f t="shared" si="76"/>
        <v>0</v>
      </c>
      <c r="CE14" s="148">
        <f>SUMIF('UC MINI 2026'!$B$5:$B$61,'UC MINI 2026 MINI NEXT'!$B14,'UC MINI 2026'!$V$5:$V$61)</f>
        <v>0</v>
      </c>
      <c r="CF14" s="86">
        <f>SUMIF('UC MINI 2026'!$B$5:$B$61,'UC MINI 2026 MINI NEXT'!$B14,'UC MINI 2026'!$AC$5:$AC$61)</f>
        <v>0</v>
      </c>
      <c r="CG14" s="297">
        <f t="shared" si="77"/>
        <v>0</v>
      </c>
      <c r="CH14" s="86">
        <f>IFERROR(VLOOKUP(B14,[2]BPS!$S$10:$AF$64,14,0),0)-IF(B14=100873,IFERROR(VLOOKUP("DICIEMBRE",[2]BPS!$S$74:$T$89,2,0),0),0)</f>
        <v>0</v>
      </c>
      <c r="CI14" s="285">
        <f t="shared" si="34"/>
        <v>0</v>
      </c>
      <c r="CJ14" s="86">
        <f>IFERROR(VLOOKUP(AR14,'[2]RETAIL ORIGEN RMKT'!$S$11:$AF$62,14,0),0)</f>
        <v>0</v>
      </c>
      <c r="CK14" s="150">
        <f t="shared" si="35"/>
        <v>0</v>
      </c>
      <c r="CL14" s="54">
        <f t="shared" ref="CL14:CM16" si="95">IF($CL$4="ENERO",F14,IF($CL$4="FEBRERO",F14+M14,IF($CL$4="MARZO",F14+M14+T14,IF($CL$4="ABRIL",F14+M14+T14+AA14,IF($CL$4="MAYO",F14+M14+T14+AA14+AH14,IF($CL$4="JUNIO",F14+M14+T14+AA14+AH14+AO14,IF($CL$4="JULIO",F14+M14+T14+AA14+AH14+AO14+AV14,IF($CL$4="AGOSTO",F14+M14+T14+AA14+AH14+AO14+AV14+BC14,IF($CL$4="SEPTIEMBRE",F14+M14+T14+AA14+AH14+AO14+AV14+BC14+BJ14,IF($CL$4="OCTUBRE",F14+M14+T14+AA14+AH14+AO14+AV14+BC14+BJ14+BQ14,IF($CL$4="NOVIEMBRE",F14+M14+T14+AA14+AH14+AO14+AV14+BC14+BJ14+BQ14+BX14,IF($CL$4="DICIEMBRE",F14+M14+T14+AA14+AH14+AO14+AV14+BC14+BJ14+BQ14+BX14+CE14,""))))))))))))</f>
        <v>80</v>
      </c>
      <c r="CM14" s="86">
        <f t="shared" si="95"/>
        <v>83</v>
      </c>
      <c r="CN14" s="109">
        <f t="shared" si="37"/>
        <v>1.0375000000000001</v>
      </c>
      <c r="CO14" s="86">
        <f>IFERROR(IF($CL$4="ENERO",I14,IF($CL$4="FEBRERO",I14+P14,IF($CL$4="MARZO",I14+P14+W14,IF($CL$4="ABRIL",I14+P14+W14+AD14,IF($CL$4="MAYO",I14+P14+W14+AD14+AK14,IF($CL$4="JUNIO",I14+P14+W14+AD14+AK14+AR14,IF($CL$4="JULIO",I14+P14+W14+AD14+AK14+AR14+AY14,IF($CL$4="AGOSTO",I14+P14+W14+AD14+AK14+AR14+AY14+BF14,IF($CL$4="SEPTIEMBRE",I14+P14+W14+AD14+AK14+AR14+AY14+BF14+BM14,IF($CL$4="OCTUBRE",I14+P14+W14+AD14+AK14+AR14+AY14+BF14+BM14+BT14,IF($CL$4="NOVIEMBRE",I14+P14+W14+AD14+AK14+AR14+AY14+BF14+BM14+BT14+CA14,IF($CL$4="DICIEMBRE",I14+P14+W14+AD14+AK14+AR14+AY14+BF14+BM14+BT14+CA14+CH14,"")))))))))))),0)</f>
        <v>70</v>
      </c>
      <c r="CP14" s="297">
        <f>IFERROR(IF(CM14=0,"N.D.",CO14/CM14),0)</f>
        <v>0.84337349397590367</v>
      </c>
      <c r="CQ14" s="348">
        <f>IFERROR(IF($CL$4="ENERO",K14,
IF($CL$4="FEBRERO",K14+R14,
IF($CL$4="MARZO",K14+R14+Y14,
IF($CL$4="ABRIL",K14+R14+Y14+AF14,
IF($CL$4="MAYO",K14+R14+Y14+AF14+AM14,
IF($CL$4="JUNIO",K14+R14+Y14+AF14+AM14+AT14,
IF($CL$4="JULIO",K14+R14+Y14+AF14+AM14+AT14+BA14,
IF($CL$4="AGOSTO",K14+R14+Y14+AF14+AM14+AT14+BA14+BH14,
IF($CL$4="SEPTIEMBRE",K14+R14+Y14+AF14+AM14+AT14+BA14+BH14+BO14,
IF($CL$4="OCTUBRE",K14+R14+Y14+AF14+AM14+AT14+BA14+BH14+BO14+BV14,
IF($CL$4="NOVIEMBRE",K14+R14+Y14+AF14+AM14+AT14+BA14+BH14+BO14+BV14+CC14,
IF($CL$4="DICIEMBRE",K14+R14+Y14+AF14+AM14+AT14+BA14+BH14+BO14+BV14+CC14+CJ14,"")))))))))))),0)</f>
        <v>29</v>
      </c>
      <c r="CR14" s="149">
        <f t="shared" si="38"/>
        <v>0.36249999999999999</v>
      </c>
      <c r="CS14" s="54">
        <f>+F14+M14+T14+AA14+AH14+AO14++AV14+BC14+BJ14+BQ14+BX14+CE14</f>
        <v>80</v>
      </c>
      <c r="CT14" s="86">
        <f>SUMIFS($F14:$CI14,$F$6:$CI$6,CT$6,$F$2:$CI$2,$CL$4)</f>
        <v>83</v>
      </c>
      <c r="CU14" s="109">
        <f>IFERROR((CT14/CS14),0)</f>
        <v>1.0375000000000001</v>
      </c>
      <c r="CV14" s="86">
        <f>IFERROR(I14+P14+W14+AD14+AK14+AR14+AY14+BF14+BM14+BT14+CA14+CH14,0)</f>
        <v>70</v>
      </c>
      <c r="CW14" s="297">
        <f>IF(CT14=0,"N.D.",CV14/CT14)</f>
        <v>0.84337349397590367</v>
      </c>
      <c r="CX14" s="348">
        <f>IFERROR(K14+R14+Y14+AF14+AM14+AT14+BA14+BH14+BO14+BV14+CC14+CJ14,0)</f>
        <v>29</v>
      </c>
      <c r="CY14" s="149">
        <f t="shared" si="39"/>
        <v>0.36249999999999999</v>
      </c>
      <c r="CZ14" s="54">
        <f t="shared" ref="CZ14:DA16" si="96">IF($CZ$5="Q1",F14+M14+T14,
IF($CZ$5="Q2",AA14+AH14++AO14,
IF($CZ$5="Q3",AV14+BC14+BJ14,
IF($CZ$5="Q4",BQ14+BX14+CE14,0))))</f>
        <v>40</v>
      </c>
      <c r="DA14" s="86">
        <f t="shared" si="96"/>
        <v>33</v>
      </c>
      <c r="DB14" s="109">
        <f t="shared" si="41"/>
        <v>0.82499999999999996</v>
      </c>
      <c r="DC14" s="86">
        <f>IFERROR(IF($CZ$5="Q1",I14+P14+W14,
IF($CZ$5="Q2",AD14+AK14++AR14,
IF($CZ$5="Q3",AY14+BF14+BM14,
IF($CZ$5="Q4",BT14+CA14+CH14,0)))),0)</f>
        <v>30</v>
      </c>
      <c r="DD14" s="297">
        <f>IF(DA14=0,"N.D.",DC14/DA14)</f>
        <v>0.90909090909090906</v>
      </c>
      <c r="DE14" s="348">
        <f>IFERROR(IF($CZ$5="Q1",K14+R14+Y14,
IF($CZ$5="Q2",AF14+AM14+AT14,
IF($CZ$5="Q3",BA14+BH14+BO14,
IF($CZ$5="Q4",BV14+CC14+CJ14,0)))),0)</f>
        <v>16</v>
      </c>
      <c r="DF14" s="150">
        <f t="shared" si="42"/>
        <v>0.4</v>
      </c>
      <c r="DG14" s="54">
        <f t="shared" ref="DG14:DH16" si="97">IF($DG$5="S 1",F14+M14+T14+AA14+AH14+AO14,
IF($DG$5="S 2",AV14+BC14+BJ14+BQ14+BX14+CE14,0))</f>
        <v>80</v>
      </c>
      <c r="DH14" s="86">
        <f t="shared" si="97"/>
        <v>83</v>
      </c>
      <c r="DI14" s="109">
        <f t="shared" si="44"/>
        <v>1.0375000000000001</v>
      </c>
      <c r="DJ14" s="86">
        <f>IFERROR(IF($DG$5="S 1",I14+P14+W14+AD14+AK14++AR14,
IF($DG$5="S 2",AY14+BF14+BM14+BT14+CA14+CH14,0)),0)</f>
        <v>70</v>
      </c>
      <c r="DK14" s="297">
        <f t="shared" si="45"/>
        <v>0.84337349397590367</v>
      </c>
      <c r="DL14" s="348">
        <f>IFERROR(IF($DG$5="S 1",K14+R14+Y14+AF14+AM14+AT14,
IF($DG$5="S 2",BA14+BH14+BO14+BV14+CC14+CJ14,0)),0)</f>
        <v>29</v>
      </c>
      <c r="DM14" s="150">
        <f t="shared" si="46"/>
        <v>0.36249999999999999</v>
      </c>
      <c r="DN14" s="54">
        <f>IF($DN$5="S 1",F14+M14+T14+AA14+AH14+AO14,
IF($DN$5="S 2",AV14+BC14+BJ14+BQ14+BX14+CE14,0))</f>
        <v>0</v>
      </c>
      <c r="DO14" s="79">
        <f>IF($DN$5="S 1",G14+N14+U14+AB14+AI14+AP14,
IF($DN$5="S 2",AW14+BD14+BK14+BR14+BY14+CF14,0))</f>
        <v>0</v>
      </c>
      <c r="DP14" s="109">
        <f t="shared" si="48"/>
        <v>0</v>
      </c>
      <c r="DQ14" s="86">
        <f>IFERROR(IF($DN$5="S 1",I14+P14+W14+AD14+AK14++AR14,
IF($DN$5="S 2",AY14+BF14+BM14+BT14+CA14+CH14,0)),0)</f>
        <v>0</v>
      </c>
      <c r="DR14" s="297" t="str">
        <f t="shared" si="49"/>
        <v>N.D.</v>
      </c>
      <c r="DS14" s="348">
        <f>IFERROR(IF($DN$5="S 1",K14+R14+Y14+AF14+AM14+AT14,
IF($DN$5="S 2",BA14+BH14+BO14+BV14+CC14+CJ14,0)),0)</f>
        <v>0</v>
      </c>
      <c r="DT14" s="150">
        <f t="shared" si="50"/>
        <v>0</v>
      </c>
      <c r="DU14" s="53">
        <v>1</v>
      </c>
      <c r="DX14" s="53">
        <v>90</v>
      </c>
      <c r="DY14" s="53">
        <v>124</v>
      </c>
      <c r="DZ14" s="513">
        <v>1.5833333333333333</v>
      </c>
      <c r="EB14" s="513">
        <v>1</v>
      </c>
      <c r="EC14" s="53">
        <v>35</v>
      </c>
      <c r="ED14" s="513">
        <v>0.50909090909090904</v>
      </c>
    </row>
    <row r="15" spans="1:134" s="53" customFormat="1" ht="16" customHeight="1" x14ac:dyDescent="0.3">
      <c r="A15" s="53">
        <f>_xlfn.XLOOKUP(B15,'UC MINI 2026'!$B$5:$B$61,'UC MINI 2026'!$A$5:$A$61)</f>
        <v>2</v>
      </c>
      <c r="B15" s="179">
        <v>100917</v>
      </c>
      <c r="C15" s="381" t="s">
        <v>263</v>
      </c>
      <c r="D15" s="146"/>
      <c r="E15" s="309" t="s">
        <v>276</v>
      </c>
      <c r="F15" s="54">
        <f>SUMIF('UC MINI 2026'!$B$5:$B$71,'UC MINI 2026 MINI NEXT'!$B15,'UC MINI 2026'!$F$5:$F$71)</f>
        <v>1</v>
      </c>
      <c r="G15" s="86">
        <f>SUMIF('UC MINI 2026'!$B$5:$B$71,'UC MINI 2026 MINI NEXT'!$B15,'UC MINI 2026'!$G$5:$G$71)</f>
        <v>1</v>
      </c>
      <c r="H15" s="297">
        <f>IFERROR(G15/F15,0)</f>
        <v>1</v>
      </c>
      <c r="I15" s="86">
        <f>IFERROR(VLOOKUP(B15,[2]BPS!$S$10:$AF$64,3,0),0)-IF(B15=100873,IFERROR(VLOOKUP("Enero",[2]BPS!$S$74:$T$89,2,0),0),0)</f>
        <v>1</v>
      </c>
      <c r="J15" s="297">
        <f>IFERROR(I15/G15,0)</f>
        <v>1</v>
      </c>
      <c r="K15" s="86">
        <f>IFERROR(VLOOKUP(B15,'[2]RETAIL ORIGEN RMKT'!$S$11:$AF$62,3,0),0)</f>
        <v>0</v>
      </c>
      <c r="L15" s="150">
        <f>IFERROR(K15/F15,0)</f>
        <v>0</v>
      </c>
      <c r="M15" s="79">
        <f>SUMIF('UC MINI 2026'!$B$5:$B$61,'UC MINI 2026 MINI NEXT'!$B15,'UC MINI 2026'!$H$5:$H$61)</f>
        <v>1</v>
      </c>
      <c r="N15" s="86">
        <f>SUMIF('UC MINI 2026'!$B$5:$B$61,'UC MINI 2026 MINI NEXT'!$B15,'UC MINI 2026'!$I$5:$I$61)</f>
        <v>1</v>
      </c>
      <c r="O15" s="297">
        <f t="shared" si="57"/>
        <v>1</v>
      </c>
      <c r="P15" s="86">
        <f>IFERROR(VLOOKUP(B15,[2]BPS!$S$10:$AF$64,4,0),0)-IF(B15=100873,IFERROR(VLOOKUP("FEBRERO",[2]BPS!$S$74:$T$89,2,0),0),0)</f>
        <v>1</v>
      </c>
      <c r="Q15" s="297">
        <f t="shared" si="4"/>
        <v>1</v>
      </c>
      <c r="R15" s="86">
        <f>IFERROR(VLOOKUP(B15,'[2]RETAIL ORIGEN RMKT'!$S$11:$AF$62,4,0),0)</f>
        <v>0</v>
      </c>
      <c r="S15" s="150">
        <f t="shared" si="58"/>
        <v>0</v>
      </c>
      <c r="T15" s="148">
        <f>SUMIF('UC MINI 2026'!$B$5:$B$71,'UC MINI 2026 MINI NEXT'!$B15,'UC MINI 2026'!$J$5:$J$71)</f>
        <v>5</v>
      </c>
      <c r="U15" s="86">
        <f>SUMIF('UC MINI 2026'!$B$10:$B$61,'UC MINI 2026 MINI NEXT'!$B15,'UC MINI 2026'!$K$10:$K$61)</f>
        <v>0</v>
      </c>
      <c r="V15" s="297">
        <f t="shared" si="59"/>
        <v>0</v>
      </c>
      <c r="W15" s="86">
        <f>IFERROR(VLOOKUP(B15,[2]BPS!$S$10:$AF$64,5,0),0)-IF(B15=100873,IFERROR(VLOOKUP("MARZO",[2]BPS!$S$74:$T$89,2,0),0),0)</f>
        <v>0</v>
      </c>
      <c r="X15" s="297">
        <f t="shared" si="7"/>
        <v>0</v>
      </c>
      <c r="Y15" s="86">
        <f>IFERROR(VLOOKUP(B15,'[2]RETAIL ORIGEN RMKT'!$S$11:$AF$62,5,0),0)</f>
        <v>0</v>
      </c>
      <c r="Z15" s="150">
        <f t="shared" si="60"/>
        <v>0</v>
      </c>
      <c r="AA15" s="148">
        <f>SUMIF('UC MINI 2026'!$B$5:$B$61,'UC MINI 2026 MINI NEXT'!$B15,'UC MINI 2026'!$L$5:$L$61)</f>
        <v>6</v>
      </c>
      <c r="AB15" s="86">
        <f>SUMIF('UC MINI 2026'!$B$5:$B$61,'UC MINI 2026 MINI NEXT'!$B15,'UC MINI 2026'!$M$5:$M$61)</f>
        <v>10</v>
      </c>
      <c r="AC15" s="297">
        <f t="shared" si="61"/>
        <v>1.6666666666666667</v>
      </c>
      <c r="AD15" s="86">
        <f>IFERROR(VLOOKUP(B15,[2]BPS!$S$10:$AF$64,6,0),0)-IF(B15=100873,IFERROR(VLOOKUP("ABRIL",[2]BPS!$S$74:$T$89,2,0),0),0)</f>
        <v>5</v>
      </c>
      <c r="AE15" s="285">
        <f t="shared" si="10"/>
        <v>0.5</v>
      </c>
      <c r="AF15" s="86">
        <f>IFERROR(VLOOKUP(B15,'[2]RETAIL ORIGEN RMKT'!$S$11:$AF$62,6,0),0)</f>
        <v>3</v>
      </c>
      <c r="AG15" s="150">
        <f t="shared" si="62"/>
        <v>0.5</v>
      </c>
      <c r="AH15" s="148">
        <f>SUMIF('UC MINI 2026'!$B$5:$B$61,'UC MINI 2026 MINI NEXT'!$B15,'UC MINI 2026'!$N$5:$N$61)</f>
        <v>6</v>
      </c>
      <c r="AI15" s="86">
        <f>SUMIF('UC MINI 2026'!$B$5:$B$61,'UC MINI 2026 MINI NEXT'!$B15,'UC MINI 2026'!$O$5:$O$61)</f>
        <v>5</v>
      </c>
      <c r="AJ15" s="297">
        <f t="shared" si="63"/>
        <v>0.83333333333333337</v>
      </c>
      <c r="AK15" s="86">
        <f>IFERROR(VLOOKUP(B15,[2]BPS!$S$10:$AF$64,7,0),0)-IF(B15=100873,IFERROR(VLOOKUP("MAYO",[2]BPS!$S$74:$T$89,2,0),0),0)</f>
        <v>4</v>
      </c>
      <c r="AL15" s="285">
        <f t="shared" si="13"/>
        <v>0.8</v>
      </c>
      <c r="AM15" s="86">
        <f>IFERROR(VLOOKUP(B15,'[2]RETAIL ORIGEN RMKT'!$S$11:$AF$62,7,0),0)</f>
        <v>0</v>
      </c>
      <c r="AN15" s="150">
        <f t="shared" si="64"/>
        <v>0</v>
      </c>
      <c r="AO15" s="148">
        <f>SUMIF('UC MINI 2026'!$B$5:$B$61,'UC MINI 2026 MINI NEXT'!$B15,'UC MINI 2026'!$P$5:$P$61)</f>
        <v>6</v>
      </c>
      <c r="AP15" s="86">
        <f>SUMIF('UC MINI 2026'!$B$5:$B$61,'UC MINI 2026 MINI NEXT'!$B15,'UC MINI 2026'!$Q$5:$Q$61)</f>
        <v>2</v>
      </c>
      <c r="AQ15" s="297">
        <f t="shared" si="65"/>
        <v>0.33333333333333331</v>
      </c>
      <c r="AR15" s="86">
        <f>IFERROR(VLOOKUP(B15,[2]BPS!$S$10:$AF$64,8,0),0)-IF(B15=100873,IFERROR(VLOOKUP("JUNIO",[2]BPS!$S$74:$T$89,2,0),0),0)</f>
        <v>2</v>
      </c>
      <c r="AS15" s="285">
        <f t="shared" si="16"/>
        <v>1</v>
      </c>
      <c r="AT15" s="86">
        <f>IFERROR(VLOOKUP(B15,'[2]RETAIL ORIGEN RMKT'!$S$11:$AF$62,8,0),0)</f>
        <v>1</v>
      </c>
      <c r="AU15" s="150">
        <f t="shared" si="66"/>
        <v>0.16666666666666666</v>
      </c>
      <c r="AV15" s="148">
        <f>SUMIF('UC MINI 2026'!$B$5:$B$61,'UC MINI 2026 MINI NEXT'!$B15,'UC MINI 2026'!$R$5:$R$61)</f>
        <v>0</v>
      </c>
      <c r="AW15" s="86">
        <f>SUMIF('UC MINI 2026'!$B$5:$B$61,'UC MINI 2026 MINI NEXT'!$B15,'UC MINI 2026'!$S$5:$S$61)</f>
        <v>0</v>
      </c>
      <c r="AX15" s="297">
        <f t="shared" si="67"/>
        <v>0</v>
      </c>
      <c r="AY15" s="86">
        <f>IFERROR(VLOOKUP(B15,[2]BPS!$S$10:$AF$64,9,0),0)-IF(B15=100873,IFERROR(VLOOKUP("JULIO",[2]BPS!$S$74:$T$89,2,0),0),0)</f>
        <v>0</v>
      </c>
      <c r="AZ15" s="285">
        <f t="shared" si="19"/>
        <v>0</v>
      </c>
      <c r="BA15" s="86">
        <f>IFERROR(VLOOKUP(I15,'[2]RETAIL ORIGEN RMKT'!$S$11:$AF$62,9,0),0)</f>
        <v>0</v>
      </c>
      <c r="BB15" s="150">
        <f t="shared" si="68"/>
        <v>0</v>
      </c>
      <c r="BC15" s="148">
        <f>SUMIF('UC MINI 2026'!$B$5:$B$61,'UC MINI 2026 MINI NEXT'!$B15,'UC MINI 2026'!$T$5:$T$61)</f>
        <v>0</v>
      </c>
      <c r="BD15" s="86">
        <f>SUMIF('UC MINI 2026'!$B$5:$B$61,'UC MINI 2026 MINI NEXT'!$B15,'UC MINI 2026'!$U$5:$U$61)</f>
        <v>0</v>
      </c>
      <c r="BE15" s="297">
        <f t="shared" si="69"/>
        <v>0</v>
      </c>
      <c r="BF15" s="86">
        <f>IFERROR(VLOOKUP(B15,[2]BPS!$S$10:$AF$64,10,0),0)-IF(B15=100873,IFERROR(VLOOKUP("AGOSTO",[2]BPS!$S$74:$T$89,2,0),0),0)</f>
        <v>0</v>
      </c>
      <c r="BG15" s="285">
        <f t="shared" si="22"/>
        <v>0</v>
      </c>
      <c r="BH15" s="86">
        <f>IFERROR(VLOOKUP(P15,'[2]RETAIL ORIGEN RMKT'!$S$11:$AF$62,10,0),0)</f>
        <v>0</v>
      </c>
      <c r="BI15" s="150">
        <f t="shared" si="70"/>
        <v>0</v>
      </c>
      <c r="BJ15" s="148">
        <f>SUMIF('UC MINI 2026'!$B$5:$B$61,'UC MINI 2026 MINI NEXT'!$B15,'UC MINI 2026'!$V$5:$V$61)</f>
        <v>0</v>
      </c>
      <c r="BK15" s="86">
        <f>SUMIF('UC MINI 2026'!$B$5:$B$61,'UC MINI 2026 MINI NEXT'!$B15,'UC MINI 2026'!$W$5:$W$61)</f>
        <v>0</v>
      </c>
      <c r="BL15" s="297">
        <f t="shared" si="71"/>
        <v>0</v>
      </c>
      <c r="BM15" s="86">
        <f>IFERROR(VLOOKUP(B15,[2]BPS!$S$10:$AF$64,11,0),0)-IF(B15=100873,IFERROR(VLOOKUP("SEPTIEMBRE",[2]BPS!$S$74:$T$89,2,0),0),0)</f>
        <v>0</v>
      </c>
      <c r="BN15" s="285">
        <f t="shared" si="25"/>
        <v>0</v>
      </c>
      <c r="BO15" s="86">
        <f>IFERROR(VLOOKUP(W15,'[2]RETAIL ORIGEN RMKT'!$S$11:$AF$62,11,0),0)</f>
        <v>0</v>
      </c>
      <c r="BP15" s="150">
        <f t="shared" si="72"/>
        <v>0</v>
      </c>
      <c r="BQ15" s="148">
        <f>SUMIF('UC MINI 2026'!$B$5:$B$61,'UC MINI 2026 MINI NEXT'!$B15,'UC MINI 2026'!$V$5:$V$61)</f>
        <v>0</v>
      </c>
      <c r="BR15" s="86">
        <f>SUMIF('UC MINI 2026'!$B$5:$B$61,'UC MINI 2026 MINI NEXT'!$B15,'UC MINI 2026'!$Y$5:$Y$61)</f>
        <v>0</v>
      </c>
      <c r="BS15" s="297">
        <f t="shared" si="73"/>
        <v>0</v>
      </c>
      <c r="BT15" s="86">
        <f>IFERROR(VLOOKUP(B15,[2]BPS!$S$10:$AF$64,12,0),0)-IF(B15=100873,IFERROR(VLOOKUP("OCTUBRE",[2]BPS!$S$74:$T$89,2,0),0),0)</f>
        <v>0</v>
      </c>
      <c r="BU15" s="285">
        <f t="shared" si="28"/>
        <v>0</v>
      </c>
      <c r="BV15" s="86">
        <f>IFERROR(VLOOKUP(AD15,'[2]RETAIL ORIGEN RMKT'!$S$11:$AF$62,12,0),0)</f>
        <v>0</v>
      </c>
      <c r="BW15" s="150">
        <f t="shared" si="74"/>
        <v>0</v>
      </c>
      <c r="BX15" s="148">
        <f>SUMIF('UC MINI 2026'!$B$5:$B$61,'UC MINI 2026 MINI NEXT'!$B15,'UC MINI 2026'!$V$5:$V$61)</f>
        <v>0</v>
      </c>
      <c r="BY15" s="86">
        <f>SUMIF('UC MINI 2026'!$B$5:$B$61,'UC MINI 2026 MINI NEXT'!$B15,'UC MINI 2026'!$AA$5:$AA$61)</f>
        <v>0</v>
      </c>
      <c r="BZ15" s="297">
        <f t="shared" si="75"/>
        <v>0</v>
      </c>
      <c r="CA15" s="86">
        <f>IFERROR(VLOOKUP(B15,[2]BPS!$S$10:$AF$64,13,0),0)-IF(B15=100873,IFERROR(VLOOKUP("NOVIEMBRE",[2]BPS!$S$74:$T$89,2,0),0),0)</f>
        <v>0</v>
      </c>
      <c r="CB15" s="285">
        <f t="shared" si="31"/>
        <v>0</v>
      </c>
      <c r="CC15" s="86">
        <f>IFERROR(VLOOKUP(AK15,'[2]RETAIL ORIGEN RMKT'!$S$11:$AF$62,13,0),0)</f>
        <v>0</v>
      </c>
      <c r="CD15" s="150">
        <f t="shared" si="76"/>
        <v>0</v>
      </c>
      <c r="CE15" s="148">
        <f>SUMIF('UC MINI 2026'!$B$5:$B$61,'UC MINI 2026 MINI NEXT'!$B15,'UC MINI 2026'!$V$5:$V$61)</f>
        <v>0</v>
      </c>
      <c r="CF15" s="86">
        <f>SUMIF('UC MINI 2026'!$B$5:$B$61,'UC MINI 2026 MINI NEXT'!$B15,'UC MINI 2026'!$AC$5:$AC$61)</f>
        <v>0</v>
      </c>
      <c r="CG15" s="297">
        <f t="shared" si="77"/>
        <v>0</v>
      </c>
      <c r="CH15" s="86">
        <f>IFERROR(VLOOKUP(B15,[2]BPS!$S$10:$AF$64,14,0),0)-IF(B15=100873,IFERROR(VLOOKUP("DICIEMBRE",[2]BPS!$S$74:$T$89,2,0),0),0)</f>
        <v>0</v>
      </c>
      <c r="CI15" s="285">
        <f t="shared" si="34"/>
        <v>0</v>
      </c>
      <c r="CJ15" s="86">
        <f>IFERROR(VLOOKUP(AR15,'[2]RETAIL ORIGEN RMKT'!$S$11:$AF$62,14,0),0)</f>
        <v>0</v>
      </c>
      <c r="CK15" s="150">
        <f t="shared" si="35"/>
        <v>0</v>
      </c>
      <c r="CL15" s="54">
        <f t="shared" si="95"/>
        <v>25</v>
      </c>
      <c r="CM15" s="86">
        <f t="shared" si="95"/>
        <v>19</v>
      </c>
      <c r="CN15" s="109">
        <f t="shared" si="37"/>
        <v>0.76</v>
      </c>
      <c r="CO15" s="86">
        <f>IFERROR(IF($CL$4="ENERO",I15,IF($CL$4="FEBRERO",I15+P15,IF($CL$4="MARZO",I15+P15+W15,IF($CL$4="ABRIL",I15+P15+W15+AD15,IF($CL$4="MAYO",I15+P15+W15+AD15+AK15,IF($CL$4="JUNIO",I15+P15+W15+AD15+AK15+AR15,IF($CL$4="JULIO",I15+P15+W15+AD15+AK15+AR15+AY15,IF($CL$4="AGOSTO",I15+P15+W15+AD15+AK15+AR15+AY15+BF15,IF($CL$4="SEPTIEMBRE",I15+P15+W15+AD15+AK15+AR15+AY15+BF15+BM15,IF($CL$4="OCTUBRE",I15+P15+W15+AD15+AK15+AR15+AY15+BF15+BM15+BT15,IF($CL$4="NOVIEMBRE",I15+P15+W15+AD15+AK15+AR15+AY15+BF15+BM15+BT15+CA15,IF($CL$4="DICIEMBRE",I15+P15+W15+AD15+AK15+AR15+AY15+BF15+BM15+BT15+CA15+CH15,"")))))))))))),0)</f>
        <v>13</v>
      </c>
      <c r="CP15" s="297">
        <f>IFERROR(IF(CM15=0,"N.D.",CO15/CM15),0)</f>
        <v>0.68421052631578949</v>
      </c>
      <c r="CQ15" s="348">
        <f>IFERROR(IF($CL$4="ENERO",K15,
IF($CL$4="FEBRERO",K15+R15,
IF($CL$4="MARZO",K15+R15+Y15,
IF($CL$4="ABRIL",K15+R15+Y15+AF15,
IF($CL$4="MAYO",K15+R15+Y15+AF15+AM15,
IF($CL$4="JUNIO",K15+R15+Y15+AF15+AM15+AT15,
IF($CL$4="JULIO",K15+R15+Y15+AF15+AM15+AT15+BA15,
IF($CL$4="AGOSTO",K15+R15+Y15+AF15+AM15+AT15+BA15+BH15,
IF($CL$4="SEPTIEMBRE",K15+R15+Y15+AF15+AM15+AT15+BA15+BH15+BO15,
IF($CL$4="OCTUBRE",K15+R15+Y15+AF15+AM15+AT15+BA15+BH15+BO15+BV15,
IF($CL$4="NOVIEMBRE",K15+R15+Y15+AF15+AM15+AT15+BA15+BH15+BO15+BV15+CC15,
IF($CL$4="DICIEMBRE",K15+R15+Y15+AF15+AM15+AT15+BA15+BH15+BO15+BV15+CC15+CJ15,"")))))))))))),0)</f>
        <v>4</v>
      </c>
      <c r="CR15" s="149">
        <f t="shared" si="38"/>
        <v>0.16</v>
      </c>
      <c r="CS15" s="54">
        <f>+F15+M15+T15+AA15+AH15+AO15++AV15+BC15+BJ15+BQ15+BX15+CE15</f>
        <v>25</v>
      </c>
      <c r="CT15" s="86">
        <f>SUMIFS($F15:$CI15,$F$6:$CI$6,CT$6,$F$2:$CI$2,$CL$4)</f>
        <v>19</v>
      </c>
      <c r="CU15" s="109">
        <f>IFERROR((CT15/CS15),0)</f>
        <v>0.76</v>
      </c>
      <c r="CV15" s="86">
        <f>IFERROR(I15+P15+W15+AD15+AK15+AR15+AY15+BF15+BM15+BT15+CA15+CH15,0)</f>
        <v>13</v>
      </c>
      <c r="CW15" s="297">
        <f>IF(CT15=0,"N.D.",CV15/CT15)</f>
        <v>0.68421052631578949</v>
      </c>
      <c r="CX15" s="348">
        <f>IFERROR(K15+R15+Y15+AF15+AM15+AT15+BA15+BH15+BO15+BV15+CC15+CJ15,0)</f>
        <v>4</v>
      </c>
      <c r="CY15" s="149">
        <f t="shared" si="39"/>
        <v>0.16</v>
      </c>
      <c r="CZ15" s="54">
        <f t="shared" si="96"/>
        <v>7</v>
      </c>
      <c r="DA15" s="86">
        <f t="shared" si="96"/>
        <v>2</v>
      </c>
      <c r="DB15" s="109">
        <f t="shared" si="41"/>
        <v>0.2857142857142857</v>
      </c>
      <c r="DC15" s="86">
        <f>IFERROR(IF($CZ$5="Q1",I15+P15+W15,
IF($CZ$5="Q2",AD15+AK15++AR15,
IF($CZ$5="Q3",AY15+BF15+BM15,
IF($CZ$5="Q4",BT15+CA15+CH15,0)))),0)</f>
        <v>2</v>
      </c>
      <c r="DD15" s="297">
        <f>IF(DA15=0,"N.D.",DC15/DA15)</f>
        <v>1</v>
      </c>
      <c r="DE15" s="348">
        <f>IFERROR(IF($CZ$5="Q1",K15+R15+Y15,
IF($CZ$5="Q2",AF15+AM15+AT15,
IF($CZ$5="Q3",BA15+BH15+BO15,
IF($CZ$5="Q4",BV15+CC15+CJ15,0)))),0)</f>
        <v>0</v>
      </c>
      <c r="DF15" s="150">
        <f t="shared" si="42"/>
        <v>0</v>
      </c>
      <c r="DG15" s="54">
        <f t="shared" si="97"/>
        <v>25</v>
      </c>
      <c r="DH15" s="86">
        <f t="shared" si="97"/>
        <v>19</v>
      </c>
      <c r="DI15" s="109">
        <f t="shared" si="44"/>
        <v>0.76</v>
      </c>
      <c r="DJ15" s="86">
        <f>IFERROR(IF($DG$5="S 1",I15+P15+W15+AD15+AK15++AR15,
IF($DG$5="S 2",AY15+BF15+BM15+BT15+CA15+CH15,0)),0)</f>
        <v>13</v>
      </c>
      <c r="DK15" s="297">
        <f t="shared" si="45"/>
        <v>0.68421052631578949</v>
      </c>
      <c r="DL15" s="348">
        <f>IFERROR(IF($DG$5="S 1",K15+R15+Y15+AF15+AM15+AT15,
IF($DG$5="S 2",BA15+BH15+BO15+BV15+CC15+CJ15,0)),0)</f>
        <v>4</v>
      </c>
      <c r="DM15" s="150">
        <f t="shared" si="46"/>
        <v>0.16</v>
      </c>
      <c r="DN15" s="54">
        <f>IF($DN$5="S 1",F15+M15+T15+AA15+AH15+AO15,
IF($DN$5="S 2",AV15+BC15+BJ15+BQ15+BX15+CE15,0))</f>
        <v>0</v>
      </c>
      <c r="DO15" s="79">
        <f>IF($DN$5="S 1",G15+N15+U15+AB15+AI15+AP15,
IF($DN$5="S 2",AW15+BD15+BK15+BR15+BY15+CF15,0))</f>
        <v>0</v>
      </c>
      <c r="DP15" s="109">
        <f t="shared" si="48"/>
        <v>0</v>
      </c>
      <c r="DQ15" s="86">
        <f>IFERROR(IF($DN$5="S 1",I15+P15+W15+AD15+AK15++AR15,
IF($DN$5="S 2",AY15+BF15+BM15+BT15+CA15+CH15,0)),0)</f>
        <v>0</v>
      </c>
      <c r="DR15" s="297" t="str">
        <f t="shared" si="49"/>
        <v>N.D.</v>
      </c>
      <c r="DS15" s="348">
        <f>IFERROR(IF($DN$5="S 1",K15+R15+Y15+AF15+AM15+AT15,
IF($DN$5="S 2",BA15+BH15+BO15+BV15+CC15+CJ15,0)),0)</f>
        <v>0</v>
      </c>
      <c r="DT15" s="150">
        <f t="shared" si="50"/>
        <v>0</v>
      </c>
      <c r="DU15" s="53">
        <v>1</v>
      </c>
      <c r="DX15" s="53">
        <v>80</v>
      </c>
      <c r="DY15" s="53">
        <v>103</v>
      </c>
      <c r="DZ15" s="513">
        <v>1.56</v>
      </c>
      <c r="EB15" s="513">
        <v>1</v>
      </c>
      <c r="EC15" s="53">
        <v>31</v>
      </c>
      <c r="ED15" s="513">
        <v>0.5</v>
      </c>
    </row>
    <row r="16" spans="1:134" s="53" customFormat="1" ht="16" customHeight="1" thickBot="1" x14ac:dyDescent="0.35">
      <c r="A16" s="53">
        <f>_xlfn.XLOOKUP(B16,'UC MINI 2026'!$B$5:$B$61,'UC MINI 2026'!$A$5:$A$61)</f>
        <v>2</v>
      </c>
      <c r="B16" s="179">
        <v>100726</v>
      </c>
      <c r="C16" s="381" t="s">
        <v>19</v>
      </c>
      <c r="D16" s="163"/>
      <c r="E16" s="309" t="s">
        <v>88</v>
      </c>
      <c r="F16" s="54">
        <f>SUMIF('UC MINI 2026'!$B$5:$B$71,'UC MINI 2026 MINI NEXT'!$B16,'UC MINI 2026'!$F$5:$F$71)</f>
        <v>4</v>
      </c>
      <c r="G16" s="86">
        <f>SUMIF('UC MINI 2026'!$B$5:$B$71,'UC MINI 2026 MINI NEXT'!$B16,'UC MINI 2026'!$G$5:$G$71)</f>
        <v>2</v>
      </c>
      <c r="H16" s="299">
        <f>IFERROR(G16/F16,0)</f>
        <v>0.5</v>
      </c>
      <c r="I16" s="86">
        <f>IFERROR(VLOOKUP(B16,[2]BPS!$S$10:$AF$64,3,0),0)-IF(B16=100873,IFERROR(VLOOKUP("Enero",[2]BPS!$S$74:$T$89,2,0),0),0)</f>
        <v>2</v>
      </c>
      <c r="J16" s="299">
        <f>IFERROR(I16/G16,0)</f>
        <v>1</v>
      </c>
      <c r="K16" s="86">
        <f>IFERROR(VLOOKUP(B16,'[2]RETAIL ORIGEN RMKT'!$S$11:$AF$62,3,0),0)</f>
        <v>0</v>
      </c>
      <c r="L16" s="153">
        <f>IFERROR(K16/F16,0)</f>
        <v>0</v>
      </c>
      <c r="M16" s="79">
        <f>SUMIF('UC MINI 2026'!$B$5:$B$61,'UC MINI 2026 MINI NEXT'!$B16,'UC MINI 2026'!$H$5:$H$61)</f>
        <v>4</v>
      </c>
      <c r="N16" s="86">
        <f>SUMIF('UC MINI 2026'!$B$5:$B$61,'UC MINI 2026 MINI NEXT'!$B16,'UC MINI 2026'!$I$5:$I$61)</f>
        <v>5</v>
      </c>
      <c r="O16" s="299">
        <f t="shared" si="57"/>
        <v>1.25</v>
      </c>
      <c r="P16" s="86">
        <f>IFERROR(VLOOKUP(B16,[2]BPS!$S$10:$AF$64,4,0),0)-IF(B16=100873,IFERROR(VLOOKUP("FEBRERO",[2]BPS!$S$74:$T$89,2,0),0),0)</f>
        <v>3</v>
      </c>
      <c r="Q16" s="299">
        <f t="shared" si="4"/>
        <v>0.6</v>
      </c>
      <c r="R16" s="86">
        <f>IFERROR(VLOOKUP(B16,'[2]RETAIL ORIGEN RMKT'!$S$11:$AF$62,4,0),0)</f>
        <v>0</v>
      </c>
      <c r="S16" s="153">
        <f t="shared" si="58"/>
        <v>0</v>
      </c>
      <c r="T16" s="148">
        <f>SUMIF('UC MINI 2026'!$B$5:$B$71,'UC MINI 2026 MINI NEXT'!$B16,'UC MINI 2026'!$J$5:$J$71)</f>
        <v>5</v>
      </c>
      <c r="U16" s="86">
        <f>SUMIF('UC MINI 2026'!$B$10:$B$61,'UC MINI 2026 MINI NEXT'!$B16,'UC MINI 2026'!$K$10:$K$61)</f>
        <v>5</v>
      </c>
      <c r="V16" s="299">
        <f t="shared" si="59"/>
        <v>1</v>
      </c>
      <c r="W16" s="86">
        <f>IFERROR(VLOOKUP(B16,[2]BPS!$S$10:$AF$64,5,0),0)-IF(B16=100873,IFERROR(VLOOKUP("MARZO",[2]BPS!$S$74:$T$89,2,0),0),0)</f>
        <v>3</v>
      </c>
      <c r="X16" s="299">
        <f t="shared" si="7"/>
        <v>0.6</v>
      </c>
      <c r="Y16" s="86">
        <f>IFERROR(VLOOKUP(B16,'[2]RETAIL ORIGEN RMKT'!$S$11:$AF$62,5,0),0)</f>
        <v>0</v>
      </c>
      <c r="Z16" s="153">
        <f t="shared" si="60"/>
        <v>0</v>
      </c>
      <c r="AA16" s="148">
        <f>SUMIF('UC MINI 2026'!$B$5:$B$61,'UC MINI 2026 MINI NEXT'!$B16,'UC MINI 2026'!$L$5:$L$61)</f>
        <v>4</v>
      </c>
      <c r="AB16" s="86">
        <f>SUMIF('UC MINI 2026'!$B$5:$B$61,'UC MINI 2026 MINI NEXT'!$B16,'UC MINI 2026'!$M$5:$M$61)</f>
        <v>6</v>
      </c>
      <c r="AC16" s="299">
        <f t="shared" si="61"/>
        <v>1.5</v>
      </c>
      <c r="AD16" s="86">
        <f>IFERROR(VLOOKUP(B16,[2]BPS!$S$10:$AF$64,6,0),0)-IF(B16=100873,IFERROR(VLOOKUP("ABRIL",[2]BPS!$S$74:$T$89,2,0),0),0)</f>
        <v>3</v>
      </c>
      <c r="AE16" s="285">
        <f t="shared" si="10"/>
        <v>0.5</v>
      </c>
      <c r="AF16" s="86">
        <f>IFERROR(VLOOKUP(B16,'[2]RETAIL ORIGEN RMKT'!$S$11:$AF$62,6,0),0)</f>
        <v>0</v>
      </c>
      <c r="AG16" s="153">
        <f t="shared" si="62"/>
        <v>0</v>
      </c>
      <c r="AH16" s="148">
        <f>SUMIF('UC MINI 2026'!$B$5:$B$61,'UC MINI 2026 MINI NEXT'!$B16,'UC MINI 2026'!$N$5:$N$61)</f>
        <v>5</v>
      </c>
      <c r="AI16" s="86">
        <f>SUMIF('UC MINI 2026'!$B$5:$B$61,'UC MINI 2026 MINI NEXT'!$B16,'UC MINI 2026'!$O$5:$O$61)</f>
        <v>2</v>
      </c>
      <c r="AJ16" s="299">
        <f t="shared" si="63"/>
        <v>0.4</v>
      </c>
      <c r="AK16" s="86">
        <f>IFERROR(VLOOKUP(B16,[2]BPS!$S$10:$AF$64,7,0),0)-IF(B16=100873,IFERROR(VLOOKUP("MAYO",[2]BPS!$S$74:$T$89,2,0),0),0)</f>
        <v>2</v>
      </c>
      <c r="AL16" s="285">
        <f t="shared" si="13"/>
        <v>1</v>
      </c>
      <c r="AM16" s="86">
        <f>IFERROR(VLOOKUP(B16,'[2]RETAIL ORIGEN RMKT'!$S$11:$AF$62,7,0),0)</f>
        <v>0</v>
      </c>
      <c r="AN16" s="153">
        <f t="shared" si="64"/>
        <v>0</v>
      </c>
      <c r="AO16" s="148">
        <f>SUMIF('UC MINI 2026'!$B$5:$B$61,'UC MINI 2026 MINI NEXT'!$B16,'UC MINI 2026'!$P$5:$P$61)</f>
        <v>5</v>
      </c>
      <c r="AP16" s="86">
        <f>SUMIF('UC MINI 2026'!$B$5:$B$61,'UC MINI 2026 MINI NEXT'!$B16,'UC MINI 2026'!$Q$5:$Q$61)</f>
        <v>11</v>
      </c>
      <c r="AQ16" s="299">
        <f t="shared" si="65"/>
        <v>2.2000000000000002</v>
      </c>
      <c r="AR16" s="86">
        <f>IFERROR(VLOOKUP(B16,[2]BPS!$S$10:$AF$64,8,0),0)-IF(B16=100873,IFERROR(VLOOKUP("JUNIO",[2]BPS!$S$74:$T$89,2,0),0),0)</f>
        <v>4</v>
      </c>
      <c r="AS16" s="285">
        <f t="shared" si="16"/>
        <v>0.36363636363636365</v>
      </c>
      <c r="AT16" s="86">
        <f>IFERROR(VLOOKUP(B16,'[2]RETAIL ORIGEN RMKT'!$S$11:$AF$62,8,0),0)</f>
        <v>0</v>
      </c>
      <c r="AU16" s="153">
        <f t="shared" si="66"/>
        <v>0</v>
      </c>
      <c r="AV16" s="148">
        <f>SUMIF('UC MINI 2026'!$B$5:$B$61,'UC MINI 2026 MINI NEXT'!$B16,'UC MINI 2026'!$R$5:$R$61)</f>
        <v>0</v>
      </c>
      <c r="AW16" s="86">
        <f>SUMIF('UC MINI 2026'!$B$5:$B$61,'UC MINI 2026 MINI NEXT'!$B16,'UC MINI 2026'!$S$5:$S$61)</f>
        <v>0</v>
      </c>
      <c r="AX16" s="299">
        <f t="shared" si="67"/>
        <v>0</v>
      </c>
      <c r="AY16" s="86">
        <f>IFERROR(VLOOKUP(B16,[2]BPS!$S$10:$AF$64,9,0),0)-IF(B16=100873,IFERROR(VLOOKUP("JULIO",[2]BPS!$S$74:$T$89,2,0),0),0)</f>
        <v>0</v>
      </c>
      <c r="AZ16" s="285">
        <f t="shared" si="19"/>
        <v>0</v>
      </c>
      <c r="BA16" s="86">
        <f>IFERROR(VLOOKUP(I16,'[2]RETAIL ORIGEN RMKT'!$S$11:$AF$62,9,0),0)</f>
        <v>0</v>
      </c>
      <c r="BB16" s="153">
        <f t="shared" si="68"/>
        <v>0</v>
      </c>
      <c r="BC16" s="148">
        <f>SUMIF('UC MINI 2026'!$B$5:$B$61,'UC MINI 2026 MINI NEXT'!$B16,'UC MINI 2026'!$T$5:$T$61)</f>
        <v>0</v>
      </c>
      <c r="BD16" s="86">
        <f>SUMIF('UC MINI 2026'!$B$5:$B$61,'UC MINI 2026 MINI NEXT'!$B16,'UC MINI 2026'!$U$5:$U$61)</f>
        <v>0</v>
      </c>
      <c r="BE16" s="299">
        <f t="shared" si="69"/>
        <v>0</v>
      </c>
      <c r="BF16" s="86">
        <f>IFERROR(VLOOKUP(B16,[2]BPS!$S$10:$AF$64,10,0),0)-IF(B16=100873,IFERROR(VLOOKUP("AGOSTO",[2]BPS!$S$74:$T$89,2,0),0),0)</f>
        <v>0</v>
      </c>
      <c r="BG16" s="285">
        <f t="shared" si="22"/>
        <v>0</v>
      </c>
      <c r="BH16" s="86">
        <f>IFERROR(VLOOKUP(P16,'[2]RETAIL ORIGEN RMKT'!$S$11:$AF$62,10,0),0)</f>
        <v>0</v>
      </c>
      <c r="BI16" s="153">
        <f t="shared" si="70"/>
        <v>0</v>
      </c>
      <c r="BJ16" s="148">
        <f>SUMIF('UC MINI 2026'!$B$5:$B$61,'UC MINI 2026 MINI NEXT'!$B16,'UC MINI 2026'!$V$5:$V$61)</f>
        <v>0</v>
      </c>
      <c r="BK16" s="86">
        <f>SUMIF('UC MINI 2026'!$B$5:$B$61,'UC MINI 2026 MINI NEXT'!$B16,'UC MINI 2026'!$W$5:$W$61)</f>
        <v>0</v>
      </c>
      <c r="BL16" s="299">
        <f t="shared" si="71"/>
        <v>0</v>
      </c>
      <c r="BM16" s="86">
        <f>IFERROR(VLOOKUP(B16,[2]BPS!$S$10:$AF$64,11,0),0)-IF(B16=100873,IFERROR(VLOOKUP("SEPTIEMBRE",[2]BPS!$S$74:$T$89,2,0),0),0)</f>
        <v>0</v>
      </c>
      <c r="BN16" s="285">
        <f t="shared" si="25"/>
        <v>0</v>
      </c>
      <c r="BO16" s="86">
        <f>IFERROR(VLOOKUP(W16,'[2]RETAIL ORIGEN RMKT'!$S$11:$AF$62,11,0),0)</f>
        <v>0</v>
      </c>
      <c r="BP16" s="153">
        <f t="shared" si="72"/>
        <v>0</v>
      </c>
      <c r="BQ16" s="148">
        <f>SUMIF('UC MINI 2026'!$B$5:$B$61,'UC MINI 2026 MINI NEXT'!$B16,'UC MINI 2026'!$V$5:$V$61)</f>
        <v>0</v>
      </c>
      <c r="BR16" s="86">
        <f>SUMIF('UC MINI 2026'!$B$5:$B$61,'UC MINI 2026 MINI NEXT'!$B16,'UC MINI 2026'!$Y$5:$Y$61)</f>
        <v>0</v>
      </c>
      <c r="BS16" s="299">
        <f t="shared" si="73"/>
        <v>0</v>
      </c>
      <c r="BT16" s="86">
        <f>IFERROR(VLOOKUP(B16,[2]BPS!$S$10:$AF$64,12,0),0)-IF(B16=100873,IFERROR(VLOOKUP("OCTUBRE",[2]BPS!$S$74:$T$89,2,0),0),0)</f>
        <v>0</v>
      </c>
      <c r="BU16" s="285">
        <f t="shared" si="28"/>
        <v>0</v>
      </c>
      <c r="BV16" s="86">
        <f>IFERROR(VLOOKUP(AD16,'[2]RETAIL ORIGEN RMKT'!$S$11:$AF$62,12,0),0)</f>
        <v>0</v>
      </c>
      <c r="BW16" s="153">
        <f t="shared" si="74"/>
        <v>0</v>
      </c>
      <c r="BX16" s="148">
        <f>SUMIF('UC MINI 2026'!$B$5:$B$61,'UC MINI 2026 MINI NEXT'!$B16,'UC MINI 2026'!$V$5:$V$61)</f>
        <v>0</v>
      </c>
      <c r="BY16" s="86">
        <f>SUMIF('UC MINI 2026'!$B$5:$B$61,'UC MINI 2026 MINI NEXT'!$B16,'UC MINI 2026'!$AA$5:$AA$61)</f>
        <v>0</v>
      </c>
      <c r="BZ16" s="299">
        <f t="shared" si="75"/>
        <v>0</v>
      </c>
      <c r="CA16" s="86">
        <f>IFERROR(VLOOKUP(B16,[2]BPS!$S$10:$AF$64,13,0),0)-IF(B16=100873,IFERROR(VLOOKUP("NOVIEMBRE",[2]BPS!$S$74:$T$89,2,0),0),0)</f>
        <v>0</v>
      </c>
      <c r="CB16" s="285">
        <f t="shared" si="31"/>
        <v>0</v>
      </c>
      <c r="CC16" s="86">
        <f>IFERROR(VLOOKUP(AK16,'[2]RETAIL ORIGEN RMKT'!$S$11:$AF$62,13,0),0)</f>
        <v>0</v>
      </c>
      <c r="CD16" s="153">
        <f t="shared" si="76"/>
        <v>0</v>
      </c>
      <c r="CE16" s="148">
        <f>SUMIF('UC MINI 2026'!$B$5:$B$61,'UC MINI 2026 MINI NEXT'!$B16,'UC MINI 2026'!$V$5:$V$61)</f>
        <v>0</v>
      </c>
      <c r="CF16" s="86">
        <f>SUMIF('UC MINI 2026'!$B$5:$B$61,'UC MINI 2026 MINI NEXT'!$B16,'UC MINI 2026'!$AC$5:$AC$61)</f>
        <v>0</v>
      </c>
      <c r="CG16" s="299">
        <f t="shared" si="77"/>
        <v>0</v>
      </c>
      <c r="CH16" s="86">
        <f>IFERROR(VLOOKUP(B16,[2]BPS!$S$10:$AF$64,14,0),0)-IF(B16=100873,IFERROR(VLOOKUP("DICIEMBRE",[2]BPS!$S$74:$T$89,2,0),0),0)</f>
        <v>0</v>
      </c>
      <c r="CI16" s="285">
        <f t="shared" si="34"/>
        <v>0</v>
      </c>
      <c r="CJ16" s="86">
        <f>IFERROR(VLOOKUP(AR16,'[2]RETAIL ORIGEN RMKT'!$S$11:$AF$62,14,0),0)</f>
        <v>0</v>
      </c>
      <c r="CK16" s="153">
        <f t="shared" si="35"/>
        <v>0</v>
      </c>
      <c r="CL16" s="58">
        <f t="shared" si="95"/>
        <v>27</v>
      </c>
      <c r="CM16" s="59">
        <f t="shared" si="95"/>
        <v>31</v>
      </c>
      <c r="CN16" s="112">
        <f t="shared" si="37"/>
        <v>1.1481481481481481</v>
      </c>
      <c r="CO16" s="86">
        <f>IFERROR(IF($CL$4="ENERO",I16,IF($CL$4="FEBRERO",I16+P16,IF($CL$4="MARZO",I16+P16+W16,IF($CL$4="ABRIL",I16+P16+W16+AD16,IF($CL$4="MAYO",I16+P16+W16+AD16+AK16,IF($CL$4="JUNIO",I16+P16+W16+AD16+AK16+AR16,IF($CL$4="JULIO",I16+P16+W16+AD16+AK16+AR16+AY16,IF($CL$4="AGOSTO",I16+P16+W16+AD16+AK16+AR16+AY16+BF16,IF($CL$4="SEPTIEMBRE",I16+P16+W16+AD16+AK16+AR16+AY16+BF16+BM16,IF($CL$4="OCTUBRE",I16+P16+W16+AD16+AK16+AR16+AY16+BF16+BM16+BT16,IF($CL$4="NOVIEMBRE",I16+P16+W16+AD16+AK16+AR16+AY16+BF16+BM16+BT16+CA16,IF($CL$4="DICIEMBRE",I16+P16+W16+AD16+AK16+AR16+AY16+BF16+BM16+BT16+CA16+CH16,"")))))))))))),0)</f>
        <v>17</v>
      </c>
      <c r="CP16" s="297">
        <f>IFERROR(IF(CM16=0,"N.D.",CO16/CM16),0)</f>
        <v>0.54838709677419351</v>
      </c>
      <c r="CQ16" s="348">
        <f>IFERROR(IF($CL$4="ENERO",K16,
IF($CL$4="FEBRERO",K16+R16,
IF($CL$4="MARZO",K16+R16+Y16,
IF($CL$4="ABRIL",K16+R16+Y16+AF16,
IF($CL$4="MAYO",K16+R16+Y16+AF16+AM16,
IF($CL$4="JUNIO",K16+R16+Y16+AF16+AM16+AT16,
IF($CL$4="JULIO",K16+R16+Y16+AF16+AM16+AT16+BA16,
IF($CL$4="AGOSTO",K16+R16+Y16+AF16+AM16+AT16+BA16+BH16,
IF($CL$4="SEPTIEMBRE",K16+R16+Y16+AF16+AM16+AT16+BA16+BH16+BO16,
IF($CL$4="OCTUBRE",K16+R16+Y16+AF16+AM16+AT16+BA16+BH16+BO16+BV16,
IF($CL$4="NOVIEMBRE",K16+R16+Y16+AF16+AM16+AT16+BA16+BH16+BO16+BV16+CC16,
IF($CL$4="DICIEMBRE",K16+R16+Y16+AF16+AM16+AT16+BA16+BH16+BO16+BV16+CC16+CJ16,"")))))))))))),0)</f>
        <v>0</v>
      </c>
      <c r="CR16" s="152">
        <f t="shared" si="38"/>
        <v>0</v>
      </c>
      <c r="CS16" s="58">
        <f>+F16+M16+T16+AA16+AH16+AO16++AV16+BC16+BJ16+BQ16+BX16+CE16</f>
        <v>27</v>
      </c>
      <c r="CT16" s="59">
        <f>SUMIFS($F16:$CI16,$F$6:$CI$6,CT$6,$F$2:$CI$2,$CL$4)</f>
        <v>31</v>
      </c>
      <c r="CU16" s="112">
        <f>IFERROR((CT16/CS16),0)</f>
        <v>1.1481481481481481</v>
      </c>
      <c r="CV16" s="86">
        <f>IFERROR(I16+P16+W16+AD16+AK16+AR16+AY16+BF16+BM16+BT16+CA16+CH16,0)</f>
        <v>17</v>
      </c>
      <c r="CW16" s="297">
        <f>IF(CT16=0,"N.D.",CV16/CT16)</f>
        <v>0.54838709677419351</v>
      </c>
      <c r="CX16" s="348">
        <f>IFERROR(K16+R16+Y16+AF16+AM16+AT16+BA16+BH16+BO16+BV16+CC16+CJ16,0)</f>
        <v>0</v>
      </c>
      <c r="CY16" s="152">
        <f t="shared" si="39"/>
        <v>0</v>
      </c>
      <c r="CZ16" s="58">
        <f t="shared" si="96"/>
        <v>13</v>
      </c>
      <c r="DA16" s="59">
        <f t="shared" si="96"/>
        <v>12</v>
      </c>
      <c r="DB16" s="112">
        <f t="shared" si="41"/>
        <v>0.92307692307692313</v>
      </c>
      <c r="DC16" s="86">
        <f>IFERROR(IF($CZ$5="Q1",I16+P16+W16,
IF($CZ$5="Q2",AD16+AK16++AR16,
IF($CZ$5="Q3",AY16+BF16+BM16,
IF($CZ$5="Q4",BT16+CA16+CH16,0)))),0)</f>
        <v>8</v>
      </c>
      <c r="DD16" s="297">
        <f>IF(DA16=0,"N.D.",DC16/DA16)</f>
        <v>0.66666666666666663</v>
      </c>
      <c r="DE16" s="348">
        <f>IFERROR(IF($CZ$5="Q1",K16+R16+Y16,
IF($CZ$5="Q2",AF16+AM16+AT16,
IF($CZ$5="Q3",BA16+BH16+BO16,
IF($CZ$5="Q4",BV16+CC16+CJ16,0)))),0)</f>
        <v>0</v>
      </c>
      <c r="DF16" s="153">
        <f t="shared" si="42"/>
        <v>0</v>
      </c>
      <c r="DG16" s="58">
        <f t="shared" si="97"/>
        <v>27</v>
      </c>
      <c r="DH16" s="59">
        <f t="shared" si="97"/>
        <v>31</v>
      </c>
      <c r="DI16" s="112">
        <f t="shared" si="44"/>
        <v>1.1481481481481481</v>
      </c>
      <c r="DJ16" s="86">
        <f>IFERROR(IF($DG$5="S 1",I16+P16+W16+AD16+AK16++AR16,
IF($DG$5="S 2",AY16+BF16+BM16+BT16+CA16+CH16,0)),0)</f>
        <v>17</v>
      </c>
      <c r="DK16" s="297">
        <f t="shared" si="45"/>
        <v>0.54838709677419351</v>
      </c>
      <c r="DL16" s="348">
        <f>IFERROR(IF($DG$5="S 1",K16+R16+Y16+AF16+AM16+AT16,
IF($DG$5="S 2",BA16+BH16+BO16+BV16+CC16+CJ16,0)),0)</f>
        <v>0</v>
      </c>
      <c r="DM16" s="153">
        <f t="shared" si="46"/>
        <v>0</v>
      </c>
      <c r="DN16" s="54">
        <f>IF($DN$5="S 1",F16+M16+T16+AA16+AH16+AO16,
IF($DN$5="S 2",AV16+BC16+BJ16+BQ16+BX16+CE16,0))</f>
        <v>0</v>
      </c>
      <c r="DO16" s="79">
        <f>IF($DN$5="S 1",G16+N16+U16+AB16+AI16+AP16,
IF($DN$5="S 2",AW16+BD16+BK16+BR16+BY16+CF16,0))</f>
        <v>0</v>
      </c>
      <c r="DP16" s="112">
        <f t="shared" si="48"/>
        <v>0</v>
      </c>
      <c r="DQ16" s="86">
        <f>IFERROR(IF($DN$5="S 1",I16+P16+W16+AD16+AK16++AR16,
IF($DN$5="S 2",AY16+BF16+BM16+BT16+CA16+CH16,0)),0)</f>
        <v>0</v>
      </c>
      <c r="DR16" s="297" t="str">
        <f t="shared" si="49"/>
        <v>N.D.</v>
      </c>
      <c r="DS16" s="348">
        <f>IFERROR(IF($DN$5="S 1",K16+R16+Y16+AF16+AM16+AT16,
IF($DN$5="S 2",BA16+BH16+BO16+BV16+CC16+CJ16,0)),0)</f>
        <v>0</v>
      </c>
      <c r="DT16" s="153">
        <f t="shared" si="50"/>
        <v>0</v>
      </c>
      <c r="DU16" s="53">
        <v>1</v>
      </c>
      <c r="DX16" s="53">
        <v>80</v>
      </c>
      <c r="DY16" s="53">
        <v>101</v>
      </c>
      <c r="DZ16" s="513">
        <v>1.4714285714285715</v>
      </c>
      <c r="EB16" s="513">
        <v>1</v>
      </c>
      <c r="EC16" s="53">
        <v>30</v>
      </c>
      <c r="ED16" s="513">
        <v>0.48749999999999999</v>
      </c>
    </row>
    <row r="17" spans="1:134" s="53" customFormat="1" ht="16" customHeight="1" thickBot="1" x14ac:dyDescent="0.35">
      <c r="A17" s="53">
        <f>_xlfn.XLOOKUP(B17,'UC MINI 2026'!$B$5:$B$61,'UC MINI 2026'!$A$5:$A$61)</f>
        <v>0</v>
      </c>
      <c r="B17" s="180" t="s">
        <v>265</v>
      </c>
      <c r="C17" s="62"/>
      <c r="D17" s="154"/>
      <c r="E17" s="80"/>
      <c r="F17" s="155">
        <f>SUM(F12:F16)</f>
        <v>44</v>
      </c>
      <c r="G17" s="155">
        <f>SUM(G12:G16)</f>
        <v>44</v>
      </c>
      <c r="H17" s="156">
        <f>IFERROR(G17/F17,0)</f>
        <v>1</v>
      </c>
      <c r="I17" s="155">
        <f>SUM(I12:I16)</f>
        <v>43</v>
      </c>
      <c r="J17" s="156">
        <f>IFERROR(I17/G17,0)</f>
        <v>0.97727272727272729</v>
      </c>
      <c r="K17" s="155">
        <f>SUM(K12:K16)</f>
        <v>14</v>
      </c>
      <c r="L17" s="301">
        <f>IFERROR(K17/F17,0)</f>
        <v>0.31818181818181818</v>
      </c>
      <c r="M17" s="155">
        <f>SUM(M12:M16)</f>
        <v>48</v>
      </c>
      <c r="N17" s="155">
        <f>SUM(N12:N16)</f>
        <v>39</v>
      </c>
      <c r="O17" s="156">
        <f t="shared" si="57"/>
        <v>0.8125</v>
      </c>
      <c r="P17" s="155">
        <f>SUM(P12:P16)</f>
        <v>34</v>
      </c>
      <c r="Q17" s="156">
        <f t="shared" si="4"/>
        <v>0.87179487179487181</v>
      </c>
      <c r="R17" s="155">
        <f>SUM(R12:R16)</f>
        <v>10</v>
      </c>
      <c r="S17" s="301">
        <f t="shared" si="58"/>
        <v>0.20833333333333334</v>
      </c>
      <c r="T17" s="155">
        <f>SUM(T12:T16)</f>
        <v>53</v>
      </c>
      <c r="U17" s="155">
        <f>SUM(U12:U16)</f>
        <v>54</v>
      </c>
      <c r="V17" s="156">
        <f t="shared" si="59"/>
        <v>1.0188679245283019</v>
      </c>
      <c r="W17" s="155">
        <f>SUM(W12:W16)</f>
        <v>47</v>
      </c>
      <c r="X17" s="156">
        <f t="shared" si="7"/>
        <v>0.87037037037037035</v>
      </c>
      <c r="Y17" s="155">
        <f>SUM(Y12:Y16)</f>
        <v>24</v>
      </c>
      <c r="Z17" s="301">
        <f t="shared" si="60"/>
        <v>0.45283018867924529</v>
      </c>
      <c r="AA17" s="155">
        <f>SUM(AA12:AA16)</f>
        <v>49</v>
      </c>
      <c r="AB17" s="155">
        <f>SUM(AB12:AB16)</f>
        <v>65</v>
      </c>
      <c r="AC17" s="156">
        <f t="shared" si="61"/>
        <v>1.3265306122448979</v>
      </c>
      <c r="AD17" s="155">
        <f>SUM(AD12:AD16)</f>
        <v>51</v>
      </c>
      <c r="AE17" s="156">
        <f t="shared" si="10"/>
        <v>0.7846153846153846</v>
      </c>
      <c r="AF17" s="155">
        <f>SUM(AF12:AF16)</f>
        <v>20</v>
      </c>
      <c r="AG17" s="301">
        <f t="shared" si="62"/>
        <v>0.40816326530612246</v>
      </c>
      <c r="AH17" s="155">
        <f>SUM(AH12:AH16)</f>
        <v>54</v>
      </c>
      <c r="AI17" s="155">
        <f>SUM(AI12:AI16)</f>
        <v>56</v>
      </c>
      <c r="AJ17" s="156">
        <f t="shared" si="63"/>
        <v>1.037037037037037</v>
      </c>
      <c r="AK17" s="155">
        <f>SUM(AK12:AK16)</f>
        <v>51</v>
      </c>
      <c r="AL17" s="156">
        <f t="shared" si="13"/>
        <v>0.9107142857142857</v>
      </c>
      <c r="AM17" s="155">
        <f>SUM(AM12:AM16)</f>
        <v>12</v>
      </c>
      <c r="AN17" s="301">
        <f t="shared" si="64"/>
        <v>0.22222222222222221</v>
      </c>
      <c r="AO17" s="155">
        <f>SUM(AO12:AO16)</f>
        <v>54</v>
      </c>
      <c r="AP17" s="155">
        <f>SUM(AP12:AP16)</f>
        <v>83</v>
      </c>
      <c r="AQ17" s="156">
        <f t="shared" si="65"/>
        <v>1.537037037037037</v>
      </c>
      <c r="AR17" s="155">
        <f>SUM(AR12:AR16)</f>
        <v>72</v>
      </c>
      <c r="AS17" s="156">
        <f t="shared" si="16"/>
        <v>0.86746987951807231</v>
      </c>
      <c r="AT17" s="155">
        <f>SUM(AT12:AT16)</f>
        <v>23</v>
      </c>
      <c r="AU17" s="301">
        <f t="shared" si="66"/>
        <v>0.42592592592592593</v>
      </c>
      <c r="AV17" s="155">
        <f>SUM(AV12:AV16)</f>
        <v>0</v>
      </c>
      <c r="AW17" s="155">
        <f>SUM(AW12:AW16)</f>
        <v>0</v>
      </c>
      <c r="AX17" s="156">
        <f t="shared" si="67"/>
        <v>0</v>
      </c>
      <c r="AY17" s="155">
        <f>SUM(AY12:AY16)</f>
        <v>0</v>
      </c>
      <c r="AZ17" s="156">
        <f t="shared" si="19"/>
        <v>0</v>
      </c>
      <c r="BA17" s="155">
        <f>SUM(BA12:BA16)</f>
        <v>0</v>
      </c>
      <c r="BB17" s="301">
        <f t="shared" si="68"/>
        <v>0</v>
      </c>
      <c r="BC17" s="155">
        <f>SUM(BC12:BC16)</f>
        <v>0</v>
      </c>
      <c r="BD17" s="155">
        <f>SUM(BD12:BD16)</f>
        <v>0</v>
      </c>
      <c r="BE17" s="156">
        <f t="shared" si="69"/>
        <v>0</v>
      </c>
      <c r="BF17" s="155">
        <f>SUM(BF12:BF16)</f>
        <v>0</v>
      </c>
      <c r="BG17" s="156">
        <f t="shared" si="22"/>
        <v>0</v>
      </c>
      <c r="BH17" s="155">
        <f>SUM(BH12:BH16)</f>
        <v>0</v>
      </c>
      <c r="BI17" s="301">
        <f t="shared" si="70"/>
        <v>0</v>
      </c>
      <c r="BJ17" s="155">
        <f>SUM(BJ12:BJ16)</f>
        <v>0</v>
      </c>
      <c r="BK17" s="155">
        <f>SUM(BK12:BK16)</f>
        <v>0</v>
      </c>
      <c r="BL17" s="156">
        <f t="shared" si="71"/>
        <v>0</v>
      </c>
      <c r="BM17" s="155">
        <f>SUM(BM12:BM16)</f>
        <v>0</v>
      </c>
      <c r="BN17" s="156">
        <f t="shared" si="25"/>
        <v>0</v>
      </c>
      <c r="BO17" s="155">
        <f>SUM(BO12:BO16)</f>
        <v>0</v>
      </c>
      <c r="BP17" s="301">
        <f t="shared" si="72"/>
        <v>0</v>
      </c>
      <c r="BQ17" s="155">
        <f>SUM(BQ12:BQ16)</f>
        <v>0</v>
      </c>
      <c r="BR17" s="155">
        <f>SUM(BR12:BR16)</f>
        <v>0</v>
      </c>
      <c r="BS17" s="156">
        <f t="shared" si="73"/>
        <v>0</v>
      </c>
      <c r="BT17" s="155">
        <f>SUM(BT12:BT16)</f>
        <v>0</v>
      </c>
      <c r="BU17" s="156">
        <f t="shared" si="28"/>
        <v>0</v>
      </c>
      <c r="BV17" s="155">
        <f>SUM(BV12:BV16)</f>
        <v>0</v>
      </c>
      <c r="BW17" s="301">
        <f t="shared" si="74"/>
        <v>0</v>
      </c>
      <c r="BX17" s="155">
        <f>SUM(BX12:BX16)</f>
        <v>0</v>
      </c>
      <c r="BY17" s="155">
        <f>SUM(BY12:BY16)</f>
        <v>0</v>
      </c>
      <c r="BZ17" s="156">
        <f t="shared" si="75"/>
        <v>0</v>
      </c>
      <c r="CA17" s="155">
        <f>SUM(CA12:CA16)</f>
        <v>0</v>
      </c>
      <c r="CB17" s="156">
        <f t="shared" si="31"/>
        <v>0</v>
      </c>
      <c r="CC17" s="155">
        <f>SUM(CC12:CC16)</f>
        <v>0</v>
      </c>
      <c r="CD17" s="301">
        <f t="shared" si="76"/>
        <v>0</v>
      </c>
      <c r="CE17" s="155">
        <f>SUM(CE12:CE16)</f>
        <v>0</v>
      </c>
      <c r="CF17" s="155">
        <f>SUM(CF12:CF16)</f>
        <v>0</v>
      </c>
      <c r="CG17" s="156">
        <f t="shared" si="77"/>
        <v>0</v>
      </c>
      <c r="CH17" s="155">
        <f>SUM(CH12:CH16)</f>
        <v>0</v>
      </c>
      <c r="CI17" s="156">
        <f t="shared" si="34"/>
        <v>0</v>
      </c>
      <c r="CJ17" s="155">
        <f>SUM(CJ12:CJ16)</f>
        <v>0</v>
      </c>
      <c r="CK17" s="301">
        <f t="shared" si="35"/>
        <v>0</v>
      </c>
      <c r="CL17" s="63">
        <f>SUM(CL12:CL16)</f>
        <v>302</v>
      </c>
      <c r="CM17" s="63">
        <f>SUM(CM12:CM16)</f>
        <v>341</v>
      </c>
      <c r="CN17" s="157">
        <f t="shared" si="37"/>
        <v>1.1291390728476822</v>
      </c>
      <c r="CO17" s="63">
        <f>SUM(CO12:CO16)</f>
        <v>298</v>
      </c>
      <c r="CP17" s="321">
        <f>IFERROR(CO17/CM17,0)</f>
        <v>0.87390029325513197</v>
      </c>
      <c r="CQ17" s="63">
        <f>SUM(CQ12:CQ16)</f>
        <v>103</v>
      </c>
      <c r="CR17" s="320">
        <f t="shared" si="38"/>
        <v>0.34105960264900664</v>
      </c>
      <c r="CS17" s="63">
        <f>SUM(CS12:CS16)</f>
        <v>302</v>
      </c>
      <c r="CT17" s="63">
        <f>SUM(CT12:CT16)</f>
        <v>341</v>
      </c>
      <c r="CU17" s="157">
        <f>IFERROR((CT17/CS17),0)</f>
        <v>1.1291390728476822</v>
      </c>
      <c r="CV17" s="63">
        <f>SUM(CV12:CV16)</f>
        <v>298</v>
      </c>
      <c r="CW17" s="321">
        <f>IFERROR((CV17/CT17),0)</f>
        <v>0.87390029325513197</v>
      </c>
      <c r="CX17" s="349">
        <f>K17+R17+Y17+AF17+AM17+AT17+BA17+BH17+BO17+BV17+CC17+CJ17</f>
        <v>103</v>
      </c>
      <c r="CY17" s="320">
        <f t="shared" si="39"/>
        <v>0.34105960264900664</v>
      </c>
      <c r="CZ17" s="63">
        <f>SUM(CZ8:CZ16)</f>
        <v>316</v>
      </c>
      <c r="DA17" s="65">
        <f>SUM(DA8:DA16)</f>
        <v>314</v>
      </c>
      <c r="DB17" s="157">
        <f t="shared" si="41"/>
        <v>0.99367088607594933</v>
      </c>
      <c r="DC17" s="65">
        <f>SUM(DC8:DC16)</f>
        <v>278</v>
      </c>
      <c r="DD17" s="321">
        <f>IFERROR(DC17/DA17,0)</f>
        <v>0.88535031847133761</v>
      </c>
      <c r="DE17" s="349">
        <f>IF($CZ$5="Q1",K17+R17+Y17,
IF($CZ$5="Q2",AF17+AM17+AT17,
IF($CZ$5="Q3",BA17+BH17+BO17,
IF($CZ$5="Q4",BV17+CC17+CJ17,0))))</f>
        <v>48</v>
      </c>
      <c r="DF17" s="333">
        <f t="shared" si="42"/>
        <v>0.15189873417721519</v>
      </c>
      <c r="DG17" s="63">
        <f>IF($DG$5="S 1",F17+M17+T17+AA17+AH17+AO17,
IF($DG$5="S 2",AV17+BC17+BJ17+BQ17+BX17+CE17,0))</f>
        <v>302</v>
      </c>
      <c r="DH17" s="65">
        <f>IF($DG$5="S 1",G17+N17+U17+AB17+AI17+AP17,
IF($DG$5="S 2",AW17+BD17+BK17+BR17+BY17+CF17,0))</f>
        <v>341</v>
      </c>
      <c r="DI17" s="157">
        <f t="shared" si="44"/>
        <v>1.1291390728476822</v>
      </c>
      <c r="DJ17" s="65">
        <f>IF($DG$5="S 1",I17+P17+W17+AD17+AK17++AR17,
IF($DG$5="S 2",AY17+BF17+BM17+BT17+CA17+CH17,0))</f>
        <v>298</v>
      </c>
      <c r="DK17" s="321">
        <f t="shared" si="45"/>
        <v>0.87390029325513197</v>
      </c>
      <c r="DL17" s="349">
        <f>IF($DG$5="S 1",K17+R17+Y17+AF17+AM17+AT17,
IF($DG$5="S 2",BA17+BH17+BO17+BV17+CC17+CJ17,0))</f>
        <v>103</v>
      </c>
      <c r="DM17" s="333">
        <f t="shared" si="46"/>
        <v>0.34105960264900664</v>
      </c>
      <c r="DN17" s="63">
        <f>IFERROR(SUM(DN8:DN16),0)</f>
        <v>0</v>
      </c>
      <c r="DO17" s="64">
        <f>IFERROR(SUM(DO8:DO16),0)</f>
        <v>0</v>
      </c>
      <c r="DP17" s="157">
        <f t="shared" si="48"/>
        <v>0</v>
      </c>
      <c r="DQ17" s="65">
        <f>IFERROR(SUM(DQ8:DQ16),0)</f>
        <v>0</v>
      </c>
      <c r="DR17" s="321" t="str">
        <f t="shared" si="49"/>
        <v>N.D.</v>
      </c>
      <c r="DS17" s="349">
        <f>IFERROR(SUM(DS8:DS16),0)</f>
        <v>0</v>
      </c>
      <c r="DT17" s="333">
        <f t="shared" si="50"/>
        <v>0</v>
      </c>
      <c r="DU17" s="53">
        <v>0</v>
      </c>
      <c r="DX17" s="53">
        <v>80</v>
      </c>
      <c r="DY17" s="53">
        <v>84</v>
      </c>
      <c r="DZ17" s="513">
        <v>1.4181818181818182</v>
      </c>
      <c r="EB17" s="513">
        <v>1</v>
      </c>
      <c r="EC17" s="53">
        <v>29</v>
      </c>
      <c r="ED17" s="513">
        <v>0.46666666666666667</v>
      </c>
    </row>
    <row r="18" spans="1:134" s="53" customFormat="1" ht="16" customHeight="1" x14ac:dyDescent="0.3">
      <c r="A18" s="53">
        <f>_xlfn.XLOOKUP(B18,'UC MINI 2026'!$B$5:$B$61,'UC MINI 2026'!$A$5:$A$61)</f>
        <v>3</v>
      </c>
      <c r="B18" s="179">
        <v>100307</v>
      </c>
      <c r="C18" s="381" t="s">
        <v>39</v>
      </c>
      <c r="D18" s="146"/>
      <c r="E18" s="309" t="s">
        <v>83</v>
      </c>
      <c r="F18" s="54">
        <f>SUMIF('UC MINI 2026'!$B$5:$B$71,'UC MINI 2026 MINI NEXT'!$B18,'UC MINI 2026'!$F$5:$F$71)</f>
        <v>1</v>
      </c>
      <c r="G18" s="86">
        <f>SUMIF('UC MINI 2026'!$B$5:$B$71,'UC MINI 2026 MINI NEXT'!$B18,'UC MINI 2026'!$G$5:$G$71)</f>
        <v>0</v>
      </c>
      <c r="H18" s="297">
        <f>IFERROR(G18/F18,0)</f>
        <v>0</v>
      </c>
      <c r="I18" s="86">
        <f>IFERROR(VLOOKUP(B18,[2]BPS!$S$10:$AF$64,3,0),0)-IF(B18=100873,IFERROR(VLOOKUP("Enero",[2]BPS!$S$74:$T$89,2,0),0),0)</f>
        <v>0</v>
      </c>
      <c r="J18" s="297">
        <f>IFERROR(I18/G18,0)</f>
        <v>0</v>
      </c>
      <c r="K18" s="86">
        <f>IFERROR(VLOOKUP(B18,'[2]RETAIL ORIGEN RMKT'!$S$11:$AF$62,3,0),0)</f>
        <v>0</v>
      </c>
      <c r="L18" s="150">
        <f>IFERROR(K18/F18,0)</f>
        <v>0</v>
      </c>
      <c r="M18" s="79">
        <f>SUMIF('UC MINI 2026'!$B$5:$B$61,'UC MINI 2026 MINI NEXT'!$B18,'UC MINI 2026'!$H$5:$H$61)</f>
        <v>1</v>
      </c>
      <c r="N18" s="86">
        <f>SUMIF('UC MINI 2026'!$B$5:$B$61,'UC MINI 2026 MINI NEXT'!$B18,'UC MINI 2026'!$I$5:$I$61)</f>
        <v>0</v>
      </c>
      <c r="O18" s="297">
        <f t="shared" si="57"/>
        <v>0</v>
      </c>
      <c r="P18" s="86">
        <f>IFERROR(VLOOKUP(B18,[2]BPS!$S$10:$AF$64,4,0),0)-IF(B18=100873,IFERROR(VLOOKUP("FEBRERO",[2]BPS!$S$74:$T$89,2,0),0),0)</f>
        <v>0</v>
      </c>
      <c r="Q18" s="297">
        <f t="shared" si="4"/>
        <v>0</v>
      </c>
      <c r="R18" s="86">
        <f>IFERROR(VLOOKUP(B18,'[2]RETAIL ORIGEN RMKT'!$S$11:$AF$62,4,0),0)</f>
        <v>0</v>
      </c>
      <c r="S18" s="150">
        <f t="shared" si="58"/>
        <v>0</v>
      </c>
      <c r="T18" s="148">
        <f>SUMIF('UC MINI 2026'!$B$5:$B$71,'UC MINI 2026 MINI NEXT'!$B18,'UC MINI 2026'!$J$5:$J$71)</f>
        <v>2</v>
      </c>
      <c r="U18" s="86">
        <f>SUMIF('UC MINI 2026'!$B$10:$B$61,'UC MINI 2026 MINI NEXT'!$B18,'UC MINI 2026'!$K$10:$K$61)</f>
        <v>0</v>
      </c>
      <c r="V18" s="297">
        <f t="shared" si="59"/>
        <v>0</v>
      </c>
      <c r="W18" s="86">
        <f>IFERROR(VLOOKUP(B18,[2]BPS!$S$10:$AF$64,5,0),0)-IF(B18=100873,IFERROR(VLOOKUP("MARZO",[2]BPS!$S$74:$T$89,2,0),0),0)</f>
        <v>0</v>
      </c>
      <c r="X18" s="297">
        <f t="shared" si="7"/>
        <v>0</v>
      </c>
      <c r="Y18" s="86">
        <f>IFERROR(VLOOKUP(B18,'[2]RETAIL ORIGEN RMKT'!$S$11:$AF$62,5,0),0)</f>
        <v>0</v>
      </c>
      <c r="Z18" s="150">
        <f t="shared" si="60"/>
        <v>0</v>
      </c>
      <c r="AA18" s="148">
        <f>SUMIF('UC MINI 2026'!$B$5:$B$61,'UC MINI 2026 MINI NEXT'!$B18,'UC MINI 2026'!$L$5:$L$61)</f>
        <v>1</v>
      </c>
      <c r="AB18" s="86">
        <f>SUMIF('UC MINI 2026'!$B$5:$B$61,'UC MINI 2026 MINI NEXT'!$B18,'UC MINI 2026'!$M$5:$M$61)</f>
        <v>1</v>
      </c>
      <c r="AC18" s="297">
        <f t="shared" si="61"/>
        <v>1</v>
      </c>
      <c r="AD18" s="86">
        <f>IFERROR(VLOOKUP(B18,[2]BPS!$S$10:$AF$64,6,0),0)-IF(B18=100873,IFERROR(VLOOKUP("ABRIL",[2]BPS!$S$74:$T$89,2,0),0),0)</f>
        <v>1</v>
      </c>
      <c r="AE18" s="285">
        <f t="shared" si="10"/>
        <v>1</v>
      </c>
      <c r="AF18" s="86">
        <f>IFERROR(VLOOKUP(B18,'[2]RETAIL ORIGEN RMKT'!$S$11:$AF$62,6,0),0)</f>
        <v>0</v>
      </c>
      <c r="AG18" s="150">
        <f t="shared" si="62"/>
        <v>0</v>
      </c>
      <c r="AH18" s="148">
        <f>SUMIF('UC MINI 2026'!$B$5:$B$61,'UC MINI 2026 MINI NEXT'!$B18,'UC MINI 2026'!$N$5:$N$61)</f>
        <v>1</v>
      </c>
      <c r="AI18" s="86">
        <f>SUMIF('UC MINI 2026'!$B$5:$B$61,'UC MINI 2026 MINI NEXT'!$B18,'UC MINI 2026'!$O$5:$O$61)</f>
        <v>0</v>
      </c>
      <c r="AJ18" s="297">
        <f t="shared" si="63"/>
        <v>0</v>
      </c>
      <c r="AK18" s="86">
        <f>IFERROR(VLOOKUP(B18,[2]BPS!$S$10:$AF$64,7,0),0)-IF(B18=100873,IFERROR(VLOOKUP("MAYO",[2]BPS!$S$74:$T$89,2,0),0),0)</f>
        <v>0</v>
      </c>
      <c r="AL18" s="285">
        <f t="shared" si="13"/>
        <v>0</v>
      </c>
      <c r="AM18" s="86">
        <f>IFERROR(VLOOKUP(B18,'[2]RETAIL ORIGEN RMKT'!$S$11:$AF$62,7,0),0)</f>
        <v>0</v>
      </c>
      <c r="AN18" s="150">
        <f t="shared" si="64"/>
        <v>0</v>
      </c>
      <c r="AO18" s="148">
        <f>SUMIF('UC MINI 2026'!$B$5:$B$61,'UC MINI 2026 MINI NEXT'!$B18,'UC MINI 2026'!$P$5:$P$61)</f>
        <v>2</v>
      </c>
      <c r="AP18" s="86">
        <f>SUMIF('UC MINI 2026'!$B$5:$B$61,'UC MINI 2026 MINI NEXT'!$B18,'UC MINI 2026'!$Q$5:$Q$61)</f>
        <v>0</v>
      </c>
      <c r="AQ18" s="297">
        <f t="shared" si="65"/>
        <v>0</v>
      </c>
      <c r="AR18" s="86">
        <f>IFERROR(VLOOKUP(B18,[2]BPS!$S$10:$AF$64,8,0),0)-IF(B18=100873,IFERROR(VLOOKUP("JUNIO",[2]BPS!$S$74:$T$89,2,0),0),0)</f>
        <v>0</v>
      </c>
      <c r="AS18" s="285">
        <f t="shared" si="16"/>
        <v>0</v>
      </c>
      <c r="AT18" s="86">
        <f>IFERROR(VLOOKUP(B18,'[2]RETAIL ORIGEN RMKT'!$S$11:$AF$62,8,0),0)</f>
        <v>0</v>
      </c>
      <c r="AU18" s="150">
        <f t="shared" si="66"/>
        <v>0</v>
      </c>
      <c r="AV18" s="148">
        <f>SUMIF('UC MINI 2026'!$B$5:$B$61,'UC MINI 2026 MINI NEXT'!$B18,'UC MINI 2026'!$R$5:$R$61)</f>
        <v>0</v>
      </c>
      <c r="AW18" s="86">
        <f>SUMIF('UC MINI 2026'!$B$5:$B$61,'UC MINI 2026 MINI NEXT'!$B18,'UC MINI 2026'!$S$5:$S$61)</f>
        <v>0</v>
      </c>
      <c r="AX18" s="297">
        <f t="shared" si="67"/>
        <v>0</v>
      </c>
      <c r="AY18" s="86">
        <f>IFERROR(VLOOKUP(B18,[2]BPS!$S$10:$AF$64,9,0),0)-IF(B18=100873,IFERROR(VLOOKUP("JULIO",[2]BPS!$S$74:$T$89,2,0),0),0)</f>
        <v>0</v>
      </c>
      <c r="AZ18" s="285">
        <f t="shared" si="19"/>
        <v>0</v>
      </c>
      <c r="BA18" s="86">
        <f>IFERROR(VLOOKUP(I18,'[2]RETAIL ORIGEN RMKT'!$S$11:$AF$62,9,0),0)</f>
        <v>0</v>
      </c>
      <c r="BB18" s="150">
        <f t="shared" si="68"/>
        <v>0</v>
      </c>
      <c r="BC18" s="148">
        <f>SUMIF('UC MINI 2026'!$B$5:$B$61,'UC MINI 2026 MINI NEXT'!$B18,'UC MINI 2026'!$T$5:$T$61)</f>
        <v>0</v>
      </c>
      <c r="BD18" s="86">
        <f>SUMIF('UC MINI 2026'!$B$5:$B$61,'UC MINI 2026 MINI NEXT'!$B18,'UC MINI 2026'!$U$5:$U$61)</f>
        <v>0</v>
      </c>
      <c r="BE18" s="297">
        <f t="shared" si="69"/>
        <v>0</v>
      </c>
      <c r="BF18" s="86">
        <f>IFERROR(VLOOKUP(B18,[2]BPS!$S$10:$AF$64,10,0),0)-IF(B18=100873,IFERROR(VLOOKUP("AGOSTO",[2]BPS!$S$74:$T$89,2,0),0),0)</f>
        <v>0</v>
      </c>
      <c r="BG18" s="285">
        <f t="shared" si="22"/>
        <v>0</v>
      </c>
      <c r="BH18" s="86">
        <f>IFERROR(VLOOKUP(P18,'[2]RETAIL ORIGEN RMKT'!$S$11:$AF$62,10,0),0)</f>
        <v>0</v>
      </c>
      <c r="BI18" s="150">
        <f t="shared" si="70"/>
        <v>0</v>
      </c>
      <c r="BJ18" s="148">
        <f>SUMIF('UC MINI 2026'!$B$5:$B$61,'UC MINI 2026 MINI NEXT'!$B18,'UC MINI 2026'!$V$5:$V$61)</f>
        <v>0</v>
      </c>
      <c r="BK18" s="86">
        <f>SUMIF('UC MINI 2026'!$B$5:$B$61,'UC MINI 2026 MINI NEXT'!$B18,'UC MINI 2026'!$W$5:$W$61)</f>
        <v>0</v>
      </c>
      <c r="BL18" s="297">
        <f t="shared" si="71"/>
        <v>0</v>
      </c>
      <c r="BM18" s="86">
        <f>IFERROR(VLOOKUP(B18,[2]BPS!$S$10:$AF$64,11,0),0)-IF(B18=100873,IFERROR(VLOOKUP("SEPTIEMBRE",[2]BPS!$S$74:$T$89,2,0),0),0)</f>
        <v>0</v>
      </c>
      <c r="BN18" s="285">
        <f t="shared" si="25"/>
        <v>0</v>
      </c>
      <c r="BO18" s="86">
        <f>IFERROR(VLOOKUP(W18,'[2]RETAIL ORIGEN RMKT'!$S$11:$AF$62,11,0),0)</f>
        <v>0</v>
      </c>
      <c r="BP18" s="150">
        <f t="shared" si="72"/>
        <v>0</v>
      </c>
      <c r="BQ18" s="148">
        <f>SUMIF('UC MINI 2026'!$B$5:$B$61,'UC MINI 2026 MINI NEXT'!$B18,'UC MINI 2026'!$V$5:$V$61)</f>
        <v>0</v>
      </c>
      <c r="BR18" s="86">
        <f>SUMIF('UC MINI 2026'!$B$5:$B$61,'UC MINI 2026 MINI NEXT'!$B18,'UC MINI 2026'!$Y$5:$Y$61)</f>
        <v>0</v>
      </c>
      <c r="BS18" s="297">
        <f t="shared" si="73"/>
        <v>0</v>
      </c>
      <c r="BT18" s="86">
        <f>IFERROR(VLOOKUP(B18,[2]BPS!$S$10:$AF$64,12,0),0)-IF(B18=100873,IFERROR(VLOOKUP("OCTUBRE",[2]BPS!$S$74:$T$89,2,0),0),0)</f>
        <v>0</v>
      </c>
      <c r="BU18" s="285">
        <f t="shared" si="28"/>
        <v>0</v>
      </c>
      <c r="BV18" s="86">
        <f>IFERROR(VLOOKUP(AD18,'[2]RETAIL ORIGEN RMKT'!$S$11:$AF$62,12,0),0)</f>
        <v>0</v>
      </c>
      <c r="BW18" s="150">
        <f t="shared" si="74"/>
        <v>0</v>
      </c>
      <c r="BX18" s="148">
        <f>SUMIF('UC MINI 2026'!$B$5:$B$61,'UC MINI 2026 MINI NEXT'!$B18,'UC MINI 2026'!$V$5:$V$61)</f>
        <v>0</v>
      </c>
      <c r="BY18" s="86">
        <f>SUMIF('UC MINI 2026'!$B$5:$B$61,'UC MINI 2026 MINI NEXT'!$B18,'UC MINI 2026'!$AA$5:$AA$61)</f>
        <v>0</v>
      </c>
      <c r="BZ18" s="297">
        <f t="shared" si="75"/>
        <v>0</v>
      </c>
      <c r="CA18" s="86">
        <f>IFERROR(VLOOKUP(B18,[2]BPS!$S$10:$AF$64,13,0),0)-IF(B18=100873,IFERROR(VLOOKUP("NOVIEMBRE",[2]BPS!$S$74:$T$89,2,0),0),0)</f>
        <v>0</v>
      </c>
      <c r="CB18" s="285">
        <f t="shared" si="31"/>
        <v>0</v>
      </c>
      <c r="CC18" s="86">
        <f>IFERROR(VLOOKUP(AK18,'[2]RETAIL ORIGEN RMKT'!$S$11:$AF$62,13,0),0)</f>
        <v>0</v>
      </c>
      <c r="CD18" s="150">
        <f t="shared" si="76"/>
        <v>0</v>
      </c>
      <c r="CE18" s="148">
        <f>SUMIF('UC MINI 2026'!$B$5:$B$61,'UC MINI 2026 MINI NEXT'!$B18,'UC MINI 2026'!$V$5:$V$61)</f>
        <v>0</v>
      </c>
      <c r="CF18" s="86">
        <f>SUMIF('UC MINI 2026'!$B$5:$B$61,'UC MINI 2026 MINI NEXT'!$B18,'UC MINI 2026'!$AC$5:$AC$61)</f>
        <v>0</v>
      </c>
      <c r="CG18" s="297">
        <f t="shared" si="77"/>
        <v>0</v>
      </c>
      <c r="CH18" s="86">
        <f>IFERROR(VLOOKUP(B18,[2]BPS!$S$10:$AF$64,14,0),0)-IF(B18=100873,IFERROR(VLOOKUP("DICIEMBRE",[2]BPS!$S$74:$T$89,2,0),0),0)</f>
        <v>0</v>
      </c>
      <c r="CI18" s="285">
        <f t="shared" si="34"/>
        <v>0</v>
      </c>
      <c r="CJ18" s="86">
        <f>IFERROR(VLOOKUP(AR18,'[2]RETAIL ORIGEN RMKT'!$S$11:$AF$62,14,0),0)</f>
        <v>0</v>
      </c>
      <c r="CK18" s="150">
        <f t="shared" si="35"/>
        <v>0</v>
      </c>
      <c r="CL18" s="54">
        <f>IF($CL$4="ENERO",F18,IF($CL$4="FEBRERO",F18+M18,IF($CL$4="MARZO",F18+M18+T18,IF($CL$4="ABRIL",F18+M18+T18+AA18,IF($CL$4="MAYO",F18+M18+T18+AA18+AH18,IF($CL$4="JUNIO",F18+M18+T18+AA18+AH18+AO18,IF($CL$4="JULIO",F18+M18+T18+AA18+AH18+AO18+AV18,IF($CL$4="AGOSTO",F18+M18+T18+AA18+AH18+AO18+AV18+BC18,IF($CL$4="SEPTIEMBRE",F18+M18+T18+AA18+AH18+AO18+AV18+BC18+BJ18,IF($CL$4="OCTUBRE",F18+M18+T18+AA18+AH18+AO18+AV18+BC18+BJ18+BQ18,IF($CL$4="NOVIEMBRE",F18+M18+T18+AA18+AH18+AO18+AV18+BC18+BJ18+BQ18+BX18,IF($CL$4="DICIEMBRE",F18+M18+T18+AA18+AH18+AO18+AV18+BC18+BJ18+BQ18+BX18+CE18,""))))))))))))</f>
        <v>8</v>
      </c>
      <c r="CM18" s="86">
        <f>IF($CL$4="ENERO",G18,IF($CL$4="FEBRERO",G18+N18,IF($CL$4="MARZO",G18+N18+U18,IF($CL$4="ABRIL",G18+N18+U18+AB18,IF($CL$4="MAYO",G18+N18+U18+AB18+AI18,IF($CL$4="JUNIO",G18+N18+U18+AB18+AI18+AP18,IF($CL$4="JULIO",G18+N18+U18+AB18+AI18+AP18+AW18,IF($CL$4="AGOSTO",G18+N18+U18+AB18+AI18+AP18+AW18+BD18,IF($CL$4="SEPTIEMBRE",G18+N18+U18+AB18+AI18+AP18+AW18+BD18+BK18,IF($CL$4="OCTUBRE",G18+N18+U18+AB18+AI18+AP18+AW18+BD18+BK18+BR18,IF($CL$4="NOVIEMBRE",G18+N18+U18+AB18+AI18+AP18+AW18+BD18+BK18+BR18+BY18,IF($CL$4="DICIEMBRE",G18+N18+U18+AB18+AI18+AP18+AW18+BD18+BK18+BR18+BY18+CF18,""))))))))))))</f>
        <v>1</v>
      </c>
      <c r="CN18" s="109">
        <f t="shared" si="37"/>
        <v>0.125</v>
      </c>
      <c r="CO18" s="86">
        <f>IFERROR(IF($CL$4="ENERO",I18,IF($CL$4="FEBRERO",I18+P18,IF($CL$4="MARZO",I18+P18+W18,IF($CL$4="ABRIL",I18+P18+W18+AD18,IF($CL$4="MAYO",I18+P18+W18+AD18+AK18,IF($CL$4="JUNIO",I18+P18+W18+AD18+AK18+AR18,IF($CL$4="JULIO",I18+P18+W18+AD18+AK18+AR18+AY18,IF($CL$4="AGOSTO",I18+P18+W18+AD18+AK18+AR18+AY18+BF18,IF($CL$4="SEPTIEMBRE",I18+P18+W18+AD18+AK18+AR18+AY18+BF18+BM18,IF($CL$4="OCTUBRE",I18+P18+W18+AD18+AK18+AR18+AY18+BF18+BM18+BT18,IF($CL$4="NOVIEMBRE",I18+P18+W18+AD18+AK18+AR18+AY18+BF18+BM18+BT18+CA18,IF($CL$4="DICIEMBRE",I18+P18+W18+AD18+AK18+AR18+AY18+BF18+BM18+BT18+CA18+CH18,"")))))))))))),0)</f>
        <v>1</v>
      </c>
      <c r="CP18" s="297">
        <f>IFERROR(IF(CM18=0,"N.D.",CO18/CM18),0)</f>
        <v>1</v>
      </c>
      <c r="CQ18" s="348">
        <f>IFERROR(IF($CL$4="ENERO",K18,
IF($CL$4="FEBRERO",K18+R18,
IF($CL$4="MARZO",K18+R18+Y18,
IF($CL$4="ABRIL",K18+R18+Y18+AF18,
IF($CL$4="MAYO",K18+R18+Y18+AF18+AM18,
IF($CL$4="JUNIO",K18+R18+Y18+AF18+AM18+AT18,
IF($CL$4="JULIO",K18+R18+Y18+AF18+AM18+AT18+BA18,
IF($CL$4="AGOSTO",K18+R18+Y18+AF18+AM18+AT18+BA18+BH18,
IF($CL$4="SEPTIEMBRE",K18+R18+Y18+AF18+AM18+AT18+BA18+BH18+BO18,
IF($CL$4="OCTUBRE",K18+R18+Y18+AF18+AM18+AT18+BA18+BH18+BO18+BV18,
IF($CL$4="NOVIEMBRE",K18+R18+Y18+AF18+AM18+AT18+BA18+BH18+BO18+BV18+CC18,
IF($CL$4="DICIEMBRE",K18+R18+Y18+AF18+AM18+AT18+BA18+BH18+BO18+BV18+CC18+CJ18,"")))))))))))),0)</f>
        <v>0</v>
      </c>
      <c r="CR18" s="149">
        <f t="shared" si="38"/>
        <v>0</v>
      </c>
      <c r="CS18" s="54">
        <f>+F18+M18+T18+AA18+AH18+AO18++AV18+BC18+BJ18+BQ18+BX18+CE18</f>
        <v>8</v>
      </c>
      <c r="CT18" s="86">
        <f>SUMIFS($F18:$CI18,$F$6:$CI$6,CT$6,$F$2:$CI$2,$CL$4)</f>
        <v>1</v>
      </c>
      <c r="CU18" s="109">
        <f>IFERROR((CT18/CS18),0)</f>
        <v>0.125</v>
      </c>
      <c r="CV18" s="86">
        <f>IFERROR(I18+P18+W18+AD18+AK18+AR18+AY18+BF18+BM18+BT18+CA18+CH18,0)</f>
        <v>1</v>
      </c>
      <c r="CW18" s="297">
        <f>IF(CT18=0,"N.D.",CV18/CT18)</f>
        <v>1</v>
      </c>
      <c r="CX18" s="348">
        <f>IFERROR(K18+R18+Y18+AF18+AM18+AT18+BA18+BH18+BO18+BV18+CC18+CJ18,0)</f>
        <v>0</v>
      </c>
      <c r="CY18" s="149">
        <f t="shared" si="39"/>
        <v>0</v>
      </c>
      <c r="CZ18" s="54">
        <f>IF($CZ$5="Q1",F18+M18+T18,
IF($CZ$5="Q2",AA18+AH18++AO18,
IF($CZ$5="Q3",AV18+BC18+BJ18,
IF($CZ$5="Q4",BQ18+BX18+CE18,0))))</f>
        <v>4</v>
      </c>
      <c r="DA18" s="86">
        <f>IF($CZ$5="Q1",G18+N18+U18,
IF($CZ$5="Q2",AB18+AI18++AP18,
IF($CZ$5="Q3",AW18+BD18+BK18,
IF($CZ$5="Q4",BR18+BY18+CF18,0))))</f>
        <v>0</v>
      </c>
      <c r="DB18" s="109">
        <f t="shared" si="41"/>
        <v>0</v>
      </c>
      <c r="DC18" s="86">
        <f>IFERROR(IF($CZ$5="Q1",I18+P18+W18,
IF($CZ$5="Q2",AD18+AK18++AR18,
IF($CZ$5="Q3",AY18+BF18+BM18,
IF($CZ$5="Q4",BT18+CA18+CH18,0)))),0)</f>
        <v>0</v>
      </c>
      <c r="DD18" s="297" t="str">
        <f>IF(DA18=0,"N.D.",DC18/DA18)</f>
        <v>N.D.</v>
      </c>
      <c r="DE18" s="348">
        <f>IFERROR(IF($CZ$5="Q1",K18+R18+Y18,
IF($CZ$5="Q2",AF18+AM18+AT18,
IF($CZ$5="Q3",BA18+BH18+BO18,
IF($CZ$5="Q4",BV18+CC18+CJ18,0)))),0)</f>
        <v>0</v>
      </c>
      <c r="DF18" s="150">
        <f t="shared" si="42"/>
        <v>0</v>
      </c>
      <c r="DG18" s="54">
        <f>IF($DG$5="S 1",F18+M18+T18+AA18+AH18+AO18,
IF($DG$5="S 2",AV18+BC18+BJ18+BQ18+BX18+CE18,0))</f>
        <v>8</v>
      </c>
      <c r="DH18" s="86">
        <f>IF($DG$5="S 1",G18+N18+U18+AB18+AI18+AP18,
IF($DG$5="S 2",AW18+BD18+BK18+BR18+BY18+CF18,0))</f>
        <v>1</v>
      </c>
      <c r="DI18" s="109">
        <f t="shared" si="44"/>
        <v>0.125</v>
      </c>
      <c r="DJ18" s="86">
        <f>IFERROR(IF($DG$5="S 1",I18+P18+W18+AD18+AK18++AR18,
IF($DG$5="S 2",AY18+BF18+BM18+BT18+CA18+CH18,0)),0)</f>
        <v>1</v>
      </c>
      <c r="DK18" s="297">
        <f t="shared" si="45"/>
        <v>1</v>
      </c>
      <c r="DL18" s="348">
        <f>IFERROR(IF($DG$5="S 1",K18+R18+Y18+AF18+AM18+AT18,
IF($DG$5="S 2",BA18+BH18+BO18+BV18+CC18+CJ18,0)),0)</f>
        <v>0</v>
      </c>
      <c r="DM18" s="150">
        <f t="shared" si="46"/>
        <v>0</v>
      </c>
      <c r="DN18" s="54">
        <f>IF($DN$5="S 1",F18+M18+T18+AA18+AH18+AO18,
IF($DN$5="S 2",AV18+BC18+BJ18+BQ18+BX18+CE18,0))</f>
        <v>0</v>
      </c>
      <c r="DO18" s="86">
        <f>IF($DN$5="S 1",G18+N18+U18+AB18+AI18+AP18,
IF($DN$5="S 2",AW18+BD18+BK18+BR18+BY18+CF18,0))</f>
        <v>0</v>
      </c>
      <c r="DP18" s="109">
        <f t="shared" si="48"/>
        <v>0</v>
      </c>
      <c r="DQ18" s="86">
        <f>IFERROR(IF($DN$5="S 1",I18+P18+W18+AD18+AK18++AR18,
IF($DN$5="S 2",AY18+BF18+BM18+BT18+CA18+CH18,0)),0)</f>
        <v>0</v>
      </c>
      <c r="DR18" s="297" t="str">
        <f t="shared" si="49"/>
        <v>N.D.</v>
      </c>
      <c r="DS18" s="348">
        <f>IFERROR(IF($DN$5="S 1",K18+R18+Y18+AF18+AM18+AT18,
IF($DN$5="S 2",BA18+BH18+BO18+BV18+CC18+CJ18,0)),0)</f>
        <v>0</v>
      </c>
      <c r="DT18" s="150">
        <f t="shared" si="50"/>
        <v>0</v>
      </c>
      <c r="DU18" s="53">
        <v>1</v>
      </c>
      <c r="DX18" s="53">
        <v>70</v>
      </c>
      <c r="DY18" s="53">
        <v>83</v>
      </c>
      <c r="DZ18" s="513">
        <v>1.4090909090909092</v>
      </c>
      <c r="EB18" s="513">
        <v>1</v>
      </c>
      <c r="EC18" s="53">
        <v>28</v>
      </c>
      <c r="ED18" s="513">
        <v>0.40909090909090912</v>
      </c>
    </row>
    <row r="19" spans="1:134" s="53" customFormat="1" ht="16" customHeight="1" x14ac:dyDescent="0.3">
      <c r="A19" s="53">
        <f>_xlfn.XLOOKUP(B19,'UC MINI 2026'!$B$5:$B$61,'UC MINI 2026'!$A$5:$A$61)</f>
        <v>3</v>
      </c>
      <c r="B19" s="179">
        <v>100380</v>
      </c>
      <c r="C19" s="381" t="s">
        <v>11</v>
      </c>
      <c r="D19" s="146"/>
      <c r="E19" s="309" t="s">
        <v>78</v>
      </c>
      <c r="F19" s="54">
        <f>SUMIF('UC MINI 2026'!$B$5:$B$71,'UC MINI 2026 MINI NEXT'!$B19,'UC MINI 2026'!$F$5:$F$71)</f>
        <v>3</v>
      </c>
      <c r="G19" s="86">
        <f>SUMIF('UC MINI 2026'!$B$5:$B$71,'UC MINI 2026 MINI NEXT'!$B19,'UC MINI 2026'!$G$5:$G$71)</f>
        <v>2</v>
      </c>
      <c r="H19" s="297">
        <f t="shared" si="54"/>
        <v>0.66666666666666663</v>
      </c>
      <c r="I19" s="86">
        <f>IFERROR(VLOOKUP(B19,[2]BPS!$S$10:$AF$64,3,0),0)-IF(B19=100873,IFERROR(VLOOKUP("Enero",[2]BPS!$S$74:$T$89,2,0),0),0)</f>
        <v>2</v>
      </c>
      <c r="J19" s="297">
        <f t="shared" si="55"/>
        <v>1</v>
      </c>
      <c r="K19" s="86">
        <f>IFERROR(VLOOKUP(B19,'[2]RETAIL ORIGEN RMKT'!$S$11:$AF$62,3,0),0)</f>
        <v>1</v>
      </c>
      <c r="L19" s="150">
        <f t="shared" si="56"/>
        <v>0.33333333333333331</v>
      </c>
      <c r="M19" s="79">
        <f>SUMIF('UC MINI 2026'!$B$5:$B$61,'UC MINI 2026 MINI NEXT'!$B19,'UC MINI 2026'!$H$5:$H$61)</f>
        <v>3</v>
      </c>
      <c r="N19" s="86">
        <f>SUMIF('UC MINI 2026'!$B$5:$B$61,'UC MINI 2026 MINI NEXT'!$B19,'UC MINI 2026'!$I$5:$I$61)</f>
        <v>3</v>
      </c>
      <c r="O19" s="297">
        <f t="shared" si="57"/>
        <v>1</v>
      </c>
      <c r="P19" s="86">
        <f>IFERROR(VLOOKUP(B19,[2]BPS!$S$10:$AF$64,4,0),0)-IF(B19=100873,IFERROR(VLOOKUP("FEBRERO",[2]BPS!$S$74:$T$89,2,0),0),0)</f>
        <v>3</v>
      </c>
      <c r="Q19" s="297">
        <f t="shared" si="4"/>
        <v>1</v>
      </c>
      <c r="R19" s="86">
        <f>IFERROR(VLOOKUP(B19,'[2]RETAIL ORIGEN RMKT'!$S$11:$AF$62,4,0),0)</f>
        <v>1</v>
      </c>
      <c r="S19" s="150">
        <f t="shared" si="58"/>
        <v>0.33333333333333331</v>
      </c>
      <c r="T19" s="148">
        <f>SUMIF('UC MINI 2026'!$B$5:$B$71,'UC MINI 2026 MINI NEXT'!$B19,'UC MINI 2026'!$J$5:$J$71)</f>
        <v>3</v>
      </c>
      <c r="U19" s="86">
        <f>SUMIF('UC MINI 2026'!$B$10:$B$61,'UC MINI 2026 MINI NEXT'!$B19,'UC MINI 2026'!$K$10:$K$61)</f>
        <v>1</v>
      </c>
      <c r="V19" s="297">
        <f t="shared" si="59"/>
        <v>0.33333333333333331</v>
      </c>
      <c r="W19" s="86">
        <f>IFERROR(VLOOKUP(B19,[2]BPS!$S$10:$AF$64,5,0),0)-IF(B19=100873,IFERROR(VLOOKUP("MARZO",[2]BPS!$S$74:$T$89,2,0),0),0)</f>
        <v>1</v>
      </c>
      <c r="X19" s="297">
        <f t="shared" si="7"/>
        <v>1</v>
      </c>
      <c r="Y19" s="86">
        <f>IFERROR(VLOOKUP(B19,'[2]RETAIL ORIGEN RMKT'!$S$11:$AF$62,5,0),0)</f>
        <v>1</v>
      </c>
      <c r="Z19" s="150">
        <f t="shared" si="60"/>
        <v>0.33333333333333331</v>
      </c>
      <c r="AA19" s="148">
        <f>SUMIF('UC MINI 2026'!$B$5:$B$61,'UC MINI 2026 MINI NEXT'!$B19,'UC MINI 2026'!$L$5:$L$61)</f>
        <v>3</v>
      </c>
      <c r="AB19" s="86">
        <f>SUMIF('UC MINI 2026'!$B$5:$B$61,'UC MINI 2026 MINI NEXT'!$B19,'UC MINI 2026'!$M$5:$M$61)</f>
        <v>3</v>
      </c>
      <c r="AC19" s="297">
        <f t="shared" si="61"/>
        <v>1</v>
      </c>
      <c r="AD19" s="86">
        <f>IFERROR(VLOOKUP(B19,[2]BPS!$S$10:$AF$64,6,0),0)-IF(B19=100873,IFERROR(VLOOKUP("ABRIL",[2]BPS!$S$74:$T$89,2,0),0),0)</f>
        <v>3</v>
      </c>
      <c r="AE19" s="285">
        <f t="shared" si="10"/>
        <v>1</v>
      </c>
      <c r="AF19" s="86">
        <f>IFERROR(VLOOKUP(B19,'[2]RETAIL ORIGEN RMKT'!$S$11:$AF$62,6,0),0)</f>
        <v>0</v>
      </c>
      <c r="AG19" s="150">
        <f t="shared" si="62"/>
        <v>0</v>
      </c>
      <c r="AH19" s="148">
        <f>SUMIF('UC MINI 2026'!$B$5:$B$61,'UC MINI 2026 MINI NEXT'!$B19,'UC MINI 2026'!$N$5:$N$61)</f>
        <v>4</v>
      </c>
      <c r="AI19" s="86">
        <f>SUMIF('UC MINI 2026'!$B$5:$B$61,'UC MINI 2026 MINI NEXT'!$B19,'UC MINI 2026'!$O$5:$O$61)</f>
        <v>2</v>
      </c>
      <c r="AJ19" s="297">
        <f t="shared" si="63"/>
        <v>0.5</v>
      </c>
      <c r="AK19" s="86">
        <f>IFERROR(VLOOKUP(B19,[2]BPS!$S$10:$AF$64,7,0),0)-IF(B19=100873,IFERROR(VLOOKUP("MAYO",[2]BPS!$S$74:$T$89,2,0),0),0)</f>
        <v>1</v>
      </c>
      <c r="AL19" s="285">
        <f t="shared" si="13"/>
        <v>0.5</v>
      </c>
      <c r="AM19" s="86">
        <f>IFERROR(VLOOKUP(B19,'[2]RETAIL ORIGEN RMKT'!$S$11:$AF$62,7,0),0)</f>
        <v>0</v>
      </c>
      <c r="AN19" s="150">
        <f t="shared" si="64"/>
        <v>0</v>
      </c>
      <c r="AO19" s="148">
        <f>SUMIF('UC MINI 2026'!$B$5:$B$61,'UC MINI 2026 MINI NEXT'!$B19,'UC MINI 2026'!$P$5:$P$61)</f>
        <v>4</v>
      </c>
      <c r="AP19" s="86">
        <f>SUMIF('UC MINI 2026'!$B$5:$B$61,'UC MINI 2026 MINI NEXT'!$B19,'UC MINI 2026'!$Q$5:$Q$61)</f>
        <v>1</v>
      </c>
      <c r="AQ19" s="297">
        <f t="shared" si="65"/>
        <v>0.25</v>
      </c>
      <c r="AR19" s="86">
        <f>IFERROR(VLOOKUP(B19,[2]BPS!$S$10:$AF$64,8,0),0)-IF(B19=100873,IFERROR(VLOOKUP("JUNIO",[2]BPS!$S$74:$T$89,2,0),0),0)</f>
        <v>1</v>
      </c>
      <c r="AS19" s="285">
        <f t="shared" si="16"/>
        <v>1</v>
      </c>
      <c r="AT19" s="86">
        <f>IFERROR(VLOOKUP(B19,'[2]RETAIL ORIGEN RMKT'!$S$11:$AF$62,8,0),0)</f>
        <v>1</v>
      </c>
      <c r="AU19" s="150">
        <f t="shared" si="66"/>
        <v>0.25</v>
      </c>
      <c r="AV19" s="148">
        <f>SUMIF('UC MINI 2026'!$B$5:$B$61,'UC MINI 2026 MINI NEXT'!$B19,'UC MINI 2026'!$R$5:$R$61)</f>
        <v>0</v>
      </c>
      <c r="AW19" s="86">
        <f>SUMIF('UC MINI 2026'!$B$5:$B$61,'UC MINI 2026 MINI NEXT'!$B19,'UC MINI 2026'!$S$5:$S$61)</f>
        <v>0</v>
      </c>
      <c r="AX19" s="297">
        <f t="shared" si="67"/>
        <v>0</v>
      </c>
      <c r="AY19" s="86">
        <f>IFERROR(VLOOKUP(B19,[2]BPS!$S$10:$AF$64,9,0),0)-IF(B19=100873,IFERROR(VLOOKUP("JULIO",[2]BPS!$S$74:$T$89,2,0),0),0)</f>
        <v>0</v>
      </c>
      <c r="AZ19" s="285">
        <f t="shared" si="19"/>
        <v>0</v>
      </c>
      <c r="BA19" s="86">
        <f>IFERROR(VLOOKUP(I19,'[2]RETAIL ORIGEN RMKT'!$S$11:$AF$62,9,0),0)</f>
        <v>0</v>
      </c>
      <c r="BB19" s="150">
        <f t="shared" si="68"/>
        <v>0</v>
      </c>
      <c r="BC19" s="148">
        <f>SUMIF('UC MINI 2026'!$B$5:$B$61,'UC MINI 2026 MINI NEXT'!$B19,'UC MINI 2026'!$T$5:$T$61)</f>
        <v>0</v>
      </c>
      <c r="BD19" s="86">
        <f>SUMIF('UC MINI 2026'!$B$5:$B$61,'UC MINI 2026 MINI NEXT'!$B19,'UC MINI 2026'!$U$5:$U$61)</f>
        <v>0</v>
      </c>
      <c r="BE19" s="297">
        <f t="shared" si="69"/>
        <v>0</v>
      </c>
      <c r="BF19" s="86">
        <f>IFERROR(VLOOKUP(B19,[2]BPS!$S$10:$AF$64,10,0),0)-IF(B19=100873,IFERROR(VLOOKUP("AGOSTO",[2]BPS!$S$74:$T$89,2,0),0),0)</f>
        <v>0</v>
      </c>
      <c r="BG19" s="285">
        <f t="shared" si="22"/>
        <v>0</v>
      </c>
      <c r="BH19" s="86">
        <f>IFERROR(VLOOKUP(P19,'[2]RETAIL ORIGEN RMKT'!$S$11:$AF$62,10,0),0)</f>
        <v>0</v>
      </c>
      <c r="BI19" s="150">
        <f t="shared" si="70"/>
        <v>0</v>
      </c>
      <c r="BJ19" s="148">
        <f>SUMIF('UC MINI 2026'!$B$5:$B$61,'UC MINI 2026 MINI NEXT'!$B19,'UC MINI 2026'!$V$5:$V$61)</f>
        <v>0</v>
      </c>
      <c r="BK19" s="86">
        <f>SUMIF('UC MINI 2026'!$B$5:$B$61,'UC MINI 2026 MINI NEXT'!$B19,'UC MINI 2026'!$W$5:$W$61)</f>
        <v>0</v>
      </c>
      <c r="BL19" s="297">
        <f t="shared" si="71"/>
        <v>0</v>
      </c>
      <c r="BM19" s="86">
        <f>IFERROR(VLOOKUP(B19,[2]BPS!$S$10:$AF$64,11,0),0)-IF(B19=100873,IFERROR(VLOOKUP("SEPTIEMBRE",[2]BPS!$S$74:$T$89,2,0),0),0)</f>
        <v>0</v>
      </c>
      <c r="BN19" s="285">
        <f t="shared" si="25"/>
        <v>0</v>
      </c>
      <c r="BO19" s="86">
        <f>IFERROR(VLOOKUP(W19,'[2]RETAIL ORIGEN RMKT'!$S$11:$AF$62,11,0),0)</f>
        <v>0</v>
      </c>
      <c r="BP19" s="150">
        <f t="shared" si="72"/>
        <v>0</v>
      </c>
      <c r="BQ19" s="148">
        <f>SUMIF('UC MINI 2026'!$B$5:$B$61,'UC MINI 2026 MINI NEXT'!$B19,'UC MINI 2026'!$V$5:$V$61)</f>
        <v>0</v>
      </c>
      <c r="BR19" s="86">
        <f>SUMIF('UC MINI 2026'!$B$5:$B$61,'UC MINI 2026 MINI NEXT'!$B19,'UC MINI 2026'!$Y$5:$Y$61)</f>
        <v>0</v>
      </c>
      <c r="BS19" s="297">
        <f t="shared" si="73"/>
        <v>0</v>
      </c>
      <c r="BT19" s="86">
        <f>IFERROR(VLOOKUP(B19,[2]BPS!$S$10:$AF$64,12,0),0)-IF(B19=100873,IFERROR(VLOOKUP("OCTUBRE",[2]BPS!$S$74:$T$89,2,0),0),0)</f>
        <v>0</v>
      </c>
      <c r="BU19" s="285">
        <f t="shared" si="28"/>
        <v>0</v>
      </c>
      <c r="BV19" s="86">
        <f>IFERROR(VLOOKUP(AD19,'[2]RETAIL ORIGEN RMKT'!$S$11:$AF$62,12,0),0)</f>
        <v>0</v>
      </c>
      <c r="BW19" s="150">
        <f t="shared" si="74"/>
        <v>0</v>
      </c>
      <c r="BX19" s="148">
        <f>SUMIF('UC MINI 2026'!$B$5:$B$61,'UC MINI 2026 MINI NEXT'!$B19,'UC MINI 2026'!$V$5:$V$61)</f>
        <v>0</v>
      </c>
      <c r="BY19" s="86">
        <f>SUMIF('UC MINI 2026'!$B$5:$B$61,'UC MINI 2026 MINI NEXT'!$B19,'UC MINI 2026'!$AA$5:$AA$61)</f>
        <v>0</v>
      </c>
      <c r="BZ19" s="297">
        <f t="shared" si="75"/>
        <v>0</v>
      </c>
      <c r="CA19" s="86">
        <f>IFERROR(VLOOKUP(B19,[2]BPS!$S$10:$AF$64,13,0),0)-IF(B19=100873,IFERROR(VLOOKUP("NOVIEMBRE",[2]BPS!$S$74:$T$89,2,0),0),0)</f>
        <v>0</v>
      </c>
      <c r="CB19" s="285">
        <f t="shared" si="31"/>
        <v>0</v>
      </c>
      <c r="CC19" s="86">
        <f>IFERROR(VLOOKUP(AK19,'[2]RETAIL ORIGEN RMKT'!$S$11:$AF$62,13,0),0)</f>
        <v>0</v>
      </c>
      <c r="CD19" s="150">
        <f t="shared" si="76"/>
        <v>0</v>
      </c>
      <c r="CE19" s="148">
        <f>SUMIF('UC MINI 2026'!$B$5:$B$61,'UC MINI 2026 MINI NEXT'!$B19,'UC MINI 2026'!$V$5:$V$61)</f>
        <v>0</v>
      </c>
      <c r="CF19" s="86">
        <f>SUMIF('UC MINI 2026'!$B$5:$B$61,'UC MINI 2026 MINI NEXT'!$B19,'UC MINI 2026'!$AC$5:$AC$61)</f>
        <v>0</v>
      </c>
      <c r="CG19" s="297">
        <f t="shared" si="77"/>
        <v>0</v>
      </c>
      <c r="CH19" s="86">
        <f>IFERROR(VLOOKUP(B19,[2]BPS!$S$10:$AF$64,14,0),0)-IF(B19=100873,IFERROR(VLOOKUP("DICIEMBRE",[2]BPS!$S$74:$T$89,2,0),0),0)</f>
        <v>0</v>
      </c>
      <c r="CI19" s="285">
        <f t="shared" si="34"/>
        <v>0</v>
      </c>
      <c r="CJ19" s="86">
        <f>IFERROR(VLOOKUP(AR19,'[2]RETAIL ORIGEN RMKT'!$S$11:$AF$62,14,0),0)</f>
        <v>0</v>
      </c>
      <c r="CK19" s="150">
        <f t="shared" si="35"/>
        <v>0</v>
      </c>
      <c r="CL19" s="58">
        <f t="shared" si="51"/>
        <v>20</v>
      </c>
      <c r="CM19" s="59">
        <f t="shared" si="51"/>
        <v>12</v>
      </c>
      <c r="CN19" s="112">
        <f t="shared" si="37"/>
        <v>0.6</v>
      </c>
      <c r="CO19" s="86">
        <f t="shared" si="78"/>
        <v>11</v>
      </c>
      <c r="CP19" s="297">
        <f t="shared" si="79"/>
        <v>0.91666666666666663</v>
      </c>
      <c r="CQ19" s="348">
        <f t="shared" si="80"/>
        <v>4</v>
      </c>
      <c r="CR19" s="152">
        <f t="shared" si="38"/>
        <v>0.2</v>
      </c>
      <c r="CS19" s="58">
        <f t="shared" si="81"/>
        <v>20</v>
      </c>
      <c r="CT19" s="59">
        <f t="shared" si="82"/>
        <v>12</v>
      </c>
      <c r="CU19" s="112">
        <f t="shared" si="52"/>
        <v>0.6</v>
      </c>
      <c r="CV19" s="59">
        <f t="shared" si="83"/>
        <v>11</v>
      </c>
      <c r="CW19" s="297">
        <f t="shared" si="84"/>
        <v>0.91666666666666663</v>
      </c>
      <c r="CX19" s="347">
        <f t="shared" si="85"/>
        <v>4</v>
      </c>
      <c r="CY19" s="152">
        <f t="shared" si="39"/>
        <v>0.2</v>
      </c>
      <c r="CZ19" s="58">
        <f t="shared" si="53"/>
        <v>9</v>
      </c>
      <c r="DA19" s="59">
        <f t="shared" si="53"/>
        <v>6</v>
      </c>
      <c r="DB19" s="112">
        <f t="shared" si="41"/>
        <v>0.66666666666666663</v>
      </c>
      <c r="DC19" s="59">
        <f t="shared" si="86"/>
        <v>6</v>
      </c>
      <c r="DD19" s="297">
        <f t="shared" si="87"/>
        <v>1</v>
      </c>
      <c r="DE19" s="347">
        <f t="shared" si="88"/>
        <v>3</v>
      </c>
      <c r="DF19" s="153">
        <f t="shared" si="42"/>
        <v>0.33333333333333331</v>
      </c>
      <c r="DG19" s="58">
        <f t="shared" si="89"/>
        <v>20</v>
      </c>
      <c r="DH19" s="59">
        <f t="shared" si="89"/>
        <v>12</v>
      </c>
      <c r="DI19" s="112">
        <f t="shared" si="44"/>
        <v>0.6</v>
      </c>
      <c r="DJ19" s="59">
        <f t="shared" si="90"/>
        <v>11</v>
      </c>
      <c r="DK19" s="297">
        <f t="shared" si="45"/>
        <v>0.91666666666666663</v>
      </c>
      <c r="DL19" s="347">
        <f t="shared" si="91"/>
        <v>4</v>
      </c>
      <c r="DM19" s="153">
        <f t="shared" si="46"/>
        <v>0.2</v>
      </c>
      <c r="DN19" s="58">
        <f>IF($DN$5="S 1",F19+M19+T19+AA19+AH19+AO19,
IF($DN$5="S 2",AV19+BC19+BJ19+BQ19+BX19+CE19,0))</f>
        <v>0</v>
      </c>
      <c r="DO19" s="252">
        <f t="shared" si="92"/>
        <v>0</v>
      </c>
      <c r="DP19" s="112">
        <f t="shared" si="48"/>
        <v>0</v>
      </c>
      <c r="DQ19" s="59">
        <f t="shared" si="93"/>
        <v>0</v>
      </c>
      <c r="DR19" s="297" t="str">
        <f t="shared" si="49"/>
        <v>N.D.</v>
      </c>
      <c r="DS19" s="347">
        <f t="shared" si="94"/>
        <v>0</v>
      </c>
      <c r="DT19" s="153">
        <f t="shared" si="50"/>
        <v>0</v>
      </c>
      <c r="DU19" s="53">
        <v>1</v>
      </c>
      <c r="DX19" s="53">
        <v>60</v>
      </c>
      <c r="DY19" s="53">
        <v>78</v>
      </c>
      <c r="DZ19" s="513">
        <v>1.3777777777777778</v>
      </c>
      <c r="EB19" s="513">
        <v>1</v>
      </c>
      <c r="EC19" s="53">
        <v>22</v>
      </c>
      <c r="ED19" s="513">
        <v>0.4</v>
      </c>
    </row>
    <row r="20" spans="1:134" s="53" customFormat="1" ht="16" customHeight="1" x14ac:dyDescent="0.3">
      <c r="A20" s="53">
        <f>_xlfn.XLOOKUP(B20,'UC MINI 2026'!$B$5:$B$61,'UC MINI 2026'!$A$5:$A$61)</f>
        <v>3</v>
      </c>
      <c r="B20" s="179">
        <v>100418</v>
      </c>
      <c r="C20" s="381" t="s">
        <v>13</v>
      </c>
      <c r="D20" s="146"/>
      <c r="E20" s="309" t="s">
        <v>83</v>
      </c>
      <c r="F20" s="54">
        <f>SUMIF('UC MINI 2026'!$B$5:$B$71,'UC MINI 2026 MINI NEXT'!$B20,'UC MINI 2026'!$F$5:$F$71)</f>
        <v>2</v>
      </c>
      <c r="G20" s="86">
        <f>SUMIF('UC MINI 2026'!$B$5:$B$71,'UC MINI 2026 MINI NEXT'!$B20,'UC MINI 2026'!$G$5:$G$71)</f>
        <v>0</v>
      </c>
      <c r="H20" s="297">
        <f t="shared" si="54"/>
        <v>0</v>
      </c>
      <c r="I20" s="86">
        <f>IFERROR(VLOOKUP(B20,[2]BPS!$S$10:$AF$64,3,0),0)-IF(B20=100873,IFERROR(VLOOKUP("Enero",[2]BPS!$S$74:$T$89,2,0),0),0)</f>
        <v>0</v>
      </c>
      <c r="J20" s="297">
        <f t="shared" si="55"/>
        <v>0</v>
      </c>
      <c r="K20" s="86">
        <f>IFERROR(VLOOKUP(B20,'[2]RETAIL ORIGEN RMKT'!$S$11:$AF$62,3,0),0)</f>
        <v>0</v>
      </c>
      <c r="L20" s="150">
        <f t="shared" si="56"/>
        <v>0</v>
      </c>
      <c r="M20" s="79">
        <f>SUMIF('UC MINI 2026'!$B$5:$B$61,'UC MINI 2026 MINI NEXT'!$B20,'UC MINI 2026'!$H$5:$H$61)</f>
        <v>2</v>
      </c>
      <c r="N20" s="86">
        <f>SUMIF('UC MINI 2026'!$B$5:$B$61,'UC MINI 2026 MINI NEXT'!$B20,'UC MINI 2026'!$I$5:$I$61)</f>
        <v>5</v>
      </c>
      <c r="O20" s="297">
        <f t="shared" si="57"/>
        <v>2.5</v>
      </c>
      <c r="P20" s="86">
        <f>IFERROR(VLOOKUP(B20,[2]BPS!$S$10:$AF$64,4,0),0)-IF(B20=100873,IFERROR(VLOOKUP("FEBRERO",[2]BPS!$S$74:$T$89,2,0),0),0)</f>
        <v>5</v>
      </c>
      <c r="Q20" s="297">
        <f t="shared" si="4"/>
        <v>1</v>
      </c>
      <c r="R20" s="86">
        <f>IFERROR(VLOOKUP(B20,'[2]RETAIL ORIGEN RMKT'!$S$11:$AF$62,4,0),0)</f>
        <v>2</v>
      </c>
      <c r="S20" s="150">
        <f t="shared" si="58"/>
        <v>1</v>
      </c>
      <c r="T20" s="148">
        <f>SUMIF('UC MINI 2026'!$B$5:$B$71,'UC MINI 2026 MINI NEXT'!$B20,'UC MINI 2026'!$J$5:$J$71)</f>
        <v>2</v>
      </c>
      <c r="U20" s="86">
        <f>SUMIF('UC MINI 2026'!$B$10:$B$61,'UC MINI 2026 MINI NEXT'!$B20,'UC MINI 2026'!$K$10:$K$61)</f>
        <v>2</v>
      </c>
      <c r="V20" s="297">
        <f t="shared" si="59"/>
        <v>1</v>
      </c>
      <c r="W20" s="86">
        <f>IFERROR(VLOOKUP(B20,[2]BPS!$S$10:$AF$64,5,0),0)-IF(B20=100873,IFERROR(VLOOKUP("MARZO",[2]BPS!$S$74:$T$89,2,0),0),0)</f>
        <v>2</v>
      </c>
      <c r="X20" s="297">
        <f t="shared" si="7"/>
        <v>1</v>
      </c>
      <c r="Y20" s="86">
        <f>IFERROR(VLOOKUP(B20,'[2]RETAIL ORIGEN RMKT'!$S$11:$AF$62,5,0),0)</f>
        <v>0</v>
      </c>
      <c r="Z20" s="150">
        <f t="shared" si="60"/>
        <v>0</v>
      </c>
      <c r="AA20" s="148">
        <f>SUMIF('UC MINI 2026'!$B$5:$B$61,'UC MINI 2026 MINI NEXT'!$B20,'UC MINI 2026'!$L$5:$L$61)</f>
        <v>2</v>
      </c>
      <c r="AB20" s="86">
        <f>SUMIF('UC MINI 2026'!$B$5:$B$61,'UC MINI 2026 MINI NEXT'!$B20,'UC MINI 2026'!$M$5:$M$61)</f>
        <v>4</v>
      </c>
      <c r="AC20" s="297">
        <f t="shared" si="61"/>
        <v>2</v>
      </c>
      <c r="AD20" s="86">
        <f>IFERROR(VLOOKUP(B20,[2]BPS!$S$10:$AF$64,6,0),0)-IF(B20=100873,IFERROR(VLOOKUP("ABRIL",[2]BPS!$S$74:$T$89,2,0),0),0)</f>
        <v>4</v>
      </c>
      <c r="AE20" s="285">
        <f t="shared" si="10"/>
        <v>1</v>
      </c>
      <c r="AF20" s="86">
        <f>IFERROR(VLOOKUP(B20,'[2]RETAIL ORIGEN RMKT'!$S$11:$AF$62,6,0),0)</f>
        <v>0</v>
      </c>
      <c r="AG20" s="150">
        <f t="shared" si="62"/>
        <v>0</v>
      </c>
      <c r="AH20" s="148">
        <f>SUMIF('UC MINI 2026'!$B$5:$B$61,'UC MINI 2026 MINI NEXT'!$B20,'UC MINI 2026'!$N$5:$N$61)</f>
        <v>2</v>
      </c>
      <c r="AI20" s="86">
        <f>SUMIF('UC MINI 2026'!$B$5:$B$61,'UC MINI 2026 MINI NEXT'!$B20,'UC MINI 2026'!$O$5:$O$61)</f>
        <v>2</v>
      </c>
      <c r="AJ20" s="297">
        <f t="shared" si="63"/>
        <v>1</v>
      </c>
      <c r="AK20" s="86">
        <f>IFERROR(VLOOKUP(B20,[2]BPS!$S$10:$AF$64,7,0),0)-IF(B20=100873,IFERROR(VLOOKUP("MAYO",[2]BPS!$S$74:$T$89,2,0),0),0)</f>
        <v>1</v>
      </c>
      <c r="AL20" s="285">
        <f t="shared" si="13"/>
        <v>0.5</v>
      </c>
      <c r="AM20" s="86">
        <f>IFERROR(VLOOKUP(B20,'[2]RETAIL ORIGEN RMKT'!$S$11:$AF$62,7,0),0)</f>
        <v>0</v>
      </c>
      <c r="AN20" s="150">
        <f t="shared" si="64"/>
        <v>0</v>
      </c>
      <c r="AO20" s="148">
        <f>SUMIF('UC MINI 2026'!$B$5:$B$61,'UC MINI 2026 MINI NEXT'!$B20,'UC MINI 2026'!$P$5:$P$61)</f>
        <v>2</v>
      </c>
      <c r="AP20" s="86">
        <f>SUMIF('UC MINI 2026'!$B$5:$B$61,'UC MINI 2026 MINI NEXT'!$B20,'UC MINI 2026'!$Q$5:$Q$61)</f>
        <v>1</v>
      </c>
      <c r="AQ20" s="297">
        <f t="shared" si="65"/>
        <v>0.5</v>
      </c>
      <c r="AR20" s="86">
        <f>IFERROR(VLOOKUP(B20,[2]BPS!$S$10:$AF$64,8,0),0)-IF(B20=100873,IFERROR(VLOOKUP("JUNIO",[2]BPS!$S$74:$T$89,2,0),0),0)</f>
        <v>1</v>
      </c>
      <c r="AS20" s="285">
        <f t="shared" si="16"/>
        <v>1</v>
      </c>
      <c r="AT20" s="86">
        <f>IFERROR(VLOOKUP(B20,'[2]RETAIL ORIGEN RMKT'!$S$11:$AF$62,8,0),0)</f>
        <v>0</v>
      </c>
      <c r="AU20" s="150">
        <f t="shared" si="66"/>
        <v>0</v>
      </c>
      <c r="AV20" s="148">
        <f>SUMIF('UC MINI 2026'!$B$5:$B$61,'UC MINI 2026 MINI NEXT'!$B20,'UC MINI 2026'!$R$5:$R$61)</f>
        <v>0</v>
      </c>
      <c r="AW20" s="86">
        <f>SUMIF('UC MINI 2026'!$B$5:$B$61,'UC MINI 2026 MINI NEXT'!$B20,'UC MINI 2026'!$S$5:$S$61)</f>
        <v>0</v>
      </c>
      <c r="AX20" s="297">
        <f t="shared" si="67"/>
        <v>0</v>
      </c>
      <c r="AY20" s="86">
        <f>IFERROR(VLOOKUP(B20,[2]BPS!$S$10:$AF$64,9,0),0)-IF(B20=100873,IFERROR(VLOOKUP("JULIO",[2]BPS!$S$74:$T$89,2,0),0),0)</f>
        <v>0</v>
      </c>
      <c r="AZ20" s="285">
        <f t="shared" si="19"/>
        <v>0</v>
      </c>
      <c r="BA20" s="86">
        <f>IFERROR(VLOOKUP(I20,'[2]RETAIL ORIGEN RMKT'!$S$11:$AF$62,9,0),0)</f>
        <v>0</v>
      </c>
      <c r="BB20" s="150">
        <f t="shared" si="68"/>
        <v>0</v>
      </c>
      <c r="BC20" s="148">
        <f>SUMIF('UC MINI 2026'!$B$5:$B$61,'UC MINI 2026 MINI NEXT'!$B20,'UC MINI 2026'!$T$5:$T$61)</f>
        <v>0</v>
      </c>
      <c r="BD20" s="86">
        <f>SUMIF('UC MINI 2026'!$B$5:$B$61,'UC MINI 2026 MINI NEXT'!$B20,'UC MINI 2026'!$U$5:$U$61)</f>
        <v>0</v>
      </c>
      <c r="BE20" s="297">
        <f t="shared" si="69"/>
        <v>0</v>
      </c>
      <c r="BF20" s="86">
        <f>IFERROR(VLOOKUP(B20,[2]BPS!$S$10:$AF$64,10,0),0)-IF(B20=100873,IFERROR(VLOOKUP("AGOSTO",[2]BPS!$S$74:$T$89,2,0),0),0)</f>
        <v>0</v>
      </c>
      <c r="BG20" s="285">
        <f t="shared" si="22"/>
        <v>0</v>
      </c>
      <c r="BH20" s="86">
        <f>IFERROR(VLOOKUP(P20,'[2]RETAIL ORIGEN RMKT'!$S$11:$AF$62,10,0),0)</f>
        <v>0</v>
      </c>
      <c r="BI20" s="150">
        <f t="shared" si="70"/>
        <v>0</v>
      </c>
      <c r="BJ20" s="148">
        <f>SUMIF('UC MINI 2026'!$B$5:$B$61,'UC MINI 2026 MINI NEXT'!$B20,'UC MINI 2026'!$V$5:$V$61)</f>
        <v>0</v>
      </c>
      <c r="BK20" s="86">
        <f>SUMIF('UC MINI 2026'!$B$5:$B$61,'UC MINI 2026 MINI NEXT'!$B20,'UC MINI 2026'!$W$5:$W$61)</f>
        <v>0</v>
      </c>
      <c r="BL20" s="297">
        <f t="shared" si="71"/>
        <v>0</v>
      </c>
      <c r="BM20" s="86">
        <f>IFERROR(VLOOKUP(B20,[2]BPS!$S$10:$AF$64,11,0),0)-IF(B20=100873,IFERROR(VLOOKUP("SEPTIEMBRE",[2]BPS!$S$74:$T$89,2,0),0),0)</f>
        <v>0</v>
      </c>
      <c r="BN20" s="285">
        <f t="shared" si="25"/>
        <v>0</v>
      </c>
      <c r="BO20" s="86">
        <f>IFERROR(VLOOKUP(W20,'[2]RETAIL ORIGEN RMKT'!$S$11:$AF$62,11,0),0)</f>
        <v>0</v>
      </c>
      <c r="BP20" s="150">
        <f t="shared" si="72"/>
        <v>0</v>
      </c>
      <c r="BQ20" s="148">
        <f>SUMIF('UC MINI 2026'!$B$5:$B$61,'UC MINI 2026 MINI NEXT'!$B20,'UC MINI 2026'!$V$5:$V$61)</f>
        <v>0</v>
      </c>
      <c r="BR20" s="86">
        <f>SUMIF('UC MINI 2026'!$B$5:$B$61,'UC MINI 2026 MINI NEXT'!$B20,'UC MINI 2026'!$Y$5:$Y$61)</f>
        <v>0</v>
      </c>
      <c r="BS20" s="297">
        <f t="shared" si="73"/>
        <v>0</v>
      </c>
      <c r="BT20" s="86">
        <f>IFERROR(VLOOKUP(B20,[2]BPS!$S$10:$AF$64,12,0),0)-IF(B20=100873,IFERROR(VLOOKUP("OCTUBRE",[2]BPS!$S$74:$T$89,2,0),0),0)</f>
        <v>0</v>
      </c>
      <c r="BU20" s="285">
        <f t="shared" si="28"/>
        <v>0</v>
      </c>
      <c r="BV20" s="86">
        <f>IFERROR(VLOOKUP(AD20,'[2]RETAIL ORIGEN RMKT'!$S$11:$AF$62,12,0),0)</f>
        <v>0</v>
      </c>
      <c r="BW20" s="150">
        <f t="shared" si="74"/>
        <v>0</v>
      </c>
      <c r="BX20" s="148">
        <f>SUMIF('UC MINI 2026'!$B$5:$B$61,'UC MINI 2026 MINI NEXT'!$B20,'UC MINI 2026'!$V$5:$V$61)</f>
        <v>0</v>
      </c>
      <c r="BY20" s="86">
        <f>SUMIF('UC MINI 2026'!$B$5:$B$61,'UC MINI 2026 MINI NEXT'!$B20,'UC MINI 2026'!$AA$5:$AA$61)</f>
        <v>0</v>
      </c>
      <c r="BZ20" s="297">
        <f t="shared" si="75"/>
        <v>0</v>
      </c>
      <c r="CA20" s="86">
        <f>IFERROR(VLOOKUP(B20,[2]BPS!$S$10:$AF$64,13,0),0)-IF(B20=100873,IFERROR(VLOOKUP("NOVIEMBRE",[2]BPS!$S$74:$T$89,2,0),0),0)</f>
        <v>0</v>
      </c>
      <c r="CB20" s="285">
        <f t="shared" si="31"/>
        <v>0</v>
      </c>
      <c r="CC20" s="86">
        <f>IFERROR(VLOOKUP(AK20,'[2]RETAIL ORIGEN RMKT'!$S$11:$AF$62,13,0),0)</f>
        <v>0</v>
      </c>
      <c r="CD20" s="150">
        <f t="shared" si="76"/>
        <v>0</v>
      </c>
      <c r="CE20" s="148">
        <f>SUMIF('UC MINI 2026'!$B$5:$B$61,'UC MINI 2026 MINI NEXT'!$B20,'UC MINI 2026'!$V$5:$V$61)</f>
        <v>0</v>
      </c>
      <c r="CF20" s="86">
        <f>SUMIF('UC MINI 2026'!$B$5:$B$61,'UC MINI 2026 MINI NEXT'!$B20,'UC MINI 2026'!$AC$5:$AC$61)</f>
        <v>0</v>
      </c>
      <c r="CG20" s="297">
        <f t="shared" si="77"/>
        <v>0</v>
      </c>
      <c r="CH20" s="86">
        <f>IFERROR(VLOOKUP(B20,[2]BPS!$S$10:$AF$64,14,0),0)-IF(B20=100873,IFERROR(VLOOKUP("DICIEMBRE",[2]BPS!$S$74:$T$89,2,0),0),0)</f>
        <v>0</v>
      </c>
      <c r="CI20" s="285">
        <f t="shared" si="34"/>
        <v>0</v>
      </c>
      <c r="CJ20" s="86">
        <f>IFERROR(VLOOKUP(AR20,'[2]RETAIL ORIGEN RMKT'!$S$11:$AF$62,14,0),0)</f>
        <v>0</v>
      </c>
      <c r="CK20" s="150">
        <f t="shared" si="35"/>
        <v>0</v>
      </c>
      <c r="CL20" s="54">
        <f t="shared" si="51"/>
        <v>12</v>
      </c>
      <c r="CM20" s="86">
        <f t="shared" si="51"/>
        <v>14</v>
      </c>
      <c r="CN20" s="109">
        <f t="shared" si="37"/>
        <v>1.1666666666666667</v>
      </c>
      <c r="CO20" s="86">
        <f t="shared" si="78"/>
        <v>13</v>
      </c>
      <c r="CP20" s="297">
        <f t="shared" si="79"/>
        <v>0.9285714285714286</v>
      </c>
      <c r="CQ20" s="348">
        <f t="shared" si="80"/>
        <v>2</v>
      </c>
      <c r="CR20" s="149">
        <f t="shared" si="38"/>
        <v>0.16666666666666666</v>
      </c>
      <c r="CS20" s="54">
        <f t="shared" si="81"/>
        <v>12</v>
      </c>
      <c r="CT20" s="86">
        <f t="shared" si="82"/>
        <v>14</v>
      </c>
      <c r="CU20" s="109">
        <f t="shared" si="52"/>
        <v>1.1666666666666667</v>
      </c>
      <c r="CV20" s="86">
        <f t="shared" si="83"/>
        <v>13</v>
      </c>
      <c r="CW20" s="297">
        <f t="shared" si="84"/>
        <v>0.9285714285714286</v>
      </c>
      <c r="CX20" s="348">
        <f t="shared" si="85"/>
        <v>2</v>
      </c>
      <c r="CY20" s="149">
        <f t="shared" si="39"/>
        <v>0.16666666666666666</v>
      </c>
      <c r="CZ20" s="54">
        <f t="shared" si="53"/>
        <v>6</v>
      </c>
      <c r="DA20" s="86">
        <f t="shared" si="53"/>
        <v>7</v>
      </c>
      <c r="DB20" s="109">
        <f t="shared" si="41"/>
        <v>1.1666666666666667</v>
      </c>
      <c r="DC20" s="86">
        <f t="shared" si="86"/>
        <v>7</v>
      </c>
      <c r="DD20" s="297">
        <f t="shared" si="87"/>
        <v>1</v>
      </c>
      <c r="DE20" s="348">
        <f t="shared" si="88"/>
        <v>2</v>
      </c>
      <c r="DF20" s="150">
        <f t="shared" si="42"/>
        <v>0.33333333333333331</v>
      </c>
      <c r="DG20" s="54">
        <f t="shared" si="89"/>
        <v>12</v>
      </c>
      <c r="DH20" s="86">
        <f t="shared" si="89"/>
        <v>14</v>
      </c>
      <c r="DI20" s="109">
        <f t="shared" si="44"/>
        <v>1.1666666666666667</v>
      </c>
      <c r="DJ20" s="86">
        <f t="shared" si="90"/>
        <v>13</v>
      </c>
      <c r="DK20" s="297">
        <f t="shared" si="45"/>
        <v>0.9285714285714286</v>
      </c>
      <c r="DL20" s="348">
        <f t="shared" si="91"/>
        <v>2</v>
      </c>
      <c r="DM20" s="150">
        <f t="shared" si="46"/>
        <v>0.16666666666666666</v>
      </c>
      <c r="DN20" s="54">
        <f>IF($DN$5="S 1",F20+M20+T20+AA20+AH20+AO20,
IF($DN$5="S 2",AV20+BC20+BJ20+BQ20+BX20+CE20,0))</f>
        <v>0</v>
      </c>
      <c r="DO20" s="79">
        <f t="shared" si="92"/>
        <v>0</v>
      </c>
      <c r="DP20" s="109">
        <f t="shared" si="48"/>
        <v>0</v>
      </c>
      <c r="DQ20" s="86">
        <f t="shared" si="93"/>
        <v>0</v>
      </c>
      <c r="DR20" s="297" t="str">
        <f t="shared" si="49"/>
        <v>N.D.</v>
      </c>
      <c r="DS20" s="348">
        <f t="shared" si="94"/>
        <v>0</v>
      </c>
      <c r="DT20" s="150">
        <f t="shared" si="50"/>
        <v>0</v>
      </c>
      <c r="DU20" s="53">
        <v>1</v>
      </c>
      <c r="DX20" s="53">
        <v>55</v>
      </c>
      <c r="DY20" s="53">
        <v>71</v>
      </c>
      <c r="DZ20" s="513">
        <v>1.3333333333333333</v>
      </c>
      <c r="EB20" s="513">
        <v>1</v>
      </c>
      <c r="EC20" s="53">
        <v>18</v>
      </c>
      <c r="ED20" s="513">
        <v>0.36249999999999999</v>
      </c>
    </row>
    <row r="21" spans="1:134" s="53" customFormat="1" ht="16" customHeight="1" x14ac:dyDescent="0.3">
      <c r="A21" s="53">
        <f>_xlfn.XLOOKUP(B21,'UC MINI 2026'!$B$5:$B$61,'UC MINI 2026'!$A$5:$A$61)</f>
        <v>3</v>
      </c>
      <c r="B21" s="179">
        <v>100730</v>
      </c>
      <c r="C21" s="381" t="s">
        <v>41</v>
      </c>
      <c r="D21" s="146"/>
      <c r="E21" s="309" t="s">
        <v>78</v>
      </c>
      <c r="F21" s="54">
        <f>SUMIF('UC MINI 2026'!$B$5:$B$71,'UC MINI 2026 MINI NEXT'!$B21,'UC MINI 2026'!$F$5:$F$71)</f>
        <v>3</v>
      </c>
      <c r="G21" s="86">
        <f>SUMIF('UC MINI 2026'!$B$5:$B$71,'UC MINI 2026 MINI NEXT'!$B21,'UC MINI 2026'!$G$5:$G$71)</f>
        <v>2</v>
      </c>
      <c r="H21" s="297">
        <f t="shared" si="54"/>
        <v>0.66666666666666663</v>
      </c>
      <c r="I21" s="86">
        <f>IFERROR(VLOOKUP(B21,[2]BPS!$S$10:$AF$64,3,0),0)-IF(B21=100873,IFERROR(VLOOKUP("Enero",[2]BPS!$S$74:$T$89,2,0),0),0)</f>
        <v>2</v>
      </c>
      <c r="J21" s="297">
        <f t="shared" si="55"/>
        <v>1</v>
      </c>
      <c r="K21" s="86">
        <f>IFERROR(VLOOKUP(B21,'[2]RETAIL ORIGEN RMKT'!$S$11:$AF$62,3,0),0)</f>
        <v>2</v>
      </c>
      <c r="L21" s="150">
        <f t="shared" si="56"/>
        <v>0.66666666666666663</v>
      </c>
      <c r="M21" s="79">
        <f>SUMIF('UC MINI 2026'!$B$5:$B$61,'UC MINI 2026 MINI NEXT'!$B21,'UC MINI 2026'!$H$5:$H$61)</f>
        <v>4</v>
      </c>
      <c r="N21" s="86">
        <f>SUMIF('UC MINI 2026'!$B$5:$B$61,'UC MINI 2026 MINI NEXT'!$B21,'UC MINI 2026'!$I$5:$I$61)</f>
        <v>0</v>
      </c>
      <c r="O21" s="297">
        <f t="shared" si="57"/>
        <v>0</v>
      </c>
      <c r="P21" s="86">
        <f>IFERROR(VLOOKUP(B21,[2]BPS!$S$10:$AF$64,4,0),0)-IF(B21=100873,IFERROR(VLOOKUP("FEBRERO",[2]BPS!$S$74:$T$89,2,0),0),0)</f>
        <v>0</v>
      </c>
      <c r="Q21" s="297">
        <f t="shared" si="4"/>
        <v>0</v>
      </c>
      <c r="R21" s="86">
        <f>IFERROR(VLOOKUP(B21,'[2]RETAIL ORIGEN RMKT'!$S$11:$AF$62,4,0),0)</f>
        <v>0</v>
      </c>
      <c r="S21" s="150">
        <f t="shared" si="58"/>
        <v>0</v>
      </c>
      <c r="T21" s="148">
        <f>SUMIF('UC MINI 2026'!$B$5:$B$71,'UC MINI 2026 MINI NEXT'!$B21,'UC MINI 2026'!$J$5:$J$71)</f>
        <v>4</v>
      </c>
      <c r="U21" s="86">
        <f>SUMIF('UC MINI 2026'!$B$10:$B$61,'UC MINI 2026 MINI NEXT'!$B21,'UC MINI 2026'!$K$10:$K$61)</f>
        <v>5</v>
      </c>
      <c r="V21" s="297">
        <f t="shared" si="59"/>
        <v>1.25</v>
      </c>
      <c r="W21" s="86">
        <f>IFERROR(VLOOKUP(B21,[2]BPS!$S$10:$AF$64,5,0),0)-IF(B21=100873,IFERROR(VLOOKUP("MARZO",[2]BPS!$S$74:$T$89,2,0),0),0)</f>
        <v>3</v>
      </c>
      <c r="X21" s="297">
        <f t="shared" si="7"/>
        <v>0.6</v>
      </c>
      <c r="Y21" s="86">
        <f>IFERROR(VLOOKUP(B21,'[2]RETAIL ORIGEN RMKT'!$S$11:$AF$62,5,0),0)</f>
        <v>0</v>
      </c>
      <c r="Z21" s="150">
        <f t="shared" si="60"/>
        <v>0</v>
      </c>
      <c r="AA21" s="148">
        <f>SUMIF('UC MINI 2026'!$B$5:$B$61,'UC MINI 2026 MINI NEXT'!$B21,'UC MINI 2026'!$L$5:$L$61)</f>
        <v>4</v>
      </c>
      <c r="AB21" s="86">
        <f>SUMIF('UC MINI 2026'!$B$5:$B$61,'UC MINI 2026 MINI NEXT'!$B21,'UC MINI 2026'!$M$5:$M$61)</f>
        <v>3</v>
      </c>
      <c r="AC21" s="297">
        <f t="shared" si="61"/>
        <v>0.75</v>
      </c>
      <c r="AD21" s="86">
        <f>IFERROR(VLOOKUP(B21,[2]BPS!$S$10:$AF$64,6,0),0)-IF(B21=100873,IFERROR(VLOOKUP("ABRIL",[2]BPS!$S$74:$T$89,2,0),0),0)</f>
        <v>3</v>
      </c>
      <c r="AE21" s="285">
        <f t="shared" si="10"/>
        <v>1</v>
      </c>
      <c r="AF21" s="86">
        <f>IFERROR(VLOOKUP(B21,'[2]RETAIL ORIGEN RMKT'!$S$11:$AF$62,6,0),0)</f>
        <v>1</v>
      </c>
      <c r="AG21" s="150">
        <f t="shared" si="62"/>
        <v>0.25</v>
      </c>
      <c r="AH21" s="148">
        <f>SUMIF('UC MINI 2026'!$B$5:$B$61,'UC MINI 2026 MINI NEXT'!$B21,'UC MINI 2026'!$N$5:$N$61)</f>
        <v>4</v>
      </c>
      <c r="AI21" s="86">
        <f>SUMIF('UC MINI 2026'!$B$5:$B$61,'UC MINI 2026 MINI NEXT'!$B21,'UC MINI 2026'!$O$5:$O$61)</f>
        <v>3</v>
      </c>
      <c r="AJ21" s="297">
        <f t="shared" si="63"/>
        <v>0.75</v>
      </c>
      <c r="AK21" s="86">
        <f>IFERROR(VLOOKUP(B21,[2]BPS!$S$10:$AF$64,7,0),0)-IF(B21=100873,IFERROR(VLOOKUP("MAYO",[2]BPS!$S$74:$T$89,2,0),0),0)</f>
        <v>2</v>
      </c>
      <c r="AL21" s="285">
        <f t="shared" si="13"/>
        <v>0.66666666666666663</v>
      </c>
      <c r="AM21" s="86">
        <f>IFERROR(VLOOKUP(B21,'[2]RETAIL ORIGEN RMKT'!$S$11:$AF$62,7,0),0)</f>
        <v>0</v>
      </c>
      <c r="AN21" s="150">
        <f t="shared" si="64"/>
        <v>0</v>
      </c>
      <c r="AO21" s="148">
        <f>SUMIF('UC MINI 2026'!$B$5:$B$61,'UC MINI 2026 MINI NEXT'!$B21,'UC MINI 2026'!$P$5:$P$61)</f>
        <v>4</v>
      </c>
      <c r="AP21" s="86">
        <f>SUMIF('UC MINI 2026'!$B$5:$B$61,'UC MINI 2026 MINI NEXT'!$B21,'UC MINI 2026'!$Q$5:$Q$61)</f>
        <v>6</v>
      </c>
      <c r="AQ21" s="297">
        <f t="shared" si="65"/>
        <v>1.5</v>
      </c>
      <c r="AR21" s="86">
        <f>IFERROR(VLOOKUP(B21,[2]BPS!$S$10:$AF$64,8,0),0)-IF(B21=100873,IFERROR(VLOOKUP("JUNIO",[2]BPS!$S$74:$T$89,2,0),0),0)</f>
        <v>4</v>
      </c>
      <c r="AS21" s="285">
        <f t="shared" si="16"/>
        <v>0.66666666666666663</v>
      </c>
      <c r="AT21" s="86">
        <f>IFERROR(VLOOKUP(B21,'[2]RETAIL ORIGEN RMKT'!$S$11:$AF$62,8,0),0)</f>
        <v>1</v>
      </c>
      <c r="AU21" s="150">
        <f t="shared" si="66"/>
        <v>0.25</v>
      </c>
      <c r="AV21" s="148">
        <f>SUMIF('UC MINI 2026'!$B$5:$B$61,'UC MINI 2026 MINI NEXT'!$B21,'UC MINI 2026'!$R$5:$R$61)</f>
        <v>0</v>
      </c>
      <c r="AW21" s="86">
        <f>SUMIF('UC MINI 2026'!$B$5:$B$61,'UC MINI 2026 MINI NEXT'!$B21,'UC MINI 2026'!$S$5:$S$61)</f>
        <v>0</v>
      </c>
      <c r="AX21" s="297">
        <f t="shared" si="67"/>
        <v>0</v>
      </c>
      <c r="AY21" s="86">
        <f>IFERROR(VLOOKUP(B21,[2]BPS!$S$10:$AF$64,9,0),0)-IF(B21=100873,IFERROR(VLOOKUP("JULIO",[2]BPS!$S$74:$T$89,2,0),0),0)</f>
        <v>0</v>
      </c>
      <c r="AZ21" s="285">
        <f t="shared" si="19"/>
        <v>0</v>
      </c>
      <c r="BA21" s="86">
        <f>IFERROR(VLOOKUP(I21,'[2]RETAIL ORIGEN RMKT'!$S$11:$AF$62,9,0),0)</f>
        <v>0</v>
      </c>
      <c r="BB21" s="150">
        <f t="shared" si="68"/>
        <v>0</v>
      </c>
      <c r="BC21" s="148">
        <f>SUMIF('UC MINI 2026'!$B$5:$B$61,'UC MINI 2026 MINI NEXT'!$B21,'UC MINI 2026'!$T$5:$T$61)</f>
        <v>0</v>
      </c>
      <c r="BD21" s="86">
        <f>SUMIF('UC MINI 2026'!$B$5:$B$61,'UC MINI 2026 MINI NEXT'!$B21,'UC MINI 2026'!$U$5:$U$61)</f>
        <v>0</v>
      </c>
      <c r="BE21" s="297">
        <f t="shared" si="69"/>
        <v>0</v>
      </c>
      <c r="BF21" s="86">
        <f>IFERROR(VLOOKUP(B21,[2]BPS!$S$10:$AF$64,10,0),0)-IF(B21=100873,IFERROR(VLOOKUP("AGOSTO",[2]BPS!$S$74:$T$89,2,0),0),0)</f>
        <v>0</v>
      </c>
      <c r="BG21" s="285">
        <f t="shared" si="22"/>
        <v>0</v>
      </c>
      <c r="BH21" s="86">
        <f>IFERROR(VLOOKUP(P21,'[2]RETAIL ORIGEN RMKT'!$S$11:$AF$62,10,0),0)</f>
        <v>0</v>
      </c>
      <c r="BI21" s="150">
        <f t="shared" si="70"/>
        <v>0</v>
      </c>
      <c r="BJ21" s="148">
        <f>SUMIF('UC MINI 2026'!$B$5:$B$61,'UC MINI 2026 MINI NEXT'!$B21,'UC MINI 2026'!$V$5:$V$61)</f>
        <v>0</v>
      </c>
      <c r="BK21" s="86">
        <f>SUMIF('UC MINI 2026'!$B$5:$B$61,'UC MINI 2026 MINI NEXT'!$B21,'UC MINI 2026'!$W$5:$W$61)</f>
        <v>0</v>
      </c>
      <c r="BL21" s="297">
        <f t="shared" si="71"/>
        <v>0</v>
      </c>
      <c r="BM21" s="86">
        <f>IFERROR(VLOOKUP(B21,[2]BPS!$S$10:$AF$64,11,0),0)-IF(B21=100873,IFERROR(VLOOKUP("SEPTIEMBRE",[2]BPS!$S$74:$T$89,2,0),0),0)</f>
        <v>0</v>
      </c>
      <c r="BN21" s="285">
        <f t="shared" si="25"/>
        <v>0</v>
      </c>
      <c r="BO21" s="86">
        <f>IFERROR(VLOOKUP(W21,'[2]RETAIL ORIGEN RMKT'!$S$11:$AF$62,11,0),0)</f>
        <v>0</v>
      </c>
      <c r="BP21" s="150">
        <f t="shared" si="72"/>
        <v>0</v>
      </c>
      <c r="BQ21" s="148">
        <f>SUMIF('UC MINI 2026'!$B$5:$B$61,'UC MINI 2026 MINI NEXT'!$B21,'UC MINI 2026'!$V$5:$V$61)</f>
        <v>0</v>
      </c>
      <c r="BR21" s="86">
        <f>SUMIF('UC MINI 2026'!$B$5:$B$61,'UC MINI 2026 MINI NEXT'!$B21,'UC MINI 2026'!$Y$5:$Y$61)</f>
        <v>0</v>
      </c>
      <c r="BS21" s="297">
        <f t="shared" si="73"/>
        <v>0</v>
      </c>
      <c r="BT21" s="86">
        <f>IFERROR(VLOOKUP(B21,[2]BPS!$S$10:$AF$64,12,0),0)-IF(B21=100873,IFERROR(VLOOKUP("OCTUBRE",[2]BPS!$S$74:$T$89,2,0),0),0)</f>
        <v>0</v>
      </c>
      <c r="BU21" s="285">
        <f t="shared" si="28"/>
        <v>0</v>
      </c>
      <c r="BV21" s="86">
        <f>IFERROR(VLOOKUP(AD21,'[2]RETAIL ORIGEN RMKT'!$S$11:$AF$62,12,0),0)</f>
        <v>0</v>
      </c>
      <c r="BW21" s="150">
        <f t="shared" si="74"/>
        <v>0</v>
      </c>
      <c r="BX21" s="148">
        <f>SUMIF('UC MINI 2026'!$B$5:$B$61,'UC MINI 2026 MINI NEXT'!$B21,'UC MINI 2026'!$V$5:$V$61)</f>
        <v>0</v>
      </c>
      <c r="BY21" s="86">
        <f>SUMIF('UC MINI 2026'!$B$5:$B$61,'UC MINI 2026 MINI NEXT'!$B21,'UC MINI 2026'!$AA$5:$AA$61)</f>
        <v>0</v>
      </c>
      <c r="BZ21" s="297">
        <f t="shared" si="75"/>
        <v>0</v>
      </c>
      <c r="CA21" s="86">
        <f>IFERROR(VLOOKUP(B21,[2]BPS!$S$10:$AF$64,13,0),0)-IF(B21=100873,IFERROR(VLOOKUP("NOVIEMBRE",[2]BPS!$S$74:$T$89,2,0),0),0)</f>
        <v>0</v>
      </c>
      <c r="CB21" s="285">
        <f t="shared" si="31"/>
        <v>0</v>
      </c>
      <c r="CC21" s="86">
        <f>IFERROR(VLOOKUP(AK21,'[2]RETAIL ORIGEN RMKT'!$S$11:$AF$62,13,0),0)</f>
        <v>0</v>
      </c>
      <c r="CD21" s="150">
        <f t="shared" si="76"/>
        <v>0</v>
      </c>
      <c r="CE21" s="148">
        <f>SUMIF('UC MINI 2026'!$B$5:$B$61,'UC MINI 2026 MINI NEXT'!$B21,'UC MINI 2026'!$V$5:$V$61)</f>
        <v>0</v>
      </c>
      <c r="CF21" s="86">
        <f>SUMIF('UC MINI 2026'!$B$5:$B$61,'UC MINI 2026 MINI NEXT'!$B21,'UC MINI 2026'!$AC$5:$AC$61)</f>
        <v>0</v>
      </c>
      <c r="CG21" s="297">
        <f t="shared" si="77"/>
        <v>0</v>
      </c>
      <c r="CH21" s="86">
        <f>IFERROR(VLOOKUP(B21,[2]BPS!$S$10:$AF$64,14,0),0)-IF(B21=100873,IFERROR(VLOOKUP("DICIEMBRE",[2]BPS!$S$74:$T$89,2,0),0),0)</f>
        <v>0</v>
      </c>
      <c r="CI21" s="285">
        <f t="shared" si="34"/>
        <v>0</v>
      </c>
      <c r="CJ21" s="86">
        <f>IFERROR(VLOOKUP(AR21,'[2]RETAIL ORIGEN RMKT'!$S$11:$AF$62,14,0),0)</f>
        <v>0</v>
      </c>
      <c r="CK21" s="150">
        <f t="shared" si="35"/>
        <v>0</v>
      </c>
      <c r="CL21" s="54">
        <f t="shared" si="51"/>
        <v>23</v>
      </c>
      <c r="CM21" s="86">
        <f t="shared" si="51"/>
        <v>19</v>
      </c>
      <c r="CN21" s="109">
        <f t="shared" si="37"/>
        <v>0.82608695652173914</v>
      </c>
      <c r="CO21" s="86">
        <f t="shared" si="78"/>
        <v>14</v>
      </c>
      <c r="CP21" s="297">
        <f t="shared" si="79"/>
        <v>0.73684210526315785</v>
      </c>
      <c r="CQ21" s="348">
        <f t="shared" si="80"/>
        <v>4</v>
      </c>
      <c r="CR21" s="149">
        <f t="shared" si="38"/>
        <v>0.17391304347826086</v>
      </c>
      <c r="CS21" s="54">
        <f t="shared" si="81"/>
        <v>23</v>
      </c>
      <c r="CT21" s="86">
        <f t="shared" si="82"/>
        <v>19</v>
      </c>
      <c r="CU21" s="109">
        <f t="shared" si="52"/>
        <v>0.82608695652173914</v>
      </c>
      <c r="CV21" s="86">
        <f t="shared" si="83"/>
        <v>14</v>
      </c>
      <c r="CW21" s="297">
        <f t="shared" si="84"/>
        <v>0.73684210526315785</v>
      </c>
      <c r="CX21" s="348">
        <f t="shared" si="85"/>
        <v>4</v>
      </c>
      <c r="CY21" s="149">
        <f t="shared" si="39"/>
        <v>0.17391304347826086</v>
      </c>
      <c r="CZ21" s="54">
        <f t="shared" si="53"/>
        <v>11</v>
      </c>
      <c r="DA21" s="86">
        <f t="shared" si="53"/>
        <v>7</v>
      </c>
      <c r="DB21" s="109">
        <f t="shared" si="41"/>
        <v>0.63636363636363635</v>
      </c>
      <c r="DC21" s="86">
        <f t="shared" si="86"/>
        <v>5</v>
      </c>
      <c r="DD21" s="297">
        <f t="shared" si="87"/>
        <v>0.7142857142857143</v>
      </c>
      <c r="DE21" s="348">
        <f t="shared" si="88"/>
        <v>2</v>
      </c>
      <c r="DF21" s="150">
        <f t="shared" si="42"/>
        <v>0.18181818181818182</v>
      </c>
      <c r="DG21" s="54">
        <f t="shared" si="89"/>
        <v>23</v>
      </c>
      <c r="DH21" s="86">
        <f t="shared" si="89"/>
        <v>19</v>
      </c>
      <c r="DI21" s="109">
        <f t="shared" si="44"/>
        <v>0.82608695652173914</v>
      </c>
      <c r="DJ21" s="86">
        <f t="shared" si="90"/>
        <v>14</v>
      </c>
      <c r="DK21" s="297">
        <f t="shared" si="45"/>
        <v>0.73684210526315785</v>
      </c>
      <c r="DL21" s="348">
        <f t="shared" si="91"/>
        <v>4</v>
      </c>
      <c r="DM21" s="150">
        <f t="shared" si="46"/>
        <v>0.17391304347826086</v>
      </c>
      <c r="DN21" s="54">
        <f>IF($DN$5="S 1",F21+M21+T21+AA21+AH21+AO21,
IF($DN$5="S 2",AV21+BC21+BJ21+BQ21+BX21+CE21,0))</f>
        <v>0</v>
      </c>
      <c r="DO21" s="79">
        <f t="shared" si="92"/>
        <v>0</v>
      </c>
      <c r="DP21" s="109">
        <f t="shared" si="48"/>
        <v>0</v>
      </c>
      <c r="DQ21" s="86">
        <f t="shared" si="93"/>
        <v>0</v>
      </c>
      <c r="DR21" s="297" t="str">
        <f t="shared" si="49"/>
        <v>N.D.</v>
      </c>
      <c r="DS21" s="348">
        <f t="shared" si="94"/>
        <v>0</v>
      </c>
      <c r="DT21" s="150">
        <f t="shared" si="50"/>
        <v>0</v>
      </c>
      <c r="DU21" s="53">
        <v>1</v>
      </c>
      <c r="DX21" s="53">
        <v>55</v>
      </c>
      <c r="DY21" s="53">
        <v>55</v>
      </c>
      <c r="DZ21" s="513">
        <v>1.290909090909091</v>
      </c>
      <c r="EB21" s="513">
        <v>1</v>
      </c>
      <c r="EC21" s="53">
        <v>17</v>
      </c>
      <c r="ED21" s="513">
        <v>0.34444444444444444</v>
      </c>
    </row>
    <row r="22" spans="1:134" s="53" customFormat="1" ht="16" customHeight="1" thickBot="1" x14ac:dyDescent="0.35">
      <c r="A22" s="53">
        <f>_xlfn.XLOOKUP(B22,'UC MINI 2026'!$B$5:$B$61,'UC MINI 2026'!$A$5:$A$61)</f>
        <v>3</v>
      </c>
      <c r="B22" s="179">
        <v>100764</v>
      </c>
      <c r="C22" s="381" t="s">
        <v>26</v>
      </c>
      <c r="D22" s="146"/>
      <c r="E22" s="309" t="s">
        <v>277</v>
      </c>
      <c r="F22" s="54">
        <f>SUMIF('UC MINI 2026'!$B$5:$B$71,'UC MINI 2026 MINI NEXT'!$B22,'UC MINI 2026'!$F$5:$F$71)</f>
        <v>2</v>
      </c>
      <c r="G22" s="86">
        <f>SUMIF('UC MINI 2026'!$B$5:$B$71,'UC MINI 2026 MINI NEXT'!$B22,'UC MINI 2026'!$G$5:$G$71)</f>
        <v>1</v>
      </c>
      <c r="H22" s="298">
        <f>IFERROR(G22/F22,0)</f>
        <v>0.5</v>
      </c>
      <c r="I22" s="86">
        <f>IFERROR(VLOOKUP(B22,[2]BPS!$S$10:$AF$64,3,0),0)-IF(B22=100873,IFERROR(VLOOKUP("Enero",[2]BPS!$S$74:$T$89,2,0),0),0)</f>
        <v>1</v>
      </c>
      <c r="J22" s="298">
        <f>IFERROR(I22/G22,0)</f>
        <v>1</v>
      </c>
      <c r="K22" s="86">
        <f>IFERROR(VLOOKUP(B22,'[2]RETAIL ORIGEN RMKT'!$S$11:$AF$62,3,0),0)</f>
        <v>0</v>
      </c>
      <c r="L22" s="300">
        <f>IFERROR(K22/F22,0)</f>
        <v>0</v>
      </c>
      <c r="M22" s="79">
        <f>SUMIF('UC MINI 2026'!$B$5:$B$61,'UC MINI 2026 MINI NEXT'!$B22,'UC MINI 2026'!$H$5:$H$61)</f>
        <v>2</v>
      </c>
      <c r="N22" s="86">
        <f>SUMIF('UC MINI 2026'!$B$5:$B$61,'UC MINI 2026 MINI NEXT'!$B22,'UC MINI 2026'!$I$5:$I$61)</f>
        <v>1</v>
      </c>
      <c r="O22" s="298">
        <f t="shared" si="57"/>
        <v>0.5</v>
      </c>
      <c r="P22" s="86">
        <f>IFERROR(VLOOKUP(B22,[2]BPS!$S$10:$AF$64,4,0),0)-IF(B22=100873,IFERROR(VLOOKUP("FEBRERO",[2]BPS!$S$74:$T$89,2,0),0),0)</f>
        <v>1</v>
      </c>
      <c r="Q22" s="298">
        <f t="shared" si="4"/>
        <v>1</v>
      </c>
      <c r="R22" s="86">
        <f>IFERROR(VLOOKUP(B22,'[2]RETAIL ORIGEN RMKT'!$S$11:$AF$62,4,0),0)</f>
        <v>0</v>
      </c>
      <c r="S22" s="300">
        <f t="shared" si="58"/>
        <v>0</v>
      </c>
      <c r="T22" s="148">
        <f>SUMIF('UC MINI 2026'!$B$5:$B$71,'UC MINI 2026 MINI NEXT'!$B22,'UC MINI 2026'!$J$5:$J$71)</f>
        <v>2</v>
      </c>
      <c r="U22" s="86">
        <f>SUMIF('UC MINI 2026'!$B$10:$B$61,'UC MINI 2026 MINI NEXT'!$B22,'UC MINI 2026'!$K$10:$K$61)</f>
        <v>4</v>
      </c>
      <c r="V22" s="298">
        <f t="shared" si="59"/>
        <v>2</v>
      </c>
      <c r="W22" s="86">
        <f>IFERROR(VLOOKUP(B22,[2]BPS!$S$10:$AF$64,5,0),0)-IF(B22=100873,IFERROR(VLOOKUP("MARZO",[2]BPS!$S$74:$T$89,2,0),0),0)</f>
        <v>4</v>
      </c>
      <c r="X22" s="298">
        <f t="shared" si="7"/>
        <v>1</v>
      </c>
      <c r="Y22" s="86">
        <f>IFERROR(VLOOKUP(B22,'[2]RETAIL ORIGEN RMKT'!$S$11:$AF$62,5,0),0)</f>
        <v>0</v>
      </c>
      <c r="Z22" s="300">
        <f t="shared" si="60"/>
        <v>0</v>
      </c>
      <c r="AA22" s="148">
        <f>SUMIF('UC MINI 2026'!$B$5:$B$61,'UC MINI 2026 MINI NEXT'!$B22,'UC MINI 2026'!$L$5:$L$61)</f>
        <v>2</v>
      </c>
      <c r="AB22" s="86">
        <f>SUMIF('UC MINI 2026'!$B$5:$B$61,'UC MINI 2026 MINI NEXT'!$B22,'UC MINI 2026'!$M$5:$M$61)</f>
        <v>1</v>
      </c>
      <c r="AC22" s="298">
        <f t="shared" si="61"/>
        <v>0.5</v>
      </c>
      <c r="AD22" s="86">
        <f>IFERROR(VLOOKUP(B22,[2]BPS!$S$10:$AF$64,6,0),0)-IF(B22=100873,IFERROR(VLOOKUP("ABRIL",[2]BPS!$S$74:$T$89,2,0),0),0)</f>
        <v>1</v>
      </c>
      <c r="AE22" s="285">
        <f t="shared" si="10"/>
        <v>1</v>
      </c>
      <c r="AF22" s="86">
        <f>IFERROR(VLOOKUP(B22,'[2]RETAIL ORIGEN RMKT'!$S$11:$AF$62,6,0),0)</f>
        <v>1</v>
      </c>
      <c r="AG22" s="300">
        <f t="shared" si="62"/>
        <v>0.5</v>
      </c>
      <c r="AH22" s="148">
        <f>SUMIF('UC MINI 2026'!$B$5:$B$61,'UC MINI 2026 MINI NEXT'!$B22,'UC MINI 2026'!$N$5:$N$61)</f>
        <v>2</v>
      </c>
      <c r="AI22" s="86">
        <f>SUMIF('UC MINI 2026'!$B$5:$B$61,'UC MINI 2026 MINI NEXT'!$B22,'UC MINI 2026'!$O$5:$O$61)</f>
        <v>1</v>
      </c>
      <c r="AJ22" s="298">
        <f t="shared" si="63"/>
        <v>0.5</v>
      </c>
      <c r="AK22" s="86">
        <f>IFERROR(VLOOKUP(B22,[2]BPS!$S$10:$AF$64,7,0),0)-IF(B22=100873,IFERROR(VLOOKUP("MAYO",[2]BPS!$S$74:$T$89,2,0),0),0)</f>
        <v>1</v>
      </c>
      <c r="AL22" s="285">
        <f t="shared" si="13"/>
        <v>1</v>
      </c>
      <c r="AM22" s="86">
        <f>IFERROR(VLOOKUP(B22,'[2]RETAIL ORIGEN RMKT'!$S$11:$AF$62,7,0),0)</f>
        <v>0</v>
      </c>
      <c r="AN22" s="300">
        <f t="shared" si="64"/>
        <v>0</v>
      </c>
      <c r="AO22" s="148">
        <f>SUMIF('UC MINI 2026'!$B$5:$B$61,'UC MINI 2026 MINI NEXT'!$B22,'UC MINI 2026'!$P$5:$P$61)</f>
        <v>3</v>
      </c>
      <c r="AP22" s="86">
        <f>SUMIF('UC MINI 2026'!$B$5:$B$61,'UC MINI 2026 MINI NEXT'!$B22,'UC MINI 2026'!$Q$5:$Q$61)</f>
        <v>1</v>
      </c>
      <c r="AQ22" s="298">
        <f t="shared" si="65"/>
        <v>0.33333333333333331</v>
      </c>
      <c r="AR22" s="86">
        <f>IFERROR(VLOOKUP(B22,[2]BPS!$S$10:$AF$64,8,0),0)-IF(B22=100873,IFERROR(VLOOKUP("JUNIO",[2]BPS!$S$74:$T$89,2,0),0),0)</f>
        <v>1</v>
      </c>
      <c r="AS22" s="285">
        <f t="shared" si="16"/>
        <v>1</v>
      </c>
      <c r="AT22" s="86">
        <f>IFERROR(VLOOKUP(B22,'[2]RETAIL ORIGEN RMKT'!$S$11:$AF$62,8,0),0)</f>
        <v>0</v>
      </c>
      <c r="AU22" s="300">
        <f t="shared" si="66"/>
        <v>0</v>
      </c>
      <c r="AV22" s="148">
        <f>SUMIF('UC MINI 2026'!$B$5:$B$61,'UC MINI 2026 MINI NEXT'!$B22,'UC MINI 2026'!$R$5:$R$61)</f>
        <v>0</v>
      </c>
      <c r="AW22" s="86">
        <f>SUMIF('UC MINI 2026'!$B$5:$B$61,'UC MINI 2026 MINI NEXT'!$B22,'UC MINI 2026'!$S$5:$S$61)</f>
        <v>0</v>
      </c>
      <c r="AX22" s="298">
        <f t="shared" si="67"/>
        <v>0</v>
      </c>
      <c r="AY22" s="86">
        <f>IFERROR(VLOOKUP(B22,[2]BPS!$S$10:$AF$64,9,0),0)-IF(B22=100873,IFERROR(VLOOKUP("JULIO",[2]BPS!$S$74:$T$89,2,0),0),0)</f>
        <v>0</v>
      </c>
      <c r="AZ22" s="285">
        <f t="shared" si="19"/>
        <v>0</v>
      </c>
      <c r="BA22" s="86">
        <f>IFERROR(VLOOKUP(I22,'[2]RETAIL ORIGEN RMKT'!$S$11:$AF$62,9,0),0)</f>
        <v>0</v>
      </c>
      <c r="BB22" s="300">
        <f t="shared" si="68"/>
        <v>0</v>
      </c>
      <c r="BC22" s="148">
        <f>SUMIF('UC MINI 2026'!$B$5:$B$61,'UC MINI 2026 MINI NEXT'!$B22,'UC MINI 2026'!$T$5:$T$61)</f>
        <v>0</v>
      </c>
      <c r="BD22" s="86">
        <f>SUMIF('UC MINI 2026'!$B$5:$B$61,'UC MINI 2026 MINI NEXT'!$B22,'UC MINI 2026'!$U$5:$U$61)</f>
        <v>0</v>
      </c>
      <c r="BE22" s="298">
        <f t="shared" si="69"/>
        <v>0</v>
      </c>
      <c r="BF22" s="86">
        <f>IFERROR(VLOOKUP(B22,[2]BPS!$S$10:$AF$64,10,0),0)-IF(B22=100873,IFERROR(VLOOKUP("AGOSTO",[2]BPS!$S$74:$T$89,2,0),0),0)</f>
        <v>0</v>
      </c>
      <c r="BG22" s="285">
        <f t="shared" si="22"/>
        <v>0</v>
      </c>
      <c r="BH22" s="86">
        <f>IFERROR(VLOOKUP(P22,'[2]RETAIL ORIGEN RMKT'!$S$11:$AF$62,10,0),0)</f>
        <v>0</v>
      </c>
      <c r="BI22" s="300">
        <f t="shared" si="70"/>
        <v>0</v>
      </c>
      <c r="BJ22" s="148">
        <f>SUMIF('UC MINI 2026'!$B$5:$B$61,'UC MINI 2026 MINI NEXT'!$B22,'UC MINI 2026'!$V$5:$V$61)</f>
        <v>0</v>
      </c>
      <c r="BK22" s="86">
        <f>SUMIF('UC MINI 2026'!$B$5:$B$61,'UC MINI 2026 MINI NEXT'!$B22,'UC MINI 2026'!$W$5:$W$61)</f>
        <v>0</v>
      </c>
      <c r="BL22" s="298">
        <f t="shared" si="71"/>
        <v>0</v>
      </c>
      <c r="BM22" s="86">
        <f>IFERROR(VLOOKUP(B22,[2]BPS!$S$10:$AF$64,11,0),0)-IF(B22=100873,IFERROR(VLOOKUP("SEPTIEMBRE",[2]BPS!$S$74:$T$89,2,0),0),0)</f>
        <v>0</v>
      </c>
      <c r="BN22" s="285">
        <f t="shared" si="25"/>
        <v>0</v>
      </c>
      <c r="BO22" s="86">
        <f>IFERROR(VLOOKUP(W22,'[2]RETAIL ORIGEN RMKT'!$S$11:$AF$62,11,0),0)</f>
        <v>0</v>
      </c>
      <c r="BP22" s="300">
        <f t="shared" si="72"/>
        <v>0</v>
      </c>
      <c r="BQ22" s="148">
        <f>SUMIF('UC MINI 2026'!$B$5:$B$61,'UC MINI 2026 MINI NEXT'!$B22,'UC MINI 2026'!$V$5:$V$61)</f>
        <v>0</v>
      </c>
      <c r="BR22" s="86">
        <f>SUMIF('UC MINI 2026'!$B$5:$B$61,'UC MINI 2026 MINI NEXT'!$B22,'UC MINI 2026'!$Y$5:$Y$61)</f>
        <v>0</v>
      </c>
      <c r="BS22" s="298">
        <f t="shared" si="73"/>
        <v>0</v>
      </c>
      <c r="BT22" s="86">
        <f>IFERROR(VLOOKUP(B22,[2]BPS!$S$10:$AF$64,12,0),0)-IF(B22=100873,IFERROR(VLOOKUP("OCTUBRE",[2]BPS!$S$74:$T$89,2,0),0),0)</f>
        <v>0</v>
      </c>
      <c r="BU22" s="285">
        <f t="shared" si="28"/>
        <v>0</v>
      </c>
      <c r="BV22" s="86">
        <f>IFERROR(VLOOKUP(AD22,'[2]RETAIL ORIGEN RMKT'!$S$11:$AF$62,12,0),0)</f>
        <v>0</v>
      </c>
      <c r="BW22" s="300">
        <f t="shared" si="74"/>
        <v>0</v>
      </c>
      <c r="BX22" s="148">
        <f>SUMIF('UC MINI 2026'!$B$5:$B$61,'UC MINI 2026 MINI NEXT'!$B22,'UC MINI 2026'!$V$5:$V$61)</f>
        <v>0</v>
      </c>
      <c r="BY22" s="86">
        <f>SUMIF('UC MINI 2026'!$B$5:$B$61,'UC MINI 2026 MINI NEXT'!$B22,'UC MINI 2026'!$AA$5:$AA$61)</f>
        <v>0</v>
      </c>
      <c r="BZ22" s="298">
        <f t="shared" si="75"/>
        <v>0</v>
      </c>
      <c r="CA22" s="86">
        <f>IFERROR(VLOOKUP(B22,[2]BPS!$S$10:$AF$64,13,0),0)-IF(B22=100873,IFERROR(VLOOKUP("NOVIEMBRE",[2]BPS!$S$74:$T$89,2,0),0),0)</f>
        <v>0</v>
      </c>
      <c r="CB22" s="285">
        <f t="shared" si="31"/>
        <v>0</v>
      </c>
      <c r="CC22" s="86">
        <f>IFERROR(VLOOKUP(AK22,'[2]RETAIL ORIGEN RMKT'!$S$11:$AF$62,13,0),0)</f>
        <v>0</v>
      </c>
      <c r="CD22" s="300">
        <f t="shared" si="76"/>
        <v>0</v>
      </c>
      <c r="CE22" s="148">
        <f>SUMIF('UC MINI 2026'!$B$5:$B$61,'UC MINI 2026 MINI NEXT'!$B22,'UC MINI 2026'!$V$5:$V$61)</f>
        <v>0</v>
      </c>
      <c r="CF22" s="86">
        <f>SUMIF('UC MINI 2026'!$B$5:$B$61,'UC MINI 2026 MINI NEXT'!$B22,'UC MINI 2026'!$AC$5:$AC$61)</f>
        <v>0</v>
      </c>
      <c r="CG22" s="298">
        <f t="shared" si="77"/>
        <v>0</v>
      </c>
      <c r="CH22" s="86">
        <f>IFERROR(VLOOKUP(B22,[2]BPS!$S$10:$AF$64,14,0),0)-IF(B22=100873,IFERROR(VLOOKUP("DICIEMBRE",[2]BPS!$S$74:$T$89,2,0),0),0)</f>
        <v>0</v>
      </c>
      <c r="CI22" s="285">
        <f t="shared" si="34"/>
        <v>0</v>
      </c>
      <c r="CJ22" s="86">
        <f>IFERROR(VLOOKUP(AR22,'[2]RETAIL ORIGEN RMKT'!$S$11:$AF$62,14,0),0)</f>
        <v>0</v>
      </c>
      <c r="CK22" s="300">
        <f t="shared" si="35"/>
        <v>0</v>
      </c>
      <c r="CL22" s="58">
        <f>IF($CL$4="ENERO",F22,IF($CL$4="FEBRERO",F22+M22,IF($CL$4="MARZO",F22+M22+T22,IF($CL$4="ABRIL",F22+M22+T22+AA22,IF($CL$4="MAYO",F22+M22+T22+AA22+AH22,IF($CL$4="JUNIO",F22+M22+T22+AA22+AH22+AO22,IF($CL$4="JULIO",F22+M22+T22+AA22+AH22+AO22+AV22,IF($CL$4="AGOSTO",F22+M22+T22+AA22+AH22+AO22+AV22+BC22,IF($CL$4="SEPTIEMBRE",F22+M22+T22+AA22+AH22+AO22+AV22+BC22+BJ22,IF($CL$4="OCTUBRE",F22+M22+T22+AA22+AH22+AO22+AV22+BC22+BJ22+BQ22,IF($CL$4="NOVIEMBRE",F22+M22+T22+AA22+AH22+AO22+AV22+BC22+BJ22+BQ22+BX22,IF($CL$4="DICIEMBRE",F22+M22+T22+AA22+AH22+AO22+AV22+BC22+BJ22+BQ22+BX22+CE22,""))))))))))))</f>
        <v>13</v>
      </c>
      <c r="CM22" s="59">
        <f>IF($CL$4="ENERO",G22,IF($CL$4="FEBRERO",G22+N22,IF($CL$4="MARZO",G22+N22+U22,IF($CL$4="ABRIL",G22+N22+U22+AB22,IF($CL$4="MAYO",G22+N22+U22+AB22+AI22,IF($CL$4="JUNIO",G22+N22+U22+AB22+AI22+AP22,IF($CL$4="JULIO",G22+N22+U22+AB22+AI22+AP22+AW22,IF($CL$4="AGOSTO",G22+N22+U22+AB22+AI22+AP22+AW22+BD22,IF($CL$4="SEPTIEMBRE",G22+N22+U22+AB22+AI22+AP22+AW22+BD22+BK22,IF($CL$4="OCTUBRE",G22+N22+U22+AB22+AI22+AP22+AW22+BD22+BK22+BR22,IF($CL$4="NOVIEMBRE",G22+N22+U22+AB22+AI22+AP22+AW22+BD22+BK22+BR22+BY22,IF($CL$4="DICIEMBRE",G22+N22+U22+AB22+AI22+AP22+AW22+BD22+BK22+BR22+BY22+CF22,""))))))))))))</f>
        <v>9</v>
      </c>
      <c r="CN22" s="112">
        <f t="shared" si="37"/>
        <v>0.69230769230769229</v>
      </c>
      <c r="CO22" s="86">
        <f>IFERROR(IF($CL$4="ENERO",I22,IF($CL$4="FEBRERO",I22+P22,IF($CL$4="MARZO",I22+P22+W22,IF($CL$4="ABRIL",I22+P22+W22+AD22,IF($CL$4="MAYO",I22+P22+W22+AD22+AK22,IF($CL$4="JUNIO",I22+P22+W22+AD22+AK22+AR22,IF($CL$4="JULIO",I22+P22+W22+AD22+AK22+AR22+AY22,IF($CL$4="AGOSTO",I22+P22+W22+AD22+AK22+AR22+AY22+BF22,IF($CL$4="SEPTIEMBRE",I22+P22+W22+AD22+AK22+AR22+AY22+BF22+BM22,IF($CL$4="OCTUBRE",I22+P22+W22+AD22+AK22+AR22+AY22+BF22+BM22+BT22,IF($CL$4="NOVIEMBRE",I22+P22+W22+AD22+AK22+AR22+AY22+BF22+BM22+BT22+CA22,IF($CL$4="DICIEMBRE",I22+P22+W22+AD22+AK22+AR22+AY22+BF22+BM22+BT22+CA22+CH22,"")))))))))))),0)</f>
        <v>9</v>
      </c>
      <c r="CP22" s="297">
        <f>IFERROR(IF(CM22=0,"N.D.",CO22/CM22),0)</f>
        <v>1</v>
      </c>
      <c r="CQ22" s="348">
        <f>IFERROR(IF($CL$4="ENERO",K22,
IF($CL$4="FEBRERO",K22+R22,
IF($CL$4="MARZO",K22+R22+Y22,
IF($CL$4="ABRIL",K22+R22+Y22+AF22,
IF($CL$4="MAYO",K22+R22+Y22+AF22+AM22,
IF($CL$4="JUNIO",K22+R22+Y22+AF22+AM22+AT22,
IF($CL$4="JULIO",K22+R22+Y22+AF22+AM22+AT22+BA22,
IF($CL$4="AGOSTO",K22+R22+Y22+AF22+AM22+AT22+BA22+BH22,
IF($CL$4="SEPTIEMBRE",K22+R22+Y22+AF22+AM22+AT22+BA22+BH22+BO22,
IF($CL$4="OCTUBRE",K22+R22+Y22+AF22+AM22+AT22+BA22+BH22+BO22+BV22,
IF($CL$4="NOVIEMBRE",K22+R22+Y22+AF22+AM22+AT22+BA22+BH22+BO22+BV22+CC22,
IF($CL$4="DICIEMBRE",K22+R22+Y22+AF22+AM22+AT22+BA22+BH22+BO22+BV22+CC22+CJ22,"")))))))))))),0)</f>
        <v>1</v>
      </c>
      <c r="CR22" s="152">
        <f t="shared" si="38"/>
        <v>7.6923076923076927E-2</v>
      </c>
      <c r="CS22" s="58">
        <f>+F22+M22+T22+AA22+AH22+AO22++AV22+BC22+BJ22+BQ22+BX22+CE22</f>
        <v>13</v>
      </c>
      <c r="CT22" s="59">
        <f>SUMIFS($F22:$CI22,$F$6:$CI$6,CT$6,$F$2:$CI$2,$CL$4)</f>
        <v>9</v>
      </c>
      <c r="CU22" s="112">
        <f>IFERROR((CT22/CS22),0)</f>
        <v>0.69230769230769229</v>
      </c>
      <c r="CV22" s="68">
        <f>IFERROR(I22+P22+W22+AD22+AK22+AR22+AY22+BF22+BM22+BT22+CA22+CH22,0)</f>
        <v>9</v>
      </c>
      <c r="CW22" s="297">
        <f>IF(CT22=0,"N.D.",CV22/CT22)</f>
        <v>1</v>
      </c>
      <c r="CX22" s="350">
        <f>IFERROR(K22+R22+Y22+AF22+AM22+AT22+BA22+BH22+BO22+BV22+CC22+CJ22,0)</f>
        <v>1</v>
      </c>
      <c r="CY22" s="152">
        <f t="shared" si="39"/>
        <v>7.6923076923076927E-2</v>
      </c>
      <c r="CZ22" s="58">
        <f>IF($CZ$5="Q1",F22+M22+T22,
IF($CZ$5="Q2",AA22+AH22++AO22,
IF($CZ$5="Q3",AV22+BC22+BJ22,
IF($CZ$5="Q4",BQ22+BX22+CE22,0))))</f>
        <v>6</v>
      </c>
      <c r="DA22" s="59">
        <f>IF($CZ$5="Q1",G22+N22+U22,
IF($CZ$5="Q2",AB22+AI22++AP22,
IF($CZ$5="Q3",AW22+BD22+BK22,
IF($CZ$5="Q4",BR22+BY22+CF22,0))))</f>
        <v>6</v>
      </c>
      <c r="DB22" s="112">
        <f t="shared" si="41"/>
        <v>1</v>
      </c>
      <c r="DC22" s="68">
        <f>IFERROR(IF($CZ$5="Q1",I22+P22+W22,
IF($CZ$5="Q2",AD22+AK22++AR22,
IF($CZ$5="Q3",AY22+BF22+BM22,
IF($CZ$5="Q4",BT22+CA22+CH22,0)))),0)</f>
        <v>6</v>
      </c>
      <c r="DD22" s="297">
        <f>IF(DA22=0,"N.D.",DC22/DA22)</f>
        <v>1</v>
      </c>
      <c r="DE22" s="350">
        <f>IFERROR(IF($CZ$5="Q1",K22+R22+Y22,
IF($CZ$5="Q2",AF22+AM22+AT22,
IF($CZ$5="Q3",BA22+BH22+BO22,
IF($CZ$5="Q4",BV22+CC22+CJ22,0)))),0)</f>
        <v>0</v>
      </c>
      <c r="DF22" s="153">
        <f t="shared" si="42"/>
        <v>0</v>
      </c>
      <c r="DG22" s="58">
        <f>IF($DG$5="S 1",F22+M22+T22+AA22+AH22+AO22,
IF($DG$5="S 2",AV22+BC22+BJ22+BQ22+BX22+CE22,0))</f>
        <v>13</v>
      </c>
      <c r="DH22" s="59">
        <f>IF($DG$5="S 1",G22+N22+U22+AB22+AI22+AP22,
IF($DG$5="S 2",AW22+BD22+BK22+BR22+BY22+CF22,0))</f>
        <v>9</v>
      </c>
      <c r="DI22" s="112">
        <f t="shared" si="44"/>
        <v>0.69230769230769229</v>
      </c>
      <c r="DJ22" s="68">
        <f>IFERROR(IF($DG$5="S 1",I22+P22+W22+AD22+AK22++AR22,
IF($DG$5="S 2",AY22+BF22+BM22+BT22+CA22+CH22,0)),0)</f>
        <v>9</v>
      </c>
      <c r="DK22" s="297">
        <f t="shared" si="45"/>
        <v>1</v>
      </c>
      <c r="DL22" s="350">
        <f>IFERROR(IF($DG$5="S 1",K22+R22+Y22+AF22+AM22+AT22,
IF($DG$5="S 2",BA22+BH22+BO22+BV22+CC22+CJ22,0)),0)</f>
        <v>1</v>
      </c>
      <c r="DM22" s="153">
        <f t="shared" si="46"/>
        <v>7.6923076923076927E-2</v>
      </c>
      <c r="DN22" s="67">
        <f>IF($DN$5="S 1",F22+M22+T22+AA22+AH22+AO22,
IF($DN$5="S 2",AV22+BC22+BJ22+BQ22+BX22+CE22,0))</f>
        <v>0</v>
      </c>
      <c r="DO22" s="266">
        <f>IF($DN$5="S 1",G22+N22+U22+AB22+AI22+AP22,
IF($DN$5="S 2",AW22+BD22+BK22+BR22+BY22+CF22,0))</f>
        <v>0</v>
      </c>
      <c r="DP22" s="112">
        <f t="shared" si="48"/>
        <v>0</v>
      </c>
      <c r="DQ22" s="68">
        <f>IFERROR(IF($DN$5="S 1",I22+P22+W22+AD22+AK22++AR22,
IF($DN$5="S 2",AY22+BF22+BM22+BT22+CA22+CH22,0)),0)</f>
        <v>0</v>
      </c>
      <c r="DR22" s="297" t="str">
        <f t="shared" si="49"/>
        <v>N.D.</v>
      </c>
      <c r="DS22" s="350">
        <f>IFERROR(IF($DN$5="S 1",K22+R22+Y22+AF22+AM22+AT22,
IF($DN$5="S 2",BA22+BH22+BO22+BV22+CC22+CJ22,0)),0)</f>
        <v>0</v>
      </c>
      <c r="DT22" s="153">
        <f t="shared" si="50"/>
        <v>0</v>
      </c>
      <c r="DU22" s="53">
        <v>1</v>
      </c>
      <c r="DX22" s="53">
        <v>52</v>
      </c>
      <c r="DY22" s="53">
        <v>53</v>
      </c>
      <c r="DZ22" s="513">
        <v>1.2625</v>
      </c>
      <c r="EB22" s="513">
        <v>1</v>
      </c>
      <c r="EC22" s="53">
        <v>15</v>
      </c>
      <c r="ED22" s="513">
        <v>0.32727272727272727</v>
      </c>
    </row>
    <row r="23" spans="1:134" s="53" customFormat="1" ht="16" customHeight="1" thickBot="1" x14ac:dyDescent="0.35">
      <c r="A23" s="53">
        <f>_xlfn.XLOOKUP(B23,'UC MINI 2026'!$B$5:$B$61,'UC MINI 2026'!$A$5:$A$61)</f>
        <v>0</v>
      </c>
      <c r="B23" s="180" t="s">
        <v>273</v>
      </c>
      <c r="C23" s="62"/>
      <c r="D23" s="154"/>
      <c r="E23" s="80"/>
      <c r="F23" s="155">
        <f>SUM(F18:F22)</f>
        <v>11</v>
      </c>
      <c r="G23" s="155">
        <f>SUM(G18:G22)</f>
        <v>5</v>
      </c>
      <c r="H23" s="156">
        <f t="shared" si="54"/>
        <v>0.45454545454545453</v>
      </c>
      <c r="I23" s="155">
        <f>SUM(I18:I22)</f>
        <v>5</v>
      </c>
      <c r="J23" s="156">
        <f t="shared" si="55"/>
        <v>1</v>
      </c>
      <c r="K23" s="155">
        <f>SUM(K18:K22)</f>
        <v>3</v>
      </c>
      <c r="L23" s="301">
        <f t="shared" si="56"/>
        <v>0.27272727272727271</v>
      </c>
      <c r="M23" s="155">
        <f>SUM(M18:M22)</f>
        <v>12</v>
      </c>
      <c r="N23" s="155">
        <f>SUM(N18:N22)</f>
        <v>9</v>
      </c>
      <c r="O23" s="156">
        <f t="shared" si="57"/>
        <v>0.75</v>
      </c>
      <c r="P23" s="155">
        <f>SUM(P18:P22)</f>
        <v>9</v>
      </c>
      <c r="Q23" s="156">
        <f t="shared" si="4"/>
        <v>1</v>
      </c>
      <c r="R23" s="155">
        <f>SUM(R18:R22)</f>
        <v>3</v>
      </c>
      <c r="S23" s="301">
        <f t="shared" si="58"/>
        <v>0.25</v>
      </c>
      <c r="T23" s="155">
        <f>SUM(T18:T22)</f>
        <v>13</v>
      </c>
      <c r="U23" s="155">
        <f>SUM(U18:U22)</f>
        <v>12</v>
      </c>
      <c r="V23" s="156">
        <f t="shared" si="59"/>
        <v>0.92307692307692313</v>
      </c>
      <c r="W23" s="155">
        <f>SUM(W18:W22)</f>
        <v>10</v>
      </c>
      <c r="X23" s="156">
        <f t="shared" si="7"/>
        <v>0.83333333333333337</v>
      </c>
      <c r="Y23" s="155">
        <f>SUM(Y18:Y22)</f>
        <v>1</v>
      </c>
      <c r="Z23" s="301">
        <f t="shared" si="60"/>
        <v>7.6923076923076927E-2</v>
      </c>
      <c r="AA23" s="155">
        <f>SUM(AA18:AA22)</f>
        <v>12</v>
      </c>
      <c r="AB23" s="155">
        <f>SUM(AB18:AB22)</f>
        <v>12</v>
      </c>
      <c r="AC23" s="156">
        <f t="shared" si="61"/>
        <v>1</v>
      </c>
      <c r="AD23" s="155">
        <f>SUM(AD18:AD22)</f>
        <v>12</v>
      </c>
      <c r="AE23" s="156">
        <f t="shared" si="10"/>
        <v>1</v>
      </c>
      <c r="AF23" s="155">
        <f>SUM(AF18:AF22)</f>
        <v>2</v>
      </c>
      <c r="AG23" s="301">
        <f t="shared" si="62"/>
        <v>0.16666666666666666</v>
      </c>
      <c r="AH23" s="155">
        <f>SUM(AH18:AH22)</f>
        <v>13</v>
      </c>
      <c r="AI23" s="155">
        <f>SUM(AI18:AI22)</f>
        <v>8</v>
      </c>
      <c r="AJ23" s="156">
        <f t="shared" si="63"/>
        <v>0.61538461538461542</v>
      </c>
      <c r="AK23" s="155">
        <f>SUM(AK18:AK22)</f>
        <v>5</v>
      </c>
      <c r="AL23" s="156">
        <f t="shared" si="13"/>
        <v>0.625</v>
      </c>
      <c r="AM23" s="155">
        <f>SUM(AM18:AM22)</f>
        <v>0</v>
      </c>
      <c r="AN23" s="301">
        <f t="shared" si="64"/>
        <v>0</v>
      </c>
      <c r="AO23" s="155">
        <f>SUM(AO18:AO22)</f>
        <v>15</v>
      </c>
      <c r="AP23" s="155">
        <f>SUM(AP18:AP22)</f>
        <v>9</v>
      </c>
      <c r="AQ23" s="156">
        <f t="shared" si="65"/>
        <v>0.6</v>
      </c>
      <c r="AR23" s="155">
        <f>SUM(AR18:AR22)</f>
        <v>7</v>
      </c>
      <c r="AS23" s="156">
        <f t="shared" si="16"/>
        <v>0.77777777777777779</v>
      </c>
      <c r="AT23" s="155">
        <f>SUM(AT18:AT22)</f>
        <v>2</v>
      </c>
      <c r="AU23" s="301">
        <f t="shared" si="66"/>
        <v>0.13333333333333333</v>
      </c>
      <c r="AV23" s="155">
        <f>SUM(AV18:AV22)</f>
        <v>0</v>
      </c>
      <c r="AW23" s="155">
        <f>SUM(AW18:AW22)</f>
        <v>0</v>
      </c>
      <c r="AX23" s="156">
        <f t="shared" si="67"/>
        <v>0</v>
      </c>
      <c r="AY23" s="155">
        <f>SUM(AY18:AY22)</f>
        <v>0</v>
      </c>
      <c r="AZ23" s="156">
        <f t="shared" si="19"/>
        <v>0</v>
      </c>
      <c r="BA23" s="155">
        <f>SUM(BA18:BA22)</f>
        <v>0</v>
      </c>
      <c r="BB23" s="301">
        <f t="shared" si="68"/>
        <v>0</v>
      </c>
      <c r="BC23" s="155">
        <f>SUM(BC18:BC22)</f>
        <v>0</v>
      </c>
      <c r="BD23" s="155">
        <f>SUM(BD18:BD22)</f>
        <v>0</v>
      </c>
      <c r="BE23" s="156">
        <f t="shared" si="69"/>
        <v>0</v>
      </c>
      <c r="BF23" s="155">
        <f>SUM(BF18:BF22)</f>
        <v>0</v>
      </c>
      <c r="BG23" s="156">
        <f t="shared" si="22"/>
        <v>0</v>
      </c>
      <c r="BH23" s="155">
        <f>SUM(BH18:BH22)</f>
        <v>0</v>
      </c>
      <c r="BI23" s="301">
        <f t="shared" si="70"/>
        <v>0</v>
      </c>
      <c r="BJ23" s="155">
        <f>SUM(BJ18:BJ22)</f>
        <v>0</v>
      </c>
      <c r="BK23" s="155">
        <f>SUM(BK18:BK22)</f>
        <v>0</v>
      </c>
      <c r="BL23" s="156">
        <f t="shared" si="71"/>
        <v>0</v>
      </c>
      <c r="BM23" s="155">
        <f>SUM(BM18:BM22)</f>
        <v>0</v>
      </c>
      <c r="BN23" s="156">
        <f t="shared" si="25"/>
        <v>0</v>
      </c>
      <c r="BO23" s="155">
        <f>SUM(BO18:BO22)</f>
        <v>0</v>
      </c>
      <c r="BP23" s="301">
        <f t="shared" si="72"/>
        <v>0</v>
      </c>
      <c r="BQ23" s="155">
        <f>SUM(BQ18:BQ22)</f>
        <v>0</v>
      </c>
      <c r="BR23" s="155">
        <f>SUM(BR18:BR22)</f>
        <v>0</v>
      </c>
      <c r="BS23" s="156">
        <f t="shared" si="73"/>
        <v>0</v>
      </c>
      <c r="BT23" s="155">
        <f>SUM(BT18:BT22)</f>
        <v>0</v>
      </c>
      <c r="BU23" s="156">
        <f t="shared" si="28"/>
        <v>0</v>
      </c>
      <c r="BV23" s="155">
        <f>SUM(BV18:BV22)</f>
        <v>0</v>
      </c>
      <c r="BW23" s="301">
        <f t="shared" si="74"/>
        <v>0</v>
      </c>
      <c r="BX23" s="155">
        <f>SUM(BX18:BX22)</f>
        <v>0</v>
      </c>
      <c r="BY23" s="155">
        <f>SUM(BY18:BY22)</f>
        <v>0</v>
      </c>
      <c r="BZ23" s="156">
        <f t="shared" si="75"/>
        <v>0</v>
      </c>
      <c r="CA23" s="155">
        <f>SUM(CA18:CA22)</f>
        <v>0</v>
      </c>
      <c r="CB23" s="156">
        <f t="shared" si="31"/>
        <v>0</v>
      </c>
      <c r="CC23" s="155">
        <f>SUM(CC18:CC22)</f>
        <v>0</v>
      </c>
      <c r="CD23" s="301">
        <f t="shared" si="76"/>
        <v>0</v>
      </c>
      <c r="CE23" s="155">
        <f>SUM(CE18:CE22)</f>
        <v>0</v>
      </c>
      <c r="CF23" s="155">
        <f>SUM(CF18:CF22)</f>
        <v>0</v>
      </c>
      <c r="CG23" s="156">
        <f t="shared" si="77"/>
        <v>0</v>
      </c>
      <c r="CH23" s="155">
        <f>SUM(CH18:CH22)</f>
        <v>0</v>
      </c>
      <c r="CI23" s="156">
        <f t="shared" si="34"/>
        <v>0</v>
      </c>
      <c r="CJ23" s="155">
        <f>SUM(CJ18:CJ22)</f>
        <v>0</v>
      </c>
      <c r="CK23" s="301">
        <f t="shared" si="35"/>
        <v>0</v>
      </c>
      <c r="CL23" s="63">
        <f>SUM(CL18:CL22)</f>
        <v>76</v>
      </c>
      <c r="CM23" s="63">
        <f>SUM(CM18:CM22)</f>
        <v>55</v>
      </c>
      <c r="CN23" s="157">
        <f t="shared" si="37"/>
        <v>0.72368421052631582</v>
      </c>
      <c r="CO23" s="63">
        <f>SUM(CO18:CO22)</f>
        <v>48</v>
      </c>
      <c r="CP23" s="321">
        <f>IFERROR(CO23/CM23,0)</f>
        <v>0.87272727272727268</v>
      </c>
      <c r="CQ23" s="63">
        <f>SUM(CQ18:CQ22)</f>
        <v>11</v>
      </c>
      <c r="CR23" s="320">
        <f t="shared" si="38"/>
        <v>0.14473684210526316</v>
      </c>
      <c r="CS23" s="63">
        <f>SUM(CS18:CS22)</f>
        <v>76</v>
      </c>
      <c r="CT23" s="63">
        <f>SUM(CT18:CT22)</f>
        <v>55</v>
      </c>
      <c r="CU23" s="157">
        <f t="shared" si="52"/>
        <v>0.72368421052631582</v>
      </c>
      <c r="CV23" s="63">
        <f>SUM(CV18:CV22)</f>
        <v>48</v>
      </c>
      <c r="CW23" s="321">
        <f>IFERROR((CV23/CT23),0)</f>
        <v>0.87272727272727268</v>
      </c>
      <c r="CX23" s="349">
        <f>K23+R23+Y23+AF23+AM23+AT23+BA23+BH23+BO23+BV23+CC23+CJ23</f>
        <v>11</v>
      </c>
      <c r="CY23" s="320">
        <f t="shared" si="39"/>
        <v>0.14473684210526316</v>
      </c>
      <c r="CZ23" s="63">
        <f>SUM(CZ12:CZ22)</f>
        <v>497</v>
      </c>
      <c r="DA23" s="65">
        <f>SUM(DA12:DA22)</f>
        <v>477</v>
      </c>
      <c r="DB23" s="157">
        <f t="shared" si="41"/>
        <v>0.95975855130784704</v>
      </c>
      <c r="DC23" s="65">
        <f>SUM(DC12:DC22)</f>
        <v>426</v>
      </c>
      <c r="DD23" s="321">
        <f>IFERROR(DC23/DA23,0)</f>
        <v>0.89308176100628933</v>
      </c>
      <c r="DE23" s="349">
        <f>IF($CZ$5="Q1",K23+R23+Y23,
IF($CZ$5="Q2",AF23+AM23+AT23,
IF($CZ$5="Q3",BA23+BH23+BO23,
IF($CZ$5="Q4",BV23+CC23+CJ23,0))))</f>
        <v>7</v>
      </c>
      <c r="DF23" s="333">
        <f t="shared" si="42"/>
        <v>1.4084507042253521E-2</v>
      </c>
      <c r="DG23" s="63">
        <f t="shared" si="89"/>
        <v>76</v>
      </c>
      <c r="DH23" s="65">
        <f t="shared" si="89"/>
        <v>55</v>
      </c>
      <c r="DI23" s="157">
        <f t="shared" si="44"/>
        <v>0.72368421052631582</v>
      </c>
      <c r="DJ23" s="65">
        <f>IF($DG$5="S 1",I23+P23+W23+AD23+AK23++AR23,
IF($DG$5="S 2",AY23+BF23+BM23+BT23+CA23+CH23,0))</f>
        <v>48</v>
      </c>
      <c r="DK23" s="321">
        <f t="shared" si="45"/>
        <v>0.87272727272727268</v>
      </c>
      <c r="DL23" s="349">
        <f>IF($DG$5="S 1",K23+R23+Y23+AF23+AM23+AT23,
IF($DG$5="S 2",BA23+BH23+BO23+BV23+CC23+CJ23,0))</f>
        <v>11</v>
      </c>
      <c r="DM23" s="333">
        <f t="shared" si="46"/>
        <v>0.14473684210526316</v>
      </c>
      <c r="DN23" s="63">
        <f>IFERROR(SUM(DN12:DN22),0)</f>
        <v>0</v>
      </c>
      <c r="DO23" s="64">
        <f>IFERROR(SUM(DO12:DO22),0)</f>
        <v>0</v>
      </c>
      <c r="DP23" s="157">
        <f t="shared" si="48"/>
        <v>0</v>
      </c>
      <c r="DQ23" s="65">
        <f>IFERROR(SUM(DQ12:DQ22),0)</f>
        <v>0</v>
      </c>
      <c r="DR23" s="321" t="str">
        <f t="shared" si="49"/>
        <v>N.D.</v>
      </c>
      <c r="DS23" s="349">
        <f>IFERROR(SUM(DS12:DS22),0)</f>
        <v>0</v>
      </c>
      <c r="DT23" s="333">
        <f t="shared" si="50"/>
        <v>0</v>
      </c>
      <c r="DU23" s="53">
        <v>0</v>
      </c>
      <c r="DX23" s="53">
        <v>45</v>
      </c>
      <c r="DY23" s="53">
        <v>52</v>
      </c>
      <c r="DZ23" s="513">
        <v>1.2380952380952381</v>
      </c>
      <c r="EB23" s="513">
        <v>1</v>
      </c>
      <c r="EC23" s="53">
        <v>14</v>
      </c>
      <c r="ED23" s="513">
        <v>0.32692307692307693</v>
      </c>
    </row>
    <row r="24" spans="1:134" s="53" customFormat="1" ht="16" customHeight="1" x14ac:dyDescent="0.3">
      <c r="A24" s="53">
        <f>_xlfn.XLOOKUP(B24,'UC MINI 2026'!$B$5:$B$61,'UC MINI 2026'!$A$5:$A$61)</f>
        <v>4</v>
      </c>
      <c r="B24" s="179">
        <v>100120</v>
      </c>
      <c r="C24" s="381" t="s">
        <v>44</v>
      </c>
      <c r="D24" s="146"/>
      <c r="E24" s="379" t="s">
        <v>80</v>
      </c>
      <c r="F24" s="54">
        <f>SUMIF('UC MINI 2026'!$B$5:$B$71,'UC MINI 2026 MINI NEXT'!$B24,'UC MINI 2026'!$F$5:$F$71)</f>
        <v>0</v>
      </c>
      <c r="G24" s="86">
        <f>SUMIF('UC MINI 2026'!$B$5:$B$71,'UC MINI 2026 MINI NEXT'!$B24,'UC MINI 2026'!$G$5:$G$71)</f>
        <v>0</v>
      </c>
      <c r="H24" s="297">
        <f t="shared" ref="H24:H29" si="98">IFERROR(G24/F24,0)</f>
        <v>0</v>
      </c>
      <c r="I24" s="86">
        <f>IFERROR(VLOOKUP(B24,[2]BPS!$S$10:$AF$64,3,0),0)-IF(B24=100873,IFERROR(VLOOKUP("Enero",[2]BPS!$S$74:$T$89,2,0),0),0)</f>
        <v>0</v>
      </c>
      <c r="J24" s="297">
        <f t="shared" ref="J24:J31" si="99">IFERROR(I24/G24,0)</f>
        <v>0</v>
      </c>
      <c r="K24" s="86">
        <f>IFERROR(VLOOKUP(B24,'[2]RETAIL ORIGEN RMKT'!$S$11:$AF$62,3,0),0)</f>
        <v>0</v>
      </c>
      <c r="L24" s="150">
        <f t="shared" ref="L24:L31" si="100">IFERROR(K24/F24,0)</f>
        <v>0</v>
      </c>
      <c r="M24" s="79">
        <f>SUMIF('UC MINI 2026'!$B$5:$B$61,'UC MINI 2026 MINI NEXT'!$B24,'UC MINI 2026'!$H$5:$H$61)</f>
        <v>0</v>
      </c>
      <c r="N24" s="86">
        <f>SUMIF('UC MINI 2026'!$B$5:$B$61,'UC MINI 2026 MINI NEXT'!$B24,'UC MINI 2026'!$I$5:$I$61)</f>
        <v>0</v>
      </c>
      <c r="O24" s="297">
        <f t="shared" ref="O24:O29" si="101">IFERROR(N24/M24,0)</f>
        <v>0</v>
      </c>
      <c r="P24" s="86">
        <f>IFERROR(VLOOKUP(B24,[2]BPS!$S$10:$AF$64,4,0),0)-IF(B24=100873,IFERROR(VLOOKUP("FEBRERO",[2]BPS!$S$74:$T$89,2,0),0),0)</f>
        <v>0</v>
      </c>
      <c r="Q24" s="297">
        <f t="shared" ref="Q24:Q31" si="102">IFERROR(P24/N24,0)</f>
        <v>0</v>
      </c>
      <c r="R24" s="86">
        <f>IFERROR(VLOOKUP(B24,'[2]RETAIL ORIGEN RMKT'!$S$11:$AF$62,4,0),0)</f>
        <v>0</v>
      </c>
      <c r="S24" s="150">
        <f t="shared" ref="S24:S31" si="103">IFERROR(R24/M24,0)</f>
        <v>0</v>
      </c>
      <c r="T24" s="148">
        <f>SUMIF('UC MINI 2026'!$B$5:$B$71,'UC MINI 2026 MINI NEXT'!$B24,'UC MINI 2026'!$J$5:$J$71)</f>
        <v>0</v>
      </c>
      <c r="U24" s="86">
        <f>SUMIF('UC MINI 2026'!$B$10:$B$61,'UC MINI 2026 MINI NEXT'!$B24,'UC MINI 2026'!$K$10:$K$61)</f>
        <v>0</v>
      </c>
      <c r="V24" s="297">
        <f t="shared" ref="V24:V29" si="104">IFERROR(U24/T24,0)</f>
        <v>0</v>
      </c>
      <c r="W24" s="86">
        <f>IFERROR(VLOOKUP(B24,[2]BPS!$S$10:$AF$64,5,0),0)-IF(B24=100873,IFERROR(VLOOKUP("MARZO",[2]BPS!$S$74:$T$89,2,0),0),0)</f>
        <v>0</v>
      </c>
      <c r="X24" s="297">
        <f t="shared" ref="X24:X31" si="105">IFERROR(W24/U24,0)</f>
        <v>0</v>
      </c>
      <c r="Y24" s="86">
        <f>IFERROR(VLOOKUP(B24,'[2]RETAIL ORIGEN RMKT'!$S$11:$AF$62,5,0),0)</f>
        <v>0</v>
      </c>
      <c r="Z24" s="150">
        <f t="shared" ref="Z24:Z31" si="106">IFERROR(Y24/T24,0)</f>
        <v>0</v>
      </c>
      <c r="AA24" s="148">
        <f>SUMIF('UC MINI 2026'!$B$5:$B$61,'UC MINI 2026 MINI NEXT'!$B24,'UC MINI 2026'!$L$5:$L$61)</f>
        <v>0</v>
      </c>
      <c r="AB24" s="86">
        <f>SUMIF('UC MINI 2026'!$B$5:$B$61,'UC MINI 2026 MINI NEXT'!$B24,'UC MINI 2026'!$M$5:$M$61)</f>
        <v>1</v>
      </c>
      <c r="AC24" s="297">
        <f t="shared" ref="AC24:AC29" si="107">IFERROR(AB24/AA24,0)</f>
        <v>0</v>
      </c>
      <c r="AD24" s="86">
        <f>IFERROR(VLOOKUP(B24,[2]BPS!$S$10:$AF$64,6,0),0)-IF(B24=100873,IFERROR(VLOOKUP("ABRIL",[2]BPS!$S$74:$T$89,2,0),0),0)</f>
        <v>0</v>
      </c>
      <c r="AE24" s="285">
        <f t="shared" ref="AE24:AE31" si="108">IFERROR(AD24/AB24,0)</f>
        <v>0</v>
      </c>
      <c r="AF24" s="86">
        <f>IFERROR(VLOOKUP(B24,'[2]RETAIL ORIGEN RMKT'!$S$11:$AF$62,6,0),0)</f>
        <v>0</v>
      </c>
      <c r="AG24" s="150">
        <f t="shared" ref="AG24:AG31" si="109">IFERROR(AF24/AA24,0)</f>
        <v>0</v>
      </c>
      <c r="AH24" s="148">
        <f>SUMIF('UC MINI 2026'!$B$5:$B$61,'UC MINI 2026 MINI NEXT'!$B24,'UC MINI 2026'!$N$5:$N$61)</f>
        <v>0</v>
      </c>
      <c r="AI24" s="86">
        <f>SUMIF('UC MINI 2026'!$B$5:$B$61,'UC MINI 2026 MINI NEXT'!$B24,'UC MINI 2026'!$O$5:$O$61)</f>
        <v>0</v>
      </c>
      <c r="AJ24" s="297">
        <f t="shared" ref="AJ24:AJ29" si="110">IFERROR(AI24/AH24,0)</f>
        <v>0</v>
      </c>
      <c r="AK24" s="86">
        <f>IFERROR(VLOOKUP(B24,[2]BPS!$S$10:$AF$64,7,0),0)-IF(B24=100873,IFERROR(VLOOKUP("MAYO",[2]BPS!$S$74:$T$89,2,0),0),0)</f>
        <v>0</v>
      </c>
      <c r="AL24" s="285">
        <f t="shared" ref="AL24:AL31" si="111">IFERROR(AK24/AI24,0)</f>
        <v>0</v>
      </c>
      <c r="AM24" s="86">
        <f>IFERROR(VLOOKUP(B24,'[2]RETAIL ORIGEN RMKT'!$S$11:$AF$62,7,0),0)</f>
        <v>0</v>
      </c>
      <c r="AN24" s="150">
        <f t="shared" ref="AN24:AN31" si="112">IFERROR(AM24/AH24,0)</f>
        <v>0</v>
      </c>
      <c r="AO24" s="148">
        <f>SUMIF('UC MINI 2026'!$B$5:$B$61,'UC MINI 2026 MINI NEXT'!$B24,'UC MINI 2026'!$P$5:$P$61)</f>
        <v>0</v>
      </c>
      <c r="AP24" s="86">
        <f>SUMIF('UC MINI 2026'!$B$5:$B$61,'UC MINI 2026 MINI NEXT'!$B24,'UC MINI 2026'!$Q$5:$Q$61)</f>
        <v>0</v>
      </c>
      <c r="AQ24" s="297">
        <f t="shared" ref="AQ24:AQ29" si="113">IFERROR(AP24/AO24,0)</f>
        <v>0</v>
      </c>
      <c r="AR24" s="86">
        <f>IFERROR(VLOOKUP(B24,[2]BPS!$S$10:$AF$64,8,0),0)-IF(B24=100873,IFERROR(VLOOKUP("JUNIO",[2]BPS!$S$74:$T$89,2,0),0),0)</f>
        <v>0</v>
      </c>
      <c r="AS24" s="285">
        <f t="shared" ref="AS24:AS31" si="114">IFERROR(AR24/AP24,0)</f>
        <v>0</v>
      </c>
      <c r="AT24" s="86">
        <f>IFERROR(VLOOKUP(B24,'[2]RETAIL ORIGEN RMKT'!$S$11:$AF$62,8,0),0)</f>
        <v>0</v>
      </c>
      <c r="AU24" s="150">
        <f t="shared" ref="AU24:AU31" si="115">IFERROR(AT24/AO24,0)</f>
        <v>0</v>
      </c>
      <c r="AV24" s="148">
        <f>SUMIF('UC MINI 2026'!$B$5:$B$61,'UC MINI 2026 MINI NEXT'!$B24,'UC MINI 2026'!$R$5:$R$61)</f>
        <v>0</v>
      </c>
      <c r="AW24" s="86">
        <f>SUMIF('UC MINI 2026'!$B$5:$B$61,'UC MINI 2026 MINI NEXT'!$B24,'UC MINI 2026'!$S$5:$S$61)</f>
        <v>0</v>
      </c>
      <c r="AX24" s="297">
        <f t="shared" ref="AX24:AX29" si="116">IFERROR(AW24/AV24,0)</f>
        <v>0</v>
      </c>
      <c r="AY24" s="86">
        <f>IFERROR(VLOOKUP(B24,[2]BPS!$S$10:$AF$64,9,0),0)-IF(B24=100873,IFERROR(VLOOKUP("JULIO",[2]BPS!$S$74:$T$89,2,0),0),0)</f>
        <v>0</v>
      </c>
      <c r="AZ24" s="285">
        <f t="shared" ref="AZ24:AZ31" si="117">IFERROR(AY24/AW24,0)</f>
        <v>0</v>
      </c>
      <c r="BA24" s="86">
        <f>IFERROR(VLOOKUP(I24,'[2]RETAIL ORIGEN RMKT'!$S$11:$AF$62,9,0),0)</f>
        <v>0</v>
      </c>
      <c r="BB24" s="150">
        <f t="shared" ref="BB24:BB31" si="118">IFERROR(BA24/AV24,0)</f>
        <v>0</v>
      </c>
      <c r="BC24" s="148">
        <f>SUMIF('UC MINI 2026'!$B$5:$B$61,'UC MINI 2026 MINI NEXT'!$B24,'UC MINI 2026'!$T$5:$T$61)</f>
        <v>0</v>
      </c>
      <c r="BD24" s="86">
        <f>SUMIF('UC MINI 2026'!$B$5:$B$61,'UC MINI 2026 MINI NEXT'!$B24,'UC MINI 2026'!$U$5:$U$61)</f>
        <v>0</v>
      </c>
      <c r="BE24" s="297">
        <f t="shared" ref="BE24:BE29" si="119">IFERROR(BD24/BC24,0)</f>
        <v>0</v>
      </c>
      <c r="BF24" s="86">
        <f>IFERROR(VLOOKUP(B24,[2]BPS!$S$10:$AF$64,10,0),0)-IF(B24=100873,IFERROR(VLOOKUP("AGOSTO",[2]BPS!$S$74:$T$89,2,0),0),0)</f>
        <v>0</v>
      </c>
      <c r="BG24" s="285">
        <f t="shared" ref="BG24:BG31" si="120">IFERROR(BF24/BD24,0)</f>
        <v>0</v>
      </c>
      <c r="BH24" s="86">
        <f>IFERROR(VLOOKUP(P24,'[2]RETAIL ORIGEN RMKT'!$S$11:$AF$62,10,0),0)</f>
        <v>0</v>
      </c>
      <c r="BI24" s="150">
        <f t="shared" ref="BI24:BI31" si="121">IFERROR(BH24/BC24,0)</f>
        <v>0</v>
      </c>
      <c r="BJ24" s="148">
        <f>SUMIF('UC MINI 2026'!$B$5:$B$61,'UC MINI 2026 MINI NEXT'!$B24,'UC MINI 2026'!$V$5:$V$61)</f>
        <v>0</v>
      </c>
      <c r="BK24" s="86">
        <f>SUMIF('UC MINI 2026'!$B$5:$B$61,'UC MINI 2026 MINI NEXT'!$B24,'UC MINI 2026'!$W$5:$W$61)</f>
        <v>0</v>
      </c>
      <c r="BL24" s="297">
        <f t="shared" ref="BL24:BL29" si="122">IFERROR(BK24/BJ24,0)</f>
        <v>0</v>
      </c>
      <c r="BM24" s="86">
        <f>IFERROR(VLOOKUP(B24,[2]BPS!$S$10:$AF$64,11,0),0)-IF(B24=100873,IFERROR(VLOOKUP("SEPTIEMBRE",[2]BPS!$S$74:$T$89,2,0),0),0)</f>
        <v>0</v>
      </c>
      <c r="BN24" s="285">
        <f t="shared" ref="BN24:BN31" si="123">IFERROR(BM24/BK24,0)</f>
        <v>0</v>
      </c>
      <c r="BO24" s="86">
        <f>IFERROR(VLOOKUP(W24,'[2]RETAIL ORIGEN RMKT'!$S$11:$AF$62,11,0),0)</f>
        <v>0</v>
      </c>
      <c r="BP24" s="150">
        <f t="shared" ref="BP24:BP31" si="124">IFERROR(BO24/BJ24,0)</f>
        <v>0</v>
      </c>
      <c r="BQ24" s="148">
        <f>SUMIF('UC MINI 2026'!$B$5:$B$61,'UC MINI 2026 MINI NEXT'!$B24,'UC MINI 2026'!$V$5:$V$61)</f>
        <v>0</v>
      </c>
      <c r="BR24" s="86">
        <f>SUMIF('UC MINI 2026'!$B$5:$B$61,'UC MINI 2026 MINI NEXT'!$B24,'UC MINI 2026'!$Y$5:$Y$61)</f>
        <v>0</v>
      </c>
      <c r="BS24" s="297">
        <f t="shared" ref="BS24:BS29" si="125">IFERROR(BR24/BQ24,0)</f>
        <v>0</v>
      </c>
      <c r="BT24" s="86">
        <f>IFERROR(VLOOKUP(B24,[2]BPS!$S$10:$AF$64,12,0),0)-IF(B24=100873,IFERROR(VLOOKUP("OCTUBRE",[2]BPS!$S$74:$T$89,2,0),0),0)</f>
        <v>0</v>
      </c>
      <c r="BU24" s="285">
        <f t="shared" ref="BU24:BU31" si="126">IFERROR(BT24/BR24,0)</f>
        <v>0</v>
      </c>
      <c r="BV24" s="86">
        <f>IFERROR(VLOOKUP(AD24,'[2]RETAIL ORIGEN RMKT'!$S$11:$AF$62,12,0),0)</f>
        <v>0</v>
      </c>
      <c r="BW24" s="150">
        <f t="shared" ref="BW24:BW31" si="127">IFERROR(BV24/BQ24,0)</f>
        <v>0</v>
      </c>
      <c r="BX24" s="148">
        <f>SUMIF('UC MINI 2026'!$B$5:$B$61,'UC MINI 2026 MINI NEXT'!$B24,'UC MINI 2026'!$V$5:$V$61)</f>
        <v>0</v>
      </c>
      <c r="BY24" s="86">
        <f>SUMIF('UC MINI 2026'!$B$5:$B$61,'UC MINI 2026 MINI NEXT'!$B24,'UC MINI 2026'!$AA$5:$AA$61)</f>
        <v>0</v>
      </c>
      <c r="BZ24" s="297">
        <f t="shared" ref="BZ24:BZ29" si="128">IFERROR(BY24/BX24,0)</f>
        <v>0</v>
      </c>
      <c r="CA24" s="86">
        <f>IFERROR(VLOOKUP(B24,[2]BPS!$S$10:$AF$64,13,0),0)-IF(B24=100873,IFERROR(VLOOKUP("NOVIEMBRE",[2]BPS!$S$74:$T$89,2,0),0),0)</f>
        <v>0</v>
      </c>
      <c r="CB24" s="285">
        <f t="shared" ref="CB24:CB31" si="129">IFERROR(CA24/BY24,0)</f>
        <v>0</v>
      </c>
      <c r="CC24" s="86">
        <f>IFERROR(VLOOKUP(AK24,'[2]RETAIL ORIGEN RMKT'!$S$11:$AF$62,13,0),0)</f>
        <v>0</v>
      </c>
      <c r="CD24" s="150">
        <f t="shared" ref="CD24:CD31" si="130">IFERROR(CC24/BX24,0)</f>
        <v>0</v>
      </c>
      <c r="CE24" s="148">
        <f>SUMIF('UC MINI 2026'!$B$5:$B$61,'UC MINI 2026 MINI NEXT'!$B24,'UC MINI 2026'!$V$5:$V$61)</f>
        <v>0</v>
      </c>
      <c r="CF24" s="86">
        <f>SUMIF('UC MINI 2026'!$B$5:$B$61,'UC MINI 2026 MINI NEXT'!$B24,'UC MINI 2026'!$AC$5:$AC$61)</f>
        <v>0</v>
      </c>
      <c r="CG24" s="297">
        <f t="shared" ref="CG24:CG29" si="131">IFERROR(CF24/CE24,0)</f>
        <v>0</v>
      </c>
      <c r="CH24" s="86">
        <f>IFERROR(VLOOKUP(B24,[2]BPS!$S$10:$AF$64,14,0),0)-IF(B24=100873,IFERROR(VLOOKUP("DICIEMBRE",[2]BPS!$S$74:$T$89,2,0),0),0)</f>
        <v>0</v>
      </c>
      <c r="CI24" s="285">
        <f t="shared" ref="CI24:CI31" si="132">IFERROR(CH24/CF24,0)</f>
        <v>0</v>
      </c>
      <c r="CJ24" s="86">
        <f>IFERROR(VLOOKUP(AR24,'[2]RETAIL ORIGEN RMKT'!$S$11:$AF$62,14,0),0)</f>
        <v>0</v>
      </c>
      <c r="CK24" s="150">
        <f t="shared" ref="CK24:CK31" si="133">IFERROR(CJ24/CE24,0)</f>
        <v>0</v>
      </c>
      <c r="CL24" s="54">
        <f>IF($CL$4="ENERO",F24,IF($CL$4="FEBRERO",F24+M24,IF($CL$4="MARZO",F24+M24+T24,IF($CL$4="ABRIL",F24+M24+T24+AA24,IF($CL$4="MAYO",F24+M24+T24+AA24+AH24,IF($CL$4="JUNIO",F24+M24+T24+AA24+AH24+AO24,IF($CL$4="JULIO",F24+M24+T24+AA24+AH24+AO24+AV24,IF($CL$4="AGOSTO",F24+M24+T24+AA24+AH24+AO24+AV24+BC24,IF($CL$4="SEPTIEMBRE",F24+M24+T24+AA24+AH24+AO24+AV24+BC24+BJ24,IF($CL$4="OCTUBRE",F24+M24+T24+AA24+AH24+AO24+AV24+BC24+BJ24+BQ24,IF($CL$4="NOVIEMBRE",F24+M24+T24+AA24+AH24+AO24+AV24+BC24+BJ24+BQ24+BX24,IF($CL$4="DICIEMBRE",F24+M24+T24+AA24+AH24+AO24+AV24+BC24+BJ24+BQ24+BX24+CE24,""))))))))))))</f>
        <v>0</v>
      </c>
      <c r="CM24" s="86">
        <f>IF($CL$4="ENERO",G24,IF($CL$4="FEBRERO",G24+N24,IF($CL$4="MARZO",G24+N24+U24,IF($CL$4="ABRIL",G24+N24+U24+AB24,IF($CL$4="MAYO",G24+N24+U24+AB24+AI24,IF($CL$4="JUNIO",G24+N24+U24+AB24+AI24+AP24,IF($CL$4="JULIO",G24+N24+U24+AB24+AI24+AP24+AW24,IF($CL$4="AGOSTO",G24+N24+U24+AB24+AI24+AP24+AW24+BD24,IF($CL$4="SEPTIEMBRE",G24+N24+U24+AB24+AI24+AP24+AW24+BD24+BK24,IF($CL$4="OCTUBRE",G24+N24+U24+AB24+AI24+AP24+AW24+BD24+BK24+BR24,IF($CL$4="NOVIEMBRE",G24+N24+U24+AB24+AI24+AP24+AW24+BD24+BK24+BR24+BY24,IF($CL$4="DICIEMBRE",G24+N24+U24+AB24+AI24+AP24+AW24+BD24+BK24+BR24+BY24+CF24,""))))))))))))</f>
        <v>1</v>
      </c>
      <c r="CN24" s="109">
        <f t="shared" ref="CN24:CN29" si="134">IFERROR((CM24/CL24),0)</f>
        <v>0</v>
      </c>
      <c r="CO24" s="86">
        <f t="shared" ref="CO24:CO29" si="135">IFERROR(IF($CL$4="ENERO",I24,IF($CL$4="FEBRERO",I24+P24,IF($CL$4="MARZO",I24+P24+W24,IF($CL$4="ABRIL",I24+P24+W24+AD24,IF($CL$4="MAYO",I24+P24+W24+AD24+AK24,IF($CL$4="JUNIO",I24+P24+W24+AD24+AK24+AR24,IF($CL$4="JULIO",I24+P24+W24+AD24+AK24+AR24+AY24,IF($CL$4="AGOSTO",I24+P24+W24+AD24+AK24+AR24+AY24+BF24,IF($CL$4="SEPTIEMBRE",I24+P24+W24+AD24+AK24+AR24+AY24+BF24+BM24,IF($CL$4="OCTUBRE",I24+P24+W24+AD24+AK24+AR24+AY24+BF24+BM24+BT24,IF($CL$4="NOVIEMBRE",I24+P24+W24+AD24+AK24+AR24+AY24+BF24+BM24+BT24+CA24,IF($CL$4="DICIEMBRE",I24+P24+W24+AD24+AK24+AR24+AY24+BF24+BM24+BT24+CA24+CH24,"")))))))))))),0)</f>
        <v>0</v>
      </c>
      <c r="CP24" s="297">
        <f t="shared" ref="CP24:CP29" si="136">IFERROR(IF(CM24=0,"N.D.",CO24/CM24),0)</f>
        <v>0</v>
      </c>
      <c r="CQ24" s="348">
        <f t="shared" ref="CQ24:CQ29" si="137">IFERROR(IF($CL$4="ENERO",K24,
IF($CL$4="FEBRERO",K24+R24,
IF($CL$4="MARZO",K24+R24+Y24,
IF($CL$4="ABRIL",K24+R24+Y24+AF24,
IF($CL$4="MAYO",K24+R24+Y24+AF24+AM24,
IF($CL$4="JUNIO",K24+R24+Y24+AF24+AM24+AT24,
IF($CL$4="JULIO",K24+R24+Y24+AF24+AM24+AT24+BA24,
IF($CL$4="AGOSTO",K24+R24+Y24+AF24+AM24+AT24+BA24+BH24,
IF($CL$4="SEPTIEMBRE",K24+R24+Y24+AF24+AM24+AT24+BA24+BH24+BO24,
IF($CL$4="OCTUBRE",K24+R24+Y24+AF24+AM24+AT24+BA24+BH24+BO24+BV24,
IF($CL$4="NOVIEMBRE",K24+R24+Y24+AF24+AM24+AT24+BA24+BH24+BO24+BV24+CC24,
IF($CL$4="DICIEMBRE",K24+R24+Y24+AF24+AM24+AT24+BA24+BH24+BO24+BV24+CC24+CJ24,"")))))))))))),0)</f>
        <v>0</v>
      </c>
      <c r="CR24" s="149">
        <f t="shared" ref="CR24:CR29" si="138">IFERROR(CQ24/CL24,0)</f>
        <v>0</v>
      </c>
      <c r="CS24" s="54">
        <f t="shared" ref="CS24:CS29" si="139">+F24+M24+T24+AA24+AH24+AO24++AV24+BC24+BJ24+BQ24+BX24+CE24</f>
        <v>0</v>
      </c>
      <c r="CT24" s="86">
        <f t="shared" ref="CT24:CT29" si="140">SUMIFS($F24:$CI24,$F$6:$CI$6,CT$6,$F$2:$CI$2,$CL$4)</f>
        <v>1</v>
      </c>
      <c r="CU24" s="109">
        <f t="shared" ref="CU24:CU29" si="141">IFERROR((CT24/CS24),0)</f>
        <v>0</v>
      </c>
      <c r="CV24" s="68">
        <f t="shared" ref="CV24:CV29" si="142">IFERROR(I24+P24+W24+AD24+AK24+AR24+AY24+BF24+BM24+BT24+CA24+CH24,0)</f>
        <v>0</v>
      </c>
      <c r="CW24" s="297">
        <f t="shared" ref="CW24:CW29" si="143">IF(CT24=0,"N.D.",CV24/CT24)</f>
        <v>0</v>
      </c>
      <c r="CX24" s="350">
        <f t="shared" ref="CX24:CX29" si="144">IFERROR(K24+R24+Y24+AF24+AM24+AT24+BA24+BH24+BO24+BV24+CC24+CJ24,0)</f>
        <v>0</v>
      </c>
      <c r="CY24" s="149">
        <f t="shared" ref="CY24:CY29" si="145">IFERROR(CX24/CS24,0)</f>
        <v>0</v>
      </c>
      <c r="CZ24" s="54">
        <f>IF($CZ$5="Q1",F24+M24+T24,
IF($CZ$5="Q2",AA24+AH24++AO24,
IF($CZ$5="Q3",AV24+BC24+BJ24,
IF($CZ$5="Q4",BQ24+BX24+CE24,0))))</f>
        <v>0</v>
      </c>
      <c r="DA24" s="86">
        <f>IF($CZ$5="Q1",G24+N24+U24,
IF($CZ$5="Q2",AB24+AI24++AP24,
IF($CZ$5="Q3",AW24+BD24+BK24,
IF($CZ$5="Q4",BR24+BY24+CF24,0))))</f>
        <v>0</v>
      </c>
      <c r="DB24" s="109">
        <f t="shared" ref="DB24:DB29" si="146">IFERROR((DA24/CZ24),0)</f>
        <v>0</v>
      </c>
      <c r="DC24" s="68">
        <f t="shared" ref="DC24:DC29" si="147">IFERROR(IF($CZ$5="Q1",I24+P24+W24,
IF($CZ$5="Q2",AD24+AK24++AR24,
IF($CZ$5="Q3",AY24+BF24+BM24,
IF($CZ$5="Q4",BT24+CA24+CH24,0)))),0)</f>
        <v>0</v>
      </c>
      <c r="DD24" s="297" t="str">
        <f t="shared" ref="DD24:DD29" si="148">IF(DA24=0,"N.D.",DC24/DA24)</f>
        <v>N.D.</v>
      </c>
      <c r="DE24" s="350">
        <f t="shared" ref="DE24:DE29" si="149">IFERROR(IF($CZ$5="Q1",K24+R24+Y24,
IF($CZ$5="Q2",AF24+AM24+AT24,
IF($CZ$5="Q3",BA24+BH24+BO24,
IF($CZ$5="Q4",BV24+CC24+CJ24,0)))),0)</f>
        <v>0</v>
      </c>
      <c r="DF24" s="150">
        <f t="shared" ref="DF24:DF29" si="150">IFERROR((DE24/CZ24),0)</f>
        <v>0</v>
      </c>
      <c r="DG24" s="54">
        <f t="shared" si="89"/>
        <v>0</v>
      </c>
      <c r="DH24" s="86">
        <f t="shared" si="89"/>
        <v>1</v>
      </c>
      <c r="DI24" s="109">
        <f t="shared" ref="DI24:DI29" si="151">IFERROR((DH24/DG24),0)</f>
        <v>0</v>
      </c>
      <c r="DJ24" s="68">
        <f t="shared" ref="DJ24:DJ29" si="152">IFERROR(IF($DG$5="S 1",I24+P24+W24+AD24+AK24++AR24,
IF($DG$5="S 2",AY24+BF24+BM24+BT24+CA24+CH24,0)),0)</f>
        <v>0</v>
      </c>
      <c r="DK24" s="297">
        <f t="shared" ref="DK24:DK29" si="153">IF(DH24=0,"N.D.",DJ24/DH24)</f>
        <v>0</v>
      </c>
      <c r="DL24" s="350">
        <f t="shared" ref="DL24:DL29" si="154">IFERROR(IF($DG$5="S 1",K24+R24+Y24+AF24+AM24+AT24,
IF($DG$5="S 2",BA24+BH24+BO24+BV24+CC24+CJ24,0)),0)</f>
        <v>0</v>
      </c>
      <c r="DM24" s="150">
        <f t="shared" ref="DM24:DM29" si="155">IFERROR((DL24/DG24),0)</f>
        <v>0</v>
      </c>
      <c r="DN24" s="67">
        <f>IF($DN$5="S 1",F24+M24+T24+AA24+AH24+AO24,
IF($DN$5="S 2",AV24+BC24+BJ24+BQ24+BX24+CE24,0))</f>
        <v>0</v>
      </c>
      <c r="DO24" s="266">
        <f>IF($DN$5="S 1",G24+N24+U24+AB24+AI24+AP24,
IF($DN$5="S 2",AW24+BD24+BK24+BR24+BY24+CF24,0))</f>
        <v>0</v>
      </c>
      <c r="DP24" s="109">
        <f t="shared" ref="DP24:DP29" si="156">IFERROR((DO24/DN24),0)</f>
        <v>0</v>
      </c>
      <c r="DQ24" s="68">
        <f t="shared" ref="DQ24:DQ29" si="157">IFERROR(IF($DN$5="S 1",I24+P24+W24+AD24+AK24++AR24,
IF($DN$5="S 2",AY24+BF24+BM24+BT24+CA24+CH24,0)),0)</f>
        <v>0</v>
      </c>
      <c r="DR24" s="297" t="str">
        <f t="shared" ref="DR24:DR29" si="158">IF(DO24=0,"N.D.",DQ24/DO24)</f>
        <v>N.D.</v>
      </c>
      <c r="DS24" s="350">
        <f t="shared" ref="DS24:DS29" si="159">IFERROR(IF($DN$5="S 1",K24+R24+Y24+AF24+AM24+AT24,
IF($DN$5="S 2",BA24+BH24+BO24+BV24+CC24+CJ24,0)),0)</f>
        <v>0</v>
      </c>
      <c r="DT24" s="150">
        <f t="shared" ref="DT24:DT29" si="160">IFERROR((DS24/DN24),0)</f>
        <v>0</v>
      </c>
      <c r="DU24" s="53">
        <v>1</v>
      </c>
      <c r="DX24" s="53">
        <v>45</v>
      </c>
      <c r="DY24" s="53">
        <v>50</v>
      </c>
      <c r="DZ24" s="513">
        <v>1.2352941176470589</v>
      </c>
      <c r="EB24" s="513">
        <v>1</v>
      </c>
      <c r="EC24" s="53">
        <v>14</v>
      </c>
      <c r="ED24" s="513">
        <v>0.3</v>
      </c>
    </row>
    <row r="25" spans="1:134" s="53" customFormat="1" ht="16" customHeight="1" x14ac:dyDescent="0.3">
      <c r="A25" s="53">
        <f>_xlfn.XLOOKUP(B25,'UC MINI 2026'!$B$5:$B$61,'UC MINI 2026'!$A$5:$A$61)</f>
        <v>4</v>
      </c>
      <c r="B25" s="179">
        <v>100146</v>
      </c>
      <c r="C25" s="381" t="s">
        <v>18</v>
      </c>
      <c r="D25" s="146"/>
      <c r="E25" s="379" t="s">
        <v>81</v>
      </c>
      <c r="F25" s="54">
        <f>SUMIF('UC MINI 2026'!$B$5:$B$71,'UC MINI 2026 MINI NEXT'!$B25,'UC MINI 2026'!$F$5:$F$71)</f>
        <v>1</v>
      </c>
      <c r="G25" s="86">
        <f>SUMIF('UC MINI 2026'!$B$5:$B$71,'UC MINI 2026 MINI NEXT'!$B25,'UC MINI 2026'!$G$5:$G$71)</f>
        <v>0</v>
      </c>
      <c r="H25" s="297">
        <f t="shared" si="98"/>
        <v>0</v>
      </c>
      <c r="I25" s="86">
        <f>IFERROR(VLOOKUP(B25,[2]BPS!$S$10:$AF$64,3,0),0)-IF(B25=100873,IFERROR(VLOOKUP("Enero",[2]BPS!$S$74:$T$89,2,0),0),0)</f>
        <v>0</v>
      </c>
      <c r="J25" s="297">
        <f t="shared" si="99"/>
        <v>0</v>
      </c>
      <c r="K25" s="86">
        <f>IFERROR(VLOOKUP(B25,'[2]RETAIL ORIGEN RMKT'!$S$11:$AF$62,3,0),0)</f>
        <v>0</v>
      </c>
      <c r="L25" s="150">
        <f t="shared" si="100"/>
        <v>0</v>
      </c>
      <c r="M25" s="79">
        <f>SUMIF('UC MINI 2026'!$B$5:$B$61,'UC MINI 2026 MINI NEXT'!$B25,'UC MINI 2026'!$H$5:$H$61)</f>
        <v>1</v>
      </c>
      <c r="N25" s="86">
        <f>SUMIF('UC MINI 2026'!$B$5:$B$61,'UC MINI 2026 MINI NEXT'!$B25,'UC MINI 2026'!$I$5:$I$61)</f>
        <v>1</v>
      </c>
      <c r="O25" s="297">
        <f t="shared" si="101"/>
        <v>1</v>
      </c>
      <c r="P25" s="86">
        <f>IFERROR(VLOOKUP(B25,[2]BPS!$S$10:$AF$64,4,0),0)-IF(B25=100873,IFERROR(VLOOKUP("FEBRERO",[2]BPS!$S$74:$T$89,2,0),0),0)</f>
        <v>0</v>
      </c>
      <c r="Q25" s="297">
        <f t="shared" si="102"/>
        <v>0</v>
      </c>
      <c r="R25" s="86">
        <f>IFERROR(VLOOKUP(B25,'[2]RETAIL ORIGEN RMKT'!$S$11:$AF$62,4,0),0)</f>
        <v>0</v>
      </c>
      <c r="S25" s="150">
        <f t="shared" si="103"/>
        <v>0</v>
      </c>
      <c r="T25" s="148">
        <f>SUMIF('UC MINI 2026'!$B$5:$B$71,'UC MINI 2026 MINI NEXT'!$B25,'UC MINI 2026'!$J$5:$J$71)</f>
        <v>1</v>
      </c>
      <c r="U25" s="86">
        <f>SUMIF('UC MINI 2026'!$B$10:$B$61,'UC MINI 2026 MINI NEXT'!$B25,'UC MINI 2026'!$K$10:$K$61)</f>
        <v>0</v>
      </c>
      <c r="V25" s="297">
        <f t="shared" si="104"/>
        <v>0</v>
      </c>
      <c r="W25" s="86">
        <f>IFERROR(VLOOKUP(B25,[2]BPS!$S$10:$AF$64,5,0),0)-IF(B25=100873,IFERROR(VLOOKUP("MARZO",[2]BPS!$S$74:$T$89,2,0),0),0)</f>
        <v>0</v>
      </c>
      <c r="X25" s="297">
        <f t="shared" si="105"/>
        <v>0</v>
      </c>
      <c r="Y25" s="86">
        <f>IFERROR(VLOOKUP(B25,'[2]RETAIL ORIGEN RMKT'!$S$11:$AF$62,5,0),0)</f>
        <v>0</v>
      </c>
      <c r="Z25" s="150">
        <f t="shared" si="106"/>
        <v>0</v>
      </c>
      <c r="AA25" s="148">
        <f>SUMIF('UC MINI 2026'!$B$5:$B$61,'UC MINI 2026 MINI NEXT'!$B25,'UC MINI 2026'!$L$5:$L$61)</f>
        <v>1</v>
      </c>
      <c r="AB25" s="86">
        <f>SUMIF('UC MINI 2026'!$B$5:$B$61,'UC MINI 2026 MINI NEXT'!$B25,'UC MINI 2026'!$M$5:$M$61)</f>
        <v>1</v>
      </c>
      <c r="AC25" s="297">
        <f t="shared" si="107"/>
        <v>1</v>
      </c>
      <c r="AD25" s="86">
        <f>IFERROR(VLOOKUP(B25,[2]BPS!$S$10:$AF$64,6,0),0)-IF(B25=100873,IFERROR(VLOOKUP("ABRIL",[2]BPS!$S$74:$T$89,2,0),0),0)</f>
        <v>1</v>
      </c>
      <c r="AE25" s="285">
        <f t="shared" si="108"/>
        <v>1</v>
      </c>
      <c r="AF25" s="86">
        <f>IFERROR(VLOOKUP(B25,'[2]RETAIL ORIGEN RMKT'!$S$11:$AF$62,6,0),0)</f>
        <v>0</v>
      </c>
      <c r="AG25" s="150">
        <f t="shared" si="109"/>
        <v>0</v>
      </c>
      <c r="AH25" s="148">
        <f>SUMIF('UC MINI 2026'!$B$5:$B$61,'UC MINI 2026 MINI NEXT'!$B25,'UC MINI 2026'!$N$5:$N$61)</f>
        <v>1</v>
      </c>
      <c r="AI25" s="86">
        <f>SUMIF('UC MINI 2026'!$B$5:$B$61,'UC MINI 2026 MINI NEXT'!$B25,'UC MINI 2026'!$O$5:$O$61)</f>
        <v>0</v>
      </c>
      <c r="AJ25" s="297">
        <f t="shared" si="110"/>
        <v>0</v>
      </c>
      <c r="AK25" s="86">
        <f>IFERROR(VLOOKUP(B25,[2]BPS!$S$10:$AF$64,7,0),0)-IF(B25=100873,IFERROR(VLOOKUP("MAYO",[2]BPS!$S$74:$T$89,2,0),0),0)</f>
        <v>0</v>
      </c>
      <c r="AL25" s="285">
        <f t="shared" si="111"/>
        <v>0</v>
      </c>
      <c r="AM25" s="86">
        <f>IFERROR(VLOOKUP(B25,'[2]RETAIL ORIGEN RMKT'!$S$11:$AF$62,7,0),0)</f>
        <v>0</v>
      </c>
      <c r="AN25" s="150">
        <f t="shared" si="112"/>
        <v>0</v>
      </c>
      <c r="AO25" s="148">
        <f>SUMIF('UC MINI 2026'!$B$5:$B$61,'UC MINI 2026 MINI NEXT'!$B25,'UC MINI 2026'!$P$5:$P$61)</f>
        <v>2</v>
      </c>
      <c r="AP25" s="86">
        <f>SUMIF('UC MINI 2026'!$B$5:$B$61,'UC MINI 2026 MINI NEXT'!$B25,'UC MINI 2026'!$Q$5:$Q$61)</f>
        <v>0</v>
      </c>
      <c r="AQ25" s="297">
        <f t="shared" si="113"/>
        <v>0</v>
      </c>
      <c r="AR25" s="86">
        <f>IFERROR(VLOOKUP(B25,[2]BPS!$S$10:$AF$64,8,0),0)-IF(B25=100873,IFERROR(VLOOKUP("JUNIO",[2]BPS!$S$74:$T$89,2,0),0),0)</f>
        <v>0</v>
      </c>
      <c r="AS25" s="285">
        <f t="shared" si="114"/>
        <v>0</v>
      </c>
      <c r="AT25" s="86">
        <f>IFERROR(VLOOKUP(B25,'[2]RETAIL ORIGEN RMKT'!$S$11:$AF$62,8,0),0)</f>
        <v>0</v>
      </c>
      <c r="AU25" s="150">
        <f t="shared" si="115"/>
        <v>0</v>
      </c>
      <c r="AV25" s="148">
        <f>SUMIF('UC MINI 2026'!$B$5:$B$61,'UC MINI 2026 MINI NEXT'!$B25,'UC MINI 2026'!$R$5:$R$61)</f>
        <v>0</v>
      </c>
      <c r="AW25" s="86">
        <f>SUMIF('UC MINI 2026'!$B$5:$B$61,'UC MINI 2026 MINI NEXT'!$B25,'UC MINI 2026'!$S$5:$S$61)</f>
        <v>0</v>
      </c>
      <c r="AX25" s="297">
        <f t="shared" si="116"/>
        <v>0</v>
      </c>
      <c r="AY25" s="86">
        <f>IFERROR(VLOOKUP(B25,[2]BPS!$S$10:$AF$64,9,0),0)-IF(B25=100873,IFERROR(VLOOKUP("JULIO",[2]BPS!$S$74:$T$89,2,0),0),0)</f>
        <v>0</v>
      </c>
      <c r="AZ25" s="285">
        <f t="shared" si="117"/>
        <v>0</v>
      </c>
      <c r="BA25" s="86">
        <f>IFERROR(VLOOKUP(I25,'[2]RETAIL ORIGEN RMKT'!$S$11:$AF$62,9,0),0)</f>
        <v>0</v>
      </c>
      <c r="BB25" s="150">
        <f t="shared" si="118"/>
        <v>0</v>
      </c>
      <c r="BC25" s="148">
        <f>SUMIF('UC MINI 2026'!$B$5:$B$61,'UC MINI 2026 MINI NEXT'!$B25,'UC MINI 2026'!$T$5:$T$61)</f>
        <v>0</v>
      </c>
      <c r="BD25" s="86">
        <f>SUMIF('UC MINI 2026'!$B$5:$B$61,'UC MINI 2026 MINI NEXT'!$B25,'UC MINI 2026'!$U$5:$U$61)</f>
        <v>0</v>
      </c>
      <c r="BE25" s="297">
        <f t="shared" si="119"/>
        <v>0</v>
      </c>
      <c r="BF25" s="86">
        <f>IFERROR(VLOOKUP(B25,[2]BPS!$S$10:$AF$64,10,0),0)-IF(B25=100873,IFERROR(VLOOKUP("AGOSTO",[2]BPS!$S$74:$T$89,2,0),0),0)</f>
        <v>0</v>
      </c>
      <c r="BG25" s="285">
        <f t="shared" si="120"/>
        <v>0</v>
      </c>
      <c r="BH25" s="86">
        <f>IFERROR(VLOOKUP(P25,'[2]RETAIL ORIGEN RMKT'!$S$11:$AF$62,10,0),0)</f>
        <v>0</v>
      </c>
      <c r="BI25" s="150">
        <f t="shared" si="121"/>
        <v>0</v>
      </c>
      <c r="BJ25" s="148">
        <f>SUMIF('UC MINI 2026'!$B$5:$B$61,'UC MINI 2026 MINI NEXT'!$B25,'UC MINI 2026'!$V$5:$V$61)</f>
        <v>0</v>
      </c>
      <c r="BK25" s="86">
        <f>SUMIF('UC MINI 2026'!$B$5:$B$61,'UC MINI 2026 MINI NEXT'!$B25,'UC MINI 2026'!$W$5:$W$61)</f>
        <v>0</v>
      </c>
      <c r="BL25" s="297">
        <f t="shared" si="122"/>
        <v>0</v>
      </c>
      <c r="BM25" s="86">
        <f>IFERROR(VLOOKUP(B25,[2]BPS!$S$10:$AF$64,11,0),0)-IF(B25=100873,IFERROR(VLOOKUP("SEPTIEMBRE",[2]BPS!$S$74:$T$89,2,0),0),0)</f>
        <v>0</v>
      </c>
      <c r="BN25" s="285">
        <f t="shared" si="123"/>
        <v>0</v>
      </c>
      <c r="BO25" s="86">
        <f>IFERROR(VLOOKUP(W25,'[2]RETAIL ORIGEN RMKT'!$S$11:$AF$62,11,0),0)</f>
        <v>0</v>
      </c>
      <c r="BP25" s="150">
        <f t="shared" si="124"/>
        <v>0</v>
      </c>
      <c r="BQ25" s="148">
        <f>SUMIF('UC MINI 2026'!$B$5:$B$61,'UC MINI 2026 MINI NEXT'!$B25,'UC MINI 2026'!$V$5:$V$61)</f>
        <v>0</v>
      </c>
      <c r="BR25" s="86">
        <f>SUMIF('UC MINI 2026'!$B$5:$B$61,'UC MINI 2026 MINI NEXT'!$B25,'UC MINI 2026'!$Y$5:$Y$61)</f>
        <v>0</v>
      </c>
      <c r="BS25" s="297">
        <f t="shared" si="125"/>
        <v>0</v>
      </c>
      <c r="BT25" s="86">
        <f>IFERROR(VLOOKUP(B25,[2]BPS!$S$10:$AF$64,12,0),0)-IF(B25=100873,IFERROR(VLOOKUP("OCTUBRE",[2]BPS!$S$74:$T$89,2,0),0),0)</f>
        <v>0</v>
      </c>
      <c r="BU25" s="285">
        <f t="shared" si="126"/>
        <v>0</v>
      </c>
      <c r="BV25" s="86">
        <f>IFERROR(VLOOKUP(AD25,'[2]RETAIL ORIGEN RMKT'!$S$11:$AF$62,12,0),0)</f>
        <v>0</v>
      </c>
      <c r="BW25" s="150">
        <f t="shared" si="127"/>
        <v>0</v>
      </c>
      <c r="BX25" s="148">
        <f>SUMIF('UC MINI 2026'!$B$5:$B$61,'UC MINI 2026 MINI NEXT'!$B25,'UC MINI 2026'!$V$5:$V$61)</f>
        <v>0</v>
      </c>
      <c r="BY25" s="86">
        <f>SUMIF('UC MINI 2026'!$B$5:$B$61,'UC MINI 2026 MINI NEXT'!$B25,'UC MINI 2026'!$AA$5:$AA$61)</f>
        <v>0</v>
      </c>
      <c r="BZ25" s="297">
        <f t="shared" si="128"/>
        <v>0</v>
      </c>
      <c r="CA25" s="86">
        <f>IFERROR(VLOOKUP(B25,[2]BPS!$S$10:$AF$64,13,0),0)-IF(B25=100873,IFERROR(VLOOKUP("NOVIEMBRE",[2]BPS!$S$74:$T$89,2,0),0),0)</f>
        <v>0</v>
      </c>
      <c r="CB25" s="285">
        <f t="shared" si="129"/>
        <v>0</v>
      </c>
      <c r="CC25" s="86">
        <f>IFERROR(VLOOKUP(AK25,'[2]RETAIL ORIGEN RMKT'!$S$11:$AF$62,13,0),0)</f>
        <v>0</v>
      </c>
      <c r="CD25" s="150">
        <f t="shared" si="130"/>
        <v>0</v>
      </c>
      <c r="CE25" s="148">
        <f>SUMIF('UC MINI 2026'!$B$5:$B$61,'UC MINI 2026 MINI NEXT'!$B25,'UC MINI 2026'!$V$5:$V$61)</f>
        <v>0</v>
      </c>
      <c r="CF25" s="86">
        <f>SUMIF('UC MINI 2026'!$B$5:$B$61,'UC MINI 2026 MINI NEXT'!$B25,'UC MINI 2026'!$AC$5:$AC$61)</f>
        <v>0</v>
      </c>
      <c r="CG25" s="297">
        <f t="shared" si="131"/>
        <v>0</v>
      </c>
      <c r="CH25" s="86">
        <f>IFERROR(VLOOKUP(B25,[2]BPS!$S$10:$AF$64,14,0),0)-IF(B25=100873,IFERROR(VLOOKUP("DICIEMBRE",[2]BPS!$S$74:$T$89,2,0),0),0)</f>
        <v>0</v>
      </c>
      <c r="CI25" s="285">
        <f t="shared" si="132"/>
        <v>0</v>
      </c>
      <c r="CJ25" s="86">
        <f>IFERROR(VLOOKUP(AR25,'[2]RETAIL ORIGEN RMKT'!$S$11:$AF$62,14,0),0)</f>
        <v>0</v>
      </c>
      <c r="CK25" s="150">
        <f t="shared" si="133"/>
        <v>0</v>
      </c>
      <c r="CL25" s="54">
        <f t="shared" ref="CL25:CM29" si="161">IF($CL$4="ENERO",F25,IF($CL$4="FEBRERO",F25+M25,IF($CL$4="MARZO",F25+M25+T25,IF($CL$4="ABRIL",F25+M25+T25+AA25,IF($CL$4="MAYO",F25+M25+T25+AA25+AH25,IF($CL$4="JUNIO",F25+M25+T25+AA25+AH25+AO25,IF($CL$4="JULIO",F25+M25+T25+AA25+AH25+AO25+AV25,IF($CL$4="AGOSTO",F25+M25+T25+AA25+AH25+AO25+AV25+BC25,IF($CL$4="SEPTIEMBRE",F25+M25+T25+AA25+AH25+AO25+AV25+BC25+BJ25,IF($CL$4="OCTUBRE",F25+M25+T25+AA25+AH25+AO25+AV25+BC25+BJ25+BQ25,IF($CL$4="NOVIEMBRE",F25+M25+T25+AA25+AH25+AO25+AV25+BC25+BJ25+BQ25+BX25,IF($CL$4="DICIEMBRE",F25+M25+T25+AA25+AH25+AO25+AV25+BC25+BJ25+BQ25+BX25+CE25,""))))))))))))</f>
        <v>7</v>
      </c>
      <c r="CM25" s="86">
        <f t="shared" si="161"/>
        <v>2</v>
      </c>
      <c r="CN25" s="109">
        <f t="shared" si="134"/>
        <v>0.2857142857142857</v>
      </c>
      <c r="CO25" s="86">
        <f t="shared" si="135"/>
        <v>1</v>
      </c>
      <c r="CP25" s="297">
        <f t="shared" si="136"/>
        <v>0.5</v>
      </c>
      <c r="CQ25" s="348">
        <f t="shared" si="137"/>
        <v>0</v>
      </c>
      <c r="CR25" s="149">
        <f t="shared" si="138"/>
        <v>0</v>
      </c>
      <c r="CS25" s="54">
        <f t="shared" si="139"/>
        <v>7</v>
      </c>
      <c r="CT25" s="86">
        <f t="shared" si="140"/>
        <v>2</v>
      </c>
      <c r="CU25" s="109">
        <f t="shared" si="141"/>
        <v>0.2857142857142857</v>
      </c>
      <c r="CV25" s="68">
        <f t="shared" si="142"/>
        <v>1</v>
      </c>
      <c r="CW25" s="297">
        <f t="shared" si="143"/>
        <v>0.5</v>
      </c>
      <c r="CX25" s="350">
        <f t="shared" si="144"/>
        <v>0</v>
      </c>
      <c r="CY25" s="149">
        <f t="shared" si="145"/>
        <v>0</v>
      </c>
      <c r="CZ25" s="54">
        <f t="shared" ref="CZ25:DA29" si="162">IF($CZ$5="Q1",F25+M25+T25,
IF($CZ$5="Q2",AA25+AH25++AO25,
IF($CZ$5="Q3",AV25+BC25+BJ25,
IF($CZ$5="Q4",BQ25+BX25+CE25,0))))</f>
        <v>3</v>
      </c>
      <c r="DA25" s="86">
        <f t="shared" si="162"/>
        <v>1</v>
      </c>
      <c r="DB25" s="109">
        <f t="shared" si="146"/>
        <v>0.33333333333333331</v>
      </c>
      <c r="DC25" s="68">
        <f t="shared" si="147"/>
        <v>0</v>
      </c>
      <c r="DD25" s="297">
        <f t="shared" si="148"/>
        <v>0</v>
      </c>
      <c r="DE25" s="350">
        <f t="shared" si="149"/>
        <v>0</v>
      </c>
      <c r="DF25" s="150">
        <f t="shared" si="150"/>
        <v>0</v>
      </c>
      <c r="DG25" s="54">
        <f t="shared" ref="DG25:DH29" si="163">IF($DG$5="S 1",F25+M25+T25+AA25+AH25+AO25,
IF($DG$5="S 2",AV25+BC25+BJ25+BQ25+BX25+CE25,0))</f>
        <v>7</v>
      </c>
      <c r="DH25" s="86">
        <f t="shared" si="163"/>
        <v>2</v>
      </c>
      <c r="DI25" s="109">
        <f t="shared" si="151"/>
        <v>0.2857142857142857</v>
      </c>
      <c r="DJ25" s="68">
        <f t="shared" si="152"/>
        <v>1</v>
      </c>
      <c r="DK25" s="297">
        <f t="shared" si="153"/>
        <v>0.5</v>
      </c>
      <c r="DL25" s="350">
        <f t="shared" si="154"/>
        <v>0</v>
      </c>
      <c r="DM25" s="150">
        <f t="shared" si="155"/>
        <v>0</v>
      </c>
      <c r="DN25" s="67">
        <f t="shared" ref="DN25:DO29" si="164">IF($DN$5="S 1",F25+M25+T25+AA25+AH25+AO25,
IF($DN$5="S 2",AV25+BC25+BJ25+BQ25+BX25+CE25,0))</f>
        <v>0</v>
      </c>
      <c r="DO25" s="266">
        <f t="shared" si="164"/>
        <v>0</v>
      </c>
      <c r="DP25" s="109">
        <f t="shared" si="156"/>
        <v>0</v>
      </c>
      <c r="DQ25" s="68">
        <f t="shared" si="157"/>
        <v>0</v>
      </c>
      <c r="DR25" s="297" t="str">
        <f t="shared" si="158"/>
        <v>N.D.</v>
      </c>
      <c r="DS25" s="350">
        <f t="shared" si="159"/>
        <v>0</v>
      </c>
      <c r="DT25" s="150">
        <f t="shared" si="160"/>
        <v>0</v>
      </c>
      <c r="DU25" s="53">
        <v>1</v>
      </c>
      <c r="DX25" s="53">
        <v>42</v>
      </c>
      <c r="DY25" s="53">
        <v>46</v>
      </c>
      <c r="DZ25" s="513">
        <v>1.1666666666666667</v>
      </c>
      <c r="EB25" s="513">
        <v>0.99029126213592233</v>
      </c>
      <c r="EC25" s="53">
        <v>10</v>
      </c>
      <c r="ED25" s="513">
        <v>0.29629629629629628</v>
      </c>
    </row>
    <row r="26" spans="1:134" s="53" customFormat="1" ht="16" customHeight="1" x14ac:dyDescent="0.3">
      <c r="A26" s="53">
        <f>_xlfn.XLOOKUP(B26,'UC MINI 2026'!$B$5:$B$61,'UC MINI 2026'!$A$5:$A$61)</f>
        <v>4</v>
      </c>
      <c r="B26" s="179">
        <v>100155</v>
      </c>
      <c r="C26" s="381" t="s">
        <v>243</v>
      </c>
      <c r="D26" s="146"/>
      <c r="E26" s="379" t="s">
        <v>82</v>
      </c>
      <c r="F26" s="54">
        <f>SUMIF('UC MINI 2026'!$B$5:$B$71,'UC MINI 2026 MINI NEXT'!$B26,'UC MINI 2026'!$F$5:$F$71)</f>
        <v>2</v>
      </c>
      <c r="G26" s="86">
        <f>SUMIF('UC MINI 2026'!$B$5:$B$71,'UC MINI 2026 MINI NEXT'!$B26,'UC MINI 2026'!$G$5:$G$71)</f>
        <v>3</v>
      </c>
      <c r="H26" s="297">
        <f t="shared" si="98"/>
        <v>1.5</v>
      </c>
      <c r="I26" s="86">
        <f>IFERROR(VLOOKUP(B26,[2]BPS!$S$10:$AF$64,3,0),0)-IF(B26=100873,IFERROR(VLOOKUP("Enero",[2]BPS!$S$74:$T$89,2,0),0),0)</f>
        <v>3</v>
      </c>
      <c r="J26" s="297">
        <f t="shared" si="99"/>
        <v>1</v>
      </c>
      <c r="K26" s="86">
        <f>IFERROR(VLOOKUP(B26,'[2]RETAIL ORIGEN RMKT'!$S$11:$AF$62,3,0),0)</f>
        <v>0</v>
      </c>
      <c r="L26" s="150">
        <f t="shared" si="100"/>
        <v>0</v>
      </c>
      <c r="M26" s="79">
        <f>SUMIF('UC MINI 2026'!$B$5:$B$61,'UC MINI 2026 MINI NEXT'!$B26,'UC MINI 2026'!$H$5:$H$61)</f>
        <v>2</v>
      </c>
      <c r="N26" s="86">
        <f>SUMIF('UC MINI 2026'!$B$5:$B$61,'UC MINI 2026 MINI NEXT'!$B26,'UC MINI 2026'!$I$5:$I$61)</f>
        <v>3</v>
      </c>
      <c r="O26" s="297">
        <f t="shared" si="101"/>
        <v>1.5</v>
      </c>
      <c r="P26" s="86">
        <f>IFERROR(VLOOKUP(B26,[2]BPS!$S$10:$AF$64,4,0),0)-IF(B26=100873,IFERROR(VLOOKUP("FEBRERO",[2]BPS!$S$74:$T$89,2,0),0),0)</f>
        <v>3</v>
      </c>
      <c r="Q26" s="297">
        <f t="shared" si="102"/>
        <v>1</v>
      </c>
      <c r="R26" s="86">
        <f>IFERROR(VLOOKUP(B26,'[2]RETAIL ORIGEN RMKT'!$S$11:$AF$62,4,0),0)</f>
        <v>0</v>
      </c>
      <c r="S26" s="150">
        <f t="shared" si="103"/>
        <v>0</v>
      </c>
      <c r="T26" s="148">
        <f>SUMIF('UC MINI 2026'!$B$5:$B$71,'UC MINI 2026 MINI NEXT'!$B26,'UC MINI 2026'!$J$5:$J$71)</f>
        <v>2</v>
      </c>
      <c r="U26" s="86">
        <f>SUMIF('UC MINI 2026'!$B$10:$B$61,'UC MINI 2026 MINI NEXT'!$B26,'UC MINI 2026'!$K$10:$K$61)</f>
        <v>1</v>
      </c>
      <c r="V26" s="297">
        <f t="shared" si="104"/>
        <v>0.5</v>
      </c>
      <c r="W26" s="86">
        <f>IFERROR(VLOOKUP(B26,[2]BPS!$S$10:$AF$64,5,0),0)-IF(B26=100873,IFERROR(VLOOKUP("MARZO",[2]BPS!$S$74:$T$89,2,0),0),0)</f>
        <v>1</v>
      </c>
      <c r="X26" s="297">
        <f t="shared" si="105"/>
        <v>1</v>
      </c>
      <c r="Y26" s="86">
        <f>IFERROR(VLOOKUP(B26,'[2]RETAIL ORIGEN RMKT'!$S$11:$AF$62,5,0),0)</f>
        <v>0</v>
      </c>
      <c r="Z26" s="150">
        <f t="shared" si="106"/>
        <v>0</v>
      </c>
      <c r="AA26" s="148">
        <f>SUMIF('UC MINI 2026'!$B$5:$B$61,'UC MINI 2026 MINI NEXT'!$B26,'UC MINI 2026'!$L$5:$L$61)</f>
        <v>2</v>
      </c>
      <c r="AB26" s="86">
        <f>SUMIF('UC MINI 2026'!$B$5:$B$61,'UC MINI 2026 MINI NEXT'!$B26,'UC MINI 2026'!$M$5:$M$61)</f>
        <v>1</v>
      </c>
      <c r="AC26" s="297">
        <f t="shared" si="107"/>
        <v>0.5</v>
      </c>
      <c r="AD26" s="86">
        <f>IFERROR(VLOOKUP(B26,[2]BPS!$S$10:$AF$64,6,0),0)-IF(B26=100873,IFERROR(VLOOKUP("ABRIL",[2]BPS!$S$74:$T$89,2,0),0),0)</f>
        <v>0</v>
      </c>
      <c r="AE26" s="285">
        <f t="shared" si="108"/>
        <v>0</v>
      </c>
      <c r="AF26" s="86">
        <f>IFERROR(VLOOKUP(B26,'[2]RETAIL ORIGEN RMKT'!$S$11:$AF$62,6,0),0)</f>
        <v>0</v>
      </c>
      <c r="AG26" s="150">
        <f t="shared" si="109"/>
        <v>0</v>
      </c>
      <c r="AH26" s="148">
        <f>SUMIF('UC MINI 2026'!$B$5:$B$61,'UC MINI 2026 MINI NEXT'!$B26,'UC MINI 2026'!$N$5:$N$61)</f>
        <v>2</v>
      </c>
      <c r="AI26" s="86">
        <f>SUMIF('UC MINI 2026'!$B$5:$B$61,'UC MINI 2026 MINI NEXT'!$B26,'UC MINI 2026'!$O$5:$O$61)</f>
        <v>3</v>
      </c>
      <c r="AJ26" s="297">
        <f t="shared" si="110"/>
        <v>1.5</v>
      </c>
      <c r="AK26" s="86">
        <f>IFERROR(VLOOKUP(B26,[2]BPS!$S$10:$AF$64,7,0),0)-IF(B26=100873,IFERROR(VLOOKUP("MAYO",[2]BPS!$S$74:$T$89,2,0),0),0)</f>
        <v>3</v>
      </c>
      <c r="AL26" s="285">
        <f t="shared" si="111"/>
        <v>1</v>
      </c>
      <c r="AM26" s="86">
        <f>IFERROR(VLOOKUP(B26,'[2]RETAIL ORIGEN RMKT'!$S$11:$AF$62,7,0),0)</f>
        <v>0</v>
      </c>
      <c r="AN26" s="150">
        <f t="shared" si="112"/>
        <v>0</v>
      </c>
      <c r="AO26" s="148">
        <f>SUMIF('UC MINI 2026'!$B$5:$B$61,'UC MINI 2026 MINI NEXT'!$B26,'UC MINI 2026'!$P$5:$P$61)</f>
        <v>2</v>
      </c>
      <c r="AP26" s="86">
        <f>SUMIF('UC MINI 2026'!$B$5:$B$61,'UC MINI 2026 MINI NEXT'!$B26,'UC MINI 2026'!$Q$5:$Q$61)</f>
        <v>2</v>
      </c>
      <c r="AQ26" s="297">
        <f t="shared" si="113"/>
        <v>1</v>
      </c>
      <c r="AR26" s="86">
        <f>IFERROR(VLOOKUP(B26,[2]BPS!$S$10:$AF$64,8,0),0)-IF(B26=100873,IFERROR(VLOOKUP("JUNIO",[2]BPS!$S$74:$T$89,2,0),0),0)</f>
        <v>2</v>
      </c>
      <c r="AS26" s="285">
        <f t="shared" si="114"/>
        <v>1</v>
      </c>
      <c r="AT26" s="86">
        <f>IFERROR(VLOOKUP(B26,'[2]RETAIL ORIGEN RMKT'!$S$11:$AF$62,8,0),0)</f>
        <v>0</v>
      </c>
      <c r="AU26" s="150">
        <f t="shared" si="115"/>
        <v>0</v>
      </c>
      <c r="AV26" s="148">
        <f>SUMIF('UC MINI 2026'!$B$5:$B$61,'UC MINI 2026 MINI NEXT'!$B26,'UC MINI 2026'!$R$5:$R$61)</f>
        <v>0</v>
      </c>
      <c r="AW26" s="86">
        <f>SUMIF('UC MINI 2026'!$B$5:$B$61,'UC MINI 2026 MINI NEXT'!$B26,'UC MINI 2026'!$S$5:$S$61)</f>
        <v>0</v>
      </c>
      <c r="AX26" s="297">
        <f t="shared" si="116"/>
        <v>0</v>
      </c>
      <c r="AY26" s="86">
        <f>IFERROR(VLOOKUP(B26,[2]BPS!$S$10:$AF$64,9,0),0)-IF(B26=100873,IFERROR(VLOOKUP("JULIO",[2]BPS!$S$74:$T$89,2,0),0),0)</f>
        <v>0</v>
      </c>
      <c r="AZ26" s="285">
        <f t="shared" si="117"/>
        <v>0</v>
      </c>
      <c r="BA26" s="86">
        <f>IFERROR(VLOOKUP(I26,'[2]RETAIL ORIGEN RMKT'!$S$11:$AF$62,9,0),0)</f>
        <v>0</v>
      </c>
      <c r="BB26" s="150">
        <f t="shared" si="118"/>
        <v>0</v>
      </c>
      <c r="BC26" s="148">
        <f>SUMIF('UC MINI 2026'!$B$5:$B$61,'UC MINI 2026 MINI NEXT'!$B26,'UC MINI 2026'!$T$5:$T$61)</f>
        <v>0</v>
      </c>
      <c r="BD26" s="86">
        <f>SUMIF('UC MINI 2026'!$B$5:$B$61,'UC MINI 2026 MINI NEXT'!$B26,'UC MINI 2026'!$U$5:$U$61)</f>
        <v>0</v>
      </c>
      <c r="BE26" s="297">
        <f t="shared" si="119"/>
        <v>0</v>
      </c>
      <c r="BF26" s="86">
        <f>IFERROR(VLOOKUP(B26,[2]BPS!$S$10:$AF$64,10,0),0)-IF(B26=100873,IFERROR(VLOOKUP("AGOSTO",[2]BPS!$S$74:$T$89,2,0),0),0)</f>
        <v>0</v>
      </c>
      <c r="BG26" s="285">
        <f t="shared" si="120"/>
        <v>0</v>
      </c>
      <c r="BH26" s="86">
        <f>IFERROR(VLOOKUP(P26,'[2]RETAIL ORIGEN RMKT'!$S$11:$AF$62,10,0),0)</f>
        <v>0</v>
      </c>
      <c r="BI26" s="150">
        <f t="shared" si="121"/>
        <v>0</v>
      </c>
      <c r="BJ26" s="148">
        <f>SUMIF('UC MINI 2026'!$B$5:$B$61,'UC MINI 2026 MINI NEXT'!$B26,'UC MINI 2026'!$V$5:$V$61)</f>
        <v>0</v>
      </c>
      <c r="BK26" s="86">
        <f>SUMIF('UC MINI 2026'!$B$5:$B$61,'UC MINI 2026 MINI NEXT'!$B26,'UC MINI 2026'!$W$5:$W$61)</f>
        <v>0</v>
      </c>
      <c r="BL26" s="297">
        <f t="shared" si="122"/>
        <v>0</v>
      </c>
      <c r="BM26" s="86">
        <f>IFERROR(VLOOKUP(B26,[2]BPS!$S$10:$AF$64,11,0),0)-IF(B26=100873,IFERROR(VLOOKUP("SEPTIEMBRE",[2]BPS!$S$74:$T$89,2,0),0),0)</f>
        <v>0</v>
      </c>
      <c r="BN26" s="285">
        <f t="shared" si="123"/>
        <v>0</v>
      </c>
      <c r="BO26" s="86">
        <f>IFERROR(VLOOKUP(W26,'[2]RETAIL ORIGEN RMKT'!$S$11:$AF$62,11,0),0)</f>
        <v>0</v>
      </c>
      <c r="BP26" s="150">
        <f t="shared" si="124"/>
        <v>0</v>
      </c>
      <c r="BQ26" s="148">
        <f>SUMIF('UC MINI 2026'!$B$5:$B$61,'UC MINI 2026 MINI NEXT'!$B26,'UC MINI 2026'!$V$5:$V$61)</f>
        <v>0</v>
      </c>
      <c r="BR26" s="86">
        <f>SUMIF('UC MINI 2026'!$B$5:$B$61,'UC MINI 2026 MINI NEXT'!$B26,'UC MINI 2026'!$Y$5:$Y$61)</f>
        <v>0</v>
      </c>
      <c r="BS26" s="297">
        <f t="shared" si="125"/>
        <v>0</v>
      </c>
      <c r="BT26" s="86">
        <f>IFERROR(VLOOKUP(B26,[2]BPS!$S$10:$AF$64,12,0),0)-IF(B26=100873,IFERROR(VLOOKUP("OCTUBRE",[2]BPS!$S$74:$T$89,2,0),0),0)</f>
        <v>0</v>
      </c>
      <c r="BU26" s="285">
        <f t="shared" si="126"/>
        <v>0</v>
      </c>
      <c r="BV26" s="86">
        <f>IFERROR(VLOOKUP(AD26,'[2]RETAIL ORIGEN RMKT'!$S$11:$AF$62,12,0),0)</f>
        <v>0</v>
      </c>
      <c r="BW26" s="150">
        <f t="shared" si="127"/>
        <v>0</v>
      </c>
      <c r="BX26" s="148">
        <f>SUMIF('UC MINI 2026'!$B$5:$B$61,'UC MINI 2026 MINI NEXT'!$B26,'UC MINI 2026'!$V$5:$V$61)</f>
        <v>0</v>
      </c>
      <c r="BY26" s="86">
        <f>SUMIF('UC MINI 2026'!$B$5:$B$61,'UC MINI 2026 MINI NEXT'!$B26,'UC MINI 2026'!$AA$5:$AA$61)</f>
        <v>0</v>
      </c>
      <c r="BZ26" s="297">
        <f t="shared" si="128"/>
        <v>0</v>
      </c>
      <c r="CA26" s="86">
        <f>IFERROR(VLOOKUP(B26,[2]BPS!$S$10:$AF$64,13,0),0)-IF(B26=100873,IFERROR(VLOOKUP("NOVIEMBRE",[2]BPS!$S$74:$T$89,2,0),0),0)</f>
        <v>0</v>
      </c>
      <c r="CB26" s="285">
        <f t="shared" si="129"/>
        <v>0</v>
      </c>
      <c r="CC26" s="86">
        <f>IFERROR(VLOOKUP(AK26,'[2]RETAIL ORIGEN RMKT'!$S$11:$AF$62,13,0),0)</f>
        <v>0</v>
      </c>
      <c r="CD26" s="150">
        <f t="shared" si="130"/>
        <v>0</v>
      </c>
      <c r="CE26" s="148">
        <f>SUMIF('UC MINI 2026'!$B$5:$B$61,'UC MINI 2026 MINI NEXT'!$B26,'UC MINI 2026'!$V$5:$V$61)</f>
        <v>0</v>
      </c>
      <c r="CF26" s="86">
        <f>SUMIF('UC MINI 2026'!$B$5:$B$61,'UC MINI 2026 MINI NEXT'!$B26,'UC MINI 2026'!$AC$5:$AC$61)</f>
        <v>0</v>
      </c>
      <c r="CG26" s="297">
        <f t="shared" si="131"/>
        <v>0</v>
      </c>
      <c r="CH26" s="86">
        <f>IFERROR(VLOOKUP(B26,[2]BPS!$S$10:$AF$64,14,0),0)-IF(B26=100873,IFERROR(VLOOKUP("DICIEMBRE",[2]BPS!$S$74:$T$89,2,0),0),0)</f>
        <v>0</v>
      </c>
      <c r="CI26" s="285">
        <f t="shared" si="132"/>
        <v>0</v>
      </c>
      <c r="CJ26" s="86">
        <f>IFERROR(VLOOKUP(AR26,'[2]RETAIL ORIGEN RMKT'!$S$11:$AF$62,14,0),0)</f>
        <v>0</v>
      </c>
      <c r="CK26" s="150">
        <f t="shared" si="133"/>
        <v>0</v>
      </c>
      <c r="CL26" s="54">
        <f t="shared" si="161"/>
        <v>12</v>
      </c>
      <c r="CM26" s="86">
        <f t="shared" si="161"/>
        <v>13</v>
      </c>
      <c r="CN26" s="109">
        <f t="shared" si="134"/>
        <v>1.0833333333333333</v>
      </c>
      <c r="CO26" s="86">
        <f t="shared" si="135"/>
        <v>12</v>
      </c>
      <c r="CP26" s="297">
        <f t="shared" si="136"/>
        <v>0.92307692307692313</v>
      </c>
      <c r="CQ26" s="348">
        <f t="shared" si="137"/>
        <v>0</v>
      </c>
      <c r="CR26" s="149">
        <f t="shared" si="138"/>
        <v>0</v>
      </c>
      <c r="CS26" s="54">
        <f t="shared" si="139"/>
        <v>12</v>
      </c>
      <c r="CT26" s="86">
        <f t="shared" si="140"/>
        <v>13</v>
      </c>
      <c r="CU26" s="109">
        <f t="shared" si="141"/>
        <v>1.0833333333333333</v>
      </c>
      <c r="CV26" s="68">
        <f t="shared" si="142"/>
        <v>12</v>
      </c>
      <c r="CW26" s="297">
        <f t="shared" si="143"/>
        <v>0.92307692307692313</v>
      </c>
      <c r="CX26" s="350">
        <f t="shared" si="144"/>
        <v>0</v>
      </c>
      <c r="CY26" s="149">
        <f t="shared" si="145"/>
        <v>0</v>
      </c>
      <c r="CZ26" s="54">
        <f t="shared" si="162"/>
        <v>6</v>
      </c>
      <c r="DA26" s="86">
        <f t="shared" si="162"/>
        <v>7</v>
      </c>
      <c r="DB26" s="109">
        <f t="shared" si="146"/>
        <v>1.1666666666666667</v>
      </c>
      <c r="DC26" s="68">
        <f t="shared" si="147"/>
        <v>7</v>
      </c>
      <c r="DD26" s="297">
        <f t="shared" si="148"/>
        <v>1</v>
      </c>
      <c r="DE26" s="350">
        <f t="shared" si="149"/>
        <v>0</v>
      </c>
      <c r="DF26" s="150">
        <f t="shared" si="150"/>
        <v>0</v>
      </c>
      <c r="DG26" s="54">
        <f t="shared" si="163"/>
        <v>12</v>
      </c>
      <c r="DH26" s="86">
        <f t="shared" si="163"/>
        <v>13</v>
      </c>
      <c r="DI26" s="109">
        <f t="shared" si="151"/>
        <v>1.0833333333333333</v>
      </c>
      <c r="DJ26" s="68">
        <f t="shared" si="152"/>
        <v>12</v>
      </c>
      <c r="DK26" s="297">
        <f t="shared" si="153"/>
        <v>0.92307692307692313</v>
      </c>
      <c r="DL26" s="350">
        <f t="shared" si="154"/>
        <v>0</v>
      </c>
      <c r="DM26" s="150">
        <f t="shared" si="155"/>
        <v>0</v>
      </c>
      <c r="DN26" s="67">
        <f t="shared" si="164"/>
        <v>0</v>
      </c>
      <c r="DO26" s="266">
        <f t="shared" si="164"/>
        <v>0</v>
      </c>
      <c r="DP26" s="109">
        <f t="shared" si="156"/>
        <v>0</v>
      </c>
      <c r="DQ26" s="68">
        <f t="shared" si="157"/>
        <v>0</v>
      </c>
      <c r="DR26" s="297" t="str">
        <f t="shared" si="158"/>
        <v>N.D.</v>
      </c>
      <c r="DS26" s="350">
        <f t="shared" si="159"/>
        <v>0</v>
      </c>
      <c r="DT26" s="150">
        <f t="shared" si="160"/>
        <v>0</v>
      </c>
      <c r="DU26" s="53">
        <v>1</v>
      </c>
      <c r="DX26" s="53">
        <v>40</v>
      </c>
      <c r="DY26" s="53">
        <v>45</v>
      </c>
      <c r="DZ26" s="513">
        <v>1.1666666666666667</v>
      </c>
      <c r="EB26" s="513">
        <v>0.98076923076923073</v>
      </c>
      <c r="EC26" s="53">
        <v>10</v>
      </c>
      <c r="ED26" s="513">
        <v>0.27500000000000002</v>
      </c>
    </row>
    <row r="27" spans="1:134" s="53" customFormat="1" ht="16" customHeight="1" x14ac:dyDescent="0.3">
      <c r="A27" s="53">
        <f>_xlfn.XLOOKUP(B27,'UC MINI 2026'!$B$5:$B$61,'UC MINI 2026'!$A$5:$A$61)</f>
        <v>4</v>
      </c>
      <c r="B27" s="179">
        <v>100304</v>
      </c>
      <c r="C27" s="381" t="s">
        <v>45</v>
      </c>
      <c r="D27" s="146"/>
      <c r="E27" s="379" t="s">
        <v>81</v>
      </c>
      <c r="F27" s="54">
        <f>SUMIF('UC MINI 2026'!$B$5:$B$71,'UC MINI 2026 MINI NEXT'!$B27,'UC MINI 2026'!$F$5:$F$71)</f>
        <v>5</v>
      </c>
      <c r="G27" s="86">
        <f>SUMIF('UC MINI 2026'!$B$5:$B$71,'UC MINI 2026 MINI NEXT'!$B27,'UC MINI 2026'!$G$5:$G$71)</f>
        <v>8</v>
      </c>
      <c r="H27" s="297">
        <f t="shared" si="98"/>
        <v>1.6</v>
      </c>
      <c r="I27" s="86">
        <f>IFERROR(VLOOKUP(B27,[2]BPS!$S$10:$AF$64,3,0),0)-IF(B27=100873,IFERROR(VLOOKUP("Enero",[2]BPS!$S$74:$T$89,2,0),0),0)</f>
        <v>7</v>
      </c>
      <c r="J27" s="297">
        <f t="shared" si="99"/>
        <v>0.875</v>
      </c>
      <c r="K27" s="86">
        <f>IFERROR(VLOOKUP(B27,'[2]RETAIL ORIGEN RMKT'!$S$11:$AF$62,3,0),0)</f>
        <v>0</v>
      </c>
      <c r="L27" s="150">
        <f t="shared" si="100"/>
        <v>0</v>
      </c>
      <c r="M27" s="79">
        <f>SUMIF('UC MINI 2026'!$B$5:$B$61,'UC MINI 2026 MINI NEXT'!$B27,'UC MINI 2026'!$H$5:$H$61)</f>
        <v>5</v>
      </c>
      <c r="N27" s="86">
        <f>SUMIF('UC MINI 2026'!$B$5:$B$61,'UC MINI 2026 MINI NEXT'!$B27,'UC MINI 2026'!$I$5:$I$61)</f>
        <v>2</v>
      </c>
      <c r="O27" s="297">
        <f t="shared" si="101"/>
        <v>0.4</v>
      </c>
      <c r="P27" s="86">
        <f>IFERROR(VLOOKUP(B27,[2]BPS!$S$10:$AF$64,4,0),0)-IF(B27=100873,IFERROR(VLOOKUP("FEBRERO",[2]BPS!$S$74:$T$89,2,0),0),0)</f>
        <v>2</v>
      </c>
      <c r="Q27" s="297">
        <f t="shared" si="102"/>
        <v>1</v>
      </c>
      <c r="R27" s="86">
        <f>IFERROR(VLOOKUP(B27,'[2]RETAIL ORIGEN RMKT'!$S$11:$AF$62,4,0),0)</f>
        <v>0</v>
      </c>
      <c r="S27" s="150">
        <f t="shared" si="103"/>
        <v>0</v>
      </c>
      <c r="T27" s="148">
        <f>SUMIF('UC MINI 2026'!$B$5:$B$71,'UC MINI 2026 MINI NEXT'!$B27,'UC MINI 2026'!$J$5:$J$71)</f>
        <v>5</v>
      </c>
      <c r="U27" s="86">
        <f>SUMIF('UC MINI 2026'!$B$10:$B$61,'UC MINI 2026 MINI NEXT'!$B27,'UC MINI 2026'!$K$10:$K$61)</f>
        <v>6</v>
      </c>
      <c r="V27" s="297">
        <f t="shared" si="104"/>
        <v>1.2</v>
      </c>
      <c r="W27" s="86">
        <f>IFERROR(VLOOKUP(B27,[2]BPS!$S$10:$AF$64,5,0),0)-IF(B27=100873,IFERROR(VLOOKUP("MARZO",[2]BPS!$S$74:$T$89,2,0),0),0)</f>
        <v>5</v>
      </c>
      <c r="X27" s="297">
        <f t="shared" si="105"/>
        <v>0.83333333333333337</v>
      </c>
      <c r="Y27" s="86">
        <f>IFERROR(VLOOKUP(B27,'[2]RETAIL ORIGEN RMKT'!$S$11:$AF$62,5,0),0)</f>
        <v>1</v>
      </c>
      <c r="Z27" s="150">
        <f t="shared" si="106"/>
        <v>0.2</v>
      </c>
      <c r="AA27" s="148">
        <f>SUMIF('UC MINI 2026'!$B$5:$B$61,'UC MINI 2026 MINI NEXT'!$B27,'UC MINI 2026'!$L$5:$L$61)</f>
        <v>5</v>
      </c>
      <c r="AB27" s="86">
        <f>SUMIF('UC MINI 2026'!$B$5:$B$61,'UC MINI 2026 MINI NEXT'!$B27,'UC MINI 2026'!$M$5:$M$61)</f>
        <v>8</v>
      </c>
      <c r="AC27" s="297">
        <f t="shared" si="107"/>
        <v>1.6</v>
      </c>
      <c r="AD27" s="86">
        <f>IFERROR(VLOOKUP(B27,[2]BPS!$S$10:$AF$64,6,0),0)-IF(B27=100873,IFERROR(VLOOKUP("ABRIL",[2]BPS!$S$74:$T$89,2,0),0),0)</f>
        <v>8</v>
      </c>
      <c r="AE27" s="285">
        <f t="shared" si="108"/>
        <v>1</v>
      </c>
      <c r="AF27" s="86">
        <f>IFERROR(VLOOKUP(B27,'[2]RETAIL ORIGEN RMKT'!$S$11:$AF$62,6,0),0)</f>
        <v>1</v>
      </c>
      <c r="AG27" s="150">
        <f t="shared" si="109"/>
        <v>0.2</v>
      </c>
      <c r="AH27" s="148">
        <f>SUMIF('UC MINI 2026'!$B$5:$B$61,'UC MINI 2026 MINI NEXT'!$B27,'UC MINI 2026'!$N$5:$N$61)</f>
        <v>5</v>
      </c>
      <c r="AI27" s="86">
        <f>SUMIF('UC MINI 2026'!$B$5:$B$61,'UC MINI 2026 MINI NEXT'!$B27,'UC MINI 2026'!$O$5:$O$61)</f>
        <v>10</v>
      </c>
      <c r="AJ27" s="297">
        <f t="shared" si="110"/>
        <v>2</v>
      </c>
      <c r="AK27" s="86">
        <f>IFERROR(VLOOKUP(B27,[2]BPS!$S$10:$AF$64,7,0),0)-IF(B27=100873,IFERROR(VLOOKUP("MAYO",[2]BPS!$S$74:$T$89,2,0),0),0)</f>
        <v>10</v>
      </c>
      <c r="AL27" s="285">
        <f t="shared" si="111"/>
        <v>1</v>
      </c>
      <c r="AM27" s="86">
        <f>IFERROR(VLOOKUP(B27,'[2]RETAIL ORIGEN RMKT'!$S$11:$AF$62,7,0),0)</f>
        <v>0</v>
      </c>
      <c r="AN27" s="150">
        <f t="shared" si="112"/>
        <v>0</v>
      </c>
      <c r="AO27" s="148">
        <f>SUMIF('UC MINI 2026'!$B$5:$B$61,'UC MINI 2026 MINI NEXT'!$B27,'UC MINI 2026'!$P$5:$P$61)</f>
        <v>5</v>
      </c>
      <c r="AP27" s="86">
        <f>SUMIF('UC MINI 2026'!$B$5:$B$61,'UC MINI 2026 MINI NEXT'!$B27,'UC MINI 2026'!$Q$5:$Q$61)</f>
        <v>6</v>
      </c>
      <c r="AQ27" s="297">
        <f t="shared" si="113"/>
        <v>1.2</v>
      </c>
      <c r="AR27" s="86">
        <f>IFERROR(VLOOKUP(B27,[2]BPS!$S$10:$AF$64,8,0),0)-IF(B27=100873,IFERROR(VLOOKUP("JUNIO",[2]BPS!$S$74:$T$89,2,0),0),0)</f>
        <v>6</v>
      </c>
      <c r="AS27" s="285">
        <f t="shared" si="114"/>
        <v>1</v>
      </c>
      <c r="AT27" s="86">
        <f>IFERROR(VLOOKUP(B27,'[2]RETAIL ORIGEN RMKT'!$S$11:$AF$62,8,0),0)</f>
        <v>1</v>
      </c>
      <c r="AU27" s="150">
        <f t="shared" si="115"/>
        <v>0.2</v>
      </c>
      <c r="AV27" s="148">
        <f>SUMIF('UC MINI 2026'!$B$5:$B$61,'UC MINI 2026 MINI NEXT'!$B27,'UC MINI 2026'!$R$5:$R$61)</f>
        <v>0</v>
      </c>
      <c r="AW27" s="86">
        <f>SUMIF('UC MINI 2026'!$B$5:$B$61,'UC MINI 2026 MINI NEXT'!$B27,'UC MINI 2026'!$S$5:$S$61)</f>
        <v>0</v>
      </c>
      <c r="AX27" s="297">
        <f t="shared" si="116"/>
        <v>0</v>
      </c>
      <c r="AY27" s="86">
        <f>IFERROR(VLOOKUP(B27,[2]BPS!$S$10:$AF$64,9,0),0)-IF(B27=100873,IFERROR(VLOOKUP("JULIO",[2]BPS!$S$74:$T$89,2,0),0),0)</f>
        <v>0</v>
      </c>
      <c r="AZ27" s="285">
        <f t="shared" si="117"/>
        <v>0</v>
      </c>
      <c r="BA27" s="86">
        <f>IFERROR(VLOOKUP(I27,'[2]RETAIL ORIGEN RMKT'!$S$11:$AF$62,9,0),0)</f>
        <v>0</v>
      </c>
      <c r="BB27" s="150">
        <f t="shared" si="118"/>
        <v>0</v>
      </c>
      <c r="BC27" s="148">
        <f>SUMIF('UC MINI 2026'!$B$5:$B$61,'UC MINI 2026 MINI NEXT'!$B27,'UC MINI 2026'!$T$5:$T$61)</f>
        <v>0</v>
      </c>
      <c r="BD27" s="86">
        <f>SUMIF('UC MINI 2026'!$B$5:$B$61,'UC MINI 2026 MINI NEXT'!$B27,'UC MINI 2026'!$U$5:$U$61)</f>
        <v>0</v>
      </c>
      <c r="BE27" s="297">
        <f t="shared" si="119"/>
        <v>0</v>
      </c>
      <c r="BF27" s="86">
        <f>IFERROR(VLOOKUP(B27,[2]BPS!$S$10:$AF$64,10,0),0)-IF(B27=100873,IFERROR(VLOOKUP("AGOSTO",[2]BPS!$S$74:$T$89,2,0),0),0)</f>
        <v>0</v>
      </c>
      <c r="BG27" s="285">
        <f t="shared" si="120"/>
        <v>0</v>
      </c>
      <c r="BH27" s="86">
        <f>IFERROR(VLOOKUP(P27,'[2]RETAIL ORIGEN RMKT'!$S$11:$AF$62,10,0),0)</f>
        <v>0</v>
      </c>
      <c r="BI27" s="150">
        <f t="shared" si="121"/>
        <v>0</v>
      </c>
      <c r="BJ27" s="148">
        <f>SUMIF('UC MINI 2026'!$B$5:$B$61,'UC MINI 2026 MINI NEXT'!$B27,'UC MINI 2026'!$V$5:$V$61)</f>
        <v>0</v>
      </c>
      <c r="BK27" s="86">
        <f>SUMIF('UC MINI 2026'!$B$5:$B$61,'UC MINI 2026 MINI NEXT'!$B27,'UC MINI 2026'!$W$5:$W$61)</f>
        <v>0</v>
      </c>
      <c r="BL27" s="297">
        <f t="shared" si="122"/>
        <v>0</v>
      </c>
      <c r="BM27" s="86">
        <f>IFERROR(VLOOKUP(B27,[2]BPS!$S$10:$AF$64,11,0),0)-IF(B27=100873,IFERROR(VLOOKUP("SEPTIEMBRE",[2]BPS!$S$74:$T$89,2,0),0),0)</f>
        <v>0</v>
      </c>
      <c r="BN27" s="285">
        <f t="shared" si="123"/>
        <v>0</v>
      </c>
      <c r="BO27" s="86">
        <f>IFERROR(VLOOKUP(W27,'[2]RETAIL ORIGEN RMKT'!$S$11:$AF$62,11,0),0)</f>
        <v>0</v>
      </c>
      <c r="BP27" s="150">
        <f t="shared" si="124"/>
        <v>0</v>
      </c>
      <c r="BQ27" s="148">
        <f>SUMIF('UC MINI 2026'!$B$5:$B$61,'UC MINI 2026 MINI NEXT'!$B27,'UC MINI 2026'!$V$5:$V$61)</f>
        <v>0</v>
      </c>
      <c r="BR27" s="86">
        <f>SUMIF('UC MINI 2026'!$B$5:$B$61,'UC MINI 2026 MINI NEXT'!$B27,'UC MINI 2026'!$Y$5:$Y$61)</f>
        <v>0</v>
      </c>
      <c r="BS27" s="297">
        <f t="shared" si="125"/>
        <v>0</v>
      </c>
      <c r="BT27" s="86">
        <f>IFERROR(VLOOKUP(B27,[2]BPS!$S$10:$AF$64,12,0),0)-IF(B27=100873,IFERROR(VLOOKUP("OCTUBRE",[2]BPS!$S$74:$T$89,2,0),0),0)</f>
        <v>0</v>
      </c>
      <c r="BU27" s="285">
        <f t="shared" si="126"/>
        <v>0</v>
      </c>
      <c r="BV27" s="86">
        <f>IFERROR(VLOOKUP(AD27,'[2]RETAIL ORIGEN RMKT'!$S$11:$AF$62,12,0),0)</f>
        <v>0</v>
      </c>
      <c r="BW27" s="150">
        <f t="shared" si="127"/>
        <v>0</v>
      </c>
      <c r="BX27" s="148">
        <f>SUMIF('UC MINI 2026'!$B$5:$B$61,'UC MINI 2026 MINI NEXT'!$B27,'UC MINI 2026'!$V$5:$V$61)</f>
        <v>0</v>
      </c>
      <c r="BY27" s="86">
        <f>SUMIF('UC MINI 2026'!$B$5:$B$61,'UC MINI 2026 MINI NEXT'!$B27,'UC MINI 2026'!$AA$5:$AA$61)</f>
        <v>0</v>
      </c>
      <c r="BZ27" s="297">
        <f t="shared" si="128"/>
        <v>0</v>
      </c>
      <c r="CA27" s="86">
        <f>IFERROR(VLOOKUP(B27,[2]BPS!$S$10:$AF$64,13,0),0)-IF(B27=100873,IFERROR(VLOOKUP("NOVIEMBRE",[2]BPS!$S$74:$T$89,2,0),0),0)</f>
        <v>0</v>
      </c>
      <c r="CB27" s="285">
        <f t="shared" si="129"/>
        <v>0</v>
      </c>
      <c r="CC27" s="86">
        <f>IFERROR(VLOOKUP(AK27,'[2]RETAIL ORIGEN RMKT'!$S$11:$AF$62,13,0),0)</f>
        <v>0</v>
      </c>
      <c r="CD27" s="150">
        <f t="shared" si="130"/>
        <v>0</v>
      </c>
      <c r="CE27" s="148">
        <f>SUMIF('UC MINI 2026'!$B$5:$B$61,'UC MINI 2026 MINI NEXT'!$B27,'UC MINI 2026'!$V$5:$V$61)</f>
        <v>0</v>
      </c>
      <c r="CF27" s="86">
        <f>SUMIF('UC MINI 2026'!$B$5:$B$61,'UC MINI 2026 MINI NEXT'!$B27,'UC MINI 2026'!$AC$5:$AC$61)</f>
        <v>0</v>
      </c>
      <c r="CG27" s="297">
        <f t="shared" si="131"/>
        <v>0</v>
      </c>
      <c r="CH27" s="86">
        <f>IFERROR(VLOOKUP(B27,[2]BPS!$S$10:$AF$64,14,0),0)-IF(B27=100873,IFERROR(VLOOKUP("DICIEMBRE",[2]BPS!$S$74:$T$89,2,0),0),0)</f>
        <v>0</v>
      </c>
      <c r="CI27" s="285">
        <f t="shared" si="132"/>
        <v>0</v>
      </c>
      <c r="CJ27" s="86">
        <f>IFERROR(VLOOKUP(AR27,'[2]RETAIL ORIGEN RMKT'!$S$11:$AF$62,14,0),0)</f>
        <v>0</v>
      </c>
      <c r="CK27" s="150">
        <f t="shared" si="133"/>
        <v>0</v>
      </c>
      <c r="CL27" s="54">
        <f t="shared" si="161"/>
        <v>30</v>
      </c>
      <c r="CM27" s="86">
        <f t="shared" si="161"/>
        <v>40</v>
      </c>
      <c r="CN27" s="109">
        <f t="shared" si="134"/>
        <v>1.3333333333333333</v>
      </c>
      <c r="CO27" s="86">
        <f t="shared" si="135"/>
        <v>38</v>
      </c>
      <c r="CP27" s="297">
        <f t="shared" si="136"/>
        <v>0.95</v>
      </c>
      <c r="CQ27" s="348">
        <f t="shared" si="137"/>
        <v>3</v>
      </c>
      <c r="CR27" s="149">
        <f t="shared" si="138"/>
        <v>0.1</v>
      </c>
      <c r="CS27" s="54">
        <f t="shared" si="139"/>
        <v>30</v>
      </c>
      <c r="CT27" s="86">
        <f t="shared" si="140"/>
        <v>40</v>
      </c>
      <c r="CU27" s="109">
        <f t="shared" si="141"/>
        <v>1.3333333333333333</v>
      </c>
      <c r="CV27" s="68">
        <f t="shared" si="142"/>
        <v>38</v>
      </c>
      <c r="CW27" s="297">
        <f t="shared" si="143"/>
        <v>0.95</v>
      </c>
      <c r="CX27" s="350">
        <f t="shared" si="144"/>
        <v>3</v>
      </c>
      <c r="CY27" s="149">
        <f t="shared" si="145"/>
        <v>0.1</v>
      </c>
      <c r="CZ27" s="54">
        <f t="shared" si="162"/>
        <v>15</v>
      </c>
      <c r="DA27" s="86">
        <f t="shared" si="162"/>
        <v>16</v>
      </c>
      <c r="DB27" s="109">
        <f t="shared" si="146"/>
        <v>1.0666666666666667</v>
      </c>
      <c r="DC27" s="68">
        <f t="shared" si="147"/>
        <v>14</v>
      </c>
      <c r="DD27" s="297">
        <f t="shared" si="148"/>
        <v>0.875</v>
      </c>
      <c r="DE27" s="350">
        <f t="shared" si="149"/>
        <v>1</v>
      </c>
      <c r="DF27" s="150">
        <f t="shared" si="150"/>
        <v>6.6666666666666666E-2</v>
      </c>
      <c r="DG27" s="54">
        <f t="shared" si="163"/>
        <v>30</v>
      </c>
      <c r="DH27" s="86">
        <f t="shared" si="163"/>
        <v>40</v>
      </c>
      <c r="DI27" s="109">
        <f t="shared" si="151"/>
        <v>1.3333333333333333</v>
      </c>
      <c r="DJ27" s="68">
        <f t="shared" si="152"/>
        <v>38</v>
      </c>
      <c r="DK27" s="297">
        <f t="shared" si="153"/>
        <v>0.95</v>
      </c>
      <c r="DL27" s="350">
        <f t="shared" si="154"/>
        <v>3</v>
      </c>
      <c r="DM27" s="150">
        <f t="shared" si="155"/>
        <v>0.1</v>
      </c>
      <c r="DN27" s="67">
        <f t="shared" si="164"/>
        <v>0</v>
      </c>
      <c r="DO27" s="266">
        <f t="shared" si="164"/>
        <v>0</v>
      </c>
      <c r="DP27" s="109">
        <f t="shared" si="156"/>
        <v>0</v>
      </c>
      <c r="DQ27" s="68">
        <f t="shared" si="157"/>
        <v>0</v>
      </c>
      <c r="DR27" s="297" t="str">
        <f t="shared" si="158"/>
        <v>N.D.</v>
      </c>
      <c r="DS27" s="350">
        <f t="shared" si="159"/>
        <v>0</v>
      </c>
      <c r="DT27" s="150">
        <f t="shared" si="160"/>
        <v>0</v>
      </c>
      <c r="DU27" s="53">
        <v>1</v>
      </c>
      <c r="DX27" s="53">
        <v>40</v>
      </c>
      <c r="DY27" s="53">
        <v>45</v>
      </c>
      <c r="DZ27" s="513">
        <v>1.1481481481481481</v>
      </c>
      <c r="EB27" s="513">
        <v>0.97826086956521741</v>
      </c>
      <c r="EC27" s="53">
        <v>10</v>
      </c>
      <c r="ED27" s="513">
        <v>0.23809523809523808</v>
      </c>
    </row>
    <row r="28" spans="1:134" s="53" customFormat="1" ht="16" customHeight="1" x14ac:dyDescent="0.3">
      <c r="A28" s="53">
        <f>_xlfn.XLOOKUP(B28,'UC MINI 2026'!$B$5:$B$61,'UC MINI 2026'!$A$5:$A$61)</f>
        <v>4</v>
      </c>
      <c r="B28" s="179">
        <v>100346</v>
      </c>
      <c r="C28" s="381" t="s">
        <v>46</v>
      </c>
      <c r="D28" s="146"/>
      <c r="E28" s="379" t="s">
        <v>81</v>
      </c>
      <c r="F28" s="54">
        <f>SUMIF('UC MINI 2026'!$B$5:$B$71,'UC MINI 2026 MINI NEXT'!$B28,'UC MINI 2026'!$F$5:$F$71)</f>
        <v>2</v>
      </c>
      <c r="G28" s="86">
        <f>SUMIF('UC MINI 2026'!$B$5:$B$71,'UC MINI 2026 MINI NEXT'!$B28,'UC MINI 2026'!$G$5:$G$71)</f>
        <v>0</v>
      </c>
      <c r="H28" s="297">
        <f t="shared" si="98"/>
        <v>0</v>
      </c>
      <c r="I28" s="86">
        <f>IFERROR(VLOOKUP(B28,[2]BPS!$S$10:$AF$64,3,0),0)-IF(B28=100873,IFERROR(VLOOKUP("Enero",[2]BPS!$S$74:$T$89,2,0),0),0)</f>
        <v>0</v>
      </c>
      <c r="J28" s="297">
        <f t="shared" si="99"/>
        <v>0</v>
      </c>
      <c r="K28" s="86">
        <f>IFERROR(VLOOKUP(B28,'[2]RETAIL ORIGEN RMKT'!$S$11:$AF$62,3,0),0)</f>
        <v>0</v>
      </c>
      <c r="L28" s="150">
        <f t="shared" si="100"/>
        <v>0</v>
      </c>
      <c r="M28" s="79">
        <f>SUMIF('UC MINI 2026'!$B$5:$B$61,'UC MINI 2026 MINI NEXT'!$B28,'UC MINI 2026'!$H$5:$H$61)</f>
        <v>3</v>
      </c>
      <c r="N28" s="86">
        <f>SUMIF('UC MINI 2026'!$B$5:$B$61,'UC MINI 2026 MINI NEXT'!$B28,'UC MINI 2026'!$I$5:$I$61)</f>
        <v>2</v>
      </c>
      <c r="O28" s="297">
        <f t="shared" si="101"/>
        <v>0.66666666666666663</v>
      </c>
      <c r="P28" s="86">
        <f>IFERROR(VLOOKUP(B28,[2]BPS!$S$10:$AF$64,4,0),0)-IF(B28=100873,IFERROR(VLOOKUP("FEBRERO",[2]BPS!$S$74:$T$89,2,0),0),0)</f>
        <v>2</v>
      </c>
      <c r="Q28" s="297">
        <f t="shared" si="102"/>
        <v>1</v>
      </c>
      <c r="R28" s="86">
        <f>IFERROR(VLOOKUP(B28,'[2]RETAIL ORIGEN RMKT'!$S$11:$AF$62,4,0),0)</f>
        <v>0</v>
      </c>
      <c r="S28" s="150">
        <f t="shared" si="103"/>
        <v>0</v>
      </c>
      <c r="T28" s="148">
        <f>SUMIF('UC MINI 2026'!$B$5:$B$71,'UC MINI 2026 MINI NEXT'!$B28,'UC MINI 2026'!$J$5:$J$71)</f>
        <v>3</v>
      </c>
      <c r="U28" s="86">
        <f>SUMIF('UC MINI 2026'!$B$10:$B$61,'UC MINI 2026 MINI NEXT'!$B28,'UC MINI 2026'!$K$10:$K$61)</f>
        <v>1</v>
      </c>
      <c r="V28" s="297">
        <f t="shared" si="104"/>
        <v>0.33333333333333331</v>
      </c>
      <c r="W28" s="86">
        <f>IFERROR(VLOOKUP(B28,[2]BPS!$S$10:$AF$64,5,0),0)-IF(B28=100873,IFERROR(VLOOKUP("MARZO",[2]BPS!$S$74:$T$89,2,0),0),0)</f>
        <v>1</v>
      </c>
      <c r="X28" s="297">
        <f t="shared" si="105"/>
        <v>1</v>
      </c>
      <c r="Y28" s="86">
        <f>IFERROR(VLOOKUP(B28,'[2]RETAIL ORIGEN RMKT'!$S$11:$AF$62,5,0),0)</f>
        <v>0</v>
      </c>
      <c r="Z28" s="150">
        <f t="shared" si="106"/>
        <v>0</v>
      </c>
      <c r="AA28" s="148">
        <f>SUMIF('UC MINI 2026'!$B$5:$B$61,'UC MINI 2026 MINI NEXT'!$B28,'UC MINI 2026'!$L$5:$L$61)</f>
        <v>3</v>
      </c>
      <c r="AB28" s="86">
        <f>SUMIF('UC MINI 2026'!$B$5:$B$61,'UC MINI 2026 MINI NEXT'!$B28,'UC MINI 2026'!$M$5:$M$61)</f>
        <v>2</v>
      </c>
      <c r="AC28" s="297">
        <f t="shared" si="107"/>
        <v>0.66666666666666663</v>
      </c>
      <c r="AD28" s="86">
        <f>IFERROR(VLOOKUP(B28,[2]BPS!$S$10:$AF$64,6,0),0)-IF(B28=100873,IFERROR(VLOOKUP("ABRIL",[2]BPS!$S$74:$T$89,2,0),0),0)</f>
        <v>2</v>
      </c>
      <c r="AE28" s="285">
        <f t="shared" si="108"/>
        <v>1</v>
      </c>
      <c r="AF28" s="86">
        <f>IFERROR(VLOOKUP(B28,'[2]RETAIL ORIGEN RMKT'!$S$11:$AF$62,6,0),0)</f>
        <v>0</v>
      </c>
      <c r="AG28" s="150">
        <f t="shared" si="109"/>
        <v>0</v>
      </c>
      <c r="AH28" s="148">
        <f>SUMIF('UC MINI 2026'!$B$5:$B$61,'UC MINI 2026 MINI NEXT'!$B28,'UC MINI 2026'!$N$5:$N$61)</f>
        <v>3</v>
      </c>
      <c r="AI28" s="86">
        <f>SUMIF('UC MINI 2026'!$B$5:$B$61,'UC MINI 2026 MINI NEXT'!$B28,'UC MINI 2026'!$O$5:$O$61)</f>
        <v>2</v>
      </c>
      <c r="AJ28" s="297">
        <f t="shared" si="110"/>
        <v>0.66666666666666663</v>
      </c>
      <c r="AK28" s="86">
        <f>IFERROR(VLOOKUP(B28,[2]BPS!$S$10:$AF$64,7,0),0)-IF(B28=100873,IFERROR(VLOOKUP("MAYO",[2]BPS!$S$74:$T$89,2,0),0),0)</f>
        <v>2</v>
      </c>
      <c r="AL28" s="285">
        <f t="shared" si="111"/>
        <v>1</v>
      </c>
      <c r="AM28" s="86">
        <f>IFERROR(VLOOKUP(B28,'[2]RETAIL ORIGEN RMKT'!$S$11:$AF$62,7,0),0)</f>
        <v>0</v>
      </c>
      <c r="AN28" s="150">
        <f t="shared" si="112"/>
        <v>0</v>
      </c>
      <c r="AO28" s="148">
        <f>SUMIF('UC MINI 2026'!$B$5:$B$61,'UC MINI 2026 MINI NEXT'!$B28,'UC MINI 2026'!$P$5:$P$61)</f>
        <v>3</v>
      </c>
      <c r="AP28" s="86">
        <f>SUMIF('UC MINI 2026'!$B$5:$B$61,'UC MINI 2026 MINI NEXT'!$B28,'UC MINI 2026'!$Q$5:$Q$61)</f>
        <v>1</v>
      </c>
      <c r="AQ28" s="297">
        <f t="shared" si="113"/>
        <v>0.33333333333333331</v>
      </c>
      <c r="AR28" s="86">
        <f>IFERROR(VLOOKUP(B28,[2]BPS!$S$10:$AF$64,8,0),0)-IF(B28=100873,IFERROR(VLOOKUP("JUNIO",[2]BPS!$S$74:$T$89,2,0),0),0)</f>
        <v>1</v>
      </c>
      <c r="AS28" s="285">
        <f t="shared" si="114"/>
        <v>1</v>
      </c>
      <c r="AT28" s="86">
        <f>IFERROR(VLOOKUP(B28,'[2]RETAIL ORIGEN RMKT'!$S$11:$AF$62,8,0),0)</f>
        <v>0</v>
      </c>
      <c r="AU28" s="150">
        <f t="shared" si="115"/>
        <v>0</v>
      </c>
      <c r="AV28" s="148">
        <f>SUMIF('UC MINI 2026'!$B$5:$B$61,'UC MINI 2026 MINI NEXT'!$B28,'UC MINI 2026'!$R$5:$R$61)</f>
        <v>3</v>
      </c>
      <c r="AW28" s="86">
        <f>SUMIF('UC MINI 2026'!$B$5:$B$61,'UC MINI 2026 MINI NEXT'!$B28,'UC MINI 2026'!$S$5:$S$61)</f>
        <v>0</v>
      </c>
      <c r="AX28" s="297">
        <f t="shared" si="116"/>
        <v>0</v>
      </c>
      <c r="AY28" s="86">
        <f>IFERROR(VLOOKUP(B28,[2]BPS!$S$10:$AF$64,9,0),0)-IF(B28=100873,IFERROR(VLOOKUP("JULIO",[2]BPS!$S$74:$T$89,2,0),0),0)</f>
        <v>0</v>
      </c>
      <c r="AZ28" s="285">
        <f t="shared" si="117"/>
        <v>0</v>
      </c>
      <c r="BA28" s="86">
        <f>IFERROR(VLOOKUP(I28,'[2]RETAIL ORIGEN RMKT'!$S$11:$AF$62,9,0),0)</f>
        <v>0</v>
      </c>
      <c r="BB28" s="150">
        <f t="shared" si="118"/>
        <v>0</v>
      </c>
      <c r="BC28" s="148">
        <f>SUMIF('UC MINI 2026'!$B$5:$B$61,'UC MINI 2026 MINI NEXT'!$B28,'UC MINI 2026'!$T$5:$T$61)</f>
        <v>3</v>
      </c>
      <c r="BD28" s="86">
        <f>SUMIF('UC MINI 2026'!$B$5:$B$61,'UC MINI 2026 MINI NEXT'!$B28,'UC MINI 2026'!$U$5:$U$61)</f>
        <v>0</v>
      </c>
      <c r="BE28" s="297">
        <f t="shared" si="119"/>
        <v>0</v>
      </c>
      <c r="BF28" s="86">
        <f>IFERROR(VLOOKUP(B28,[2]BPS!$S$10:$AF$64,10,0),0)-IF(B28=100873,IFERROR(VLOOKUP("AGOSTO",[2]BPS!$S$74:$T$89,2,0),0),0)</f>
        <v>0</v>
      </c>
      <c r="BG28" s="285">
        <f t="shared" si="120"/>
        <v>0</v>
      </c>
      <c r="BH28" s="86">
        <f>IFERROR(VLOOKUP(P28,'[2]RETAIL ORIGEN RMKT'!$S$11:$AF$62,10,0),0)</f>
        <v>0</v>
      </c>
      <c r="BI28" s="150">
        <f t="shared" si="121"/>
        <v>0</v>
      </c>
      <c r="BJ28" s="148">
        <f>SUMIF('UC MINI 2026'!$B$5:$B$61,'UC MINI 2026 MINI NEXT'!$B28,'UC MINI 2026'!$V$5:$V$61)</f>
        <v>3</v>
      </c>
      <c r="BK28" s="86">
        <f>SUMIF('UC MINI 2026'!$B$5:$B$61,'UC MINI 2026 MINI NEXT'!$B28,'UC MINI 2026'!$W$5:$W$61)</f>
        <v>0</v>
      </c>
      <c r="BL28" s="297">
        <f t="shared" si="122"/>
        <v>0</v>
      </c>
      <c r="BM28" s="86">
        <f>IFERROR(VLOOKUP(B28,[2]BPS!$S$10:$AF$64,11,0),0)-IF(B28=100873,IFERROR(VLOOKUP("SEPTIEMBRE",[2]BPS!$S$74:$T$89,2,0),0),0)</f>
        <v>0</v>
      </c>
      <c r="BN28" s="285">
        <f t="shared" si="123"/>
        <v>0</v>
      </c>
      <c r="BO28" s="86">
        <f>IFERROR(VLOOKUP(W28,'[2]RETAIL ORIGEN RMKT'!$S$11:$AF$62,11,0),0)</f>
        <v>0</v>
      </c>
      <c r="BP28" s="150">
        <f t="shared" si="124"/>
        <v>0</v>
      </c>
      <c r="BQ28" s="148">
        <f>SUMIF('UC MINI 2026'!$B$5:$B$61,'UC MINI 2026 MINI NEXT'!$B28,'UC MINI 2026'!$V$5:$V$61)</f>
        <v>3</v>
      </c>
      <c r="BR28" s="86">
        <f>SUMIF('UC MINI 2026'!$B$5:$B$61,'UC MINI 2026 MINI NEXT'!$B28,'UC MINI 2026'!$Y$5:$Y$61)</f>
        <v>0</v>
      </c>
      <c r="BS28" s="297">
        <f t="shared" si="125"/>
        <v>0</v>
      </c>
      <c r="BT28" s="86">
        <f>IFERROR(VLOOKUP(B28,[2]BPS!$S$10:$AF$64,12,0),0)-IF(B28=100873,IFERROR(VLOOKUP("OCTUBRE",[2]BPS!$S$74:$T$89,2,0),0),0)</f>
        <v>0</v>
      </c>
      <c r="BU28" s="285">
        <f t="shared" si="126"/>
        <v>0</v>
      </c>
      <c r="BV28" s="86">
        <f>IFERROR(VLOOKUP(AD28,'[2]RETAIL ORIGEN RMKT'!$S$11:$AF$62,12,0),0)</f>
        <v>0</v>
      </c>
      <c r="BW28" s="150">
        <f t="shared" si="127"/>
        <v>0</v>
      </c>
      <c r="BX28" s="148">
        <f>SUMIF('UC MINI 2026'!$B$5:$B$61,'UC MINI 2026 MINI NEXT'!$B28,'UC MINI 2026'!$V$5:$V$61)</f>
        <v>3</v>
      </c>
      <c r="BY28" s="86">
        <f>SUMIF('UC MINI 2026'!$B$5:$B$61,'UC MINI 2026 MINI NEXT'!$B28,'UC MINI 2026'!$AA$5:$AA$61)</f>
        <v>0</v>
      </c>
      <c r="BZ28" s="297">
        <f t="shared" si="128"/>
        <v>0</v>
      </c>
      <c r="CA28" s="86">
        <f>IFERROR(VLOOKUP(B28,[2]BPS!$S$10:$AF$64,13,0),0)-IF(B28=100873,IFERROR(VLOOKUP("NOVIEMBRE",[2]BPS!$S$74:$T$89,2,0),0),0)</f>
        <v>0</v>
      </c>
      <c r="CB28" s="285">
        <f t="shared" si="129"/>
        <v>0</v>
      </c>
      <c r="CC28" s="86">
        <f>IFERROR(VLOOKUP(AK28,'[2]RETAIL ORIGEN RMKT'!$S$11:$AF$62,13,0),0)</f>
        <v>0</v>
      </c>
      <c r="CD28" s="150">
        <f t="shared" si="130"/>
        <v>0</v>
      </c>
      <c r="CE28" s="148">
        <f>SUMIF('UC MINI 2026'!$B$5:$B$61,'UC MINI 2026 MINI NEXT'!$B28,'UC MINI 2026'!$V$5:$V$61)</f>
        <v>3</v>
      </c>
      <c r="CF28" s="86">
        <f>SUMIF('UC MINI 2026'!$B$5:$B$61,'UC MINI 2026 MINI NEXT'!$B28,'UC MINI 2026'!$AC$5:$AC$61)</f>
        <v>0</v>
      </c>
      <c r="CG28" s="297">
        <f t="shared" si="131"/>
        <v>0</v>
      </c>
      <c r="CH28" s="86">
        <f>IFERROR(VLOOKUP(B28,[2]BPS!$S$10:$AF$64,14,0),0)-IF(B28=100873,IFERROR(VLOOKUP("DICIEMBRE",[2]BPS!$S$74:$T$89,2,0),0),0)</f>
        <v>0</v>
      </c>
      <c r="CI28" s="285">
        <f t="shared" si="132"/>
        <v>0</v>
      </c>
      <c r="CJ28" s="86">
        <f>IFERROR(VLOOKUP(AR28,'[2]RETAIL ORIGEN RMKT'!$S$11:$AF$62,14,0),0)</f>
        <v>0</v>
      </c>
      <c r="CK28" s="150">
        <f t="shared" si="133"/>
        <v>0</v>
      </c>
      <c r="CL28" s="54">
        <f t="shared" si="161"/>
        <v>17</v>
      </c>
      <c r="CM28" s="86">
        <f t="shared" si="161"/>
        <v>8</v>
      </c>
      <c r="CN28" s="109">
        <f t="shared" si="134"/>
        <v>0.47058823529411764</v>
      </c>
      <c r="CO28" s="86">
        <f t="shared" si="135"/>
        <v>8</v>
      </c>
      <c r="CP28" s="297">
        <f t="shared" si="136"/>
        <v>1</v>
      </c>
      <c r="CQ28" s="348">
        <f t="shared" si="137"/>
        <v>0</v>
      </c>
      <c r="CR28" s="149">
        <f t="shared" si="138"/>
        <v>0</v>
      </c>
      <c r="CS28" s="54">
        <f t="shared" si="139"/>
        <v>35</v>
      </c>
      <c r="CT28" s="86">
        <f t="shared" si="140"/>
        <v>8</v>
      </c>
      <c r="CU28" s="109">
        <f t="shared" si="141"/>
        <v>0.22857142857142856</v>
      </c>
      <c r="CV28" s="68">
        <f t="shared" si="142"/>
        <v>8</v>
      </c>
      <c r="CW28" s="297">
        <f t="shared" si="143"/>
        <v>1</v>
      </c>
      <c r="CX28" s="350">
        <f t="shared" si="144"/>
        <v>0</v>
      </c>
      <c r="CY28" s="149">
        <f t="shared" si="145"/>
        <v>0</v>
      </c>
      <c r="CZ28" s="54">
        <f t="shared" si="162"/>
        <v>8</v>
      </c>
      <c r="DA28" s="86">
        <f t="shared" si="162"/>
        <v>3</v>
      </c>
      <c r="DB28" s="109">
        <f t="shared" si="146"/>
        <v>0.375</v>
      </c>
      <c r="DC28" s="68">
        <f t="shared" si="147"/>
        <v>3</v>
      </c>
      <c r="DD28" s="297">
        <f t="shared" si="148"/>
        <v>1</v>
      </c>
      <c r="DE28" s="350">
        <f t="shared" si="149"/>
        <v>0</v>
      </c>
      <c r="DF28" s="150">
        <f t="shared" si="150"/>
        <v>0</v>
      </c>
      <c r="DG28" s="54">
        <f t="shared" si="163"/>
        <v>17</v>
      </c>
      <c r="DH28" s="86">
        <f t="shared" si="163"/>
        <v>8</v>
      </c>
      <c r="DI28" s="109">
        <f t="shared" si="151"/>
        <v>0.47058823529411764</v>
      </c>
      <c r="DJ28" s="68">
        <f t="shared" si="152"/>
        <v>8</v>
      </c>
      <c r="DK28" s="297">
        <f t="shared" si="153"/>
        <v>1</v>
      </c>
      <c r="DL28" s="350">
        <f t="shared" si="154"/>
        <v>0</v>
      </c>
      <c r="DM28" s="150">
        <f t="shared" si="155"/>
        <v>0</v>
      </c>
      <c r="DN28" s="67">
        <f t="shared" si="164"/>
        <v>18</v>
      </c>
      <c r="DO28" s="266">
        <f t="shared" si="164"/>
        <v>0</v>
      </c>
      <c r="DP28" s="109">
        <f t="shared" si="156"/>
        <v>0</v>
      </c>
      <c r="DQ28" s="68">
        <f t="shared" si="157"/>
        <v>0</v>
      </c>
      <c r="DR28" s="297" t="str">
        <f t="shared" si="158"/>
        <v>N.D.</v>
      </c>
      <c r="DS28" s="350">
        <f t="shared" si="159"/>
        <v>0</v>
      </c>
      <c r="DT28" s="150">
        <f t="shared" si="160"/>
        <v>0</v>
      </c>
      <c r="DU28" s="53">
        <v>1</v>
      </c>
      <c r="DX28" s="53">
        <v>36</v>
      </c>
      <c r="DY28" s="53">
        <v>40</v>
      </c>
      <c r="DZ28" s="513">
        <v>1.1333333333333333</v>
      </c>
      <c r="EB28" s="513">
        <v>0.97619047619047616</v>
      </c>
      <c r="EC28" s="53">
        <v>9</v>
      </c>
      <c r="ED28" s="513">
        <v>0.23333333333333334</v>
      </c>
    </row>
    <row r="29" spans="1:134" s="53" customFormat="1" ht="16" customHeight="1" thickBot="1" x14ac:dyDescent="0.35">
      <c r="A29" s="53">
        <f>_xlfn.XLOOKUP(B29,'UC MINI 2026'!$B$5:$B$61,'UC MINI 2026'!$A$5:$A$61)</f>
        <v>4</v>
      </c>
      <c r="B29" s="179">
        <v>100571</v>
      </c>
      <c r="C29" s="381" t="s">
        <v>48</v>
      </c>
      <c r="D29" s="146"/>
      <c r="E29" s="379" t="s">
        <v>82</v>
      </c>
      <c r="F29" s="54">
        <f>SUMIF('UC MINI 2026'!$B$5:$B$71,'UC MINI 2026 MINI NEXT'!$B29,'UC MINI 2026'!$F$5:$F$71)</f>
        <v>1</v>
      </c>
      <c r="G29" s="86">
        <f>SUMIF('UC MINI 2026'!$B$5:$B$71,'UC MINI 2026 MINI NEXT'!$B29,'UC MINI 2026'!$G$5:$G$71)</f>
        <v>0</v>
      </c>
      <c r="H29" s="299">
        <f t="shared" si="98"/>
        <v>0</v>
      </c>
      <c r="I29" s="86">
        <f>IFERROR(VLOOKUP(B29,[2]BPS!$S$10:$AF$64,3,0),0)-IF(B29=100873,IFERROR(VLOOKUP("Enero",[2]BPS!$S$74:$T$89,2,0),0),0)</f>
        <v>0</v>
      </c>
      <c r="J29" s="299">
        <f t="shared" si="99"/>
        <v>0</v>
      </c>
      <c r="K29" s="86">
        <f>IFERROR(VLOOKUP(B29,'[2]RETAIL ORIGEN RMKT'!$S$11:$AF$62,3,0),0)</f>
        <v>0</v>
      </c>
      <c r="L29" s="153">
        <f t="shared" si="100"/>
        <v>0</v>
      </c>
      <c r="M29" s="79">
        <f>SUMIF('UC MINI 2026'!$B$5:$B$61,'UC MINI 2026 MINI NEXT'!$B29,'UC MINI 2026'!$H$5:$H$61)</f>
        <v>1</v>
      </c>
      <c r="N29" s="86">
        <f>SUMIF('UC MINI 2026'!$B$5:$B$61,'UC MINI 2026 MINI NEXT'!$B29,'UC MINI 2026'!$I$5:$I$61)</f>
        <v>3</v>
      </c>
      <c r="O29" s="299">
        <f t="shared" si="101"/>
        <v>3</v>
      </c>
      <c r="P29" s="86">
        <f>IFERROR(VLOOKUP(B29,[2]BPS!$S$10:$AF$64,4,0),0)-IF(B29=100873,IFERROR(VLOOKUP("FEBRERO",[2]BPS!$S$74:$T$89,2,0),0),0)</f>
        <v>3</v>
      </c>
      <c r="Q29" s="299">
        <f t="shared" si="102"/>
        <v>1</v>
      </c>
      <c r="R29" s="86">
        <f>IFERROR(VLOOKUP(B29,'[2]RETAIL ORIGEN RMKT'!$S$11:$AF$62,4,0),0)</f>
        <v>0</v>
      </c>
      <c r="S29" s="153">
        <f t="shared" si="103"/>
        <v>0</v>
      </c>
      <c r="T29" s="148">
        <f>SUMIF('UC MINI 2026'!$B$5:$B$71,'UC MINI 2026 MINI NEXT'!$B29,'UC MINI 2026'!$J$5:$J$71)</f>
        <v>1</v>
      </c>
      <c r="U29" s="86">
        <f>SUMIF('UC MINI 2026'!$B$10:$B$61,'UC MINI 2026 MINI NEXT'!$B29,'UC MINI 2026'!$K$10:$K$61)</f>
        <v>0</v>
      </c>
      <c r="V29" s="299">
        <f t="shared" si="104"/>
        <v>0</v>
      </c>
      <c r="W29" s="86">
        <f>IFERROR(VLOOKUP(B29,[2]BPS!$S$10:$AF$64,5,0),0)-IF(B29=100873,IFERROR(VLOOKUP("MARZO",[2]BPS!$S$74:$T$89,2,0),0),0)</f>
        <v>0</v>
      </c>
      <c r="X29" s="299">
        <f t="shared" si="105"/>
        <v>0</v>
      </c>
      <c r="Y29" s="86">
        <f>IFERROR(VLOOKUP(B29,'[2]RETAIL ORIGEN RMKT'!$S$11:$AF$62,5,0),0)</f>
        <v>0</v>
      </c>
      <c r="Z29" s="153">
        <f t="shared" si="106"/>
        <v>0</v>
      </c>
      <c r="AA29" s="148">
        <f>SUMIF('UC MINI 2026'!$B$5:$B$61,'UC MINI 2026 MINI NEXT'!$B29,'UC MINI 2026'!$L$5:$L$61)</f>
        <v>1</v>
      </c>
      <c r="AB29" s="86">
        <f>SUMIF('UC MINI 2026'!$B$5:$B$61,'UC MINI 2026 MINI NEXT'!$B29,'UC MINI 2026'!$M$5:$M$61)</f>
        <v>2</v>
      </c>
      <c r="AC29" s="299">
        <f t="shared" si="107"/>
        <v>2</v>
      </c>
      <c r="AD29" s="86">
        <f>IFERROR(VLOOKUP(B29,[2]BPS!$S$10:$AF$64,6,0),0)-IF(B29=100873,IFERROR(VLOOKUP("ABRIL",[2]BPS!$S$74:$T$89,2,0),0),0)</f>
        <v>2</v>
      </c>
      <c r="AE29" s="285">
        <f t="shared" si="108"/>
        <v>1</v>
      </c>
      <c r="AF29" s="86">
        <f>IFERROR(VLOOKUP(B29,'[2]RETAIL ORIGEN RMKT'!$S$11:$AF$62,6,0),0)</f>
        <v>0</v>
      </c>
      <c r="AG29" s="153">
        <f t="shared" si="109"/>
        <v>0</v>
      </c>
      <c r="AH29" s="148">
        <f>SUMIF('UC MINI 2026'!$B$5:$B$61,'UC MINI 2026 MINI NEXT'!$B29,'UC MINI 2026'!$N$5:$N$61)</f>
        <v>1</v>
      </c>
      <c r="AI29" s="86">
        <f>SUMIF('UC MINI 2026'!$B$5:$B$61,'UC MINI 2026 MINI NEXT'!$B29,'UC MINI 2026'!$O$5:$O$61)</f>
        <v>1</v>
      </c>
      <c r="AJ29" s="299">
        <f t="shared" si="110"/>
        <v>1</v>
      </c>
      <c r="AK29" s="86">
        <f>IFERROR(VLOOKUP(B29,[2]BPS!$S$10:$AF$64,7,0),0)-IF(B29=100873,IFERROR(VLOOKUP("MAYO",[2]BPS!$S$74:$T$89,2,0),0),0)</f>
        <v>1</v>
      </c>
      <c r="AL29" s="285">
        <f t="shared" si="111"/>
        <v>1</v>
      </c>
      <c r="AM29" s="86">
        <f>IFERROR(VLOOKUP(B29,'[2]RETAIL ORIGEN RMKT'!$S$11:$AF$62,7,0),0)</f>
        <v>0</v>
      </c>
      <c r="AN29" s="153">
        <f t="shared" si="112"/>
        <v>0</v>
      </c>
      <c r="AO29" s="148">
        <f>SUMIF('UC MINI 2026'!$B$5:$B$61,'UC MINI 2026 MINI NEXT'!$B29,'UC MINI 2026'!$P$5:$P$61)</f>
        <v>1</v>
      </c>
      <c r="AP29" s="86">
        <f>SUMIF('UC MINI 2026'!$B$5:$B$61,'UC MINI 2026 MINI NEXT'!$B29,'UC MINI 2026'!$Q$5:$Q$61)</f>
        <v>1</v>
      </c>
      <c r="AQ29" s="299">
        <f t="shared" si="113"/>
        <v>1</v>
      </c>
      <c r="AR29" s="86">
        <f>IFERROR(VLOOKUP(B29,[2]BPS!$S$10:$AF$64,8,0),0)-IF(B29=100873,IFERROR(VLOOKUP("JUNIO",[2]BPS!$S$74:$T$89,2,0),0),0)</f>
        <v>1</v>
      </c>
      <c r="AS29" s="285">
        <f t="shared" si="114"/>
        <v>1</v>
      </c>
      <c r="AT29" s="86">
        <f>IFERROR(VLOOKUP(B29,'[2]RETAIL ORIGEN RMKT'!$S$11:$AF$62,8,0),0)</f>
        <v>0</v>
      </c>
      <c r="AU29" s="153">
        <f t="shared" si="115"/>
        <v>0</v>
      </c>
      <c r="AV29" s="148">
        <f>SUMIF('UC MINI 2026'!$B$5:$B$61,'UC MINI 2026 MINI NEXT'!$B29,'UC MINI 2026'!$R$5:$R$61)</f>
        <v>0</v>
      </c>
      <c r="AW29" s="86">
        <f>SUMIF('UC MINI 2026'!$B$5:$B$61,'UC MINI 2026 MINI NEXT'!$B29,'UC MINI 2026'!$S$5:$S$61)</f>
        <v>0</v>
      </c>
      <c r="AX29" s="299">
        <f t="shared" si="116"/>
        <v>0</v>
      </c>
      <c r="AY29" s="86">
        <f>IFERROR(VLOOKUP(B29,[2]BPS!$S$10:$AF$64,9,0),0)-IF(B29=100873,IFERROR(VLOOKUP("JULIO",[2]BPS!$S$74:$T$89,2,0),0),0)</f>
        <v>0</v>
      </c>
      <c r="AZ29" s="285">
        <f t="shared" si="117"/>
        <v>0</v>
      </c>
      <c r="BA29" s="86">
        <f>IFERROR(VLOOKUP(I29,'[2]RETAIL ORIGEN RMKT'!$S$11:$AF$62,9,0),0)</f>
        <v>0</v>
      </c>
      <c r="BB29" s="153">
        <f t="shared" si="118"/>
        <v>0</v>
      </c>
      <c r="BC29" s="148">
        <f>SUMIF('UC MINI 2026'!$B$5:$B$61,'UC MINI 2026 MINI NEXT'!$B29,'UC MINI 2026'!$T$5:$T$61)</f>
        <v>0</v>
      </c>
      <c r="BD29" s="86">
        <f>SUMIF('UC MINI 2026'!$B$5:$B$61,'UC MINI 2026 MINI NEXT'!$B29,'UC MINI 2026'!$U$5:$U$61)</f>
        <v>0</v>
      </c>
      <c r="BE29" s="299">
        <f t="shared" si="119"/>
        <v>0</v>
      </c>
      <c r="BF29" s="86">
        <f>IFERROR(VLOOKUP(B29,[2]BPS!$S$10:$AF$64,10,0),0)-IF(B29=100873,IFERROR(VLOOKUP("AGOSTO",[2]BPS!$S$74:$T$89,2,0),0),0)</f>
        <v>0</v>
      </c>
      <c r="BG29" s="285">
        <f t="shared" si="120"/>
        <v>0</v>
      </c>
      <c r="BH29" s="86">
        <f>IFERROR(VLOOKUP(P29,'[2]RETAIL ORIGEN RMKT'!$S$11:$AF$62,10,0),0)</f>
        <v>0</v>
      </c>
      <c r="BI29" s="153">
        <f t="shared" si="121"/>
        <v>0</v>
      </c>
      <c r="BJ29" s="148">
        <f>SUMIF('UC MINI 2026'!$B$5:$B$61,'UC MINI 2026 MINI NEXT'!$B29,'UC MINI 2026'!$V$5:$V$61)</f>
        <v>0</v>
      </c>
      <c r="BK29" s="86">
        <f>SUMIF('UC MINI 2026'!$B$5:$B$61,'UC MINI 2026 MINI NEXT'!$B29,'UC MINI 2026'!$W$5:$W$61)</f>
        <v>0</v>
      </c>
      <c r="BL29" s="299">
        <f t="shared" si="122"/>
        <v>0</v>
      </c>
      <c r="BM29" s="86">
        <f>IFERROR(VLOOKUP(B29,[2]BPS!$S$10:$AF$64,11,0),0)-IF(B29=100873,IFERROR(VLOOKUP("SEPTIEMBRE",[2]BPS!$S$74:$T$89,2,0),0),0)</f>
        <v>0</v>
      </c>
      <c r="BN29" s="285">
        <f t="shared" si="123"/>
        <v>0</v>
      </c>
      <c r="BO29" s="86">
        <f>IFERROR(VLOOKUP(W29,'[2]RETAIL ORIGEN RMKT'!$S$11:$AF$62,11,0),0)</f>
        <v>0</v>
      </c>
      <c r="BP29" s="153">
        <f t="shared" si="124"/>
        <v>0</v>
      </c>
      <c r="BQ29" s="148">
        <f>SUMIF('UC MINI 2026'!$B$5:$B$61,'UC MINI 2026 MINI NEXT'!$B29,'UC MINI 2026'!$V$5:$V$61)</f>
        <v>0</v>
      </c>
      <c r="BR29" s="86">
        <f>SUMIF('UC MINI 2026'!$B$5:$B$61,'UC MINI 2026 MINI NEXT'!$B29,'UC MINI 2026'!$Y$5:$Y$61)</f>
        <v>0</v>
      </c>
      <c r="BS29" s="299">
        <f t="shared" si="125"/>
        <v>0</v>
      </c>
      <c r="BT29" s="86">
        <f>IFERROR(VLOOKUP(B29,[2]BPS!$S$10:$AF$64,12,0),0)-IF(B29=100873,IFERROR(VLOOKUP("OCTUBRE",[2]BPS!$S$74:$T$89,2,0),0),0)</f>
        <v>0</v>
      </c>
      <c r="BU29" s="285">
        <f t="shared" si="126"/>
        <v>0</v>
      </c>
      <c r="BV29" s="86">
        <f>IFERROR(VLOOKUP(AD29,'[2]RETAIL ORIGEN RMKT'!$S$11:$AF$62,12,0),0)</f>
        <v>0</v>
      </c>
      <c r="BW29" s="153">
        <f t="shared" si="127"/>
        <v>0</v>
      </c>
      <c r="BX29" s="148">
        <f>SUMIF('UC MINI 2026'!$B$5:$B$61,'UC MINI 2026 MINI NEXT'!$B29,'UC MINI 2026'!$V$5:$V$61)</f>
        <v>0</v>
      </c>
      <c r="BY29" s="86">
        <f>SUMIF('UC MINI 2026'!$B$5:$B$61,'UC MINI 2026 MINI NEXT'!$B29,'UC MINI 2026'!$AA$5:$AA$61)</f>
        <v>0</v>
      </c>
      <c r="BZ29" s="299">
        <f t="shared" si="128"/>
        <v>0</v>
      </c>
      <c r="CA29" s="86">
        <f>IFERROR(VLOOKUP(B29,[2]BPS!$S$10:$AF$64,13,0),0)-IF(B29=100873,IFERROR(VLOOKUP("NOVIEMBRE",[2]BPS!$S$74:$T$89,2,0),0),0)</f>
        <v>0</v>
      </c>
      <c r="CB29" s="285">
        <f t="shared" si="129"/>
        <v>0</v>
      </c>
      <c r="CC29" s="86">
        <f>IFERROR(VLOOKUP(AK29,'[2]RETAIL ORIGEN RMKT'!$S$11:$AF$62,13,0),0)</f>
        <v>0</v>
      </c>
      <c r="CD29" s="153">
        <f t="shared" si="130"/>
        <v>0</v>
      </c>
      <c r="CE29" s="148">
        <f>SUMIF('UC MINI 2026'!$B$5:$B$61,'UC MINI 2026 MINI NEXT'!$B29,'UC MINI 2026'!$V$5:$V$61)</f>
        <v>0</v>
      </c>
      <c r="CF29" s="86">
        <f>SUMIF('UC MINI 2026'!$B$5:$B$61,'UC MINI 2026 MINI NEXT'!$B29,'UC MINI 2026'!$AC$5:$AC$61)</f>
        <v>0</v>
      </c>
      <c r="CG29" s="299">
        <f t="shared" si="131"/>
        <v>0</v>
      </c>
      <c r="CH29" s="86">
        <f>IFERROR(VLOOKUP(B29,[2]BPS!$S$10:$AF$64,14,0),0)-IF(B29=100873,IFERROR(VLOOKUP("DICIEMBRE",[2]BPS!$S$74:$T$89,2,0),0),0)</f>
        <v>0</v>
      </c>
      <c r="CI29" s="285">
        <f t="shared" si="132"/>
        <v>0</v>
      </c>
      <c r="CJ29" s="86">
        <f>IFERROR(VLOOKUP(AR29,'[2]RETAIL ORIGEN RMKT'!$S$11:$AF$62,14,0),0)</f>
        <v>0</v>
      </c>
      <c r="CK29" s="153">
        <f t="shared" si="133"/>
        <v>0</v>
      </c>
      <c r="CL29" s="58">
        <f t="shared" si="161"/>
        <v>6</v>
      </c>
      <c r="CM29" s="59">
        <f t="shared" si="161"/>
        <v>7</v>
      </c>
      <c r="CN29" s="112">
        <f t="shared" si="134"/>
        <v>1.1666666666666667</v>
      </c>
      <c r="CO29" s="86">
        <f t="shared" si="135"/>
        <v>7</v>
      </c>
      <c r="CP29" s="297">
        <f t="shared" si="136"/>
        <v>1</v>
      </c>
      <c r="CQ29" s="348">
        <f t="shared" si="137"/>
        <v>0</v>
      </c>
      <c r="CR29" s="152">
        <f t="shared" si="138"/>
        <v>0</v>
      </c>
      <c r="CS29" s="58">
        <f t="shared" si="139"/>
        <v>6</v>
      </c>
      <c r="CT29" s="59">
        <f t="shared" si="140"/>
        <v>7</v>
      </c>
      <c r="CU29" s="112">
        <f t="shared" si="141"/>
        <v>1.1666666666666667</v>
      </c>
      <c r="CV29" s="68">
        <f t="shared" si="142"/>
        <v>7</v>
      </c>
      <c r="CW29" s="297">
        <f t="shared" si="143"/>
        <v>1</v>
      </c>
      <c r="CX29" s="350">
        <f t="shared" si="144"/>
        <v>0</v>
      </c>
      <c r="CY29" s="152">
        <f t="shared" si="145"/>
        <v>0</v>
      </c>
      <c r="CZ29" s="58">
        <f t="shared" si="162"/>
        <v>3</v>
      </c>
      <c r="DA29" s="59">
        <f t="shared" si="162"/>
        <v>3</v>
      </c>
      <c r="DB29" s="112">
        <f t="shared" si="146"/>
        <v>1</v>
      </c>
      <c r="DC29" s="68">
        <f t="shared" si="147"/>
        <v>3</v>
      </c>
      <c r="DD29" s="297">
        <f t="shared" si="148"/>
        <v>1</v>
      </c>
      <c r="DE29" s="350">
        <f t="shared" si="149"/>
        <v>0</v>
      </c>
      <c r="DF29" s="153">
        <f t="shared" si="150"/>
        <v>0</v>
      </c>
      <c r="DG29" s="58">
        <f t="shared" si="163"/>
        <v>6</v>
      </c>
      <c r="DH29" s="59">
        <f t="shared" si="163"/>
        <v>7</v>
      </c>
      <c r="DI29" s="112">
        <f t="shared" si="151"/>
        <v>1.1666666666666667</v>
      </c>
      <c r="DJ29" s="68">
        <f t="shared" si="152"/>
        <v>7</v>
      </c>
      <c r="DK29" s="297">
        <f t="shared" si="153"/>
        <v>1</v>
      </c>
      <c r="DL29" s="350">
        <f t="shared" si="154"/>
        <v>0</v>
      </c>
      <c r="DM29" s="153">
        <f t="shared" si="155"/>
        <v>0</v>
      </c>
      <c r="DN29" s="67">
        <f t="shared" si="164"/>
        <v>0</v>
      </c>
      <c r="DO29" s="266">
        <f t="shared" si="164"/>
        <v>0</v>
      </c>
      <c r="DP29" s="112">
        <f t="shared" si="156"/>
        <v>0</v>
      </c>
      <c r="DQ29" s="68">
        <f t="shared" si="157"/>
        <v>0</v>
      </c>
      <c r="DR29" s="297" t="str">
        <f t="shared" si="158"/>
        <v>N.D.</v>
      </c>
      <c r="DS29" s="350">
        <f t="shared" si="159"/>
        <v>0</v>
      </c>
      <c r="DT29" s="153">
        <f t="shared" si="160"/>
        <v>0</v>
      </c>
      <c r="DU29" s="53">
        <v>1</v>
      </c>
      <c r="DX29" s="53">
        <v>30</v>
      </c>
      <c r="DY29" s="53">
        <v>39</v>
      </c>
      <c r="DZ29" s="513">
        <v>1.1333333333333333</v>
      </c>
      <c r="EB29" s="513">
        <v>0.967741935483871</v>
      </c>
      <c r="EC29" s="53">
        <v>9</v>
      </c>
      <c r="ED29" s="513">
        <v>0.23076923076923078</v>
      </c>
    </row>
    <row r="30" spans="1:134" s="53" customFormat="1" ht="16" customHeight="1" thickBot="1" x14ac:dyDescent="0.35">
      <c r="A30" s="53">
        <f>_xlfn.XLOOKUP(B30,'UC MINI 2026'!$B$5:$B$61,'UC MINI 2026'!$A$5:$A$61)</f>
        <v>0</v>
      </c>
      <c r="B30" s="180" t="s">
        <v>266</v>
      </c>
      <c r="C30" s="62"/>
      <c r="D30" s="146"/>
      <c r="E30" s="80"/>
      <c r="F30" s="155">
        <f>SUM(F24:F29)</f>
        <v>11</v>
      </c>
      <c r="G30" s="155">
        <f>SUM(G24:G29)</f>
        <v>11</v>
      </c>
      <c r="H30" s="156">
        <f>IFERROR(G30/F30,0)</f>
        <v>1</v>
      </c>
      <c r="I30" s="155">
        <f>SUM(I24:I29)</f>
        <v>10</v>
      </c>
      <c r="J30" s="156">
        <f t="shared" si="99"/>
        <v>0.90909090909090906</v>
      </c>
      <c r="K30" s="155">
        <f>SUM(K24:K29)</f>
        <v>0</v>
      </c>
      <c r="L30" s="301">
        <f t="shared" si="100"/>
        <v>0</v>
      </c>
      <c r="M30" s="155">
        <f>SUM(M24:M29)</f>
        <v>12</v>
      </c>
      <c r="N30" s="155">
        <f>SUM(N24:N29)</f>
        <v>11</v>
      </c>
      <c r="O30" s="156">
        <f t="shared" ref="O30:O66" si="165">IFERROR(N30/M30,0)</f>
        <v>0.91666666666666663</v>
      </c>
      <c r="P30" s="155">
        <f>SUM(P24:P29)</f>
        <v>10</v>
      </c>
      <c r="Q30" s="156">
        <f t="shared" si="102"/>
        <v>0.90909090909090906</v>
      </c>
      <c r="R30" s="155">
        <f>SUM(R24:R29)</f>
        <v>0</v>
      </c>
      <c r="S30" s="301">
        <f t="shared" si="103"/>
        <v>0</v>
      </c>
      <c r="T30" s="155">
        <f>SUM(T24:T29)</f>
        <v>12</v>
      </c>
      <c r="U30" s="155">
        <f>SUM(U24:U29)</f>
        <v>8</v>
      </c>
      <c r="V30" s="156">
        <f t="shared" ref="V30:V66" si="166">IFERROR(U30/T30,0)</f>
        <v>0.66666666666666663</v>
      </c>
      <c r="W30" s="155">
        <f>SUM(W24:W29)</f>
        <v>7</v>
      </c>
      <c r="X30" s="156">
        <f t="shared" si="105"/>
        <v>0.875</v>
      </c>
      <c r="Y30" s="155">
        <f>SUM(Y24:Y29)</f>
        <v>1</v>
      </c>
      <c r="Z30" s="301">
        <f t="shared" si="106"/>
        <v>8.3333333333333329E-2</v>
      </c>
      <c r="AA30" s="155">
        <f>SUM(AA24:AA29)</f>
        <v>12</v>
      </c>
      <c r="AB30" s="155">
        <f>SUM(AB24:AB29)</f>
        <v>15</v>
      </c>
      <c r="AC30" s="156">
        <f t="shared" ref="AC30:AC66" si="167">IFERROR(AB30/AA30,0)</f>
        <v>1.25</v>
      </c>
      <c r="AD30" s="155">
        <f>SUM(AD24:AD29)</f>
        <v>13</v>
      </c>
      <c r="AE30" s="156">
        <f t="shared" si="108"/>
        <v>0.8666666666666667</v>
      </c>
      <c r="AF30" s="155">
        <f>SUM(AF24:AF29)</f>
        <v>1</v>
      </c>
      <c r="AG30" s="301">
        <f t="shared" si="109"/>
        <v>8.3333333333333329E-2</v>
      </c>
      <c r="AH30" s="155">
        <f>SUM(AH24:AH29)</f>
        <v>12</v>
      </c>
      <c r="AI30" s="155">
        <f>SUM(AI24:AI29)</f>
        <v>16</v>
      </c>
      <c r="AJ30" s="156">
        <f t="shared" ref="AJ30:AJ66" si="168">IFERROR(AI30/AH30,0)</f>
        <v>1.3333333333333333</v>
      </c>
      <c r="AK30" s="155">
        <f>SUM(AK24:AK29)</f>
        <v>16</v>
      </c>
      <c r="AL30" s="156">
        <f t="shared" si="111"/>
        <v>1</v>
      </c>
      <c r="AM30" s="155">
        <f>SUM(AM24:AM29)</f>
        <v>0</v>
      </c>
      <c r="AN30" s="301">
        <f t="shared" si="112"/>
        <v>0</v>
      </c>
      <c r="AO30" s="155">
        <f>SUM(AO24:AO29)</f>
        <v>13</v>
      </c>
      <c r="AP30" s="155">
        <f>SUM(AP24:AP29)</f>
        <v>10</v>
      </c>
      <c r="AQ30" s="156">
        <f t="shared" ref="AQ30:AQ66" si="169">IFERROR(AP30/AO30,0)</f>
        <v>0.76923076923076927</v>
      </c>
      <c r="AR30" s="155">
        <f>SUM(AR24:AR29)</f>
        <v>10</v>
      </c>
      <c r="AS30" s="156">
        <f t="shared" si="114"/>
        <v>1</v>
      </c>
      <c r="AT30" s="155">
        <f>SUM(AT24:AT29)</f>
        <v>1</v>
      </c>
      <c r="AU30" s="301">
        <f t="shared" si="115"/>
        <v>7.6923076923076927E-2</v>
      </c>
      <c r="AV30" s="155">
        <f>SUM(AV24:AV29)</f>
        <v>3</v>
      </c>
      <c r="AW30" s="155">
        <f>SUM(AW24:AW29)</f>
        <v>0</v>
      </c>
      <c r="AX30" s="156">
        <f t="shared" ref="AX30:AX66" si="170">IFERROR(AW30/AV30,0)</f>
        <v>0</v>
      </c>
      <c r="AY30" s="155">
        <f>SUM(AY24:AY29)</f>
        <v>0</v>
      </c>
      <c r="AZ30" s="156">
        <f t="shared" si="117"/>
        <v>0</v>
      </c>
      <c r="BA30" s="155">
        <f>SUM(BA24:BA29)</f>
        <v>0</v>
      </c>
      <c r="BB30" s="301">
        <f t="shared" si="118"/>
        <v>0</v>
      </c>
      <c r="BC30" s="155">
        <f>SUM(BC24:BC29)</f>
        <v>3</v>
      </c>
      <c r="BD30" s="155">
        <f>SUM(BD24:BD29)</f>
        <v>0</v>
      </c>
      <c r="BE30" s="156">
        <f t="shared" ref="BE30:BE66" si="171">IFERROR(BD30/BC30,0)</f>
        <v>0</v>
      </c>
      <c r="BF30" s="155">
        <f>SUM(BF24:BF29)</f>
        <v>0</v>
      </c>
      <c r="BG30" s="156">
        <f t="shared" si="120"/>
        <v>0</v>
      </c>
      <c r="BH30" s="155">
        <f>SUM(BH24:BH29)</f>
        <v>0</v>
      </c>
      <c r="BI30" s="301">
        <f t="shared" si="121"/>
        <v>0</v>
      </c>
      <c r="BJ30" s="155">
        <f>SUM(BJ24:BJ29)</f>
        <v>3</v>
      </c>
      <c r="BK30" s="155">
        <f>SUM(BK24:BK29)</f>
        <v>0</v>
      </c>
      <c r="BL30" s="156">
        <f t="shared" ref="BL30:BL66" si="172">IFERROR(BK30/BJ30,0)</f>
        <v>0</v>
      </c>
      <c r="BM30" s="155">
        <f>SUM(BM24:BM29)</f>
        <v>0</v>
      </c>
      <c r="BN30" s="156">
        <f t="shared" si="123"/>
        <v>0</v>
      </c>
      <c r="BO30" s="155">
        <f>SUM(BO24:BO29)</f>
        <v>0</v>
      </c>
      <c r="BP30" s="301">
        <f t="shared" si="124"/>
        <v>0</v>
      </c>
      <c r="BQ30" s="155">
        <f>SUM(BQ24:BQ29)</f>
        <v>3</v>
      </c>
      <c r="BR30" s="155">
        <f>SUM(BR24:BR29)</f>
        <v>0</v>
      </c>
      <c r="BS30" s="156">
        <f t="shared" ref="BS30:BS66" si="173">IFERROR(BR30/BQ30,0)</f>
        <v>0</v>
      </c>
      <c r="BT30" s="155">
        <f>SUM(BT24:BT29)</f>
        <v>0</v>
      </c>
      <c r="BU30" s="156">
        <f t="shared" si="126"/>
        <v>0</v>
      </c>
      <c r="BV30" s="155">
        <f>SUM(BV24:BV29)</f>
        <v>0</v>
      </c>
      <c r="BW30" s="301">
        <f t="shared" si="127"/>
        <v>0</v>
      </c>
      <c r="BX30" s="155">
        <f>SUM(BX24:BX29)</f>
        <v>3</v>
      </c>
      <c r="BY30" s="155">
        <f>SUM(BY24:BY29)</f>
        <v>0</v>
      </c>
      <c r="BZ30" s="156">
        <f t="shared" ref="BZ30:BZ66" si="174">IFERROR(BY30/BX30,0)</f>
        <v>0</v>
      </c>
      <c r="CA30" s="155">
        <f>SUM(CA24:CA29)</f>
        <v>0</v>
      </c>
      <c r="CB30" s="156">
        <f t="shared" si="129"/>
        <v>0</v>
      </c>
      <c r="CC30" s="155">
        <f>SUM(CC24:CC29)</f>
        <v>0</v>
      </c>
      <c r="CD30" s="301">
        <f t="shared" si="130"/>
        <v>0</v>
      </c>
      <c r="CE30" s="155">
        <f>SUM(CE24:CE29)</f>
        <v>3</v>
      </c>
      <c r="CF30" s="155">
        <f>SUM(CF24:CF29)</f>
        <v>0</v>
      </c>
      <c r="CG30" s="156">
        <f t="shared" ref="CG30:CG66" si="175">IFERROR(CF30/CE30,0)</f>
        <v>0</v>
      </c>
      <c r="CH30" s="155">
        <f>SUM(CH24:CH29)</f>
        <v>0</v>
      </c>
      <c r="CI30" s="156">
        <f t="shared" si="132"/>
        <v>0</v>
      </c>
      <c r="CJ30" s="155">
        <f>SUM(CJ24:CJ29)</f>
        <v>0</v>
      </c>
      <c r="CK30" s="301">
        <f t="shared" si="133"/>
        <v>0</v>
      </c>
      <c r="CL30" s="63">
        <f>SUM(CL24:CL29)</f>
        <v>72</v>
      </c>
      <c r="CM30" s="63">
        <f>SUM(CM24:CM29)</f>
        <v>71</v>
      </c>
      <c r="CN30" s="157">
        <f t="shared" ref="CN30:CN65" si="176">IFERROR((CM30/CL30),0)</f>
        <v>0.98611111111111116</v>
      </c>
      <c r="CO30" s="63">
        <f>SUM(CO24:CO29)</f>
        <v>66</v>
      </c>
      <c r="CP30" s="321">
        <f>IFERROR(CO30/CM30,0)</f>
        <v>0.92957746478873238</v>
      </c>
      <c r="CQ30" s="63">
        <f>SUM(CQ24:CQ29)</f>
        <v>3</v>
      </c>
      <c r="CR30" s="320">
        <f t="shared" ref="CR30:CR66" si="177">IFERROR(CQ30/CL30,0)</f>
        <v>4.1666666666666664E-2</v>
      </c>
      <c r="CS30" s="63">
        <f>SUM(CS24:CS29)</f>
        <v>90</v>
      </c>
      <c r="CT30" s="63">
        <f>SUM(CT24:CT29)</f>
        <v>71</v>
      </c>
      <c r="CU30" s="157">
        <f>IFERROR((CT30/CS30),0)</f>
        <v>0.78888888888888886</v>
      </c>
      <c r="CV30" s="63">
        <f>SUM(CV24:CV29)</f>
        <v>66</v>
      </c>
      <c r="CW30" s="321">
        <f>IFERROR((CV30/CT30),0)</f>
        <v>0.92957746478873238</v>
      </c>
      <c r="CX30" s="349">
        <f>K30+R30+Y30+AF30+AM30+AT30+BA30+BH30+BO30+BV30+CC30+CJ30</f>
        <v>3</v>
      </c>
      <c r="CY30" s="320">
        <f t="shared" ref="CY30:CY66" si="178">IFERROR(CX30/CS30,0)</f>
        <v>3.3333333333333333E-2</v>
      </c>
      <c r="CZ30" s="63">
        <f>SUM(CZ23:CZ29)</f>
        <v>532</v>
      </c>
      <c r="DA30" s="65">
        <f>SUM(DA23:DA29)</f>
        <v>507</v>
      </c>
      <c r="DB30" s="157">
        <f t="shared" ref="DB30:DB49" si="179">IFERROR((DA30/CZ30),0)</f>
        <v>0.95300751879699253</v>
      </c>
      <c r="DC30" s="65">
        <f>SUM(DC23:DC29)</f>
        <v>453</v>
      </c>
      <c r="DD30" s="321">
        <f>IFERROR(DC30/DA30,0)</f>
        <v>0.89349112426035504</v>
      </c>
      <c r="DE30" s="349">
        <f>IF($CZ$5="Q1",K30+R30+Y30,
IF($CZ$5="Q2",AF30+AM30+AT30,
IF($CZ$5="Q3",BA30+BH30+BO30,
IF($CZ$5="Q4",BV30+CC30+CJ30,0))))</f>
        <v>1</v>
      </c>
      <c r="DF30" s="333">
        <f t="shared" ref="DF30:DF49" si="180">IFERROR((DE30/CZ30),0)</f>
        <v>1.8796992481203006E-3</v>
      </c>
      <c r="DG30" s="63">
        <f>IF($DG$5="S 1",F30+M30+T30+AA30+AH30+AO30,
IF($DG$5="S 2",AV30+BC30+BJ30+BQ30+BX30+CE30,0))</f>
        <v>72</v>
      </c>
      <c r="DH30" s="65">
        <f>IF($DG$5="S 1",G30+N30+U30+AB30+AI30+AP30,
IF($DG$5="S 2",AW30+BD30+BK30+BR30+BY30+CF30,0))</f>
        <v>71</v>
      </c>
      <c r="DI30" s="157">
        <f t="shared" ref="DI30:DI49" si="181">IFERROR((DH30/DG30),0)</f>
        <v>0.98611111111111116</v>
      </c>
      <c r="DJ30" s="65">
        <f>IF($DG$5="S 1",I30+P30+W30+AD30+AK30++AR30,
IF($DG$5="S 2",AY30+BF30+BM30+BT30+CA30+CH30,0))</f>
        <v>66</v>
      </c>
      <c r="DK30" s="321">
        <f t="shared" ref="DK30:DK49" si="182">IF(DH30=0,"N.D.",DJ30/DH30)</f>
        <v>0.92957746478873238</v>
      </c>
      <c r="DL30" s="349">
        <f>IF($DG$5="S 1",K30+R30+Y30+AF30+AM30+AT30,
IF($DG$5="S 2",BA30+BH30+BO30+BV30+CC30+CJ30,0))</f>
        <v>3</v>
      </c>
      <c r="DM30" s="333">
        <f t="shared" ref="DM30:DM49" si="183">IFERROR((DL30/DG30),0)</f>
        <v>4.1666666666666664E-2</v>
      </c>
      <c r="DN30" s="63">
        <f>IFERROR(SUM(DN23:DN29),0)</f>
        <v>18</v>
      </c>
      <c r="DO30" s="64">
        <f>IFERROR(SUM(DO23:DO29),0)</f>
        <v>0</v>
      </c>
      <c r="DP30" s="157">
        <f t="shared" ref="DP30:DP37" si="184">IFERROR((DO30/DN30),0)</f>
        <v>0</v>
      </c>
      <c r="DQ30" s="65">
        <f>IFERROR(SUM(DQ23:DQ29),0)</f>
        <v>0</v>
      </c>
      <c r="DR30" s="321" t="str">
        <f t="shared" ref="DR30:DR37" si="185">IF(DO30=0,"N.D.",DQ30/DO30)</f>
        <v>N.D.</v>
      </c>
      <c r="DS30" s="349">
        <f>IFERROR(SUM(DS23:DS29),0)</f>
        <v>0</v>
      </c>
      <c r="DT30" s="333">
        <f t="shared" ref="DT30:DT37" si="186">IFERROR((DS30/DN30),0)</f>
        <v>0</v>
      </c>
      <c r="DU30" s="53">
        <v>0</v>
      </c>
      <c r="DX30" s="53">
        <v>30</v>
      </c>
      <c r="DY30" s="53">
        <v>36</v>
      </c>
      <c r="DZ30" s="513">
        <v>1.1333333333333333</v>
      </c>
      <c r="EB30" s="513">
        <v>0.9555555555555556</v>
      </c>
      <c r="EC30" s="53">
        <v>8</v>
      </c>
      <c r="ED30" s="513">
        <v>0.22222222222222221</v>
      </c>
    </row>
    <row r="31" spans="1:134" s="53" customFormat="1" ht="16" customHeight="1" x14ac:dyDescent="0.3">
      <c r="A31" s="53">
        <f>_xlfn.XLOOKUP(B31,'UC MINI 2026'!$B$5:$B$61,'UC MINI 2026'!$A$5:$A$61)</f>
        <v>5</v>
      </c>
      <c r="B31" s="179">
        <v>100015</v>
      </c>
      <c r="C31" s="381" t="s">
        <v>51</v>
      </c>
      <c r="D31" s="146"/>
      <c r="E31" s="379" t="s">
        <v>79</v>
      </c>
      <c r="F31" s="54">
        <f>SUMIF('UC MINI 2026'!$B$5:$B$71,'UC MINI 2026 MINI NEXT'!$B31,'UC MINI 2026'!$F$5:$F$71)</f>
        <v>3</v>
      </c>
      <c r="G31" s="86">
        <f>SUMIF('UC MINI 2026'!$B$5:$B$71,'UC MINI 2026 MINI NEXT'!$B31,'UC MINI 2026'!$G$5:$G$71)</f>
        <v>3</v>
      </c>
      <c r="H31" s="296">
        <f>IFERROR(G31/F31,0)</f>
        <v>1</v>
      </c>
      <c r="I31" s="86">
        <f>IFERROR(VLOOKUP(B31,[2]BPS!$S$10:$AF$64,3,0),0)-IF(B31=100873,IFERROR(VLOOKUP("Enero",[2]BPS!$S$74:$T$89,2,0),0),0)</f>
        <v>3</v>
      </c>
      <c r="J31" s="296">
        <f t="shared" si="99"/>
        <v>1</v>
      </c>
      <c r="K31" s="86">
        <f>IFERROR(VLOOKUP(B31,'[2]RETAIL ORIGEN RMKT'!$S$11:$AF$62,3,0),0)</f>
        <v>1</v>
      </c>
      <c r="L31" s="147">
        <f t="shared" si="100"/>
        <v>0.33333333333333331</v>
      </c>
      <c r="M31" s="79">
        <f>SUMIF('UC MINI 2026'!$B$5:$B$61,'UC MINI 2026 MINI NEXT'!$B31,'UC MINI 2026'!$H$5:$H$61)</f>
        <v>3</v>
      </c>
      <c r="N31" s="86">
        <f>SUMIF('UC MINI 2026'!$B$5:$B$61,'UC MINI 2026 MINI NEXT'!$B31,'UC MINI 2026'!$I$5:$I$61)</f>
        <v>3</v>
      </c>
      <c r="O31" s="296">
        <f t="shared" si="165"/>
        <v>1</v>
      </c>
      <c r="P31" s="86">
        <f>IFERROR(VLOOKUP(B31,[2]BPS!$S$10:$AF$64,4,0),0)-IF(B31=100873,IFERROR(VLOOKUP("FEBRERO",[2]BPS!$S$74:$T$89,2,0),0),0)</f>
        <v>3</v>
      </c>
      <c r="Q31" s="296">
        <f t="shared" si="102"/>
        <v>1</v>
      </c>
      <c r="R31" s="86">
        <f>IFERROR(VLOOKUP(B31,'[2]RETAIL ORIGEN RMKT'!$S$11:$AF$62,4,0),0)</f>
        <v>1</v>
      </c>
      <c r="S31" s="147">
        <f t="shared" si="103"/>
        <v>0.33333333333333331</v>
      </c>
      <c r="T31" s="148">
        <f>SUMIF('UC MINI 2026'!$B$5:$B$71,'UC MINI 2026 MINI NEXT'!$B31,'UC MINI 2026'!$J$5:$J$71)</f>
        <v>3</v>
      </c>
      <c r="U31" s="86">
        <f>SUMIF('UC MINI 2026'!$B$10:$B$61,'UC MINI 2026 MINI NEXT'!$B31,'UC MINI 2026'!$K$10:$K$61)</f>
        <v>1</v>
      </c>
      <c r="V31" s="296">
        <f t="shared" si="166"/>
        <v>0.33333333333333331</v>
      </c>
      <c r="W31" s="86">
        <f>IFERROR(VLOOKUP(B31,[2]BPS!$S$10:$AF$64,5,0),0)-IF(B31=100873,IFERROR(VLOOKUP("MARZO",[2]BPS!$S$74:$T$89,2,0),0),0)</f>
        <v>1</v>
      </c>
      <c r="X31" s="296">
        <f t="shared" si="105"/>
        <v>1</v>
      </c>
      <c r="Y31" s="86">
        <f>IFERROR(VLOOKUP(B31,'[2]RETAIL ORIGEN RMKT'!$S$11:$AF$62,5,0),0)</f>
        <v>0</v>
      </c>
      <c r="Z31" s="147">
        <f t="shared" si="106"/>
        <v>0</v>
      </c>
      <c r="AA31" s="148">
        <f>SUMIF('UC MINI 2026'!$B$5:$B$61,'UC MINI 2026 MINI NEXT'!$B31,'UC MINI 2026'!$L$5:$L$61)</f>
        <v>3</v>
      </c>
      <c r="AB31" s="86">
        <f>SUMIF('UC MINI 2026'!$B$5:$B$61,'UC MINI 2026 MINI NEXT'!$B31,'UC MINI 2026'!$M$5:$M$61)</f>
        <v>2</v>
      </c>
      <c r="AC31" s="296">
        <f t="shared" si="167"/>
        <v>0.66666666666666663</v>
      </c>
      <c r="AD31" s="86">
        <f>IFERROR(VLOOKUP(B31,[2]BPS!$S$10:$AF$64,6,0),0)-IF(B31=100873,IFERROR(VLOOKUP("ABRIL",[2]BPS!$S$74:$T$89,2,0),0),0)</f>
        <v>2</v>
      </c>
      <c r="AE31" s="285">
        <f t="shared" si="108"/>
        <v>1</v>
      </c>
      <c r="AF31" s="86">
        <f>IFERROR(VLOOKUP(B31,'[2]RETAIL ORIGEN RMKT'!$S$11:$AF$62,6,0),0)</f>
        <v>0</v>
      </c>
      <c r="AG31" s="147">
        <f t="shared" si="109"/>
        <v>0</v>
      </c>
      <c r="AH31" s="148">
        <f>SUMIF('UC MINI 2026'!$B$5:$B$61,'UC MINI 2026 MINI NEXT'!$B31,'UC MINI 2026'!$N$5:$N$61)</f>
        <v>4</v>
      </c>
      <c r="AI31" s="86">
        <f>SUMIF('UC MINI 2026'!$B$5:$B$61,'UC MINI 2026 MINI NEXT'!$B31,'UC MINI 2026'!$O$5:$O$61)</f>
        <v>1</v>
      </c>
      <c r="AJ31" s="296">
        <f t="shared" si="168"/>
        <v>0.25</v>
      </c>
      <c r="AK31" s="86">
        <f>IFERROR(VLOOKUP(B31,[2]BPS!$S$10:$AF$64,7,0),0)-IF(B31=100873,IFERROR(VLOOKUP("MAYO",[2]BPS!$S$74:$T$89,2,0),0),0)</f>
        <v>1</v>
      </c>
      <c r="AL31" s="285">
        <f t="shared" si="111"/>
        <v>1</v>
      </c>
      <c r="AM31" s="86">
        <f>IFERROR(VLOOKUP(B31,'[2]RETAIL ORIGEN RMKT'!$S$11:$AF$62,7,0),0)</f>
        <v>0</v>
      </c>
      <c r="AN31" s="147">
        <f t="shared" si="112"/>
        <v>0</v>
      </c>
      <c r="AO31" s="148">
        <f>SUMIF('UC MINI 2026'!$B$5:$B$61,'UC MINI 2026 MINI NEXT'!$B31,'UC MINI 2026'!$P$5:$P$61)</f>
        <v>4</v>
      </c>
      <c r="AP31" s="86">
        <f>SUMIF('UC MINI 2026'!$B$5:$B$61,'UC MINI 2026 MINI NEXT'!$B31,'UC MINI 2026'!$Q$5:$Q$61)</f>
        <v>7</v>
      </c>
      <c r="AQ31" s="296">
        <f t="shared" si="169"/>
        <v>1.75</v>
      </c>
      <c r="AR31" s="86">
        <f>IFERROR(VLOOKUP(B31,[2]BPS!$S$10:$AF$64,8,0),0)-IF(B31=100873,IFERROR(VLOOKUP("JUNIO",[2]BPS!$S$74:$T$89,2,0),0),0)</f>
        <v>7</v>
      </c>
      <c r="AS31" s="285">
        <f t="shared" si="114"/>
        <v>1</v>
      </c>
      <c r="AT31" s="86">
        <f>IFERROR(VLOOKUP(B31,'[2]RETAIL ORIGEN RMKT'!$S$11:$AF$62,8,0),0)</f>
        <v>1</v>
      </c>
      <c r="AU31" s="147">
        <f t="shared" si="115"/>
        <v>0.25</v>
      </c>
      <c r="AV31" s="148">
        <f>SUMIF('UC MINI 2026'!$B$5:$B$61,'UC MINI 2026 MINI NEXT'!$B31,'UC MINI 2026'!$R$5:$R$61)</f>
        <v>3</v>
      </c>
      <c r="AW31" s="86">
        <f>SUMIF('UC MINI 2026'!$B$5:$B$61,'UC MINI 2026 MINI NEXT'!$B31,'UC MINI 2026'!$S$5:$S$61)</f>
        <v>0</v>
      </c>
      <c r="AX31" s="296">
        <f t="shared" si="170"/>
        <v>0</v>
      </c>
      <c r="AY31" s="86">
        <f>IFERROR(VLOOKUP(B31,[2]BPS!$S$10:$AF$64,9,0),0)-IF(B31=100873,IFERROR(VLOOKUP("JULIO",[2]BPS!$S$74:$T$89,2,0),0),0)</f>
        <v>0</v>
      </c>
      <c r="AZ31" s="285">
        <f t="shared" si="117"/>
        <v>0</v>
      </c>
      <c r="BA31" s="86">
        <f>IFERROR(VLOOKUP(I31,'[2]RETAIL ORIGEN RMKT'!$S$11:$AF$62,9,0),0)</f>
        <v>0</v>
      </c>
      <c r="BB31" s="147">
        <f t="shared" si="118"/>
        <v>0</v>
      </c>
      <c r="BC31" s="148">
        <f>SUMIF('UC MINI 2026'!$B$5:$B$61,'UC MINI 2026 MINI NEXT'!$B31,'UC MINI 2026'!$T$5:$T$61)</f>
        <v>2</v>
      </c>
      <c r="BD31" s="86">
        <f>SUMIF('UC MINI 2026'!$B$5:$B$61,'UC MINI 2026 MINI NEXT'!$B31,'UC MINI 2026'!$U$5:$U$61)</f>
        <v>0</v>
      </c>
      <c r="BE31" s="296">
        <f t="shared" si="171"/>
        <v>0</v>
      </c>
      <c r="BF31" s="86">
        <f>IFERROR(VLOOKUP(B31,[2]BPS!$S$10:$AF$64,10,0),0)-IF(B31=100873,IFERROR(VLOOKUP("AGOSTO",[2]BPS!$S$74:$T$89,2,0),0),0)</f>
        <v>0</v>
      </c>
      <c r="BG31" s="285">
        <f t="shared" si="120"/>
        <v>0</v>
      </c>
      <c r="BH31" s="86">
        <f>IFERROR(VLOOKUP(P31,'[2]RETAIL ORIGEN RMKT'!$S$11:$AF$62,10,0),0)</f>
        <v>0</v>
      </c>
      <c r="BI31" s="147">
        <f t="shared" si="121"/>
        <v>0</v>
      </c>
      <c r="BJ31" s="148">
        <f>SUMIF('UC MINI 2026'!$B$5:$B$61,'UC MINI 2026 MINI NEXT'!$B31,'UC MINI 2026'!$V$5:$V$61)</f>
        <v>3</v>
      </c>
      <c r="BK31" s="86">
        <f>SUMIF('UC MINI 2026'!$B$5:$B$61,'UC MINI 2026 MINI NEXT'!$B31,'UC MINI 2026'!$W$5:$W$61)</f>
        <v>0</v>
      </c>
      <c r="BL31" s="296">
        <f t="shared" si="172"/>
        <v>0</v>
      </c>
      <c r="BM31" s="86">
        <f>IFERROR(VLOOKUP(B31,[2]BPS!$S$10:$AF$64,11,0),0)-IF(B31=100873,IFERROR(VLOOKUP("SEPTIEMBRE",[2]BPS!$S$74:$T$89,2,0),0),0)</f>
        <v>0</v>
      </c>
      <c r="BN31" s="285">
        <f t="shared" si="123"/>
        <v>0</v>
      </c>
      <c r="BO31" s="86">
        <f>IFERROR(VLOOKUP(W31,'[2]RETAIL ORIGEN RMKT'!$S$11:$AF$62,11,0),0)</f>
        <v>0</v>
      </c>
      <c r="BP31" s="147">
        <f t="shared" si="124"/>
        <v>0</v>
      </c>
      <c r="BQ31" s="148">
        <f>SUMIF('UC MINI 2026'!$B$5:$B$61,'UC MINI 2026 MINI NEXT'!$B31,'UC MINI 2026'!$V$5:$V$61)</f>
        <v>3</v>
      </c>
      <c r="BR31" s="86">
        <f>SUMIF('UC MINI 2026'!$B$5:$B$61,'UC MINI 2026 MINI NEXT'!$B31,'UC MINI 2026'!$Y$5:$Y$61)</f>
        <v>0</v>
      </c>
      <c r="BS31" s="296">
        <f t="shared" si="173"/>
        <v>0</v>
      </c>
      <c r="BT31" s="86">
        <f>IFERROR(VLOOKUP(B31,[2]BPS!$S$10:$AF$64,12,0),0)-IF(B31=100873,IFERROR(VLOOKUP("OCTUBRE",[2]BPS!$S$74:$T$89,2,0),0),0)</f>
        <v>0</v>
      </c>
      <c r="BU31" s="285">
        <f t="shared" si="126"/>
        <v>0</v>
      </c>
      <c r="BV31" s="86">
        <f>IFERROR(VLOOKUP(AD31,'[2]RETAIL ORIGEN RMKT'!$S$11:$AF$62,12,0),0)</f>
        <v>0</v>
      </c>
      <c r="BW31" s="147">
        <f t="shared" si="127"/>
        <v>0</v>
      </c>
      <c r="BX31" s="148">
        <f>SUMIF('UC MINI 2026'!$B$5:$B$61,'UC MINI 2026 MINI NEXT'!$B31,'UC MINI 2026'!$V$5:$V$61)</f>
        <v>3</v>
      </c>
      <c r="BY31" s="86">
        <f>SUMIF('UC MINI 2026'!$B$5:$B$61,'UC MINI 2026 MINI NEXT'!$B31,'UC MINI 2026'!$AA$5:$AA$61)</f>
        <v>0</v>
      </c>
      <c r="BZ31" s="296">
        <f t="shared" si="174"/>
        <v>0</v>
      </c>
      <c r="CA31" s="86">
        <f>IFERROR(VLOOKUP(B31,[2]BPS!$S$10:$AF$64,13,0),0)-IF(B31=100873,IFERROR(VLOOKUP("NOVIEMBRE",[2]BPS!$S$74:$T$89,2,0),0),0)</f>
        <v>0</v>
      </c>
      <c r="CB31" s="285">
        <f t="shared" si="129"/>
        <v>0</v>
      </c>
      <c r="CC31" s="86">
        <f>IFERROR(VLOOKUP(AK31,'[2]RETAIL ORIGEN RMKT'!$S$11:$AF$62,13,0),0)</f>
        <v>0</v>
      </c>
      <c r="CD31" s="147">
        <f t="shared" si="130"/>
        <v>0</v>
      </c>
      <c r="CE31" s="148">
        <f>SUMIF('UC MINI 2026'!$B$5:$B$61,'UC MINI 2026 MINI NEXT'!$B31,'UC MINI 2026'!$V$5:$V$61)</f>
        <v>3</v>
      </c>
      <c r="CF31" s="86">
        <f>SUMIF('UC MINI 2026'!$B$5:$B$61,'UC MINI 2026 MINI NEXT'!$B31,'UC MINI 2026'!$AC$5:$AC$61)</f>
        <v>0</v>
      </c>
      <c r="CG31" s="296">
        <f t="shared" si="175"/>
        <v>0</v>
      </c>
      <c r="CH31" s="86">
        <f>IFERROR(VLOOKUP(B31,[2]BPS!$S$10:$AF$64,14,0),0)-IF(B31=100873,IFERROR(VLOOKUP("DICIEMBRE",[2]BPS!$S$74:$T$89,2,0),0),0)</f>
        <v>0</v>
      </c>
      <c r="CI31" s="285">
        <f t="shared" si="132"/>
        <v>0</v>
      </c>
      <c r="CJ31" s="86">
        <f>IFERROR(VLOOKUP(AR31,'[2]RETAIL ORIGEN RMKT'!$S$11:$AF$62,14,0),0)</f>
        <v>0</v>
      </c>
      <c r="CK31" s="147">
        <f t="shared" si="133"/>
        <v>0</v>
      </c>
      <c r="CL31" s="67">
        <f>IF($CL$4="ENERO",F31,IF($CL$4="FEBRERO",F31+M31,IF($CL$4="MARZO",F31+M31+T31,IF($CL$4="ABRIL",F31+M31+T31+AA31,IF($CL$4="MAYO",F31+M31+T31+AA31+AH31,IF($CL$4="JUNIO",F31+M31+T31+AA31+AH31+AO31,IF($CL$4="JULIO",F31+M31+T31+AA31+AH31+AO31+AV31,IF($CL$4="AGOSTO",F31+M31+T31+AA31+AH31+AO31+AV31+BC31,IF($CL$4="SEPTIEMBRE",F31+M31+T31+AA31+AH31+AO31+AV31+BC31+BJ31,IF($CL$4="OCTUBRE",F31+M31+T31+AA31+AH31+AO31+AV31+BC31+BJ31+BQ31,IF($CL$4="NOVIEMBRE",F31+M31+T31+AA31+AH31+AO31+AV31+BC31+BJ31+BQ31+BX31,IF($CL$4="DICIEMBRE",F31+M31+T31+AA31+AH31+AO31+AV31+BC31+BJ31+BQ31+BX31+CE31,""))))))))))))</f>
        <v>20</v>
      </c>
      <c r="CM31" s="68">
        <f>IF($CL$4="ENERO",G31,IF($CL$4="FEBRERO",G31+N31,IF($CL$4="MARZO",G31+N31+U31,IF($CL$4="ABRIL",G31+N31+U31+AB31,IF($CL$4="MAYO",G31+N31+U31+AB31+AI31,IF($CL$4="JUNIO",G31+N31+U31+AB31+AI31+AP31,IF($CL$4="JULIO",G31+N31+U31+AB31+AI31+AP31+AW31,IF($CL$4="AGOSTO",G31+N31+U31+AB31+AI31+AP31+AW31+BD31,IF($CL$4="SEPTIEMBRE",G31+N31+U31+AB31+AI31+AP31+AW31+BD31+BK31,IF($CL$4="OCTUBRE",G31+N31+U31+AB31+AI31+AP31+AW31+BD31+BK31+BR31,IF($CL$4="NOVIEMBRE",G31+N31+U31+AB31+AI31+AP31+AW31+BD31+BK31+BR31+BY31,IF($CL$4="DICIEMBRE",G31+N31+U31+AB31+AI31+AP31+AW31+BD31+BK31+BR31+BY31+CF31,""))))))))))))</f>
        <v>17</v>
      </c>
      <c r="CN31" s="116">
        <f t="shared" si="176"/>
        <v>0.85</v>
      </c>
      <c r="CO31" s="68">
        <f>IFERROR(IF($CL$4="ENERO",I31,IF($CL$4="FEBRERO",I31+P31,IF($CL$4="MARZO",I31+P31+W31,IF($CL$4="ABRIL",I31+P31+W31+AD31,IF($CL$4="MAYO",I31+P31+W31+AD31+AK31,IF($CL$4="JUNIO",I31+P31+W31+AD31+AK31+AR31,IF($CL$4="JULIO",I31+P31+W31+AD31+AK31+AR31+AY31,IF($CL$4="AGOSTO",I31+P31+W31+AD31+AK31+AR31+AY31+BF31,IF($CL$4="SEPTIEMBRE",I31+P31+W31+AD31+AK31+AR31+AY31+BF31+BM31,IF($CL$4="OCTUBRE",I31+P31+W31+AD31+AK31+AR31+AY31+BF31+BM31+BT31,IF($CL$4="NOVIEMBRE",I31+P31+W31+AD31+AK31+AR31+AY31+BF31+BM31+BT31+CA31,IF($CL$4="DICIEMBRE",I31+P31+W31+AD31+AK31+AR31+AY31+BF31+BM31+BT31+CA31+CH31,"")))))))))))),0)</f>
        <v>17</v>
      </c>
      <c r="CP31" s="297">
        <f>IFERROR(IF(CM31=0,"N.D.",CO31/CM31),0)</f>
        <v>1</v>
      </c>
      <c r="CQ31" s="350">
        <f>IFERROR(IF($CL$4="ENERO",K31,
IF($CL$4="FEBRERO",K31+R31,
IF($CL$4="MARZO",K31+R31+Y31,
IF($CL$4="ABRIL",K31+R31+Y31+AF31,
IF($CL$4="MAYO",K31+R31+Y31+AF31+AM31,
IF($CL$4="JUNIO",K31+R31+Y31+AF31+AM31+AT31,
IF($CL$4="JULIO",K31+R31+Y31+AF31+AM31+AT31+BA31,
IF($CL$4="AGOSTO",K31+R31+Y31+AF31+AM31+AT31+BA31+BH31,
IF($CL$4="SEPTIEMBRE",K31+R31+Y31+AF31+AM31+AT31+BA31+BH31+BO31,
IF($CL$4="OCTUBRE",K31+R31+Y31+AF31+AM31+AT31+BA31+BH31+BO31+BV31,
IF($CL$4="NOVIEMBRE",K31+R31+Y31+AF31+AM31+AT31+BA31+BH31+BO31+BV31+CC31,
IF($CL$4="DICIEMBRE",K31+R31+Y31+AF31+AM31+AT31+BA31+BH31+BO31+BV31+CC31+CJ31,"")))))))))))),0)</f>
        <v>3</v>
      </c>
      <c r="CR31" s="161">
        <f t="shared" si="177"/>
        <v>0.15</v>
      </c>
      <c r="CS31" s="67">
        <f>+F31+M31+T31+AA31+AH31+AO31++AV31+BC31+BJ31+BQ31+BX31+CE31</f>
        <v>37</v>
      </c>
      <c r="CT31" s="68">
        <f>SUMIFS($F31:$CI31,$F$6:$CI$6,CT$6,$F$2:$CI$2,$CL$4)</f>
        <v>17</v>
      </c>
      <c r="CU31" s="116">
        <f>IFERROR((CT31/CS31),0)</f>
        <v>0.45945945945945948</v>
      </c>
      <c r="CV31" s="68">
        <f>IFERROR(I31+P31+W31+AD31+AK31+AR31+AY31+BF31+BM31+BT31+CA31+CH31,0)</f>
        <v>17</v>
      </c>
      <c r="CW31" s="297">
        <f>IF(CT31=0,"N.D.",CV31/CT31)</f>
        <v>1</v>
      </c>
      <c r="CX31" s="350">
        <f>IFERROR(K31+R31+Y31+AF31+AM31+AT31+BA31+BH31+BO31+BV31+CC31+CJ31,0)</f>
        <v>3</v>
      </c>
      <c r="CY31" s="161">
        <f t="shared" si="178"/>
        <v>8.1081081081081086E-2</v>
      </c>
      <c r="CZ31" s="67">
        <f>IF($CZ$5="Q1",F31+M31+T31,
IF($CZ$5="Q2",AA31+AH31++AO31,
IF($CZ$5="Q3",AV31+BC31+BJ31,
IF($CZ$5="Q4",BQ31+BX31+CE31,0))))</f>
        <v>9</v>
      </c>
      <c r="DA31" s="68">
        <f>IF($CZ$5="Q1",G31+N31+U31,
IF($CZ$5="Q2",AB31+AI31++AP31,
IF($CZ$5="Q3",AW31+BD31+BK31,
IF($CZ$5="Q4",BR31+BY31+CF31,0))))</f>
        <v>7</v>
      </c>
      <c r="DB31" s="116">
        <f t="shared" si="179"/>
        <v>0.77777777777777779</v>
      </c>
      <c r="DC31" s="68">
        <f>IFERROR(IF($CZ$5="Q1",I31+P31+W31,
IF($CZ$5="Q2",AD31+AK31++AR31,
IF($CZ$5="Q3",AY31+BF31+BM31,
IF($CZ$5="Q4",BT31+CA31+CH31,0)))),0)</f>
        <v>7</v>
      </c>
      <c r="DD31" s="297">
        <f>IF(DA31=0,"N.D.",DC31/DA31)</f>
        <v>1</v>
      </c>
      <c r="DE31" s="350">
        <f>IFERROR(IF($CZ$5="Q1",K31+R31+Y31,
IF($CZ$5="Q2",AF31+AM31+AT31,
IF($CZ$5="Q3",BA31+BH31+BO31,
IF($CZ$5="Q4",BV31+CC31+CJ31,0)))),0)</f>
        <v>2</v>
      </c>
      <c r="DF31" s="162">
        <f t="shared" si="180"/>
        <v>0.22222222222222221</v>
      </c>
      <c r="DG31" s="67">
        <f>IF($DG$5="S 1",F31+M31+T31+AA31+AH31+AO31,
IF($DG$5="S 2",AV31+BC31+BJ31+BQ31+BX31+CE31,0))</f>
        <v>20</v>
      </c>
      <c r="DH31" s="68">
        <f>IF($DG$5="S 1",G31+N31+U31+AB31+AI31+AP31,
IF($DG$5="S 2",AW31+BD31+BK31+BR31+BY31+CF31,0))</f>
        <v>17</v>
      </c>
      <c r="DI31" s="116">
        <f t="shared" si="181"/>
        <v>0.85</v>
      </c>
      <c r="DJ31" s="68">
        <f>IFERROR(IF($DG$5="S 1",I31+P31+W31+AD31+AK31++AR31,
IF($DG$5="S 2",AY31+BF31+BM31+BT31+CA31+CH31,0)),0)</f>
        <v>17</v>
      </c>
      <c r="DK31" s="297">
        <f t="shared" si="182"/>
        <v>1</v>
      </c>
      <c r="DL31" s="350">
        <f>IFERROR(IF($DG$5="S 1",K31+R31+Y31+AF31+AM31+AT31,
IF($DG$5="S 2",BA31+BH31+BO31+BV31+CC31+CJ31,0)),0)</f>
        <v>3</v>
      </c>
      <c r="DM31" s="162">
        <f t="shared" si="183"/>
        <v>0.15</v>
      </c>
      <c r="DN31" s="67">
        <f t="shared" ref="DN31:DO35" si="187">IF($DN$5="S 1",F31+M31+T31+AA31+AH31+AO31,
IF($DN$5="S 2",AV31+BC31+BJ31+BQ31+BX31+CE31,0))</f>
        <v>17</v>
      </c>
      <c r="DO31" s="266">
        <f t="shared" si="187"/>
        <v>0</v>
      </c>
      <c r="DP31" s="116">
        <f t="shared" si="184"/>
        <v>0</v>
      </c>
      <c r="DQ31" s="68">
        <f>IFERROR(IF($DN$5="S 1",I31+P31+W31+AD31+AK31++AR31,
IF($DN$5="S 2",AY31+BF31+BM31+BT31+CA31+CH31,0)),0)</f>
        <v>0</v>
      </c>
      <c r="DR31" s="297" t="str">
        <f t="shared" si="185"/>
        <v>N.D.</v>
      </c>
      <c r="DS31" s="350">
        <f>IFERROR(IF($DN$5="S 1",K31+R31+Y31+AF31+AM31+AT31,
IF($DN$5="S 2",BA31+BH31+BO31+BV31+CC31+CJ31,0)),0)</f>
        <v>0</v>
      </c>
      <c r="DT31" s="162">
        <f t="shared" si="186"/>
        <v>0</v>
      </c>
      <c r="DU31" s="53">
        <v>1</v>
      </c>
      <c r="DX31" s="53">
        <v>30</v>
      </c>
      <c r="DY31" s="53">
        <v>34</v>
      </c>
      <c r="DZ31" s="513">
        <v>1.125</v>
      </c>
      <c r="EB31" s="513">
        <v>0.9555555555555556</v>
      </c>
      <c r="EC31" s="53">
        <v>5</v>
      </c>
      <c r="ED31" s="513">
        <v>0.2</v>
      </c>
    </row>
    <row r="32" spans="1:134" s="53" customFormat="1" ht="16" customHeight="1" x14ac:dyDescent="0.3">
      <c r="A32" s="53">
        <f>_xlfn.XLOOKUP(B32,'UC MINI 2026'!$B$5:$B$61,'UC MINI 2026'!$A$5:$A$61)</f>
        <v>5</v>
      </c>
      <c r="B32" s="179">
        <v>100190</v>
      </c>
      <c r="C32" s="381" t="s">
        <v>52</v>
      </c>
      <c r="D32" s="146"/>
      <c r="E32" s="379" t="s">
        <v>79</v>
      </c>
      <c r="F32" s="54">
        <f>SUMIF('UC MINI 2026'!$B$5:$B$71,'UC MINI 2026 MINI NEXT'!$B32,'UC MINI 2026'!$F$5:$F$71)</f>
        <v>3</v>
      </c>
      <c r="G32" s="86">
        <f>SUMIF('UC MINI 2026'!$B$5:$B$71,'UC MINI 2026 MINI NEXT'!$B32,'UC MINI 2026'!$G$5:$G$71)</f>
        <v>5</v>
      </c>
      <c r="H32" s="297">
        <f t="shared" si="54"/>
        <v>1.6666666666666667</v>
      </c>
      <c r="I32" s="86">
        <f>IFERROR(VLOOKUP(B32,[2]BPS!$S$10:$AF$64,3,0),0)-IF(B32=100873,IFERROR(VLOOKUP("Enero",[2]BPS!$S$74:$T$89,2,0),0),0)</f>
        <v>5</v>
      </c>
      <c r="J32" s="297">
        <f t="shared" si="55"/>
        <v>1</v>
      </c>
      <c r="K32" s="86">
        <f>IFERROR(VLOOKUP(B32,'[2]RETAIL ORIGEN RMKT'!$S$11:$AF$62,3,0),0)</f>
        <v>0</v>
      </c>
      <c r="L32" s="150">
        <f t="shared" si="56"/>
        <v>0</v>
      </c>
      <c r="M32" s="79">
        <f>SUMIF('UC MINI 2026'!$B$5:$B$61,'UC MINI 2026 MINI NEXT'!$B32,'UC MINI 2026'!$H$5:$H$61)</f>
        <v>3</v>
      </c>
      <c r="N32" s="86">
        <f>SUMIF('UC MINI 2026'!$B$5:$B$61,'UC MINI 2026 MINI NEXT'!$B32,'UC MINI 2026'!$I$5:$I$61)</f>
        <v>5</v>
      </c>
      <c r="O32" s="297">
        <f t="shared" si="165"/>
        <v>1.6666666666666667</v>
      </c>
      <c r="P32" s="86">
        <f>IFERROR(VLOOKUP(B32,[2]BPS!$S$10:$AF$64,4,0),0)-IF(B32=100873,IFERROR(VLOOKUP("FEBRERO",[2]BPS!$S$74:$T$89,2,0),0),0)</f>
        <v>5</v>
      </c>
      <c r="Q32" s="297">
        <f t="shared" ref="Q32:Q66" si="188">IFERROR(P32/N32,0)</f>
        <v>1</v>
      </c>
      <c r="R32" s="86">
        <f>IFERROR(VLOOKUP(B32,'[2]RETAIL ORIGEN RMKT'!$S$11:$AF$62,4,0),0)</f>
        <v>1</v>
      </c>
      <c r="S32" s="150">
        <f t="shared" ref="S32:S66" si="189">IFERROR(R32/M32,0)</f>
        <v>0.33333333333333331</v>
      </c>
      <c r="T32" s="148">
        <f>SUMIF('UC MINI 2026'!$B$5:$B$71,'UC MINI 2026 MINI NEXT'!$B32,'UC MINI 2026'!$J$5:$J$71)</f>
        <v>4</v>
      </c>
      <c r="U32" s="86">
        <f>SUMIF('UC MINI 2026'!$B$10:$B$61,'UC MINI 2026 MINI NEXT'!$B32,'UC MINI 2026'!$K$10:$K$61)</f>
        <v>4</v>
      </c>
      <c r="V32" s="297">
        <f t="shared" si="166"/>
        <v>1</v>
      </c>
      <c r="W32" s="86">
        <f>IFERROR(VLOOKUP(B32,[2]BPS!$S$10:$AF$64,5,0),0)-IF(B32=100873,IFERROR(VLOOKUP("MARZO",[2]BPS!$S$74:$T$89,2,0),0),0)</f>
        <v>4</v>
      </c>
      <c r="X32" s="297">
        <f t="shared" ref="X32:X66" si="190">IFERROR(W32/U32,0)</f>
        <v>1</v>
      </c>
      <c r="Y32" s="86">
        <f>IFERROR(VLOOKUP(B32,'[2]RETAIL ORIGEN RMKT'!$S$11:$AF$62,5,0),0)</f>
        <v>2</v>
      </c>
      <c r="Z32" s="150">
        <f t="shared" ref="Z32:Z66" si="191">IFERROR(Y32/T32,0)</f>
        <v>0.5</v>
      </c>
      <c r="AA32" s="148">
        <f>SUMIF('UC MINI 2026'!$B$5:$B$61,'UC MINI 2026 MINI NEXT'!$B32,'UC MINI 2026'!$L$5:$L$61)</f>
        <v>4</v>
      </c>
      <c r="AB32" s="86">
        <f>SUMIF('UC MINI 2026'!$B$5:$B$61,'UC MINI 2026 MINI NEXT'!$B32,'UC MINI 2026'!$M$5:$M$61)</f>
        <v>3</v>
      </c>
      <c r="AC32" s="297">
        <f t="shared" si="167"/>
        <v>0.75</v>
      </c>
      <c r="AD32" s="86">
        <f>IFERROR(VLOOKUP(B32,[2]BPS!$S$10:$AF$64,6,0),0)-IF(B32=100873,IFERROR(VLOOKUP("ABRIL",[2]BPS!$S$74:$T$89,2,0),0),0)</f>
        <v>3</v>
      </c>
      <c r="AE32" s="285">
        <f t="shared" ref="AE32:AE66" si="192">IFERROR(AD32/AB32,0)</f>
        <v>1</v>
      </c>
      <c r="AF32" s="86">
        <f>IFERROR(VLOOKUP(B32,'[2]RETAIL ORIGEN RMKT'!$S$11:$AF$62,6,0),0)</f>
        <v>1</v>
      </c>
      <c r="AG32" s="150">
        <f t="shared" ref="AG32:AG66" si="193">IFERROR(AF32/AA32,0)</f>
        <v>0.25</v>
      </c>
      <c r="AH32" s="148">
        <f>SUMIF('UC MINI 2026'!$B$5:$B$61,'UC MINI 2026 MINI NEXT'!$B32,'UC MINI 2026'!$N$5:$N$61)</f>
        <v>4</v>
      </c>
      <c r="AI32" s="86">
        <f>SUMIF('UC MINI 2026'!$B$5:$B$61,'UC MINI 2026 MINI NEXT'!$B32,'UC MINI 2026'!$O$5:$O$61)</f>
        <v>8</v>
      </c>
      <c r="AJ32" s="297">
        <f t="shared" si="168"/>
        <v>2</v>
      </c>
      <c r="AK32" s="86">
        <f>IFERROR(VLOOKUP(B32,[2]BPS!$S$10:$AF$64,7,0),0)-IF(B32=100873,IFERROR(VLOOKUP("MAYO",[2]BPS!$S$74:$T$89,2,0),0),0)</f>
        <v>8</v>
      </c>
      <c r="AL32" s="285">
        <f t="shared" ref="AL32:AL66" si="194">IFERROR(AK32/AI32,0)</f>
        <v>1</v>
      </c>
      <c r="AM32" s="86">
        <f>IFERROR(VLOOKUP(B32,'[2]RETAIL ORIGEN RMKT'!$S$11:$AF$62,7,0),0)</f>
        <v>3</v>
      </c>
      <c r="AN32" s="150">
        <f t="shared" ref="AN32:AN66" si="195">IFERROR(AM32/AH32,0)</f>
        <v>0.75</v>
      </c>
      <c r="AO32" s="148">
        <f>SUMIF('UC MINI 2026'!$B$5:$B$61,'UC MINI 2026 MINI NEXT'!$B32,'UC MINI 2026'!$P$5:$P$61)</f>
        <v>4</v>
      </c>
      <c r="AP32" s="86">
        <f>SUMIF('UC MINI 2026'!$B$5:$B$61,'UC MINI 2026 MINI NEXT'!$B32,'UC MINI 2026'!$Q$5:$Q$61)</f>
        <v>6</v>
      </c>
      <c r="AQ32" s="297">
        <f t="shared" si="169"/>
        <v>1.5</v>
      </c>
      <c r="AR32" s="86">
        <f>IFERROR(VLOOKUP(B32,[2]BPS!$S$10:$AF$64,8,0),0)-IF(B32=100873,IFERROR(VLOOKUP("JUNIO",[2]BPS!$S$74:$T$89,2,0),0),0)</f>
        <v>5</v>
      </c>
      <c r="AS32" s="285">
        <f t="shared" ref="AS32:AS66" si="196">IFERROR(AR32/AP32,0)</f>
        <v>0.83333333333333337</v>
      </c>
      <c r="AT32" s="86">
        <f>IFERROR(VLOOKUP(B32,'[2]RETAIL ORIGEN RMKT'!$S$11:$AF$62,8,0),0)</f>
        <v>2</v>
      </c>
      <c r="AU32" s="150">
        <f t="shared" ref="AU32:AU66" si="197">IFERROR(AT32/AO32,0)</f>
        <v>0.5</v>
      </c>
      <c r="AV32" s="148">
        <f>SUMIF('UC MINI 2026'!$B$5:$B$61,'UC MINI 2026 MINI NEXT'!$B32,'UC MINI 2026'!$R$5:$R$61)</f>
        <v>4</v>
      </c>
      <c r="AW32" s="86">
        <f>SUMIF('UC MINI 2026'!$B$5:$B$61,'UC MINI 2026 MINI NEXT'!$B32,'UC MINI 2026'!$S$5:$S$61)</f>
        <v>0</v>
      </c>
      <c r="AX32" s="297">
        <f t="shared" si="170"/>
        <v>0</v>
      </c>
      <c r="AY32" s="86">
        <f>IFERROR(VLOOKUP(B32,[2]BPS!$S$10:$AF$64,9,0),0)-IF(B32=100873,IFERROR(VLOOKUP("JULIO",[2]BPS!$S$74:$T$89,2,0),0),0)</f>
        <v>0</v>
      </c>
      <c r="AZ32" s="285">
        <f t="shared" ref="AZ32:AZ66" si="198">IFERROR(AY32/AW32,0)</f>
        <v>0</v>
      </c>
      <c r="BA32" s="86">
        <f>IFERROR(VLOOKUP(I32,'[2]RETAIL ORIGEN RMKT'!$S$11:$AF$62,9,0),0)</f>
        <v>0</v>
      </c>
      <c r="BB32" s="150">
        <f t="shared" ref="BB32:BB66" si="199">IFERROR(BA32/AV32,0)</f>
        <v>0</v>
      </c>
      <c r="BC32" s="148">
        <f>SUMIF('UC MINI 2026'!$B$5:$B$61,'UC MINI 2026 MINI NEXT'!$B32,'UC MINI 2026'!$T$5:$T$61)</f>
        <v>2</v>
      </c>
      <c r="BD32" s="86">
        <f>SUMIF('UC MINI 2026'!$B$5:$B$61,'UC MINI 2026 MINI NEXT'!$B32,'UC MINI 2026'!$U$5:$U$61)</f>
        <v>0</v>
      </c>
      <c r="BE32" s="297">
        <f t="shared" si="171"/>
        <v>0</v>
      </c>
      <c r="BF32" s="86">
        <f>IFERROR(VLOOKUP(B32,[2]BPS!$S$10:$AF$64,10,0),0)-IF(B32=100873,IFERROR(VLOOKUP("AGOSTO",[2]BPS!$S$74:$T$89,2,0),0),0)</f>
        <v>0</v>
      </c>
      <c r="BG32" s="285">
        <f t="shared" ref="BG32:BG66" si="200">IFERROR(BF32/BD32,0)</f>
        <v>0</v>
      </c>
      <c r="BH32" s="86">
        <f>IFERROR(VLOOKUP(P32,'[2]RETAIL ORIGEN RMKT'!$S$11:$AF$62,10,0),0)</f>
        <v>0</v>
      </c>
      <c r="BI32" s="150">
        <f t="shared" ref="BI32:BI66" si="201">IFERROR(BH32/BC32,0)</f>
        <v>0</v>
      </c>
      <c r="BJ32" s="148">
        <f>SUMIF('UC MINI 2026'!$B$5:$B$61,'UC MINI 2026 MINI NEXT'!$B32,'UC MINI 2026'!$V$5:$V$61)</f>
        <v>4</v>
      </c>
      <c r="BK32" s="86">
        <f>SUMIF('UC MINI 2026'!$B$5:$B$61,'UC MINI 2026 MINI NEXT'!$B32,'UC MINI 2026'!$W$5:$W$61)</f>
        <v>0</v>
      </c>
      <c r="BL32" s="297">
        <f t="shared" si="172"/>
        <v>0</v>
      </c>
      <c r="BM32" s="86">
        <f>IFERROR(VLOOKUP(B32,[2]BPS!$S$10:$AF$64,11,0),0)-IF(B32=100873,IFERROR(VLOOKUP("SEPTIEMBRE",[2]BPS!$S$74:$T$89,2,0),0),0)</f>
        <v>0</v>
      </c>
      <c r="BN32" s="285">
        <f t="shared" ref="BN32:BN66" si="202">IFERROR(BM32/BK32,0)</f>
        <v>0</v>
      </c>
      <c r="BO32" s="86">
        <f>IFERROR(VLOOKUP(W32,'[2]RETAIL ORIGEN RMKT'!$S$11:$AF$62,11,0),0)</f>
        <v>0</v>
      </c>
      <c r="BP32" s="150">
        <f t="shared" ref="BP32:BP66" si="203">IFERROR(BO32/BJ32,0)</f>
        <v>0</v>
      </c>
      <c r="BQ32" s="148">
        <f>SUMIF('UC MINI 2026'!$B$5:$B$61,'UC MINI 2026 MINI NEXT'!$B32,'UC MINI 2026'!$V$5:$V$61)</f>
        <v>4</v>
      </c>
      <c r="BR32" s="86">
        <f>SUMIF('UC MINI 2026'!$B$5:$B$61,'UC MINI 2026 MINI NEXT'!$B32,'UC MINI 2026'!$Y$5:$Y$61)</f>
        <v>0</v>
      </c>
      <c r="BS32" s="297">
        <f t="shared" si="173"/>
        <v>0</v>
      </c>
      <c r="BT32" s="86">
        <f>IFERROR(VLOOKUP(B32,[2]BPS!$S$10:$AF$64,12,0),0)-IF(B32=100873,IFERROR(VLOOKUP("OCTUBRE",[2]BPS!$S$74:$T$89,2,0),0),0)</f>
        <v>0</v>
      </c>
      <c r="BU32" s="285">
        <f t="shared" ref="BU32:BU66" si="204">IFERROR(BT32/BR32,0)</f>
        <v>0</v>
      </c>
      <c r="BV32" s="86">
        <f>IFERROR(VLOOKUP(AD32,'[2]RETAIL ORIGEN RMKT'!$S$11:$AF$62,12,0),0)</f>
        <v>0</v>
      </c>
      <c r="BW32" s="150">
        <f t="shared" ref="BW32:BW66" si="205">IFERROR(BV32/BQ32,0)</f>
        <v>0</v>
      </c>
      <c r="BX32" s="148">
        <f>SUMIF('UC MINI 2026'!$B$5:$B$61,'UC MINI 2026 MINI NEXT'!$B32,'UC MINI 2026'!$V$5:$V$61)</f>
        <v>4</v>
      </c>
      <c r="BY32" s="86">
        <f>SUMIF('UC MINI 2026'!$B$5:$B$61,'UC MINI 2026 MINI NEXT'!$B32,'UC MINI 2026'!$AA$5:$AA$61)</f>
        <v>0</v>
      </c>
      <c r="BZ32" s="297">
        <f t="shared" si="174"/>
        <v>0</v>
      </c>
      <c r="CA32" s="86">
        <f>IFERROR(VLOOKUP(B32,[2]BPS!$S$10:$AF$64,13,0),0)-IF(B32=100873,IFERROR(VLOOKUP("NOVIEMBRE",[2]BPS!$S$74:$T$89,2,0),0),0)</f>
        <v>0</v>
      </c>
      <c r="CB32" s="285">
        <f t="shared" ref="CB32:CB66" si="206">IFERROR(CA32/BY32,0)</f>
        <v>0</v>
      </c>
      <c r="CC32" s="86">
        <f>IFERROR(VLOOKUP(AK32,'[2]RETAIL ORIGEN RMKT'!$S$11:$AF$62,13,0),0)</f>
        <v>0</v>
      </c>
      <c r="CD32" s="150">
        <f t="shared" ref="CD32:CD66" si="207">IFERROR(CC32/BX32,0)</f>
        <v>0</v>
      </c>
      <c r="CE32" s="148">
        <f>SUMIF('UC MINI 2026'!$B$5:$B$61,'UC MINI 2026 MINI NEXT'!$B32,'UC MINI 2026'!$V$5:$V$61)</f>
        <v>4</v>
      </c>
      <c r="CF32" s="86">
        <f>SUMIF('UC MINI 2026'!$B$5:$B$61,'UC MINI 2026 MINI NEXT'!$B32,'UC MINI 2026'!$AC$5:$AC$61)</f>
        <v>0</v>
      </c>
      <c r="CG32" s="297">
        <f t="shared" si="175"/>
        <v>0</v>
      </c>
      <c r="CH32" s="86">
        <f>IFERROR(VLOOKUP(B32,[2]BPS!$S$10:$AF$64,14,0),0)-IF(B32=100873,IFERROR(VLOOKUP("DICIEMBRE",[2]BPS!$S$74:$T$89,2,0),0),0)</f>
        <v>0</v>
      </c>
      <c r="CI32" s="285">
        <f t="shared" ref="CI32:CI66" si="208">IFERROR(CH32/CF32,0)</f>
        <v>0</v>
      </c>
      <c r="CJ32" s="86">
        <f>IFERROR(VLOOKUP(AR32,'[2]RETAIL ORIGEN RMKT'!$S$11:$AF$62,14,0),0)</f>
        <v>0</v>
      </c>
      <c r="CK32" s="150">
        <f t="shared" ref="CK32:CK66" si="209">IFERROR(CJ32/CE32,0)</f>
        <v>0</v>
      </c>
      <c r="CL32" s="54">
        <f t="shared" ref="CL32:CM35" si="210">IF($CL$4="ENERO",F32,IF($CL$4="FEBRERO",F32+M32,IF($CL$4="MARZO",F32+M32+T32,IF($CL$4="ABRIL",F32+M32+T32+AA32,IF($CL$4="MAYO",F32+M32+T32+AA32+AH32,IF($CL$4="JUNIO",F32+M32+T32+AA32+AH32+AO32,IF($CL$4="JULIO",F32+M32+T32+AA32+AH32+AO32+AV32,IF($CL$4="AGOSTO",F32+M32+T32+AA32+AH32+AO32+AV32+BC32,IF($CL$4="SEPTIEMBRE",F32+M32+T32+AA32+AH32+AO32+AV32+BC32+BJ32,IF($CL$4="OCTUBRE",F32+M32+T32+AA32+AH32+AO32+AV32+BC32+BJ32+BQ32,IF($CL$4="NOVIEMBRE",F32+M32+T32+AA32+AH32+AO32+AV32+BC32+BJ32+BQ32+BX32,IF($CL$4="DICIEMBRE",F32+M32+T32+AA32+AH32+AO32+AV32+BC32+BJ32+BQ32+BX32+CE32,""))))))))))))</f>
        <v>22</v>
      </c>
      <c r="CM32" s="86">
        <f t="shared" si="210"/>
        <v>31</v>
      </c>
      <c r="CN32" s="109">
        <f t="shared" si="176"/>
        <v>1.4090909090909092</v>
      </c>
      <c r="CO32" s="86">
        <f>IFERROR(IF($CL$4="ENERO",I32,IF($CL$4="FEBRERO",I32+P32,IF($CL$4="MARZO",I32+P32+W32,IF($CL$4="ABRIL",I32+P32+W32+AD32,IF($CL$4="MAYO",I32+P32+W32+AD32+AK32,IF($CL$4="JUNIO",I32+P32+W32+AD32+AK32+AR32,IF($CL$4="JULIO",I32+P32+W32+AD32+AK32+AR32+AY32,IF($CL$4="AGOSTO",I32+P32+W32+AD32+AK32+AR32+AY32+BF32,IF($CL$4="SEPTIEMBRE",I32+P32+W32+AD32+AK32+AR32+AY32+BF32+BM32,IF($CL$4="OCTUBRE",I32+P32+W32+AD32+AK32+AR32+AY32+BF32+BM32+BT32,IF($CL$4="NOVIEMBRE",I32+P32+W32+AD32+AK32+AR32+AY32+BF32+BM32+BT32+CA32,IF($CL$4="DICIEMBRE",I32+P32+W32+AD32+AK32+AR32+AY32+BF32+BM32+BT32+CA32+CH32,"")))))))))))),0)</f>
        <v>30</v>
      </c>
      <c r="CP32" s="297">
        <f>IFERROR(IF(CM32=0,"N.D.",CO32/CM32),0)</f>
        <v>0.967741935483871</v>
      </c>
      <c r="CQ32" s="348">
        <f>IFERROR(IF($CL$4="ENERO",K32,
IF($CL$4="FEBRERO",K32+R32,
IF($CL$4="MARZO",K32+R32+Y32,
IF($CL$4="ABRIL",K32+R32+Y32+AF32,
IF($CL$4="MAYO",K32+R32+Y32+AF32+AM32,
IF($CL$4="JUNIO",K32+R32+Y32+AF32+AM32+AT32,
IF($CL$4="JULIO",K32+R32+Y32+AF32+AM32+AT32+BA32,
IF($CL$4="AGOSTO",K32+R32+Y32+AF32+AM32+AT32+BA32+BH32,
IF($CL$4="SEPTIEMBRE",K32+R32+Y32+AF32+AM32+AT32+BA32+BH32+BO32,
IF($CL$4="OCTUBRE",K32+R32+Y32+AF32+AM32+AT32+BA32+BH32+BO32+BV32,
IF($CL$4="NOVIEMBRE",K32+R32+Y32+AF32+AM32+AT32+BA32+BH32+BO32+BV32+CC32,
IF($CL$4="DICIEMBRE",K32+R32+Y32+AF32+AM32+AT32+BA32+BH32+BO32+BV32+CC32+CJ32,"")))))))))))),0)</f>
        <v>9</v>
      </c>
      <c r="CR32" s="149">
        <f t="shared" si="177"/>
        <v>0.40909090909090912</v>
      </c>
      <c r="CS32" s="54">
        <f>+F32+M32+T32+AA32+AH32+AO32++AV32+BC32+BJ32+BQ32+BX32+CE32</f>
        <v>44</v>
      </c>
      <c r="CT32" s="86">
        <f>SUMIFS($F32:$CI32,$F$6:$CI$6,CT$6,$F$2:$CI$2,$CL$4)</f>
        <v>31</v>
      </c>
      <c r="CU32" s="109">
        <f t="shared" si="52"/>
        <v>0.70454545454545459</v>
      </c>
      <c r="CV32" s="68">
        <f>IFERROR(I32+P32+W32+AD32+AK32+AR32+AY32+BF32+BM32+BT32+CA32+CH32,0)</f>
        <v>30</v>
      </c>
      <c r="CW32" s="297">
        <f>IF(CT32=0,"N.D.",CV32/CT32)</f>
        <v>0.967741935483871</v>
      </c>
      <c r="CX32" s="350">
        <f>IFERROR(K32+R32+Y32+AF32+AM32+AT32+BA32+BH32+BO32+BV32+CC32+CJ32,0)</f>
        <v>9</v>
      </c>
      <c r="CY32" s="149">
        <f t="shared" si="178"/>
        <v>0.20454545454545456</v>
      </c>
      <c r="CZ32" s="54">
        <f t="shared" ref="CZ32:DA35" si="211">IF($CZ$5="Q1",F32+M32+T32,
IF($CZ$5="Q2",AA32+AH32++AO32,
IF($CZ$5="Q3",AV32+BC32+BJ32,
IF($CZ$5="Q4",BQ32+BX32+CE32,0))))</f>
        <v>10</v>
      </c>
      <c r="DA32" s="86">
        <f t="shared" si="211"/>
        <v>14</v>
      </c>
      <c r="DB32" s="109">
        <f t="shared" si="179"/>
        <v>1.4</v>
      </c>
      <c r="DC32" s="68">
        <f>IFERROR(IF($CZ$5="Q1",I32+P32+W32,
IF($CZ$5="Q2",AD32+AK32++AR32,
IF($CZ$5="Q3",AY32+BF32+BM32,
IF($CZ$5="Q4",BT32+CA32+CH32,0)))),0)</f>
        <v>14</v>
      </c>
      <c r="DD32" s="297">
        <f>IF(DA32=0,"N.D.",DC32/DA32)</f>
        <v>1</v>
      </c>
      <c r="DE32" s="350">
        <f>IFERROR(IF($CZ$5="Q1",K32+R32+Y32,
IF($CZ$5="Q2",AF32+AM32+AT32,
IF($CZ$5="Q3",BA32+BH32+BO32,
IF($CZ$5="Q4",BV32+CC32+CJ32,0)))),0)</f>
        <v>3</v>
      </c>
      <c r="DF32" s="150">
        <f t="shared" si="180"/>
        <v>0.3</v>
      </c>
      <c r="DG32" s="54">
        <f t="shared" si="89"/>
        <v>22</v>
      </c>
      <c r="DH32" s="86">
        <f t="shared" si="89"/>
        <v>31</v>
      </c>
      <c r="DI32" s="109">
        <f t="shared" si="181"/>
        <v>1.4090909090909092</v>
      </c>
      <c r="DJ32" s="68">
        <f>IFERROR(IF($DG$5="S 1",I32+P32+W32+AD32+AK32++AR32,
IF($DG$5="S 2",AY32+BF32+BM32+BT32+CA32+CH32,0)),0)</f>
        <v>30</v>
      </c>
      <c r="DK32" s="297">
        <f t="shared" si="182"/>
        <v>0.967741935483871</v>
      </c>
      <c r="DL32" s="350">
        <f>IFERROR(IF($DG$5="S 1",K32+R32+Y32+AF32+AM32+AT32,
IF($DG$5="S 2",BA32+BH32+BO32+BV32+CC32+CJ32,0)),0)</f>
        <v>9</v>
      </c>
      <c r="DM32" s="150">
        <f t="shared" si="183"/>
        <v>0.40909090909090912</v>
      </c>
      <c r="DN32" s="67">
        <f t="shared" si="187"/>
        <v>22</v>
      </c>
      <c r="DO32" s="266">
        <f t="shared" si="187"/>
        <v>0</v>
      </c>
      <c r="DP32" s="109">
        <f t="shared" si="184"/>
        <v>0</v>
      </c>
      <c r="DQ32" s="68">
        <f>IFERROR(IF($DN$5="S 1",I32+P32+W32+AD32+AK32++AR32,
IF($DN$5="S 2",AY32+BF32+BM32+BT32+CA32+CH32,0)),0)</f>
        <v>0</v>
      </c>
      <c r="DR32" s="297" t="str">
        <f t="shared" si="185"/>
        <v>N.D.</v>
      </c>
      <c r="DS32" s="350">
        <f>IFERROR(IF($DN$5="S 1",K32+R32+Y32+AF32+AM32+AT32,
IF($DN$5="S 2",BA32+BH32+BO32+BV32+CC32+CJ32,0)),0)</f>
        <v>0</v>
      </c>
      <c r="DT32" s="150">
        <f t="shared" si="186"/>
        <v>0</v>
      </c>
      <c r="DU32" s="53">
        <v>1</v>
      </c>
      <c r="DX32" s="53">
        <v>27</v>
      </c>
      <c r="DY32" s="53">
        <v>34</v>
      </c>
      <c r="DZ32" s="513">
        <v>1.1111111111111112</v>
      </c>
      <c r="EB32" s="513">
        <v>0.95</v>
      </c>
      <c r="EC32" s="53">
        <v>4</v>
      </c>
      <c r="ED32" s="513">
        <v>0.2</v>
      </c>
    </row>
    <row r="33" spans="1:134" s="53" customFormat="1" ht="16" customHeight="1" x14ac:dyDescent="0.3">
      <c r="A33" s="53">
        <f>_xlfn.XLOOKUP(B33,'UC MINI 2026'!$B$5:$B$61,'UC MINI 2026'!$A$5:$A$61)</f>
        <v>5</v>
      </c>
      <c r="B33" s="179">
        <v>100379</v>
      </c>
      <c r="C33" s="381" t="s">
        <v>9</v>
      </c>
      <c r="D33" s="146"/>
      <c r="E33" s="379" t="s">
        <v>79</v>
      </c>
      <c r="F33" s="54">
        <f>SUMIF('UC MINI 2026'!$B$5:$B$71,'UC MINI 2026 MINI NEXT'!$B33,'UC MINI 2026'!$F$5:$F$71)</f>
        <v>5</v>
      </c>
      <c r="G33" s="86">
        <f>SUMIF('UC MINI 2026'!$B$5:$B$71,'UC MINI 2026 MINI NEXT'!$B33,'UC MINI 2026'!$G$5:$G$71)</f>
        <v>2</v>
      </c>
      <c r="H33" s="297">
        <f t="shared" si="54"/>
        <v>0.4</v>
      </c>
      <c r="I33" s="86">
        <f>IFERROR(VLOOKUP(B33,[2]BPS!$S$10:$AF$64,3,0),0)-IF(B33=100873,IFERROR(VLOOKUP("Enero",[2]BPS!$S$74:$T$89,2,0),0),0)</f>
        <v>2</v>
      </c>
      <c r="J33" s="297">
        <f t="shared" si="55"/>
        <v>1</v>
      </c>
      <c r="K33" s="86">
        <f>IFERROR(VLOOKUP(B33,'[2]RETAIL ORIGEN RMKT'!$S$11:$AF$62,3,0),0)</f>
        <v>0</v>
      </c>
      <c r="L33" s="150">
        <f t="shared" si="56"/>
        <v>0</v>
      </c>
      <c r="M33" s="79">
        <f>SUMIF('UC MINI 2026'!$B$5:$B$61,'UC MINI 2026 MINI NEXT'!$B33,'UC MINI 2026'!$H$5:$H$61)</f>
        <v>5</v>
      </c>
      <c r="N33" s="86">
        <f>SUMIF('UC MINI 2026'!$B$5:$B$61,'UC MINI 2026 MINI NEXT'!$B33,'UC MINI 2026'!$I$5:$I$61)</f>
        <v>10</v>
      </c>
      <c r="O33" s="297">
        <f t="shared" si="165"/>
        <v>2</v>
      </c>
      <c r="P33" s="86">
        <f>IFERROR(VLOOKUP(B33,[2]BPS!$S$10:$AF$64,4,0),0)-IF(B33=100873,IFERROR(VLOOKUP("FEBRERO",[2]BPS!$S$74:$T$89,2,0),0),0)</f>
        <v>10</v>
      </c>
      <c r="Q33" s="297">
        <f t="shared" si="188"/>
        <v>1</v>
      </c>
      <c r="R33" s="86">
        <f>IFERROR(VLOOKUP(B33,'[2]RETAIL ORIGEN RMKT'!$S$11:$AF$62,4,0),0)</f>
        <v>1</v>
      </c>
      <c r="S33" s="150">
        <f t="shared" si="189"/>
        <v>0.2</v>
      </c>
      <c r="T33" s="148">
        <f>SUMIF('UC MINI 2026'!$B$5:$B$71,'UC MINI 2026 MINI NEXT'!$B33,'UC MINI 2026'!$J$5:$J$71)</f>
        <v>5</v>
      </c>
      <c r="U33" s="86">
        <f>SUMIF('UC MINI 2026'!$B$10:$B$61,'UC MINI 2026 MINI NEXT'!$B33,'UC MINI 2026'!$K$10:$K$61)</f>
        <v>8</v>
      </c>
      <c r="V33" s="297">
        <f t="shared" si="166"/>
        <v>1.6</v>
      </c>
      <c r="W33" s="86">
        <f>IFERROR(VLOOKUP(B33,[2]BPS!$S$10:$AF$64,5,0),0)-IF(B33=100873,IFERROR(VLOOKUP("MARZO",[2]BPS!$S$74:$T$89,2,0),0),0)</f>
        <v>8</v>
      </c>
      <c r="X33" s="297">
        <f t="shared" si="190"/>
        <v>1</v>
      </c>
      <c r="Y33" s="86">
        <f>IFERROR(VLOOKUP(B33,'[2]RETAIL ORIGEN RMKT'!$S$11:$AF$62,5,0),0)</f>
        <v>2</v>
      </c>
      <c r="Z33" s="150">
        <f t="shared" si="191"/>
        <v>0.4</v>
      </c>
      <c r="AA33" s="148">
        <f>SUMIF('UC MINI 2026'!$B$5:$B$61,'UC MINI 2026 MINI NEXT'!$B33,'UC MINI 2026'!$L$5:$L$61)</f>
        <v>5</v>
      </c>
      <c r="AB33" s="86">
        <f>SUMIF('UC MINI 2026'!$B$5:$B$61,'UC MINI 2026 MINI NEXT'!$B33,'UC MINI 2026'!$M$5:$M$61)</f>
        <v>5</v>
      </c>
      <c r="AC33" s="297">
        <f t="shared" si="167"/>
        <v>1</v>
      </c>
      <c r="AD33" s="86">
        <f>IFERROR(VLOOKUP(B33,[2]BPS!$S$10:$AF$64,6,0),0)-IF(B33=100873,IFERROR(VLOOKUP("ABRIL",[2]BPS!$S$74:$T$89,2,0),0),0)</f>
        <v>5</v>
      </c>
      <c r="AE33" s="285">
        <f t="shared" si="192"/>
        <v>1</v>
      </c>
      <c r="AF33" s="86">
        <f>IFERROR(VLOOKUP(B33,'[2]RETAIL ORIGEN RMKT'!$S$11:$AF$62,6,0),0)</f>
        <v>1</v>
      </c>
      <c r="AG33" s="150">
        <f t="shared" si="193"/>
        <v>0.2</v>
      </c>
      <c r="AH33" s="148">
        <f>SUMIF('UC MINI 2026'!$B$5:$B$61,'UC MINI 2026 MINI NEXT'!$B33,'UC MINI 2026'!$N$5:$N$61)</f>
        <v>5</v>
      </c>
      <c r="AI33" s="86">
        <f>SUMIF('UC MINI 2026'!$B$5:$B$61,'UC MINI 2026 MINI NEXT'!$B33,'UC MINI 2026'!$O$5:$O$61)</f>
        <v>4</v>
      </c>
      <c r="AJ33" s="297">
        <f t="shared" si="168"/>
        <v>0.8</v>
      </c>
      <c r="AK33" s="86">
        <f>IFERROR(VLOOKUP(B33,[2]BPS!$S$10:$AF$64,7,0),0)-IF(B33=100873,IFERROR(VLOOKUP("MAYO",[2]BPS!$S$74:$T$89,2,0),0),0)</f>
        <v>4</v>
      </c>
      <c r="AL33" s="285">
        <f t="shared" si="194"/>
        <v>1</v>
      </c>
      <c r="AM33" s="86">
        <f>IFERROR(VLOOKUP(B33,'[2]RETAIL ORIGEN RMKT'!$S$11:$AF$62,7,0),0)</f>
        <v>0</v>
      </c>
      <c r="AN33" s="150">
        <f t="shared" si="195"/>
        <v>0</v>
      </c>
      <c r="AO33" s="148">
        <f>SUMIF('UC MINI 2026'!$B$5:$B$61,'UC MINI 2026 MINI NEXT'!$B33,'UC MINI 2026'!$P$5:$P$61)</f>
        <v>5</v>
      </c>
      <c r="AP33" s="86">
        <f>SUMIF('UC MINI 2026'!$B$5:$B$61,'UC MINI 2026 MINI NEXT'!$B33,'UC MINI 2026'!$Q$5:$Q$61)</f>
        <v>5</v>
      </c>
      <c r="AQ33" s="297">
        <f t="shared" si="169"/>
        <v>1</v>
      </c>
      <c r="AR33" s="86">
        <f>IFERROR(VLOOKUP(B33,[2]BPS!$S$10:$AF$64,8,0),0)-IF(B33=100873,IFERROR(VLOOKUP("JUNIO",[2]BPS!$S$74:$T$89,2,0),0),0)</f>
        <v>5</v>
      </c>
      <c r="AS33" s="285">
        <f t="shared" si="196"/>
        <v>1</v>
      </c>
      <c r="AT33" s="86">
        <f>IFERROR(VLOOKUP(B33,'[2]RETAIL ORIGEN RMKT'!$S$11:$AF$62,8,0),0)</f>
        <v>1</v>
      </c>
      <c r="AU33" s="150">
        <f t="shared" si="197"/>
        <v>0.2</v>
      </c>
      <c r="AV33" s="148">
        <f>SUMIF('UC MINI 2026'!$B$5:$B$61,'UC MINI 2026 MINI NEXT'!$B33,'UC MINI 2026'!$R$5:$R$61)</f>
        <v>4</v>
      </c>
      <c r="AW33" s="86">
        <f>SUMIF('UC MINI 2026'!$B$5:$B$61,'UC MINI 2026 MINI NEXT'!$B33,'UC MINI 2026'!$S$5:$S$61)</f>
        <v>0</v>
      </c>
      <c r="AX33" s="297">
        <f t="shared" si="170"/>
        <v>0</v>
      </c>
      <c r="AY33" s="86">
        <f>IFERROR(VLOOKUP(B33,[2]BPS!$S$10:$AF$64,9,0),0)-IF(B33=100873,IFERROR(VLOOKUP("JULIO",[2]BPS!$S$74:$T$89,2,0),0),0)</f>
        <v>0</v>
      </c>
      <c r="AZ33" s="285">
        <f t="shared" si="198"/>
        <v>0</v>
      </c>
      <c r="BA33" s="86">
        <f>IFERROR(VLOOKUP(I33,'[2]RETAIL ORIGEN RMKT'!$S$11:$AF$62,9,0),0)</f>
        <v>0</v>
      </c>
      <c r="BB33" s="150">
        <f t="shared" si="199"/>
        <v>0</v>
      </c>
      <c r="BC33" s="148">
        <f>SUMIF('UC MINI 2026'!$B$5:$B$61,'UC MINI 2026 MINI NEXT'!$B33,'UC MINI 2026'!$T$5:$T$61)</f>
        <v>4</v>
      </c>
      <c r="BD33" s="86">
        <f>SUMIF('UC MINI 2026'!$B$5:$B$61,'UC MINI 2026 MINI NEXT'!$B33,'UC MINI 2026'!$U$5:$U$61)</f>
        <v>0</v>
      </c>
      <c r="BE33" s="297">
        <f t="shared" si="171"/>
        <v>0</v>
      </c>
      <c r="BF33" s="86">
        <f>IFERROR(VLOOKUP(B33,[2]BPS!$S$10:$AF$64,10,0),0)-IF(B33=100873,IFERROR(VLOOKUP("AGOSTO",[2]BPS!$S$74:$T$89,2,0),0),0)</f>
        <v>0</v>
      </c>
      <c r="BG33" s="285">
        <f t="shared" si="200"/>
        <v>0</v>
      </c>
      <c r="BH33" s="86">
        <f>IFERROR(VLOOKUP(P33,'[2]RETAIL ORIGEN RMKT'!$S$11:$AF$62,10,0),0)</f>
        <v>0</v>
      </c>
      <c r="BI33" s="150">
        <f t="shared" si="201"/>
        <v>0</v>
      </c>
      <c r="BJ33" s="148">
        <f>SUMIF('UC MINI 2026'!$B$5:$B$61,'UC MINI 2026 MINI NEXT'!$B33,'UC MINI 2026'!$V$5:$V$61)</f>
        <v>4</v>
      </c>
      <c r="BK33" s="86">
        <f>SUMIF('UC MINI 2026'!$B$5:$B$61,'UC MINI 2026 MINI NEXT'!$B33,'UC MINI 2026'!$W$5:$W$61)</f>
        <v>0</v>
      </c>
      <c r="BL33" s="297">
        <f t="shared" si="172"/>
        <v>0</v>
      </c>
      <c r="BM33" s="86">
        <f>IFERROR(VLOOKUP(B33,[2]BPS!$S$10:$AF$64,11,0),0)-IF(B33=100873,IFERROR(VLOOKUP("SEPTIEMBRE",[2]BPS!$S$74:$T$89,2,0),0),0)</f>
        <v>0</v>
      </c>
      <c r="BN33" s="285">
        <f t="shared" si="202"/>
        <v>0</v>
      </c>
      <c r="BO33" s="86">
        <f>IFERROR(VLOOKUP(W33,'[2]RETAIL ORIGEN RMKT'!$S$11:$AF$62,11,0),0)</f>
        <v>0</v>
      </c>
      <c r="BP33" s="150">
        <f t="shared" si="203"/>
        <v>0</v>
      </c>
      <c r="BQ33" s="148">
        <f>SUMIF('UC MINI 2026'!$B$5:$B$61,'UC MINI 2026 MINI NEXT'!$B33,'UC MINI 2026'!$V$5:$V$61)</f>
        <v>4</v>
      </c>
      <c r="BR33" s="86">
        <f>SUMIF('UC MINI 2026'!$B$5:$B$61,'UC MINI 2026 MINI NEXT'!$B33,'UC MINI 2026'!$Y$5:$Y$61)</f>
        <v>0</v>
      </c>
      <c r="BS33" s="297">
        <f t="shared" si="173"/>
        <v>0</v>
      </c>
      <c r="BT33" s="86">
        <f>IFERROR(VLOOKUP(B33,[2]BPS!$S$10:$AF$64,12,0),0)-IF(B33=100873,IFERROR(VLOOKUP("OCTUBRE",[2]BPS!$S$74:$T$89,2,0),0),0)</f>
        <v>0</v>
      </c>
      <c r="BU33" s="285">
        <f t="shared" si="204"/>
        <v>0</v>
      </c>
      <c r="BV33" s="86">
        <f>IFERROR(VLOOKUP(AD33,'[2]RETAIL ORIGEN RMKT'!$S$11:$AF$62,12,0),0)</f>
        <v>0</v>
      </c>
      <c r="BW33" s="150">
        <f t="shared" si="205"/>
        <v>0</v>
      </c>
      <c r="BX33" s="148">
        <f>SUMIF('UC MINI 2026'!$B$5:$B$61,'UC MINI 2026 MINI NEXT'!$B33,'UC MINI 2026'!$V$5:$V$61)</f>
        <v>4</v>
      </c>
      <c r="BY33" s="86">
        <f>SUMIF('UC MINI 2026'!$B$5:$B$61,'UC MINI 2026 MINI NEXT'!$B33,'UC MINI 2026'!$AA$5:$AA$61)</f>
        <v>0</v>
      </c>
      <c r="BZ33" s="297">
        <f t="shared" si="174"/>
        <v>0</v>
      </c>
      <c r="CA33" s="86">
        <f>IFERROR(VLOOKUP(B33,[2]BPS!$S$10:$AF$64,13,0),0)-IF(B33=100873,IFERROR(VLOOKUP("NOVIEMBRE",[2]BPS!$S$74:$T$89,2,0),0),0)</f>
        <v>0</v>
      </c>
      <c r="CB33" s="285">
        <f t="shared" si="206"/>
        <v>0</v>
      </c>
      <c r="CC33" s="86">
        <f>IFERROR(VLOOKUP(AK33,'[2]RETAIL ORIGEN RMKT'!$S$11:$AF$62,13,0),0)</f>
        <v>0</v>
      </c>
      <c r="CD33" s="150">
        <f t="shared" si="207"/>
        <v>0</v>
      </c>
      <c r="CE33" s="148">
        <f>SUMIF('UC MINI 2026'!$B$5:$B$61,'UC MINI 2026 MINI NEXT'!$B33,'UC MINI 2026'!$V$5:$V$61)</f>
        <v>4</v>
      </c>
      <c r="CF33" s="86">
        <f>SUMIF('UC MINI 2026'!$B$5:$B$61,'UC MINI 2026 MINI NEXT'!$B33,'UC MINI 2026'!$AC$5:$AC$61)</f>
        <v>0</v>
      </c>
      <c r="CG33" s="297">
        <f t="shared" si="175"/>
        <v>0</v>
      </c>
      <c r="CH33" s="86">
        <f>IFERROR(VLOOKUP(B33,[2]BPS!$S$10:$AF$64,14,0),0)-IF(B33=100873,IFERROR(VLOOKUP("DICIEMBRE",[2]BPS!$S$74:$T$89,2,0),0),0)</f>
        <v>0</v>
      </c>
      <c r="CI33" s="285">
        <f t="shared" si="208"/>
        <v>0</v>
      </c>
      <c r="CJ33" s="86">
        <f>IFERROR(VLOOKUP(AR33,'[2]RETAIL ORIGEN RMKT'!$S$11:$AF$62,14,0),0)</f>
        <v>0</v>
      </c>
      <c r="CK33" s="150">
        <f t="shared" si="209"/>
        <v>0</v>
      </c>
      <c r="CL33" s="54">
        <f t="shared" si="210"/>
        <v>30</v>
      </c>
      <c r="CM33" s="86">
        <f t="shared" si="210"/>
        <v>34</v>
      </c>
      <c r="CN33" s="109">
        <f t="shared" si="176"/>
        <v>1.1333333333333333</v>
      </c>
      <c r="CO33" s="86">
        <f>IFERROR(IF($CL$4="ENERO",I33,IF($CL$4="FEBRERO",I33+P33,IF($CL$4="MARZO",I33+P33+W33,IF($CL$4="ABRIL",I33+P33+W33+AD33,IF($CL$4="MAYO",I33+P33+W33+AD33+AK33,IF($CL$4="JUNIO",I33+P33+W33+AD33+AK33+AR33,IF($CL$4="JULIO",I33+P33+W33+AD33+AK33+AR33+AY33,IF($CL$4="AGOSTO",I33+P33+W33+AD33+AK33+AR33+AY33+BF33,IF($CL$4="SEPTIEMBRE",I33+P33+W33+AD33+AK33+AR33+AY33+BF33+BM33,IF($CL$4="OCTUBRE",I33+P33+W33+AD33+AK33+AR33+AY33+BF33+BM33+BT33,IF($CL$4="NOVIEMBRE",I33+P33+W33+AD33+AK33+AR33+AY33+BF33+BM33+BT33+CA33,IF($CL$4="DICIEMBRE",I33+P33+W33+AD33+AK33+AR33+AY33+BF33+BM33+BT33+CA33+CH33,"")))))))))))),0)</f>
        <v>34</v>
      </c>
      <c r="CP33" s="297">
        <f>IFERROR(IF(CM33=0,"N.D.",CO33/CM33),0)</f>
        <v>1</v>
      </c>
      <c r="CQ33" s="348">
        <f>IFERROR(IF($CL$4="ENERO",K33,
IF($CL$4="FEBRERO",K33+R33,
IF($CL$4="MARZO",K33+R33+Y33,
IF($CL$4="ABRIL",K33+R33+Y33+AF33,
IF($CL$4="MAYO",K33+R33+Y33+AF33+AM33,
IF($CL$4="JUNIO",K33+R33+Y33+AF33+AM33+AT33,
IF($CL$4="JULIO",K33+R33+Y33+AF33+AM33+AT33+BA33,
IF($CL$4="AGOSTO",K33+R33+Y33+AF33+AM33+AT33+BA33+BH33,
IF($CL$4="SEPTIEMBRE",K33+R33+Y33+AF33+AM33+AT33+BA33+BH33+BO33,
IF($CL$4="OCTUBRE",K33+R33+Y33+AF33+AM33+AT33+BA33+BH33+BO33+BV33,
IF($CL$4="NOVIEMBRE",K33+R33+Y33+AF33+AM33+AT33+BA33+BH33+BO33+BV33+CC33,
IF($CL$4="DICIEMBRE",K33+R33+Y33+AF33+AM33+AT33+BA33+BH33+BO33+BV33+CC33+CJ33,"")))))))))))),0)</f>
        <v>5</v>
      </c>
      <c r="CR33" s="149">
        <f t="shared" si="177"/>
        <v>0.16666666666666666</v>
      </c>
      <c r="CS33" s="54">
        <f>+F33+M33+T33+AA33+AH33+AO33++AV33+BC33+BJ33+BQ33+BX33+CE33</f>
        <v>54</v>
      </c>
      <c r="CT33" s="86">
        <f>SUMIFS($F33:$CI33,$F$6:$CI$6,CT$6,$F$2:$CI$2,$CL$4)</f>
        <v>34</v>
      </c>
      <c r="CU33" s="109">
        <f t="shared" si="52"/>
        <v>0.62962962962962965</v>
      </c>
      <c r="CV33" s="68">
        <f>IFERROR(I33+P33+W33+AD33+AK33+AR33+AY33+BF33+BM33+BT33+CA33+CH33,0)</f>
        <v>34</v>
      </c>
      <c r="CW33" s="297">
        <f>IF(CT33=0,"N.D.",CV33/CT33)</f>
        <v>1</v>
      </c>
      <c r="CX33" s="350">
        <f>IFERROR(K33+R33+Y33+AF33+AM33+AT33+BA33+BH33+BO33+BV33+CC33+CJ33,0)</f>
        <v>5</v>
      </c>
      <c r="CY33" s="149">
        <f t="shared" si="178"/>
        <v>9.2592592592592587E-2</v>
      </c>
      <c r="CZ33" s="54">
        <f t="shared" si="211"/>
        <v>15</v>
      </c>
      <c r="DA33" s="86">
        <f t="shared" si="211"/>
        <v>20</v>
      </c>
      <c r="DB33" s="109">
        <f t="shared" si="179"/>
        <v>1.3333333333333333</v>
      </c>
      <c r="DC33" s="68">
        <f>IFERROR(IF($CZ$5="Q1",I33+P33+W33,
IF($CZ$5="Q2",AD33+AK33++AR33,
IF($CZ$5="Q3",AY33+BF33+BM33,
IF($CZ$5="Q4",BT33+CA33+CH33,0)))),0)</f>
        <v>20</v>
      </c>
      <c r="DD33" s="297">
        <f>IF(DA33=0,"N.D.",DC33/DA33)</f>
        <v>1</v>
      </c>
      <c r="DE33" s="350">
        <f>IFERROR(IF($CZ$5="Q1",K33+R33+Y33,
IF($CZ$5="Q2",AF33+AM33+AT33,
IF($CZ$5="Q3",BA33+BH33+BO33,
IF($CZ$5="Q4",BV33+CC33+CJ33,0)))),0)</f>
        <v>3</v>
      </c>
      <c r="DF33" s="150">
        <f t="shared" si="180"/>
        <v>0.2</v>
      </c>
      <c r="DG33" s="54">
        <f t="shared" si="89"/>
        <v>30</v>
      </c>
      <c r="DH33" s="86">
        <f t="shared" si="89"/>
        <v>34</v>
      </c>
      <c r="DI33" s="109">
        <f t="shared" si="181"/>
        <v>1.1333333333333333</v>
      </c>
      <c r="DJ33" s="68">
        <f>IFERROR(IF($DG$5="S 1",I33+P33+W33+AD33+AK33++AR33,
IF($DG$5="S 2",AY33+BF33+BM33+BT33+CA33+CH33,0)),0)</f>
        <v>34</v>
      </c>
      <c r="DK33" s="297">
        <f t="shared" si="182"/>
        <v>1</v>
      </c>
      <c r="DL33" s="350">
        <f>IFERROR(IF($DG$5="S 1",K33+R33+Y33+AF33+AM33+AT33,
IF($DG$5="S 2",BA33+BH33+BO33+BV33+CC33+CJ33,0)),0)</f>
        <v>5</v>
      </c>
      <c r="DM33" s="150">
        <f t="shared" si="183"/>
        <v>0.16666666666666666</v>
      </c>
      <c r="DN33" s="67">
        <f t="shared" si="187"/>
        <v>24</v>
      </c>
      <c r="DO33" s="266">
        <f t="shared" si="187"/>
        <v>0</v>
      </c>
      <c r="DP33" s="109">
        <f t="shared" si="184"/>
        <v>0</v>
      </c>
      <c r="DQ33" s="68">
        <f>IFERROR(IF($DN$5="S 1",I33+P33+W33+AD33+AK33++AR33,
IF($DN$5="S 2",AY33+BF33+BM33+BT33+CA33+CH33,0)),0)</f>
        <v>0</v>
      </c>
      <c r="DR33" s="297" t="str">
        <f t="shared" si="185"/>
        <v>N.D.</v>
      </c>
      <c r="DS33" s="350">
        <f>IFERROR(IF($DN$5="S 1",K33+R33+Y33+AF33+AM33+AT33,
IF($DN$5="S 2",BA33+BH33+BO33+BV33+CC33+CJ33,0)),0)</f>
        <v>0</v>
      </c>
      <c r="DT33" s="150">
        <f t="shared" si="186"/>
        <v>0</v>
      </c>
      <c r="DU33" s="53">
        <v>1</v>
      </c>
      <c r="DX33" s="53">
        <v>25</v>
      </c>
      <c r="DY33" s="53">
        <v>31</v>
      </c>
      <c r="DZ33" s="513">
        <v>1.0833333333333333</v>
      </c>
      <c r="EB33" s="513">
        <v>0.94444444444444442</v>
      </c>
      <c r="EC33" s="53">
        <v>4</v>
      </c>
      <c r="ED33" s="513">
        <v>0.17777777777777778</v>
      </c>
    </row>
    <row r="34" spans="1:134" s="53" customFormat="1" ht="16" customHeight="1" x14ac:dyDescent="0.3">
      <c r="A34" s="53">
        <f>_xlfn.XLOOKUP(B34,'UC MINI 2026'!$B$5:$B$61,'UC MINI 2026'!$A$5:$A$61)</f>
        <v>5</v>
      </c>
      <c r="B34" s="179">
        <v>100410</v>
      </c>
      <c r="C34" s="381" t="s">
        <v>22</v>
      </c>
      <c r="D34" s="146"/>
      <c r="E34" s="379" t="s">
        <v>79</v>
      </c>
      <c r="F34" s="54">
        <f>SUMIF('UC MINI 2026'!$B$5:$B$71,'UC MINI 2026 MINI NEXT'!$B34,'UC MINI 2026'!$F$5:$F$71)</f>
        <v>7</v>
      </c>
      <c r="G34" s="86">
        <f>SUMIF('UC MINI 2026'!$B$5:$B$71,'UC MINI 2026 MINI NEXT'!$B34,'UC MINI 2026'!$G$5:$G$71)</f>
        <v>8</v>
      </c>
      <c r="H34" s="297">
        <f t="shared" si="54"/>
        <v>1.1428571428571428</v>
      </c>
      <c r="I34" s="86">
        <f>IFERROR(VLOOKUP(B34,[2]BPS!$S$10:$AF$64,3,0),0)-IF(B34=100873,IFERROR(VLOOKUP("Enero",[2]BPS!$S$74:$T$89,2,0),0),0)</f>
        <v>8</v>
      </c>
      <c r="J34" s="297">
        <f t="shared" si="55"/>
        <v>1</v>
      </c>
      <c r="K34" s="86">
        <f>IFERROR(VLOOKUP(B34,'[2]RETAIL ORIGEN RMKT'!$S$11:$AF$62,3,0),0)</f>
        <v>2</v>
      </c>
      <c r="L34" s="150">
        <f t="shared" si="56"/>
        <v>0.2857142857142857</v>
      </c>
      <c r="M34" s="79">
        <f>SUMIF('UC MINI 2026'!$B$5:$B$61,'UC MINI 2026 MINI NEXT'!$B34,'UC MINI 2026'!$H$5:$H$61)</f>
        <v>7</v>
      </c>
      <c r="N34" s="86">
        <f>SUMIF('UC MINI 2026'!$B$5:$B$61,'UC MINI 2026 MINI NEXT'!$B34,'UC MINI 2026'!$I$5:$I$61)</f>
        <v>5</v>
      </c>
      <c r="O34" s="297">
        <f t="shared" si="165"/>
        <v>0.7142857142857143</v>
      </c>
      <c r="P34" s="86">
        <f>IFERROR(VLOOKUP(B34,[2]BPS!$S$10:$AF$64,4,0),0)-IF(B34=100873,IFERROR(VLOOKUP("FEBRERO",[2]BPS!$S$74:$T$89,2,0),0),0)</f>
        <v>5</v>
      </c>
      <c r="Q34" s="297">
        <f t="shared" si="188"/>
        <v>1</v>
      </c>
      <c r="R34" s="86">
        <f>IFERROR(VLOOKUP(B34,'[2]RETAIL ORIGEN RMKT'!$S$11:$AF$62,4,0),0)</f>
        <v>0</v>
      </c>
      <c r="S34" s="150">
        <f t="shared" si="189"/>
        <v>0</v>
      </c>
      <c r="T34" s="148">
        <f>SUMIF('UC MINI 2026'!$B$5:$B$71,'UC MINI 2026 MINI NEXT'!$B34,'UC MINI 2026'!$J$5:$J$71)</f>
        <v>8</v>
      </c>
      <c r="U34" s="86">
        <f>SUMIF('UC MINI 2026'!$B$10:$B$61,'UC MINI 2026 MINI NEXT'!$B34,'UC MINI 2026'!$K$10:$K$61)</f>
        <v>9</v>
      </c>
      <c r="V34" s="297">
        <f t="shared" si="166"/>
        <v>1.125</v>
      </c>
      <c r="W34" s="86">
        <f>IFERROR(VLOOKUP(B34,[2]BPS!$S$10:$AF$64,5,0),0)-IF(B34=100873,IFERROR(VLOOKUP("MARZO",[2]BPS!$S$74:$T$89,2,0),0),0)</f>
        <v>8</v>
      </c>
      <c r="X34" s="297">
        <f t="shared" si="190"/>
        <v>0.88888888888888884</v>
      </c>
      <c r="Y34" s="86">
        <f>IFERROR(VLOOKUP(B34,'[2]RETAIL ORIGEN RMKT'!$S$11:$AF$62,5,0),0)</f>
        <v>2</v>
      </c>
      <c r="Z34" s="150">
        <f t="shared" si="191"/>
        <v>0.25</v>
      </c>
      <c r="AA34" s="148">
        <f>SUMIF('UC MINI 2026'!$B$5:$B$61,'UC MINI 2026 MINI NEXT'!$B34,'UC MINI 2026'!$L$5:$L$61)</f>
        <v>7</v>
      </c>
      <c r="AB34" s="86">
        <f>SUMIF('UC MINI 2026'!$B$5:$B$61,'UC MINI 2026 MINI NEXT'!$B34,'UC MINI 2026'!$M$5:$M$61)</f>
        <v>4</v>
      </c>
      <c r="AC34" s="297">
        <f t="shared" si="167"/>
        <v>0.5714285714285714</v>
      </c>
      <c r="AD34" s="86">
        <f>IFERROR(VLOOKUP(B34,[2]BPS!$S$10:$AF$64,6,0),0)-IF(B34=100873,IFERROR(VLOOKUP("ABRIL",[2]BPS!$S$74:$T$89,2,0),0),0)</f>
        <v>4</v>
      </c>
      <c r="AE34" s="285">
        <f t="shared" si="192"/>
        <v>1</v>
      </c>
      <c r="AF34" s="86">
        <f>IFERROR(VLOOKUP(B34,'[2]RETAIL ORIGEN RMKT'!$S$11:$AF$62,6,0),0)</f>
        <v>3</v>
      </c>
      <c r="AG34" s="150">
        <f t="shared" si="193"/>
        <v>0.42857142857142855</v>
      </c>
      <c r="AH34" s="148">
        <f>SUMIF('UC MINI 2026'!$B$5:$B$61,'UC MINI 2026 MINI NEXT'!$B34,'UC MINI 2026'!$N$5:$N$61)</f>
        <v>8</v>
      </c>
      <c r="AI34" s="86">
        <f>SUMIF('UC MINI 2026'!$B$5:$B$61,'UC MINI 2026 MINI NEXT'!$B34,'UC MINI 2026'!$O$5:$O$61)</f>
        <v>6</v>
      </c>
      <c r="AJ34" s="297">
        <f t="shared" si="168"/>
        <v>0.75</v>
      </c>
      <c r="AK34" s="86">
        <f>IFERROR(VLOOKUP(B34,[2]BPS!$S$10:$AF$64,7,0),0)-IF(B34=100873,IFERROR(VLOOKUP("MAYO",[2]BPS!$S$74:$T$89,2,0),0),0)</f>
        <v>5</v>
      </c>
      <c r="AL34" s="285">
        <f t="shared" si="194"/>
        <v>0.83333333333333337</v>
      </c>
      <c r="AM34" s="86">
        <f>IFERROR(VLOOKUP(B34,'[2]RETAIL ORIGEN RMKT'!$S$11:$AF$62,7,0),0)</f>
        <v>0</v>
      </c>
      <c r="AN34" s="150">
        <f t="shared" si="195"/>
        <v>0</v>
      </c>
      <c r="AO34" s="148">
        <f>SUMIF('UC MINI 2026'!$B$5:$B$61,'UC MINI 2026 MINI NEXT'!$B34,'UC MINI 2026'!$P$5:$P$61)</f>
        <v>8</v>
      </c>
      <c r="AP34" s="86">
        <f>SUMIF('UC MINI 2026'!$B$5:$B$61,'UC MINI 2026 MINI NEXT'!$B34,'UC MINI 2026'!$Q$5:$Q$61)</f>
        <v>13</v>
      </c>
      <c r="AQ34" s="297">
        <f t="shared" si="169"/>
        <v>1.625</v>
      </c>
      <c r="AR34" s="86">
        <f>IFERROR(VLOOKUP(B34,[2]BPS!$S$10:$AF$64,8,0),0)-IF(B34=100873,IFERROR(VLOOKUP("JUNIO",[2]BPS!$S$74:$T$89,2,0),0),0)</f>
        <v>13</v>
      </c>
      <c r="AS34" s="285">
        <f t="shared" si="196"/>
        <v>1</v>
      </c>
      <c r="AT34" s="86">
        <f>IFERROR(VLOOKUP(B34,'[2]RETAIL ORIGEN RMKT'!$S$11:$AF$62,8,0),0)</f>
        <v>3</v>
      </c>
      <c r="AU34" s="150">
        <f t="shared" si="197"/>
        <v>0.375</v>
      </c>
      <c r="AV34" s="148">
        <f>SUMIF('UC MINI 2026'!$B$5:$B$61,'UC MINI 2026 MINI NEXT'!$B34,'UC MINI 2026'!$R$5:$R$61)</f>
        <v>0</v>
      </c>
      <c r="AW34" s="86">
        <f>SUMIF('UC MINI 2026'!$B$5:$B$61,'UC MINI 2026 MINI NEXT'!$B34,'UC MINI 2026'!$S$5:$S$61)</f>
        <v>0</v>
      </c>
      <c r="AX34" s="297">
        <f t="shared" si="170"/>
        <v>0</v>
      </c>
      <c r="AY34" s="86">
        <f>IFERROR(VLOOKUP(B34,[2]BPS!$S$10:$AF$64,9,0),0)-IF(B34=100873,IFERROR(VLOOKUP("JULIO",[2]BPS!$S$74:$T$89,2,0),0),0)</f>
        <v>0</v>
      </c>
      <c r="AZ34" s="285">
        <f t="shared" si="198"/>
        <v>0</v>
      </c>
      <c r="BA34" s="86">
        <f>IFERROR(VLOOKUP(I34,'[2]RETAIL ORIGEN RMKT'!$S$11:$AF$62,9,0),0)</f>
        <v>0</v>
      </c>
      <c r="BB34" s="150">
        <f t="shared" si="199"/>
        <v>0</v>
      </c>
      <c r="BC34" s="148">
        <f>SUMIF('UC MINI 2026'!$B$5:$B$61,'UC MINI 2026 MINI NEXT'!$B34,'UC MINI 2026'!$T$5:$T$61)</f>
        <v>0</v>
      </c>
      <c r="BD34" s="86">
        <f>SUMIF('UC MINI 2026'!$B$5:$B$61,'UC MINI 2026 MINI NEXT'!$B34,'UC MINI 2026'!$U$5:$U$61)</f>
        <v>0</v>
      </c>
      <c r="BE34" s="297">
        <f t="shared" si="171"/>
        <v>0</v>
      </c>
      <c r="BF34" s="86">
        <f>IFERROR(VLOOKUP(B34,[2]BPS!$S$10:$AF$64,10,0),0)-IF(B34=100873,IFERROR(VLOOKUP("AGOSTO",[2]BPS!$S$74:$T$89,2,0),0),0)</f>
        <v>0</v>
      </c>
      <c r="BG34" s="285">
        <f t="shared" si="200"/>
        <v>0</v>
      </c>
      <c r="BH34" s="86">
        <f>IFERROR(VLOOKUP(P34,'[2]RETAIL ORIGEN RMKT'!$S$11:$AF$62,10,0),0)</f>
        <v>0</v>
      </c>
      <c r="BI34" s="150">
        <f t="shared" si="201"/>
        <v>0</v>
      </c>
      <c r="BJ34" s="148">
        <f>SUMIF('UC MINI 2026'!$B$5:$B$61,'UC MINI 2026 MINI NEXT'!$B34,'UC MINI 2026'!$V$5:$V$61)</f>
        <v>0</v>
      </c>
      <c r="BK34" s="86">
        <f>SUMIF('UC MINI 2026'!$B$5:$B$61,'UC MINI 2026 MINI NEXT'!$B34,'UC MINI 2026'!$W$5:$W$61)</f>
        <v>0</v>
      </c>
      <c r="BL34" s="297">
        <f t="shared" si="172"/>
        <v>0</v>
      </c>
      <c r="BM34" s="86">
        <f>IFERROR(VLOOKUP(B34,[2]BPS!$S$10:$AF$64,11,0),0)-IF(B34=100873,IFERROR(VLOOKUP("SEPTIEMBRE",[2]BPS!$S$74:$T$89,2,0),0),0)</f>
        <v>0</v>
      </c>
      <c r="BN34" s="285">
        <f t="shared" si="202"/>
        <v>0</v>
      </c>
      <c r="BO34" s="86">
        <f>IFERROR(VLOOKUP(W34,'[2]RETAIL ORIGEN RMKT'!$S$11:$AF$62,11,0),0)</f>
        <v>0</v>
      </c>
      <c r="BP34" s="150">
        <f t="shared" si="203"/>
        <v>0</v>
      </c>
      <c r="BQ34" s="148">
        <f>SUMIF('UC MINI 2026'!$B$5:$B$61,'UC MINI 2026 MINI NEXT'!$B34,'UC MINI 2026'!$V$5:$V$61)</f>
        <v>0</v>
      </c>
      <c r="BR34" s="86">
        <f>SUMIF('UC MINI 2026'!$B$5:$B$61,'UC MINI 2026 MINI NEXT'!$B34,'UC MINI 2026'!$Y$5:$Y$61)</f>
        <v>0</v>
      </c>
      <c r="BS34" s="297">
        <f t="shared" si="173"/>
        <v>0</v>
      </c>
      <c r="BT34" s="86">
        <f>IFERROR(VLOOKUP(B34,[2]BPS!$S$10:$AF$64,12,0),0)-IF(B34=100873,IFERROR(VLOOKUP("OCTUBRE",[2]BPS!$S$74:$T$89,2,0),0),0)</f>
        <v>0</v>
      </c>
      <c r="BU34" s="285">
        <f t="shared" si="204"/>
        <v>0</v>
      </c>
      <c r="BV34" s="86">
        <f>IFERROR(VLOOKUP(AD34,'[2]RETAIL ORIGEN RMKT'!$S$11:$AF$62,12,0),0)</f>
        <v>0</v>
      </c>
      <c r="BW34" s="150">
        <f t="shared" si="205"/>
        <v>0</v>
      </c>
      <c r="BX34" s="148">
        <f>SUMIF('UC MINI 2026'!$B$5:$B$61,'UC MINI 2026 MINI NEXT'!$B34,'UC MINI 2026'!$V$5:$V$61)</f>
        <v>0</v>
      </c>
      <c r="BY34" s="86">
        <f>SUMIF('UC MINI 2026'!$B$5:$B$61,'UC MINI 2026 MINI NEXT'!$B34,'UC MINI 2026'!$AA$5:$AA$61)</f>
        <v>0</v>
      </c>
      <c r="BZ34" s="297">
        <f t="shared" si="174"/>
        <v>0</v>
      </c>
      <c r="CA34" s="86">
        <f>IFERROR(VLOOKUP(B34,[2]BPS!$S$10:$AF$64,13,0),0)-IF(B34=100873,IFERROR(VLOOKUP("NOVIEMBRE",[2]BPS!$S$74:$T$89,2,0),0),0)</f>
        <v>0</v>
      </c>
      <c r="CB34" s="285">
        <f t="shared" si="206"/>
        <v>0</v>
      </c>
      <c r="CC34" s="86">
        <f>IFERROR(VLOOKUP(AK34,'[2]RETAIL ORIGEN RMKT'!$S$11:$AF$62,13,0),0)</f>
        <v>0</v>
      </c>
      <c r="CD34" s="150">
        <f t="shared" si="207"/>
        <v>0</v>
      </c>
      <c r="CE34" s="148">
        <f>SUMIF('UC MINI 2026'!$B$5:$B$61,'UC MINI 2026 MINI NEXT'!$B34,'UC MINI 2026'!$V$5:$V$61)</f>
        <v>0</v>
      </c>
      <c r="CF34" s="86">
        <f>SUMIF('UC MINI 2026'!$B$5:$B$61,'UC MINI 2026 MINI NEXT'!$B34,'UC MINI 2026'!$AC$5:$AC$61)</f>
        <v>0</v>
      </c>
      <c r="CG34" s="297">
        <f t="shared" si="175"/>
        <v>0</v>
      </c>
      <c r="CH34" s="86">
        <f>IFERROR(VLOOKUP(B34,[2]BPS!$S$10:$AF$64,14,0),0)-IF(B34=100873,IFERROR(VLOOKUP("DICIEMBRE",[2]BPS!$S$74:$T$89,2,0),0),0)</f>
        <v>0</v>
      </c>
      <c r="CI34" s="285">
        <f t="shared" si="208"/>
        <v>0</v>
      </c>
      <c r="CJ34" s="86">
        <f>IFERROR(VLOOKUP(AR34,'[2]RETAIL ORIGEN RMKT'!$S$11:$AF$62,14,0),0)</f>
        <v>0</v>
      </c>
      <c r="CK34" s="150">
        <f t="shared" si="209"/>
        <v>0</v>
      </c>
      <c r="CL34" s="54">
        <f t="shared" si="210"/>
        <v>45</v>
      </c>
      <c r="CM34" s="86">
        <f t="shared" si="210"/>
        <v>45</v>
      </c>
      <c r="CN34" s="109">
        <f t="shared" si="176"/>
        <v>1</v>
      </c>
      <c r="CO34" s="86">
        <f>IFERROR(IF($CL$4="ENERO",I34,IF($CL$4="FEBRERO",I34+P34,IF($CL$4="MARZO",I34+P34+W34,IF($CL$4="ABRIL",I34+P34+W34+AD34,IF($CL$4="MAYO",I34+P34+W34+AD34+AK34,IF($CL$4="JUNIO",I34+P34+W34+AD34+AK34+AR34,IF($CL$4="JULIO",I34+P34+W34+AD34+AK34+AR34+AY34,IF($CL$4="AGOSTO",I34+P34+W34+AD34+AK34+AR34+AY34+BF34,IF($CL$4="SEPTIEMBRE",I34+P34+W34+AD34+AK34+AR34+AY34+BF34+BM34,IF($CL$4="OCTUBRE",I34+P34+W34+AD34+AK34+AR34+AY34+BF34+BM34+BT34,IF($CL$4="NOVIEMBRE",I34+P34+W34+AD34+AK34+AR34+AY34+BF34+BM34+BT34+CA34,IF($CL$4="DICIEMBRE",I34+P34+W34+AD34+AK34+AR34+AY34+BF34+BM34+BT34+CA34+CH34,"")))))))))))),0)</f>
        <v>43</v>
      </c>
      <c r="CP34" s="297">
        <f>IFERROR(IF(CM34=0,"N.D.",CO34/CM34),0)</f>
        <v>0.9555555555555556</v>
      </c>
      <c r="CQ34" s="348">
        <f>IFERROR(IF($CL$4="ENERO",K34,
IF($CL$4="FEBRERO",K34+R34,
IF($CL$4="MARZO",K34+R34+Y34,
IF($CL$4="ABRIL",K34+R34+Y34+AF34,
IF($CL$4="MAYO",K34+R34+Y34+AF34+AM34,
IF($CL$4="JUNIO",K34+R34+Y34+AF34+AM34+AT34,
IF($CL$4="JULIO",K34+R34+Y34+AF34+AM34+AT34+BA34,
IF($CL$4="AGOSTO",K34+R34+Y34+AF34+AM34+AT34+BA34+BH34,
IF($CL$4="SEPTIEMBRE",K34+R34+Y34+AF34+AM34+AT34+BA34+BH34+BO34,
IF($CL$4="OCTUBRE",K34+R34+Y34+AF34+AM34+AT34+BA34+BH34+BO34+BV34,
IF($CL$4="NOVIEMBRE",K34+R34+Y34+AF34+AM34+AT34+BA34+BH34+BO34+BV34+CC34,
IF($CL$4="DICIEMBRE",K34+R34+Y34+AF34+AM34+AT34+BA34+BH34+BO34+BV34+CC34+CJ34,"")))))))))))),0)</f>
        <v>10</v>
      </c>
      <c r="CR34" s="149">
        <f t="shared" si="177"/>
        <v>0.22222222222222221</v>
      </c>
      <c r="CS34" s="54">
        <f>+F34+M34+T34+AA34+AH34+AO34++AV34+BC34+BJ34+BQ34+BX34+CE34</f>
        <v>45</v>
      </c>
      <c r="CT34" s="86">
        <f>SUMIFS($F34:$CI34,$F$6:$CI$6,CT$6,$F$2:$CI$2,$CL$4)</f>
        <v>45</v>
      </c>
      <c r="CU34" s="109">
        <f t="shared" si="52"/>
        <v>1</v>
      </c>
      <c r="CV34" s="68">
        <f>IFERROR(I34+P34+W34+AD34+AK34+AR34+AY34+BF34+BM34+BT34+CA34+CH34,0)</f>
        <v>43</v>
      </c>
      <c r="CW34" s="297">
        <f>IF(CT34=0,"N.D.",CV34/CT34)</f>
        <v>0.9555555555555556</v>
      </c>
      <c r="CX34" s="350">
        <f>IFERROR(K34+R34+Y34+AF34+AM34+AT34+BA34+BH34+BO34+BV34+CC34+CJ34,0)</f>
        <v>10</v>
      </c>
      <c r="CY34" s="149">
        <f t="shared" si="178"/>
        <v>0.22222222222222221</v>
      </c>
      <c r="CZ34" s="54">
        <f t="shared" si="211"/>
        <v>22</v>
      </c>
      <c r="DA34" s="86">
        <f t="shared" si="211"/>
        <v>22</v>
      </c>
      <c r="DB34" s="109">
        <f t="shared" si="179"/>
        <v>1</v>
      </c>
      <c r="DC34" s="68">
        <f>IFERROR(IF($CZ$5="Q1",I34+P34+W34,
IF($CZ$5="Q2",AD34+AK34++AR34,
IF($CZ$5="Q3",AY34+BF34+BM34,
IF($CZ$5="Q4",BT34+CA34+CH34,0)))),0)</f>
        <v>21</v>
      </c>
      <c r="DD34" s="297">
        <f>IF(DA34=0,"N.D.",DC34/DA34)</f>
        <v>0.95454545454545459</v>
      </c>
      <c r="DE34" s="350">
        <f>IFERROR(IF($CZ$5="Q1",K34+R34+Y34,
IF($CZ$5="Q2",AF34+AM34+AT34,
IF($CZ$5="Q3",BA34+BH34+BO34,
IF($CZ$5="Q4",BV34+CC34+CJ34,0)))),0)</f>
        <v>4</v>
      </c>
      <c r="DF34" s="150">
        <f t="shared" si="180"/>
        <v>0.18181818181818182</v>
      </c>
      <c r="DG34" s="54">
        <f t="shared" si="89"/>
        <v>45</v>
      </c>
      <c r="DH34" s="86">
        <f t="shared" si="89"/>
        <v>45</v>
      </c>
      <c r="DI34" s="109">
        <f t="shared" si="181"/>
        <v>1</v>
      </c>
      <c r="DJ34" s="68">
        <f>IFERROR(IF($DG$5="S 1",I34+P34+W34+AD34+AK34++AR34,
IF($DG$5="S 2",AY34+BF34+BM34+BT34+CA34+CH34,0)),0)</f>
        <v>43</v>
      </c>
      <c r="DK34" s="297">
        <f t="shared" si="182"/>
        <v>0.9555555555555556</v>
      </c>
      <c r="DL34" s="350">
        <f>IFERROR(IF($DG$5="S 1",K34+R34+Y34+AF34+AM34+AT34,
IF($DG$5="S 2",BA34+BH34+BO34+BV34+CC34+CJ34,0)),0)</f>
        <v>10</v>
      </c>
      <c r="DM34" s="150">
        <f t="shared" si="183"/>
        <v>0.22222222222222221</v>
      </c>
      <c r="DN34" s="67">
        <f t="shared" si="187"/>
        <v>0</v>
      </c>
      <c r="DO34" s="266">
        <f t="shared" si="187"/>
        <v>0</v>
      </c>
      <c r="DP34" s="109">
        <f t="shared" si="184"/>
        <v>0</v>
      </c>
      <c r="DQ34" s="68">
        <f>IFERROR(IF($DN$5="S 1",I34+P34+W34+AD34+AK34++AR34,
IF($DN$5="S 2",AY34+BF34+BM34+BT34+CA34+CH34,0)),0)</f>
        <v>0</v>
      </c>
      <c r="DR34" s="297" t="str">
        <f t="shared" si="185"/>
        <v>N.D.</v>
      </c>
      <c r="DS34" s="350">
        <f>IFERROR(IF($DN$5="S 1",K34+R34+Y34+AF34+AM34+AT34,
IF($DN$5="S 2",BA34+BH34+BO34+BV34+CC34+CJ34,0)),0)</f>
        <v>0</v>
      </c>
      <c r="DT34" s="150">
        <f t="shared" si="186"/>
        <v>0</v>
      </c>
      <c r="DU34" s="53">
        <v>1</v>
      </c>
      <c r="DX34" s="53">
        <v>25</v>
      </c>
      <c r="DY34" s="53">
        <v>31</v>
      </c>
      <c r="DZ34" s="513">
        <v>1.0666666666666667</v>
      </c>
      <c r="EB34" s="513">
        <v>0.93548387096774188</v>
      </c>
      <c r="EC34" s="53">
        <v>4</v>
      </c>
      <c r="ED34" s="513">
        <v>0.17391304347826086</v>
      </c>
    </row>
    <row r="35" spans="1:134" s="53" customFormat="1" ht="16" customHeight="1" thickBot="1" x14ac:dyDescent="0.35">
      <c r="A35" s="53">
        <f>_xlfn.XLOOKUP(B35,'UC MINI 2026'!$B$5:$B$61,'UC MINI 2026'!$A$5:$A$61)</f>
        <v>5</v>
      </c>
      <c r="B35" s="179">
        <v>100739</v>
      </c>
      <c r="C35" s="381" t="s">
        <v>49</v>
      </c>
      <c r="D35" s="146"/>
      <c r="E35" s="379" t="s">
        <v>79</v>
      </c>
      <c r="F35" s="54">
        <f>SUMIF('UC MINI 2026'!$B$5:$B$71,'UC MINI 2026 MINI NEXT'!$B35,'UC MINI 2026'!$F$5:$F$71)</f>
        <v>1</v>
      </c>
      <c r="G35" s="86">
        <f>SUMIF('UC MINI 2026'!$B$5:$B$71,'UC MINI 2026 MINI NEXT'!$B35,'UC MINI 2026'!$G$5:$G$71)</f>
        <v>1</v>
      </c>
      <c r="H35" s="298">
        <f t="shared" si="54"/>
        <v>1</v>
      </c>
      <c r="I35" s="86">
        <f>IFERROR(VLOOKUP(B35,[2]BPS!$S$10:$AF$64,3,0),0)-IF(B35=100873,IFERROR(VLOOKUP("Enero",[2]BPS!$S$74:$T$89,2,0),0),0)</f>
        <v>1</v>
      </c>
      <c r="J35" s="298">
        <f t="shared" si="55"/>
        <v>1</v>
      </c>
      <c r="K35" s="86">
        <f>IFERROR(VLOOKUP(B35,'[2]RETAIL ORIGEN RMKT'!$S$11:$AF$62,3,0),0)</f>
        <v>0</v>
      </c>
      <c r="L35" s="300">
        <f t="shared" si="56"/>
        <v>0</v>
      </c>
      <c r="M35" s="79">
        <f>SUMIF('UC MINI 2026'!$B$5:$B$61,'UC MINI 2026 MINI NEXT'!$B35,'UC MINI 2026'!$H$5:$H$61)</f>
        <v>1</v>
      </c>
      <c r="N35" s="86">
        <f>SUMIF('UC MINI 2026'!$B$5:$B$61,'UC MINI 2026 MINI NEXT'!$B35,'UC MINI 2026'!$I$5:$I$61)</f>
        <v>2</v>
      </c>
      <c r="O35" s="298">
        <f t="shared" si="165"/>
        <v>2</v>
      </c>
      <c r="P35" s="86">
        <f>IFERROR(VLOOKUP(B35,[2]BPS!$S$10:$AF$64,4,0),0)-IF(B35=100873,IFERROR(VLOOKUP("FEBRERO",[2]BPS!$S$74:$T$89,2,0),0),0)</f>
        <v>2</v>
      </c>
      <c r="Q35" s="298">
        <f t="shared" si="188"/>
        <v>1</v>
      </c>
      <c r="R35" s="86">
        <f>IFERROR(VLOOKUP(B35,'[2]RETAIL ORIGEN RMKT'!$S$11:$AF$62,4,0),0)</f>
        <v>0</v>
      </c>
      <c r="S35" s="300">
        <f t="shared" si="189"/>
        <v>0</v>
      </c>
      <c r="T35" s="148">
        <f>SUMIF('UC MINI 2026'!$B$5:$B$71,'UC MINI 2026 MINI NEXT'!$B35,'UC MINI 2026'!$J$5:$J$71)</f>
        <v>2</v>
      </c>
      <c r="U35" s="86">
        <f>SUMIF('UC MINI 2026'!$B$10:$B$61,'UC MINI 2026 MINI NEXT'!$B35,'UC MINI 2026'!$K$10:$K$61)</f>
        <v>3</v>
      </c>
      <c r="V35" s="298">
        <f t="shared" si="166"/>
        <v>1.5</v>
      </c>
      <c r="W35" s="86">
        <f>IFERROR(VLOOKUP(B35,[2]BPS!$S$10:$AF$64,5,0),0)-IF(B35=100873,IFERROR(VLOOKUP("MARZO",[2]BPS!$S$74:$T$89,2,0),0),0)</f>
        <v>3</v>
      </c>
      <c r="X35" s="298">
        <f t="shared" si="190"/>
        <v>1</v>
      </c>
      <c r="Y35" s="86">
        <f>IFERROR(VLOOKUP(B35,'[2]RETAIL ORIGEN RMKT'!$S$11:$AF$62,5,0),0)</f>
        <v>1</v>
      </c>
      <c r="Z35" s="300">
        <f t="shared" si="191"/>
        <v>0.5</v>
      </c>
      <c r="AA35" s="148">
        <f>SUMIF('UC MINI 2026'!$B$5:$B$61,'UC MINI 2026 MINI NEXT'!$B35,'UC MINI 2026'!$L$5:$L$61)</f>
        <v>2</v>
      </c>
      <c r="AB35" s="86">
        <f>SUMIF('UC MINI 2026'!$B$5:$B$61,'UC MINI 2026 MINI NEXT'!$B35,'UC MINI 2026'!$M$5:$M$61)</f>
        <v>2</v>
      </c>
      <c r="AC35" s="298">
        <f t="shared" si="167"/>
        <v>1</v>
      </c>
      <c r="AD35" s="86">
        <f>IFERROR(VLOOKUP(B35,[2]BPS!$S$10:$AF$64,6,0),0)-IF(B35=100873,IFERROR(VLOOKUP("ABRIL",[2]BPS!$S$74:$T$89,2,0),0),0)</f>
        <v>2</v>
      </c>
      <c r="AE35" s="285">
        <f t="shared" si="192"/>
        <v>1</v>
      </c>
      <c r="AF35" s="86">
        <f>IFERROR(VLOOKUP(B35,'[2]RETAIL ORIGEN RMKT'!$S$11:$AF$62,6,0),0)</f>
        <v>0</v>
      </c>
      <c r="AG35" s="300">
        <f t="shared" si="193"/>
        <v>0</v>
      </c>
      <c r="AH35" s="148">
        <f>SUMIF('UC MINI 2026'!$B$5:$B$61,'UC MINI 2026 MINI NEXT'!$B35,'UC MINI 2026'!$N$5:$N$61)</f>
        <v>2</v>
      </c>
      <c r="AI35" s="86">
        <f>SUMIF('UC MINI 2026'!$B$5:$B$61,'UC MINI 2026 MINI NEXT'!$B35,'UC MINI 2026'!$O$5:$O$61)</f>
        <v>4</v>
      </c>
      <c r="AJ35" s="298">
        <f t="shared" si="168"/>
        <v>2</v>
      </c>
      <c r="AK35" s="86">
        <f>IFERROR(VLOOKUP(B35,[2]BPS!$S$10:$AF$64,7,0),0)-IF(B35=100873,IFERROR(VLOOKUP("MAYO",[2]BPS!$S$74:$T$89,2,0),0),0)</f>
        <v>4</v>
      </c>
      <c r="AL35" s="285">
        <f t="shared" si="194"/>
        <v>1</v>
      </c>
      <c r="AM35" s="86">
        <f>IFERROR(VLOOKUP(B35,'[2]RETAIL ORIGEN RMKT'!$S$11:$AF$62,7,0),0)</f>
        <v>1</v>
      </c>
      <c r="AN35" s="300">
        <f t="shared" si="195"/>
        <v>0.5</v>
      </c>
      <c r="AO35" s="148">
        <f>SUMIF('UC MINI 2026'!$B$5:$B$61,'UC MINI 2026 MINI NEXT'!$B35,'UC MINI 2026'!$P$5:$P$61)</f>
        <v>2</v>
      </c>
      <c r="AP35" s="86">
        <f>SUMIF('UC MINI 2026'!$B$5:$B$61,'UC MINI 2026 MINI NEXT'!$B35,'UC MINI 2026'!$Q$5:$Q$61)</f>
        <v>6</v>
      </c>
      <c r="AQ35" s="298">
        <f t="shared" si="169"/>
        <v>3</v>
      </c>
      <c r="AR35" s="86">
        <f>IFERROR(VLOOKUP(B35,[2]BPS!$S$10:$AF$64,8,0),0)-IF(B35=100873,IFERROR(VLOOKUP("JUNIO",[2]BPS!$S$74:$T$89,2,0),0),0)</f>
        <v>6</v>
      </c>
      <c r="AS35" s="285">
        <f t="shared" si="196"/>
        <v>1</v>
      </c>
      <c r="AT35" s="86">
        <f>IFERROR(VLOOKUP(B35,'[2]RETAIL ORIGEN RMKT'!$S$11:$AF$62,8,0),0)</f>
        <v>1</v>
      </c>
      <c r="AU35" s="300">
        <f t="shared" si="197"/>
        <v>0.5</v>
      </c>
      <c r="AV35" s="148">
        <f>SUMIF('UC MINI 2026'!$B$5:$B$61,'UC MINI 2026 MINI NEXT'!$B35,'UC MINI 2026'!$R$5:$R$61)</f>
        <v>2</v>
      </c>
      <c r="AW35" s="86">
        <f>SUMIF('UC MINI 2026'!$B$5:$B$61,'UC MINI 2026 MINI NEXT'!$B35,'UC MINI 2026'!$S$5:$S$61)</f>
        <v>0</v>
      </c>
      <c r="AX35" s="298">
        <f t="shared" si="170"/>
        <v>0</v>
      </c>
      <c r="AY35" s="86">
        <f>IFERROR(VLOOKUP(B35,[2]BPS!$S$10:$AF$64,9,0),0)-IF(B35=100873,IFERROR(VLOOKUP("JULIO",[2]BPS!$S$74:$T$89,2,0),0),0)</f>
        <v>0</v>
      </c>
      <c r="AZ35" s="285">
        <f t="shared" si="198"/>
        <v>0</v>
      </c>
      <c r="BA35" s="86">
        <f>IFERROR(VLOOKUP(I35,'[2]RETAIL ORIGEN RMKT'!$S$11:$AF$62,9,0),0)</f>
        <v>0</v>
      </c>
      <c r="BB35" s="300">
        <f t="shared" si="199"/>
        <v>0</v>
      </c>
      <c r="BC35" s="148">
        <f>SUMIF('UC MINI 2026'!$B$5:$B$61,'UC MINI 2026 MINI NEXT'!$B35,'UC MINI 2026'!$T$5:$T$61)</f>
        <v>1</v>
      </c>
      <c r="BD35" s="86">
        <f>SUMIF('UC MINI 2026'!$B$5:$B$61,'UC MINI 2026 MINI NEXT'!$B35,'UC MINI 2026'!$U$5:$U$61)</f>
        <v>0</v>
      </c>
      <c r="BE35" s="298">
        <f t="shared" si="171"/>
        <v>0</v>
      </c>
      <c r="BF35" s="86">
        <f>IFERROR(VLOOKUP(B35,[2]BPS!$S$10:$AF$64,10,0),0)-IF(B35=100873,IFERROR(VLOOKUP("AGOSTO",[2]BPS!$S$74:$T$89,2,0),0),0)</f>
        <v>0</v>
      </c>
      <c r="BG35" s="285">
        <f t="shared" si="200"/>
        <v>0</v>
      </c>
      <c r="BH35" s="86">
        <f>IFERROR(VLOOKUP(P35,'[2]RETAIL ORIGEN RMKT'!$S$11:$AF$62,10,0),0)</f>
        <v>0</v>
      </c>
      <c r="BI35" s="300">
        <f t="shared" si="201"/>
        <v>0</v>
      </c>
      <c r="BJ35" s="148">
        <f>SUMIF('UC MINI 2026'!$B$5:$B$61,'UC MINI 2026 MINI NEXT'!$B35,'UC MINI 2026'!$V$5:$V$61)</f>
        <v>2</v>
      </c>
      <c r="BK35" s="86">
        <f>SUMIF('UC MINI 2026'!$B$5:$B$61,'UC MINI 2026 MINI NEXT'!$B35,'UC MINI 2026'!$W$5:$W$61)</f>
        <v>0</v>
      </c>
      <c r="BL35" s="298">
        <f t="shared" si="172"/>
        <v>0</v>
      </c>
      <c r="BM35" s="86">
        <f>IFERROR(VLOOKUP(B35,[2]BPS!$S$10:$AF$64,11,0),0)-IF(B35=100873,IFERROR(VLOOKUP("SEPTIEMBRE",[2]BPS!$S$74:$T$89,2,0),0),0)</f>
        <v>0</v>
      </c>
      <c r="BN35" s="285">
        <f t="shared" si="202"/>
        <v>0</v>
      </c>
      <c r="BO35" s="86">
        <f>IFERROR(VLOOKUP(W35,'[2]RETAIL ORIGEN RMKT'!$S$11:$AF$62,11,0),0)</f>
        <v>0</v>
      </c>
      <c r="BP35" s="300">
        <f t="shared" si="203"/>
        <v>0</v>
      </c>
      <c r="BQ35" s="148">
        <f>SUMIF('UC MINI 2026'!$B$5:$B$61,'UC MINI 2026 MINI NEXT'!$B35,'UC MINI 2026'!$V$5:$V$61)</f>
        <v>2</v>
      </c>
      <c r="BR35" s="86">
        <f>SUMIF('UC MINI 2026'!$B$5:$B$61,'UC MINI 2026 MINI NEXT'!$B35,'UC MINI 2026'!$Y$5:$Y$61)</f>
        <v>0</v>
      </c>
      <c r="BS35" s="298">
        <f t="shared" si="173"/>
        <v>0</v>
      </c>
      <c r="BT35" s="86">
        <f>IFERROR(VLOOKUP(B35,[2]BPS!$S$10:$AF$64,12,0),0)-IF(B35=100873,IFERROR(VLOOKUP("OCTUBRE",[2]BPS!$S$74:$T$89,2,0),0),0)</f>
        <v>0</v>
      </c>
      <c r="BU35" s="285">
        <f t="shared" si="204"/>
        <v>0</v>
      </c>
      <c r="BV35" s="86">
        <f>IFERROR(VLOOKUP(AD35,'[2]RETAIL ORIGEN RMKT'!$S$11:$AF$62,12,0),0)</f>
        <v>0</v>
      </c>
      <c r="BW35" s="300">
        <f t="shared" si="205"/>
        <v>0</v>
      </c>
      <c r="BX35" s="148">
        <f>SUMIF('UC MINI 2026'!$B$5:$B$61,'UC MINI 2026 MINI NEXT'!$B35,'UC MINI 2026'!$V$5:$V$61)</f>
        <v>2</v>
      </c>
      <c r="BY35" s="86">
        <f>SUMIF('UC MINI 2026'!$B$5:$B$61,'UC MINI 2026 MINI NEXT'!$B35,'UC MINI 2026'!$AA$5:$AA$61)</f>
        <v>0</v>
      </c>
      <c r="BZ35" s="298">
        <f t="shared" si="174"/>
        <v>0</v>
      </c>
      <c r="CA35" s="86">
        <f>IFERROR(VLOOKUP(B35,[2]BPS!$S$10:$AF$64,13,0),0)-IF(B35=100873,IFERROR(VLOOKUP("NOVIEMBRE",[2]BPS!$S$74:$T$89,2,0),0),0)</f>
        <v>0</v>
      </c>
      <c r="CB35" s="285">
        <f t="shared" si="206"/>
        <v>0</v>
      </c>
      <c r="CC35" s="86">
        <f>IFERROR(VLOOKUP(AK35,'[2]RETAIL ORIGEN RMKT'!$S$11:$AF$62,13,0),0)</f>
        <v>0</v>
      </c>
      <c r="CD35" s="300">
        <f t="shared" si="207"/>
        <v>0</v>
      </c>
      <c r="CE35" s="148">
        <f>SUMIF('UC MINI 2026'!$B$5:$B$61,'UC MINI 2026 MINI NEXT'!$B35,'UC MINI 2026'!$V$5:$V$61)</f>
        <v>2</v>
      </c>
      <c r="CF35" s="86">
        <f>SUMIF('UC MINI 2026'!$B$5:$B$61,'UC MINI 2026 MINI NEXT'!$B35,'UC MINI 2026'!$AC$5:$AC$61)</f>
        <v>0</v>
      </c>
      <c r="CG35" s="298">
        <f t="shared" si="175"/>
        <v>0</v>
      </c>
      <c r="CH35" s="86">
        <f>IFERROR(VLOOKUP(B35,[2]BPS!$S$10:$AF$64,14,0),0)-IF(B35=100873,IFERROR(VLOOKUP("DICIEMBRE",[2]BPS!$S$74:$T$89,2,0),0),0)</f>
        <v>0</v>
      </c>
      <c r="CI35" s="285">
        <f t="shared" si="208"/>
        <v>0</v>
      </c>
      <c r="CJ35" s="86">
        <f>IFERROR(VLOOKUP(AR35,'[2]RETAIL ORIGEN RMKT'!$S$11:$AF$62,14,0),0)</f>
        <v>0</v>
      </c>
      <c r="CK35" s="300">
        <f t="shared" si="209"/>
        <v>0</v>
      </c>
      <c r="CL35" s="58">
        <f t="shared" si="210"/>
        <v>10</v>
      </c>
      <c r="CM35" s="59">
        <f t="shared" si="210"/>
        <v>18</v>
      </c>
      <c r="CN35" s="112">
        <f t="shared" si="176"/>
        <v>1.8</v>
      </c>
      <c r="CO35" s="86">
        <f>IFERROR(IF($CL$4="ENERO",I35,IF($CL$4="FEBRERO",I35+P35,IF($CL$4="MARZO",I35+P35+W35,IF($CL$4="ABRIL",I35+P35+W35+AD35,IF($CL$4="MAYO",I35+P35+W35+AD35+AK35,IF($CL$4="JUNIO",I35+P35+W35+AD35+AK35+AR35,IF($CL$4="JULIO",I35+P35+W35+AD35+AK35+AR35+AY35,IF($CL$4="AGOSTO",I35+P35+W35+AD35+AK35+AR35+AY35+BF35,IF($CL$4="SEPTIEMBRE",I35+P35+W35+AD35+AK35+AR35+AY35+BF35+BM35,IF($CL$4="OCTUBRE",I35+P35+W35+AD35+AK35+AR35+AY35+BF35+BM35+BT35,IF($CL$4="NOVIEMBRE",I35+P35+W35+AD35+AK35+AR35+AY35+BF35+BM35+BT35+CA35,IF($CL$4="DICIEMBRE",I35+P35+W35+AD35+AK35+AR35+AY35+BF35+BM35+BT35+CA35+CH35,"")))))))))))),0)</f>
        <v>18</v>
      </c>
      <c r="CP35" s="297">
        <f>IFERROR(IF(CM35=0,"N.D.",CO35/CM35),0)</f>
        <v>1</v>
      </c>
      <c r="CQ35" s="348">
        <f>IFERROR(IF($CL$4="ENERO",K35,
IF($CL$4="FEBRERO",K35+R35,
IF($CL$4="MARZO",K35+R35+Y35,
IF($CL$4="ABRIL",K35+R35+Y35+AF35,
IF($CL$4="MAYO",K35+R35+Y35+AF35+AM35,
IF($CL$4="JUNIO",K35+R35+Y35+AF35+AM35+AT35,
IF($CL$4="JULIO",K35+R35+Y35+AF35+AM35+AT35+BA35,
IF($CL$4="AGOSTO",K35+R35+Y35+AF35+AM35+AT35+BA35+BH35,
IF($CL$4="SEPTIEMBRE",K35+R35+Y35+AF35+AM35+AT35+BA35+BH35+BO35,
IF($CL$4="OCTUBRE",K35+R35+Y35+AF35+AM35+AT35+BA35+BH35+BO35+BV35,
IF($CL$4="NOVIEMBRE",K35+R35+Y35+AF35+AM35+AT35+BA35+BH35+BO35+BV35+CC35,
IF($CL$4="DICIEMBRE",K35+R35+Y35+AF35+AM35+AT35+BA35+BH35+BO35+BV35+CC35+CJ35,"")))))))))))),0)</f>
        <v>3</v>
      </c>
      <c r="CR35" s="152">
        <f t="shared" si="177"/>
        <v>0.3</v>
      </c>
      <c r="CS35" s="58">
        <f>+F35+M35+T35+AA35+AH35+AO35++AV35+BC35+BJ35+BQ35+BX35+CE35</f>
        <v>21</v>
      </c>
      <c r="CT35" s="59">
        <f>SUMIFS($F35:$CI35,$F$6:$CI$6,CT$6,$F$2:$CI$2,$CL$4)</f>
        <v>18</v>
      </c>
      <c r="CU35" s="112">
        <f t="shared" si="52"/>
        <v>0.8571428571428571</v>
      </c>
      <c r="CV35" s="68">
        <f>IFERROR(I35+P35+W35+AD35+AK35+AR35+AY35+BF35+BM35+BT35+CA35+CH35,0)</f>
        <v>18</v>
      </c>
      <c r="CW35" s="297">
        <f>IF(CT35=0,"N.D.",CV35/CT35)</f>
        <v>1</v>
      </c>
      <c r="CX35" s="350">
        <f>IFERROR(K35+R35+Y35+AF35+AM35+AT35+BA35+BH35+BO35+BV35+CC35+CJ35,0)</f>
        <v>3</v>
      </c>
      <c r="CY35" s="152">
        <f t="shared" si="178"/>
        <v>0.14285714285714285</v>
      </c>
      <c r="CZ35" s="58">
        <f t="shared" si="211"/>
        <v>4</v>
      </c>
      <c r="DA35" s="59">
        <f t="shared" si="211"/>
        <v>6</v>
      </c>
      <c r="DB35" s="112">
        <f t="shared" si="179"/>
        <v>1.5</v>
      </c>
      <c r="DC35" s="68">
        <f>IFERROR(IF($CZ$5="Q1",I35+P35+W35,
IF($CZ$5="Q2",AD35+AK35++AR35,
IF($CZ$5="Q3",AY35+BF35+BM35,
IF($CZ$5="Q4",BT35+CA35+CH35,0)))),0)</f>
        <v>6</v>
      </c>
      <c r="DD35" s="297">
        <f>IF(DA35=0,"N.D.",DC35/DA35)</f>
        <v>1</v>
      </c>
      <c r="DE35" s="350">
        <f>IFERROR(IF($CZ$5="Q1",K35+R35+Y35,
IF($CZ$5="Q2",AF35+AM35+AT35,
IF($CZ$5="Q3",BA35+BH35+BO35,
IF($CZ$5="Q4",BV35+CC35+CJ35,0)))),0)</f>
        <v>1</v>
      </c>
      <c r="DF35" s="153">
        <f t="shared" si="180"/>
        <v>0.25</v>
      </c>
      <c r="DG35" s="58">
        <f t="shared" si="89"/>
        <v>10</v>
      </c>
      <c r="DH35" s="59">
        <f t="shared" si="89"/>
        <v>18</v>
      </c>
      <c r="DI35" s="112">
        <f t="shared" si="181"/>
        <v>1.8</v>
      </c>
      <c r="DJ35" s="68">
        <f>IFERROR(IF($DG$5="S 1",I35+P35+W35+AD35+AK35++AR35,
IF($DG$5="S 2",AY35+BF35+BM35+BT35+CA35+CH35,0)),0)</f>
        <v>18</v>
      </c>
      <c r="DK35" s="297">
        <f t="shared" si="182"/>
        <v>1</v>
      </c>
      <c r="DL35" s="350">
        <f>IFERROR(IF($DG$5="S 1",K35+R35+Y35+AF35+AM35+AT35,
IF($DG$5="S 2",BA35+BH35+BO35+BV35+CC35+CJ35,0)),0)</f>
        <v>3</v>
      </c>
      <c r="DM35" s="153">
        <f t="shared" si="183"/>
        <v>0.3</v>
      </c>
      <c r="DN35" s="67">
        <f t="shared" si="187"/>
        <v>11</v>
      </c>
      <c r="DO35" s="266">
        <f t="shared" si="187"/>
        <v>0</v>
      </c>
      <c r="DP35" s="112">
        <f t="shared" si="184"/>
        <v>0</v>
      </c>
      <c r="DQ35" s="68">
        <f>IFERROR(IF($DN$5="S 1",I35+P35+W35+AD35+AK35++AR35,
IF($DN$5="S 2",AY35+BF35+BM35+BT35+CA35+CH35,0)),0)</f>
        <v>0</v>
      </c>
      <c r="DR35" s="297" t="str">
        <f t="shared" si="185"/>
        <v>N.D.</v>
      </c>
      <c r="DS35" s="350">
        <f>IFERROR(IF($DN$5="S 1",K35+R35+Y35+AF35+AM35+AT35,
IF($DN$5="S 2",BA35+BH35+BO35+BV35+CC35+CJ35,0)),0)</f>
        <v>0</v>
      </c>
      <c r="DT35" s="153">
        <f t="shared" si="186"/>
        <v>0</v>
      </c>
      <c r="DU35" s="53">
        <v>1</v>
      </c>
      <c r="DX35" s="53">
        <v>25</v>
      </c>
      <c r="DY35" s="53">
        <v>22</v>
      </c>
      <c r="DZ35" s="513">
        <v>1.05</v>
      </c>
      <c r="EB35" s="513">
        <v>0.9285714285714286</v>
      </c>
      <c r="EC35" s="53">
        <v>3</v>
      </c>
      <c r="ED35" s="513">
        <v>0.16666666666666666</v>
      </c>
    </row>
    <row r="36" spans="1:134" s="53" customFormat="1" ht="16" customHeight="1" thickBot="1" x14ac:dyDescent="0.35">
      <c r="A36" s="53" t="e">
        <f>_xlfn.XLOOKUP(B36,'UC MINI 2026'!$B$5:$B$61,'UC MINI 2026'!$A$5:$A$61)</f>
        <v>#N/A</v>
      </c>
      <c r="B36" s="180" t="s">
        <v>43</v>
      </c>
      <c r="C36" s="62"/>
      <c r="D36" s="146"/>
      <c r="E36" s="80"/>
      <c r="F36" s="155">
        <f>SUM(F31:F35)</f>
        <v>19</v>
      </c>
      <c r="G36" s="155">
        <f>SUM(G31:G35)</f>
        <v>19</v>
      </c>
      <c r="H36" s="156">
        <f t="shared" si="54"/>
        <v>1</v>
      </c>
      <c r="I36" s="155">
        <f>SUM(I31:I35)</f>
        <v>19</v>
      </c>
      <c r="J36" s="156">
        <f t="shared" si="55"/>
        <v>1</v>
      </c>
      <c r="K36" s="155">
        <f>SUM(K31:K35)</f>
        <v>3</v>
      </c>
      <c r="L36" s="301">
        <f t="shared" si="56"/>
        <v>0.15789473684210525</v>
      </c>
      <c r="M36" s="155">
        <f>SUM(M31:M35)</f>
        <v>19</v>
      </c>
      <c r="N36" s="155">
        <f>SUM(N31:N35)</f>
        <v>25</v>
      </c>
      <c r="O36" s="156">
        <f t="shared" si="165"/>
        <v>1.3157894736842106</v>
      </c>
      <c r="P36" s="155">
        <f>SUM(P31:P35)</f>
        <v>25</v>
      </c>
      <c r="Q36" s="156">
        <f t="shared" si="188"/>
        <v>1</v>
      </c>
      <c r="R36" s="155">
        <f>SUM(R31:R35)</f>
        <v>3</v>
      </c>
      <c r="S36" s="301">
        <f t="shared" si="189"/>
        <v>0.15789473684210525</v>
      </c>
      <c r="T36" s="155">
        <f>SUM(T31:T35)</f>
        <v>22</v>
      </c>
      <c r="U36" s="155">
        <f>SUM(U31:U35)</f>
        <v>25</v>
      </c>
      <c r="V36" s="156">
        <f t="shared" si="166"/>
        <v>1.1363636363636365</v>
      </c>
      <c r="W36" s="155">
        <f>SUM(W31:W35)</f>
        <v>24</v>
      </c>
      <c r="X36" s="156">
        <f t="shared" si="190"/>
        <v>0.96</v>
      </c>
      <c r="Y36" s="155">
        <f>SUM(Y31:Y35)</f>
        <v>7</v>
      </c>
      <c r="Z36" s="301">
        <f t="shared" si="191"/>
        <v>0.31818181818181818</v>
      </c>
      <c r="AA36" s="155">
        <f>SUM(AA31:AA35)</f>
        <v>21</v>
      </c>
      <c r="AB36" s="155">
        <f>SUM(AB31:AB35)</f>
        <v>16</v>
      </c>
      <c r="AC36" s="156">
        <f t="shared" si="167"/>
        <v>0.76190476190476186</v>
      </c>
      <c r="AD36" s="155">
        <f>SUM(AD31:AD35)</f>
        <v>16</v>
      </c>
      <c r="AE36" s="156">
        <f t="shared" si="192"/>
        <v>1</v>
      </c>
      <c r="AF36" s="155">
        <f>SUM(AF31:AF35)</f>
        <v>5</v>
      </c>
      <c r="AG36" s="301">
        <f t="shared" si="193"/>
        <v>0.23809523809523808</v>
      </c>
      <c r="AH36" s="155">
        <f>SUM(AH31:AH35)</f>
        <v>23</v>
      </c>
      <c r="AI36" s="155">
        <f>SUM(AI31:AI35)</f>
        <v>23</v>
      </c>
      <c r="AJ36" s="156">
        <f t="shared" si="168"/>
        <v>1</v>
      </c>
      <c r="AK36" s="155">
        <f>SUM(AK31:AK35)</f>
        <v>22</v>
      </c>
      <c r="AL36" s="156">
        <f t="shared" si="194"/>
        <v>0.95652173913043481</v>
      </c>
      <c r="AM36" s="155">
        <f>SUM(AM31:AM35)</f>
        <v>4</v>
      </c>
      <c r="AN36" s="301">
        <f t="shared" si="195"/>
        <v>0.17391304347826086</v>
      </c>
      <c r="AO36" s="155">
        <f>SUM(AO31:AO35)</f>
        <v>23</v>
      </c>
      <c r="AP36" s="155">
        <f>SUM(AP31:AP35)</f>
        <v>37</v>
      </c>
      <c r="AQ36" s="156">
        <f t="shared" si="169"/>
        <v>1.6086956521739131</v>
      </c>
      <c r="AR36" s="155">
        <f>SUM(AR31:AR35)</f>
        <v>36</v>
      </c>
      <c r="AS36" s="156">
        <f t="shared" si="196"/>
        <v>0.97297297297297303</v>
      </c>
      <c r="AT36" s="155">
        <f>SUM(AT31:AT35)</f>
        <v>8</v>
      </c>
      <c r="AU36" s="301">
        <f t="shared" si="197"/>
        <v>0.34782608695652173</v>
      </c>
      <c r="AV36" s="155">
        <f>SUM(AV31:AV35)</f>
        <v>13</v>
      </c>
      <c r="AW36" s="155">
        <f>SUM(AW31:AW35)</f>
        <v>0</v>
      </c>
      <c r="AX36" s="156">
        <f t="shared" si="170"/>
        <v>0</v>
      </c>
      <c r="AY36" s="155">
        <f>SUM(AY31:AY35)</f>
        <v>0</v>
      </c>
      <c r="AZ36" s="156">
        <f t="shared" si="198"/>
        <v>0</v>
      </c>
      <c r="BA36" s="155">
        <f>SUM(BA31:BA35)</f>
        <v>0</v>
      </c>
      <c r="BB36" s="301">
        <f t="shared" si="199"/>
        <v>0</v>
      </c>
      <c r="BC36" s="155">
        <f>SUM(BC31:BC35)</f>
        <v>9</v>
      </c>
      <c r="BD36" s="155">
        <f>SUM(BD31:BD35)</f>
        <v>0</v>
      </c>
      <c r="BE36" s="156">
        <f t="shared" si="171"/>
        <v>0</v>
      </c>
      <c r="BF36" s="155">
        <f>SUM(BF31:BF35)</f>
        <v>0</v>
      </c>
      <c r="BG36" s="156">
        <f t="shared" si="200"/>
        <v>0</v>
      </c>
      <c r="BH36" s="155">
        <f>SUM(BH31:BH35)</f>
        <v>0</v>
      </c>
      <c r="BI36" s="301">
        <f t="shared" si="201"/>
        <v>0</v>
      </c>
      <c r="BJ36" s="155">
        <f>SUM(BJ31:BJ35)</f>
        <v>13</v>
      </c>
      <c r="BK36" s="155">
        <f>SUM(BK31:BK35)</f>
        <v>0</v>
      </c>
      <c r="BL36" s="156">
        <f t="shared" si="172"/>
        <v>0</v>
      </c>
      <c r="BM36" s="155">
        <f>SUM(BM31:BM35)</f>
        <v>0</v>
      </c>
      <c r="BN36" s="156">
        <f t="shared" si="202"/>
        <v>0</v>
      </c>
      <c r="BO36" s="155">
        <f>SUM(BO31:BO35)</f>
        <v>0</v>
      </c>
      <c r="BP36" s="301">
        <f t="shared" si="203"/>
        <v>0</v>
      </c>
      <c r="BQ36" s="155">
        <f>SUM(BQ31:BQ35)</f>
        <v>13</v>
      </c>
      <c r="BR36" s="155">
        <f>SUM(BR31:BR35)</f>
        <v>0</v>
      </c>
      <c r="BS36" s="156">
        <f t="shared" si="173"/>
        <v>0</v>
      </c>
      <c r="BT36" s="155">
        <f>SUM(BT31:BT35)</f>
        <v>0</v>
      </c>
      <c r="BU36" s="156">
        <f t="shared" si="204"/>
        <v>0</v>
      </c>
      <c r="BV36" s="155">
        <f>SUM(BV31:BV35)</f>
        <v>0</v>
      </c>
      <c r="BW36" s="301">
        <f t="shared" si="205"/>
        <v>0</v>
      </c>
      <c r="BX36" s="155">
        <f>SUM(BX31:BX35)</f>
        <v>13</v>
      </c>
      <c r="BY36" s="155">
        <f>SUM(BY31:BY35)</f>
        <v>0</v>
      </c>
      <c r="BZ36" s="156">
        <f t="shared" si="174"/>
        <v>0</v>
      </c>
      <c r="CA36" s="155">
        <f>SUM(CA31:CA35)</f>
        <v>0</v>
      </c>
      <c r="CB36" s="156">
        <f t="shared" si="206"/>
        <v>0</v>
      </c>
      <c r="CC36" s="155">
        <f>SUM(CC31:CC35)</f>
        <v>0</v>
      </c>
      <c r="CD36" s="301">
        <f t="shared" si="207"/>
        <v>0</v>
      </c>
      <c r="CE36" s="155">
        <f>SUM(CE31:CE35)</f>
        <v>13</v>
      </c>
      <c r="CF36" s="155">
        <f>SUM(CF31:CF35)</f>
        <v>0</v>
      </c>
      <c r="CG36" s="156">
        <f t="shared" si="175"/>
        <v>0</v>
      </c>
      <c r="CH36" s="155">
        <f>SUM(CH31:CH35)</f>
        <v>0</v>
      </c>
      <c r="CI36" s="156">
        <f t="shared" si="208"/>
        <v>0</v>
      </c>
      <c r="CJ36" s="155">
        <f>SUM(CJ31:CJ35)</f>
        <v>0</v>
      </c>
      <c r="CK36" s="301">
        <f t="shared" si="209"/>
        <v>0</v>
      </c>
      <c r="CL36" s="63">
        <f>SUM(CL31:CL35)</f>
        <v>127</v>
      </c>
      <c r="CM36" s="63">
        <f>SUM(CM31:CM35)</f>
        <v>145</v>
      </c>
      <c r="CN36" s="157">
        <f t="shared" si="176"/>
        <v>1.1417322834645669</v>
      </c>
      <c r="CO36" s="63">
        <f>SUM(CO31:CO35)</f>
        <v>142</v>
      </c>
      <c r="CP36" s="321">
        <f>IFERROR(CO36/CM36,0)</f>
        <v>0.97931034482758617</v>
      </c>
      <c r="CQ36" s="63">
        <f>SUM(CQ31:CQ35)</f>
        <v>30</v>
      </c>
      <c r="CR36" s="320">
        <f t="shared" si="177"/>
        <v>0.23622047244094488</v>
      </c>
      <c r="CS36" s="63">
        <f>SUM(CS31:CS35)</f>
        <v>201</v>
      </c>
      <c r="CT36" s="63">
        <f>SUM(CT31:CT35)</f>
        <v>145</v>
      </c>
      <c r="CU36" s="157">
        <f t="shared" si="52"/>
        <v>0.72139303482587069</v>
      </c>
      <c r="CV36" s="65">
        <f>SUM(CV31:CV35)</f>
        <v>142</v>
      </c>
      <c r="CW36" s="321">
        <f>IFERROR((CV36/CT36),0)</f>
        <v>0.97931034482758617</v>
      </c>
      <c r="CX36" s="349">
        <f>K36+R36+Y36+AF36+AM36+AT36+BA36+BH36+BO36+BV36+CC36+CJ36</f>
        <v>30</v>
      </c>
      <c r="CY36" s="320">
        <f t="shared" si="178"/>
        <v>0.14925373134328357</v>
      </c>
      <c r="CZ36" s="63">
        <f>SUM(CZ30:CZ35)</f>
        <v>592</v>
      </c>
      <c r="DA36" s="65">
        <f>SUM(DA30:DA35)</f>
        <v>576</v>
      </c>
      <c r="DB36" s="157">
        <f t="shared" si="179"/>
        <v>0.97297297297297303</v>
      </c>
      <c r="DC36" s="65">
        <f>SUM(DC30:DC35)</f>
        <v>521</v>
      </c>
      <c r="DD36" s="321">
        <f>IFERROR(DC36/DA36,0)</f>
        <v>0.90451388888888884</v>
      </c>
      <c r="DE36" s="349">
        <f>IF($CZ$5="Q1",K36+R36+Y36,
IF($CZ$5="Q2",AF36+AM36+AT36,
IF($CZ$5="Q3",BA36+BH36+BO36,
IF($CZ$5="Q4",BV36+CC36+CJ36,0))))</f>
        <v>13</v>
      </c>
      <c r="DF36" s="333">
        <f t="shared" si="180"/>
        <v>2.1959459459459461E-2</v>
      </c>
      <c r="DG36" s="63">
        <f t="shared" si="89"/>
        <v>127</v>
      </c>
      <c r="DH36" s="65">
        <f t="shared" si="89"/>
        <v>145</v>
      </c>
      <c r="DI36" s="157">
        <f t="shared" si="181"/>
        <v>1.1417322834645669</v>
      </c>
      <c r="DJ36" s="65">
        <f>IF($DG$5="S 1",I36+P36+W36+AD36+AK36++AR36,
IF($DG$5="S 2",AY36+BF36+BM36+BT36+CA36+CH36,0))</f>
        <v>142</v>
      </c>
      <c r="DK36" s="321">
        <f t="shared" si="182"/>
        <v>0.97931034482758617</v>
      </c>
      <c r="DL36" s="349">
        <f>IF($DG$5="S 1",K36+R36+Y36+AF36+AM36+AT36,
IF($DG$5="S 2",BA36+BH36+BO36+BV36+CC36+CJ36,0))</f>
        <v>30</v>
      </c>
      <c r="DM36" s="333">
        <f t="shared" si="183"/>
        <v>0.23622047244094488</v>
      </c>
      <c r="DN36" s="63">
        <f>IFERROR(SUM(DN30:DN35),0)</f>
        <v>92</v>
      </c>
      <c r="DO36" s="64">
        <f>IFERROR(SUM(DO30:DO35),0)</f>
        <v>0</v>
      </c>
      <c r="DP36" s="157">
        <f t="shared" si="184"/>
        <v>0</v>
      </c>
      <c r="DQ36" s="65">
        <f>IFERROR(SUM(DQ30:DQ35),0)</f>
        <v>0</v>
      </c>
      <c r="DR36" s="321" t="str">
        <f t="shared" si="185"/>
        <v>N.D.</v>
      </c>
      <c r="DS36" s="349">
        <f>IFERROR(SUM(DS30:DS35),0)</f>
        <v>0</v>
      </c>
      <c r="DT36" s="333">
        <f t="shared" si="186"/>
        <v>0</v>
      </c>
      <c r="DU36" s="53">
        <v>0</v>
      </c>
      <c r="DX36" s="53">
        <v>23</v>
      </c>
      <c r="DY36" s="53">
        <v>21</v>
      </c>
      <c r="DZ36" s="513">
        <v>1.0375000000000001</v>
      </c>
      <c r="EB36" s="513">
        <v>0.92307692307692313</v>
      </c>
      <c r="EC36" s="53">
        <v>3</v>
      </c>
      <c r="ED36" s="513">
        <v>0.16666666666666666</v>
      </c>
    </row>
    <row r="37" spans="1:134" s="53" customFormat="1" ht="16" customHeight="1" x14ac:dyDescent="0.3">
      <c r="A37" s="53">
        <f>_xlfn.XLOOKUP(B37,'UC MINI 2026'!$B$5:$B$61,'UC MINI 2026'!$A$5:$A$61)</f>
        <v>6</v>
      </c>
      <c r="B37" s="179">
        <v>100348</v>
      </c>
      <c r="C37" s="381" t="s">
        <v>56</v>
      </c>
      <c r="D37" s="146"/>
      <c r="E37" s="309" t="s">
        <v>105</v>
      </c>
      <c r="F37" s="54">
        <f>SUMIF('UC MINI 2026'!$B$5:$B$71,'UC MINI 2026 MINI NEXT'!$B37,'UC MINI 2026'!$F$5:$F$71)</f>
        <v>5</v>
      </c>
      <c r="G37" s="86">
        <f>SUMIF('UC MINI 2026'!$B$5:$B$71,'UC MINI 2026 MINI NEXT'!$B37,'UC MINI 2026'!$G$5:$G$71)</f>
        <v>6</v>
      </c>
      <c r="H37" s="297">
        <f t="shared" si="54"/>
        <v>1.2</v>
      </c>
      <c r="I37" s="86">
        <f>IFERROR(VLOOKUP(B37,[2]BPS!$S$10:$AF$64,3,0),0)-IF(B37=100873,IFERROR(VLOOKUP("Enero",[2]BPS!$S$74:$T$89,2,0),0),0)</f>
        <v>6</v>
      </c>
      <c r="J37" s="297">
        <f t="shared" si="55"/>
        <v>1</v>
      </c>
      <c r="K37" s="86">
        <f>IFERROR(VLOOKUP(B37,'[2]RETAIL ORIGEN RMKT'!$S$11:$AF$62,3,0),0)</f>
        <v>1</v>
      </c>
      <c r="L37" s="150">
        <f t="shared" si="56"/>
        <v>0.2</v>
      </c>
      <c r="M37" s="79">
        <f>SUMIF('UC MINI 2026'!$B$5:$B$61,'UC MINI 2026 MINI NEXT'!$B37,'UC MINI 2026'!$H$5:$H$61)</f>
        <v>5</v>
      </c>
      <c r="N37" s="86">
        <f>SUMIF('UC MINI 2026'!$B$5:$B$61,'UC MINI 2026 MINI NEXT'!$B37,'UC MINI 2026'!$I$5:$I$61)</f>
        <v>4</v>
      </c>
      <c r="O37" s="297">
        <f t="shared" si="165"/>
        <v>0.8</v>
      </c>
      <c r="P37" s="86">
        <f>IFERROR(VLOOKUP(B37,[2]BPS!$S$10:$AF$64,4,0),0)-IF(B37=100873,IFERROR(VLOOKUP("FEBRERO",[2]BPS!$S$74:$T$89,2,0),0),0)</f>
        <v>4</v>
      </c>
      <c r="Q37" s="297">
        <f t="shared" si="188"/>
        <v>1</v>
      </c>
      <c r="R37" s="86">
        <f>IFERROR(VLOOKUP(B37,'[2]RETAIL ORIGEN RMKT'!$S$11:$AF$62,4,0),0)</f>
        <v>0</v>
      </c>
      <c r="S37" s="150">
        <f t="shared" si="189"/>
        <v>0</v>
      </c>
      <c r="T37" s="148">
        <f>SUMIF('UC MINI 2026'!$B$5:$B$71,'UC MINI 2026 MINI NEXT'!$B37,'UC MINI 2026'!$J$5:$J$71)</f>
        <v>5</v>
      </c>
      <c r="U37" s="86">
        <f>SUMIF('UC MINI 2026'!$B$10:$B$61,'UC MINI 2026 MINI NEXT'!$B37,'UC MINI 2026'!$K$10:$K$61)</f>
        <v>6</v>
      </c>
      <c r="V37" s="297">
        <f t="shared" si="166"/>
        <v>1.2</v>
      </c>
      <c r="W37" s="86">
        <f>IFERROR(VLOOKUP(B37,[2]BPS!$S$10:$AF$64,5,0),0)-IF(B37=100873,IFERROR(VLOOKUP("MARZO",[2]BPS!$S$74:$T$89,2,0),0),0)</f>
        <v>6</v>
      </c>
      <c r="X37" s="297">
        <f t="shared" si="190"/>
        <v>1</v>
      </c>
      <c r="Y37" s="86">
        <f>IFERROR(VLOOKUP(B37,'[2]RETAIL ORIGEN RMKT'!$S$11:$AF$62,5,0),0)</f>
        <v>3</v>
      </c>
      <c r="Z37" s="150">
        <f t="shared" si="191"/>
        <v>0.6</v>
      </c>
      <c r="AA37" s="148">
        <f>SUMIF('UC MINI 2026'!$B$5:$B$61,'UC MINI 2026 MINI NEXT'!$B37,'UC MINI 2026'!$L$5:$L$61)</f>
        <v>5</v>
      </c>
      <c r="AB37" s="86">
        <f>SUMIF('UC MINI 2026'!$B$5:$B$61,'UC MINI 2026 MINI NEXT'!$B37,'UC MINI 2026'!$M$5:$M$61)</f>
        <v>5</v>
      </c>
      <c r="AC37" s="297">
        <f t="shared" si="167"/>
        <v>1</v>
      </c>
      <c r="AD37" s="86">
        <f>IFERROR(VLOOKUP(B37,[2]BPS!$S$10:$AF$64,6,0),0)-IF(B37=100873,IFERROR(VLOOKUP("ABRIL",[2]BPS!$S$74:$T$89,2,0),0),0)</f>
        <v>5</v>
      </c>
      <c r="AE37" s="285">
        <f t="shared" si="192"/>
        <v>1</v>
      </c>
      <c r="AF37" s="86">
        <f>IFERROR(VLOOKUP(B37,'[2]RETAIL ORIGEN RMKT'!$S$11:$AF$62,6,0),0)</f>
        <v>2</v>
      </c>
      <c r="AG37" s="150">
        <f t="shared" si="193"/>
        <v>0.4</v>
      </c>
      <c r="AH37" s="148">
        <f>SUMIF('UC MINI 2026'!$B$5:$B$61,'UC MINI 2026 MINI NEXT'!$B37,'UC MINI 2026'!$N$5:$N$61)</f>
        <v>5</v>
      </c>
      <c r="AI37" s="86">
        <f>SUMIF('UC MINI 2026'!$B$5:$B$61,'UC MINI 2026 MINI NEXT'!$B37,'UC MINI 2026'!$O$5:$O$61)</f>
        <v>7</v>
      </c>
      <c r="AJ37" s="297">
        <f t="shared" si="168"/>
        <v>1.4</v>
      </c>
      <c r="AK37" s="86">
        <f>IFERROR(VLOOKUP(B37,[2]BPS!$S$10:$AF$64,7,0),0)-IF(B37=100873,IFERROR(VLOOKUP("MAYO",[2]BPS!$S$74:$T$89,2,0),0),0)</f>
        <v>7</v>
      </c>
      <c r="AL37" s="285">
        <f t="shared" si="194"/>
        <v>1</v>
      </c>
      <c r="AM37" s="86">
        <f>IFERROR(VLOOKUP(B37,'[2]RETAIL ORIGEN RMKT'!$S$11:$AF$62,7,0),0)</f>
        <v>4</v>
      </c>
      <c r="AN37" s="150">
        <f t="shared" si="195"/>
        <v>0.8</v>
      </c>
      <c r="AO37" s="148">
        <f>SUMIF('UC MINI 2026'!$B$5:$B$61,'UC MINI 2026 MINI NEXT'!$B37,'UC MINI 2026'!$P$5:$P$61)</f>
        <v>5</v>
      </c>
      <c r="AP37" s="86">
        <f>SUMIF('UC MINI 2026'!$B$5:$B$61,'UC MINI 2026 MINI NEXT'!$B37,'UC MINI 2026'!$Q$5:$Q$61)</f>
        <v>6</v>
      </c>
      <c r="AQ37" s="297">
        <f t="shared" si="169"/>
        <v>1.2</v>
      </c>
      <c r="AR37" s="86">
        <f>IFERROR(VLOOKUP(B37,[2]BPS!$S$10:$AF$64,8,0),0)-IF(B37=100873,IFERROR(VLOOKUP("JUNIO",[2]BPS!$S$74:$T$89,2,0),0),0)</f>
        <v>6</v>
      </c>
      <c r="AS37" s="285">
        <f t="shared" si="196"/>
        <v>1</v>
      </c>
      <c r="AT37" s="86">
        <f>IFERROR(VLOOKUP(B37,'[2]RETAIL ORIGEN RMKT'!$S$11:$AF$62,8,0),0)</f>
        <v>4</v>
      </c>
      <c r="AU37" s="150">
        <f t="shared" si="197"/>
        <v>0.8</v>
      </c>
      <c r="AV37" s="148">
        <f>SUMIF('UC MINI 2026'!$B$5:$B$61,'UC MINI 2026 MINI NEXT'!$B37,'UC MINI 2026'!$R$5:$R$61)</f>
        <v>0</v>
      </c>
      <c r="AW37" s="86">
        <f>SUMIF('UC MINI 2026'!$B$5:$B$61,'UC MINI 2026 MINI NEXT'!$B37,'UC MINI 2026'!$S$5:$S$61)</f>
        <v>0</v>
      </c>
      <c r="AX37" s="297">
        <f t="shared" si="170"/>
        <v>0</v>
      </c>
      <c r="AY37" s="86">
        <f>IFERROR(VLOOKUP(B37,[2]BPS!$S$10:$AF$64,9,0),0)-IF(B37=100873,IFERROR(VLOOKUP("JULIO",[2]BPS!$S$74:$T$89,2,0),0),0)</f>
        <v>0</v>
      </c>
      <c r="AZ37" s="285">
        <f t="shared" si="198"/>
        <v>0</v>
      </c>
      <c r="BA37" s="86">
        <f>IFERROR(VLOOKUP(I37,'[2]RETAIL ORIGEN RMKT'!$S$11:$AF$62,9,0),0)</f>
        <v>0</v>
      </c>
      <c r="BB37" s="150">
        <f t="shared" si="199"/>
        <v>0</v>
      </c>
      <c r="BC37" s="148">
        <f>SUMIF('UC MINI 2026'!$B$5:$B$61,'UC MINI 2026 MINI NEXT'!$B37,'UC MINI 2026'!$T$5:$T$61)</f>
        <v>0</v>
      </c>
      <c r="BD37" s="86">
        <f>SUMIF('UC MINI 2026'!$B$5:$B$61,'UC MINI 2026 MINI NEXT'!$B37,'UC MINI 2026'!$U$5:$U$61)</f>
        <v>0</v>
      </c>
      <c r="BE37" s="297">
        <f t="shared" si="171"/>
        <v>0</v>
      </c>
      <c r="BF37" s="86">
        <f>IFERROR(VLOOKUP(B37,[2]BPS!$S$10:$AF$64,10,0),0)-IF(B37=100873,IFERROR(VLOOKUP("AGOSTO",[2]BPS!$S$74:$T$89,2,0),0),0)</f>
        <v>0</v>
      </c>
      <c r="BG37" s="285">
        <f t="shared" si="200"/>
        <v>0</v>
      </c>
      <c r="BH37" s="86">
        <f>IFERROR(VLOOKUP(P37,'[2]RETAIL ORIGEN RMKT'!$S$11:$AF$62,10,0),0)</f>
        <v>0</v>
      </c>
      <c r="BI37" s="150">
        <f t="shared" si="201"/>
        <v>0</v>
      </c>
      <c r="BJ37" s="148">
        <f>SUMIF('UC MINI 2026'!$B$5:$B$61,'UC MINI 2026 MINI NEXT'!$B37,'UC MINI 2026'!$V$5:$V$61)</f>
        <v>0</v>
      </c>
      <c r="BK37" s="86">
        <f>SUMIF('UC MINI 2026'!$B$5:$B$61,'UC MINI 2026 MINI NEXT'!$B37,'UC MINI 2026'!$W$5:$W$61)</f>
        <v>0</v>
      </c>
      <c r="BL37" s="297">
        <f t="shared" si="172"/>
        <v>0</v>
      </c>
      <c r="BM37" s="86">
        <f>IFERROR(VLOOKUP(B37,[2]BPS!$S$10:$AF$64,11,0),0)-IF(B37=100873,IFERROR(VLOOKUP("SEPTIEMBRE",[2]BPS!$S$74:$T$89,2,0),0),0)</f>
        <v>0</v>
      </c>
      <c r="BN37" s="285">
        <f t="shared" si="202"/>
        <v>0</v>
      </c>
      <c r="BO37" s="86">
        <f>IFERROR(VLOOKUP(W37,'[2]RETAIL ORIGEN RMKT'!$S$11:$AF$62,11,0),0)</f>
        <v>0</v>
      </c>
      <c r="BP37" s="150">
        <f t="shared" si="203"/>
        <v>0</v>
      </c>
      <c r="BQ37" s="148">
        <f>SUMIF('UC MINI 2026'!$B$5:$B$61,'UC MINI 2026 MINI NEXT'!$B37,'UC MINI 2026'!$V$5:$V$61)</f>
        <v>0</v>
      </c>
      <c r="BR37" s="86">
        <f>SUMIF('UC MINI 2026'!$B$5:$B$61,'UC MINI 2026 MINI NEXT'!$B37,'UC MINI 2026'!$Y$5:$Y$61)</f>
        <v>0</v>
      </c>
      <c r="BS37" s="297">
        <f t="shared" si="173"/>
        <v>0</v>
      </c>
      <c r="BT37" s="86">
        <f>IFERROR(VLOOKUP(B37,[2]BPS!$S$10:$AF$64,12,0),0)-IF(B37=100873,IFERROR(VLOOKUP("OCTUBRE",[2]BPS!$S$74:$T$89,2,0),0),0)</f>
        <v>0</v>
      </c>
      <c r="BU37" s="285">
        <f t="shared" si="204"/>
        <v>0</v>
      </c>
      <c r="BV37" s="86">
        <f>IFERROR(VLOOKUP(AD37,'[2]RETAIL ORIGEN RMKT'!$S$11:$AF$62,12,0),0)</f>
        <v>0</v>
      </c>
      <c r="BW37" s="150">
        <f t="shared" si="205"/>
        <v>0</v>
      </c>
      <c r="BX37" s="148">
        <f>SUMIF('UC MINI 2026'!$B$5:$B$61,'UC MINI 2026 MINI NEXT'!$B37,'UC MINI 2026'!$V$5:$V$61)</f>
        <v>0</v>
      </c>
      <c r="BY37" s="86">
        <f>SUMIF('UC MINI 2026'!$B$5:$B$61,'UC MINI 2026 MINI NEXT'!$B37,'UC MINI 2026'!$AA$5:$AA$61)</f>
        <v>0</v>
      </c>
      <c r="BZ37" s="297">
        <f t="shared" si="174"/>
        <v>0</v>
      </c>
      <c r="CA37" s="86">
        <f>IFERROR(VLOOKUP(B37,[2]BPS!$S$10:$AF$64,13,0),0)-IF(B37=100873,IFERROR(VLOOKUP("NOVIEMBRE",[2]BPS!$S$74:$T$89,2,0),0),0)</f>
        <v>0</v>
      </c>
      <c r="CB37" s="285">
        <f t="shared" si="206"/>
        <v>0</v>
      </c>
      <c r="CC37" s="86">
        <f>IFERROR(VLOOKUP(AK37,'[2]RETAIL ORIGEN RMKT'!$S$11:$AF$62,13,0),0)</f>
        <v>0</v>
      </c>
      <c r="CD37" s="150">
        <f t="shared" si="207"/>
        <v>0</v>
      </c>
      <c r="CE37" s="148">
        <f>SUMIF('UC MINI 2026'!$B$5:$B$61,'UC MINI 2026 MINI NEXT'!$B37,'UC MINI 2026'!$V$5:$V$61)</f>
        <v>0</v>
      </c>
      <c r="CF37" s="86">
        <f>SUMIF('UC MINI 2026'!$B$5:$B$61,'UC MINI 2026 MINI NEXT'!$B37,'UC MINI 2026'!$AC$5:$AC$61)</f>
        <v>0</v>
      </c>
      <c r="CG37" s="297">
        <f t="shared" si="175"/>
        <v>0</v>
      </c>
      <c r="CH37" s="86">
        <f>IFERROR(VLOOKUP(B37,[2]BPS!$S$10:$AF$64,14,0),0)-IF(B37=100873,IFERROR(VLOOKUP("DICIEMBRE",[2]BPS!$S$74:$T$89,2,0),0),0)</f>
        <v>0</v>
      </c>
      <c r="CI37" s="285">
        <f t="shared" si="208"/>
        <v>0</v>
      </c>
      <c r="CJ37" s="86">
        <f>IFERROR(VLOOKUP(AR37,'[2]RETAIL ORIGEN RMKT'!$S$11:$AF$62,14,0),0)</f>
        <v>0</v>
      </c>
      <c r="CK37" s="150">
        <f t="shared" si="209"/>
        <v>0</v>
      </c>
      <c r="CL37" s="54">
        <f>IF($CL$4="ENERO",F37,IF($CL$4="FEBRERO",F37+M37,IF($CL$4="MARZO",F37+M37+T37,IF($CL$4="ABRIL",F37+M37+T37+AA37,IF($CL$4="MAYO",F37+M37+T37+AA37+AH37,IF($CL$4="JUNIO",F37+M37+T37+AA37+AH37+AO37,IF($CL$4="JULIO",F37+M37+T37+AA37+AH37+AO37+AV37,IF($CL$4="AGOSTO",F37+M37+T37+AA37+AH37+AO37+AV37+BC37,IF($CL$4="SEPTIEMBRE",F37+M37+T37+AA37+AH37+AO37+AV37+BC37+BJ37,IF($CL$4="OCTUBRE",F37+M37+T37+AA37+AH37+AO37+AV37+BC37+BJ37+BQ37,IF($CL$4="NOVIEMBRE",F37+M37+T37+AA37+AH37+AO37+AV37+BC37+BJ37+BQ37+BX37,IF($CL$4="DICIEMBRE",F37+M37+T37+AA37+AH37+AO37+AV37+BC37+BJ37+BQ37+BX37+CE37,""))))))))))))</f>
        <v>30</v>
      </c>
      <c r="CM37" s="86">
        <f>IF($CL$4="ENERO",G37,IF($CL$4="FEBRERO",G37+N37,IF($CL$4="MARZO",G37+N37+U37,IF($CL$4="ABRIL",G37+N37+U37+AB37,IF($CL$4="MAYO",G37+N37+U37+AB37+AI37,IF($CL$4="JUNIO",G37+N37+U37+AB37+AI37+AP37,IF($CL$4="JULIO",G37+N37+U37+AB37+AI37+AP37+AW37,IF($CL$4="AGOSTO",G37+N37+U37+AB37+AI37+AP37+AW37+BD37,IF($CL$4="SEPTIEMBRE",G37+N37+U37+AB37+AI37+AP37+AW37+BD37+BK37,IF($CL$4="OCTUBRE",G37+N37+U37+AB37+AI37+AP37+AW37+BD37+BK37+BR37,IF($CL$4="NOVIEMBRE",G37+N37+U37+AB37+AI37+AP37+AW37+BD37+BK37+BR37+BY37,IF($CL$4="DICIEMBRE",G37+N37+U37+AB37+AI37+AP37+AW37+BD37+BK37+BR37+BY37+CF37,""))))))))))))</f>
        <v>34</v>
      </c>
      <c r="CN37" s="109">
        <f t="shared" si="176"/>
        <v>1.1333333333333333</v>
      </c>
      <c r="CO37" s="86">
        <f>IFERROR(IF($CL$4="ENERO",I37,IF($CL$4="FEBRERO",I37+P37,IF($CL$4="MARZO",I37+P37+W37,IF($CL$4="ABRIL",I37+P37+W37+AD37,IF($CL$4="MAYO",I37+P37+W37+AD37+AK37,IF($CL$4="JUNIO",I37+P37+W37+AD37+AK37+AR37,IF($CL$4="JULIO",I37+P37+W37+AD37+AK37+AR37+AY37,IF($CL$4="AGOSTO",I37+P37+W37+AD37+AK37+AR37+AY37+BF37,IF($CL$4="SEPTIEMBRE",I37+P37+W37+AD37+AK37+AR37+AY37+BF37+BM37,IF($CL$4="OCTUBRE",I37+P37+W37+AD37+AK37+AR37+AY37+BF37+BM37+BT37,IF($CL$4="NOVIEMBRE",I37+P37+W37+AD37+AK37+AR37+AY37+BF37+BM37+BT37+CA37,IF($CL$4="DICIEMBRE",I37+P37+W37+AD37+AK37+AR37+AY37+BF37+BM37+BT37+CA37+CH37,"")))))))))))),0)</f>
        <v>34</v>
      </c>
      <c r="CP37" s="297">
        <f>IFERROR(IF(CM37=0,"N.D.",CO37/CM37),0)</f>
        <v>1</v>
      </c>
      <c r="CQ37" s="348">
        <f>IFERROR(IF($CL$4="ENERO",K37,
IF($CL$4="FEBRERO",K37+R37,
IF($CL$4="MARZO",K37+R37+Y37,
IF($CL$4="ABRIL",K37+R37+Y37+AF37,
IF($CL$4="MAYO",K37+R37+Y37+AF37+AM37,
IF($CL$4="JUNIO",K37+R37+Y37+AF37+AM37+AT37,
IF($CL$4="JULIO",K37+R37+Y37+AF37+AM37+AT37+BA37,
IF($CL$4="AGOSTO",K37+R37+Y37+AF37+AM37+AT37+BA37+BH37,
IF($CL$4="SEPTIEMBRE",K37+R37+Y37+AF37+AM37+AT37+BA37+BH37+BO37,
IF($CL$4="OCTUBRE",K37+R37+Y37+AF37+AM37+AT37+BA37+BH37+BO37+BV37,
IF($CL$4="NOVIEMBRE",K37+R37+Y37+AF37+AM37+AT37+BA37+BH37+BO37+BV37+CC37,
IF($CL$4="DICIEMBRE",K37+R37+Y37+AF37+AM37+AT37+BA37+BH37+BO37+BV37+CC37+CJ37,"")))))))))))),0)</f>
        <v>14</v>
      </c>
      <c r="CR37" s="149">
        <f t="shared" si="177"/>
        <v>0.46666666666666667</v>
      </c>
      <c r="CS37" s="54">
        <f>+F37+M37+T37+AA37+AH37+AO37++AV37+BC37+BJ37+BQ37+BX37+CE37</f>
        <v>30</v>
      </c>
      <c r="CT37" s="86">
        <f>SUMIFS($F37:$CI37,$F$6:$CI$6,CT$6,$F$2:$CI$2,$CL$4)</f>
        <v>34</v>
      </c>
      <c r="CU37" s="109">
        <f t="shared" si="52"/>
        <v>1.1333333333333333</v>
      </c>
      <c r="CV37" s="86">
        <f>IFERROR(I37+P37+W37+AD37+AK37+AR37+AY37+BF37+BM37+BT37+CA37+CH37,0)</f>
        <v>34</v>
      </c>
      <c r="CW37" s="297">
        <f>IF(CT37=0,"N.D.",CV37/CT37)</f>
        <v>1</v>
      </c>
      <c r="CX37" s="348">
        <f>IFERROR(K37+R37+Y37+AF37+AM37+AT37+BA37+BH37+BO37+BV37+CC37+CJ37,0)</f>
        <v>14</v>
      </c>
      <c r="CY37" s="149">
        <f t="shared" si="178"/>
        <v>0.46666666666666667</v>
      </c>
      <c r="CZ37" s="54">
        <f>IF($CZ$5="Q1",F37+M37+T37,
IF($CZ$5="Q2",AA37+AH37++AO37,
IF($CZ$5="Q3",AV37+BC37+BJ37,
IF($CZ$5="Q4",BQ37+BX37+CE37,0))))</f>
        <v>15</v>
      </c>
      <c r="DA37" s="86">
        <f>IF($CZ$5="Q1",G37+N37+U37,
IF($CZ$5="Q2",AB37+AI37++AP37,
IF($CZ$5="Q3",AW37+BD37+BK37,
IF($CZ$5="Q4",BR37+BY37+CF37,0))))</f>
        <v>16</v>
      </c>
      <c r="DB37" s="109">
        <f t="shared" si="179"/>
        <v>1.0666666666666667</v>
      </c>
      <c r="DC37" s="86">
        <f>IFERROR(IF($CZ$5="Q1",I37+P37+W37,
IF($CZ$5="Q2",AD37+AK37++AR37,
IF($CZ$5="Q3",AY37+BF37+BM37,
IF($CZ$5="Q4",BT37+CA37+CH37,0)))),0)</f>
        <v>16</v>
      </c>
      <c r="DD37" s="297">
        <f>IF(DA37=0,"N.D.",DC37/DA37)</f>
        <v>1</v>
      </c>
      <c r="DE37" s="348">
        <f>IFERROR(IF($CZ$5="Q1",K37+R37+Y37,
IF($CZ$5="Q2",AF37+AM37+AT37,
IF($CZ$5="Q3",BA37+BH37+BO37,
IF($CZ$5="Q4",BV37+CC37+CJ37,0)))),0)</f>
        <v>4</v>
      </c>
      <c r="DF37" s="150">
        <f t="shared" si="180"/>
        <v>0.26666666666666666</v>
      </c>
      <c r="DG37" s="54">
        <f t="shared" si="89"/>
        <v>30</v>
      </c>
      <c r="DH37" s="86">
        <f t="shared" si="89"/>
        <v>34</v>
      </c>
      <c r="DI37" s="109">
        <f t="shared" si="181"/>
        <v>1.1333333333333333</v>
      </c>
      <c r="DJ37" s="86">
        <f>IFERROR(IF($DG$5="S 1",I37+P37+W37+AD37+AK37++AR37,
IF($DG$5="S 2",AY37+BF37+BM37+BT37+CA37+CH37,0)),0)</f>
        <v>34</v>
      </c>
      <c r="DK37" s="297">
        <f t="shared" si="182"/>
        <v>1</v>
      </c>
      <c r="DL37" s="348">
        <f>IFERROR(IF($DG$5="S 1",K37+R37+Y37+AF37+AM37+AT37,
IF($DG$5="S 2",BA37+BH37+BO37+BV37+CC37+CJ37,0)),0)</f>
        <v>14</v>
      </c>
      <c r="DM37" s="150">
        <f t="shared" si="183"/>
        <v>0.46666666666666667</v>
      </c>
      <c r="DN37" s="54">
        <f t="shared" ref="DN37:DO41" si="212">IF($DN$5="S 1",F37+M37+T37+AA37+AH37+AO37,
IF($DN$5="S 2",AV37+BC37+BJ37+BQ37+BX37+CE37,0))</f>
        <v>0</v>
      </c>
      <c r="DO37" s="79">
        <f t="shared" si="212"/>
        <v>0</v>
      </c>
      <c r="DP37" s="109">
        <f t="shared" si="184"/>
        <v>0</v>
      </c>
      <c r="DQ37" s="86">
        <f>IFERROR(IF($DN$5="S 1",I37+P37+W37+AD37+AK37++AR37,
IF($DN$5="S 2",AY37+BF37+BM37+BT37+CA37+CH37,0)),0)</f>
        <v>0</v>
      </c>
      <c r="DR37" s="297" t="str">
        <f t="shared" si="185"/>
        <v>N.D.</v>
      </c>
      <c r="DS37" s="348">
        <f>IFERROR(IF($DN$5="S 1",K37+R37+Y37+AF37+AM37+AT37,
IF($DN$5="S 2",BA37+BH37+BO37+BV37+CC37+CJ37,0)),0)</f>
        <v>0</v>
      </c>
      <c r="DT37" s="150">
        <f t="shared" si="186"/>
        <v>0</v>
      </c>
      <c r="DU37" s="53">
        <v>1</v>
      </c>
      <c r="DX37" s="53">
        <v>22</v>
      </c>
      <c r="DY37" s="53">
        <v>19</v>
      </c>
      <c r="DZ37" s="513">
        <v>1.0192307692307692</v>
      </c>
      <c r="EB37" s="513">
        <v>0.92</v>
      </c>
      <c r="EC37" s="53">
        <v>3</v>
      </c>
      <c r="ED37" s="513">
        <v>0.16</v>
      </c>
    </row>
    <row r="38" spans="1:134" s="53" customFormat="1" ht="16" customHeight="1" x14ac:dyDescent="0.3">
      <c r="A38" s="53">
        <f>_xlfn.XLOOKUP(B38,'UC MINI 2026'!$B$5:$B$61,'UC MINI 2026'!$A$5:$A$61)</f>
        <v>6</v>
      </c>
      <c r="B38" s="179">
        <v>100585</v>
      </c>
      <c r="C38" s="381" t="s">
        <v>58</v>
      </c>
      <c r="D38" s="146"/>
      <c r="E38" s="309" t="s">
        <v>87</v>
      </c>
      <c r="F38" s="54">
        <f>SUMIF('UC MINI 2026'!$B$5:$B$71,'UC MINI 2026 MINI NEXT'!$B38,'UC MINI 2026'!$F$5:$F$71)</f>
        <v>0</v>
      </c>
      <c r="G38" s="86">
        <f>SUMIF('UC MINI 2026'!$B$5:$B$71,'UC MINI 2026 MINI NEXT'!$B38,'UC MINI 2026'!$G$5:$G$71)</f>
        <v>0</v>
      </c>
      <c r="H38" s="297">
        <f>IFERROR(G38/F38,0)</f>
        <v>0</v>
      </c>
      <c r="I38" s="86">
        <f>IFERROR(VLOOKUP(B38,[2]BPS!$S$10:$AF$64,3,0),0)-IF(B38=100873,IFERROR(VLOOKUP("Enero",[2]BPS!$S$74:$T$89,2,0),0),0)</f>
        <v>0</v>
      </c>
      <c r="J38" s="297">
        <f t="shared" si="55"/>
        <v>0</v>
      </c>
      <c r="K38" s="86">
        <f>IFERROR(VLOOKUP(B38,'[2]RETAIL ORIGEN RMKT'!$S$11:$AF$62,3,0),0)</f>
        <v>0</v>
      </c>
      <c r="L38" s="150">
        <f t="shared" si="56"/>
        <v>0</v>
      </c>
      <c r="M38" s="79">
        <f>SUMIF('UC MINI 2026'!$B$5:$B$61,'UC MINI 2026 MINI NEXT'!$B38,'UC MINI 2026'!$H$5:$H$61)</f>
        <v>0</v>
      </c>
      <c r="N38" s="86">
        <f>SUMIF('UC MINI 2026'!$B$5:$B$61,'UC MINI 2026 MINI NEXT'!$B38,'UC MINI 2026'!$I$5:$I$61)</f>
        <v>0</v>
      </c>
      <c r="O38" s="297">
        <f t="shared" si="165"/>
        <v>0</v>
      </c>
      <c r="P38" s="86">
        <f>IFERROR(VLOOKUP(B38,[2]BPS!$S$10:$AF$64,4,0),0)-IF(B38=100873,IFERROR(VLOOKUP("FEBRERO",[2]BPS!$S$74:$T$89,2,0),0),0)</f>
        <v>0</v>
      </c>
      <c r="Q38" s="297">
        <f t="shared" si="188"/>
        <v>0</v>
      </c>
      <c r="R38" s="86">
        <f>IFERROR(VLOOKUP(B38,'[2]RETAIL ORIGEN RMKT'!$S$11:$AF$62,4,0),0)</f>
        <v>0</v>
      </c>
      <c r="S38" s="150">
        <f t="shared" si="189"/>
        <v>0</v>
      </c>
      <c r="T38" s="148">
        <f>SUMIF('UC MINI 2026'!$B$5:$B$71,'UC MINI 2026 MINI NEXT'!$B38,'UC MINI 2026'!$J$5:$J$71)</f>
        <v>0</v>
      </c>
      <c r="U38" s="86">
        <f>SUMIF('UC MINI 2026'!$B$10:$B$61,'UC MINI 2026 MINI NEXT'!$B38,'UC MINI 2026'!$K$10:$K$61)</f>
        <v>0</v>
      </c>
      <c r="V38" s="297">
        <f t="shared" si="166"/>
        <v>0</v>
      </c>
      <c r="W38" s="86">
        <f>IFERROR(VLOOKUP(B38,[2]BPS!$S$10:$AF$64,5,0),0)-IF(B38=100873,IFERROR(VLOOKUP("MARZO",[2]BPS!$S$74:$T$89,2,0),0),0)</f>
        <v>0</v>
      </c>
      <c r="X38" s="297">
        <f t="shared" si="190"/>
        <v>0</v>
      </c>
      <c r="Y38" s="86">
        <f>IFERROR(VLOOKUP(B38,'[2]RETAIL ORIGEN RMKT'!$S$11:$AF$62,5,0),0)</f>
        <v>0</v>
      </c>
      <c r="Z38" s="150">
        <f t="shared" si="191"/>
        <v>0</v>
      </c>
      <c r="AA38" s="148">
        <f>SUMIF('UC MINI 2026'!$B$5:$B$61,'UC MINI 2026 MINI NEXT'!$B38,'UC MINI 2026'!$L$5:$L$61)</f>
        <v>0</v>
      </c>
      <c r="AB38" s="86">
        <f>SUMIF('UC MINI 2026'!$B$5:$B$61,'UC MINI 2026 MINI NEXT'!$B38,'UC MINI 2026'!$M$5:$M$61)</f>
        <v>0</v>
      </c>
      <c r="AC38" s="297">
        <f t="shared" si="167"/>
        <v>0</v>
      </c>
      <c r="AD38" s="86">
        <f>IFERROR(VLOOKUP(B38,[2]BPS!$S$10:$AF$64,6,0),0)-IF(B38=100873,IFERROR(VLOOKUP("ABRIL",[2]BPS!$S$74:$T$89,2,0),0),0)</f>
        <v>0</v>
      </c>
      <c r="AE38" s="285">
        <f t="shared" si="192"/>
        <v>0</v>
      </c>
      <c r="AF38" s="86">
        <f>IFERROR(VLOOKUP(B38,'[2]RETAIL ORIGEN RMKT'!$S$11:$AF$62,6,0),0)</f>
        <v>0</v>
      </c>
      <c r="AG38" s="150">
        <f t="shared" si="193"/>
        <v>0</v>
      </c>
      <c r="AH38" s="148">
        <f>SUMIF('UC MINI 2026'!$B$5:$B$61,'UC MINI 2026 MINI NEXT'!$B38,'UC MINI 2026'!$N$5:$N$61)</f>
        <v>0</v>
      </c>
      <c r="AI38" s="86">
        <f>SUMIF('UC MINI 2026'!$B$5:$B$61,'UC MINI 2026 MINI NEXT'!$B38,'UC MINI 2026'!$O$5:$O$61)</f>
        <v>0</v>
      </c>
      <c r="AJ38" s="297">
        <f t="shared" si="168"/>
        <v>0</v>
      </c>
      <c r="AK38" s="86">
        <f>IFERROR(VLOOKUP(B38,[2]BPS!$S$10:$AF$64,7,0),0)-IF(B38=100873,IFERROR(VLOOKUP("MAYO",[2]BPS!$S$74:$T$89,2,0),0),0)</f>
        <v>0</v>
      </c>
      <c r="AL38" s="285">
        <f t="shared" si="194"/>
        <v>0</v>
      </c>
      <c r="AM38" s="86">
        <f>IFERROR(VLOOKUP(B38,'[2]RETAIL ORIGEN RMKT'!$S$11:$AF$62,7,0),0)</f>
        <v>0</v>
      </c>
      <c r="AN38" s="150">
        <f t="shared" si="195"/>
        <v>0</v>
      </c>
      <c r="AO38" s="148">
        <f>SUMIF('UC MINI 2026'!$B$5:$B$61,'UC MINI 2026 MINI NEXT'!$B38,'UC MINI 2026'!$P$5:$P$61)</f>
        <v>0</v>
      </c>
      <c r="AP38" s="86">
        <f>SUMIF('UC MINI 2026'!$B$5:$B$61,'UC MINI 2026 MINI NEXT'!$B38,'UC MINI 2026'!$Q$5:$Q$61)</f>
        <v>0</v>
      </c>
      <c r="AQ38" s="297">
        <f t="shared" si="169"/>
        <v>0</v>
      </c>
      <c r="AR38" s="86">
        <f>IFERROR(VLOOKUP(B38,[2]BPS!$S$10:$AF$64,8,0),0)-IF(B38=100873,IFERROR(VLOOKUP("JUNIO",[2]BPS!$S$74:$T$89,2,0),0),0)</f>
        <v>0</v>
      </c>
      <c r="AS38" s="285">
        <f t="shared" si="196"/>
        <v>0</v>
      </c>
      <c r="AT38" s="86">
        <f>IFERROR(VLOOKUP(B38,'[2]RETAIL ORIGEN RMKT'!$S$11:$AF$62,8,0),0)</f>
        <v>0</v>
      </c>
      <c r="AU38" s="150">
        <f t="shared" si="197"/>
        <v>0</v>
      </c>
      <c r="AV38" s="148">
        <f>SUMIF('UC MINI 2026'!$B$5:$B$61,'UC MINI 2026 MINI NEXT'!$B38,'UC MINI 2026'!$R$5:$R$61)</f>
        <v>1</v>
      </c>
      <c r="AW38" s="86">
        <f>SUMIF('UC MINI 2026'!$B$5:$B$61,'UC MINI 2026 MINI NEXT'!$B38,'UC MINI 2026'!$S$5:$S$61)</f>
        <v>0</v>
      </c>
      <c r="AX38" s="297">
        <f t="shared" si="170"/>
        <v>0</v>
      </c>
      <c r="AY38" s="86">
        <f>IFERROR(VLOOKUP(B38,[2]BPS!$S$10:$AF$64,9,0),0)-IF(B38=100873,IFERROR(VLOOKUP("JULIO",[2]BPS!$S$74:$T$89,2,0),0),0)</f>
        <v>0</v>
      </c>
      <c r="AZ38" s="285">
        <f t="shared" si="198"/>
        <v>0</v>
      </c>
      <c r="BA38" s="86">
        <f>IFERROR(VLOOKUP(I38,'[2]RETAIL ORIGEN RMKT'!$S$11:$AF$62,9,0),0)</f>
        <v>0</v>
      </c>
      <c r="BB38" s="150">
        <f t="shared" si="199"/>
        <v>0</v>
      </c>
      <c r="BC38" s="148">
        <f>SUMIF('UC MINI 2026'!$B$5:$B$61,'UC MINI 2026 MINI NEXT'!$B38,'UC MINI 2026'!$T$5:$T$61)</f>
        <v>1</v>
      </c>
      <c r="BD38" s="86">
        <f>SUMIF('UC MINI 2026'!$B$5:$B$61,'UC MINI 2026 MINI NEXT'!$B38,'UC MINI 2026'!$U$5:$U$61)</f>
        <v>0</v>
      </c>
      <c r="BE38" s="297">
        <f t="shared" si="171"/>
        <v>0</v>
      </c>
      <c r="BF38" s="86">
        <f>IFERROR(VLOOKUP(B38,[2]BPS!$S$10:$AF$64,10,0),0)-IF(B38=100873,IFERROR(VLOOKUP("AGOSTO",[2]BPS!$S$74:$T$89,2,0),0),0)</f>
        <v>0</v>
      </c>
      <c r="BG38" s="285">
        <f t="shared" si="200"/>
        <v>0</v>
      </c>
      <c r="BH38" s="86">
        <f>IFERROR(VLOOKUP(P38,'[2]RETAIL ORIGEN RMKT'!$S$11:$AF$62,10,0),0)</f>
        <v>0</v>
      </c>
      <c r="BI38" s="150">
        <f t="shared" si="201"/>
        <v>0</v>
      </c>
      <c r="BJ38" s="148">
        <f>SUMIF('UC MINI 2026'!$B$5:$B$61,'UC MINI 2026 MINI NEXT'!$B38,'UC MINI 2026'!$V$5:$V$61)</f>
        <v>1</v>
      </c>
      <c r="BK38" s="86">
        <f>SUMIF('UC MINI 2026'!$B$5:$B$61,'UC MINI 2026 MINI NEXT'!$B38,'UC MINI 2026'!$W$5:$W$61)</f>
        <v>0</v>
      </c>
      <c r="BL38" s="297">
        <f t="shared" si="172"/>
        <v>0</v>
      </c>
      <c r="BM38" s="86">
        <f>IFERROR(VLOOKUP(B38,[2]BPS!$S$10:$AF$64,11,0),0)-IF(B38=100873,IFERROR(VLOOKUP("SEPTIEMBRE",[2]BPS!$S$74:$T$89,2,0),0),0)</f>
        <v>0</v>
      </c>
      <c r="BN38" s="285">
        <f t="shared" si="202"/>
        <v>0</v>
      </c>
      <c r="BO38" s="86">
        <f>IFERROR(VLOOKUP(W38,'[2]RETAIL ORIGEN RMKT'!$S$11:$AF$62,11,0),0)</f>
        <v>0</v>
      </c>
      <c r="BP38" s="150">
        <f t="shared" si="203"/>
        <v>0</v>
      </c>
      <c r="BQ38" s="148">
        <f>SUMIF('UC MINI 2026'!$B$5:$B$61,'UC MINI 2026 MINI NEXT'!$B38,'UC MINI 2026'!$V$5:$V$61)</f>
        <v>1</v>
      </c>
      <c r="BR38" s="86">
        <f>SUMIF('UC MINI 2026'!$B$5:$B$61,'UC MINI 2026 MINI NEXT'!$B38,'UC MINI 2026'!$Y$5:$Y$61)</f>
        <v>0</v>
      </c>
      <c r="BS38" s="297">
        <f t="shared" si="173"/>
        <v>0</v>
      </c>
      <c r="BT38" s="86">
        <f>IFERROR(VLOOKUP(B38,[2]BPS!$S$10:$AF$64,12,0),0)-IF(B38=100873,IFERROR(VLOOKUP("OCTUBRE",[2]BPS!$S$74:$T$89,2,0),0),0)</f>
        <v>0</v>
      </c>
      <c r="BU38" s="285">
        <f t="shared" si="204"/>
        <v>0</v>
      </c>
      <c r="BV38" s="86">
        <f>IFERROR(VLOOKUP(AD38,'[2]RETAIL ORIGEN RMKT'!$S$11:$AF$62,12,0),0)</f>
        <v>0</v>
      </c>
      <c r="BW38" s="150">
        <f t="shared" si="205"/>
        <v>0</v>
      </c>
      <c r="BX38" s="148">
        <f>SUMIF('UC MINI 2026'!$B$5:$B$61,'UC MINI 2026 MINI NEXT'!$B38,'UC MINI 2026'!$V$5:$V$61)</f>
        <v>1</v>
      </c>
      <c r="BY38" s="86">
        <f>SUMIF('UC MINI 2026'!$B$5:$B$61,'UC MINI 2026 MINI NEXT'!$B38,'UC MINI 2026'!$AA$5:$AA$61)</f>
        <v>0</v>
      </c>
      <c r="BZ38" s="297">
        <f t="shared" si="174"/>
        <v>0</v>
      </c>
      <c r="CA38" s="86">
        <f>IFERROR(VLOOKUP(B38,[2]BPS!$S$10:$AF$64,13,0),0)-IF(B38=100873,IFERROR(VLOOKUP("NOVIEMBRE",[2]BPS!$S$74:$T$89,2,0),0),0)</f>
        <v>0</v>
      </c>
      <c r="CB38" s="285">
        <f t="shared" si="206"/>
        <v>0</v>
      </c>
      <c r="CC38" s="86">
        <f>IFERROR(VLOOKUP(AK38,'[2]RETAIL ORIGEN RMKT'!$S$11:$AF$62,13,0),0)</f>
        <v>0</v>
      </c>
      <c r="CD38" s="150">
        <f t="shared" si="207"/>
        <v>0</v>
      </c>
      <c r="CE38" s="148">
        <f>SUMIF('UC MINI 2026'!$B$5:$B$61,'UC MINI 2026 MINI NEXT'!$B38,'UC MINI 2026'!$V$5:$V$61)</f>
        <v>1</v>
      </c>
      <c r="CF38" s="86">
        <f>SUMIF('UC MINI 2026'!$B$5:$B$61,'UC MINI 2026 MINI NEXT'!$B38,'UC MINI 2026'!$AC$5:$AC$61)</f>
        <v>0</v>
      </c>
      <c r="CG38" s="297">
        <f t="shared" si="175"/>
        <v>0</v>
      </c>
      <c r="CH38" s="86">
        <f>IFERROR(VLOOKUP(B38,[2]BPS!$S$10:$AF$64,14,0),0)-IF(B38=100873,IFERROR(VLOOKUP("DICIEMBRE",[2]BPS!$S$74:$T$89,2,0),0),0)</f>
        <v>0</v>
      </c>
      <c r="CI38" s="285">
        <f t="shared" si="208"/>
        <v>0</v>
      </c>
      <c r="CJ38" s="86">
        <f>IFERROR(VLOOKUP(AR38,'[2]RETAIL ORIGEN RMKT'!$S$11:$AF$62,14,0),0)</f>
        <v>0</v>
      </c>
      <c r="CK38" s="150">
        <f t="shared" si="209"/>
        <v>0</v>
      </c>
      <c r="CL38" s="54">
        <f>IF($CL$4="ENERO",F38,IF($CL$4="FEBRERO",F38+M38,IF($CL$4="MARZO",F38+M38+T38,IF($CL$4="ABRIL",F38+M38+T38+AA38,IF($CL$4="MAYO",F38+M38+T38+AA38+AH38,IF($CL$4="JUNIO",F38+M38+T38+AA38+AH38+AO38,IF($CL$4="JULIO",F38+M38+T38+AA38+AH38+AO38+AV38,IF($CL$4="AGOSTO",F38+M38+T38+AA38+AH38+AO38+AV38+BC38,IF($CL$4="SEPTIEMBRE",F38+M38+T38+AA38+AH38+AO38+AV38+BC38+BJ38,IF($CL$4="OCTUBRE",F38+M38+T38+AA38+AH38+AO38+AV38+BC38+BJ38+BQ38,IF($CL$4="NOVIEMBRE",F38+M38+T38+AA38+AH38+AO38+AV38+BC38+BJ38+BQ38+BX38,IF($CL$4="DICIEMBRE",F38+M38+T38+AA38+AH38+AO38+AV38+BC38+BJ38+BQ38+BX38+CE38,""))))))))))))</f>
        <v>0</v>
      </c>
      <c r="CM38" s="86">
        <f>IF($CL$4="ENERO",G38,IF($CL$4="FEBRERO",G38+N38,IF($CL$4="MARZO",G38+N38+U38,IF($CL$4="ABRIL",G38+N38+U38+AB38,IF($CL$4="MAYO",G38+N38+U38+AB38+AI38,IF($CL$4="JUNIO",G38+N38+U38+AB38+AI38+AP38,IF($CL$4="JULIO",G38+N38+U38+AB38+AI38+AP38+AW38,IF($CL$4="AGOSTO",G38+N38+U38+AB38+AI38+AP38+AW38+BD38,IF($CL$4="SEPTIEMBRE",G38+N38+U38+AB38+AI38+AP38+AW38+BD38+BK38,IF($CL$4="OCTUBRE",G38+N38+U38+AB38+AI38+AP38+AW38+BD38+BK38+BR38,IF($CL$4="NOVIEMBRE",G38+N38+U38+AB38+AI38+AP38+AW38+BD38+BK38+BR38+BY38,IF($CL$4="DICIEMBRE",G38+N38+U38+AB38+AI38+AP38+AW38+BD38+BK38+BR38+BY38+CF38,""))))))))))))</f>
        <v>0</v>
      </c>
      <c r="CN38" s="109">
        <f t="shared" si="176"/>
        <v>0</v>
      </c>
      <c r="CO38" s="86">
        <f>IFERROR(IF($CL$4="ENERO",I38,IF($CL$4="FEBRERO",I38+P38,IF($CL$4="MARZO",I38+P38+W38,IF($CL$4="ABRIL",I38+P38+W38+AD38,IF($CL$4="MAYO",I38+P38+W38+AD38+AK38,IF($CL$4="JUNIO",I38+P38+W38+AD38+AK38+AR38,IF($CL$4="JULIO",I38+P38+W38+AD38+AK38+AR38+AY38,IF($CL$4="AGOSTO",I38+P38+W38+AD38+AK38+AR38+AY38+BF38,IF($CL$4="SEPTIEMBRE",I38+P38+W38+AD38+AK38+AR38+AY38+BF38+BM38,IF($CL$4="OCTUBRE",I38+P38+W38+AD38+AK38+AR38+AY38+BF38+BM38+BT38,IF($CL$4="NOVIEMBRE",I38+P38+W38+AD38+AK38+AR38+AY38+BF38+BM38+BT38+CA38,IF($CL$4="DICIEMBRE",I38+P38+W38+AD38+AK38+AR38+AY38+BF38+BM38+BT38+CA38+CH38,"")))))))))))),0)</f>
        <v>0</v>
      </c>
      <c r="CP38" s="297" t="str">
        <f>IFERROR(IF(CM38=0,"N.D.",CO38/CM38),0)</f>
        <v>N.D.</v>
      </c>
      <c r="CQ38" s="348">
        <f>IFERROR(IF($CL$4="ENERO",K38,
IF($CL$4="FEBRERO",K38+R38,
IF($CL$4="MARZO",K38+R38+Y38,
IF($CL$4="ABRIL",K38+R38+Y38+AF38,
IF($CL$4="MAYO",K38+R38+Y38+AF38+AM38,
IF($CL$4="JUNIO",K38+R38+Y38+AF38+AM38+AT38,
IF($CL$4="JULIO",K38+R38+Y38+AF38+AM38+AT38+BA38,
IF($CL$4="AGOSTO",K38+R38+Y38+AF38+AM38+AT38+BA38+BH38,
IF($CL$4="SEPTIEMBRE",K38+R38+Y38+AF38+AM38+AT38+BA38+BH38+BO38,
IF($CL$4="OCTUBRE",K38+R38+Y38+AF38+AM38+AT38+BA38+BH38+BO38+BV38,
IF($CL$4="NOVIEMBRE",K38+R38+Y38+AF38+AM38+AT38+BA38+BH38+BO38+BV38+CC38,
IF($CL$4="DICIEMBRE",K38+R38+Y38+AF38+AM38+AT38+BA38+BH38+BO38+BV38+CC38+CJ38,"")))))))))))),0)</f>
        <v>0</v>
      </c>
      <c r="CR38" s="149">
        <f t="shared" si="177"/>
        <v>0</v>
      </c>
      <c r="CS38" s="54">
        <f>+F38+M38+T38+AA38+AH38+AO38++AV38+BC38+BJ38+BQ38+BX38+CE38</f>
        <v>6</v>
      </c>
      <c r="CT38" s="86">
        <f>SUMIFS($F38:$CI38,$F$6:$CI$6,CT$6,$F$2:$CI$2,$CL$4)</f>
        <v>0</v>
      </c>
      <c r="CU38" s="109">
        <f>IFERROR((CT38/CS38),0)</f>
        <v>0</v>
      </c>
      <c r="CV38" s="86">
        <f>IFERROR(I38+P38+W38+AD38+AK38+AR38+AY38+BF38+BM38+BT38+CA38+CH38,0)</f>
        <v>0</v>
      </c>
      <c r="CW38" s="297" t="str">
        <f>IF(CT38=0,"N.D.",CV38/CT38)</f>
        <v>N.D.</v>
      </c>
      <c r="CX38" s="348">
        <f>IFERROR(K38+R38+Y38+AF38+AM38+AT38+BA38+BH38+BO38+BV38+CC38+CJ38,0)</f>
        <v>0</v>
      </c>
      <c r="CY38" s="149">
        <f t="shared" si="178"/>
        <v>0</v>
      </c>
      <c r="CZ38" s="54">
        <f>IF($CZ$5="Q1",F38+M38+T38,
IF($CZ$5="Q2",AA38+AH38++AO38,
IF($CZ$5="Q3",AV38+BC38+BJ38,
IF($CZ$5="Q4",BQ38+BX38+CE38,0))))</f>
        <v>0</v>
      </c>
      <c r="DA38" s="86">
        <f>IF($CZ$5="Q1",G38+N38+U38,
IF($CZ$5="Q2",AB38+AI38++AP38,
IF($CZ$5="Q3",AW38+BD38+BK38,
IF($CZ$5="Q4",BR38+BY38+CF38,0))))</f>
        <v>0</v>
      </c>
      <c r="DB38" s="109">
        <f t="shared" si="179"/>
        <v>0</v>
      </c>
      <c r="DC38" s="86">
        <f>IFERROR(IF($CZ$5="Q1",I38+P38+W38,
IF($CZ$5="Q2",AD38+AK38++AR38,
IF($CZ$5="Q3",AY38+BF38+BM38,
IF($CZ$5="Q4",BT38+CA38+CH38,0)))),0)</f>
        <v>0</v>
      </c>
      <c r="DD38" s="297" t="str">
        <f>IF(DA38=0,"N.D.",DC38/DA38)</f>
        <v>N.D.</v>
      </c>
      <c r="DE38" s="348">
        <f>IFERROR(IF($CZ$5="Q1",K38+R38+Y38,
IF($CZ$5="Q2",AF38+AM38+AT38,
IF($CZ$5="Q3",BA38+BH38+BO38,
IF($CZ$5="Q4",BV38+CC38+CJ38,0)))),0)</f>
        <v>0</v>
      </c>
      <c r="DF38" s="150">
        <f t="shared" si="180"/>
        <v>0</v>
      </c>
      <c r="DG38" s="54">
        <f>IF($DG$5="S 1",F38+M38+T38+AA38+AH38+AO38,
IF($DG$5="S 2",AV38+BC38+BJ38+BQ38+BX38+CE38,0))</f>
        <v>0</v>
      </c>
      <c r="DH38" s="86">
        <f>IF($DG$5="S 1",G38+N38+U38+AB38+AI38+AP38,
IF($DG$5="S 2",AW38+BD38+BK38+BR38+BY38+CF38,0))</f>
        <v>0</v>
      </c>
      <c r="DI38" s="109">
        <f t="shared" si="181"/>
        <v>0</v>
      </c>
      <c r="DJ38" s="86">
        <f>IFERROR(IF($DG$5="S 1",I38+P38+W38+AD38+AK38++AR38,
IF($DG$5="S 2",AY38+BF38+BM38+BT38+CA38+CH38,0)),0)</f>
        <v>0</v>
      </c>
      <c r="DK38" s="297" t="str">
        <f t="shared" si="182"/>
        <v>N.D.</v>
      </c>
      <c r="DL38" s="348">
        <f>IFERROR(IF($DG$5="S 1",K38+R38+Y38+AF38+AM38+AT38,
IF($DG$5="S 2",BA38+BH38+BO38+BV38+CC38+CJ38,0)),0)</f>
        <v>0</v>
      </c>
      <c r="DM38" s="150">
        <f t="shared" si="183"/>
        <v>0</v>
      </c>
      <c r="DN38" s="67"/>
      <c r="DO38" s="266"/>
      <c r="DP38" s="109"/>
      <c r="DQ38" s="68"/>
      <c r="DR38" s="297"/>
      <c r="DS38" s="350"/>
      <c r="DT38" s="150"/>
      <c r="DX38" s="53">
        <v>20</v>
      </c>
      <c r="DY38" s="53">
        <v>19</v>
      </c>
      <c r="DZ38" s="513">
        <v>1</v>
      </c>
      <c r="EB38" s="513">
        <v>0.91666666666666663</v>
      </c>
      <c r="EC38" s="53">
        <v>3</v>
      </c>
      <c r="ED38" s="513">
        <v>0.15</v>
      </c>
    </row>
    <row r="39" spans="1:134" s="53" customFormat="1" ht="16" customHeight="1" x14ac:dyDescent="0.3">
      <c r="A39" s="53">
        <f>_xlfn.XLOOKUP(B39,'UC MINI 2026'!$B$5:$B$61,'UC MINI 2026'!$A$5:$A$61)</f>
        <v>6</v>
      </c>
      <c r="B39" s="179">
        <v>100727</v>
      </c>
      <c r="C39" s="381" t="s">
        <v>21</v>
      </c>
      <c r="D39" s="146"/>
      <c r="E39" s="309" t="s">
        <v>93</v>
      </c>
      <c r="F39" s="54">
        <f>SUMIF('UC MINI 2026'!$B$5:$B$71,'UC MINI 2026 MINI NEXT'!$B39,'UC MINI 2026'!$F$5:$F$71)</f>
        <v>2</v>
      </c>
      <c r="G39" s="86">
        <f>SUMIF('UC MINI 2026'!$B$5:$B$71,'UC MINI 2026 MINI NEXT'!$B39,'UC MINI 2026'!$G$5:$G$71)</f>
        <v>3</v>
      </c>
      <c r="H39" s="297">
        <f>IFERROR(G39/F39,0)</f>
        <v>1.5</v>
      </c>
      <c r="I39" s="86">
        <f>IFERROR(VLOOKUP(B39,[2]BPS!$S$10:$AF$64,3,0),0)-IF(B39=100873,IFERROR(VLOOKUP("Enero",[2]BPS!$S$74:$T$89,2,0),0),0)</f>
        <v>3</v>
      </c>
      <c r="J39" s="297">
        <f>IFERROR(I39/G39,0)</f>
        <v>1</v>
      </c>
      <c r="K39" s="86">
        <f>IFERROR(VLOOKUP(B39,'[2]RETAIL ORIGEN RMKT'!$S$11:$AF$62,3,0),0)</f>
        <v>0</v>
      </c>
      <c r="L39" s="150">
        <f>IFERROR(K39/F39,0)</f>
        <v>0</v>
      </c>
      <c r="M39" s="79">
        <f>SUMIF('UC MINI 2026'!$B$5:$B$61,'UC MINI 2026 MINI NEXT'!$B39,'UC MINI 2026'!$H$5:$H$61)</f>
        <v>2</v>
      </c>
      <c r="N39" s="86">
        <f>SUMIF('UC MINI 2026'!$B$5:$B$61,'UC MINI 2026 MINI NEXT'!$B39,'UC MINI 2026'!$I$5:$I$61)</f>
        <v>5</v>
      </c>
      <c r="O39" s="297">
        <f t="shared" si="165"/>
        <v>2.5</v>
      </c>
      <c r="P39" s="86">
        <f>IFERROR(VLOOKUP(B39,[2]BPS!$S$10:$AF$64,4,0),0)-IF(B39=100873,IFERROR(VLOOKUP("FEBRERO",[2]BPS!$S$74:$T$89,2,0),0),0)</f>
        <v>4</v>
      </c>
      <c r="Q39" s="297">
        <f t="shared" si="188"/>
        <v>0.8</v>
      </c>
      <c r="R39" s="86">
        <f>IFERROR(VLOOKUP(B39,'[2]RETAIL ORIGEN RMKT'!$S$11:$AF$62,4,0),0)</f>
        <v>0</v>
      </c>
      <c r="S39" s="150">
        <f t="shared" si="189"/>
        <v>0</v>
      </c>
      <c r="T39" s="148">
        <f>SUMIF('UC MINI 2026'!$B$5:$B$71,'UC MINI 2026 MINI NEXT'!$B39,'UC MINI 2026'!$J$5:$J$71)</f>
        <v>3</v>
      </c>
      <c r="U39" s="86">
        <f>SUMIF('UC MINI 2026'!$B$10:$B$61,'UC MINI 2026 MINI NEXT'!$B39,'UC MINI 2026'!$K$10:$K$61)</f>
        <v>1</v>
      </c>
      <c r="V39" s="297">
        <f t="shared" si="166"/>
        <v>0.33333333333333331</v>
      </c>
      <c r="W39" s="86">
        <f>IFERROR(VLOOKUP(B39,[2]BPS!$S$10:$AF$64,5,0),0)-IF(B39=100873,IFERROR(VLOOKUP("MARZO",[2]BPS!$S$74:$T$89,2,0),0),0)</f>
        <v>1</v>
      </c>
      <c r="X39" s="297">
        <f t="shared" si="190"/>
        <v>1</v>
      </c>
      <c r="Y39" s="86">
        <f>IFERROR(VLOOKUP(B39,'[2]RETAIL ORIGEN RMKT'!$S$11:$AF$62,5,0),0)</f>
        <v>0</v>
      </c>
      <c r="Z39" s="150">
        <f t="shared" si="191"/>
        <v>0</v>
      </c>
      <c r="AA39" s="148">
        <f>SUMIF('UC MINI 2026'!$B$5:$B$61,'UC MINI 2026 MINI NEXT'!$B39,'UC MINI 2026'!$L$5:$L$61)</f>
        <v>2</v>
      </c>
      <c r="AB39" s="86">
        <f>SUMIF('UC MINI 2026'!$B$5:$B$61,'UC MINI 2026 MINI NEXT'!$B39,'UC MINI 2026'!$M$5:$M$61)</f>
        <v>2</v>
      </c>
      <c r="AC39" s="297">
        <f t="shared" si="167"/>
        <v>1</v>
      </c>
      <c r="AD39" s="86">
        <f>IFERROR(VLOOKUP(B39,[2]BPS!$S$10:$AF$64,6,0),0)-IF(B39=100873,IFERROR(VLOOKUP("ABRIL",[2]BPS!$S$74:$T$89,2,0),0),0)</f>
        <v>2</v>
      </c>
      <c r="AE39" s="285">
        <f t="shared" si="192"/>
        <v>1</v>
      </c>
      <c r="AF39" s="86">
        <f>IFERROR(VLOOKUP(B39,'[2]RETAIL ORIGEN RMKT'!$S$11:$AF$62,6,0),0)</f>
        <v>0</v>
      </c>
      <c r="AG39" s="150">
        <f t="shared" si="193"/>
        <v>0</v>
      </c>
      <c r="AH39" s="148">
        <f>SUMIF('UC MINI 2026'!$B$5:$B$61,'UC MINI 2026 MINI NEXT'!$B39,'UC MINI 2026'!$N$5:$N$61)</f>
        <v>3</v>
      </c>
      <c r="AI39" s="86">
        <f>SUMIF('UC MINI 2026'!$B$5:$B$61,'UC MINI 2026 MINI NEXT'!$B39,'UC MINI 2026'!$O$5:$O$61)</f>
        <v>3</v>
      </c>
      <c r="AJ39" s="297">
        <f t="shared" si="168"/>
        <v>1</v>
      </c>
      <c r="AK39" s="86">
        <f>IFERROR(VLOOKUP(B39,[2]BPS!$S$10:$AF$64,7,0),0)-IF(B39=100873,IFERROR(VLOOKUP("MAYO",[2]BPS!$S$74:$T$89,2,0),0),0)</f>
        <v>2</v>
      </c>
      <c r="AL39" s="285">
        <f t="shared" si="194"/>
        <v>0.66666666666666663</v>
      </c>
      <c r="AM39" s="86">
        <f>IFERROR(VLOOKUP(B39,'[2]RETAIL ORIGEN RMKT'!$S$11:$AF$62,7,0),0)</f>
        <v>1</v>
      </c>
      <c r="AN39" s="150">
        <f t="shared" si="195"/>
        <v>0.33333333333333331</v>
      </c>
      <c r="AO39" s="148">
        <f>SUMIF('UC MINI 2026'!$B$5:$B$61,'UC MINI 2026 MINI NEXT'!$B39,'UC MINI 2026'!$P$5:$P$61)</f>
        <v>3</v>
      </c>
      <c r="AP39" s="86">
        <f>SUMIF('UC MINI 2026'!$B$5:$B$61,'UC MINI 2026 MINI NEXT'!$B39,'UC MINI 2026'!$Q$5:$Q$61)</f>
        <v>1</v>
      </c>
      <c r="AQ39" s="297">
        <f t="shared" si="169"/>
        <v>0.33333333333333331</v>
      </c>
      <c r="AR39" s="86">
        <f>IFERROR(VLOOKUP(B39,[2]BPS!$S$10:$AF$64,8,0),0)-IF(B39=100873,IFERROR(VLOOKUP("JUNIO",[2]BPS!$S$74:$T$89,2,0),0),0)</f>
        <v>1</v>
      </c>
      <c r="AS39" s="285">
        <f t="shared" si="196"/>
        <v>1</v>
      </c>
      <c r="AT39" s="86">
        <f>IFERROR(VLOOKUP(B39,'[2]RETAIL ORIGEN RMKT'!$S$11:$AF$62,8,0),0)</f>
        <v>0</v>
      </c>
      <c r="AU39" s="150">
        <f t="shared" si="197"/>
        <v>0</v>
      </c>
      <c r="AV39" s="148">
        <f>SUMIF('UC MINI 2026'!$B$5:$B$61,'UC MINI 2026 MINI NEXT'!$B39,'UC MINI 2026'!$R$5:$R$61)</f>
        <v>0</v>
      </c>
      <c r="AW39" s="86">
        <f>SUMIF('UC MINI 2026'!$B$5:$B$61,'UC MINI 2026 MINI NEXT'!$B39,'UC MINI 2026'!$S$5:$S$61)</f>
        <v>0</v>
      </c>
      <c r="AX39" s="297">
        <f t="shared" si="170"/>
        <v>0</v>
      </c>
      <c r="AY39" s="86">
        <f>IFERROR(VLOOKUP(B39,[2]BPS!$S$10:$AF$64,9,0),0)-IF(B39=100873,IFERROR(VLOOKUP("JULIO",[2]BPS!$S$74:$T$89,2,0),0),0)</f>
        <v>0</v>
      </c>
      <c r="AZ39" s="285">
        <f t="shared" si="198"/>
        <v>0</v>
      </c>
      <c r="BA39" s="86">
        <f>IFERROR(VLOOKUP(I39,'[2]RETAIL ORIGEN RMKT'!$S$11:$AF$62,9,0),0)</f>
        <v>0</v>
      </c>
      <c r="BB39" s="150">
        <f t="shared" si="199"/>
        <v>0</v>
      </c>
      <c r="BC39" s="148">
        <f>SUMIF('UC MINI 2026'!$B$5:$B$61,'UC MINI 2026 MINI NEXT'!$B39,'UC MINI 2026'!$T$5:$T$61)</f>
        <v>0</v>
      </c>
      <c r="BD39" s="86">
        <f>SUMIF('UC MINI 2026'!$B$5:$B$61,'UC MINI 2026 MINI NEXT'!$B39,'UC MINI 2026'!$U$5:$U$61)</f>
        <v>0</v>
      </c>
      <c r="BE39" s="297">
        <f t="shared" si="171"/>
        <v>0</v>
      </c>
      <c r="BF39" s="86">
        <f>IFERROR(VLOOKUP(B39,[2]BPS!$S$10:$AF$64,10,0),0)-IF(B39=100873,IFERROR(VLOOKUP("AGOSTO",[2]BPS!$S$74:$T$89,2,0),0),0)</f>
        <v>0</v>
      </c>
      <c r="BG39" s="285">
        <f t="shared" si="200"/>
        <v>0</v>
      </c>
      <c r="BH39" s="86">
        <f>IFERROR(VLOOKUP(P39,'[2]RETAIL ORIGEN RMKT'!$S$11:$AF$62,10,0),0)</f>
        <v>0</v>
      </c>
      <c r="BI39" s="150">
        <f t="shared" si="201"/>
        <v>0</v>
      </c>
      <c r="BJ39" s="148">
        <f>SUMIF('UC MINI 2026'!$B$5:$B$61,'UC MINI 2026 MINI NEXT'!$B39,'UC MINI 2026'!$V$5:$V$61)</f>
        <v>0</v>
      </c>
      <c r="BK39" s="86">
        <f>SUMIF('UC MINI 2026'!$B$5:$B$61,'UC MINI 2026 MINI NEXT'!$B39,'UC MINI 2026'!$W$5:$W$61)</f>
        <v>0</v>
      </c>
      <c r="BL39" s="297">
        <f t="shared" si="172"/>
        <v>0</v>
      </c>
      <c r="BM39" s="86">
        <f>IFERROR(VLOOKUP(B39,[2]BPS!$S$10:$AF$64,11,0),0)-IF(B39=100873,IFERROR(VLOOKUP("SEPTIEMBRE",[2]BPS!$S$74:$T$89,2,0),0),0)</f>
        <v>0</v>
      </c>
      <c r="BN39" s="285">
        <f t="shared" si="202"/>
        <v>0</v>
      </c>
      <c r="BO39" s="86">
        <f>IFERROR(VLOOKUP(W39,'[2]RETAIL ORIGEN RMKT'!$S$11:$AF$62,11,0),0)</f>
        <v>0</v>
      </c>
      <c r="BP39" s="150">
        <f t="shared" si="203"/>
        <v>0</v>
      </c>
      <c r="BQ39" s="148">
        <f>SUMIF('UC MINI 2026'!$B$5:$B$61,'UC MINI 2026 MINI NEXT'!$B39,'UC MINI 2026'!$V$5:$V$61)</f>
        <v>0</v>
      </c>
      <c r="BR39" s="86">
        <f>SUMIF('UC MINI 2026'!$B$5:$B$61,'UC MINI 2026 MINI NEXT'!$B39,'UC MINI 2026'!$Y$5:$Y$61)</f>
        <v>0</v>
      </c>
      <c r="BS39" s="297">
        <f t="shared" si="173"/>
        <v>0</v>
      </c>
      <c r="BT39" s="86">
        <f>IFERROR(VLOOKUP(B39,[2]BPS!$S$10:$AF$64,12,0),0)-IF(B39=100873,IFERROR(VLOOKUP("OCTUBRE",[2]BPS!$S$74:$T$89,2,0),0),0)</f>
        <v>0</v>
      </c>
      <c r="BU39" s="285">
        <f t="shared" si="204"/>
        <v>0</v>
      </c>
      <c r="BV39" s="86">
        <f>IFERROR(VLOOKUP(AD39,'[2]RETAIL ORIGEN RMKT'!$S$11:$AF$62,12,0),0)</f>
        <v>0</v>
      </c>
      <c r="BW39" s="150">
        <f t="shared" si="205"/>
        <v>0</v>
      </c>
      <c r="BX39" s="148">
        <f>SUMIF('UC MINI 2026'!$B$5:$B$61,'UC MINI 2026 MINI NEXT'!$B39,'UC MINI 2026'!$V$5:$V$61)</f>
        <v>0</v>
      </c>
      <c r="BY39" s="86">
        <f>SUMIF('UC MINI 2026'!$B$5:$B$61,'UC MINI 2026 MINI NEXT'!$B39,'UC MINI 2026'!$AA$5:$AA$61)</f>
        <v>0</v>
      </c>
      <c r="BZ39" s="297">
        <f t="shared" si="174"/>
        <v>0</v>
      </c>
      <c r="CA39" s="86">
        <f>IFERROR(VLOOKUP(B39,[2]BPS!$S$10:$AF$64,13,0),0)-IF(B39=100873,IFERROR(VLOOKUP("NOVIEMBRE",[2]BPS!$S$74:$T$89,2,0),0),0)</f>
        <v>0</v>
      </c>
      <c r="CB39" s="285">
        <f t="shared" si="206"/>
        <v>0</v>
      </c>
      <c r="CC39" s="86">
        <f>IFERROR(VLOOKUP(AK39,'[2]RETAIL ORIGEN RMKT'!$S$11:$AF$62,13,0),0)</f>
        <v>0</v>
      </c>
      <c r="CD39" s="150">
        <f t="shared" si="207"/>
        <v>0</v>
      </c>
      <c r="CE39" s="148">
        <f>SUMIF('UC MINI 2026'!$B$5:$B$61,'UC MINI 2026 MINI NEXT'!$B39,'UC MINI 2026'!$V$5:$V$61)</f>
        <v>0</v>
      </c>
      <c r="CF39" s="86">
        <f>SUMIF('UC MINI 2026'!$B$5:$B$61,'UC MINI 2026 MINI NEXT'!$B39,'UC MINI 2026'!$AC$5:$AC$61)</f>
        <v>0</v>
      </c>
      <c r="CG39" s="297">
        <f t="shared" si="175"/>
        <v>0</v>
      </c>
      <c r="CH39" s="86">
        <f>IFERROR(VLOOKUP(B39,[2]BPS!$S$10:$AF$64,14,0),0)-IF(B39=100873,IFERROR(VLOOKUP("DICIEMBRE",[2]BPS!$S$74:$T$89,2,0),0),0)</f>
        <v>0</v>
      </c>
      <c r="CI39" s="285">
        <f t="shared" si="208"/>
        <v>0</v>
      </c>
      <c r="CJ39" s="86">
        <f>IFERROR(VLOOKUP(AR39,'[2]RETAIL ORIGEN RMKT'!$S$11:$AF$62,14,0),0)</f>
        <v>0</v>
      </c>
      <c r="CK39" s="150">
        <f t="shared" si="209"/>
        <v>0</v>
      </c>
      <c r="CL39" s="54">
        <f t="shared" ref="CL39:CM41" si="213">IF($CL$4="ENERO",F39,IF($CL$4="FEBRERO",F39+M39,IF($CL$4="MARZO",F39+M39+T39,IF($CL$4="ABRIL",F39+M39+T39+AA39,IF($CL$4="MAYO",F39+M39+T39+AA39+AH39,IF($CL$4="JUNIO",F39+M39+T39+AA39+AH39+AO39,IF($CL$4="JULIO",F39+M39+T39+AA39+AH39+AO39+AV39,IF($CL$4="AGOSTO",F39+M39+T39+AA39+AH39+AO39+AV39+BC39,IF($CL$4="SEPTIEMBRE",F39+M39+T39+AA39+AH39+AO39+AV39+BC39+BJ39,IF($CL$4="OCTUBRE",F39+M39+T39+AA39+AH39+AO39+AV39+BC39+BJ39+BQ39,IF($CL$4="NOVIEMBRE",F39+M39+T39+AA39+AH39+AO39+AV39+BC39+BJ39+BQ39+BX39,IF($CL$4="DICIEMBRE",F39+M39+T39+AA39+AH39+AO39+AV39+BC39+BJ39+BQ39+BX39+CE39,""))))))))))))</f>
        <v>15</v>
      </c>
      <c r="CM39" s="86">
        <f t="shared" si="213"/>
        <v>15</v>
      </c>
      <c r="CN39" s="109">
        <f t="shared" si="176"/>
        <v>1</v>
      </c>
      <c r="CO39" s="86">
        <f>IF($CL$4="ENERO",I39,IF($CL$4="FEBRERO",I39+P39,IF($CL$4="MARZO",I39+P39+W39,IF($CL$4="ABRIL",I39+P39+W39+AD39,IF($CL$4="MAYO",I39+P39+W39+AD39+AK39,IF($CL$4="JUNIO",I39+P39+W39+AD39+AK39+AR39,IF($CL$4="JULIO",I39+P39+W39+AD39+AK39+AR39+AY39,IF($CL$4="AGOSTO",I39+P39+W39+AD39+AK39+AR39+AY39+BF39,IF($CL$4="SEPTIEMBRE",I39+P39+W39+AD39+AK39+AR39+AY39+BF39+BM39,IF($CL$4="OCTUBRE",I39+P39+W39+AD39+AK39+AR39+AY39+BF39+BM39+BT39,IF($CL$4="NOVIEMBRE",I39+P39+W39+AD39+AK39+AR39+AY39+BF39+BM39+BT39+CA39,IF($CL$4="DICIEMBRE",I39+P39+W39+AD39+AK39+AR39+AY39+BF39+BM39+BT39+CA39+CH39,""))))))))))))</f>
        <v>13</v>
      </c>
      <c r="CP39" s="297">
        <f>IFERROR(IF(CM39=0,"N.D.",CO39/CM39),0)</f>
        <v>0.8666666666666667</v>
      </c>
      <c r="CQ39" s="348">
        <f>IFERROR(IF($CL$4="ENERO",K39,
IF($CL$4="FEBRERO",K39+R39,
IF($CL$4="MARZO",K39+R39+Y39,
IF($CL$4="ABRIL",K39+R39+Y39+AF39,
IF($CL$4="MAYO",K39+R39+Y39+AF39+AM39,
IF($CL$4="JUNIO",K39+R39+Y39+AF39+AM39+AT39,
IF($CL$4="JULIO",K39+R39+Y39+AF39+AM39+AT39+BA39,
IF($CL$4="AGOSTO",K39+R39+Y39+AF39+AM39+AT39+BA39+BH39,
IF($CL$4="SEPTIEMBRE",K39+R39+Y39+AF39+AM39+AT39+BA39+BH39+BO39,
IF($CL$4="OCTUBRE",K39+R39+Y39+AF39+AM39+AT39+BA39+BH39+BO39+BV39,
IF($CL$4="NOVIEMBRE",K39+R39+Y39+AF39+AM39+AT39+BA39+BH39+BO39+BV39+CC39,
IF($CL$4="DICIEMBRE",K39+R39+Y39+AF39+AM39+AT39+BA39+BH39+BO39+BV39+CC39+CJ39,"")))))))))))),0)</f>
        <v>1</v>
      </c>
      <c r="CR39" s="149">
        <f t="shared" si="177"/>
        <v>6.6666666666666666E-2</v>
      </c>
      <c r="CS39" s="54">
        <f>+F39+M39+T39+AA39+AH39+AO39++AV39+BC39+BJ39+BQ39+BX39+CE39</f>
        <v>15</v>
      </c>
      <c r="CT39" s="86">
        <f>SUMIFS($F39:$CI39,$F$6:$CI$6,CT$6,$F$2:$CI$2,$CL$4)</f>
        <v>15</v>
      </c>
      <c r="CU39" s="109">
        <f>IFERROR((CT39/CS39),0)</f>
        <v>1</v>
      </c>
      <c r="CV39" s="68">
        <f>IFERROR(I39+P39+W39+AD39+AK39+AR39+AY39+BF39+BM39+BT39+CA39+CH39,0)</f>
        <v>13</v>
      </c>
      <c r="CW39" s="297">
        <f>IF(CT39=0,"N.D.",CV39/CT39)</f>
        <v>0.8666666666666667</v>
      </c>
      <c r="CX39" s="350">
        <f>IFERROR(K39+R39+Y39+AF39+AM39+AT39+BA39+BH39+BO39+BV39+CC39+CJ39,0)</f>
        <v>1</v>
      </c>
      <c r="CY39" s="149">
        <f t="shared" si="178"/>
        <v>6.6666666666666666E-2</v>
      </c>
      <c r="CZ39" s="54">
        <f t="shared" ref="CZ39:DA41" si="214">IF($CZ$5="Q1",F39+M39+T39,
IF($CZ$5="Q2",AA39+AH39++AO39,
IF($CZ$5="Q3",AV39+BC39+BJ39,
IF($CZ$5="Q4",BQ39+BX39+CE39,0))))</f>
        <v>7</v>
      </c>
      <c r="DA39" s="86">
        <f t="shared" si="214"/>
        <v>9</v>
      </c>
      <c r="DB39" s="109">
        <f t="shared" si="179"/>
        <v>1.2857142857142858</v>
      </c>
      <c r="DC39" s="68">
        <f>IFERROR(IF($CZ$5="Q1",I39+P39+W39,
IF($CZ$5="Q2",AD39+AK39++AR39,
IF($CZ$5="Q3",AY39+BF39+BM39,
IF($CZ$5="Q4",BT39+CA39+CH39,0)))),0)</f>
        <v>8</v>
      </c>
      <c r="DD39" s="297">
        <f>IF(DA39=0,"N.D.",DC39/DA39)</f>
        <v>0.88888888888888884</v>
      </c>
      <c r="DE39" s="350">
        <f>IFERROR(IF($CZ$5="Q1",K39+R39+Y39,
IF($CZ$5="Q2",AF39+AM39+AT39,
IF($CZ$5="Q3",BA39+BH39+BO39,
IF($CZ$5="Q4",BV39+CC39+CJ39,0)))),0)</f>
        <v>0</v>
      </c>
      <c r="DF39" s="150">
        <f t="shared" si="180"/>
        <v>0</v>
      </c>
      <c r="DG39" s="54">
        <f t="shared" ref="DG39:DH41" si="215">IF($DG$5="S 1",F39+M39+T39+AA39+AH39+AO39,
IF($DG$5="S 2",AV39+BC39+BJ39+BQ39+BX39+CE39,0))</f>
        <v>15</v>
      </c>
      <c r="DH39" s="86">
        <f t="shared" si="215"/>
        <v>15</v>
      </c>
      <c r="DI39" s="109">
        <f t="shared" si="181"/>
        <v>1</v>
      </c>
      <c r="DJ39" s="68">
        <f>IFERROR(IF($DG$5="S 1",I39+P39+W39+AD39+AK39++AR39,
IF($DG$5="S 2",AY39+BF39+BM39+BT39+CA39+CH39,0)),0)</f>
        <v>13</v>
      </c>
      <c r="DK39" s="297">
        <f t="shared" si="182"/>
        <v>0.8666666666666667</v>
      </c>
      <c r="DL39" s="350">
        <f>IFERROR(IF($DG$5="S 1",K39+R39+Y39+AF39+AM39+AT39,
IF($DG$5="S 2",BA39+BH39+BO39+BV39+CC39+CJ39,0)),0)</f>
        <v>1</v>
      </c>
      <c r="DM39" s="150">
        <f t="shared" si="183"/>
        <v>6.6666666666666666E-2</v>
      </c>
      <c r="DN39" s="67">
        <f t="shared" si="212"/>
        <v>0</v>
      </c>
      <c r="DO39" s="266">
        <f t="shared" si="212"/>
        <v>0</v>
      </c>
      <c r="DP39" s="109">
        <f t="shared" ref="DP39:DP49" si="216">IFERROR((DO39/DN39),0)</f>
        <v>0</v>
      </c>
      <c r="DQ39" s="68">
        <f>IFERROR(IF($DN$5="S 1",I39+P39+W39+AD39+AK39++AR39,
IF($DN$5="S 2",AY39+BF39+BM39+BT39+CA39+CH39,0)),0)</f>
        <v>0</v>
      </c>
      <c r="DR39" s="297" t="str">
        <f t="shared" ref="DR39:DR49" si="217">IF(DO39=0,"N.D.",DQ39/DO39)</f>
        <v>N.D.</v>
      </c>
      <c r="DS39" s="350">
        <f>IFERROR(IF($DN$5="S 1",K39+R39+Y39+AF39+AM39+AT39,
IF($DN$5="S 2",BA39+BH39+BO39+BV39+CC39+CJ39,0)),0)</f>
        <v>0</v>
      </c>
      <c r="DT39" s="150">
        <f t="shared" ref="DT39:DT49" si="218">IFERROR((DS39/DN39),0)</f>
        <v>0</v>
      </c>
      <c r="DU39" s="53">
        <v>1</v>
      </c>
      <c r="DX39" s="53">
        <v>20</v>
      </c>
      <c r="DY39" s="53">
        <v>19</v>
      </c>
      <c r="DZ39" s="513">
        <v>1</v>
      </c>
      <c r="EB39" s="513">
        <v>0.90909090909090906</v>
      </c>
      <c r="EC39" s="53">
        <v>3</v>
      </c>
      <c r="ED39" s="513">
        <v>0.11764705882352941</v>
      </c>
    </row>
    <row r="40" spans="1:134" s="53" customFormat="1" ht="16" customHeight="1" x14ac:dyDescent="0.3">
      <c r="A40" s="53">
        <f>_xlfn.XLOOKUP(B40,'UC MINI 2026'!$B$5:$B$61,'UC MINI 2026'!$A$5:$A$61)</f>
        <v>6</v>
      </c>
      <c r="B40" s="179">
        <v>100728</v>
      </c>
      <c r="C40" s="381" t="s">
        <v>24</v>
      </c>
      <c r="D40" s="146"/>
      <c r="E40" s="309" t="s">
        <v>94</v>
      </c>
      <c r="F40" s="54">
        <f>SUMIF('UC MINI 2026'!$B$5:$B$71,'UC MINI 2026 MINI NEXT'!$B40,'UC MINI 2026'!$F$5:$F$71)</f>
        <v>9</v>
      </c>
      <c r="G40" s="86">
        <f>SUMIF('UC MINI 2026'!$B$5:$B$71,'UC MINI 2026 MINI NEXT'!$B40,'UC MINI 2026'!$G$5:$G$71)</f>
        <v>5</v>
      </c>
      <c r="H40" s="297">
        <f>IFERROR(G40/F40,0)</f>
        <v>0.55555555555555558</v>
      </c>
      <c r="I40" s="86">
        <f>IFERROR(VLOOKUP(B40,[2]BPS!$S$10:$AF$64,3,0),0)-IF(B40=100873,IFERROR(VLOOKUP("Enero",[2]BPS!$S$74:$T$89,2,0),0),0)</f>
        <v>5</v>
      </c>
      <c r="J40" s="297">
        <f>IFERROR(I40/G40,0)</f>
        <v>1</v>
      </c>
      <c r="K40" s="86">
        <f>IFERROR(VLOOKUP(B40,'[2]RETAIL ORIGEN RMKT'!$S$11:$AF$62,3,0),0)</f>
        <v>0</v>
      </c>
      <c r="L40" s="150">
        <f>IFERROR(K40/F40,0)</f>
        <v>0</v>
      </c>
      <c r="M40" s="79">
        <f>SUMIF('UC MINI 2026'!$B$5:$B$61,'UC MINI 2026 MINI NEXT'!$B40,'UC MINI 2026'!$H$5:$H$61)</f>
        <v>9</v>
      </c>
      <c r="N40" s="86">
        <f>SUMIF('UC MINI 2026'!$B$5:$B$61,'UC MINI 2026 MINI NEXT'!$B40,'UC MINI 2026'!$I$5:$I$61)</f>
        <v>16</v>
      </c>
      <c r="O40" s="297">
        <f t="shared" si="165"/>
        <v>1.7777777777777777</v>
      </c>
      <c r="P40" s="86">
        <f>IFERROR(VLOOKUP(B40,[2]BPS!$S$10:$AF$64,4,0),0)-IF(B40=100873,IFERROR(VLOOKUP("FEBRERO",[2]BPS!$S$74:$T$89,2,0),0),0)</f>
        <v>16</v>
      </c>
      <c r="Q40" s="297">
        <f t="shared" si="188"/>
        <v>1</v>
      </c>
      <c r="R40" s="86">
        <f>IFERROR(VLOOKUP(B40,'[2]RETAIL ORIGEN RMKT'!$S$11:$AF$62,4,0),0)</f>
        <v>3</v>
      </c>
      <c r="S40" s="150">
        <f t="shared" si="189"/>
        <v>0.33333333333333331</v>
      </c>
      <c r="T40" s="148">
        <f>SUMIF('UC MINI 2026'!$B$5:$B$71,'UC MINI 2026 MINI NEXT'!$B40,'UC MINI 2026'!$J$5:$J$71)</f>
        <v>9</v>
      </c>
      <c r="U40" s="86">
        <f>SUMIF('UC MINI 2026'!$B$10:$B$61,'UC MINI 2026 MINI NEXT'!$B40,'UC MINI 2026'!$K$10:$K$61)</f>
        <v>1</v>
      </c>
      <c r="V40" s="297">
        <f t="shared" si="166"/>
        <v>0.1111111111111111</v>
      </c>
      <c r="W40" s="86">
        <f>IFERROR(VLOOKUP(B40,[2]BPS!$S$10:$AF$64,5,0),0)-IF(B40=100873,IFERROR(VLOOKUP("MARZO",[2]BPS!$S$74:$T$89,2,0),0),0)</f>
        <v>1</v>
      </c>
      <c r="X40" s="297">
        <f t="shared" si="190"/>
        <v>1</v>
      </c>
      <c r="Y40" s="86">
        <f>IFERROR(VLOOKUP(B40,'[2]RETAIL ORIGEN RMKT'!$S$11:$AF$62,5,0),0)</f>
        <v>0</v>
      </c>
      <c r="Z40" s="150">
        <f t="shared" si="191"/>
        <v>0</v>
      </c>
      <c r="AA40" s="148">
        <f>SUMIF('UC MINI 2026'!$B$5:$B$61,'UC MINI 2026 MINI NEXT'!$B40,'UC MINI 2026'!$L$5:$L$61)</f>
        <v>9</v>
      </c>
      <c r="AB40" s="86">
        <f>SUMIF('UC MINI 2026'!$B$5:$B$61,'UC MINI 2026 MINI NEXT'!$B40,'UC MINI 2026'!$M$5:$M$61)</f>
        <v>10</v>
      </c>
      <c r="AC40" s="297">
        <f t="shared" si="167"/>
        <v>1.1111111111111112</v>
      </c>
      <c r="AD40" s="86">
        <f>IFERROR(VLOOKUP(B40,[2]BPS!$S$10:$AF$64,6,0),0)-IF(B40=100873,IFERROR(VLOOKUP("ABRIL",[2]BPS!$S$74:$T$89,2,0),0),0)</f>
        <v>10</v>
      </c>
      <c r="AE40" s="285">
        <f t="shared" si="192"/>
        <v>1</v>
      </c>
      <c r="AF40" s="86">
        <f>IFERROR(VLOOKUP(B40,'[2]RETAIL ORIGEN RMKT'!$S$11:$AF$62,6,0),0)</f>
        <v>4</v>
      </c>
      <c r="AG40" s="150">
        <f t="shared" si="193"/>
        <v>0.44444444444444442</v>
      </c>
      <c r="AH40" s="148">
        <f>SUMIF('UC MINI 2026'!$B$5:$B$61,'UC MINI 2026 MINI NEXT'!$B40,'UC MINI 2026'!$N$5:$N$61)</f>
        <v>9</v>
      </c>
      <c r="AI40" s="86">
        <f>SUMIF('UC MINI 2026'!$B$5:$B$61,'UC MINI 2026 MINI NEXT'!$B40,'UC MINI 2026'!$O$5:$O$61)</f>
        <v>13</v>
      </c>
      <c r="AJ40" s="297">
        <f t="shared" si="168"/>
        <v>1.4444444444444444</v>
      </c>
      <c r="AK40" s="86">
        <f>IFERROR(VLOOKUP(B40,[2]BPS!$S$10:$AF$64,7,0),0)-IF(B40=100873,IFERROR(VLOOKUP("MAYO",[2]BPS!$S$74:$T$89,2,0),0),0)</f>
        <v>13</v>
      </c>
      <c r="AL40" s="285">
        <f t="shared" si="194"/>
        <v>1</v>
      </c>
      <c r="AM40" s="86">
        <f>IFERROR(VLOOKUP(B40,'[2]RETAIL ORIGEN RMKT'!$S$11:$AF$62,7,0),0)</f>
        <v>3</v>
      </c>
      <c r="AN40" s="150">
        <f t="shared" si="195"/>
        <v>0.33333333333333331</v>
      </c>
      <c r="AO40" s="148">
        <f>SUMIF('UC MINI 2026'!$B$5:$B$61,'UC MINI 2026 MINI NEXT'!$B40,'UC MINI 2026'!$P$5:$P$61)</f>
        <v>10</v>
      </c>
      <c r="AP40" s="86">
        <f>SUMIF('UC MINI 2026'!$B$5:$B$61,'UC MINI 2026 MINI NEXT'!$B40,'UC MINI 2026'!$Q$5:$Q$61)</f>
        <v>26</v>
      </c>
      <c r="AQ40" s="297">
        <f t="shared" si="169"/>
        <v>2.6</v>
      </c>
      <c r="AR40" s="86">
        <f>IFERROR(VLOOKUP(B40,[2]BPS!$S$10:$AF$64,8,0),0)-IF(B40=100873,IFERROR(VLOOKUP("JUNIO",[2]BPS!$S$74:$T$89,2,0),0),0)</f>
        <v>26</v>
      </c>
      <c r="AS40" s="285">
        <f t="shared" si="196"/>
        <v>1</v>
      </c>
      <c r="AT40" s="86">
        <f>IFERROR(VLOOKUP(B40,'[2]RETAIL ORIGEN RMKT'!$S$11:$AF$62,8,0),0)</f>
        <v>8</v>
      </c>
      <c r="AU40" s="150">
        <f t="shared" si="197"/>
        <v>0.8</v>
      </c>
      <c r="AV40" s="148">
        <f>SUMIF('UC MINI 2026'!$B$5:$B$61,'UC MINI 2026 MINI NEXT'!$B40,'UC MINI 2026'!$R$5:$R$61)</f>
        <v>13</v>
      </c>
      <c r="AW40" s="86">
        <f>SUMIF('UC MINI 2026'!$B$5:$B$61,'UC MINI 2026 MINI NEXT'!$B40,'UC MINI 2026'!$S$5:$S$61)</f>
        <v>0</v>
      </c>
      <c r="AX40" s="297">
        <f t="shared" si="170"/>
        <v>0</v>
      </c>
      <c r="AY40" s="86">
        <f>IFERROR(VLOOKUP(B40,[2]BPS!$S$10:$AF$64,9,0),0)-IF(B40=100873,IFERROR(VLOOKUP("JULIO",[2]BPS!$S$74:$T$89,2,0),0),0)</f>
        <v>0</v>
      </c>
      <c r="AZ40" s="285">
        <f t="shared" si="198"/>
        <v>0</v>
      </c>
      <c r="BA40" s="86">
        <f>IFERROR(VLOOKUP(I40,'[2]RETAIL ORIGEN RMKT'!$S$11:$AF$62,9,0),0)</f>
        <v>0</v>
      </c>
      <c r="BB40" s="150">
        <f t="shared" si="199"/>
        <v>0</v>
      </c>
      <c r="BC40" s="148">
        <f>SUMIF('UC MINI 2026'!$B$5:$B$61,'UC MINI 2026 MINI NEXT'!$B40,'UC MINI 2026'!$T$5:$T$61)</f>
        <v>11</v>
      </c>
      <c r="BD40" s="86">
        <f>SUMIF('UC MINI 2026'!$B$5:$B$61,'UC MINI 2026 MINI NEXT'!$B40,'UC MINI 2026'!$U$5:$U$61)</f>
        <v>0</v>
      </c>
      <c r="BE40" s="297">
        <f t="shared" si="171"/>
        <v>0</v>
      </c>
      <c r="BF40" s="86">
        <f>IFERROR(VLOOKUP(B40,[2]BPS!$S$10:$AF$64,10,0),0)-IF(B40=100873,IFERROR(VLOOKUP("AGOSTO",[2]BPS!$S$74:$T$89,2,0),0),0)</f>
        <v>0</v>
      </c>
      <c r="BG40" s="285">
        <f t="shared" si="200"/>
        <v>0</v>
      </c>
      <c r="BH40" s="86">
        <f>IFERROR(VLOOKUP(P40,'[2]RETAIL ORIGEN RMKT'!$S$11:$AF$62,10,0),0)</f>
        <v>0</v>
      </c>
      <c r="BI40" s="150">
        <f t="shared" si="201"/>
        <v>0</v>
      </c>
      <c r="BJ40" s="148">
        <f>SUMIF('UC MINI 2026'!$B$5:$B$61,'UC MINI 2026 MINI NEXT'!$B40,'UC MINI 2026'!$V$5:$V$61)</f>
        <v>13</v>
      </c>
      <c r="BK40" s="86">
        <f>SUMIF('UC MINI 2026'!$B$5:$B$61,'UC MINI 2026 MINI NEXT'!$B40,'UC MINI 2026'!$W$5:$W$61)</f>
        <v>0</v>
      </c>
      <c r="BL40" s="297">
        <f t="shared" si="172"/>
        <v>0</v>
      </c>
      <c r="BM40" s="86">
        <f>IFERROR(VLOOKUP(B40,[2]BPS!$S$10:$AF$64,11,0),0)-IF(B40=100873,IFERROR(VLOOKUP("SEPTIEMBRE",[2]BPS!$S$74:$T$89,2,0),0),0)</f>
        <v>0</v>
      </c>
      <c r="BN40" s="285">
        <f t="shared" si="202"/>
        <v>0</v>
      </c>
      <c r="BO40" s="86">
        <f>IFERROR(VLOOKUP(W40,'[2]RETAIL ORIGEN RMKT'!$S$11:$AF$62,11,0),0)</f>
        <v>0</v>
      </c>
      <c r="BP40" s="150">
        <f t="shared" si="203"/>
        <v>0</v>
      </c>
      <c r="BQ40" s="148">
        <f>SUMIF('UC MINI 2026'!$B$5:$B$61,'UC MINI 2026 MINI NEXT'!$B40,'UC MINI 2026'!$V$5:$V$61)</f>
        <v>13</v>
      </c>
      <c r="BR40" s="86">
        <f>SUMIF('UC MINI 2026'!$B$5:$B$61,'UC MINI 2026 MINI NEXT'!$B40,'UC MINI 2026'!$Y$5:$Y$61)</f>
        <v>0</v>
      </c>
      <c r="BS40" s="297">
        <f t="shared" si="173"/>
        <v>0</v>
      </c>
      <c r="BT40" s="86">
        <f>IFERROR(VLOOKUP(B40,[2]BPS!$S$10:$AF$64,12,0),0)-IF(B40=100873,IFERROR(VLOOKUP("OCTUBRE",[2]BPS!$S$74:$T$89,2,0),0),0)</f>
        <v>0</v>
      </c>
      <c r="BU40" s="285">
        <f t="shared" si="204"/>
        <v>0</v>
      </c>
      <c r="BV40" s="86">
        <f>IFERROR(VLOOKUP(AD40,'[2]RETAIL ORIGEN RMKT'!$S$11:$AF$62,12,0),0)</f>
        <v>0</v>
      </c>
      <c r="BW40" s="150">
        <f t="shared" si="205"/>
        <v>0</v>
      </c>
      <c r="BX40" s="148">
        <f>SUMIF('UC MINI 2026'!$B$5:$B$61,'UC MINI 2026 MINI NEXT'!$B40,'UC MINI 2026'!$V$5:$V$61)</f>
        <v>13</v>
      </c>
      <c r="BY40" s="86">
        <f>SUMIF('UC MINI 2026'!$B$5:$B$61,'UC MINI 2026 MINI NEXT'!$B40,'UC MINI 2026'!$AA$5:$AA$61)</f>
        <v>0</v>
      </c>
      <c r="BZ40" s="297">
        <f t="shared" si="174"/>
        <v>0</v>
      </c>
      <c r="CA40" s="86">
        <f>IFERROR(VLOOKUP(B40,[2]BPS!$S$10:$AF$64,13,0),0)-IF(B40=100873,IFERROR(VLOOKUP("NOVIEMBRE",[2]BPS!$S$74:$T$89,2,0),0),0)</f>
        <v>0</v>
      </c>
      <c r="CB40" s="285">
        <f t="shared" si="206"/>
        <v>0</v>
      </c>
      <c r="CC40" s="86">
        <f>IFERROR(VLOOKUP(AK40,'[2]RETAIL ORIGEN RMKT'!$S$11:$AF$62,13,0),0)</f>
        <v>0</v>
      </c>
      <c r="CD40" s="150">
        <f t="shared" si="207"/>
        <v>0</v>
      </c>
      <c r="CE40" s="148">
        <f>SUMIF('UC MINI 2026'!$B$5:$B$61,'UC MINI 2026 MINI NEXT'!$B40,'UC MINI 2026'!$V$5:$V$61)</f>
        <v>13</v>
      </c>
      <c r="CF40" s="86">
        <f>SUMIF('UC MINI 2026'!$B$5:$B$61,'UC MINI 2026 MINI NEXT'!$B40,'UC MINI 2026'!$AC$5:$AC$61)</f>
        <v>0</v>
      </c>
      <c r="CG40" s="297">
        <f t="shared" si="175"/>
        <v>0</v>
      </c>
      <c r="CH40" s="86">
        <f>IFERROR(VLOOKUP(B40,[2]BPS!$S$10:$AF$64,14,0),0)-IF(B40=100873,IFERROR(VLOOKUP("DICIEMBRE",[2]BPS!$S$74:$T$89,2,0),0),0)</f>
        <v>0</v>
      </c>
      <c r="CI40" s="285">
        <f t="shared" si="208"/>
        <v>0</v>
      </c>
      <c r="CJ40" s="86">
        <f>IFERROR(VLOOKUP(AR40,'[2]RETAIL ORIGEN RMKT'!$S$11:$AF$62,14,0),0)</f>
        <v>0</v>
      </c>
      <c r="CK40" s="150">
        <f t="shared" si="209"/>
        <v>0</v>
      </c>
      <c r="CL40" s="54">
        <f t="shared" si="213"/>
        <v>55</v>
      </c>
      <c r="CM40" s="86">
        <f t="shared" si="213"/>
        <v>71</v>
      </c>
      <c r="CN40" s="109">
        <f t="shared" si="176"/>
        <v>1.290909090909091</v>
      </c>
      <c r="CO40" s="86">
        <f>IF($CL$4="ENERO",I40,IF($CL$4="FEBRERO",I40+P40,IF($CL$4="MARZO",I40+P40+W40,IF($CL$4="ABRIL",I40+P40+W40+AD40,IF($CL$4="MAYO",I40+P40+W40+AD40+AK40,IF($CL$4="JUNIO",I40+P40+W40+AD40+AK40+AR40,IF($CL$4="JULIO",I40+P40+W40+AD40+AK40+AR40+AY40,IF($CL$4="AGOSTO",I40+P40+W40+AD40+AK40+AR40+AY40+BF40,IF($CL$4="SEPTIEMBRE",I40+P40+W40+AD40+AK40+AR40+AY40+BF40+BM40,IF($CL$4="OCTUBRE",I40+P40+W40+AD40+AK40+AR40+AY40+BF40+BM40+BT40,IF($CL$4="NOVIEMBRE",I40+P40+W40+AD40+AK40+AR40+AY40+BF40+BM40+BT40+CA40,IF($CL$4="DICIEMBRE",I40+P40+W40+AD40+AK40+AR40+AY40+BF40+BM40+BT40+CA40+CH40,""))))))))))))</f>
        <v>71</v>
      </c>
      <c r="CP40" s="297">
        <f>IFERROR(IF(CM40=0,"N.D.",CO40/CM40),0)</f>
        <v>1</v>
      </c>
      <c r="CQ40" s="348">
        <f>IFERROR(IF($CL$4="ENERO",K40,
IF($CL$4="FEBRERO",K40+R40,
IF($CL$4="MARZO",K40+R40+Y40,
IF($CL$4="ABRIL",K40+R40+Y40+AF40,
IF($CL$4="MAYO",K40+R40+Y40+AF40+AM40,
IF($CL$4="JUNIO",K40+R40+Y40+AF40+AM40+AT40,
IF($CL$4="JULIO",K40+R40+Y40+AF40+AM40+AT40+BA40,
IF($CL$4="AGOSTO",K40+R40+Y40+AF40+AM40+AT40+BA40+BH40,
IF($CL$4="SEPTIEMBRE",K40+R40+Y40+AF40+AM40+AT40+BA40+BH40+BO40,
IF($CL$4="OCTUBRE",K40+R40+Y40+AF40+AM40+AT40+BA40+BH40+BO40+BV40,
IF($CL$4="NOVIEMBRE",K40+R40+Y40+AF40+AM40+AT40+BA40+BH40+BO40+BV40+CC40,
IF($CL$4="DICIEMBRE",K40+R40+Y40+AF40+AM40+AT40+BA40+BH40+BO40+BV40+CC40+CJ40,"")))))))))))),0)</f>
        <v>18</v>
      </c>
      <c r="CR40" s="149">
        <f t="shared" si="177"/>
        <v>0.32727272727272727</v>
      </c>
      <c r="CS40" s="54">
        <f>+F40+M40+T40+AA40+AH40+AO40++AV40+BC40+BJ40+BQ40+BX40+CE40</f>
        <v>131</v>
      </c>
      <c r="CT40" s="86">
        <f>SUMIFS($F40:$CI40,$F$6:$CI$6,CT$6,$F$2:$CI$2,$CL$4)</f>
        <v>71</v>
      </c>
      <c r="CU40" s="109">
        <f>IFERROR((CT40/CS40),0)</f>
        <v>0.5419847328244275</v>
      </c>
      <c r="CV40" s="68">
        <f>IFERROR(I40+P40+W40+AD40+AK40+AR40+AY40+BF40+BM40+BT40+CA40+CH40,0)</f>
        <v>71</v>
      </c>
      <c r="CW40" s="297">
        <f>IF(CT40=0,"N.D.",CV40/CT40)</f>
        <v>1</v>
      </c>
      <c r="CX40" s="350">
        <f>IFERROR(K40+R40+Y40+AF40+AM40+AT40+BA40+BH40+BO40+BV40+CC40+CJ40,0)</f>
        <v>18</v>
      </c>
      <c r="CY40" s="149">
        <f t="shared" si="178"/>
        <v>0.13740458015267176</v>
      </c>
      <c r="CZ40" s="54">
        <f t="shared" si="214"/>
        <v>27</v>
      </c>
      <c r="DA40" s="86">
        <f t="shared" si="214"/>
        <v>22</v>
      </c>
      <c r="DB40" s="109">
        <f t="shared" si="179"/>
        <v>0.81481481481481477</v>
      </c>
      <c r="DC40" s="68">
        <f>IFERROR(IF($CZ$5="Q1",I40+P40+W40,
IF($CZ$5="Q2",AD40+AK40++AR40,
IF($CZ$5="Q3",AY40+BF40+BM40,
IF($CZ$5="Q4",BT40+CA40+CH40,0)))),0)</f>
        <v>22</v>
      </c>
      <c r="DD40" s="297">
        <f>IF(DA40=0,"N.D.",DC40/DA40)</f>
        <v>1</v>
      </c>
      <c r="DE40" s="350">
        <f>IFERROR(IF($CZ$5="Q1",K40+R40+Y40,
IF($CZ$5="Q2",AF40+AM40+AT40,
IF($CZ$5="Q3",BA40+BH40+BO40,
IF($CZ$5="Q4",BV40+CC40+CJ40,0)))),0)</f>
        <v>3</v>
      </c>
      <c r="DF40" s="150">
        <f t="shared" si="180"/>
        <v>0.1111111111111111</v>
      </c>
      <c r="DG40" s="54">
        <f t="shared" si="215"/>
        <v>55</v>
      </c>
      <c r="DH40" s="86">
        <f t="shared" si="215"/>
        <v>71</v>
      </c>
      <c r="DI40" s="109">
        <f t="shared" si="181"/>
        <v>1.290909090909091</v>
      </c>
      <c r="DJ40" s="68">
        <f>IFERROR(IF($DG$5="S 1",I40+P40+W40+AD40+AK40++AR40,
IF($DG$5="S 2",AY40+BF40+BM40+BT40+CA40+CH40,0)),0)</f>
        <v>71</v>
      </c>
      <c r="DK40" s="297">
        <f t="shared" si="182"/>
        <v>1</v>
      </c>
      <c r="DL40" s="350">
        <f>IFERROR(IF($DG$5="S 1",K40+R40+Y40+AF40+AM40+AT40,
IF($DG$5="S 2",BA40+BH40+BO40+BV40+CC40+CJ40,0)),0)</f>
        <v>18</v>
      </c>
      <c r="DM40" s="150">
        <f t="shared" si="183"/>
        <v>0.32727272727272727</v>
      </c>
      <c r="DN40" s="67">
        <f t="shared" si="212"/>
        <v>76</v>
      </c>
      <c r="DO40" s="266">
        <f t="shared" si="212"/>
        <v>0</v>
      </c>
      <c r="DP40" s="109">
        <f t="shared" si="216"/>
        <v>0</v>
      </c>
      <c r="DQ40" s="68">
        <f>IFERROR(IF($DN$5="S 1",I40+P40+W40+AD40+AK40++AR40,
IF($DN$5="S 2",AY40+BF40+BM40+BT40+CA40+CH40,0)),0)</f>
        <v>0</v>
      </c>
      <c r="DR40" s="297" t="str">
        <f t="shared" si="217"/>
        <v>N.D.</v>
      </c>
      <c r="DS40" s="350">
        <f>IFERROR(IF($DN$5="S 1",K40+R40+Y40+AF40+AM40+AT40,
IF($DN$5="S 2",BA40+BH40+BO40+BV40+CC40+CJ40,0)),0)</f>
        <v>0</v>
      </c>
      <c r="DT40" s="150">
        <f t="shared" si="218"/>
        <v>0</v>
      </c>
      <c r="DU40" s="53">
        <v>1</v>
      </c>
      <c r="DX40" s="53">
        <v>17</v>
      </c>
      <c r="DY40" s="53">
        <v>18</v>
      </c>
      <c r="DZ40" s="513">
        <v>0.96153846153846156</v>
      </c>
      <c r="EB40" s="513">
        <v>0.89600000000000002</v>
      </c>
      <c r="EC40" s="53">
        <v>2</v>
      </c>
      <c r="ED40" s="513">
        <v>0.1</v>
      </c>
    </row>
    <row r="41" spans="1:134" s="53" customFormat="1" ht="16" customHeight="1" thickBot="1" x14ac:dyDescent="0.35">
      <c r="A41" s="53">
        <f>_xlfn.XLOOKUP(B41,'UC MINI 2026'!$B$5:$B$61,'UC MINI 2026'!$A$5:$A$61)</f>
        <v>6</v>
      </c>
      <c r="B41" s="179">
        <v>100817</v>
      </c>
      <c r="C41" s="381" t="s">
        <v>69</v>
      </c>
      <c r="D41" s="146"/>
      <c r="E41" s="309" t="s">
        <v>94</v>
      </c>
      <c r="F41" s="54">
        <f>SUMIF('UC MINI 2026'!$B$5:$B$71,'UC MINI 2026 MINI NEXT'!$B41,'UC MINI 2026'!$F$5:$F$71)</f>
        <v>11</v>
      </c>
      <c r="G41" s="86">
        <f>SUMIF('UC MINI 2026'!$B$5:$B$71,'UC MINI 2026 MINI NEXT'!$B41,'UC MINI 2026'!$G$5:$G$71)</f>
        <v>16</v>
      </c>
      <c r="H41" s="297">
        <f>IFERROR(G41/F41,0)</f>
        <v>1.4545454545454546</v>
      </c>
      <c r="I41" s="86">
        <f>IFERROR(VLOOKUP(B41,[2]BPS!$S$10:$AF$64,3,0),0)-IF(B41=100873,IFERROR(VLOOKUP("Enero",[2]BPS!$S$74:$T$89,2,0),0),0)</f>
        <v>16</v>
      </c>
      <c r="J41" s="297">
        <f>IFERROR(I41/G41,0)</f>
        <v>1</v>
      </c>
      <c r="K41" s="86">
        <f>IFERROR(VLOOKUP(B41,'[2]RETAIL ORIGEN RMKT'!$S$11:$AF$62,3,0),0)</f>
        <v>7</v>
      </c>
      <c r="L41" s="150">
        <f>IFERROR(K41/F41,0)</f>
        <v>0.63636363636363635</v>
      </c>
      <c r="M41" s="79">
        <f>SUMIF('UC MINI 2026'!$B$5:$B$61,'UC MINI 2026 MINI NEXT'!$B41,'UC MINI 2026'!$H$5:$H$61)</f>
        <v>12</v>
      </c>
      <c r="N41" s="86">
        <f>SUMIF('UC MINI 2026'!$B$5:$B$61,'UC MINI 2026 MINI NEXT'!$B41,'UC MINI 2026'!$I$5:$I$61)</f>
        <v>7</v>
      </c>
      <c r="O41" s="297">
        <f t="shared" si="165"/>
        <v>0.58333333333333337</v>
      </c>
      <c r="P41" s="86">
        <f>IFERROR(VLOOKUP(B41,[2]BPS!$S$10:$AF$64,4,0),0)-IF(B41=100873,IFERROR(VLOOKUP("FEBRERO",[2]BPS!$S$74:$T$89,2,0),0),0)</f>
        <v>7</v>
      </c>
      <c r="Q41" s="297">
        <f t="shared" si="188"/>
        <v>1</v>
      </c>
      <c r="R41" s="86">
        <f>IFERROR(VLOOKUP(B41,'[2]RETAIL ORIGEN RMKT'!$S$11:$AF$62,4,0),0)</f>
        <v>3</v>
      </c>
      <c r="S41" s="150">
        <f t="shared" si="189"/>
        <v>0.25</v>
      </c>
      <c r="T41" s="148">
        <f>SUMIF('UC MINI 2026'!$B$5:$B$71,'UC MINI 2026 MINI NEXT'!$B41,'UC MINI 2026'!$J$5:$J$71)</f>
        <v>12</v>
      </c>
      <c r="U41" s="86">
        <f>SUMIF('UC MINI 2026'!$B$10:$B$61,'UC MINI 2026 MINI NEXT'!$B41,'UC MINI 2026'!$K$10:$K$61)</f>
        <v>24</v>
      </c>
      <c r="V41" s="297">
        <f t="shared" si="166"/>
        <v>2</v>
      </c>
      <c r="W41" s="86">
        <f>IFERROR(VLOOKUP(B41,[2]BPS!$S$10:$AF$64,5,0),0)-IF(B41=100873,IFERROR(VLOOKUP("MARZO",[2]BPS!$S$74:$T$89,2,0),0),0)</f>
        <v>24</v>
      </c>
      <c r="X41" s="297">
        <f t="shared" si="190"/>
        <v>1</v>
      </c>
      <c r="Y41" s="86">
        <f>IFERROR(VLOOKUP(B41,'[2]RETAIL ORIGEN RMKT'!$S$11:$AF$62,5,0),0)</f>
        <v>8</v>
      </c>
      <c r="Z41" s="150">
        <f t="shared" si="191"/>
        <v>0.66666666666666663</v>
      </c>
      <c r="AA41" s="148">
        <f>SUMIF('UC MINI 2026'!$B$5:$B$61,'UC MINI 2026 MINI NEXT'!$B41,'UC MINI 2026'!$L$5:$L$61)</f>
        <v>11</v>
      </c>
      <c r="AB41" s="86">
        <f>SUMIF('UC MINI 2026'!$B$5:$B$61,'UC MINI 2026 MINI NEXT'!$B41,'UC MINI 2026'!$M$5:$M$61)</f>
        <v>16</v>
      </c>
      <c r="AC41" s="297">
        <f t="shared" si="167"/>
        <v>1.4545454545454546</v>
      </c>
      <c r="AD41" s="86">
        <f>IFERROR(VLOOKUP(B41,[2]BPS!$S$10:$AF$64,6,0),0)-IF(B41=100873,IFERROR(VLOOKUP("ABRIL",[2]BPS!$S$74:$T$89,2,0),0),0)</f>
        <v>15</v>
      </c>
      <c r="AE41" s="285">
        <f t="shared" si="192"/>
        <v>0.9375</v>
      </c>
      <c r="AF41" s="86">
        <f>IFERROR(VLOOKUP(B41,'[2]RETAIL ORIGEN RMKT'!$S$11:$AF$62,6,0),0)</f>
        <v>7</v>
      </c>
      <c r="AG41" s="150">
        <f t="shared" si="193"/>
        <v>0.63636363636363635</v>
      </c>
      <c r="AH41" s="148">
        <f>SUMIF('UC MINI 2026'!$B$5:$B$61,'UC MINI 2026 MINI NEXT'!$B41,'UC MINI 2026'!$N$5:$N$61)</f>
        <v>12</v>
      </c>
      <c r="AI41" s="86">
        <f>SUMIF('UC MINI 2026'!$B$5:$B$61,'UC MINI 2026 MINI NEXT'!$B41,'UC MINI 2026'!$O$5:$O$61)</f>
        <v>20</v>
      </c>
      <c r="AJ41" s="297">
        <f t="shared" si="168"/>
        <v>1.6666666666666667</v>
      </c>
      <c r="AK41" s="86">
        <f>IFERROR(VLOOKUP(B41,[2]BPS!$S$10:$AF$64,7,0),0)-IF(B41=100873,IFERROR(VLOOKUP("MAYO",[2]BPS!$S$74:$T$89,2,0),0),0)</f>
        <v>20</v>
      </c>
      <c r="AL41" s="285">
        <f t="shared" si="194"/>
        <v>1</v>
      </c>
      <c r="AM41" s="86">
        <f>IFERROR(VLOOKUP(B41,'[2]RETAIL ORIGEN RMKT'!$S$11:$AF$62,7,0),0)</f>
        <v>7</v>
      </c>
      <c r="AN41" s="150">
        <f t="shared" si="195"/>
        <v>0.58333333333333337</v>
      </c>
      <c r="AO41" s="148">
        <f>SUMIF('UC MINI 2026'!$B$5:$B$61,'UC MINI 2026 MINI NEXT'!$B41,'UC MINI 2026'!$P$5:$P$61)</f>
        <v>12</v>
      </c>
      <c r="AP41" s="86">
        <f>SUMIF('UC MINI 2026'!$B$5:$B$61,'UC MINI 2026 MINI NEXT'!$B41,'UC MINI 2026'!$Q$5:$Q$61)</f>
        <v>20</v>
      </c>
      <c r="AQ41" s="297">
        <f t="shared" si="169"/>
        <v>1.6666666666666667</v>
      </c>
      <c r="AR41" s="86">
        <f>IFERROR(VLOOKUP(B41,[2]BPS!$S$10:$AF$64,8,0),0)-IF(B41=100873,IFERROR(VLOOKUP("JUNIO",[2]BPS!$S$74:$T$89,2,0),0),0)</f>
        <v>20</v>
      </c>
      <c r="AS41" s="285">
        <f t="shared" si="196"/>
        <v>1</v>
      </c>
      <c r="AT41" s="86">
        <f>IFERROR(VLOOKUP(B41,'[2]RETAIL ORIGEN RMKT'!$S$11:$AF$62,8,0),0)</f>
        <v>3</v>
      </c>
      <c r="AU41" s="150">
        <f t="shared" si="197"/>
        <v>0.25</v>
      </c>
      <c r="AV41" s="148">
        <f>SUMIF('UC MINI 2026'!$B$5:$B$61,'UC MINI 2026 MINI NEXT'!$B41,'UC MINI 2026'!$R$5:$R$61)</f>
        <v>13</v>
      </c>
      <c r="AW41" s="86">
        <f>SUMIF('UC MINI 2026'!$B$5:$B$61,'UC MINI 2026 MINI NEXT'!$B41,'UC MINI 2026'!$S$5:$S$61)</f>
        <v>0</v>
      </c>
      <c r="AX41" s="297">
        <f t="shared" si="170"/>
        <v>0</v>
      </c>
      <c r="AY41" s="86">
        <f>IFERROR(VLOOKUP(B41,[2]BPS!$S$10:$AF$64,9,0),0)-IF(B41=100873,IFERROR(VLOOKUP("JULIO",[2]BPS!$S$74:$T$89,2,0),0),0)</f>
        <v>0</v>
      </c>
      <c r="AZ41" s="285">
        <f t="shared" si="198"/>
        <v>0</v>
      </c>
      <c r="BA41" s="86">
        <f>IFERROR(VLOOKUP(I41,'[2]RETAIL ORIGEN RMKT'!$S$11:$AF$62,9,0),0)</f>
        <v>0</v>
      </c>
      <c r="BB41" s="150">
        <f t="shared" si="199"/>
        <v>0</v>
      </c>
      <c r="BC41" s="148">
        <f>SUMIF('UC MINI 2026'!$B$5:$B$61,'UC MINI 2026 MINI NEXT'!$B41,'UC MINI 2026'!$T$5:$T$61)</f>
        <v>13</v>
      </c>
      <c r="BD41" s="86">
        <f>SUMIF('UC MINI 2026'!$B$5:$B$61,'UC MINI 2026 MINI NEXT'!$B41,'UC MINI 2026'!$U$5:$U$61)</f>
        <v>0</v>
      </c>
      <c r="BE41" s="297">
        <f t="shared" si="171"/>
        <v>0</v>
      </c>
      <c r="BF41" s="86">
        <f>IFERROR(VLOOKUP(B41,[2]BPS!$S$10:$AF$64,10,0),0)-IF(B41=100873,IFERROR(VLOOKUP("AGOSTO",[2]BPS!$S$74:$T$89,2,0),0),0)</f>
        <v>0</v>
      </c>
      <c r="BG41" s="285">
        <f t="shared" si="200"/>
        <v>0</v>
      </c>
      <c r="BH41" s="86">
        <f>IFERROR(VLOOKUP(P41,'[2]RETAIL ORIGEN RMKT'!$S$11:$AF$62,10,0),0)</f>
        <v>0</v>
      </c>
      <c r="BI41" s="150">
        <f t="shared" si="201"/>
        <v>0</v>
      </c>
      <c r="BJ41" s="148">
        <f>SUMIF('UC MINI 2026'!$B$5:$B$61,'UC MINI 2026 MINI NEXT'!$B41,'UC MINI 2026'!$V$5:$V$61)</f>
        <v>13</v>
      </c>
      <c r="BK41" s="86">
        <f>SUMIF('UC MINI 2026'!$B$5:$B$61,'UC MINI 2026 MINI NEXT'!$B41,'UC MINI 2026'!$W$5:$W$61)</f>
        <v>0</v>
      </c>
      <c r="BL41" s="297">
        <f t="shared" si="172"/>
        <v>0</v>
      </c>
      <c r="BM41" s="86">
        <f>IFERROR(VLOOKUP(B41,[2]BPS!$S$10:$AF$64,11,0),0)-IF(B41=100873,IFERROR(VLOOKUP("SEPTIEMBRE",[2]BPS!$S$74:$T$89,2,0),0),0)</f>
        <v>0</v>
      </c>
      <c r="BN41" s="285">
        <f t="shared" si="202"/>
        <v>0</v>
      </c>
      <c r="BO41" s="86">
        <f>IFERROR(VLOOKUP(W41,'[2]RETAIL ORIGEN RMKT'!$S$11:$AF$62,11,0),0)</f>
        <v>0</v>
      </c>
      <c r="BP41" s="150">
        <f t="shared" si="203"/>
        <v>0</v>
      </c>
      <c r="BQ41" s="148">
        <f>SUMIF('UC MINI 2026'!$B$5:$B$61,'UC MINI 2026 MINI NEXT'!$B41,'UC MINI 2026'!$V$5:$V$61)</f>
        <v>13</v>
      </c>
      <c r="BR41" s="86">
        <f>SUMIF('UC MINI 2026'!$B$5:$B$61,'UC MINI 2026 MINI NEXT'!$B41,'UC MINI 2026'!$Y$5:$Y$61)</f>
        <v>0</v>
      </c>
      <c r="BS41" s="297">
        <f t="shared" si="173"/>
        <v>0</v>
      </c>
      <c r="BT41" s="86">
        <f>IFERROR(VLOOKUP(B41,[2]BPS!$S$10:$AF$64,12,0),0)-IF(B41=100873,IFERROR(VLOOKUP("OCTUBRE",[2]BPS!$S$74:$T$89,2,0),0),0)</f>
        <v>0</v>
      </c>
      <c r="BU41" s="285">
        <f t="shared" si="204"/>
        <v>0</v>
      </c>
      <c r="BV41" s="86">
        <f>IFERROR(VLOOKUP(AD41,'[2]RETAIL ORIGEN RMKT'!$S$11:$AF$62,12,0),0)</f>
        <v>0</v>
      </c>
      <c r="BW41" s="150">
        <f t="shared" si="205"/>
        <v>0</v>
      </c>
      <c r="BX41" s="148">
        <f>SUMIF('UC MINI 2026'!$B$5:$B$61,'UC MINI 2026 MINI NEXT'!$B41,'UC MINI 2026'!$V$5:$V$61)</f>
        <v>13</v>
      </c>
      <c r="BY41" s="86">
        <f>SUMIF('UC MINI 2026'!$B$5:$B$61,'UC MINI 2026 MINI NEXT'!$B41,'UC MINI 2026'!$AA$5:$AA$61)</f>
        <v>0</v>
      </c>
      <c r="BZ41" s="297">
        <f t="shared" si="174"/>
        <v>0</v>
      </c>
      <c r="CA41" s="86">
        <f>IFERROR(VLOOKUP(B41,[2]BPS!$S$10:$AF$64,13,0),0)-IF(B41=100873,IFERROR(VLOOKUP("NOVIEMBRE",[2]BPS!$S$74:$T$89,2,0),0),0)</f>
        <v>0</v>
      </c>
      <c r="CB41" s="285">
        <f t="shared" si="206"/>
        <v>0</v>
      </c>
      <c r="CC41" s="86">
        <f>IFERROR(VLOOKUP(AK41,'[2]RETAIL ORIGEN RMKT'!$S$11:$AF$62,13,0),0)</f>
        <v>0</v>
      </c>
      <c r="CD41" s="150">
        <f t="shared" si="207"/>
        <v>0</v>
      </c>
      <c r="CE41" s="148">
        <f>SUMIF('UC MINI 2026'!$B$5:$B$61,'UC MINI 2026 MINI NEXT'!$B41,'UC MINI 2026'!$V$5:$V$61)</f>
        <v>13</v>
      </c>
      <c r="CF41" s="86">
        <f>SUMIF('UC MINI 2026'!$B$5:$B$61,'UC MINI 2026 MINI NEXT'!$B41,'UC MINI 2026'!$AC$5:$AC$61)</f>
        <v>0</v>
      </c>
      <c r="CG41" s="297">
        <f t="shared" si="175"/>
        <v>0</v>
      </c>
      <c r="CH41" s="86">
        <f>IFERROR(VLOOKUP(B41,[2]BPS!$S$10:$AF$64,14,0),0)-IF(B41=100873,IFERROR(VLOOKUP("DICIEMBRE",[2]BPS!$S$74:$T$89,2,0),0),0)</f>
        <v>0</v>
      </c>
      <c r="CI41" s="285">
        <f t="shared" si="208"/>
        <v>0</v>
      </c>
      <c r="CJ41" s="86">
        <f>IFERROR(VLOOKUP(AR41,'[2]RETAIL ORIGEN RMKT'!$S$11:$AF$62,14,0),0)</f>
        <v>0</v>
      </c>
      <c r="CK41" s="150">
        <f t="shared" si="209"/>
        <v>0</v>
      </c>
      <c r="CL41" s="54">
        <f t="shared" si="213"/>
        <v>70</v>
      </c>
      <c r="CM41" s="86">
        <f t="shared" si="213"/>
        <v>103</v>
      </c>
      <c r="CN41" s="109">
        <f t="shared" si="176"/>
        <v>1.4714285714285715</v>
      </c>
      <c r="CO41" s="86">
        <f>IF($CL$4="ENERO",I41,IF($CL$4="FEBRERO",I41+P41,IF($CL$4="MARZO",I41+P41+W41,IF($CL$4="ABRIL",I41+P41+W41+AD41,IF($CL$4="MAYO",I41+P41+W41+AD41+AK41,IF($CL$4="JUNIO",I41+P41+W41+AD41+AK41+AR41,IF($CL$4="JULIO",I41+P41+W41+AD41+AK41+AR41+AY41,IF($CL$4="AGOSTO",I41+P41+W41+AD41+AK41+AR41+AY41+BF41,IF($CL$4="SEPTIEMBRE",I41+P41+W41+AD41+AK41+AR41+AY41+BF41+BM41,IF($CL$4="OCTUBRE",I41+P41+W41+AD41+AK41+AR41+AY41+BF41+BM41+BT41,IF($CL$4="NOVIEMBRE",I41+P41+W41+AD41+AK41+AR41+AY41+BF41+BM41+BT41+CA41,IF($CL$4="DICIEMBRE",I41+P41+W41+AD41+AK41+AR41+AY41+BF41+BM41+BT41+CA41+CH41,""))))))))))))</f>
        <v>102</v>
      </c>
      <c r="CP41" s="297">
        <f>IFERROR(IF(CM41=0,"N.D.",CO41/CM41),0)</f>
        <v>0.99029126213592233</v>
      </c>
      <c r="CQ41" s="348">
        <f>IFERROR(IF($CL$4="ENERO",K41,
IF($CL$4="FEBRERO",K41+R41,
IF($CL$4="MARZO",K41+R41+Y41,
IF($CL$4="ABRIL",K41+R41+Y41+AF41,
IF($CL$4="MAYO",K41+R41+Y41+AF41+AM41,
IF($CL$4="JUNIO",K41+R41+Y41+AF41+AM41+AT41,
IF($CL$4="JULIO",K41+R41+Y41+AF41+AM41+AT41+BA41,
IF($CL$4="AGOSTO",K41+R41+Y41+AF41+AM41+AT41+BA41+BH41,
IF($CL$4="SEPTIEMBRE",K41+R41+Y41+AF41+AM41+AT41+BA41+BH41+BO41,
IF($CL$4="OCTUBRE",K41+R41+Y41+AF41+AM41+AT41+BA41+BH41+BO41+BV41,
IF($CL$4="NOVIEMBRE",K41+R41+Y41+AF41+AM41+AT41+BA41+BH41+BO41+BV41+CC41,
IF($CL$4="DICIEMBRE",K41+R41+Y41+AF41+AM41+AT41+BA41+BH41+BO41+BV41+CC41+CJ41,"")))))))))))),0)</f>
        <v>35</v>
      </c>
      <c r="CR41" s="149">
        <f t="shared" si="177"/>
        <v>0.5</v>
      </c>
      <c r="CS41" s="54">
        <f>+F41+M41+T41+AA41+AH41+AO41++AV41+BC41+BJ41+BQ41+BX41+CE41</f>
        <v>148</v>
      </c>
      <c r="CT41" s="86">
        <f>SUMIFS($F41:$CI41,$F$6:$CI$6,CT$6,$F$2:$CI$2,$CL$4)</f>
        <v>103</v>
      </c>
      <c r="CU41" s="109">
        <f>IFERROR((CT41/CS41),0)</f>
        <v>0.69594594594594594</v>
      </c>
      <c r="CV41" s="68">
        <f>IFERROR(I41+P41+W41+AD41+AK41+AR41+AY41+BF41+BM41+BT41+CA41+CH41,0)</f>
        <v>102</v>
      </c>
      <c r="CW41" s="297">
        <f>IF(CT41=0,"N.D.",CV41/CT41)</f>
        <v>0.99029126213592233</v>
      </c>
      <c r="CX41" s="350">
        <f>IFERROR(K41+R41+Y41+AF41+AM41+AT41+BA41+BH41+BO41+BV41+CC41+CJ41,0)</f>
        <v>35</v>
      </c>
      <c r="CY41" s="149">
        <f t="shared" si="178"/>
        <v>0.23648648648648649</v>
      </c>
      <c r="CZ41" s="54">
        <f t="shared" si="214"/>
        <v>35</v>
      </c>
      <c r="DA41" s="86">
        <f t="shared" si="214"/>
        <v>47</v>
      </c>
      <c r="DB41" s="109">
        <f t="shared" si="179"/>
        <v>1.3428571428571427</v>
      </c>
      <c r="DC41" s="68">
        <f>IFERROR(IF($CZ$5="Q1",I41+P41+W41,
IF($CZ$5="Q2",AD41+AK41++AR41,
IF($CZ$5="Q3",AY41+BF41+BM41,
IF($CZ$5="Q4",BT41+CA41+CH41,0)))),0)</f>
        <v>47</v>
      </c>
      <c r="DD41" s="297">
        <f>IF(DA41=0,"N.D.",DC41/DA41)</f>
        <v>1</v>
      </c>
      <c r="DE41" s="350">
        <f>IFERROR(IF($CZ$5="Q1",K41+R41+Y41,
IF($CZ$5="Q2",AF41+AM41+AT41,
IF($CZ$5="Q3",BA41+BH41+BO41,
IF($CZ$5="Q4",BV41+CC41+CJ41,0)))),0)</f>
        <v>18</v>
      </c>
      <c r="DF41" s="150">
        <f t="shared" si="180"/>
        <v>0.51428571428571423</v>
      </c>
      <c r="DG41" s="54">
        <f t="shared" si="215"/>
        <v>70</v>
      </c>
      <c r="DH41" s="86">
        <f t="shared" si="215"/>
        <v>103</v>
      </c>
      <c r="DI41" s="109">
        <f t="shared" si="181"/>
        <v>1.4714285714285715</v>
      </c>
      <c r="DJ41" s="68">
        <f>IFERROR(IF($DG$5="S 1",I41+P41+W41+AD41+AK41++AR41,
IF($DG$5="S 2",AY41+BF41+BM41+BT41+CA41+CH41,0)),0)</f>
        <v>102</v>
      </c>
      <c r="DK41" s="297">
        <f t="shared" si="182"/>
        <v>0.99029126213592233</v>
      </c>
      <c r="DL41" s="350">
        <f>IFERROR(IF($DG$5="S 1",K41+R41+Y41+AF41+AM41+AT41,
IF($DG$5="S 2",BA41+BH41+BO41+BV41+CC41+CJ41,0)),0)</f>
        <v>35</v>
      </c>
      <c r="DM41" s="150">
        <f t="shared" si="183"/>
        <v>0.5</v>
      </c>
      <c r="DN41" s="67">
        <f t="shared" si="212"/>
        <v>78</v>
      </c>
      <c r="DO41" s="266">
        <f t="shared" si="212"/>
        <v>0</v>
      </c>
      <c r="DP41" s="109">
        <f t="shared" si="216"/>
        <v>0</v>
      </c>
      <c r="DQ41" s="68">
        <f>IFERROR(IF($DN$5="S 1",I41+P41+W41+AD41+AK41++AR41,
IF($DN$5="S 2",AY41+BF41+BM41+BT41+CA41+CH41,0)),0)</f>
        <v>0</v>
      </c>
      <c r="DR41" s="297" t="str">
        <f t="shared" si="217"/>
        <v>N.D.</v>
      </c>
      <c r="DS41" s="350">
        <f>IFERROR(IF($DN$5="S 1",K41+R41+Y41+AF41+AM41+AT41,
IF($DN$5="S 2",BA41+BH41+BO41+BV41+CC41+CJ41,0)),0)</f>
        <v>0</v>
      </c>
      <c r="DT41" s="150">
        <f t="shared" si="218"/>
        <v>0</v>
      </c>
      <c r="DU41" s="53">
        <v>1</v>
      </c>
      <c r="DX41" s="53">
        <v>17</v>
      </c>
      <c r="DY41" s="53">
        <v>17</v>
      </c>
      <c r="DZ41" s="513">
        <v>0.91666666666666663</v>
      </c>
      <c r="EB41" s="513">
        <v>0.89542483660130723</v>
      </c>
      <c r="EC41" s="53">
        <v>2</v>
      </c>
      <c r="ED41" s="513">
        <v>8.3333333333333329E-2</v>
      </c>
    </row>
    <row r="42" spans="1:134" s="53" customFormat="1" ht="16" customHeight="1" thickBot="1" x14ac:dyDescent="0.35">
      <c r="A42" s="53">
        <f>_xlfn.XLOOKUP(B42,'UC MINI 2026'!$B$5:$B$61,'UC MINI 2026'!$A$5:$A$61)</f>
        <v>0</v>
      </c>
      <c r="B42" s="180" t="s">
        <v>268</v>
      </c>
      <c r="C42" s="62"/>
      <c r="D42" s="146"/>
      <c r="E42" s="80"/>
      <c r="F42" s="63">
        <f>SUM(F37:F41)</f>
        <v>27</v>
      </c>
      <c r="G42" s="63">
        <f>SUM(G37:G41)</f>
        <v>30</v>
      </c>
      <c r="H42" s="164">
        <f t="shared" si="54"/>
        <v>1.1111111111111112</v>
      </c>
      <c r="I42" s="63">
        <f>SUM(I37:I41)</f>
        <v>30</v>
      </c>
      <c r="J42" s="164">
        <f t="shared" si="55"/>
        <v>1</v>
      </c>
      <c r="K42" s="63">
        <f>SUM(K37:K41)</f>
        <v>8</v>
      </c>
      <c r="L42" s="301">
        <f t="shared" si="56"/>
        <v>0.29629629629629628</v>
      </c>
      <c r="M42" s="64">
        <f>SUM(M37:M41)</f>
        <v>28</v>
      </c>
      <c r="N42" s="63">
        <f>SUM(N37:N41)</f>
        <v>32</v>
      </c>
      <c r="O42" s="164">
        <f t="shared" si="165"/>
        <v>1.1428571428571428</v>
      </c>
      <c r="P42" s="63">
        <f>SUM(P37:P41)</f>
        <v>31</v>
      </c>
      <c r="Q42" s="164">
        <f t="shared" si="188"/>
        <v>0.96875</v>
      </c>
      <c r="R42" s="63">
        <f>SUM(R37:R41)</f>
        <v>6</v>
      </c>
      <c r="S42" s="301">
        <f t="shared" si="189"/>
        <v>0.21428571428571427</v>
      </c>
      <c r="T42" s="63">
        <f>SUM(T37:T41)</f>
        <v>29</v>
      </c>
      <c r="U42" s="63">
        <f>SUM(U37:U41)</f>
        <v>32</v>
      </c>
      <c r="V42" s="164">
        <f t="shared" si="166"/>
        <v>1.103448275862069</v>
      </c>
      <c r="W42" s="63">
        <f>SUM(W37:W41)</f>
        <v>32</v>
      </c>
      <c r="X42" s="164">
        <f t="shared" si="190"/>
        <v>1</v>
      </c>
      <c r="Y42" s="63">
        <f>SUM(Y37:Y41)</f>
        <v>11</v>
      </c>
      <c r="Z42" s="301">
        <f t="shared" si="191"/>
        <v>0.37931034482758619</v>
      </c>
      <c r="AA42" s="63">
        <f>SUM(AA37:AA41)</f>
        <v>27</v>
      </c>
      <c r="AB42" s="63">
        <f>SUM(AB37:AB41)</f>
        <v>33</v>
      </c>
      <c r="AC42" s="164">
        <f t="shared" si="167"/>
        <v>1.2222222222222223</v>
      </c>
      <c r="AD42" s="63">
        <f>SUM(AD37:AD41)</f>
        <v>32</v>
      </c>
      <c r="AE42" s="164">
        <f t="shared" si="192"/>
        <v>0.96969696969696972</v>
      </c>
      <c r="AF42" s="63">
        <f>SUM(AF37:AF41)</f>
        <v>13</v>
      </c>
      <c r="AG42" s="301">
        <f t="shared" si="193"/>
        <v>0.48148148148148145</v>
      </c>
      <c r="AH42" s="63">
        <f>SUM(AH37:AH41)</f>
        <v>29</v>
      </c>
      <c r="AI42" s="63">
        <f>SUM(AI37:AI41)</f>
        <v>43</v>
      </c>
      <c r="AJ42" s="164">
        <f t="shared" si="168"/>
        <v>1.4827586206896552</v>
      </c>
      <c r="AK42" s="63">
        <f>SUM(AK37:AK41)</f>
        <v>42</v>
      </c>
      <c r="AL42" s="156">
        <f t="shared" si="194"/>
        <v>0.97674418604651159</v>
      </c>
      <c r="AM42" s="63">
        <f>SUM(AM37:AM41)</f>
        <v>15</v>
      </c>
      <c r="AN42" s="301">
        <f t="shared" si="195"/>
        <v>0.51724137931034486</v>
      </c>
      <c r="AO42" s="63">
        <f>SUM(AO37:AO41)</f>
        <v>30</v>
      </c>
      <c r="AP42" s="63">
        <f>SUM(AP37:AP41)</f>
        <v>53</v>
      </c>
      <c r="AQ42" s="164">
        <f t="shared" si="169"/>
        <v>1.7666666666666666</v>
      </c>
      <c r="AR42" s="63">
        <f>SUM(AR37:AR41)</f>
        <v>53</v>
      </c>
      <c r="AS42" s="156">
        <f t="shared" si="196"/>
        <v>1</v>
      </c>
      <c r="AT42" s="63">
        <f>SUM(AT37:AT41)</f>
        <v>15</v>
      </c>
      <c r="AU42" s="301">
        <f t="shared" si="197"/>
        <v>0.5</v>
      </c>
      <c r="AV42" s="63">
        <f>SUM(AV37:AV41)</f>
        <v>27</v>
      </c>
      <c r="AW42" s="63">
        <f>SUM(AW37:AW41)</f>
        <v>0</v>
      </c>
      <c r="AX42" s="164">
        <f t="shared" si="170"/>
        <v>0</v>
      </c>
      <c r="AY42" s="63">
        <f>SUM(AY37:AY41)</f>
        <v>0</v>
      </c>
      <c r="AZ42" s="156">
        <f t="shared" si="198"/>
        <v>0</v>
      </c>
      <c r="BA42" s="63">
        <f>SUM(BA37:BA41)</f>
        <v>0</v>
      </c>
      <c r="BB42" s="301">
        <f t="shared" si="199"/>
        <v>0</v>
      </c>
      <c r="BC42" s="63">
        <f>SUM(BC37:BC41)</f>
        <v>25</v>
      </c>
      <c r="BD42" s="63">
        <f>SUM(BD37:BD41)</f>
        <v>0</v>
      </c>
      <c r="BE42" s="164">
        <f t="shared" si="171"/>
        <v>0</v>
      </c>
      <c r="BF42" s="63">
        <f>SUM(BF37:BF41)</f>
        <v>0</v>
      </c>
      <c r="BG42" s="156">
        <f t="shared" si="200"/>
        <v>0</v>
      </c>
      <c r="BH42" s="63">
        <f>SUM(BH37:BH41)</f>
        <v>0</v>
      </c>
      <c r="BI42" s="301">
        <f t="shared" si="201"/>
        <v>0</v>
      </c>
      <c r="BJ42" s="63">
        <f>SUM(BJ37:BJ41)</f>
        <v>27</v>
      </c>
      <c r="BK42" s="63">
        <f>SUM(BK37:BK41)</f>
        <v>0</v>
      </c>
      <c r="BL42" s="164">
        <f t="shared" si="172"/>
        <v>0</v>
      </c>
      <c r="BM42" s="63">
        <f>SUM(BM37:BM41)</f>
        <v>0</v>
      </c>
      <c r="BN42" s="156">
        <f t="shared" si="202"/>
        <v>0</v>
      </c>
      <c r="BO42" s="63">
        <f>SUM(BO37:BO41)</f>
        <v>0</v>
      </c>
      <c r="BP42" s="301">
        <f t="shared" si="203"/>
        <v>0</v>
      </c>
      <c r="BQ42" s="259">
        <f>SUM(BQ37:BQ41)</f>
        <v>27</v>
      </c>
      <c r="BR42" s="63">
        <f>SUM(BR37:BR41)</f>
        <v>0</v>
      </c>
      <c r="BS42" s="164">
        <f t="shared" si="173"/>
        <v>0</v>
      </c>
      <c r="BT42" s="63">
        <f>SUM(BT37:BT41)</f>
        <v>0</v>
      </c>
      <c r="BU42" s="156">
        <f t="shared" si="204"/>
        <v>0</v>
      </c>
      <c r="BV42" s="63">
        <f>SUM(BV37:BV41)</f>
        <v>0</v>
      </c>
      <c r="BW42" s="301">
        <f t="shared" si="205"/>
        <v>0</v>
      </c>
      <c r="BX42" s="259">
        <f>SUM(BX37:BX41)</f>
        <v>27</v>
      </c>
      <c r="BY42" s="63">
        <f>SUM(BY37:BY41)</f>
        <v>0</v>
      </c>
      <c r="BZ42" s="164">
        <f t="shared" si="174"/>
        <v>0</v>
      </c>
      <c r="CA42" s="260">
        <f>SUM(CA37:CA41)</f>
        <v>0</v>
      </c>
      <c r="CB42" s="156">
        <f t="shared" si="206"/>
        <v>0</v>
      </c>
      <c r="CC42" s="63">
        <f>SUM(CC37:CC41)</f>
        <v>0</v>
      </c>
      <c r="CD42" s="301">
        <f t="shared" si="207"/>
        <v>0</v>
      </c>
      <c r="CE42" s="63">
        <f>SUM(CE37:CE41)</f>
        <v>27</v>
      </c>
      <c r="CF42" s="63">
        <f>SUM(CF37:CF41)</f>
        <v>0</v>
      </c>
      <c r="CG42" s="164">
        <f t="shared" si="175"/>
        <v>0</v>
      </c>
      <c r="CH42" s="63">
        <f>SUM(CH37:CH41)</f>
        <v>0</v>
      </c>
      <c r="CI42" s="156">
        <f t="shared" si="208"/>
        <v>0</v>
      </c>
      <c r="CJ42" s="63">
        <f>SUM(CJ37:CJ41)</f>
        <v>0</v>
      </c>
      <c r="CK42" s="301">
        <f t="shared" si="209"/>
        <v>0</v>
      </c>
      <c r="CL42" s="63">
        <f>SUM(CL37:CL41)</f>
        <v>170</v>
      </c>
      <c r="CM42" s="65">
        <f>SUM(CM37:CM41)</f>
        <v>223</v>
      </c>
      <c r="CN42" s="157">
        <f t="shared" si="176"/>
        <v>1.3117647058823529</v>
      </c>
      <c r="CO42" s="65">
        <f>SUM(CO37:CO41)</f>
        <v>220</v>
      </c>
      <c r="CP42" s="321">
        <f>IFERROR(CO42/CM42,0)</f>
        <v>0.98654708520179368</v>
      </c>
      <c r="CQ42" s="349">
        <f>IF($CL$4="ENERO",K42,
IF($CL$4="FEBRERO",K42+R42,
IF($CL$4="MARZO",K42+R42+Y42,
IF($CL$4="ABRIL",K42+R42+Y42+AF42,
IF($CL$4="MAYO",K42+R42+Y42+AF42+AM42,
IF($CL$4="JUNIO",K42+R42+Y42+AF42+AM42+AT42,
IF($CL$4="JULIO",K42+R42+Y42+AF42+AM42+AT42+BA42,
IF($CL$4="AGOSTO",K42+R42+Y42+AF42+AM42+AT42+BA42+BH42,
IF($CL$4="SEPTIEMBRE",K42+R42+Y42+AF42+AM42+AT42+BA42+BH42+BO42,
IF($CL$4="OCTUBRE",K42+R42+Y42+AF42+AM42+AT42+BA42+BH42+BO42+BV42,
IF($CL$4="NOVIEMBRE",K42+R42+Y42+AF42+AM42+AT42+BA42+BH42+BO42+BV42+CC42,
IF($CL$4="DICIEMBRE",K42+R42+Y42+AF42+AM42+AT42+BA42+BH42+BO42+BV42+CC42+CJ42,""))))))))))))</f>
        <v>68</v>
      </c>
      <c r="CR42" s="320">
        <f t="shared" si="177"/>
        <v>0.4</v>
      </c>
      <c r="CS42" s="63">
        <f>SUM(CS37:CS41)</f>
        <v>330</v>
      </c>
      <c r="CT42" s="65">
        <f>SUM(CT37:CT41)</f>
        <v>223</v>
      </c>
      <c r="CU42" s="157">
        <f t="shared" si="52"/>
        <v>0.67575757575757578</v>
      </c>
      <c r="CV42" s="65">
        <f>SUM(CV37:CV41)</f>
        <v>220</v>
      </c>
      <c r="CW42" s="321">
        <f>IFERROR((CV42/CT42),0)</f>
        <v>0.98654708520179368</v>
      </c>
      <c r="CX42" s="349">
        <f>K42+R42+Y42+AF42+AM42+AT42+BA42+BH42+BO42+BV42+CC42+CJ42</f>
        <v>68</v>
      </c>
      <c r="CY42" s="320">
        <f t="shared" si="178"/>
        <v>0.20606060606060606</v>
      </c>
      <c r="CZ42" s="63">
        <f>SUM(CZ37:CZ41)</f>
        <v>84</v>
      </c>
      <c r="DA42" s="65">
        <f>SUM(DA37:DA41)</f>
        <v>94</v>
      </c>
      <c r="DB42" s="157">
        <f t="shared" si="179"/>
        <v>1.1190476190476191</v>
      </c>
      <c r="DC42" s="65">
        <f>SUM(DC37:DC41)</f>
        <v>93</v>
      </c>
      <c r="DD42" s="321">
        <f>IFERROR(DC42/DA42,0)</f>
        <v>0.98936170212765961</v>
      </c>
      <c r="DE42" s="349">
        <f>IF($CZ$5="Q1",K42+R42+Y42,
IF($CZ$5="Q2",AF42+AM42+AT42,
IF($CZ$5="Q3",BA42+BH42+BO42,
IF($CZ$5="Q4",BV42+CC42+CJ42,0))))</f>
        <v>25</v>
      </c>
      <c r="DF42" s="333">
        <f t="shared" si="180"/>
        <v>0.29761904761904762</v>
      </c>
      <c r="DG42" s="63">
        <f t="shared" si="89"/>
        <v>170</v>
      </c>
      <c r="DH42" s="65">
        <f t="shared" si="89"/>
        <v>223</v>
      </c>
      <c r="DI42" s="157">
        <f t="shared" si="181"/>
        <v>1.3117647058823529</v>
      </c>
      <c r="DJ42" s="65">
        <f>IF($DG$5="S 1",I42+P42+W42+AD42+AK42++AR42,
IF($DG$5="S 2",AY42+BF42+BM42+BT42+CA42+CH42,0))</f>
        <v>220</v>
      </c>
      <c r="DK42" s="321">
        <f t="shared" si="182"/>
        <v>0.98654708520179368</v>
      </c>
      <c r="DL42" s="349">
        <f>IF($DG$5="S 1",K42+R42+Y42+AF42+AM42+AT42,
IF($DG$5="S 2",BA42+BH42+BO42+BV42+CC42+CJ42,0))</f>
        <v>68</v>
      </c>
      <c r="DM42" s="333">
        <f t="shared" si="183"/>
        <v>0.4</v>
      </c>
      <c r="DN42" s="63">
        <f>IFERROR(SUM(DN37:DN41),0)</f>
        <v>154</v>
      </c>
      <c r="DO42" s="64">
        <f>IFERROR(SUM(DO37:DO41),0)</f>
        <v>0</v>
      </c>
      <c r="DP42" s="157">
        <f t="shared" si="216"/>
        <v>0</v>
      </c>
      <c r="DQ42" s="65">
        <f>IFERROR(SUM(DQ37:DQ41),0)</f>
        <v>0</v>
      </c>
      <c r="DR42" s="321" t="str">
        <f t="shared" si="217"/>
        <v>N.D.</v>
      </c>
      <c r="DS42" s="349">
        <f>IFERROR(SUM(DS37:DS41),0)</f>
        <v>0</v>
      </c>
      <c r="DT42" s="333">
        <f t="shared" si="218"/>
        <v>0</v>
      </c>
      <c r="DU42" s="53">
        <v>0</v>
      </c>
      <c r="DX42" s="53">
        <v>15</v>
      </c>
      <c r="DY42" s="53">
        <v>16</v>
      </c>
      <c r="DZ42" s="513">
        <v>0.9</v>
      </c>
      <c r="EB42" s="513">
        <v>0.88118811881188119</v>
      </c>
      <c r="EC42" s="53">
        <v>2</v>
      </c>
      <c r="ED42" s="513">
        <v>8.3333333333333329E-2</v>
      </c>
    </row>
    <row r="43" spans="1:134" s="53" customFormat="1" ht="16" customHeight="1" x14ac:dyDescent="0.3">
      <c r="A43" s="53">
        <f>_xlfn.XLOOKUP(B43,'UC MINI 2026'!$B$5:$B$61,'UC MINI 2026'!$A$5:$A$61)</f>
        <v>7</v>
      </c>
      <c r="B43" s="179">
        <v>100909</v>
      </c>
      <c r="C43" s="381" t="s">
        <v>255</v>
      </c>
      <c r="D43" s="146"/>
      <c r="E43" s="309" t="s">
        <v>254</v>
      </c>
      <c r="F43" s="54">
        <f>SUMIF('UC MINI 2026'!$B$5:$B$71,'UC MINI 2026 MINI NEXT'!$B43,'UC MINI 2026'!$F$5:$F$71)</f>
        <v>10</v>
      </c>
      <c r="G43" s="86">
        <f>SUMIF('UC MINI 2026'!$B$5:$B$71,'UC MINI 2026 MINI NEXT'!$B43,'UC MINI 2026'!$G$5:$G$71)</f>
        <v>6</v>
      </c>
      <c r="H43" s="296">
        <f t="shared" si="54"/>
        <v>0.6</v>
      </c>
      <c r="I43" s="86">
        <f>IFERROR(VLOOKUP(B43,[2]BPS!$S$10:$AF$64,3,0),0)-IF(B43=100873,IFERROR(VLOOKUP("Enero",[2]BPS!$S$74:$T$89,2,0),0),0)</f>
        <v>5</v>
      </c>
      <c r="J43" s="296">
        <f t="shared" si="55"/>
        <v>0.83333333333333337</v>
      </c>
      <c r="K43" s="86">
        <f>IFERROR(VLOOKUP(B43,'[2]RETAIL ORIGEN RMKT'!$S$11:$AF$62,3,0),0)</f>
        <v>0</v>
      </c>
      <c r="L43" s="147">
        <f t="shared" si="56"/>
        <v>0</v>
      </c>
      <c r="M43" s="79">
        <f>SUMIF('UC MINI 2026'!$B$5:$B$61,'UC MINI 2026 MINI NEXT'!$B43,'UC MINI 2026'!$H$5:$H$61)</f>
        <v>10</v>
      </c>
      <c r="N43" s="86">
        <f>SUMIF('UC MINI 2026'!$B$5:$B$61,'UC MINI 2026 MINI NEXT'!$B43,'UC MINI 2026'!$I$5:$I$61)</f>
        <v>5</v>
      </c>
      <c r="O43" s="296">
        <f t="shared" si="165"/>
        <v>0.5</v>
      </c>
      <c r="P43" s="86">
        <f>IFERROR(VLOOKUP(B43,[2]BPS!$S$10:$AF$64,4,0),0)-IF(B43=100873,IFERROR(VLOOKUP("FEBRERO",[2]BPS!$S$74:$T$89,2,0),0),0)</f>
        <v>5</v>
      </c>
      <c r="Q43" s="296">
        <f t="shared" si="188"/>
        <v>1</v>
      </c>
      <c r="R43" s="86">
        <f>IFERROR(VLOOKUP(B43,'[2]RETAIL ORIGEN RMKT'!$S$11:$AF$62,4,0),0)</f>
        <v>2</v>
      </c>
      <c r="S43" s="147">
        <f t="shared" si="189"/>
        <v>0.2</v>
      </c>
      <c r="T43" s="148">
        <f>SUMIF('UC MINI 2026'!$B$5:$B$71,'UC MINI 2026 MINI NEXT'!$B43,'UC MINI 2026'!$J$5:$J$71)</f>
        <v>10</v>
      </c>
      <c r="U43" s="86">
        <f>SUMIF('UC MINI 2026'!$B$10:$B$61,'UC MINI 2026 MINI NEXT'!$B43,'UC MINI 2026'!$K$10:$K$61)</f>
        <v>7</v>
      </c>
      <c r="V43" s="296">
        <f t="shared" si="166"/>
        <v>0.7</v>
      </c>
      <c r="W43" s="86">
        <f>IFERROR(VLOOKUP(B43,[2]BPS!$S$10:$AF$64,5,0),0)-IF(B43=100873,IFERROR(VLOOKUP("MARZO",[2]BPS!$S$74:$T$89,2,0),0),0)</f>
        <v>6</v>
      </c>
      <c r="X43" s="296">
        <f t="shared" si="190"/>
        <v>0.8571428571428571</v>
      </c>
      <c r="Y43" s="86">
        <f>IFERROR(VLOOKUP(B43,'[2]RETAIL ORIGEN RMKT'!$S$11:$AF$62,5,0),0)</f>
        <v>0</v>
      </c>
      <c r="Z43" s="147">
        <f t="shared" si="191"/>
        <v>0</v>
      </c>
      <c r="AA43" s="148">
        <f>SUMIF('UC MINI 2026'!$B$5:$B$61,'UC MINI 2026 MINI NEXT'!$B43,'UC MINI 2026'!$L$5:$L$61)</f>
        <v>10</v>
      </c>
      <c r="AB43" s="86">
        <f>SUMIF('UC MINI 2026'!$B$5:$B$61,'UC MINI 2026 MINI NEXT'!$B43,'UC MINI 2026'!$M$5:$M$61)</f>
        <v>13</v>
      </c>
      <c r="AC43" s="296">
        <f t="shared" si="167"/>
        <v>1.3</v>
      </c>
      <c r="AD43" s="86">
        <f>IFERROR(VLOOKUP(B43,[2]BPS!$S$10:$AF$64,6,0),0)-IF(B43=100873,IFERROR(VLOOKUP("ABRIL",[2]BPS!$S$74:$T$89,2,0),0),0)</f>
        <v>12</v>
      </c>
      <c r="AE43" s="285">
        <f t="shared" si="192"/>
        <v>0.92307692307692313</v>
      </c>
      <c r="AF43" s="86">
        <f>IFERROR(VLOOKUP(B43,'[2]RETAIL ORIGEN RMKT'!$S$11:$AF$62,6,0),0)</f>
        <v>4</v>
      </c>
      <c r="AG43" s="147">
        <f t="shared" si="193"/>
        <v>0.4</v>
      </c>
      <c r="AH43" s="148">
        <f>SUMIF('UC MINI 2026'!$B$5:$B$61,'UC MINI 2026 MINI NEXT'!$B43,'UC MINI 2026'!$N$5:$N$61)</f>
        <v>10</v>
      </c>
      <c r="AI43" s="86">
        <f>SUMIF('UC MINI 2026'!$B$5:$B$61,'UC MINI 2026 MINI NEXT'!$B43,'UC MINI 2026'!$O$5:$O$61)</f>
        <v>12</v>
      </c>
      <c r="AJ43" s="296">
        <f t="shared" si="168"/>
        <v>1.2</v>
      </c>
      <c r="AK43" s="86">
        <f>IFERROR(VLOOKUP(B43,[2]BPS!$S$10:$AF$64,7,0),0)-IF(B43=100873,IFERROR(VLOOKUP("MAYO",[2]BPS!$S$74:$T$89,2,0),0),0)</f>
        <v>8</v>
      </c>
      <c r="AL43" s="285">
        <f t="shared" si="194"/>
        <v>0.66666666666666663</v>
      </c>
      <c r="AM43" s="86">
        <f>IFERROR(VLOOKUP(B43,'[2]RETAIL ORIGEN RMKT'!$S$11:$AF$62,7,0),0)</f>
        <v>4</v>
      </c>
      <c r="AN43" s="147">
        <f t="shared" si="195"/>
        <v>0.4</v>
      </c>
      <c r="AO43" s="148">
        <f>SUMIF('UC MINI 2026'!$B$5:$B$61,'UC MINI 2026 MINI NEXT'!$B43,'UC MINI 2026'!$P$5:$P$61)</f>
        <v>10</v>
      </c>
      <c r="AP43" s="86">
        <f>SUMIF('UC MINI 2026'!$B$5:$B$61,'UC MINI 2026 MINI NEXT'!$B43,'UC MINI 2026'!$Q$5:$Q$61)</f>
        <v>12</v>
      </c>
      <c r="AQ43" s="296">
        <f t="shared" si="169"/>
        <v>1.2</v>
      </c>
      <c r="AR43" s="86">
        <f>IFERROR(VLOOKUP(B43,[2]BPS!$S$10:$AF$64,8,0),0)-IF(B43=100873,IFERROR(VLOOKUP("JUNIO",[2]BPS!$S$74:$T$89,2,0),0),0)</f>
        <v>8</v>
      </c>
      <c r="AS43" s="285">
        <f t="shared" si="196"/>
        <v>0.66666666666666663</v>
      </c>
      <c r="AT43" s="86">
        <f>IFERROR(VLOOKUP(B43,'[2]RETAIL ORIGEN RMKT'!$S$11:$AF$62,8,0),0)</f>
        <v>4</v>
      </c>
      <c r="AU43" s="147">
        <f t="shared" si="197"/>
        <v>0.4</v>
      </c>
      <c r="AV43" s="148">
        <f>SUMIF('UC MINI 2026'!$B$5:$B$61,'UC MINI 2026 MINI NEXT'!$B43,'UC MINI 2026'!$R$5:$R$61)</f>
        <v>0</v>
      </c>
      <c r="AW43" s="86">
        <f>SUMIF('UC MINI 2026'!$B$5:$B$61,'UC MINI 2026 MINI NEXT'!$B43,'UC MINI 2026'!$S$5:$S$61)</f>
        <v>0</v>
      </c>
      <c r="AX43" s="296">
        <f t="shared" si="170"/>
        <v>0</v>
      </c>
      <c r="AY43" s="86">
        <f>IFERROR(VLOOKUP(B43,[2]BPS!$S$10:$AF$64,9,0),0)-IF(B43=100873,IFERROR(VLOOKUP("JULIO",[2]BPS!$S$74:$T$89,2,0),0),0)</f>
        <v>0</v>
      </c>
      <c r="AZ43" s="285">
        <f t="shared" si="198"/>
        <v>0</v>
      </c>
      <c r="BA43" s="86">
        <f>IFERROR(VLOOKUP(I43,'[2]RETAIL ORIGEN RMKT'!$S$11:$AF$62,9,0),0)</f>
        <v>0</v>
      </c>
      <c r="BB43" s="147">
        <f t="shared" si="199"/>
        <v>0</v>
      </c>
      <c r="BC43" s="148">
        <f>SUMIF('UC MINI 2026'!$B$5:$B$61,'UC MINI 2026 MINI NEXT'!$B43,'UC MINI 2026'!$T$5:$T$61)</f>
        <v>0</v>
      </c>
      <c r="BD43" s="86">
        <f>SUMIF('UC MINI 2026'!$B$5:$B$61,'UC MINI 2026 MINI NEXT'!$B43,'UC MINI 2026'!$U$5:$U$61)</f>
        <v>0</v>
      </c>
      <c r="BE43" s="296">
        <f t="shared" si="171"/>
        <v>0</v>
      </c>
      <c r="BF43" s="86">
        <f>IFERROR(VLOOKUP(B43,[2]BPS!$S$10:$AF$64,10,0),0)-IF(B43=100873,IFERROR(VLOOKUP("AGOSTO",[2]BPS!$S$74:$T$89,2,0),0),0)</f>
        <v>0</v>
      </c>
      <c r="BG43" s="285">
        <f t="shared" si="200"/>
        <v>0</v>
      </c>
      <c r="BH43" s="86">
        <f>IFERROR(VLOOKUP(P43,'[2]RETAIL ORIGEN RMKT'!$S$11:$AF$62,10,0),0)</f>
        <v>0</v>
      </c>
      <c r="BI43" s="147">
        <f t="shared" si="201"/>
        <v>0</v>
      </c>
      <c r="BJ43" s="148">
        <f>SUMIF('UC MINI 2026'!$B$5:$B$61,'UC MINI 2026 MINI NEXT'!$B43,'UC MINI 2026'!$V$5:$V$61)</f>
        <v>0</v>
      </c>
      <c r="BK43" s="86">
        <f>SUMIF('UC MINI 2026'!$B$5:$B$61,'UC MINI 2026 MINI NEXT'!$B43,'UC MINI 2026'!$W$5:$W$61)</f>
        <v>0</v>
      </c>
      <c r="BL43" s="296">
        <f t="shared" si="172"/>
        <v>0</v>
      </c>
      <c r="BM43" s="86">
        <f>IFERROR(VLOOKUP(B43,[2]BPS!$S$10:$AF$64,11,0),0)-IF(B43=100873,IFERROR(VLOOKUP("SEPTIEMBRE",[2]BPS!$S$74:$T$89,2,0),0),0)</f>
        <v>0</v>
      </c>
      <c r="BN43" s="285">
        <f t="shared" si="202"/>
        <v>0</v>
      </c>
      <c r="BO43" s="86">
        <f>IFERROR(VLOOKUP(W43,'[2]RETAIL ORIGEN RMKT'!$S$11:$AF$62,11,0),0)</f>
        <v>0</v>
      </c>
      <c r="BP43" s="147">
        <f t="shared" si="203"/>
        <v>0</v>
      </c>
      <c r="BQ43" s="148">
        <f>SUMIF('UC MINI 2026'!$B$5:$B$61,'UC MINI 2026 MINI NEXT'!$B43,'UC MINI 2026'!$V$5:$V$61)</f>
        <v>0</v>
      </c>
      <c r="BR43" s="86">
        <f>SUMIF('UC MINI 2026'!$B$5:$B$61,'UC MINI 2026 MINI NEXT'!$B43,'UC MINI 2026'!$Y$5:$Y$61)</f>
        <v>0</v>
      </c>
      <c r="BS43" s="296">
        <f t="shared" si="173"/>
        <v>0</v>
      </c>
      <c r="BT43" s="86">
        <f>IFERROR(VLOOKUP(B43,[2]BPS!$S$10:$AF$64,12,0),0)-IF(B43=100873,IFERROR(VLOOKUP("OCTUBRE",[2]BPS!$S$74:$T$89,2,0),0),0)</f>
        <v>0</v>
      </c>
      <c r="BU43" s="285">
        <f t="shared" si="204"/>
        <v>0</v>
      </c>
      <c r="BV43" s="86">
        <f>IFERROR(VLOOKUP(AD43,'[2]RETAIL ORIGEN RMKT'!$S$11:$AF$62,12,0),0)</f>
        <v>0</v>
      </c>
      <c r="BW43" s="147">
        <f t="shared" si="205"/>
        <v>0</v>
      </c>
      <c r="BX43" s="148">
        <f>SUMIF('UC MINI 2026'!$B$5:$B$61,'UC MINI 2026 MINI NEXT'!$B43,'UC MINI 2026'!$V$5:$V$61)</f>
        <v>0</v>
      </c>
      <c r="BY43" s="86">
        <f>SUMIF('UC MINI 2026'!$B$5:$B$61,'UC MINI 2026 MINI NEXT'!$B43,'UC MINI 2026'!$AA$5:$AA$61)</f>
        <v>0</v>
      </c>
      <c r="BZ43" s="296">
        <f t="shared" si="174"/>
        <v>0</v>
      </c>
      <c r="CA43" s="86">
        <f>IFERROR(VLOOKUP(B43,[2]BPS!$S$10:$AF$64,13,0),0)-IF(B43=100873,IFERROR(VLOOKUP("NOVIEMBRE",[2]BPS!$S$74:$T$89,2,0),0),0)</f>
        <v>0</v>
      </c>
      <c r="CB43" s="285">
        <f t="shared" si="206"/>
        <v>0</v>
      </c>
      <c r="CC43" s="86">
        <f>IFERROR(VLOOKUP(AK43,'[2]RETAIL ORIGEN RMKT'!$S$11:$AF$62,13,0),0)</f>
        <v>0</v>
      </c>
      <c r="CD43" s="147">
        <f t="shared" si="207"/>
        <v>0</v>
      </c>
      <c r="CE43" s="148">
        <f>SUMIF('UC MINI 2026'!$B$5:$B$61,'UC MINI 2026 MINI NEXT'!$B43,'UC MINI 2026'!$V$5:$V$61)</f>
        <v>0</v>
      </c>
      <c r="CF43" s="86">
        <f>SUMIF('UC MINI 2026'!$B$5:$B$61,'UC MINI 2026 MINI NEXT'!$B43,'UC MINI 2026'!$AC$5:$AC$61)</f>
        <v>0</v>
      </c>
      <c r="CG43" s="296">
        <f t="shared" si="175"/>
        <v>0</v>
      </c>
      <c r="CH43" s="86">
        <f>IFERROR(VLOOKUP(B43,[2]BPS!$S$10:$AF$64,14,0),0)-IF(B43=100873,IFERROR(VLOOKUP("DICIEMBRE",[2]BPS!$S$74:$T$89,2,0),0),0)</f>
        <v>0</v>
      </c>
      <c r="CI43" s="285">
        <f t="shared" si="208"/>
        <v>0</v>
      </c>
      <c r="CJ43" s="86">
        <f>IFERROR(VLOOKUP(AR43,'[2]RETAIL ORIGEN RMKT'!$S$11:$AF$62,14,0),0)</f>
        <v>0</v>
      </c>
      <c r="CK43" s="147">
        <f t="shared" si="209"/>
        <v>0</v>
      </c>
      <c r="CL43" s="67">
        <f>IF($CL$4="ENERO",F43,IF($CL$4="FEBRERO",F43+M43,IF($CL$4="MARZO",F43+M43+T43,IF($CL$4="ABRIL",F43+M43+T43+AA43,IF($CL$4="MAYO",F43+M43+T43+AA43+AH43,IF($CL$4="JUNIO",F43+M43+T43+AA43+AH43+AO43,IF($CL$4="JULIO",F43+M43+T43+AA43+AH43+AO43+AV43,IF($CL$4="AGOSTO",F43+M43+T43+AA43+AH43+AO43+AV43+BC43,IF($CL$4="SEPTIEMBRE",F43+M43+T43+AA43+AH43+AO43+AV43+BC43+BJ43,IF($CL$4="OCTUBRE",F43+M43+T43+AA43+AH43+AO43+AV43+BC43+BJ43+BQ43,IF($CL$4="NOVIEMBRE",F43+M43+T43+AA43+AH43+AO43+AV43+BC43+BJ43+BQ43+BX43,IF($CL$4="DICIEMBRE",F43+M43+T43+AA43+AH43+AO43+AV43+BC43+BJ43+BQ43+BX43+CE43,""))))))))))))</f>
        <v>60</v>
      </c>
      <c r="CM43" s="68">
        <f>IF($CL$4="ENERO",G43,IF($CL$4="FEBRERO",G43+N43,IF($CL$4="MARZO",G43+N43+U43,IF($CL$4="ABRIL",G43+N43+U43+AB43,IF($CL$4="MAYO",G43+N43+U43+AB43+AI43,IF($CL$4="JUNIO",G43+N43+U43+AB43+AI43+AP43,IF($CL$4="JULIO",G43+N43+U43+AB43+AI43+AP43+AW43,IF($CL$4="AGOSTO",G43+N43+U43+AB43+AI43+AP43+AW43+BD43,IF($CL$4="SEPTIEMBRE",G43+N43+U43+AB43+AI43+AP43+AW43+BD43+BK43,IF($CL$4="OCTUBRE",G43+N43+U43+AB43+AI43+AP43+AW43+BD43+BK43+BR43,IF($CL$4="NOVIEMBRE",G43+N43+U43+AB43+AI43+AP43+AW43+BD43+BK43+BR43+BY43,IF($CL$4="DICIEMBRE",G43+N43+U43+AB43+AI43+AP43+AW43+BD43+BK43+BR43+BY43+CF43,""))))))))))))</f>
        <v>55</v>
      </c>
      <c r="CN43" s="116">
        <f t="shared" si="176"/>
        <v>0.91666666666666663</v>
      </c>
      <c r="CO43" s="68">
        <f>IF($CL$4="ENERO",I43,IF($CL$4="FEBRERO",I43+P43,IF($CL$4="MARZO",I43+P43+W43,IF($CL$4="ABRIL",I43+P43+W43+AD43,IF($CL$4="MAYO",I43+P43+W43+AD43+AK43,IF($CL$4="JUNIO",I43+P43+W43+AD43+AK43+AR43,IF($CL$4="JULIO",I43+P43+W43+AD43+AK43+AR43+AY43,IF($CL$4="AGOSTO",I43+P43+W43+AD43+AK43+AR43+AY43+BF43,IF($CL$4="SEPTIEMBRE",I43+P43+W43+AD43+AK43+AR43+AY43+BF43+BM43,IF($CL$4="OCTUBRE",I43+P43+W43+AD43+AK43+AR43+AY43+BF43+BM43+BT43,IF($CL$4="NOVIEMBRE",I43+P43+W43+AD43+AK43+AR43+AY43+BF43+BM43+BT43+CA43,IF($CL$4="DICIEMBRE",I43+P43+W43+AD43+AK43+AR43+AY43+BF43+BM43+BT43+CA43+CH43,""))))))))))))</f>
        <v>44</v>
      </c>
      <c r="CP43" s="297">
        <f>IFERROR(IF(CM43=0,"N.D.",CO43/CM43),0)</f>
        <v>0.8</v>
      </c>
      <c r="CQ43" s="350">
        <f>IFERROR(IF($CL$4="ENERO",K43,
IF($CL$4="FEBRERO",K43+R43,
IF($CL$4="MARZO",K43+R43+Y43,
IF($CL$4="ABRIL",K43+R43+Y43+AF43,
IF($CL$4="MAYO",K43+R43+Y43+AF43+AM43,
IF($CL$4="JUNIO",K43+R43+Y43+AF43+AM43+AT43,
IF($CL$4="JULIO",K43+R43+Y43+AF43+AM43+AT43+BA43,
IF($CL$4="AGOSTO",K43+R43+Y43+AF43+AM43+AT43+BA43+BH43,
IF($CL$4="SEPTIEMBRE",K43+R43+Y43+AF43+AM43+AT43+BA43+BH43+BO43,
IF($CL$4="OCTUBRE",K43+R43+Y43+AF43+AM43+AT43+BA43+BH43+BO43+BV43,
IF($CL$4="NOVIEMBRE",K43+R43+Y43+AF43+AM43+AT43+BA43+BH43+BO43+BV43+CC43,
IF($CL$4="DICIEMBRE",K43+R43+Y43+AF43+AM43+AT43+BA43+BH43+BO43+BV43+CC43+CJ43,"")))))))))))),0)</f>
        <v>14</v>
      </c>
      <c r="CR43" s="161">
        <f t="shared" si="177"/>
        <v>0.23333333333333334</v>
      </c>
      <c r="CS43" s="67">
        <f>+F43+M43+T43+AA43+AH43+AO43++AV43+BC43+BJ43+BQ43+BX43+CE43</f>
        <v>60</v>
      </c>
      <c r="CT43" s="68">
        <f>SUMIFS($F43:$CI43,$F$6:$CI$6,CT$6,$F$2:$CI$2,$CL$4)</f>
        <v>55</v>
      </c>
      <c r="CU43" s="116">
        <f t="shared" si="52"/>
        <v>0.91666666666666663</v>
      </c>
      <c r="CV43" s="68">
        <f>IFERROR(I43+P43+W43+AD43+AK43+AR43+AY43+BF43+BM43+BT43+CA43+CH43,0)</f>
        <v>44</v>
      </c>
      <c r="CW43" s="297">
        <f>IF(CT43=0,"N.D.",CV43/CT43)</f>
        <v>0.8</v>
      </c>
      <c r="CX43" s="350">
        <f>IFERROR(K43+R43+Y43+AF43+AM43+AT43+BA43+BH43+BO43+BV43+CC43+CJ43,0)</f>
        <v>14</v>
      </c>
      <c r="CY43" s="161">
        <f t="shared" si="178"/>
        <v>0.23333333333333334</v>
      </c>
      <c r="CZ43" s="67">
        <f>IF($CZ$5="Q1",F43+M43+T43,
IF($CZ$5="Q2",AA43+AH43++AO43,
IF($CZ$5="Q3",AV43+BC43+BJ43,
IF($CZ$5="Q4",BQ43+BX43+CE43,0))))</f>
        <v>30</v>
      </c>
      <c r="DA43" s="68">
        <f>IF($CZ$5="Q1",G43+N43+U43,
IF($CZ$5="Q2",AB43+AI43++AP43,
IF($CZ$5="Q3",AW43+BD43+BK43,
IF($CZ$5="Q4",BR43+BY43+CF43,0))))</f>
        <v>18</v>
      </c>
      <c r="DB43" s="116">
        <f t="shared" si="179"/>
        <v>0.6</v>
      </c>
      <c r="DC43" s="68">
        <f>IFERROR(IF($CZ$5="Q1",I43+P43+W43,
IF($CZ$5="Q2",AD43+AK43++AR43,
IF($CZ$5="Q3",AY43+BF43+BM43,
IF($CZ$5="Q4",BT43+CA43+CH43,0)))),0)</f>
        <v>16</v>
      </c>
      <c r="DD43" s="297">
        <f>IF(DA43=0,"N.D.",DC43/DA43)</f>
        <v>0.88888888888888884</v>
      </c>
      <c r="DE43" s="350">
        <f>IFERROR(IF($CZ$5="Q1",K43+R43+Y43,
IF($CZ$5="Q2",AF43+AM43+AT43,
IF($CZ$5="Q3",BA43+BH43+BO43,
IF($CZ$5="Q4",BV43+CC43+CJ43,0)))),0)</f>
        <v>2</v>
      </c>
      <c r="DF43" s="162">
        <f t="shared" si="180"/>
        <v>6.6666666666666666E-2</v>
      </c>
      <c r="DG43" s="67">
        <f t="shared" si="89"/>
        <v>60</v>
      </c>
      <c r="DH43" s="68">
        <f t="shared" si="89"/>
        <v>55</v>
      </c>
      <c r="DI43" s="116">
        <f t="shared" si="181"/>
        <v>0.91666666666666663</v>
      </c>
      <c r="DJ43" s="68">
        <f>IFERROR(IF($DG$5="S 1",I43+P43+W43+AD43+AK43++AR43,
IF($DG$5="S 2",AY43+BF43+BM43+BT43+CA43+CH43,0)),0)</f>
        <v>44</v>
      </c>
      <c r="DK43" s="297">
        <f t="shared" si="182"/>
        <v>0.8</v>
      </c>
      <c r="DL43" s="350">
        <f>IFERROR(IF($DG$5="S 1",K43+R43+Y43+AF43+AM43+AT43,
IF($DG$5="S 2",BA43+BH43+BO43+BV43+CC43+CJ43,0)),0)</f>
        <v>14</v>
      </c>
      <c r="DM43" s="162">
        <f t="shared" si="183"/>
        <v>0.23333333333333334</v>
      </c>
      <c r="DN43" s="67">
        <f>IF($DN$5="S 1",F43+M43+T43+AA43+AH43+AO43,
IF($DN$5="S 2",AV43+BC43+BJ43+BQ43+BX43+CE43,0))</f>
        <v>0</v>
      </c>
      <c r="DO43" s="266">
        <f>IF($DN$5="S 1",G43+N43+U43+AB43+AI43+AP43,
IF($DN$5="S 2",AW43+BD43+BK43+BR43+BY43+CF43,0))</f>
        <v>0</v>
      </c>
      <c r="DP43" s="116">
        <f t="shared" si="216"/>
        <v>0</v>
      </c>
      <c r="DQ43" s="68">
        <f>IFERROR(IF($DN$5="S 1",I43+P43+W43+AD43+AK43++AR43,
IF($DN$5="S 2",AY43+BF43+BM43+BT43+CA43+CH43,0)),0)</f>
        <v>0</v>
      </c>
      <c r="DR43" s="297" t="str">
        <f t="shared" si="217"/>
        <v>N.D.</v>
      </c>
      <c r="DS43" s="350">
        <f>IFERROR(IF($DN$5="S 1",K43+R43+Y43+AF43+AM43+AT43,
IF($DN$5="S 2",BA43+BH43+BO43+BV43+CC43+CJ43,0)),0)</f>
        <v>0</v>
      </c>
      <c r="DT43" s="162">
        <f t="shared" si="218"/>
        <v>0</v>
      </c>
      <c r="DU43" s="53">
        <v>1</v>
      </c>
      <c r="DX43" s="53">
        <v>15</v>
      </c>
      <c r="DY43" s="53">
        <v>15</v>
      </c>
      <c r="DZ43" s="513">
        <v>0.85</v>
      </c>
      <c r="EB43" s="513">
        <v>0.8666666666666667</v>
      </c>
      <c r="EC43" s="53">
        <v>1</v>
      </c>
      <c r="ED43" s="513">
        <v>7.6923076923076927E-2</v>
      </c>
    </row>
    <row r="44" spans="1:134" s="53" customFormat="1" ht="16" customHeight="1" thickBot="1" x14ac:dyDescent="0.35">
      <c r="A44" s="53">
        <f>_xlfn.XLOOKUP(B44,'UC MINI 2026'!$B$5:$B$61,'UC MINI 2026'!$A$5:$A$61)</f>
        <v>7</v>
      </c>
      <c r="B44" s="179">
        <v>100572</v>
      </c>
      <c r="C44" s="381" t="s">
        <v>55</v>
      </c>
      <c r="D44" s="146"/>
      <c r="E44" s="309" t="s">
        <v>274</v>
      </c>
      <c r="F44" s="54">
        <f>SUMIF('UC MINI 2026'!$B$5:$B$71,'UC MINI 2026 MINI NEXT'!$B44,'UC MINI 2026'!$F$5:$F$71)</f>
        <v>22</v>
      </c>
      <c r="G44" s="86">
        <f>SUMIF('UC MINI 2026'!$B$5:$B$71,'UC MINI 2026 MINI NEXT'!$B44,'UC MINI 2026'!$G$5:$G$71)</f>
        <v>19</v>
      </c>
      <c r="H44" s="297">
        <f t="shared" si="54"/>
        <v>0.86363636363636365</v>
      </c>
      <c r="I44" s="86">
        <f>IFERROR(VLOOKUP(B44,[2]BPS!$S$10:$AF$64,3,0),0)-IF(B44=100873,IFERROR(VLOOKUP("Enero",[2]BPS!$S$74:$T$89,2,0),0),0)</f>
        <v>19</v>
      </c>
      <c r="J44" s="297">
        <f t="shared" si="55"/>
        <v>1</v>
      </c>
      <c r="K44" s="86">
        <f>IFERROR(VLOOKUP(B44,'[2]RETAIL ORIGEN RMKT'!$S$11:$AF$62,3,0),0)</f>
        <v>1</v>
      </c>
      <c r="L44" s="150">
        <f t="shared" si="56"/>
        <v>4.5454545454545456E-2</v>
      </c>
      <c r="M44" s="79">
        <f>SUMIF('UC MINI 2026'!$B$5:$B$61,'UC MINI 2026 MINI NEXT'!$B44,'UC MINI 2026'!$H$5:$H$61)</f>
        <v>22</v>
      </c>
      <c r="N44" s="86">
        <f>SUMIF('UC MINI 2026'!$B$5:$B$61,'UC MINI 2026 MINI NEXT'!$B44,'UC MINI 2026'!$I$5:$I$61)</f>
        <v>29</v>
      </c>
      <c r="O44" s="297">
        <f t="shared" si="165"/>
        <v>1.3181818181818181</v>
      </c>
      <c r="P44" s="86">
        <f>IFERROR(VLOOKUP(B44,[2]BPS!$S$10:$AF$64,4,0),0)-IF(B44=100873,IFERROR(VLOOKUP("FEBRERO",[2]BPS!$S$74:$T$89,2,0),0),0)</f>
        <v>28</v>
      </c>
      <c r="Q44" s="297">
        <f t="shared" si="188"/>
        <v>0.96551724137931039</v>
      </c>
      <c r="R44" s="86">
        <f>IFERROR(VLOOKUP(B44,'[2]RETAIL ORIGEN RMKT'!$S$11:$AF$62,4,0),0)</f>
        <v>10</v>
      </c>
      <c r="S44" s="150">
        <f t="shared" si="189"/>
        <v>0.45454545454545453</v>
      </c>
      <c r="T44" s="148">
        <f>SUMIF('UC MINI 2026'!$B$5:$B$71,'UC MINI 2026 MINI NEXT'!$B44,'UC MINI 2026'!$J$5:$J$71)</f>
        <v>23</v>
      </c>
      <c r="U44" s="86">
        <f>SUMIF('UC MINI 2026'!$B$10:$B$61,'UC MINI 2026 MINI NEXT'!$B44,'UC MINI 2026'!$K$10:$K$61)</f>
        <v>27</v>
      </c>
      <c r="V44" s="297">
        <f t="shared" si="166"/>
        <v>1.173913043478261</v>
      </c>
      <c r="W44" s="86">
        <f>IFERROR(VLOOKUP(B44,[2]BPS!$S$10:$AF$64,5,0),0)-IF(B44=100873,IFERROR(VLOOKUP("MARZO",[2]BPS!$S$74:$T$89,2,0),0),0)</f>
        <v>25</v>
      </c>
      <c r="X44" s="297">
        <f t="shared" si="190"/>
        <v>0.92592592592592593</v>
      </c>
      <c r="Y44" s="86">
        <f>IFERROR(VLOOKUP(B44,'[2]RETAIL ORIGEN RMKT'!$S$11:$AF$62,5,0),0)</f>
        <v>11</v>
      </c>
      <c r="Z44" s="150">
        <f t="shared" si="191"/>
        <v>0.47826086956521741</v>
      </c>
      <c r="AA44" s="148">
        <f>SUMIF('UC MINI 2026'!$B$5:$B$61,'UC MINI 2026 MINI NEXT'!$B44,'UC MINI 2026'!$L$5:$L$61)</f>
        <v>22</v>
      </c>
      <c r="AB44" s="86">
        <f>SUMIF('UC MINI 2026'!$B$5:$B$61,'UC MINI 2026 MINI NEXT'!$B44,'UC MINI 2026'!$M$5:$M$61)</f>
        <v>24</v>
      </c>
      <c r="AC44" s="297">
        <f t="shared" si="167"/>
        <v>1.0909090909090908</v>
      </c>
      <c r="AD44" s="86">
        <f>IFERROR(VLOOKUP(B44,[2]BPS!$S$10:$AF$64,6,0),0)-IF(B44=100873,IFERROR(VLOOKUP("ABRIL",[2]BPS!$S$74:$T$89,2,0),0),0)</f>
        <v>24</v>
      </c>
      <c r="AE44" s="285">
        <f t="shared" si="192"/>
        <v>1</v>
      </c>
      <c r="AF44" s="86">
        <f>IFERROR(VLOOKUP(B44,'[2]RETAIL ORIGEN RMKT'!$S$11:$AF$62,6,0),0)</f>
        <v>6</v>
      </c>
      <c r="AG44" s="150">
        <f t="shared" si="193"/>
        <v>0.27272727272727271</v>
      </c>
      <c r="AH44" s="148">
        <f>SUMIF('UC MINI 2026'!$B$5:$B$61,'UC MINI 2026 MINI NEXT'!$B44,'UC MINI 2026'!$N$5:$N$61)</f>
        <v>23</v>
      </c>
      <c r="AI44" s="86">
        <f>SUMIF('UC MINI 2026'!$B$5:$B$61,'UC MINI 2026 MINI NEXT'!$B44,'UC MINI 2026'!$O$5:$O$61)</f>
        <v>22</v>
      </c>
      <c r="AJ44" s="297">
        <f t="shared" si="168"/>
        <v>0.95652173913043481</v>
      </c>
      <c r="AK44" s="86">
        <f>IFERROR(VLOOKUP(B44,[2]BPS!$S$10:$AF$64,7,0),0)-IF(B44=100873,IFERROR(VLOOKUP("MAYO",[2]BPS!$S$74:$T$89,2,0),0),0)</f>
        <v>17</v>
      </c>
      <c r="AL44" s="285">
        <f t="shared" si="194"/>
        <v>0.77272727272727271</v>
      </c>
      <c r="AM44" s="86">
        <f>IFERROR(VLOOKUP(B44,'[2]RETAIL ORIGEN RMKT'!$S$11:$AF$62,7,0),0)</f>
        <v>6</v>
      </c>
      <c r="AN44" s="150">
        <f t="shared" si="195"/>
        <v>0.2608695652173913</v>
      </c>
      <c r="AO44" s="148">
        <f>SUMIF('UC MINI 2026'!$B$5:$B$61,'UC MINI 2026 MINI NEXT'!$B44,'UC MINI 2026'!$P$5:$P$61)</f>
        <v>23</v>
      </c>
      <c r="AP44" s="86">
        <f>SUMIF('UC MINI 2026'!$B$5:$B$61,'UC MINI 2026 MINI NEXT'!$B44,'UC MINI 2026'!$Q$5:$Q$61)</f>
        <v>32</v>
      </c>
      <c r="AQ44" s="297">
        <f t="shared" si="169"/>
        <v>1.3913043478260869</v>
      </c>
      <c r="AR44" s="86">
        <f>IFERROR(VLOOKUP(B44,[2]BPS!$S$10:$AF$64,8,0),0)-IF(B44=100873,IFERROR(VLOOKUP("JUNIO",[2]BPS!$S$74:$T$89,2,0),0),0)</f>
        <v>24</v>
      </c>
      <c r="AS44" s="285">
        <f t="shared" si="196"/>
        <v>0.75</v>
      </c>
      <c r="AT44" s="86">
        <f>IFERROR(VLOOKUP(B44,'[2]RETAIL ORIGEN RMKT'!$S$11:$AF$62,8,0),0)</f>
        <v>6</v>
      </c>
      <c r="AU44" s="150">
        <f t="shared" si="197"/>
        <v>0.2608695652173913</v>
      </c>
      <c r="AV44" s="148">
        <f>SUMIF('UC MINI 2026'!$B$5:$B$61,'UC MINI 2026 MINI NEXT'!$B44,'UC MINI 2026'!$R$5:$R$61)</f>
        <v>0</v>
      </c>
      <c r="AW44" s="86">
        <f>SUMIF('UC MINI 2026'!$B$5:$B$61,'UC MINI 2026 MINI NEXT'!$B44,'UC MINI 2026'!$S$5:$S$61)</f>
        <v>0</v>
      </c>
      <c r="AX44" s="297">
        <f t="shared" si="170"/>
        <v>0</v>
      </c>
      <c r="AY44" s="86">
        <f>IFERROR(VLOOKUP(B44,[2]BPS!$S$10:$AF$64,9,0),0)-IF(B44=100873,IFERROR(VLOOKUP("JULIO",[2]BPS!$S$74:$T$89,2,0),0),0)</f>
        <v>0</v>
      </c>
      <c r="AZ44" s="285">
        <f t="shared" si="198"/>
        <v>0</v>
      </c>
      <c r="BA44" s="86">
        <f>IFERROR(VLOOKUP(I44,'[2]RETAIL ORIGEN RMKT'!$S$11:$AF$62,9,0),0)</f>
        <v>0</v>
      </c>
      <c r="BB44" s="150">
        <f t="shared" si="199"/>
        <v>0</v>
      </c>
      <c r="BC44" s="148">
        <f>SUMIF('UC MINI 2026'!$B$5:$B$61,'UC MINI 2026 MINI NEXT'!$B44,'UC MINI 2026'!$T$5:$T$61)</f>
        <v>0</v>
      </c>
      <c r="BD44" s="86">
        <f>SUMIF('UC MINI 2026'!$B$5:$B$61,'UC MINI 2026 MINI NEXT'!$B44,'UC MINI 2026'!$U$5:$U$61)</f>
        <v>0</v>
      </c>
      <c r="BE44" s="297">
        <f t="shared" si="171"/>
        <v>0</v>
      </c>
      <c r="BF44" s="86">
        <f>IFERROR(VLOOKUP(B44,[2]BPS!$S$10:$AF$64,10,0),0)-IF(B44=100873,IFERROR(VLOOKUP("AGOSTO",[2]BPS!$S$74:$T$89,2,0),0),0)</f>
        <v>0</v>
      </c>
      <c r="BG44" s="285">
        <f t="shared" si="200"/>
        <v>0</v>
      </c>
      <c r="BH44" s="86">
        <f>IFERROR(VLOOKUP(P44,'[2]RETAIL ORIGEN RMKT'!$S$11:$AF$62,10,0),0)</f>
        <v>0</v>
      </c>
      <c r="BI44" s="150">
        <f t="shared" si="201"/>
        <v>0</v>
      </c>
      <c r="BJ44" s="148">
        <f>SUMIF('UC MINI 2026'!$B$5:$B$61,'UC MINI 2026 MINI NEXT'!$B44,'UC MINI 2026'!$V$5:$V$61)</f>
        <v>0</v>
      </c>
      <c r="BK44" s="86">
        <f>SUMIF('UC MINI 2026'!$B$5:$B$61,'UC MINI 2026 MINI NEXT'!$B44,'UC MINI 2026'!$W$5:$W$61)</f>
        <v>0</v>
      </c>
      <c r="BL44" s="297">
        <f t="shared" si="172"/>
        <v>0</v>
      </c>
      <c r="BM44" s="86">
        <f>IFERROR(VLOOKUP(B44,[2]BPS!$S$10:$AF$64,11,0),0)-IF(B44=100873,IFERROR(VLOOKUP("SEPTIEMBRE",[2]BPS!$S$74:$T$89,2,0),0),0)</f>
        <v>0</v>
      </c>
      <c r="BN44" s="285">
        <f t="shared" si="202"/>
        <v>0</v>
      </c>
      <c r="BO44" s="86">
        <f>IFERROR(VLOOKUP(W44,'[2]RETAIL ORIGEN RMKT'!$S$11:$AF$62,11,0),0)</f>
        <v>0</v>
      </c>
      <c r="BP44" s="150">
        <f t="shared" si="203"/>
        <v>0</v>
      </c>
      <c r="BQ44" s="148">
        <f>SUMIF('UC MINI 2026'!$B$5:$B$61,'UC MINI 2026 MINI NEXT'!$B44,'UC MINI 2026'!$V$5:$V$61)</f>
        <v>0</v>
      </c>
      <c r="BR44" s="86">
        <f>SUMIF('UC MINI 2026'!$B$5:$B$61,'UC MINI 2026 MINI NEXT'!$B44,'UC MINI 2026'!$Y$5:$Y$61)</f>
        <v>0</v>
      </c>
      <c r="BS44" s="297">
        <f t="shared" si="173"/>
        <v>0</v>
      </c>
      <c r="BT44" s="86">
        <f>IFERROR(VLOOKUP(B44,[2]BPS!$S$10:$AF$64,12,0),0)-IF(B44=100873,IFERROR(VLOOKUP("OCTUBRE",[2]BPS!$S$74:$T$89,2,0),0),0)</f>
        <v>0</v>
      </c>
      <c r="BU44" s="285">
        <f t="shared" si="204"/>
        <v>0</v>
      </c>
      <c r="BV44" s="86">
        <f>IFERROR(VLOOKUP(AD44,'[2]RETAIL ORIGEN RMKT'!$S$11:$AF$62,12,0),0)</f>
        <v>0</v>
      </c>
      <c r="BW44" s="150">
        <f t="shared" si="205"/>
        <v>0</v>
      </c>
      <c r="BX44" s="148">
        <f>SUMIF('UC MINI 2026'!$B$5:$B$61,'UC MINI 2026 MINI NEXT'!$B44,'UC MINI 2026'!$V$5:$V$61)</f>
        <v>0</v>
      </c>
      <c r="BY44" s="86">
        <f>SUMIF('UC MINI 2026'!$B$5:$B$61,'UC MINI 2026 MINI NEXT'!$B44,'UC MINI 2026'!$AA$5:$AA$61)</f>
        <v>0</v>
      </c>
      <c r="BZ44" s="297">
        <f t="shared" si="174"/>
        <v>0</v>
      </c>
      <c r="CA44" s="86">
        <f>IFERROR(VLOOKUP(B44,[2]BPS!$S$10:$AF$64,13,0),0)-IF(B44=100873,IFERROR(VLOOKUP("NOVIEMBRE",[2]BPS!$S$74:$T$89,2,0),0),0)</f>
        <v>0</v>
      </c>
      <c r="CB44" s="285">
        <f t="shared" si="206"/>
        <v>0</v>
      </c>
      <c r="CC44" s="86">
        <f>IFERROR(VLOOKUP(AK44,'[2]RETAIL ORIGEN RMKT'!$S$11:$AF$62,13,0),0)</f>
        <v>0</v>
      </c>
      <c r="CD44" s="150">
        <f t="shared" si="207"/>
        <v>0</v>
      </c>
      <c r="CE44" s="148">
        <f>SUMIF('UC MINI 2026'!$B$5:$B$61,'UC MINI 2026 MINI NEXT'!$B44,'UC MINI 2026'!$V$5:$V$61)</f>
        <v>0</v>
      </c>
      <c r="CF44" s="86">
        <f>SUMIF('UC MINI 2026'!$B$5:$B$61,'UC MINI 2026 MINI NEXT'!$B44,'UC MINI 2026'!$AC$5:$AC$61)</f>
        <v>0</v>
      </c>
      <c r="CG44" s="297">
        <f t="shared" si="175"/>
        <v>0</v>
      </c>
      <c r="CH44" s="86">
        <f>IFERROR(VLOOKUP(B44,[2]BPS!$S$10:$AF$64,14,0),0)-IF(B44=100873,IFERROR(VLOOKUP("DICIEMBRE",[2]BPS!$S$74:$T$89,2,0),0),0)</f>
        <v>0</v>
      </c>
      <c r="CI44" s="285">
        <f t="shared" si="208"/>
        <v>0</v>
      </c>
      <c r="CJ44" s="86">
        <f>IFERROR(VLOOKUP(AR44,'[2]RETAIL ORIGEN RMKT'!$S$11:$AF$62,14,0),0)</f>
        <v>0</v>
      </c>
      <c r="CK44" s="150">
        <f t="shared" si="209"/>
        <v>0</v>
      </c>
      <c r="CL44" s="54">
        <f>IF($CL$4="ENERO",F44,IF($CL$4="FEBRERO",F44+M44,IF($CL$4="MARZO",F44+M44+T44,IF($CL$4="ABRIL",F44+M44+T44+AA44,IF($CL$4="MAYO",F44+M44+T44+AA44+AH44,IF($CL$4="JUNIO",F44+M44+T44+AA44+AH44+AO44,IF($CL$4="JULIO",F44+M44+T44+AA44+AH44+AO44+AV44,IF($CL$4="AGOSTO",F44+M44+T44+AA44+AH44+AO44+AV44+BC44,IF($CL$4="SEPTIEMBRE",F44+M44+T44+AA44+AH44+AO44+AV44+BC44+BJ44,IF($CL$4="OCTUBRE",F44+M44+T44+AA44+AH44+AO44+AV44+BC44+BJ44+BQ44,IF($CL$4="NOVIEMBRE",F44+M44+T44+AA44+AH44+AO44+AV44+BC44+BJ44+BQ44+BX44,IF($CL$4="DICIEMBRE",F44+M44+T44+AA44+AH44+AO44+AV44+BC44+BJ44+BQ44+BX44+CE44,""))))))))))))</f>
        <v>135</v>
      </c>
      <c r="CM44" s="86">
        <f>IF($CL$4="ENERO",G44,IF($CL$4="FEBRERO",G44+N44,IF($CL$4="MARZO",G44+N44+U44,IF($CL$4="ABRIL",G44+N44+U44+AB44,IF($CL$4="MAYO",G44+N44+U44+AB44+AI44,IF($CL$4="JUNIO",G44+N44+U44+AB44+AI44+AP44,IF($CL$4="JULIO",G44+N44+U44+AB44+AI44+AP44+AW44,IF($CL$4="AGOSTO",G44+N44+U44+AB44+AI44+AP44+AW44+BD44,IF($CL$4="SEPTIEMBRE",G44+N44+U44+AB44+AI44+AP44+AW44+BD44+BK44,IF($CL$4="OCTUBRE",G44+N44+U44+AB44+AI44+AP44+AW44+BD44+BK44+BR44,IF($CL$4="NOVIEMBRE",G44+N44+U44+AB44+AI44+AP44+AW44+BD44+BK44+BR44+BY44,IF($CL$4="DICIEMBRE",G44+N44+U44+AB44+AI44+AP44+AW44+BD44+BK44+BR44+BY44+CF44,""))))))))))))</f>
        <v>153</v>
      </c>
      <c r="CN44" s="109">
        <f t="shared" si="176"/>
        <v>1.1333333333333333</v>
      </c>
      <c r="CO44" s="86">
        <f>IF($CL$4="ENERO",I44,IF($CL$4="FEBRERO",I44+P44,IF($CL$4="MARZO",I44+P44+W44,IF($CL$4="ABRIL",I44+P44+W44+AD44,IF($CL$4="MAYO",I44+P44+W44+AD44+AK44,IF($CL$4="JUNIO",I44+P44+W44+AD44+AK44+AR44,IF($CL$4="JULIO",I44+P44+W44+AD44+AK44+AR44+AY44,IF($CL$4="AGOSTO",I44+P44+W44+AD44+AK44+AR44+AY44+BF44,IF($CL$4="SEPTIEMBRE",I44+P44+W44+AD44+AK44+AR44+AY44+BF44+BM44,IF($CL$4="OCTUBRE",I44+P44+W44+AD44+AK44+AR44+AY44+BF44+BM44+BT44,IF($CL$4="NOVIEMBRE",I44+P44+W44+AD44+AK44+AR44+AY44+BF44+BM44+BT44+CA44,IF($CL$4="DICIEMBRE",I44+P44+W44+AD44+AK44+AR44+AY44+BF44+BM44+BT44+CA44+CH44,""))))))))))))</f>
        <v>137</v>
      </c>
      <c r="CP44" s="297">
        <f>IFERROR(IF(CM44=0,"N.D.",CO44/CM44),0)</f>
        <v>0.89542483660130723</v>
      </c>
      <c r="CQ44" s="348">
        <f>IFERROR(IF($CL$4="ENERO",K44,
IF($CL$4="FEBRERO",K44+R44,
IF($CL$4="MARZO",K44+R44+Y44,
IF($CL$4="ABRIL",K44+R44+Y44+AF44,
IF($CL$4="MAYO",K44+R44+Y44+AF44+AM44,
IF($CL$4="JUNIO",K44+R44+Y44+AF44+AM44+AT44,
IF($CL$4="JULIO",K44+R44+Y44+AF44+AM44+AT44+BA44,
IF($CL$4="AGOSTO",K44+R44+Y44+AF44+AM44+AT44+BA44+BH44,
IF($CL$4="SEPTIEMBRE",K44+R44+Y44+AF44+AM44+AT44+BA44+BH44+BO44,
IF($CL$4="OCTUBRE",K44+R44+Y44+AF44+AM44+AT44+BA44+BH44+BO44+BV44,
IF($CL$4="NOVIEMBRE",K44+R44+Y44+AF44+AM44+AT44+BA44+BH44+BO44+BV44+CC44,
IF($CL$4="DICIEMBRE",K44+R44+Y44+AF44+AM44+AT44+BA44+BH44+BO44+BV44+CC44+CJ44,"")))))))))))),0)</f>
        <v>40</v>
      </c>
      <c r="CR44" s="149">
        <f t="shared" si="177"/>
        <v>0.29629629629629628</v>
      </c>
      <c r="CS44" s="54">
        <f>+F44+M44+T44+AA44+AH44+AO44++AV44+BC44+BJ44+BQ44+BX44+CE44</f>
        <v>135</v>
      </c>
      <c r="CT44" s="86">
        <f>SUMIFS($F44:$CI44,$F$6:$CI$6,CT$6,$F$2:$CI$2,$CL$4)</f>
        <v>153</v>
      </c>
      <c r="CU44" s="109">
        <f t="shared" si="52"/>
        <v>1.1333333333333333</v>
      </c>
      <c r="CV44" s="68">
        <f>IFERROR(I44+P44+W44+AD44+AK44+AR44+AY44+BF44+BM44+BT44+CA44+CH44,0)</f>
        <v>137</v>
      </c>
      <c r="CW44" s="297">
        <f>IF(CT44=0,"N.D.",CV44/CT44)</f>
        <v>0.89542483660130723</v>
      </c>
      <c r="CX44" s="350">
        <f>IFERROR(K44+R44+Y44+AF44+AM44+AT44+BA44+BH44+BO44+BV44+CC44+CJ44,0)</f>
        <v>40</v>
      </c>
      <c r="CY44" s="149">
        <f t="shared" si="178"/>
        <v>0.29629629629629628</v>
      </c>
      <c r="CZ44" s="54">
        <f>IF($CZ$5="Q1",F44+M44+T44,
IF($CZ$5="Q2",AA44+AH44++AO44,
IF($CZ$5="Q3",AV44+BC44+BJ44,
IF($CZ$5="Q4",BQ44+BX44+CE44,0))))</f>
        <v>67</v>
      </c>
      <c r="DA44" s="86">
        <f>IF($CZ$5="Q1",G44+N44+U44,
IF($CZ$5="Q2",AB44+AI44++AP44,
IF($CZ$5="Q3",AW44+BD44+BK44,
IF($CZ$5="Q4",BR44+BY44+CF44,0))))</f>
        <v>75</v>
      </c>
      <c r="DB44" s="109">
        <f t="shared" si="179"/>
        <v>1.1194029850746268</v>
      </c>
      <c r="DC44" s="68">
        <f>IFERROR(IF($CZ$5="Q1",I44+P44+W44,
IF($CZ$5="Q2",AD44+AK44++AR44,
IF($CZ$5="Q3",AY44+BF44+BM44,
IF($CZ$5="Q4",BT44+CA44+CH44,0)))),0)</f>
        <v>72</v>
      </c>
      <c r="DD44" s="297">
        <f>IF(DA44=0,"N.D.",DC44/DA44)</f>
        <v>0.96</v>
      </c>
      <c r="DE44" s="350">
        <f>IFERROR(IF($CZ$5="Q1",K44+R44+Y44,
IF($CZ$5="Q2",AF44+AM44+AT44,
IF($CZ$5="Q3",BA44+BH44+BO44,
IF($CZ$5="Q4",BV44+CC44+CJ44,0)))),0)</f>
        <v>22</v>
      </c>
      <c r="DF44" s="150">
        <f t="shared" si="180"/>
        <v>0.32835820895522388</v>
      </c>
      <c r="DG44" s="54">
        <f t="shared" si="89"/>
        <v>135</v>
      </c>
      <c r="DH44" s="86">
        <f t="shared" si="89"/>
        <v>153</v>
      </c>
      <c r="DI44" s="109">
        <f t="shared" si="181"/>
        <v>1.1333333333333333</v>
      </c>
      <c r="DJ44" s="68">
        <f>IFERROR(IF($DG$5="S 1",I44+P44+W44+AD44+AK44++AR44,
IF($DG$5="S 2",AY44+BF44+BM44+BT44+CA44+CH44,0)),0)</f>
        <v>137</v>
      </c>
      <c r="DK44" s="297">
        <f t="shared" si="182"/>
        <v>0.89542483660130723</v>
      </c>
      <c r="DL44" s="350">
        <f>IFERROR(IF($DG$5="S 1",K44+R44+Y44+AF44+AM44+AT44,
IF($DG$5="S 2",BA44+BH44+BO44+BV44+CC44+CJ44,0)),0)</f>
        <v>40</v>
      </c>
      <c r="DM44" s="150">
        <f t="shared" si="183"/>
        <v>0.29629629629629628</v>
      </c>
      <c r="DN44" s="67">
        <f>IF($DN$5="S 1",F44+M44+T44+AA44+AH44+AO44,
IF($DN$5="S 2",AV44+BC44+BJ44+BQ44+BX44+CE44,0))</f>
        <v>0</v>
      </c>
      <c r="DO44" s="266">
        <f>IF($DN$5="S 1",G44+N44+U44+AB44+AI44+AP44,
IF($DN$5="S 2",AW44+BD44+BK44+BR44+BY44+CF44,0))</f>
        <v>0</v>
      </c>
      <c r="DP44" s="109">
        <f t="shared" si="216"/>
        <v>0</v>
      </c>
      <c r="DQ44" s="68">
        <f>IFERROR(IF($DN$5="S 1",I44+P44+W44+AD44+AK44++AR44,
IF($DN$5="S 2",AY44+BF44+BM44+BT44+CA44+CH44,0)),0)</f>
        <v>0</v>
      </c>
      <c r="DR44" s="297" t="str">
        <f t="shared" si="217"/>
        <v>N.D.</v>
      </c>
      <c r="DS44" s="350">
        <f>IFERROR(IF($DN$5="S 1",K44+R44+Y44+AF44+AM44+AT44,
IF($DN$5="S 2",BA44+BH44+BO44+BV44+CC44+CJ44,0)),0)</f>
        <v>0</v>
      </c>
      <c r="DT44" s="150">
        <f t="shared" si="218"/>
        <v>0</v>
      </c>
      <c r="DU44" s="53">
        <v>1</v>
      </c>
      <c r="DX44" s="53">
        <v>15</v>
      </c>
      <c r="DY44" s="53">
        <v>14</v>
      </c>
      <c r="DZ44" s="513">
        <v>0.82608695652173914</v>
      </c>
      <c r="EB44" s="513">
        <v>0.84337349397590367</v>
      </c>
      <c r="EC44" s="53">
        <v>1</v>
      </c>
      <c r="ED44" s="513">
        <v>6.6666666666666666E-2</v>
      </c>
    </row>
    <row r="45" spans="1:134" s="53" customFormat="1" ht="16" customHeight="1" thickBot="1" x14ac:dyDescent="0.35">
      <c r="A45" s="53">
        <f>_xlfn.XLOOKUP(B45,'UC MINI 2026'!$B$5:$B$61,'UC MINI 2026'!$A$5:$A$61)</f>
        <v>0</v>
      </c>
      <c r="B45" s="180" t="s">
        <v>269</v>
      </c>
      <c r="C45" s="62"/>
      <c r="D45" s="146"/>
      <c r="E45" s="80"/>
      <c r="F45" s="63">
        <f>SUM(F43:F44)</f>
        <v>32</v>
      </c>
      <c r="G45" s="63">
        <f>SUM(G43:G44)</f>
        <v>25</v>
      </c>
      <c r="H45" s="164">
        <f t="shared" ref="H45:H50" si="219">IFERROR(G45/F45,0)</f>
        <v>0.78125</v>
      </c>
      <c r="I45" s="63">
        <f>SUM(I43:I44)</f>
        <v>24</v>
      </c>
      <c r="J45" s="164">
        <f t="shared" ref="J45:J50" si="220">IFERROR(I45/G45,0)</f>
        <v>0.96</v>
      </c>
      <c r="K45" s="63">
        <f>SUM(K43:K44)</f>
        <v>1</v>
      </c>
      <c r="L45" s="301">
        <f t="shared" ref="L45:L50" si="221">IFERROR(K45/F45,0)</f>
        <v>3.125E-2</v>
      </c>
      <c r="M45" s="63">
        <f>SUM(M43:M44)</f>
        <v>32</v>
      </c>
      <c r="N45" s="63">
        <f>SUM(N43:N44)</f>
        <v>34</v>
      </c>
      <c r="O45" s="164">
        <f t="shared" si="165"/>
        <v>1.0625</v>
      </c>
      <c r="P45" s="63">
        <f>SUM(P43:P44)</f>
        <v>33</v>
      </c>
      <c r="Q45" s="164">
        <f t="shared" si="188"/>
        <v>0.97058823529411764</v>
      </c>
      <c r="R45" s="63">
        <f>SUM(R43:R44)</f>
        <v>12</v>
      </c>
      <c r="S45" s="301">
        <f t="shared" si="189"/>
        <v>0.375</v>
      </c>
      <c r="T45" s="63">
        <f>SUM(T43:T44)</f>
        <v>33</v>
      </c>
      <c r="U45" s="63">
        <f>SUM(U43:U44)</f>
        <v>34</v>
      </c>
      <c r="V45" s="164">
        <f t="shared" si="166"/>
        <v>1.0303030303030303</v>
      </c>
      <c r="W45" s="63">
        <f>SUM(W43:W44)</f>
        <v>31</v>
      </c>
      <c r="X45" s="164">
        <f t="shared" si="190"/>
        <v>0.91176470588235292</v>
      </c>
      <c r="Y45" s="63">
        <f>SUM(Y43:Y44)</f>
        <v>11</v>
      </c>
      <c r="Z45" s="301">
        <f t="shared" si="191"/>
        <v>0.33333333333333331</v>
      </c>
      <c r="AA45" s="63">
        <f>SUM(AA43:AA44)</f>
        <v>32</v>
      </c>
      <c r="AB45" s="63">
        <f>SUM(AB43:AB44)</f>
        <v>37</v>
      </c>
      <c r="AC45" s="164">
        <f t="shared" si="167"/>
        <v>1.15625</v>
      </c>
      <c r="AD45" s="63">
        <f>SUM(AD43:AD44)</f>
        <v>36</v>
      </c>
      <c r="AE45" s="164">
        <f t="shared" si="192"/>
        <v>0.97297297297297303</v>
      </c>
      <c r="AF45" s="63">
        <f>SUM(AF43:AF44)</f>
        <v>10</v>
      </c>
      <c r="AG45" s="301">
        <f t="shared" si="193"/>
        <v>0.3125</v>
      </c>
      <c r="AH45" s="63">
        <f>SUM(AH43:AH44)</f>
        <v>33</v>
      </c>
      <c r="AI45" s="63">
        <f>SUM(AI43:AI44)</f>
        <v>34</v>
      </c>
      <c r="AJ45" s="164">
        <f t="shared" si="168"/>
        <v>1.0303030303030303</v>
      </c>
      <c r="AK45" s="63">
        <f>SUM(AK43:AK44)</f>
        <v>25</v>
      </c>
      <c r="AL45" s="164">
        <f t="shared" si="194"/>
        <v>0.73529411764705888</v>
      </c>
      <c r="AM45" s="63">
        <f>SUM(AM43:AM44)</f>
        <v>10</v>
      </c>
      <c r="AN45" s="301">
        <f t="shared" si="195"/>
        <v>0.30303030303030304</v>
      </c>
      <c r="AO45" s="63">
        <f>SUM(AO43:AO44)</f>
        <v>33</v>
      </c>
      <c r="AP45" s="63">
        <f>SUM(AP43:AP44)</f>
        <v>44</v>
      </c>
      <c r="AQ45" s="164">
        <f t="shared" si="169"/>
        <v>1.3333333333333333</v>
      </c>
      <c r="AR45" s="63">
        <f>SUM(AR43:AR44)</f>
        <v>32</v>
      </c>
      <c r="AS45" s="164">
        <f t="shared" si="196"/>
        <v>0.72727272727272729</v>
      </c>
      <c r="AT45" s="63">
        <f>SUM(AT43:AT44)</f>
        <v>10</v>
      </c>
      <c r="AU45" s="301">
        <f t="shared" si="197"/>
        <v>0.30303030303030304</v>
      </c>
      <c r="AV45" s="63">
        <f>SUM(AV43:AV44)</f>
        <v>0</v>
      </c>
      <c r="AW45" s="63">
        <f>SUM(AW43:AW44)</f>
        <v>0</v>
      </c>
      <c r="AX45" s="164">
        <f t="shared" si="170"/>
        <v>0</v>
      </c>
      <c r="AY45" s="63">
        <f>SUM(AY43:AY44)</f>
        <v>0</v>
      </c>
      <c r="AZ45" s="164">
        <f t="shared" si="198"/>
        <v>0</v>
      </c>
      <c r="BA45" s="63">
        <f>SUM(BA43:BA44)</f>
        <v>0</v>
      </c>
      <c r="BB45" s="301">
        <f t="shared" si="199"/>
        <v>0</v>
      </c>
      <c r="BC45" s="63">
        <f>SUM(BC43:BC44)</f>
        <v>0</v>
      </c>
      <c r="BD45" s="63">
        <f>SUM(BD43:BD44)</f>
        <v>0</v>
      </c>
      <c r="BE45" s="164">
        <f t="shared" si="171"/>
        <v>0</v>
      </c>
      <c r="BF45" s="63">
        <f>SUM(BF43:BF44)</f>
        <v>0</v>
      </c>
      <c r="BG45" s="164">
        <f t="shared" si="200"/>
        <v>0</v>
      </c>
      <c r="BH45" s="63">
        <f>SUM(BH43:BH44)</f>
        <v>0</v>
      </c>
      <c r="BI45" s="301">
        <f t="shared" si="201"/>
        <v>0</v>
      </c>
      <c r="BJ45" s="63">
        <f>SUM(BJ43:BJ44)</f>
        <v>0</v>
      </c>
      <c r="BK45" s="63">
        <f>SUM(BK43:BK44)</f>
        <v>0</v>
      </c>
      <c r="BL45" s="164">
        <f t="shared" si="172"/>
        <v>0</v>
      </c>
      <c r="BM45" s="63">
        <f>SUM(BM43:BM44)</f>
        <v>0</v>
      </c>
      <c r="BN45" s="164">
        <f t="shared" si="202"/>
        <v>0</v>
      </c>
      <c r="BO45" s="63">
        <f>SUM(BO43:BO44)</f>
        <v>0</v>
      </c>
      <c r="BP45" s="301">
        <f t="shared" si="203"/>
        <v>0</v>
      </c>
      <c r="BQ45" s="63">
        <f>SUM(BQ43:BQ44)</f>
        <v>0</v>
      </c>
      <c r="BR45" s="63">
        <f>SUM(BR43:BR44)</f>
        <v>0</v>
      </c>
      <c r="BS45" s="164">
        <f t="shared" si="173"/>
        <v>0</v>
      </c>
      <c r="BT45" s="63">
        <f>SUM(BT43:BT44)</f>
        <v>0</v>
      </c>
      <c r="BU45" s="164">
        <f t="shared" si="204"/>
        <v>0</v>
      </c>
      <c r="BV45" s="63">
        <f>SUM(BV43:BV44)</f>
        <v>0</v>
      </c>
      <c r="BW45" s="301">
        <f t="shared" si="205"/>
        <v>0</v>
      </c>
      <c r="BX45" s="63">
        <f>SUM(BX43:BX44)</f>
        <v>0</v>
      </c>
      <c r="BY45" s="63">
        <f>SUM(BY43:BY44)</f>
        <v>0</v>
      </c>
      <c r="BZ45" s="164">
        <f t="shared" si="174"/>
        <v>0</v>
      </c>
      <c r="CA45" s="63">
        <f>SUM(CA43:CA44)</f>
        <v>0</v>
      </c>
      <c r="CB45" s="164">
        <f t="shared" si="206"/>
        <v>0</v>
      </c>
      <c r="CC45" s="63">
        <f>SUM(CC43:CC44)</f>
        <v>0</v>
      </c>
      <c r="CD45" s="301">
        <f t="shared" si="207"/>
        <v>0</v>
      </c>
      <c r="CE45" s="63">
        <f>SUM(CE43:CE44)</f>
        <v>0</v>
      </c>
      <c r="CF45" s="63">
        <f>SUM(CF43:CF44)</f>
        <v>0</v>
      </c>
      <c r="CG45" s="164">
        <f t="shared" si="175"/>
        <v>0</v>
      </c>
      <c r="CH45" s="63">
        <f>SUM(CH43:CH44)</f>
        <v>0</v>
      </c>
      <c r="CI45" s="164">
        <f t="shared" si="208"/>
        <v>0</v>
      </c>
      <c r="CJ45" s="63">
        <f>SUM(CJ43:CJ44)</f>
        <v>0</v>
      </c>
      <c r="CK45" s="301">
        <f t="shared" si="209"/>
        <v>0</v>
      </c>
      <c r="CL45" s="63">
        <f>SUM(CL43:CL44)</f>
        <v>195</v>
      </c>
      <c r="CM45" s="63">
        <f>SUM(CM43:CM44)</f>
        <v>208</v>
      </c>
      <c r="CN45" s="157">
        <f t="shared" si="176"/>
        <v>1.0666666666666667</v>
      </c>
      <c r="CO45" s="63">
        <f>SUM(CO43:CO44)</f>
        <v>181</v>
      </c>
      <c r="CP45" s="321">
        <f>IFERROR(CO45/CM45,0)</f>
        <v>0.87019230769230771</v>
      </c>
      <c r="CQ45" s="63">
        <f>SUM(CQ43:CQ44)</f>
        <v>54</v>
      </c>
      <c r="CR45" s="320">
        <f t="shared" si="177"/>
        <v>0.27692307692307694</v>
      </c>
      <c r="CS45" s="63">
        <f>SUM(CS43:CS44)</f>
        <v>195</v>
      </c>
      <c r="CT45" s="63">
        <f>SUM(CT43:CT44)</f>
        <v>208</v>
      </c>
      <c r="CU45" s="157">
        <f t="shared" ref="CU45:CU50" si="222">IFERROR((CT45/CS45),0)</f>
        <v>1.0666666666666667</v>
      </c>
      <c r="CV45" s="63">
        <f>SUM(CV43:CV44)</f>
        <v>181</v>
      </c>
      <c r="CW45" s="321">
        <f>IFERROR((CV45/CT45),0)</f>
        <v>0.87019230769230771</v>
      </c>
      <c r="CX45" s="349">
        <f>K45+R45+Y45+AF45+AM45+AT45+BA45+BH45+BO45+BV45+CC45+CJ45</f>
        <v>54</v>
      </c>
      <c r="CY45" s="320">
        <f t="shared" si="178"/>
        <v>0.27692307692307694</v>
      </c>
      <c r="CZ45" s="63">
        <f>SUM(CZ37:CZ44)</f>
        <v>265</v>
      </c>
      <c r="DA45" s="65">
        <f>SUM(DA37:DA44)</f>
        <v>281</v>
      </c>
      <c r="DB45" s="157">
        <f t="shared" si="179"/>
        <v>1.060377358490566</v>
      </c>
      <c r="DC45" s="65">
        <f>SUM(DC37:DC44)</f>
        <v>274</v>
      </c>
      <c r="DD45" s="321">
        <f>IFERROR(DC45/DA45,0)</f>
        <v>0.97508896797153022</v>
      </c>
      <c r="DE45" s="349">
        <f>IF($CZ$5="Q1",K45+R45+Y45,
IF($CZ$5="Q2",AF45+AM45+AT45,
IF($CZ$5="Q3",BA45+BH45+BO45,
IF($CZ$5="Q4",BV45+CC45+CJ45,0))))</f>
        <v>24</v>
      </c>
      <c r="DF45" s="333">
        <f t="shared" si="180"/>
        <v>9.056603773584905E-2</v>
      </c>
      <c r="DG45" s="63">
        <f>IF($DG$5="S 1",F45+M45+T45+AA45+AH45+AO45,
IF($DG$5="S 2",AV45+BC45+BJ45+BQ45+BX45+CE45,0))</f>
        <v>195</v>
      </c>
      <c r="DH45" s="65">
        <f>IF($DG$5="S 1",G45+N45+U45+AB45+AI45+AP45,
IF($DG$5="S 2",AW45+BD45+BK45+BR45+BY45+CF45,0))</f>
        <v>208</v>
      </c>
      <c r="DI45" s="157">
        <f t="shared" si="181"/>
        <v>1.0666666666666667</v>
      </c>
      <c r="DJ45" s="65">
        <f>IF($DG$5="S 1",I45+P45+W45+AD45+AK45++AR45,
IF($DG$5="S 2",AY45+BF45+BM45+BT45+CA45+CH45,0))</f>
        <v>181</v>
      </c>
      <c r="DK45" s="321">
        <f t="shared" si="182"/>
        <v>0.87019230769230771</v>
      </c>
      <c r="DL45" s="349">
        <f>IF($DG$5="S 1",K45+R45+Y45+AF45+AM45+AT45,
IF($DG$5="S 2",BA45+BH45+BO45+BV45+CC45+CJ45,0))</f>
        <v>54</v>
      </c>
      <c r="DM45" s="333">
        <f t="shared" si="183"/>
        <v>0.27692307692307694</v>
      </c>
      <c r="DN45" s="63">
        <f>IFERROR(SUM(DN37:DN44),0)</f>
        <v>308</v>
      </c>
      <c r="DO45" s="64">
        <f>IFERROR(SUM(DO37:DO44),0)</f>
        <v>0</v>
      </c>
      <c r="DP45" s="157">
        <f t="shared" si="216"/>
        <v>0</v>
      </c>
      <c r="DQ45" s="65">
        <f>IFERROR(SUM(DQ37:DQ44),0)</f>
        <v>0</v>
      </c>
      <c r="DR45" s="321" t="str">
        <f t="shared" si="217"/>
        <v>N.D.</v>
      </c>
      <c r="DS45" s="349">
        <f>IFERROR(SUM(DS37:DS44),0)</f>
        <v>0</v>
      </c>
      <c r="DT45" s="333">
        <f t="shared" si="218"/>
        <v>0</v>
      </c>
      <c r="DU45" s="53">
        <v>0</v>
      </c>
      <c r="DX45" s="53">
        <v>13</v>
      </c>
      <c r="DY45" s="53">
        <v>13</v>
      </c>
      <c r="DZ45" s="513">
        <v>0.76</v>
      </c>
      <c r="EB45" s="513">
        <v>0.84210526315789469</v>
      </c>
      <c r="EC45" s="53">
        <v>1</v>
      </c>
      <c r="ED45" s="513">
        <v>0.05</v>
      </c>
    </row>
    <row r="46" spans="1:134" s="53" customFormat="1" ht="16" customHeight="1" x14ac:dyDescent="0.3">
      <c r="A46" s="53">
        <f>_xlfn.XLOOKUP(B46,'UC MINI 2026'!$B$5:$B$61,'UC MINI 2026'!$A$5:$A$61)</f>
        <v>8</v>
      </c>
      <c r="B46" s="179">
        <v>100002</v>
      </c>
      <c r="C46" s="381" t="s">
        <v>61</v>
      </c>
      <c r="D46" s="146"/>
      <c r="E46" s="309" t="s">
        <v>96</v>
      </c>
      <c r="F46" s="54">
        <f>SUMIF('UC MINI 2026'!$B$5:$B$71,'UC MINI 2026 MINI NEXT'!$B46,'UC MINI 2026'!$F$5:$F$71)</f>
        <v>7</v>
      </c>
      <c r="G46" s="86">
        <f>SUMIF('UC MINI 2026'!$B$5:$B$71,'UC MINI 2026 MINI NEXT'!$B46,'UC MINI 2026'!$G$5:$G$71)</f>
        <v>7</v>
      </c>
      <c r="H46" s="296">
        <f t="shared" si="219"/>
        <v>1</v>
      </c>
      <c r="I46" s="86">
        <f>IFERROR(VLOOKUP(B46,[2]BPS!$S$10:$AF$64,3,0),0)-IF(B46=100873,IFERROR(VLOOKUP("Enero",[2]BPS!$S$74:$T$89,2,0),0),0)</f>
        <v>7</v>
      </c>
      <c r="J46" s="296">
        <f t="shared" si="220"/>
        <v>1</v>
      </c>
      <c r="K46" s="86">
        <f>IFERROR(VLOOKUP(B46,'[2]RETAIL ORIGEN RMKT'!$S$11:$AF$62,3,0),0)</f>
        <v>1</v>
      </c>
      <c r="L46" s="147">
        <f t="shared" si="221"/>
        <v>0.14285714285714285</v>
      </c>
      <c r="M46" s="79">
        <f>SUMIF('UC MINI 2026'!$B$5:$B$61,'UC MINI 2026 MINI NEXT'!$B46,'UC MINI 2026'!$H$5:$H$61)</f>
        <v>7</v>
      </c>
      <c r="N46" s="86">
        <f>SUMIF('UC MINI 2026'!$B$5:$B$61,'UC MINI 2026 MINI NEXT'!$B46,'UC MINI 2026'!$I$5:$I$61)</f>
        <v>12</v>
      </c>
      <c r="O46" s="296">
        <f t="shared" si="165"/>
        <v>1.7142857142857142</v>
      </c>
      <c r="P46" s="86">
        <f>IFERROR(VLOOKUP(B46,[2]BPS!$S$10:$AF$64,4,0),0)-IF(B46=100873,IFERROR(VLOOKUP("FEBRERO",[2]BPS!$S$74:$T$89,2,0),0),0)</f>
        <v>12</v>
      </c>
      <c r="Q46" s="296">
        <f t="shared" si="188"/>
        <v>1</v>
      </c>
      <c r="R46" s="86">
        <f>IFERROR(VLOOKUP(B46,'[2]RETAIL ORIGEN RMKT'!$S$11:$AF$62,4,0),0)</f>
        <v>4</v>
      </c>
      <c r="S46" s="147">
        <f t="shared" si="189"/>
        <v>0.5714285714285714</v>
      </c>
      <c r="T46" s="148">
        <f>SUMIF('UC MINI 2026'!$B$5:$B$71,'UC MINI 2026 MINI NEXT'!$B46,'UC MINI 2026'!$J$5:$J$71)</f>
        <v>7</v>
      </c>
      <c r="U46" s="86">
        <f>SUMIF('UC MINI 2026'!$B$10:$B$61,'UC MINI 2026 MINI NEXT'!$B46,'UC MINI 2026'!$K$10:$K$61)</f>
        <v>13</v>
      </c>
      <c r="V46" s="296">
        <f t="shared" si="166"/>
        <v>1.8571428571428572</v>
      </c>
      <c r="W46" s="86">
        <f>IFERROR(VLOOKUP(B46,[2]BPS!$S$10:$AF$64,5,0),0)-IF(B46=100873,IFERROR(VLOOKUP("MARZO",[2]BPS!$S$74:$T$89,2,0),0),0)</f>
        <v>12</v>
      </c>
      <c r="X46" s="296">
        <f t="shared" si="190"/>
        <v>0.92307692307692313</v>
      </c>
      <c r="Y46" s="86">
        <f>IFERROR(VLOOKUP(B46,'[2]RETAIL ORIGEN RMKT'!$S$11:$AF$62,5,0),0)</f>
        <v>1</v>
      </c>
      <c r="Z46" s="147">
        <f t="shared" si="191"/>
        <v>0.14285714285714285</v>
      </c>
      <c r="AA46" s="148">
        <f>SUMIF('UC MINI 2026'!$B$5:$B$61,'UC MINI 2026 MINI NEXT'!$B46,'UC MINI 2026'!$L$5:$L$61)</f>
        <v>7</v>
      </c>
      <c r="AB46" s="86">
        <f>SUMIF('UC MINI 2026'!$B$5:$B$61,'UC MINI 2026 MINI NEXT'!$B46,'UC MINI 2026'!$M$5:$M$61)</f>
        <v>7</v>
      </c>
      <c r="AC46" s="296">
        <f t="shared" si="167"/>
        <v>1</v>
      </c>
      <c r="AD46" s="86">
        <f>IFERROR(VLOOKUP(B46,[2]BPS!$S$10:$AF$64,6,0),0)-IF(B46=100873,IFERROR(VLOOKUP("ABRIL",[2]BPS!$S$74:$T$89,2,0),0),0)</f>
        <v>7</v>
      </c>
      <c r="AE46" s="285">
        <f t="shared" si="192"/>
        <v>1</v>
      </c>
      <c r="AF46" s="86">
        <f>IFERROR(VLOOKUP(B46,'[2]RETAIL ORIGEN RMKT'!$S$11:$AF$62,6,0),0)</f>
        <v>1</v>
      </c>
      <c r="AG46" s="147">
        <f t="shared" si="193"/>
        <v>0.14285714285714285</v>
      </c>
      <c r="AH46" s="148">
        <f>SUMIF('UC MINI 2026'!$B$5:$B$61,'UC MINI 2026 MINI NEXT'!$B46,'UC MINI 2026'!$N$5:$N$61)</f>
        <v>7</v>
      </c>
      <c r="AI46" s="86">
        <f>SUMIF('UC MINI 2026'!$B$5:$B$61,'UC MINI 2026 MINI NEXT'!$B46,'UC MINI 2026'!$O$5:$O$61)</f>
        <v>5</v>
      </c>
      <c r="AJ46" s="296">
        <f t="shared" si="168"/>
        <v>0.7142857142857143</v>
      </c>
      <c r="AK46" s="86">
        <f>IFERROR(VLOOKUP(B46,[2]BPS!$S$10:$AF$64,7,0),0)-IF(B46=100873,IFERROR(VLOOKUP("MAYO",[2]BPS!$S$74:$T$89,2,0),0),0)</f>
        <v>5</v>
      </c>
      <c r="AL46" s="285">
        <f t="shared" si="194"/>
        <v>1</v>
      </c>
      <c r="AM46" s="86">
        <f>IFERROR(VLOOKUP(B46,'[2]RETAIL ORIGEN RMKT'!$S$11:$AF$62,7,0),0)</f>
        <v>0</v>
      </c>
      <c r="AN46" s="147">
        <f t="shared" si="195"/>
        <v>0</v>
      </c>
      <c r="AO46" s="148">
        <f>SUMIF('UC MINI 2026'!$B$5:$B$61,'UC MINI 2026 MINI NEXT'!$B46,'UC MINI 2026'!$P$5:$P$61)</f>
        <v>7</v>
      </c>
      <c r="AP46" s="86">
        <f>SUMIF('UC MINI 2026'!$B$5:$B$61,'UC MINI 2026 MINI NEXT'!$B46,'UC MINI 2026'!$Q$5:$Q$61)</f>
        <v>8</v>
      </c>
      <c r="AQ46" s="296">
        <f t="shared" si="169"/>
        <v>1.1428571428571428</v>
      </c>
      <c r="AR46" s="86">
        <f>IFERROR(VLOOKUP(B46,[2]BPS!$S$10:$AF$64,8,0),0)-IF(B46=100873,IFERROR(VLOOKUP("JUNIO",[2]BPS!$S$74:$T$89,2,0),0),0)</f>
        <v>8</v>
      </c>
      <c r="AS46" s="285">
        <f t="shared" si="196"/>
        <v>1</v>
      </c>
      <c r="AT46" s="86">
        <f>IFERROR(VLOOKUP(B46,'[2]RETAIL ORIGEN RMKT'!$S$11:$AF$62,8,0),0)</f>
        <v>3</v>
      </c>
      <c r="AU46" s="147">
        <f t="shared" si="197"/>
        <v>0.42857142857142855</v>
      </c>
      <c r="AV46" s="148">
        <f>SUMIF('UC MINI 2026'!$B$5:$B$61,'UC MINI 2026 MINI NEXT'!$B46,'UC MINI 2026'!$R$5:$R$61)</f>
        <v>0</v>
      </c>
      <c r="AW46" s="86">
        <f>SUMIF('UC MINI 2026'!$B$5:$B$61,'UC MINI 2026 MINI NEXT'!$B46,'UC MINI 2026'!$S$5:$S$61)</f>
        <v>0</v>
      </c>
      <c r="AX46" s="296">
        <f t="shared" si="170"/>
        <v>0</v>
      </c>
      <c r="AY46" s="86">
        <f>IFERROR(VLOOKUP(B46,[2]BPS!$S$10:$AF$64,9,0),0)-IF(B46=100873,IFERROR(VLOOKUP("JULIO",[2]BPS!$S$74:$T$89,2,0),0),0)</f>
        <v>0</v>
      </c>
      <c r="AZ46" s="285">
        <f t="shared" si="198"/>
        <v>0</v>
      </c>
      <c r="BA46" s="86">
        <f>IFERROR(VLOOKUP(I46,'[2]RETAIL ORIGEN RMKT'!$S$11:$AF$62,9,0),0)</f>
        <v>0</v>
      </c>
      <c r="BB46" s="147">
        <f t="shared" si="199"/>
        <v>0</v>
      </c>
      <c r="BC46" s="148">
        <f>SUMIF('UC MINI 2026'!$B$5:$B$61,'UC MINI 2026 MINI NEXT'!$B46,'UC MINI 2026'!$T$5:$T$61)</f>
        <v>0</v>
      </c>
      <c r="BD46" s="86">
        <f>SUMIF('UC MINI 2026'!$B$5:$B$61,'UC MINI 2026 MINI NEXT'!$B46,'UC MINI 2026'!$U$5:$U$61)</f>
        <v>0</v>
      </c>
      <c r="BE46" s="296">
        <f t="shared" si="171"/>
        <v>0</v>
      </c>
      <c r="BF46" s="86">
        <f>IFERROR(VLOOKUP(B46,[2]BPS!$S$10:$AF$64,10,0),0)-IF(B46=100873,IFERROR(VLOOKUP("AGOSTO",[2]BPS!$S$74:$T$89,2,0),0),0)</f>
        <v>0</v>
      </c>
      <c r="BG46" s="285">
        <f t="shared" si="200"/>
        <v>0</v>
      </c>
      <c r="BH46" s="86">
        <f>IFERROR(VLOOKUP(P46,'[2]RETAIL ORIGEN RMKT'!$S$11:$AF$62,10,0),0)</f>
        <v>0</v>
      </c>
      <c r="BI46" s="147">
        <f t="shared" si="201"/>
        <v>0</v>
      </c>
      <c r="BJ46" s="148">
        <f>SUMIF('UC MINI 2026'!$B$5:$B$61,'UC MINI 2026 MINI NEXT'!$B46,'UC MINI 2026'!$V$5:$V$61)</f>
        <v>0</v>
      </c>
      <c r="BK46" s="86">
        <f>SUMIF('UC MINI 2026'!$B$5:$B$61,'UC MINI 2026 MINI NEXT'!$B46,'UC MINI 2026'!$W$5:$W$61)</f>
        <v>0</v>
      </c>
      <c r="BL46" s="296">
        <f t="shared" si="172"/>
        <v>0</v>
      </c>
      <c r="BM46" s="86">
        <f>IFERROR(VLOOKUP(B46,[2]BPS!$S$10:$AF$64,11,0),0)-IF(B46=100873,IFERROR(VLOOKUP("SEPTIEMBRE",[2]BPS!$S$74:$T$89,2,0),0),0)</f>
        <v>0</v>
      </c>
      <c r="BN46" s="285">
        <f t="shared" si="202"/>
        <v>0</v>
      </c>
      <c r="BO46" s="86">
        <f>IFERROR(VLOOKUP(W46,'[2]RETAIL ORIGEN RMKT'!$S$11:$AF$62,11,0),0)</f>
        <v>0</v>
      </c>
      <c r="BP46" s="147">
        <f t="shared" si="203"/>
        <v>0</v>
      </c>
      <c r="BQ46" s="148">
        <f>SUMIF('UC MINI 2026'!$B$5:$B$61,'UC MINI 2026 MINI NEXT'!$B46,'UC MINI 2026'!$V$5:$V$61)</f>
        <v>0</v>
      </c>
      <c r="BR46" s="86">
        <f>SUMIF('UC MINI 2026'!$B$5:$B$61,'UC MINI 2026 MINI NEXT'!$B46,'UC MINI 2026'!$Y$5:$Y$61)</f>
        <v>0</v>
      </c>
      <c r="BS46" s="296">
        <f t="shared" si="173"/>
        <v>0</v>
      </c>
      <c r="BT46" s="86">
        <f>IFERROR(VLOOKUP(B46,[2]BPS!$S$10:$AF$64,12,0),0)-IF(B46=100873,IFERROR(VLOOKUP("OCTUBRE",[2]BPS!$S$74:$T$89,2,0),0),0)</f>
        <v>0</v>
      </c>
      <c r="BU46" s="285">
        <f t="shared" si="204"/>
        <v>0</v>
      </c>
      <c r="BV46" s="86">
        <f>IFERROR(VLOOKUP(AD46,'[2]RETAIL ORIGEN RMKT'!$S$11:$AF$62,12,0),0)</f>
        <v>0</v>
      </c>
      <c r="BW46" s="147">
        <f t="shared" si="205"/>
        <v>0</v>
      </c>
      <c r="BX46" s="148">
        <f>SUMIF('UC MINI 2026'!$B$5:$B$61,'UC MINI 2026 MINI NEXT'!$B46,'UC MINI 2026'!$V$5:$V$61)</f>
        <v>0</v>
      </c>
      <c r="BY46" s="86">
        <f>SUMIF('UC MINI 2026'!$B$5:$B$61,'UC MINI 2026 MINI NEXT'!$B46,'UC MINI 2026'!$AA$5:$AA$61)</f>
        <v>0</v>
      </c>
      <c r="BZ46" s="296">
        <f t="shared" si="174"/>
        <v>0</v>
      </c>
      <c r="CA46" s="86">
        <f>IFERROR(VLOOKUP(B46,[2]BPS!$S$10:$AF$64,13,0),0)-IF(B46=100873,IFERROR(VLOOKUP("NOVIEMBRE",[2]BPS!$S$74:$T$89,2,0),0),0)</f>
        <v>0</v>
      </c>
      <c r="CB46" s="285">
        <f t="shared" si="206"/>
        <v>0</v>
      </c>
      <c r="CC46" s="86">
        <f>IFERROR(VLOOKUP(AK46,'[2]RETAIL ORIGEN RMKT'!$S$11:$AF$62,13,0),0)</f>
        <v>0</v>
      </c>
      <c r="CD46" s="147">
        <f t="shared" si="207"/>
        <v>0</v>
      </c>
      <c r="CE46" s="148">
        <f>SUMIF('UC MINI 2026'!$B$5:$B$61,'UC MINI 2026 MINI NEXT'!$B46,'UC MINI 2026'!$V$5:$V$61)</f>
        <v>0</v>
      </c>
      <c r="CF46" s="86">
        <f>SUMIF('UC MINI 2026'!$B$5:$B$61,'UC MINI 2026 MINI NEXT'!$B46,'UC MINI 2026'!$AC$5:$AC$61)</f>
        <v>0</v>
      </c>
      <c r="CG46" s="296">
        <f t="shared" si="175"/>
        <v>0</v>
      </c>
      <c r="CH46" s="86">
        <f>IFERROR(VLOOKUP(B46,[2]BPS!$S$10:$AF$64,14,0),0)-IF(B46=100873,IFERROR(VLOOKUP("DICIEMBRE",[2]BPS!$S$74:$T$89,2,0),0),0)</f>
        <v>0</v>
      </c>
      <c r="CI46" s="285">
        <f t="shared" si="208"/>
        <v>0</v>
      </c>
      <c r="CJ46" s="86">
        <f>IFERROR(VLOOKUP(AR46,'[2]RETAIL ORIGEN RMKT'!$S$11:$AF$62,14,0),0)</f>
        <v>0</v>
      </c>
      <c r="CK46" s="147">
        <f t="shared" si="209"/>
        <v>0</v>
      </c>
      <c r="CL46" s="67">
        <f t="shared" ref="CL46:CM49" si="223">IF($CL$4="ENERO",F46,IF($CL$4="FEBRERO",F46+M46,IF($CL$4="MARZO",F46+M46+T46,IF($CL$4="ABRIL",F46+M46+T46+AA46,IF($CL$4="MAYO",F46+M46+T46+AA46+AH46,IF($CL$4="JUNIO",F46+M46+T46+AA46+AH46+AO46,IF($CL$4="JULIO",F46+M46+T46+AA46+AH46+AO46+AV46,IF($CL$4="AGOSTO",F46+M46+T46+AA46+AH46+AO46+AV46+BC46,IF($CL$4="SEPTIEMBRE",F46+M46+T46+AA46+AH46+AO46+AV46+BC46+BJ46,IF($CL$4="OCTUBRE",F46+M46+T46+AA46+AH46+AO46+AV46+BC46+BJ46+BQ46,IF($CL$4="NOVIEMBRE",F46+M46+T46+AA46+AH46+AO46+AV46+BC46+BJ46+BQ46+BX46,IF($CL$4="DICIEMBRE",F46+M46+T46+AA46+AH46+AO46+AV46+BC46+BJ46+BQ46+BX46+CE46,""))))))))))))</f>
        <v>42</v>
      </c>
      <c r="CM46" s="68">
        <f t="shared" si="223"/>
        <v>52</v>
      </c>
      <c r="CN46" s="116">
        <f t="shared" si="176"/>
        <v>1.2380952380952381</v>
      </c>
      <c r="CO46" s="68">
        <f>IFERROR(IF($CL$4="ENERO",I46,IF($CL$4="FEBRERO",I46+P46,IF($CL$4="MARZO",I46+P46+W46,IF($CL$4="ABRIL",I46+P46+W46+AD46,IF($CL$4="MAYO",I46+P46+W46+AD46+AK46,IF($CL$4="JUNIO",I46+P46+W46+AD46+AK46+AR46,IF($CL$4="JULIO",I46+P46+W46+AD46+AK46+AR46+AY46,IF($CL$4="AGOSTO",I46+P46+W46+AD46+AK46+AR46+AY46+BF46,IF($CL$4="SEPTIEMBRE",I46+P46+W46+AD46+AK46+AR46+AY46+BF46+BM46,IF($CL$4="OCTUBRE",I46+P46+W46+AD46+AK46+AR46+AY46+BF46+BM46+BT46,IF($CL$4="NOVIEMBRE",I46+P46+W46+AD46+AK46+AR46+AY46+BF46+BM46+BT46+CA46,IF($CL$4="DICIEMBRE",I46+P46+W46+AD46+AK46+AR46+AY46+BF46+BM46+BT46+CA46+CH46,"")))))))))))),0)</f>
        <v>51</v>
      </c>
      <c r="CP46" s="297">
        <f>IFERROR(IF(CM46=0,"N.D.",CO46/CM46),0)</f>
        <v>0.98076923076923073</v>
      </c>
      <c r="CQ46" s="350">
        <f>IFERROR(IF($CL$4="ENERO",K46,
IF($CL$4="FEBRERO",K46+R46,
IF($CL$4="MARZO",K46+R46+Y46,
IF($CL$4="ABRIL",K46+R46+Y46+AF46,
IF($CL$4="MAYO",K46+R46+Y46+AF46+AM46,
IF($CL$4="JUNIO",K46+R46+Y46+AF46+AM46+AT46,
IF($CL$4="JULIO",K46+R46+Y46+AF46+AM46+AT46+BA46,
IF($CL$4="AGOSTO",K46+R46+Y46+AF46+AM46+AT46+BA46+BH46,
IF($CL$4="SEPTIEMBRE",K46+R46+Y46+AF46+AM46+AT46+BA46+BH46+BO46,
IF($CL$4="OCTUBRE",K46+R46+Y46+AF46+AM46+AT46+BA46+BH46+BO46+BV46,
IF($CL$4="NOVIEMBRE",K46+R46+Y46+AF46+AM46+AT46+BA46+BH46+BO46+BV46+CC46,
IF($CL$4="DICIEMBRE",K46+R46+Y46+AF46+AM46+AT46+BA46+BH46+BO46+BV46+CC46+CJ46,"")))))))))))),0)</f>
        <v>10</v>
      </c>
      <c r="CR46" s="161">
        <f t="shared" si="177"/>
        <v>0.23809523809523808</v>
      </c>
      <c r="CS46" s="67">
        <f>+F46+M46+T46+AA46+AH46+AO46++AV46+BC46+BJ46+BQ46+BX46+CE46</f>
        <v>42</v>
      </c>
      <c r="CT46" s="68">
        <f>SUMIFS($F46:$CI46,$F$6:$CI$6,CT$6,$F$2:$CI$2,$CL$4)</f>
        <v>52</v>
      </c>
      <c r="CU46" s="116">
        <f t="shared" si="222"/>
        <v>1.2380952380952381</v>
      </c>
      <c r="CV46" s="68">
        <f>IFERROR(I46+P46+W46+AD46+AK46+AR46+AY46+BF46+BM46+BT46+CA46+CH46,0)</f>
        <v>51</v>
      </c>
      <c r="CW46" s="297">
        <f>IF(CT46=0,"N.D.",CV46/CT46)</f>
        <v>0.98076923076923073</v>
      </c>
      <c r="CX46" s="350">
        <f>IFERROR(K46+R46+Y46+AF46+AM46+AT46+BA46+BH46+BO46+BV46+CC46+CJ46,0)</f>
        <v>10</v>
      </c>
      <c r="CY46" s="161">
        <f t="shared" si="178"/>
        <v>0.23809523809523808</v>
      </c>
      <c r="CZ46" s="67">
        <f t="shared" ref="CZ46:DA49" si="224">IF($CZ$5="Q1",F46+M46+T46,
IF($CZ$5="Q2",AA46+AH46++AO46,
IF($CZ$5="Q3",AV46+BC46+BJ46,
IF($CZ$5="Q4",BQ46+BX46+CE46,0))))</f>
        <v>21</v>
      </c>
      <c r="DA46" s="68">
        <f t="shared" si="224"/>
        <v>32</v>
      </c>
      <c r="DB46" s="116">
        <f t="shared" si="179"/>
        <v>1.5238095238095237</v>
      </c>
      <c r="DC46" s="68">
        <f>IFERROR(IF($CZ$5="Q1",I46+P46+W46,
IF($CZ$5="Q2",AD46+AK46++AR46,
IF($CZ$5="Q3",AY46+BF46+BM46,
IF($CZ$5="Q4",BT46+CA46+CH46,0)))),0)</f>
        <v>31</v>
      </c>
      <c r="DD46" s="297">
        <f>IF(DA46=0,"N.D.",DC46/DA46)</f>
        <v>0.96875</v>
      </c>
      <c r="DE46" s="350">
        <f>IFERROR(IF($CZ$5="Q1",K46+R46+Y46,
IF($CZ$5="Q2",AF46+AM46+AT46,
IF($CZ$5="Q3",BA46+BH46+BO46,
IF($CZ$5="Q4",BV46+CC46+CJ46,0)))),0)</f>
        <v>6</v>
      </c>
      <c r="DF46" s="162">
        <f t="shared" si="180"/>
        <v>0.2857142857142857</v>
      </c>
      <c r="DG46" s="67">
        <f t="shared" ref="DG46:DH49" si="225">IF($DG$5="S 1",F46+M46+T46+AA46+AH46+AO46,
IF($DG$5="S 2",AV46+BC46+BJ46+BQ46+BX46+CE46,0))</f>
        <v>42</v>
      </c>
      <c r="DH46" s="68">
        <f t="shared" si="225"/>
        <v>52</v>
      </c>
      <c r="DI46" s="116">
        <f t="shared" si="181"/>
        <v>1.2380952380952381</v>
      </c>
      <c r="DJ46" s="68">
        <f>IFERROR(IF($DG$5="S 1",I46+P46+W46+AD46+AK46++AR46,
IF($DG$5="S 2",AY46+BF46+BM46+BT46+CA46+CH46,0)),0)</f>
        <v>51</v>
      </c>
      <c r="DK46" s="297">
        <f t="shared" si="182"/>
        <v>0.98076923076923073</v>
      </c>
      <c r="DL46" s="350">
        <f>IFERROR(IF($DG$5="S 1",K46+R46+Y46+AF46+AM46+AT46,
IF($DG$5="S 2",BA46+BH46+BO46+BV46+CC46+CJ46,0)),0)</f>
        <v>10</v>
      </c>
      <c r="DM46" s="162">
        <f t="shared" si="183"/>
        <v>0.23809523809523808</v>
      </c>
      <c r="DN46" s="67">
        <f t="shared" ref="DN46:DO49" si="226">IF($DN$5="S 1",F46+M46+T46+AA46+AH46+AO46,
IF($DN$5="S 2",AV46+BC46+BJ46+BQ46+BX46+CE46,0))</f>
        <v>0</v>
      </c>
      <c r="DO46" s="266">
        <f t="shared" si="226"/>
        <v>0</v>
      </c>
      <c r="DP46" s="116">
        <f t="shared" si="216"/>
        <v>0</v>
      </c>
      <c r="DQ46" s="68">
        <f>IFERROR(IF($DN$5="S 1",I46+P46+W46+AD46+AK46++AR46,
IF($DN$5="S 2",AY46+BF46+BM46+BT46+CA46+CH46,0)),0)</f>
        <v>0</v>
      </c>
      <c r="DR46" s="297" t="str">
        <f t="shared" si="217"/>
        <v>N.D.</v>
      </c>
      <c r="DS46" s="350">
        <f>IFERROR(IF($DN$5="S 1",K46+R46+Y46+AF46+AM46+AT46,
IF($DN$5="S 2",BA46+BH46+BO46+BV46+CC46+CJ46,0)),0)</f>
        <v>0</v>
      </c>
      <c r="DT46" s="162">
        <f t="shared" si="218"/>
        <v>0</v>
      </c>
      <c r="DU46" s="53">
        <v>1</v>
      </c>
      <c r="DX46" s="53">
        <v>12</v>
      </c>
      <c r="DY46" s="53">
        <v>12</v>
      </c>
      <c r="DZ46" s="513">
        <v>0.73333333333333328</v>
      </c>
      <c r="EB46" s="513">
        <v>0.8125</v>
      </c>
      <c r="EC46" s="53">
        <v>1</v>
      </c>
      <c r="ED46" s="513">
        <v>2.5000000000000001E-2</v>
      </c>
    </row>
    <row r="47" spans="1:134" s="53" customFormat="1" ht="16" customHeight="1" x14ac:dyDescent="0.3">
      <c r="A47" s="53">
        <f>_xlfn.XLOOKUP(B47,'UC MINI 2026'!$B$5:$B$61,'UC MINI 2026'!$A$5:$A$61)</f>
        <v>8</v>
      </c>
      <c r="B47" s="179">
        <v>100062</v>
      </c>
      <c r="C47" s="381" t="s">
        <v>62</v>
      </c>
      <c r="D47" s="146"/>
      <c r="E47" s="309" t="s">
        <v>97</v>
      </c>
      <c r="F47" s="54">
        <f>SUMIF('UC MINI 2026'!$B$5:$B$71,'UC MINI 2026 MINI NEXT'!$B47,'UC MINI 2026'!$F$5:$F$71)</f>
        <v>9</v>
      </c>
      <c r="G47" s="86">
        <f>SUMIF('UC MINI 2026'!$B$5:$B$71,'UC MINI 2026 MINI NEXT'!$B47,'UC MINI 2026'!$G$5:$G$71)</f>
        <v>5</v>
      </c>
      <c r="H47" s="297">
        <f t="shared" si="219"/>
        <v>0.55555555555555558</v>
      </c>
      <c r="I47" s="86">
        <f>IFERROR(VLOOKUP(B47,[2]BPS!$S$10:$AF$64,3,0),0)-IF(B47=100873,IFERROR(VLOOKUP("Enero",[2]BPS!$S$74:$T$89,2,0),0),0)</f>
        <v>5</v>
      </c>
      <c r="J47" s="297">
        <f t="shared" si="220"/>
        <v>1</v>
      </c>
      <c r="K47" s="86">
        <f>IFERROR(VLOOKUP(B47,'[2]RETAIL ORIGEN RMKT'!$S$11:$AF$62,3,0),0)</f>
        <v>0</v>
      </c>
      <c r="L47" s="150">
        <f t="shared" si="221"/>
        <v>0</v>
      </c>
      <c r="M47" s="79">
        <f>SUMIF('UC MINI 2026'!$B$5:$B$61,'UC MINI 2026 MINI NEXT'!$B47,'UC MINI 2026'!$H$5:$H$61)</f>
        <v>9</v>
      </c>
      <c r="N47" s="86">
        <f>SUMIF('UC MINI 2026'!$B$5:$B$61,'UC MINI 2026 MINI NEXT'!$B47,'UC MINI 2026'!$I$5:$I$61)</f>
        <v>15</v>
      </c>
      <c r="O47" s="297">
        <f t="shared" si="165"/>
        <v>1.6666666666666667</v>
      </c>
      <c r="P47" s="86">
        <f>IFERROR(VLOOKUP(B47,[2]BPS!$S$10:$AF$64,4,0),0)-IF(B47=100873,IFERROR(VLOOKUP("FEBRERO",[2]BPS!$S$74:$T$89,2,0),0),0)</f>
        <v>15</v>
      </c>
      <c r="Q47" s="297">
        <f t="shared" si="188"/>
        <v>1</v>
      </c>
      <c r="R47" s="86">
        <f>IFERROR(VLOOKUP(B47,'[2]RETAIL ORIGEN RMKT'!$S$11:$AF$62,4,0),0)</f>
        <v>6</v>
      </c>
      <c r="S47" s="150">
        <f t="shared" si="189"/>
        <v>0.66666666666666663</v>
      </c>
      <c r="T47" s="148">
        <f>SUMIF('UC MINI 2026'!$B$5:$B$71,'UC MINI 2026 MINI NEXT'!$B47,'UC MINI 2026'!$J$5:$J$71)</f>
        <v>9</v>
      </c>
      <c r="U47" s="86">
        <f>SUMIF('UC MINI 2026'!$B$10:$B$61,'UC MINI 2026 MINI NEXT'!$B47,'UC MINI 2026'!$K$10:$K$61)</f>
        <v>11</v>
      </c>
      <c r="V47" s="297">
        <f t="shared" si="166"/>
        <v>1.2222222222222223</v>
      </c>
      <c r="W47" s="86">
        <f>IFERROR(VLOOKUP(B47,[2]BPS!$S$10:$AF$64,5,0),0)-IF(B47=100873,IFERROR(VLOOKUP("MARZO",[2]BPS!$S$74:$T$89,2,0),0),0)</f>
        <v>11</v>
      </c>
      <c r="X47" s="297">
        <f t="shared" si="190"/>
        <v>1</v>
      </c>
      <c r="Y47" s="86">
        <f>IFERROR(VLOOKUP(B47,'[2]RETAIL ORIGEN RMKT'!$S$11:$AF$62,5,0),0)</f>
        <v>4</v>
      </c>
      <c r="Z47" s="150">
        <f t="shared" si="191"/>
        <v>0.44444444444444442</v>
      </c>
      <c r="AA47" s="148">
        <f>SUMIF('UC MINI 2026'!$B$5:$B$61,'UC MINI 2026 MINI NEXT'!$B47,'UC MINI 2026'!$L$5:$L$61)</f>
        <v>9</v>
      </c>
      <c r="AB47" s="86">
        <f>SUMIF('UC MINI 2026'!$B$5:$B$61,'UC MINI 2026 MINI NEXT'!$B47,'UC MINI 2026'!$M$5:$M$61)</f>
        <v>11</v>
      </c>
      <c r="AC47" s="297">
        <f t="shared" si="167"/>
        <v>1.2222222222222223</v>
      </c>
      <c r="AD47" s="86">
        <f>IFERROR(VLOOKUP(B47,[2]BPS!$S$10:$AF$64,6,0),0)-IF(B47=100873,IFERROR(VLOOKUP("ABRIL",[2]BPS!$S$74:$T$89,2,0),0),0)</f>
        <v>11</v>
      </c>
      <c r="AE47" s="285">
        <f t="shared" si="192"/>
        <v>1</v>
      </c>
      <c r="AF47" s="86">
        <f>IFERROR(VLOOKUP(B47,'[2]RETAIL ORIGEN RMKT'!$S$11:$AF$62,6,0),0)</f>
        <v>4</v>
      </c>
      <c r="AG47" s="150">
        <f t="shared" si="193"/>
        <v>0.44444444444444442</v>
      </c>
      <c r="AH47" s="148">
        <f>SUMIF('UC MINI 2026'!$B$5:$B$61,'UC MINI 2026 MINI NEXT'!$B47,'UC MINI 2026'!$N$5:$N$61)</f>
        <v>9</v>
      </c>
      <c r="AI47" s="86">
        <f>SUMIF('UC MINI 2026'!$B$5:$B$61,'UC MINI 2026 MINI NEXT'!$B47,'UC MINI 2026'!$O$5:$O$61)</f>
        <v>20</v>
      </c>
      <c r="AJ47" s="297">
        <f t="shared" si="168"/>
        <v>2.2222222222222223</v>
      </c>
      <c r="AK47" s="86">
        <f>IFERROR(VLOOKUP(B47,[2]BPS!$S$10:$AF$64,7,0),0)-IF(B47=100873,IFERROR(VLOOKUP("MAYO",[2]BPS!$S$74:$T$89,2,0),0),0)</f>
        <v>20</v>
      </c>
      <c r="AL47" s="285">
        <f t="shared" si="194"/>
        <v>1</v>
      </c>
      <c r="AM47" s="86">
        <f>IFERROR(VLOOKUP(B47,'[2]RETAIL ORIGEN RMKT'!$S$11:$AF$62,7,0),0)</f>
        <v>8</v>
      </c>
      <c r="AN47" s="150">
        <f t="shared" si="195"/>
        <v>0.88888888888888884</v>
      </c>
      <c r="AO47" s="148">
        <f>SUMIF('UC MINI 2026'!$B$5:$B$61,'UC MINI 2026 MINI NEXT'!$B47,'UC MINI 2026'!$P$5:$P$61)</f>
        <v>10</v>
      </c>
      <c r="AP47" s="86">
        <f>SUMIF('UC MINI 2026'!$B$5:$B$61,'UC MINI 2026 MINI NEXT'!$B47,'UC MINI 2026'!$Q$5:$Q$61)</f>
        <v>16</v>
      </c>
      <c r="AQ47" s="297">
        <f t="shared" si="169"/>
        <v>1.6</v>
      </c>
      <c r="AR47" s="86">
        <f>IFERROR(VLOOKUP(B47,[2]BPS!$S$10:$AF$64,8,0),0)-IF(B47=100873,IFERROR(VLOOKUP("JUNIO",[2]BPS!$S$74:$T$89,2,0),0),0)</f>
        <v>16</v>
      </c>
      <c r="AS47" s="285">
        <f t="shared" si="196"/>
        <v>1</v>
      </c>
      <c r="AT47" s="86">
        <f>IFERROR(VLOOKUP(B47,'[2]RETAIL ORIGEN RMKT'!$S$11:$AF$62,8,0),0)</f>
        <v>6</v>
      </c>
      <c r="AU47" s="150">
        <f t="shared" si="197"/>
        <v>0.6</v>
      </c>
      <c r="AV47" s="148">
        <f>SUMIF('UC MINI 2026'!$B$5:$B$61,'UC MINI 2026 MINI NEXT'!$B47,'UC MINI 2026'!$R$5:$R$61)</f>
        <v>0</v>
      </c>
      <c r="AW47" s="86">
        <f>SUMIF('UC MINI 2026'!$B$5:$B$61,'UC MINI 2026 MINI NEXT'!$B47,'UC MINI 2026'!$S$5:$S$61)</f>
        <v>0</v>
      </c>
      <c r="AX47" s="297">
        <f t="shared" si="170"/>
        <v>0</v>
      </c>
      <c r="AY47" s="86">
        <f>IFERROR(VLOOKUP(B47,[2]BPS!$S$10:$AF$64,9,0),0)-IF(B47=100873,IFERROR(VLOOKUP("JULIO",[2]BPS!$S$74:$T$89,2,0),0),0)</f>
        <v>0</v>
      </c>
      <c r="AZ47" s="285">
        <f t="shared" si="198"/>
        <v>0</v>
      </c>
      <c r="BA47" s="86">
        <f>IFERROR(VLOOKUP(I47,'[2]RETAIL ORIGEN RMKT'!$S$11:$AF$62,9,0),0)</f>
        <v>0</v>
      </c>
      <c r="BB47" s="150">
        <f t="shared" si="199"/>
        <v>0</v>
      </c>
      <c r="BC47" s="148">
        <f>SUMIF('UC MINI 2026'!$B$5:$B$61,'UC MINI 2026 MINI NEXT'!$B47,'UC MINI 2026'!$T$5:$T$61)</f>
        <v>0</v>
      </c>
      <c r="BD47" s="86">
        <f>SUMIF('UC MINI 2026'!$B$5:$B$61,'UC MINI 2026 MINI NEXT'!$B47,'UC MINI 2026'!$U$5:$U$61)</f>
        <v>0</v>
      </c>
      <c r="BE47" s="297">
        <f t="shared" si="171"/>
        <v>0</v>
      </c>
      <c r="BF47" s="86">
        <f>IFERROR(VLOOKUP(B47,[2]BPS!$S$10:$AF$64,10,0),0)-IF(B47=100873,IFERROR(VLOOKUP("AGOSTO",[2]BPS!$S$74:$T$89,2,0),0),0)</f>
        <v>0</v>
      </c>
      <c r="BG47" s="285">
        <f t="shared" si="200"/>
        <v>0</v>
      </c>
      <c r="BH47" s="86">
        <f>IFERROR(VLOOKUP(P47,'[2]RETAIL ORIGEN RMKT'!$S$11:$AF$62,10,0),0)</f>
        <v>0</v>
      </c>
      <c r="BI47" s="150">
        <f t="shared" si="201"/>
        <v>0</v>
      </c>
      <c r="BJ47" s="148">
        <f>SUMIF('UC MINI 2026'!$B$5:$B$61,'UC MINI 2026 MINI NEXT'!$B47,'UC MINI 2026'!$V$5:$V$61)</f>
        <v>0</v>
      </c>
      <c r="BK47" s="86">
        <f>SUMIF('UC MINI 2026'!$B$5:$B$61,'UC MINI 2026 MINI NEXT'!$B47,'UC MINI 2026'!$W$5:$W$61)</f>
        <v>0</v>
      </c>
      <c r="BL47" s="297">
        <f t="shared" si="172"/>
        <v>0</v>
      </c>
      <c r="BM47" s="86">
        <f>IFERROR(VLOOKUP(B47,[2]BPS!$S$10:$AF$64,11,0),0)-IF(B47=100873,IFERROR(VLOOKUP("SEPTIEMBRE",[2]BPS!$S$74:$T$89,2,0),0),0)</f>
        <v>0</v>
      </c>
      <c r="BN47" s="285">
        <f t="shared" si="202"/>
        <v>0</v>
      </c>
      <c r="BO47" s="86">
        <f>IFERROR(VLOOKUP(W47,'[2]RETAIL ORIGEN RMKT'!$S$11:$AF$62,11,0),0)</f>
        <v>0</v>
      </c>
      <c r="BP47" s="150">
        <f t="shared" si="203"/>
        <v>0</v>
      </c>
      <c r="BQ47" s="148">
        <f>SUMIF('UC MINI 2026'!$B$5:$B$61,'UC MINI 2026 MINI NEXT'!$B47,'UC MINI 2026'!$V$5:$V$61)</f>
        <v>0</v>
      </c>
      <c r="BR47" s="86">
        <f>SUMIF('UC MINI 2026'!$B$5:$B$61,'UC MINI 2026 MINI NEXT'!$B47,'UC MINI 2026'!$Y$5:$Y$61)</f>
        <v>0</v>
      </c>
      <c r="BS47" s="297">
        <f t="shared" si="173"/>
        <v>0</v>
      </c>
      <c r="BT47" s="86">
        <f>IFERROR(VLOOKUP(B47,[2]BPS!$S$10:$AF$64,12,0),0)-IF(B47=100873,IFERROR(VLOOKUP("OCTUBRE",[2]BPS!$S$74:$T$89,2,0),0),0)</f>
        <v>0</v>
      </c>
      <c r="BU47" s="285">
        <f t="shared" si="204"/>
        <v>0</v>
      </c>
      <c r="BV47" s="86">
        <f>IFERROR(VLOOKUP(AD47,'[2]RETAIL ORIGEN RMKT'!$S$11:$AF$62,12,0),0)</f>
        <v>0</v>
      </c>
      <c r="BW47" s="150">
        <f t="shared" si="205"/>
        <v>0</v>
      </c>
      <c r="BX47" s="148">
        <f>SUMIF('UC MINI 2026'!$B$5:$B$61,'UC MINI 2026 MINI NEXT'!$B47,'UC MINI 2026'!$V$5:$V$61)</f>
        <v>0</v>
      </c>
      <c r="BY47" s="86">
        <f>SUMIF('UC MINI 2026'!$B$5:$B$61,'UC MINI 2026 MINI NEXT'!$B47,'UC MINI 2026'!$AA$5:$AA$61)</f>
        <v>0</v>
      </c>
      <c r="BZ47" s="297">
        <f t="shared" si="174"/>
        <v>0</v>
      </c>
      <c r="CA47" s="86">
        <f>IFERROR(VLOOKUP(B47,[2]BPS!$S$10:$AF$64,13,0),0)-IF(B47=100873,IFERROR(VLOOKUP("NOVIEMBRE",[2]BPS!$S$74:$T$89,2,0),0),0)</f>
        <v>0</v>
      </c>
      <c r="CB47" s="285">
        <f t="shared" si="206"/>
        <v>0</v>
      </c>
      <c r="CC47" s="86">
        <f>IFERROR(VLOOKUP(AK47,'[2]RETAIL ORIGEN RMKT'!$S$11:$AF$62,13,0),0)</f>
        <v>0</v>
      </c>
      <c r="CD47" s="150">
        <f t="shared" si="207"/>
        <v>0</v>
      </c>
      <c r="CE47" s="148">
        <f>SUMIF('UC MINI 2026'!$B$5:$B$61,'UC MINI 2026 MINI NEXT'!$B47,'UC MINI 2026'!$V$5:$V$61)</f>
        <v>0</v>
      </c>
      <c r="CF47" s="86">
        <f>SUMIF('UC MINI 2026'!$B$5:$B$61,'UC MINI 2026 MINI NEXT'!$B47,'UC MINI 2026'!$AC$5:$AC$61)</f>
        <v>0</v>
      </c>
      <c r="CG47" s="297">
        <f t="shared" si="175"/>
        <v>0</v>
      </c>
      <c r="CH47" s="86">
        <f>IFERROR(VLOOKUP(B47,[2]BPS!$S$10:$AF$64,14,0),0)-IF(B47=100873,IFERROR(VLOOKUP("DICIEMBRE",[2]BPS!$S$74:$T$89,2,0),0),0)</f>
        <v>0</v>
      </c>
      <c r="CI47" s="285">
        <f t="shared" si="208"/>
        <v>0</v>
      </c>
      <c r="CJ47" s="86">
        <f>IFERROR(VLOOKUP(AR47,'[2]RETAIL ORIGEN RMKT'!$S$11:$AF$62,14,0),0)</f>
        <v>0</v>
      </c>
      <c r="CK47" s="150">
        <f t="shared" si="209"/>
        <v>0</v>
      </c>
      <c r="CL47" s="54">
        <f t="shared" si="223"/>
        <v>55</v>
      </c>
      <c r="CM47" s="86">
        <f t="shared" si="223"/>
        <v>78</v>
      </c>
      <c r="CN47" s="109">
        <f t="shared" si="176"/>
        <v>1.4181818181818182</v>
      </c>
      <c r="CO47" s="86">
        <f>IFERROR(IF($CL$4="ENERO",I47,IF($CL$4="FEBRERO",I47+P47,IF($CL$4="MARZO",I47+P47+W47,IF($CL$4="ABRIL",I47+P47+W47+AD47,IF($CL$4="MAYO",I47+P47+W47+AD47+AK47,IF($CL$4="JUNIO",I47+P47+W47+AD47+AK47+AR47,IF($CL$4="JULIO",I47+P47+W47+AD47+AK47+AR47+AY47,IF($CL$4="AGOSTO",I47+P47+W47+AD47+AK47+AR47+AY47+BF47,IF($CL$4="SEPTIEMBRE",I47+P47+W47+AD47+AK47+AR47+AY47+BF47+BM47,IF($CL$4="OCTUBRE",I47+P47+W47+AD47+AK47+AR47+AY47+BF47+BM47+BT47,IF($CL$4="NOVIEMBRE",I47+P47+W47+AD47+AK47+AR47+AY47+BF47+BM47+BT47+CA47,IF($CL$4="DICIEMBRE",I47+P47+W47+AD47+AK47+AR47+AY47+BF47+BM47+BT47+CA47+CH47,"")))))))))))),0)</f>
        <v>78</v>
      </c>
      <c r="CP47" s="297">
        <f>IFERROR(IF(CM47=0,"N.D.",CO47/CM47),0)</f>
        <v>1</v>
      </c>
      <c r="CQ47" s="348">
        <f>IFERROR(IF($CL$4="ENERO",K47,
IF($CL$4="FEBRERO",K47+R47,
IF($CL$4="MARZO",K47+R47+Y47,
IF($CL$4="ABRIL",K47+R47+Y47+AF47,
IF($CL$4="MAYO",K47+R47+Y47+AF47+AM47,
IF($CL$4="JUNIO",K47+R47+Y47+AF47+AM47+AT47,
IF($CL$4="JULIO",K47+R47+Y47+AF47+AM47+AT47+BA47,
IF($CL$4="AGOSTO",K47+R47+Y47+AF47+AM47+AT47+BA47+BH47,
IF($CL$4="SEPTIEMBRE",K47+R47+Y47+AF47+AM47+AT47+BA47+BH47+BO47,
IF($CL$4="OCTUBRE",K47+R47+Y47+AF47+AM47+AT47+BA47+BH47+BO47+BV47,
IF($CL$4="NOVIEMBRE",K47+R47+Y47+AF47+AM47+AT47+BA47+BH47+BO47+BV47+CC47,
IF($CL$4="DICIEMBRE",K47+R47+Y47+AF47+AM47+AT47+BA47+BH47+BO47+BV47+CC47+CJ47,"")))))))))))),0)</f>
        <v>28</v>
      </c>
      <c r="CR47" s="149">
        <f t="shared" si="177"/>
        <v>0.50909090909090904</v>
      </c>
      <c r="CS47" s="54">
        <f>+F47+M47+T47+AA47+AH47+AO47++AV47+BC47+BJ47+BQ47+BX47+CE47</f>
        <v>55</v>
      </c>
      <c r="CT47" s="86">
        <f>SUMIFS($F47:$CI47,$F$6:$CI$6,CT$6,$F$2:$CI$2,$CL$4)</f>
        <v>78</v>
      </c>
      <c r="CU47" s="109">
        <f t="shared" si="222"/>
        <v>1.4181818181818182</v>
      </c>
      <c r="CV47" s="68">
        <f>IFERROR(I47+P47+W47+AD47+AK47+AR47+AY47+BF47+BM47+BT47+CA47+CH47,0)</f>
        <v>78</v>
      </c>
      <c r="CW47" s="297">
        <f>IF(CT47=0,"N.D.",CV47/CT47)</f>
        <v>1</v>
      </c>
      <c r="CX47" s="350">
        <f>IFERROR(K47+R47+Y47+AF47+AM47+AT47+BA47+BH47+BO47+BV47+CC47+CJ47,0)</f>
        <v>28</v>
      </c>
      <c r="CY47" s="149">
        <f t="shared" si="178"/>
        <v>0.50909090909090904</v>
      </c>
      <c r="CZ47" s="54">
        <f t="shared" si="224"/>
        <v>27</v>
      </c>
      <c r="DA47" s="86">
        <f t="shared" si="224"/>
        <v>31</v>
      </c>
      <c r="DB47" s="109">
        <f t="shared" si="179"/>
        <v>1.1481481481481481</v>
      </c>
      <c r="DC47" s="68">
        <f>IFERROR(IF($CZ$5="Q1",I47+P47+W47,
IF($CZ$5="Q2",AD47+AK47++AR47,
IF($CZ$5="Q3",AY47+BF47+BM47,
IF($CZ$5="Q4",BT47+CA47+CH47,0)))),0)</f>
        <v>31</v>
      </c>
      <c r="DD47" s="297">
        <f>IF(DA47=0,"N.D.",DC47/DA47)</f>
        <v>1</v>
      </c>
      <c r="DE47" s="350">
        <f>IFERROR(IF($CZ$5="Q1",K47+R47+Y47,
IF($CZ$5="Q2",AF47+AM47+AT47,
IF($CZ$5="Q3",BA47+BH47+BO47,
IF($CZ$5="Q4",BV47+CC47+CJ47,0)))),0)</f>
        <v>10</v>
      </c>
      <c r="DF47" s="150">
        <f t="shared" si="180"/>
        <v>0.37037037037037035</v>
      </c>
      <c r="DG47" s="54">
        <f t="shared" si="225"/>
        <v>55</v>
      </c>
      <c r="DH47" s="86">
        <f t="shared" si="225"/>
        <v>78</v>
      </c>
      <c r="DI47" s="109">
        <f t="shared" si="181"/>
        <v>1.4181818181818182</v>
      </c>
      <c r="DJ47" s="68">
        <f>IFERROR(IF($DG$5="S 1",I47+P47+W47+AD47+AK47++AR47,
IF($DG$5="S 2",AY47+BF47+BM47+BT47+CA47+CH47,0)),0)</f>
        <v>78</v>
      </c>
      <c r="DK47" s="297">
        <f t="shared" si="182"/>
        <v>1</v>
      </c>
      <c r="DL47" s="350">
        <f>IFERROR(IF($DG$5="S 1",K47+R47+Y47+AF47+AM47+AT47,
IF($DG$5="S 2",BA47+BH47+BO47+BV47+CC47+CJ47,0)),0)</f>
        <v>28</v>
      </c>
      <c r="DM47" s="150">
        <f t="shared" si="183"/>
        <v>0.50909090909090904</v>
      </c>
      <c r="DN47" s="67">
        <f t="shared" si="226"/>
        <v>0</v>
      </c>
      <c r="DO47" s="266">
        <f t="shared" si="226"/>
        <v>0</v>
      </c>
      <c r="DP47" s="109">
        <f t="shared" si="216"/>
        <v>0</v>
      </c>
      <c r="DQ47" s="68">
        <f>IFERROR(IF($DN$5="S 1",I47+P47+W47+AD47+AK47++AR47,
IF($DN$5="S 2",AY47+BF47+BM47+BT47+CA47+CH47,0)),0)</f>
        <v>0</v>
      </c>
      <c r="DR47" s="297" t="str">
        <f t="shared" si="217"/>
        <v>N.D.</v>
      </c>
      <c r="DS47" s="350">
        <f>IFERROR(IF($DN$5="S 1",K47+R47+Y47+AF47+AM47+AT47,
IF($DN$5="S 2",BA47+BH47+BO47+BV47+CC47+CJ47,0)),0)</f>
        <v>0</v>
      </c>
      <c r="DT47" s="150">
        <f t="shared" si="218"/>
        <v>0</v>
      </c>
      <c r="DU47" s="53">
        <v>1</v>
      </c>
      <c r="DX47" s="53">
        <v>12</v>
      </c>
      <c r="DY47" s="53">
        <v>11</v>
      </c>
      <c r="DZ47" s="513">
        <v>0.69230769230769229</v>
      </c>
      <c r="EB47" s="513">
        <v>0.8</v>
      </c>
      <c r="EC47" s="53">
        <v>0</v>
      </c>
      <c r="ED47" s="513">
        <v>0</v>
      </c>
    </row>
    <row r="48" spans="1:134" s="53" customFormat="1" ht="16" customHeight="1" x14ac:dyDescent="0.3">
      <c r="A48" s="53">
        <f>_xlfn.XLOOKUP(B48,'UC MINI 2026'!$B$5:$B$61,'UC MINI 2026'!$A$5:$A$61)</f>
        <v>8</v>
      </c>
      <c r="B48" s="179">
        <v>100206</v>
      </c>
      <c r="C48" s="381" t="s">
        <v>63</v>
      </c>
      <c r="D48" s="146"/>
      <c r="E48" s="309" t="s">
        <v>97</v>
      </c>
      <c r="F48" s="54">
        <f>SUMIF('UC MINI 2026'!$B$5:$B$71,'UC MINI 2026 MINI NEXT'!$B48,'UC MINI 2026'!$F$5:$F$71)</f>
        <v>8</v>
      </c>
      <c r="G48" s="86">
        <f>SUMIF('UC MINI 2026'!$B$5:$B$71,'UC MINI 2026 MINI NEXT'!$B48,'UC MINI 2026'!$G$5:$G$71)</f>
        <v>7</v>
      </c>
      <c r="H48" s="297">
        <f t="shared" si="219"/>
        <v>0.875</v>
      </c>
      <c r="I48" s="86">
        <f>IFERROR(VLOOKUP(B48,[2]BPS!$S$10:$AF$64,3,0),0)-IF(B48=100873,IFERROR(VLOOKUP("Enero",[2]BPS!$S$74:$T$89,2,0),0),0)</f>
        <v>7</v>
      </c>
      <c r="J48" s="297">
        <f t="shared" si="220"/>
        <v>1</v>
      </c>
      <c r="K48" s="86">
        <f>IFERROR(VLOOKUP(B48,'[2]RETAIL ORIGEN RMKT'!$S$11:$AF$62,3,0),0)</f>
        <v>0</v>
      </c>
      <c r="L48" s="150">
        <f t="shared" si="221"/>
        <v>0</v>
      </c>
      <c r="M48" s="79">
        <f>SUMIF('UC MINI 2026'!$B$5:$B$61,'UC MINI 2026 MINI NEXT'!$B48,'UC MINI 2026'!$H$5:$H$61)</f>
        <v>9</v>
      </c>
      <c r="N48" s="86">
        <f>SUMIF('UC MINI 2026'!$B$5:$B$61,'UC MINI 2026 MINI NEXT'!$B48,'UC MINI 2026'!$I$5:$I$61)</f>
        <v>7</v>
      </c>
      <c r="O48" s="297">
        <f t="shared" si="165"/>
        <v>0.77777777777777779</v>
      </c>
      <c r="P48" s="86">
        <f>IFERROR(VLOOKUP(B48,[2]BPS!$S$10:$AF$64,4,0),0)-IF(B48=100873,IFERROR(VLOOKUP("FEBRERO",[2]BPS!$S$74:$T$89,2,0),0),0)</f>
        <v>7</v>
      </c>
      <c r="Q48" s="297">
        <f t="shared" si="188"/>
        <v>1</v>
      </c>
      <c r="R48" s="86">
        <f>IFERROR(VLOOKUP(B48,'[2]RETAIL ORIGEN RMKT'!$S$11:$AF$62,4,0),0)</f>
        <v>1</v>
      </c>
      <c r="S48" s="150">
        <f t="shared" si="189"/>
        <v>0.1111111111111111</v>
      </c>
      <c r="T48" s="148">
        <f>SUMIF('UC MINI 2026'!$B$5:$B$71,'UC MINI 2026 MINI NEXT'!$B48,'UC MINI 2026'!$J$5:$J$71)</f>
        <v>9</v>
      </c>
      <c r="U48" s="86">
        <f>SUMIF('UC MINI 2026'!$B$10:$B$61,'UC MINI 2026 MINI NEXT'!$B48,'UC MINI 2026'!$K$10:$K$61)</f>
        <v>7</v>
      </c>
      <c r="V48" s="297">
        <f t="shared" si="166"/>
        <v>0.77777777777777779</v>
      </c>
      <c r="W48" s="86">
        <f>IFERROR(VLOOKUP(B48,[2]BPS!$S$10:$AF$64,5,0),0)-IF(B48=100873,IFERROR(VLOOKUP("MARZO",[2]BPS!$S$74:$T$89,2,0),0),0)</f>
        <v>7</v>
      </c>
      <c r="X48" s="297">
        <f t="shared" si="190"/>
        <v>1</v>
      </c>
      <c r="Y48" s="86">
        <f>IFERROR(VLOOKUP(B48,'[2]RETAIL ORIGEN RMKT'!$S$11:$AF$62,5,0),0)</f>
        <v>2</v>
      </c>
      <c r="Z48" s="150">
        <f t="shared" si="191"/>
        <v>0.22222222222222221</v>
      </c>
      <c r="AA48" s="148">
        <f>SUMIF('UC MINI 2026'!$B$5:$B$61,'UC MINI 2026 MINI NEXT'!$B48,'UC MINI 2026'!$L$5:$L$61)</f>
        <v>8</v>
      </c>
      <c r="AB48" s="86">
        <f>SUMIF('UC MINI 2026'!$B$5:$B$61,'UC MINI 2026 MINI NEXT'!$B48,'UC MINI 2026'!$M$5:$M$61)</f>
        <v>2</v>
      </c>
      <c r="AC48" s="297">
        <f t="shared" si="167"/>
        <v>0.25</v>
      </c>
      <c r="AD48" s="86">
        <f>IFERROR(VLOOKUP(B48,[2]BPS!$S$10:$AF$64,6,0),0)-IF(B48=100873,IFERROR(VLOOKUP("ABRIL",[2]BPS!$S$74:$T$89,2,0),0),0)</f>
        <v>2</v>
      </c>
      <c r="AE48" s="285">
        <f t="shared" si="192"/>
        <v>1</v>
      </c>
      <c r="AF48" s="86">
        <f>IFERROR(VLOOKUP(B48,'[2]RETAIL ORIGEN RMKT'!$S$11:$AF$62,6,0),0)</f>
        <v>0</v>
      </c>
      <c r="AG48" s="150">
        <f t="shared" si="193"/>
        <v>0</v>
      </c>
      <c r="AH48" s="148">
        <f>SUMIF('UC MINI 2026'!$B$5:$B$61,'UC MINI 2026 MINI NEXT'!$B48,'UC MINI 2026'!$N$5:$N$61)</f>
        <v>9</v>
      </c>
      <c r="AI48" s="86">
        <f>SUMIF('UC MINI 2026'!$B$5:$B$61,'UC MINI 2026 MINI NEXT'!$B48,'UC MINI 2026'!$O$5:$O$61)</f>
        <v>11</v>
      </c>
      <c r="AJ48" s="297">
        <f t="shared" si="168"/>
        <v>1.2222222222222223</v>
      </c>
      <c r="AK48" s="86">
        <f>IFERROR(VLOOKUP(B48,[2]BPS!$S$10:$AF$64,7,0),0)-IF(B48=100873,IFERROR(VLOOKUP("MAYO",[2]BPS!$S$74:$T$89,2,0),0),0)</f>
        <v>11</v>
      </c>
      <c r="AL48" s="285">
        <f t="shared" si="194"/>
        <v>1</v>
      </c>
      <c r="AM48" s="86">
        <f>IFERROR(VLOOKUP(B48,'[2]RETAIL ORIGEN RMKT'!$S$11:$AF$62,7,0),0)</f>
        <v>6</v>
      </c>
      <c r="AN48" s="150">
        <f t="shared" si="195"/>
        <v>0.66666666666666663</v>
      </c>
      <c r="AO48" s="148">
        <f>SUMIF('UC MINI 2026'!$B$5:$B$61,'UC MINI 2026 MINI NEXT'!$B48,'UC MINI 2026'!$P$5:$P$61)</f>
        <v>9</v>
      </c>
      <c r="AP48" s="86">
        <f>SUMIF('UC MINI 2026'!$B$5:$B$61,'UC MINI 2026 MINI NEXT'!$B48,'UC MINI 2026'!$Q$5:$Q$61)</f>
        <v>19</v>
      </c>
      <c r="AQ48" s="297">
        <f t="shared" si="169"/>
        <v>2.1111111111111112</v>
      </c>
      <c r="AR48" s="86">
        <f>IFERROR(VLOOKUP(B48,[2]BPS!$S$10:$AF$64,8,0),0)-IF(B48=100873,IFERROR(VLOOKUP("JUNIO",[2]BPS!$S$74:$T$89,2,0),0),0)</f>
        <v>19</v>
      </c>
      <c r="AS48" s="285">
        <f t="shared" si="196"/>
        <v>1</v>
      </c>
      <c r="AT48" s="86">
        <f>IFERROR(VLOOKUP(B48,'[2]RETAIL ORIGEN RMKT'!$S$11:$AF$62,8,0),0)</f>
        <v>8</v>
      </c>
      <c r="AU48" s="150">
        <f t="shared" si="197"/>
        <v>0.88888888888888884</v>
      </c>
      <c r="AV48" s="148">
        <f>SUMIF('UC MINI 2026'!$B$5:$B$61,'UC MINI 2026 MINI NEXT'!$B48,'UC MINI 2026'!$R$5:$R$61)</f>
        <v>0</v>
      </c>
      <c r="AW48" s="86">
        <f>SUMIF('UC MINI 2026'!$B$5:$B$61,'UC MINI 2026 MINI NEXT'!$B48,'UC MINI 2026'!$S$5:$S$61)</f>
        <v>0</v>
      </c>
      <c r="AX48" s="297">
        <f t="shared" si="170"/>
        <v>0</v>
      </c>
      <c r="AY48" s="86">
        <f>IFERROR(VLOOKUP(B48,[2]BPS!$S$10:$AF$64,9,0),0)-IF(B48=100873,IFERROR(VLOOKUP("JULIO",[2]BPS!$S$74:$T$89,2,0),0),0)</f>
        <v>0</v>
      </c>
      <c r="AZ48" s="285">
        <f t="shared" si="198"/>
        <v>0</v>
      </c>
      <c r="BA48" s="86">
        <f>IFERROR(VLOOKUP(I48,'[2]RETAIL ORIGEN RMKT'!$S$11:$AF$62,9,0),0)</f>
        <v>0</v>
      </c>
      <c r="BB48" s="150">
        <f t="shared" si="199"/>
        <v>0</v>
      </c>
      <c r="BC48" s="148">
        <f>SUMIF('UC MINI 2026'!$B$5:$B$61,'UC MINI 2026 MINI NEXT'!$B48,'UC MINI 2026'!$T$5:$T$61)</f>
        <v>0</v>
      </c>
      <c r="BD48" s="86">
        <f>SUMIF('UC MINI 2026'!$B$5:$B$61,'UC MINI 2026 MINI NEXT'!$B48,'UC MINI 2026'!$U$5:$U$61)</f>
        <v>0</v>
      </c>
      <c r="BE48" s="297">
        <f t="shared" si="171"/>
        <v>0</v>
      </c>
      <c r="BF48" s="86">
        <f>IFERROR(VLOOKUP(B48,[2]BPS!$S$10:$AF$64,10,0),0)-IF(B48=100873,IFERROR(VLOOKUP("AGOSTO",[2]BPS!$S$74:$T$89,2,0),0),0)</f>
        <v>0</v>
      </c>
      <c r="BG48" s="285">
        <f t="shared" si="200"/>
        <v>0</v>
      </c>
      <c r="BH48" s="86">
        <f>IFERROR(VLOOKUP(P48,'[2]RETAIL ORIGEN RMKT'!$S$11:$AF$62,10,0),0)</f>
        <v>0</v>
      </c>
      <c r="BI48" s="150">
        <f t="shared" si="201"/>
        <v>0</v>
      </c>
      <c r="BJ48" s="148">
        <f>SUMIF('UC MINI 2026'!$B$5:$B$61,'UC MINI 2026 MINI NEXT'!$B48,'UC MINI 2026'!$V$5:$V$61)</f>
        <v>0</v>
      </c>
      <c r="BK48" s="86">
        <f>SUMIF('UC MINI 2026'!$B$5:$B$61,'UC MINI 2026 MINI NEXT'!$B48,'UC MINI 2026'!$W$5:$W$61)</f>
        <v>0</v>
      </c>
      <c r="BL48" s="297">
        <f t="shared" si="172"/>
        <v>0</v>
      </c>
      <c r="BM48" s="86">
        <f>IFERROR(VLOOKUP(B48,[2]BPS!$S$10:$AF$64,11,0),0)-IF(B48=100873,IFERROR(VLOOKUP("SEPTIEMBRE",[2]BPS!$S$74:$T$89,2,0),0),0)</f>
        <v>0</v>
      </c>
      <c r="BN48" s="285">
        <f t="shared" si="202"/>
        <v>0</v>
      </c>
      <c r="BO48" s="86">
        <f>IFERROR(VLOOKUP(W48,'[2]RETAIL ORIGEN RMKT'!$S$11:$AF$62,11,0),0)</f>
        <v>0</v>
      </c>
      <c r="BP48" s="150">
        <f t="shared" si="203"/>
        <v>0</v>
      </c>
      <c r="BQ48" s="148">
        <f>SUMIF('UC MINI 2026'!$B$5:$B$61,'UC MINI 2026 MINI NEXT'!$B48,'UC MINI 2026'!$V$5:$V$61)</f>
        <v>0</v>
      </c>
      <c r="BR48" s="86">
        <f>SUMIF('UC MINI 2026'!$B$5:$B$61,'UC MINI 2026 MINI NEXT'!$B48,'UC MINI 2026'!$Y$5:$Y$61)</f>
        <v>0</v>
      </c>
      <c r="BS48" s="297">
        <f t="shared" si="173"/>
        <v>0</v>
      </c>
      <c r="BT48" s="86">
        <f>IFERROR(VLOOKUP(B48,[2]BPS!$S$10:$AF$64,12,0),0)-IF(B48=100873,IFERROR(VLOOKUP("OCTUBRE",[2]BPS!$S$74:$T$89,2,0),0),0)</f>
        <v>0</v>
      </c>
      <c r="BU48" s="285">
        <f t="shared" si="204"/>
        <v>0</v>
      </c>
      <c r="BV48" s="86">
        <f>IFERROR(VLOOKUP(AD48,'[2]RETAIL ORIGEN RMKT'!$S$11:$AF$62,12,0),0)</f>
        <v>0</v>
      </c>
      <c r="BW48" s="150">
        <f t="shared" si="205"/>
        <v>0</v>
      </c>
      <c r="BX48" s="148">
        <f>SUMIF('UC MINI 2026'!$B$5:$B$61,'UC MINI 2026 MINI NEXT'!$B48,'UC MINI 2026'!$V$5:$V$61)</f>
        <v>0</v>
      </c>
      <c r="BY48" s="86">
        <f>SUMIF('UC MINI 2026'!$B$5:$B$61,'UC MINI 2026 MINI NEXT'!$B48,'UC MINI 2026'!$AA$5:$AA$61)</f>
        <v>0</v>
      </c>
      <c r="BZ48" s="297">
        <f t="shared" si="174"/>
        <v>0</v>
      </c>
      <c r="CA48" s="86">
        <f>IFERROR(VLOOKUP(B48,[2]BPS!$S$10:$AF$64,13,0),0)-IF(B48=100873,IFERROR(VLOOKUP("NOVIEMBRE",[2]BPS!$S$74:$T$89,2,0),0),0)</f>
        <v>0</v>
      </c>
      <c r="CB48" s="285">
        <f t="shared" si="206"/>
        <v>0</v>
      </c>
      <c r="CC48" s="86">
        <f>IFERROR(VLOOKUP(AK48,'[2]RETAIL ORIGEN RMKT'!$S$11:$AF$62,13,0),0)</f>
        <v>0</v>
      </c>
      <c r="CD48" s="150">
        <f t="shared" si="207"/>
        <v>0</v>
      </c>
      <c r="CE48" s="148">
        <f>SUMIF('UC MINI 2026'!$B$5:$B$61,'UC MINI 2026 MINI NEXT'!$B48,'UC MINI 2026'!$V$5:$V$61)</f>
        <v>0</v>
      </c>
      <c r="CF48" s="86">
        <f>SUMIF('UC MINI 2026'!$B$5:$B$61,'UC MINI 2026 MINI NEXT'!$B48,'UC MINI 2026'!$AC$5:$AC$61)</f>
        <v>0</v>
      </c>
      <c r="CG48" s="297">
        <f t="shared" si="175"/>
        <v>0</v>
      </c>
      <c r="CH48" s="86">
        <f>IFERROR(VLOOKUP(B48,[2]BPS!$S$10:$AF$64,14,0),0)-IF(B48=100873,IFERROR(VLOOKUP("DICIEMBRE",[2]BPS!$S$74:$T$89,2,0),0),0)</f>
        <v>0</v>
      </c>
      <c r="CI48" s="285">
        <f t="shared" si="208"/>
        <v>0</v>
      </c>
      <c r="CJ48" s="86">
        <f>IFERROR(VLOOKUP(AR48,'[2]RETAIL ORIGEN RMKT'!$S$11:$AF$62,14,0),0)</f>
        <v>0</v>
      </c>
      <c r="CK48" s="150">
        <f t="shared" si="209"/>
        <v>0</v>
      </c>
      <c r="CL48" s="54">
        <f t="shared" si="223"/>
        <v>52</v>
      </c>
      <c r="CM48" s="86">
        <f t="shared" si="223"/>
        <v>53</v>
      </c>
      <c r="CN48" s="109">
        <f t="shared" si="176"/>
        <v>1.0192307692307692</v>
      </c>
      <c r="CO48" s="86">
        <f>IFERROR(IF($CL$4="ENERO",I48,IF($CL$4="FEBRERO",I48+P48,IF($CL$4="MARZO",I48+P48+W48,IF($CL$4="ABRIL",I48+P48+W48+AD48,IF($CL$4="MAYO",I48+P48+W48+AD48+AK48,IF($CL$4="JUNIO",I48+P48+W48+AD48+AK48+AR48,IF($CL$4="JULIO",I48+P48+W48+AD48+AK48+AR48+AY48,IF($CL$4="AGOSTO",I48+P48+W48+AD48+AK48+AR48+AY48+BF48,IF($CL$4="SEPTIEMBRE",I48+P48+W48+AD48+AK48+AR48+AY48+BF48+BM48,IF($CL$4="OCTUBRE",I48+P48+W48+AD48+AK48+AR48+AY48+BF48+BM48+BT48,IF($CL$4="NOVIEMBRE",I48+P48+W48+AD48+AK48+AR48+AY48+BF48+BM48+BT48+CA48,IF($CL$4="DICIEMBRE",I48+P48+W48+AD48+AK48+AR48+AY48+BF48+BM48+BT48+CA48+CH48,"")))))))))))),0)</f>
        <v>53</v>
      </c>
      <c r="CP48" s="297">
        <f>IFERROR(IF(CM48=0,"N.D.",CO48/CM48),0)</f>
        <v>1</v>
      </c>
      <c r="CQ48" s="348">
        <f>IFERROR(IF($CL$4="ENERO",K48,
IF($CL$4="FEBRERO",K48+R48,
IF($CL$4="MARZO",K48+R48+Y48,
IF($CL$4="ABRIL",K48+R48+Y48+AF48,
IF($CL$4="MAYO",K48+R48+Y48+AF48+AM48,
IF($CL$4="JUNIO",K48+R48+Y48+AF48+AM48+AT48,
IF($CL$4="JULIO",K48+R48+Y48+AF48+AM48+AT48+BA48,
IF($CL$4="AGOSTO",K48+R48+Y48+AF48+AM48+AT48+BA48+BH48,
IF($CL$4="SEPTIEMBRE",K48+R48+Y48+AF48+AM48+AT48+BA48+BH48+BO48,
IF($CL$4="OCTUBRE",K48+R48+Y48+AF48+AM48+AT48+BA48+BH48+BO48+BV48,
IF($CL$4="NOVIEMBRE",K48+R48+Y48+AF48+AM48+AT48+BA48+BH48+BO48+BV48+CC48,
IF($CL$4="DICIEMBRE",K48+R48+Y48+AF48+AM48+AT48+BA48+BH48+BO48+BV48+CC48+CJ48,"")))))))))))),0)</f>
        <v>17</v>
      </c>
      <c r="CR48" s="149">
        <f t="shared" si="177"/>
        <v>0.32692307692307693</v>
      </c>
      <c r="CS48" s="54">
        <f>+F48+M48+T48+AA48+AH48+AO48++AV48+BC48+BJ48+BQ48+BX48+CE48</f>
        <v>52</v>
      </c>
      <c r="CT48" s="86">
        <f>SUMIFS($F48:$CI48,$F$6:$CI$6,CT$6,$F$2:$CI$2,$CL$4)</f>
        <v>53</v>
      </c>
      <c r="CU48" s="109">
        <f t="shared" si="222"/>
        <v>1.0192307692307692</v>
      </c>
      <c r="CV48" s="68">
        <f>IFERROR(I48+P48+W48+AD48+AK48+AR48+AY48+BF48+BM48+BT48+CA48+CH48,0)</f>
        <v>53</v>
      </c>
      <c r="CW48" s="297">
        <f>IF(CT48=0,"N.D.",CV48/CT48)</f>
        <v>1</v>
      </c>
      <c r="CX48" s="350">
        <f>IFERROR(K48+R48+Y48+AF48+AM48+AT48+BA48+BH48+BO48+BV48+CC48+CJ48,0)</f>
        <v>17</v>
      </c>
      <c r="CY48" s="149">
        <f t="shared" si="178"/>
        <v>0.32692307692307693</v>
      </c>
      <c r="CZ48" s="54">
        <f t="shared" si="224"/>
        <v>26</v>
      </c>
      <c r="DA48" s="86">
        <f t="shared" si="224"/>
        <v>21</v>
      </c>
      <c r="DB48" s="109">
        <f t="shared" si="179"/>
        <v>0.80769230769230771</v>
      </c>
      <c r="DC48" s="68">
        <f>IFERROR(IF($CZ$5="Q1",I48+P48+W48,
IF($CZ$5="Q2",AD48+AK48++AR48,
IF($CZ$5="Q3",AY48+BF48+BM48,
IF($CZ$5="Q4",BT48+CA48+CH48,0)))),0)</f>
        <v>21</v>
      </c>
      <c r="DD48" s="297">
        <f>IF(DA48=0,"N.D.",DC48/DA48)</f>
        <v>1</v>
      </c>
      <c r="DE48" s="350">
        <f>IFERROR(IF($CZ$5="Q1",K48+R48+Y48,
IF($CZ$5="Q2",AF48+AM48+AT48,
IF($CZ$5="Q3",BA48+BH48+BO48,
IF($CZ$5="Q4",BV48+CC48+CJ48,0)))),0)</f>
        <v>3</v>
      </c>
      <c r="DF48" s="150">
        <f t="shared" si="180"/>
        <v>0.11538461538461539</v>
      </c>
      <c r="DG48" s="54">
        <f t="shared" si="225"/>
        <v>52</v>
      </c>
      <c r="DH48" s="86">
        <f t="shared" si="225"/>
        <v>53</v>
      </c>
      <c r="DI48" s="109">
        <f t="shared" si="181"/>
        <v>1.0192307692307692</v>
      </c>
      <c r="DJ48" s="68">
        <f>IFERROR(IF($DG$5="S 1",I48+P48+W48+AD48+AK48++AR48,
IF($DG$5="S 2",AY48+BF48+BM48+BT48+CA48+CH48,0)),0)</f>
        <v>53</v>
      </c>
      <c r="DK48" s="297">
        <f t="shared" si="182"/>
        <v>1</v>
      </c>
      <c r="DL48" s="350">
        <f>IFERROR(IF($DG$5="S 1",K48+R48+Y48+AF48+AM48+AT48,
IF($DG$5="S 2",BA48+BH48+BO48+BV48+CC48+CJ48,0)),0)</f>
        <v>17</v>
      </c>
      <c r="DM48" s="150">
        <f t="shared" si="183"/>
        <v>0.32692307692307693</v>
      </c>
      <c r="DN48" s="67">
        <f t="shared" si="226"/>
        <v>0</v>
      </c>
      <c r="DO48" s="266">
        <f t="shared" si="226"/>
        <v>0</v>
      </c>
      <c r="DP48" s="109">
        <f t="shared" si="216"/>
        <v>0</v>
      </c>
      <c r="DQ48" s="68">
        <f>IFERROR(IF($DN$5="S 1",I48+P48+W48+AD48+AK48++AR48,
IF($DN$5="S 2",AY48+BF48+BM48+BT48+CA48+CH48,0)),0)</f>
        <v>0</v>
      </c>
      <c r="DR48" s="297" t="str">
        <f t="shared" si="217"/>
        <v>N.D.</v>
      </c>
      <c r="DS48" s="350">
        <f>IFERROR(IF($DN$5="S 1",K48+R48+Y48+AF48+AM48+AT48,
IF($DN$5="S 2",BA48+BH48+BO48+BV48+CC48+CJ48,0)),0)</f>
        <v>0</v>
      </c>
      <c r="DT48" s="150">
        <f t="shared" si="218"/>
        <v>0</v>
      </c>
      <c r="DU48" s="53">
        <v>1</v>
      </c>
      <c r="DX48" s="53">
        <v>12</v>
      </c>
      <c r="DY48" s="53">
        <v>9</v>
      </c>
      <c r="DZ48" s="513">
        <v>0.61111111111111116</v>
      </c>
      <c r="EB48" s="513">
        <v>0.73684210526315785</v>
      </c>
      <c r="EC48" s="53">
        <v>0</v>
      </c>
      <c r="ED48" s="513">
        <v>0</v>
      </c>
    </row>
    <row r="49" spans="1:134" s="53" customFormat="1" ht="16" customHeight="1" x14ac:dyDescent="0.3">
      <c r="A49" s="53">
        <f>_xlfn.XLOOKUP(B49,'UC MINI 2026'!$B$5:$B$61,'UC MINI 2026'!$A$5:$A$61)</f>
        <v>8</v>
      </c>
      <c r="B49" s="179">
        <v>100394</v>
      </c>
      <c r="C49" s="381" t="s">
        <v>64</v>
      </c>
      <c r="D49" s="146"/>
      <c r="E49" s="309" t="s">
        <v>96</v>
      </c>
      <c r="F49" s="54">
        <f>SUMIF('UC MINI 2026'!$B$5:$B$71,'UC MINI 2026 MINI NEXT'!$B49,'UC MINI 2026'!$F$5:$F$71)</f>
        <v>2</v>
      </c>
      <c r="G49" s="86">
        <f>SUMIF('UC MINI 2026'!$B$5:$B$71,'UC MINI 2026 MINI NEXT'!$B49,'UC MINI 2026'!$G$5:$G$71)</f>
        <v>2</v>
      </c>
      <c r="H49" s="297">
        <f t="shared" si="219"/>
        <v>1</v>
      </c>
      <c r="I49" s="86">
        <f>IFERROR(VLOOKUP(B49,[2]BPS!$S$10:$AF$64,3,0),0)-IF(B49=100873,IFERROR(VLOOKUP("Enero",[2]BPS!$S$74:$T$89,2,0),0),0)</f>
        <v>2</v>
      </c>
      <c r="J49" s="297">
        <f t="shared" si="220"/>
        <v>1</v>
      </c>
      <c r="K49" s="86">
        <f>IFERROR(VLOOKUP(B49,'[2]RETAIL ORIGEN RMKT'!$S$11:$AF$62,3,0),0)</f>
        <v>0</v>
      </c>
      <c r="L49" s="150">
        <f t="shared" si="221"/>
        <v>0</v>
      </c>
      <c r="M49" s="79">
        <f>SUMIF('UC MINI 2026'!$B$5:$B$61,'UC MINI 2026 MINI NEXT'!$B49,'UC MINI 2026'!$H$5:$H$61)</f>
        <v>2</v>
      </c>
      <c r="N49" s="86">
        <f>SUMIF('UC MINI 2026'!$B$5:$B$61,'UC MINI 2026 MINI NEXT'!$B49,'UC MINI 2026'!$I$5:$I$61)</f>
        <v>0</v>
      </c>
      <c r="O49" s="297">
        <f t="shared" si="165"/>
        <v>0</v>
      </c>
      <c r="P49" s="86">
        <f>IFERROR(VLOOKUP(B49,[2]BPS!$S$10:$AF$64,4,0),0)-IF(B49=100873,IFERROR(VLOOKUP("FEBRERO",[2]BPS!$S$74:$T$89,2,0),0),0)</f>
        <v>0</v>
      </c>
      <c r="Q49" s="297">
        <f t="shared" si="188"/>
        <v>0</v>
      </c>
      <c r="R49" s="86">
        <f>IFERROR(VLOOKUP(B49,'[2]RETAIL ORIGEN RMKT'!$S$11:$AF$62,4,0),0)</f>
        <v>0</v>
      </c>
      <c r="S49" s="150">
        <f t="shared" si="189"/>
        <v>0</v>
      </c>
      <c r="T49" s="148">
        <f>SUMIF('UC MINI 2026'!$B$5:$B$71,'UC MINI 2026 MINI NEXT'!$B49,'UC MINI 2026'!$J$5:$J$71)</f>
        <v>3</v>
      </c>
      <c r="U49" s="86">
        <f>SUMIF('UC MINI 2026'!$B$10:$B$61,'UC MINI 2026 MINI NEXT'!$B49,'UC MINI 2026'!$K$10:$K$61)</f>
        <v>4</v>
      </c>
      <c r="V49" s="297">
        <f t="shared" si="166"/>
        <v>1.3333333333333333</v>
      </c>
      <c r="W49" s="86">
        <f>IFERROR(VLOOKUP(B49,[2]BPS!$S$10:$AF$64,5,0),0)-IF(B49=100873,IFERROR(VLOOKUP("MARZO",[2]BPS!$S$74:$T$89,2,0),0),0)</f>
        <v>4</v>
      </c>
      <c r="X49" s="297">
        <f t="shared" si="190"/>
        <v>1</v>
      </c>
      <c r="Y49" s="86">
        <f>IFERROR(VLOOKUP(B49,'[2]RETAIL ORIGEN RMKT'!$S$11:$AF$62,5,0),0)</f>
        <v>1</v>
      </c>
      <c r="Z49" s="150">
        <f t="shared" si="191"/>
        <v>0.33333333333333331</v>
      </c>
      <c r="AA49" s="148">
        <f>SUMIF('UC MINI 2026'!$B$5:$B$61,'UC MINI 2026 MINI NEXT'!$B49,'UC MINI 2026'!$L$5:$L$61)</f>
        <v>2</v>
      </c>
      <c r="AB49" s="86">
        <f>SUMIF('UC MINI 2026'!$B$5:$B$61,'UC MINI 2026 MINI NEXT'!$B49,'UC MINI 2026'!$M$5:$M$61)</f>
        <v>3</v>
      </c>
      <c r="AC49" s="297">
        <f t="shared" si="167"/>
        <v>1.5</v>
      </c>
      <c r="AD49" s="86">
        <f>IFERROR(VLOOKUP(B49,[2]BPS!$S$10:$AF$64,6,0),0)-IF(B49=100873,IFERROR(VLOOKUP("ABRIL",[2]BPS!$S$74:$T$89,2,0),0),0)</f>
        <v>3</v>
      </c>
      <c r="AE49" s="285">
        <f t="shared" si="192"/>
        <v>1</v>
      </c>
      <c r="AF49" s="86">
        <f>IFERROR(VLOOKUP(B49,'[2]RETAIL ORIGEN RMKT'!$S$11:$AF$62,6,0),0)</f>
        <v>1</v>
      </c>
      <c r="AG49" s="150">
        <f t="shared" si="193"/>
        <v>0.5</v>
      </c>
      <c r="AH49" s="148">
        <f>SUMIF('UC MINI 2026'!$B$5:$B$61,'UC MINI 2026 MINI NEXT'!$B49,'UC MINI 2026'!$N$5:$N$61)</f>
        <v>3</v>
      </c>
      <c r="AI49" s="86">
        <f>SUMIF('UC MINI 2026'!$B$5:$B$61,'UC MINI 2026 MINI NEXT'!$B49,'UC MINI 2026'!$O$5:$O$61)</f>
        <v>1</v>
      </c>
      <c r="AJ49" s="297">
        <f t="shared" si="168"/>
        <v>0.33333333333333331</v>
      </c>
      <c r="AK49" s="86">
        <f>IFERROR(VLOOKUP(B49,[2]BPS!$S$10:$AF$64,7,0),0)-IF(B49=100873,IFERROR(VLOOKUP("MAYO",[2]BPS!$S$74:$T$89,2,0),0),0)</f>
        <v>1</v>
      </c>
      <c r="AL49" s="285">
        <f t="shared" si="194"/>
        <v>1</v>
      </c>
      <c r="AM49" s="86">
        <f>IFERROR(VLOOKUP(B49,'[2]RETAIL ORIGEN RMKT'!$S$11:$AF$62,7,0),0)</f>
        <v>0</v>
      </c>
      <c r="AN49" s="150">
        <f t="shared" si="195"/>
        <v>0</v>
      </c>
      <c r="AO49" s="148">
        <f>SUMIF('UC MINI 2026'!$B$5:$B$61,'UC MINI 2026 MINI NEXT'!$B49,'UC MINI 2026'!$P$5:$P$61)</f>
        <v>3</v>
      </c>
      <c r="AP49" s="86">
        <f>SUMIF('UC MINI 2026'!$B$5:$B$61,'UC MINI 2026 MINI NEXT'!$B49,'UC MINI 2026'!$Q$5:$Q$61)</f>
        <v>1</v>
      </c>
      <c r="AQ49" s="297">
        <f t="shared" si="169"/>
        <v>0.33333333333333331</v>
      </c>
      <c r="AR49" s="86">
        <f>IFERROR(VLOOKUP(B49,[2]BPS!$S$10:$AF$64,8,0),0)-IF(B49=100873,IFERROR(VLOOKUP("JUNIO",[2]BPS!$S$74:$T$89,2,0),0),0)</f>
        <v>1</v>
      </c>
      <c r="AS49" s="285">
        <f t="shared" si="196"/>
        <v>1</v>
      </c>
      <c r="AT49" s="86">
        <f>IFERROR(VLOOKUP(B49,'[2]RETAIL ORIGEN RMKT'!$S$11:$AF$62,8,0),0)</f>
        <v>1</v>
      </c>
      <c r="AU49" s="150">
        <f t="shared" si="197"/>
        <v>0.33333333333333331</v>
      </c>
      <c r="AV49" s="148">
        <f>SUMIF('UC MINI 2026'!$B$5:$B$61,'UC MINI 2026 MINI NEXT'!$B49,'UC MINI 2026'!$R$5:$R$61)</f>
        <v>0</v>
      </c>
      <c r="AW49" s="86">
        <f>SUMIF('UC MINI 2026'!$B$5:$B$61,'UC MINI 2026 MINI NEXT'!$B49,'UC MINI 2026'!$S$5:$S$61)</f>
        <v>0</v>
      </c>
      <c r="AX49" s="297">
        <f t="shared" si="170"/>
        <v>0</v>
      </c>
      <c r="AY49" s="86">
        <f>IFERROR(VLOOKUP(B49,[2]BPS!$S$10:$AF$64,9,0),0)-IF(B49=100873,IFERROR(VLOOKUP("JULIO",[2]BPS!$S$74:$T$89,2,0),0),0)</f>
        <v>0</v>
      </c>
      <c r="AZ49" s="285">
        <f t="shared" si="198"/>
        <v>0</v>
      </c>
      <c r="BA49" s="86">
        <f>IFERROR(VLOOKUP(I49,'[2]RETAIL ORIGEN RMKT'!$S$11:$AF$62,9,0),0)</f>
        <v>0</v>
      </c>
      <c r="BB49" s="150">
        <f t="shared" si="199"/>
        <v>0</v>
      </c>
      <c r="BC49" s="148">
        <f>SUMIF('UC MINI 2026'!$B$5:$B$61,'UC MINI 2026 MINI NEXT'!$B49,'UC MINI 2026'!$T$5:$T$61)</f>
        <v>0</v>
      </c>
      <c r="BD49" s="86">
        <f>SUMIF('UC MINI 2026'!$B$5:$B$61,'UC MINI 2026 MINI NEXT'!$B49,'UC MINI 2026'!$U$5:$U$61)</f>
        <v>0</v>
      </c>
      <c r="BE49" s="297">
        <f t="shared" si="171"/>
        <v>0</v>
      </c>
      <c r="BF49" s="86">
        <f>IFERROR(VLOOKUP(B49,[2]BPS!$S$10:$AF$64,10,0),0)-IF(B49=100873,IFERROR(VLOOKUP("AGOSTO",[2]BPS!$S$74:$T$89,2,0),0),0)</f>
        <v>0</v>
      </c>
      <c r="BG49" s="285">
        <f t="shared" si="200"/>
        <v>0</v>
      </c>
      <c r="BH49" s="86">
        <f>IFERROR(VLOOKUP(P49,'[2]RETAIL ORIGEN RMKT'!$S$11:$AF$62,10,0),0)</f>
        <v>0</v>
      </c>
      <c r="BI49" s="150">
        <f t="shared" si="201"/>
        <v>0</v>
      </c>
      <c r="BJ49" s="148">
        <f>SUMIF('UC MINI 2026'!$B$5:$B$61,'UC MINI 2026 MINI NEXT'!$B49,'UC MINI 2026'!$V$5:$V$61)</f>
        <v>0</v>
      </c>
      <c r="BK49" s="86">
        <f>SUMIF('UC MINI 2026'!$B$5:$B$61,'UC MINI 2026 MINI NEXT'!$B49,'UC MINI 2026'!$W$5:$W$61)</f>
        <v>0</v>
      </c>
      <c r="BL49" s="297">
        <f t="shared" si="172"/>
        <v>0</v>
      </c>
      <c r="BM49" s="86">
        <f>IFERROR(VLOOKUP(B49,[2]BPS!$S$10:$AF$64,11,0),0)-IF(B49=100873,IFERROR(VLOOKUP("SEPTIEMBRE",[2]BPS!$S$74:$T$89,2,0),0),0)</f>
        <v>0</v>
      </c>
      <c r="BN49" s="285">
        <f t="shared" si="202"/>
        <v>0</v>
      </c>
      <c r="BO49" s="86">
        <f>IFERROR(VLOOKUP(W49,'[2]RETAIL ORIGEN RMKT'!$S$11:$AF$62,11,0),0)</f>
        <v>0</v>
      </c>
      <c r="BP49" s="150">
        <f t="shared" si="203"/>
        <v>0</v>
      </c>
      <c r="BQ49" s="148">
        <f>SUMIF('UC MINI 2026'!$B$5:$B$61,'UC MINI 2026 MINI NEXT'!$B49,'UC MINI 2026'!$V$5:$V$61)</f>
        <v>0</v>
      </c>
      <c r="BR49" s="86">
        <f>SUMIF('UC MINI 2026'!$B$5:$B$61,'UC MINI 2026 MINI NEXT'!$B49,'UC MINI 2026'!$Y$5:$Y$61)</f>
        <v>0</v>
      </c>
      <c r="BS49" s="297">
        <f t="shared" si="173"/>
        <v>0</v>
      </c>
      <c r="BT49" s="86">
        <f>IFERROR(VLOOKUP(B49,[2]BPS!$S$10:$AF$64,12,0),0)-IF(B49=100873,IFERROR(VLOOKUP("OCTUBRE",[2]BPS!$S$74:$T$89,2,0),0),0)</f>
        <v>0</v>
      </c>
      <c r="BU49" s="285">
        <f t="shared" si="204"/>
        <v>0</v>
      </c>
      <c r="BV49" s="86">
        <f>IFERROR(VLOOKUP(AD49,'[2]RETAIL ORIGEN RMKT'!$S$11:$AF$62,12,0),0)</f>
        <v>0</v>
      </c>
      <c r="BW49" s="150">
        <f t="shared" si="205"/>
        <v>0</v>
      </c>
      <c r="BX49" s="148">
        <f>SUMIF('UC MINI 2026'!$B$5:$B$61,'UC MINI 2026 MINI NEXT'!$B49,'UC MINI 2026'!$V$5:$V$61)</f>
        <v>0</v>
      </c>
      <c r="BY49" s="86">
        <f>SUMIF('UC MINI 2026'!$B$5:$B$61,'UC MINI 2026 MINI NEXT'!$B49,'UC MINI 2026'!$AA$5:$AA$61)</f>
        <v>0</v>
      </c>
      <c r="BZ49" s="297">
        <f t="shared" si="174"/>
        <v>0</v>
      </c>
      <c r="CA49" s="86">
        <f>IFERROR(VLOOKUP(B49,[2]BPS!$S$10:$AF$64,13,0),0)-IF(B49=100873,IFERROR(VLOOKUP("NOVIEMBRE",[2]BPS!$S$74:$T$89,2,0),0),0)</f>
        <v>0</v>
      </c>
      <c r="CB49" s="285">
        <f t="shared" si="206"/>
        <v>0</v>
      </c>
      <c r="CC49" s="86">
        <f>IFERROR(VLOOKUP(AK49,'[2]RETAIL ORIGEN RMKT'!$S$11:$AF$62,13,0),0)</f>
        <v>0</v>
      </c>
      <c r="CD49" s="150">
        <f t="shared" si="207"/>
        <v>0</v>
      </c>
      <c r="CE49" s="148">
        <f>SUMIF('UC MINI 2026'!$B$5:$B$61,'UC MINI 2026 MINI NEXT'!$B49,'UC MINI 2026'!$V$5:$V$61)</f>
        <v>0</v>
      </c>
      <c r="CF49" s="86">
        <f>SUMIF('UC MINI 2026'!$B$5:$B$61,'UC MINI 2026 MINI NEXT'!$B49,'UC MINI 2026'!$AC$5:$AC$61)</f>
        <v>0</v>
      </c>
      <c r="CG49" s="297">
        <f t="shared" si="175"/>
        <v>0</v>
      </c>
      <c r="CH49" s="86">
        <f>IFERROR(VLOOKUP(B49,[2]BPS!$S$10:$AF$64,14,0),0)-IF(B49=100873,IFERROR(VLOOKUP("DICIEMBRE",[2]BPS!$S$74:$T$89,2,0),0),0)</f>
        <v>0</v>
      </c>
      <c r="CI49" s="285">
        <f t="shared" si="208"/>
        <v>0</v>
      </c>
      <c r="CJ49" s="86">
        <f>IFERROR(VLOOKUP(AR49,'[2]RETAIL ORIGEN RMKT'!$S$11:$AF$62,14,0),0)</f>
        <v>0</v>
      </c>
      <c r="CK49" s="150">
        <f t="shared" si="209"/>
        <v>0</v>
      </c>
      <c r="CL49" s="54">
        <f t="shared" si="223"/>
        <v>15</v>
      </c>
      <c r="CM49" s="86">
        <f t="shared" si="223"/>
        <v>11</v>
      </c>
      <c r="CN49" s="109">
        <f t="shared" si="176"/>
        <v>0.73333333333333328</v>
      </c>
      <c r="CO49" s="86">
        <f>IFERROR(IF($CL$4="ENERO",I49,IF($CL$4="FEBRERO",I49+P49,IF($CL$4="MARZO",I49+P49+W49,IF($CL$4="ABRIL",I49+P49+W49+AD49,IF($CL$4="MAYO",I49+P49+W49+AD49+AK49,IF($CL$4="JUNIO",I49+P49+W49+AD49+AK49+AR49,IF($CL$4="JULIO",I49+P49+W49+AD49+AK49+AR49+AY49,IF($CL$4="AGOSTO",I49+P49+W49+AD49+AK49+AR49+AY49+BF49,IF($CL$4="SEPTIEMBRE",I49+P49+W49+AD49+AK49+AR49+AY49+BF49+BM49,IF($CL$4="OCTUBRE",I49+P49+W49+AD49+AK49+AR49+AY49+BF49+BM49+BT49,IF($CL$4="NOVIEMBRE",I49+P49+W49+AD49+AK49+AR49+AY49+BF49+BM49+BT49+CA49,IF($CL$4="DICIEMBRE",I49+P49+W49+AD49+AK49+AR49+AY49+BF49+BM49+BT49+CA49+CH49,"")))))))))))),0)</f>
        <v>11</v>
      </c>
      <c r="CP49" s="297">
        <f>IFERROR(IF(CM49=0,"N.D.",CO49/CM49),0)</f>
        <v>1</v>
      </c>
      <c r="CQ49" s="348">
        <f>IFERROR(IF($CL$4="ENERO",K49,
IF($CL$4="FEBRERO",K49+R49,
IF($CL$4="MARZO",K49+R49+Y49,
IF($CL$4="ABRIL",K49+R49+Y49+AF49,
IF($CL$4="MAYO",K49+R49+Y49+AF49+AM49,
IF($CL$4="JUNIO",K49+R49+Y49+AF49+AM49+AT49,
IF($CL$4="JULIO",K49+R49+Y49+AF49+AM49+AT49+BA49,
IF($CL$4="AGOSTO",K49+R49+Y49+AF49+AM49+AT49+BA49+BH49,
IF($CL$4="SEPTIEMBRE",K49+R49+Y49+AF49+AM49+AT49+BA49+BH49+BO49,
IF($CL$4="OCTUBRE",K49+R49+Y49+AF49+AM49+AT49+BA49+BH49+BO49+BV49,
IF($CL$4="NOVIEMBRE",K49+R49+Y49+AF49+AM49+AT49+BA49+BH49+BO49+BV49+CC49,
IF($CL$4="DICIEMBRE",K49+R49+Y49+AF49+AM49+AT49+BA49+BH49+BO49+BV49+CC49+CJ49,"")))))))))))),0)</f>
        <v>3</v>
      </c>
      <c r="CR49" s="149">
        <f t="shared" si="177"/>
        <v>0.2</v>
      </c>
      <c r="CS49" s="54">
        <f>+F49+M49+T49+AA49+AH49+AO49++AV49+BC49+BJ49+BQ49+BX49+CE49</f>
        <v>15</v>
      </c>
      <c r="CT49" s="86">
        <f>SUMIFS($F49:$CI49,$F$6:$CI$6,CT$6,$F$2:$CI$2,$CL$4)</f>
        <v>11</v>
      </c>
      <c r="CU49" s="109">
        <f t="shared" si="222"/>
        <v>0.73333333333333328</v>
      </c>
      <c r="CV49" s="68">
        <f>IFERROR(I49+P49+W49+AD49+AK49+AR49+AY49+BF49+BM49+BT49+CA49+CH49,0)</f>
        <v>11</v>
      </c>
      <c r="CW49" s="297">
        <f>IF(CT49=0,"N.D.",CV49/CT49)</f>
        <v>1</v>
      </c>
      <c r="CX49" s="350">
        <f>IFERROR(K49+R49+Y49+AF49+AM49+AT49+BA49+BH49+BO49+BV49+CC49+CJ49,0)</f>
        <v>3</v>
      </c>
      <c r="CY49" s="149">
        <f t="shared" si="178"/>
        <v>0.2</v>
      </c>
      <c r="CZ49" s="54">
        <f t="shared" si="224"/>
        <v>7</v>
      </c>
      <c r="DA49" s="86">
        <f t="shared" si="224"/>
        <v>6</v>
      </c>
      <c r="DB49" s="109">
        <f t="shared" si="179"/>
        <v>0.8571428571428571</v>
      </c>
      <c r="DC49" s="68">
        <f>IFERROR(IF($CZ$5="Q1",I49+P49+W49,
IF($CZ$5="Q2",AD49+AK49++AR49,
IF($CZ$5="Q3",AY49+BF49+BM49,
IF($CZ$5="Q4",BT49+CA49+CH49,0)))),0)</f>
        <v>6</v>
      </c>
      <c r="DD49" s="297">
        <f>IF(DA49=0,"N.D.",DC49/DA49)</f>
        <v>1</v>
      </c>
      <c r="DE49" s="350">
        <f>IFERROR(IF($CZ$5="Q1",K49+R49+Y49,
IF($CZ$5="Q2",AF49+AM49+AT49,
IF($CZ$5="Q3",BA49+BH49+BO49,
IF($CZ$5="Q4",BV49+CC49+CJ49,0)))),0)</f>
        <v>1</v>
      </c>
      <c r="DF49" s="150">
        <f t="shared" si="180"/>
        <v>0.14285714285714285</v>
      </c>
      <c r="DG49" s="54">
        <f t="shared" si="225"/>
        <v>15</v>
      </c>
      <c r="DH49" s="86">
        <f t="shared" si="225"/>
        <v>11</v>
      </c>
      <c r="DI49" s="109">
        <f t="shared" si="181"/>
        <v>0.73333333333333328</v>
      </c>
      <c r="DJ49" s="68">
        <f>IFERROR(IF($DG$5="S 1",I49+P49+W49+AD49+AK49++AR49,
IF($DG$5="S 2",AY49+BF49+BM49+BT49+CA49+CH49,0)),0)</f>
        <v>11</v>
      </c>
      <c r="DK49" s="297">
        <f t="shared" si="182"/>
        <v>1</v>
      </c>
      <c r="DL49" s="350">
        <f>IFERROR(IF($DG$5="S 1",K49+R49+Y49+AF49+AM49+AT49,
IF($DG$5="S 2",BA49+BH49+BO49+BV49+CC49+CJ49,0)),0)</f>
        <v>3</v>
      </c>
      <c r="DM49" s="150">
        <f t="shared" si="183"/>
        <v>0.2</v>
      </c>
      <c r="DN49" s="67">
        <f t="shared" si="226"/>
        <v>0</v>
      </c>
      <c r="DO49" s="266">
        <f t="shared" si="226"/>
        <v>0</v>
      </c>
      <c r="DP49" s="109">
        <f t="shared" si="216"/>
        <v>0</v>
      </c>
      <c r="DQ49" s="68">
        <f>IFERROR(IF($DN$5="S 1",I49+P49+W49+AD49+AK49++AR49,
IF($DN$5="S 2",AY49+BF49+BM49+BT49+CA49+CH49,0)),0)</f>
        <v>0</v>
      </c>
      <c r="DR49" s="297" t="str">
        <f t="shared" si="217"/>
        <v>N.D.</v>
      </c>
      <c r="DS49" s="350">
        <f>IFERROR(IF($DN$5="S 1",K49+R49+Y49+AF49+AM49+AT49,
IF($DN$5="S 2",BA49+BH49+BO49+BV49+CC49+CJ49,0)),0)</f>
        <v>0</v>
      </c>
      <c r="DT49" s="150">
        <f t="shared" si="218"/>
        <v>0</v>
      </c>
      <c r="DU49" s="53">
        <v>1</v>
      </c>
      <c r="DX49" s="53">
        <v>10</v>
      </c>
      <c r="DY49" s="53">
        <v>8</v>
      </c>
      <c r="DZ49" s="513">
        <v>0.6</v>
      </c>
      <c r="EB49" s="513">
        <v>0.7142857142857143</v>
      </c>
      <c r="EC49" s="53">
        <v>0</v>
      </c>
      <c r="ED49" s="513">
        <v>0</v>
      </c>
    </row>
    <row r="50" spans="1:134" s="53" customFormat="1" ht="16" customHeight="1" thickBot="1" x14ac:dyDescent="0.35">
      <c r="B50" s="179">
        <v>100468</v>
      </c>
      <c r="C50" s="381" t="s">
        <v>65</v>
      </c>
      <c r="D50" s="146"/>
      <c r="E50" s="309" t="s">
        <v>97</v>
      </c>
      <c r="F50" s="54">
        <f>SUMIF('UC MINI 2026'!$B$5:$B$71,'UC MINI 2026 MINI NEXT'!$B50,'UC MINI 2026'!$F$5:$F$71)</f>
        <v>4</v>
      </c>
      <c r="G50" s="86">
        <f>SUMIF('UC MINI 2026'!$B$5:$B$71,'UC MINI 2026 MINI NEXT'!$B50,'UC MINI 2026'!$G$5:$G$71)</f>
        <v>2</v>
      </c>
      <c r="H50" s="297">
        <f t="shared" si="219"/>
        <v>0.5</v>
      </c>
      <c r="I50" s="86">
        <f>IFERROR(VLOOKUP(B50,[2]BPS!$S$10:$AF$64,3,0),0)-IF(B50=100873,IFERROR(VLOOKUP("Enero",[2]BPS!$S$74:$T$89,2,0),0),0)</f>
        <v>2</v>
      </c>
      <c r="J50" s="297">
        <f t="shared" si="220"/>
        <v>1</v>
      </c>
      <c r="K50" s="86">
        <f>IFERROR(VLOOKUP(B50,'[2]RETAIL ORIGEN RMKT'!$S$11:$AF$62,3,0),0)</f>
        <v>1</v>
      </c>
      <c r="L50" s="150">
        <f t="shared" si="221"/>
        <v>0.25</v>
      </c>
      <c r="M50" s="79">
        <f>SUMIF('UC MINI 2026'!$B$5:$B$61,'UC MINI 2026 MINI NEXT'!$B50,'UC MINI 2026'!$H$5:$H$61)</f>
        <v>4</v>
      </c>
      <c r="N50" s="86">
        <f>SUMIF('UC MINI 2026'!$B$5:$B$61,'UC MINI 2026 MINI NEXT'!$B50,'UC MINI 2026'!$I$5:$I$61)</f>
        <v>1</v>
      </c>
      <c r="O50" s="297">
        <f t="shared" si="165"/>
        <v>0.25</v>
      </c>
      <c r="P50" s="86">
        <f>IFERROR(VLOOKUP(B50,[2]BPS!$S$10:$AF$64,4,0),0)-IF(B50=100873,IFERROR(VLOOKUP("FEBRERO",[2]BPS!$S$74:$T$89,2,0),0),0)</f>
        <v>1</v>
      </c>
      <c r="Q50" s="297">
        <f t="shared" si="188"/>
        <v>1</v>
      </c>
      <c r="R50" s="86">
        <f>IFERROR(VLOOKUP(B50,'[2]RETAIL ORIGEN RMKT'!$S$11:$AF$62,4,0),0)</f>
        <v>1</v>
      </c>
      <c r="S50" s="150">
        <f t="shared" si="189"/>
        <v>0.25</v>
      </c>
      <c r="T50" s="148">
        <f>SUMIF('UC MINI 2026'!$B$5:$B$71,'UC MINI 2026 MINI NEXT'!$B50,'UC MINI 2026'!$J$5:$J$71)</f>
        <v>5</v>
      </c>
      <c r="U50" s="86">
        <f>SUMIF('UC MINI 2026'!$B$10:$B$61,'UC MINI 2026 MINI NEXT'!$B50,'UC MINI 2026'!$K$10:$K$61)</f>
        <v>1</v>
      </c>
      <c r="V50" s="297">
        <f t="shared" si="166"/>
        <v>0.2</v>
      </c>
      <c r="W50" s="86">
        <f>IFERROR(VLOOKUP(B50,[2]BPS!$S$10:$AF$64,5,0),0)-IF(B50=100873,IFERROR(VLOOKUP("MARZO",[2]BPS!$S$74:$T$89,2,0),0),0)</f>
        <v>1</v>
      </c>
      <c r="X50" s="297">
        <f t="shared" si="190"/>
        <v>1</v>
      </c>
      <c r="Y50" s="86">
        <f>IFERROR(VLOOKUP(B50,'[2]RETAIL ORIGEN RMKT'!$S$11:$AF$62,5,0),0)</f>
        <v>1</v>
      </c>
      <c r="Z50" s="150">
        <f t="shared" si="191"/>
        <v>0.2</v>
      </c>
      <c r="AA50" s="148">
        <f>SUMIF('UC MINI 2026'!$B$5:$B$61,'UC MINI 2026 MINI NEXT'!$B50,'UC MINI 2026'!$L$5:$L$61)</f>
        <v>4</v>
      </c>
      <c r="AB50" s="86">
        <f>SUMIF('UC MINI 2026'!$B$5:$B$61,'UC MINI 2026 MINI NEXT'!$B50,'UC MINI 2026'!$M$5:$M$61)</f>
        <v>2</v>
      </c>
      <c r="AC50" s="297">
        <f t="shared" si="167"/>
        <v>0.5</v>
      </c>
      <c r="AD50" s="86">
        <f>IFERROR(VLOOKUP(B50,[2]BPS!$S$10:$AF$64,6,0),0)-IF(B50=100873,IFERROR(VLOOKUP("ABRIL",[2]BPS!$S$74:$T$89,2,0),0),0)</f>
        <v>2</v>
      </c>
      <c r="AE50" s="285">
        <f t="shared" si="192"/>
        <v>1</v>
      </c>
      <c r="AF50" s="86">
        <f>IFERROR(VLOOKUP(B50,'[2]RETAIL ORIGEN RMKT'!$S$11:$AF$62,6,0),0)</f>
        <v>1</v>
      </c>
      <c r="AG50" s="150">
        <f t="shared" si="193"/>
        <v>0.25</v>
      </c>
      <c r="AH50" s="148">
        <f>SUMIF('UC MINI 2026'!$B$5:$B$61,'UC MINI 2026 MINI NEXT'!$B50,'UC MINI 2026'!$N$5:$N$61)</f>
        <v>4</v>
      </c>
      <c r="AI50" s="86">
        <f>SUMIF('UC MINI 2026'!$B$5:$B$61,'UC MINI 2026 MINI NEXT'!$B50,'UC MINI 2026'!$O$5:$O$61)</f>
        <v>8</v>
      </c>
      <c r="AJ50" s="297">
        <f t="shared" si="168"/>
        <v>2</v>
      </c>
      <c r="AK50" s="86">
        <f>IFERROR(VLOOKUP(B50,[2]BPS!$S$10:$AF$64,7,0),0)-IF(B50=100873,IFERROR(VLOOKUP("MAYO",[2]BPS!$S$74:$T$89,2,0),0),0)</f>
        <v>8</v>
      </c>
      <c r="AL50" s="285">
        <f t="shared" si="194"/>
        <v>1</v>
      </c>
      <c r="AM50" s="86">
        <f>IFERROR(VLOOKUP(B50,'[2]RETAIL ORIGEN RMKT'!$S$11:$AF$62,7,0),0)</f>
        <v>7</v>
      </c>
      <c r="AN50" s="150">
        <f t="shared" si="195"/>
        <v>1.75</v>
      </c>
      <c r="AO50" s="148">
        <f>SUMIF('UC MINI 2026'!$B$5:$B$61,'UC MINI 2026 MINI NEXT'!$B50,'UC MINI 2026'!$P$5:$P$61)</f>
        <v>5</v>
      </c>
      <c r="AP50" s="86">
        <f>SUMIF('UC MINI 2026'!$B$5:$B$61,'UC MINI 2026 MINI NEXT'!$B50,'UC MINI 2026'!$Q$5:$Q$61)</f>
        <v>10</v>
      </c>
      <c r="AQ50" s="297">
        <f t="shared" si="169"/>
        <v>2</v>
      </c>
      <c r="AR50" s="86">
        <f>IFERROR(VLOOKUP(B50,[2]BPS!$S$10:$AF$64,8,0),0)-IF(B50=100873,IFERROR(VLOOKUP("JUNIO",[2]BPS!$S$74:$T$89,2,0),0),0)</f>
        <v>8</v>
      </c>
      <c r="AS50" s="285">
        <f t="shared" si="196"/>
        <v>0.8</v>
      </c>
      <c r="AT50" s="86">
        <f>IFERROR(VLOOKUP(B50,'[2]RETAIL ORIGEN RMKT'!$S$11:$AF$62,8,0),0)</f>
        <v>5</v>
      </c>
      <c r="AU50" s="150">
        <f t="shared" si="197"/>
        <v>1</v>
      </c>
      <c r="AV50" s="148">
        <f>SUMIF('UC MINI 2026'!$B$5:$B$61,'UC MINI 2026 MINI NEXT'!$B50,'UC MINI 2026'!$R$5:$R$61)</f>
        <v>0</v>
      </c>
      <c r="AW50" s="86">
        <f>SUMIF('UC MINI 2026'!$B$5:$B$61,'UC MINI 2026 MINI NEXT'!$B50,'UC MINI 2026'!$S$5:$S$61)</f>
        <v>0</v>
      </c>
      <c r="AX50" s="297">
        <f t="shared" si="170"/>
        <v>0</v>
      </c>
      <c r="AY50" s="86">
        <f>IFERROR(VLOOKUP(B50,[2]BPS!$S$10:$AF$64,9,0),0)-IF(B50=100873,IFERROR(VLOOKUP("JULIO",[2]BPS!$S$74:$T$89,2,0),0),0)</f>
        <v>0</v>
      </c>
      <c r="AZ50" s="285">
        <f t="shared" si="198"/>
        <v>0</v>
      </c>
      <c r="BA50" s="86">
        <f>IFERROR(VLOOKUP(I50,'[2]RETAIL ORIGEN RMKT'!$S$11:$AF$62,9,0),0)</f>
        <v>0</v>
      </c>
      <c r="BB50" s="150">
        <f t="shared" si="199"/>
        <v>0</v>
      </c>
      <c r="BC50" s="148">
        <f>SUMIF('UC MINI 2026'!$B$5:$B$61,'UC MINI 2026 MINI NEXT'!$B50,'UC MINI 2026'!$T$5:$T$61)</f>
        <v>0</v>
      </c>
      <c r="BD50" s="86">
        <f>SUMIF('UC MINI 2026'!$B$5:$B$61,'UC MINI 2026 MINI NEXT'!$B50,'UC MINI 2026'!$U$5:$U$61)</f>
        <v>0</v>
      </c>
      <c r="BE50" s="297">
        <f t="shared" si="171"/>
        <v>0</v>
      </c>
      <c r="BF50" s="86">
        <f>IFERROR(VLOOKUP(B50,[2]BPS!$S$10:$AF$64,10,0),0)-IF(B50=100873,IFERROR(VLOOKUP("AGOSTO",[2]BPS!$S$74:$T$89,2,0),0),0)</f>
        <v>0</v>
      </c>
      <c r="BG50" s="285">
        <f t="shared" si="200"/>
        <v>0</v>
      </c>
      <c r="BH50" s="86">
        <f>IFERROR(VLOOKUP(P50,'[2]RETAIL ORIGEN RMKT'!$S$11:$AF$62,10,0),0)</f>
        <v>0</v>
      </c>
      <c r="BI50" s="150">
        <f t="shared" si="201"/>
        <v>0</v>
      </c>
      <c r="BJ50" s="148">
        <f>SUMIF('UC MINI 2026'!$B$5:$B$61,'UC MINI 2026 MINI NEXT'!$B50,'UC MINI 2026'!$V$5:$V$61)</f>
        <v>0</v>
      </c>
      <c r="BK50" s="86">
        <f>SUMIF('UC MINI 2026'!$B$5:$B$61,'UC MINI 2026 MINI NEXT'!$B50,'UC MINI 2026'!$W$5:$W$61)</f>
        <v>0</v>
      </c>
      <c r="BL50" s="297">
        <f t="shared" si="172"/>
        <v>0</v>
      </c>
      <c r="BM50" s="86">
        <f>IFERROR(VLOOKUP(B50,[2]BPS!$S$10:$AF$64,11,0),0)-IF(B50=100873,IFERROR(VLOOKUP("SEPTIEMBRE",[2]BPS!$S$74:$T$89,2,0),0),0)</f>
        <v>0</v>
      </c>
      <c r="BN50" s="285">
        <f t="shared" si="202"/>
        <v>0</v>
      </c>
      <c r="BO50" s="86">
        <f>IFERROR(VLOOKUP(W50,'[2]RETAIL ORIGEN RMKT'!$S$11:$AF$62,11,0),0)</f>
        <v>0</v>
      </c>
      <c r="BP50" s="150">
        <f t="shared" si="203"/>
        <v>0</v>
      </c>
      <c r="BQ50" s="148">
        <f>SUMIF('UC MINI 2026'!$B$5:$B$61,'UC MINI 2026 MINI NEXT'!$B50,'UC MINI 2026'!$V$5:$V$61)</f>
        <v>0</v>
      </c>
      <c r="BR50" s="86">
        <f>SUMIF('UC MINI 2026'!$B$5:$B$61,'UC MINI 2026 MINI NEXT'!$B50,'UC MINI 2026'!$Y$5:$Y$61)</f>
        <v>0</v>
      </c>
      <c r="BS50" s="297">
        <f t="shared" si="173"/>
        <v>0</v>
      </c>
      <c r="BT50" s="86">
        <f>IFERROR(VLOOKUP(B50,[2]BPS!$S$10:$AF$64,12,0),0)-IF(B50=100873,IFERROR(VLOOKUP("OCTUBRE",[2]BPS!$S$74:$T$89,2,0),0),0)</f>
        <v>0</v>
      </c>
      <c r="BU50" s="285">
        <f t="shared" si="204"/>
        <v>0</v>
      </c>
      <c r="BV50" s="86">
        <f>IFERROR(VLOOKUP(AD50,'[2]RETAIL ORIGEN RMKT'!$S$11:$AF$62,12,0),0)</f>
        <v>0</v>
      </c>
      <c r="BW50" s="150">
        <f t="shared" si="205"/>
        <v>0</v>
      </c>
      <c r="BX50" s="148">
        <f>SUMIF('UC MINI 2026'!$B$5:$B$61,'UC MINI 2026 MINI NEXT'!$B50,'UC MINI 2026'!$V$5:$V$61)</f>
        <v>0</v>
      </c>
      <c r="BY50" s="86">
        <f>SUMIF('UC MINI 2026'!$B$5:$B$61,'UC MINI 2026 MINI NEXT'!$B50,'UC MINI 2026'!$AA$5:$AA$61)</f>
        <v>0</v>
      </c>
      <c r="BZ50" s="297">
        <f t="shared" si="174"/>
        <v>0</v>
      </c>
      <c r="CA50" s="86">
        <f>IFERROR(VLOOKUP(B50,[2]BPS!$S$10:$AF$64,13,0),0)-IF(B50=100873,IFERROR(VLOOKUP("NOVIEMBRE",[2]BPS!$S$74:$T$89,2,0),0),0)</f>
        <v>0</v>
      </c>
      <c r="CB50" s="285">
        <f t="shared" si="206"/>
        <v>0</v>
      </c>
      <c r="CC50" s="86">
        <f>IFERROR(VLOOKUP(AK50,'[2]RETAIL ORIGEN RMKT'!$S$11:$AF$62,13,0),0)</f>
        <v>0</v>
      </c>
      <c r="CD50" s="150">
        <f t="shared" si="207"/>
        <v>0</v>
      </c>
      <c r="CE50" s="148">
        <f>SUMIF('UC MINI 2026'!$B$5:$B$61,'UC MINI 2026 MINI NEXT'!$B50,'UC MINI 2026'!$V$5:$V$61)</f>
        <v>0</v>
      </c>
      <c r="CF50" s="86">
        <f>SUMIF('UC MINI 2026'!$B$5:$B$61,'UC MINI 2026 MINI NEXT'!$B50,'UC MINI 2026'!$AC$5:$AC$61)</f>
        <v>0</v>
      </c>
      <c r="CG50" s="297">
        <f t="shared" si="175"/>
        <v>0</v>
      </c>
      <c r="CH50" s="86">
        <f>IFERROR(VLOOKUP(B50,[2]BPS!$S$10:$AF$64,14,0),0)-IF(B50=100873,IFERROR(VLOOKUP("DICIEMBRE",[2]BPS!$S$74:$T$89,2,0),0),0)</f>
        <v>0</v>
      </c>
      <c r="CI50" s="285">
        <f t="shared" si="208"/>
        <v>0</v>
      </c>
      <c r="CJ50" s="86">
        <f>IFERROR(VLOOKUP(AR50,'[2]RETAIL ORIGEN RMKT'!$S$11:$AF$62,14,0),0)</f>
        <v>0</v>
      </c>
      <c r="CK50" s="150">
        <f t="shared" si="209"/>
        <v>0</v>
      </c>
      <c r="CL50" s="54">
        <f>IF($CL$4="ENERO",F50,IF($CL$4="FEBRERO",F50+M50,IF($CL$4="MARZO",F50+M50+T50,IF($CL$4="ABRIL",F50+M50+T50+AA50,IF($CL$4="MAYO",F50+M50+T50+AA50+AH50,IF($CL$4="JUNIO",F50+M50+T50+AA50+AH50+AO50,IF($CL$4="JULIO",F50+M50+T50+AA50+AH50+AO50+AV50,IF($CL$4="AGOSTO",F50+M50+T50+AA50+AH50+AO50+AV50+BC50,IF($CL$4="SEPTIEMBRE",F50+M50+T50+AA50+AH50+AO50+AV50+BC50+BJ50,IF($CL$4="OCTUBRE",F50+M50+T50+AA50+AH50+AO50+AV50+BC50+BJ50+BQ50,IF($CL$4="NOVIEMBRE",F50+M50+T50+AA50+AH50+AO50+AV50+BC50+BJ50+BQ50+BX50,IF($CL$4="DICIEMBRE",F50+M50+T50+AA50+AH50+AO50+AV50+BC50+BJ50+BQ50+BX50+CE50,""))))))))))))</f>
        <v>26</v>
      </c>
      <c r="CM50" s="86">
        <f>IF($CL$4="ENERO",G50,IF($CL$4="FEBRERO",G50+N50,IF($CL$4="MARZO",G50+N50+U50,IF($CL$4="ABRIL",G50+N50+U50+AB50,IF($CL$4="MAYO",G50+N50+U50+AB50+AI50,IF($CL$4="JUNIO",G50+N50+U50+AB50+AI50+AP50,IF($CL$4="JULIO",G50+N50+U50+AB50+AI50+AP50+AW50,IF($CL$4="AGOSTO",G50+N50+U50+AB50+AI50+AP50+AW50+BD50,IF($CL$4="SEPTIEMBRE",G50+N50+U50+AB50+AI50+AP50+AW50+BD50+BK50,IF($CL$4="OCTUBRE",G50+N50+U50+AB50+AI50+AP50+AW50+BD50+BK50+BR50,IF($CL$4="NOVIEMBRE",G50+N50+U50+AB50+AI50+AP50+AW50+BD50+BK50+BR50+BY50,IF($CL$4="DICIEMBRE",G50+N50+U50+AB50+AI50+AP50+AW50+BD50+BK50+BR50+BY50+CF50,""))))))))))))</f>
        <v>24</v>
      </c>
      <c r="CN50" s="109">
        <f t="shared" si="176"/>
        <v>0.92307692307692313</v>
      </c>
      <c r="CO50" s="86">
        <f>IFERROR(IF($CL$4="ENERO",I50,IF($CL$4="FEBRERO",I50+P50,IF($CL$4="MARZO",I50+P50+W50,IF($CL$4="ABRIL",I50+P50+W50+AD50,IF($CL$4="MAYO",I50+P50+W50+AD50+AK50,IF($CL$4="JUNIO",I50+P50+W50+AD50+AK50+AR50,IF($CL$4="JULIO",I50+P50+W50+AD50+AK50+AR50+AY50,IF($CL$4="AGOSTO",I50+P50+W50+AD50+AK50+AR50+AY50+BF50,IF($CL$4="SEPTIEMBRE",I50+P50+W50+AD50+AK50+AR50+AY50+BF50+BM50,IF($CL$4="OCTUBRE",I50+P50+W50+AD50+AK50+AR50+AY50+BF50+BM50+BT50,IF($CL$4="NOVIEMBRE",I50+P50+W50+AD50+AK50+AR50+AY50+BF50+BM50+BT50+CA50,IF($CL$4="DICIEMBRE",I50+P50+W50+AD50+AK50+AR50+AY50+BF50+BM50+BT50+CA50+CH50,"")))))))))))),0)</f>
        <v>22</v>
      </c>
      <c r="CP50" s="297">
        <f>IFERROR(IF(CM50=0,"N.D.",CO50/CM50),0)</f>
        <v>0.91666666666666663</v>
      </c>
      <c r="CQ50" s="348">
        <f>IFERROR(IF($CL$4="ENERO",K50,
IF($CL$4="FEBRERO",K50+R50,
IF($CL$4="MARZO",K50+R50+Y50,
IF($CL$4="ABRIL",K50+R50+Y50+AF50,
IF($CL$4="MAYO",K50+R50+Y50+AF50+AM50,
IF($CL$4="JUNIO",K50+R50+Y50+AF50+AM50+AT50,
IF($CL$4="JULIO",K50+R50+Y50+AF50+AM50+AT50+BA50,
IF($CL$4="AGOSTO",K50+R50+Y50+AF50+AM50+AT50+BA50+BH50,
IF($CL$4="SEPTIEMBRE",K50+R50+Y50+AF50+AM50+AT50+BA50+BH50+BO50,
IF($CL$4="OCTUBRE",K50+R50+Y50+AF50+AM50+AT50+BA50+BH50+BO50+BV50,
IF($CL$4="NOVIEMBRE",K50+R50+Y50+AF50+AM50+AT50+BA50+BH50+BO50+BV50+CC50,
IF($CL$4="DICIEMBRE",K50+R50+Y50+AF50+AM50+AT50+BA50+BH50+BO50+BV50+CC50+CJ50,"")))))))))))),0)</f>
        <v>16</v>
      </c>
      <c r="CR50" s="149">
        <f t="shared" si="177"/>
        <v>0.61538461538461542</v>
      </c>
      <c r="CS50" s="54">
        <f>+F50+M50+T50+AA50+AH50+AO50++AV50+BC50+BJ50+BQ50+BX50+CE50</f>
        <v>26</v>
      </c>
      <c r="CT50" s="86">
        <f>SUMIFS($F50:$CI50,$F$6:$CI$6,CT$6,$F$2:$CI$2,$CL$4)</f>
        <v>24</v>
      </c>
      <c r="CU50" s="109">
        <f t="shared" si="222"/>
        <v>0.92307692307692313</v>
      </c>
      <c r="CV50" s="68">
        <f>IFERROR(I50+P50+W50+AD50+AK50+AR50+AY50+BF50+BM50+BT50+CA50+CH50,0)</f>
        <v>22</v>
      </c>
      <c r="CW50" s="297">
        <f>IF(CT50=0,"N.D.",CV50/CT50)</f>
        <v>0.91666666666666663</v>
      </c>
      <c r="CX50" s="350">
        <f>IFERROR(K50+R50+Y50+AF50+AM50+AT50+BA50+BH50+BO50+BV50+CC50+CJ50,0)</f>
        <v>16</v>
      </c>
      <c r="CY50" s="149">
        <f t="shared" si="178"/>
        <v>0.61538461538461542</v>
      </c>
      <c r="CZ50" s="190"/>
      <c r="DA50" s="191"/>
      <c r="DB50" s="543"/>
      <c r="DC50" s="191">
        <f>IFERROR(IF($CZ$5="Q1",I50+P50+W50,
IF($CZ$5="Q2",AD50+AK50++AR50,
IF($CZ$5="Q3",AY50+BF50+BM50,
IF($CZ$5="Q4",BT50+CA50+CH50,0)))),0)</f>
        <v>4</v>
      </c>
      <c r="DD50" s="544"/>
      <c r="DE50" s="545"/>
      <c r="DF50" s="542"/>
      <c r="DG50" s="190"/>
      <c r="DH50" s="191"/>
      <c r="DI50" s="543"/>
      <c r="DJ50" s="191">
        <f>IFERROR(IF($DG$5="S 1",I50+P50+W50+AD50+AK50++AR50,
IF($DG$5="S 2",AY50+BF50+BM50+BT50+CA50+CH50,0)),0)</f>
        <v>22</v>
      </c>
      <c r="DK50" s="544"/>
      <c r="DL50" s="545"/>
      <c r="DM50" s="542"/>
      <c r="DN50" s="190"/>
      <c r="DO50" s="267"/>
      <c r="DP50" s="543"/>
      <c r="DQ50" s="191">
        <f>IFERROR(IF($DN$5="S 1",I50+P50+W50+AD50+AK50++AR50,
IF($DN$5="S 2",AY50+BF50+BM50+BT50+CA50+CH50,0)),0)</f>
        <v>0</v>
      </c>
      <c r="DR50" s="544"/>
      <c r="DS50" s="545"/>
      <c r="DT50" s="542"/>
      <c r="DX50" s="53">
        <v>8</v>
      </c>
      <c r="DY50" s="53">
        <v>7</v>
      </c>
      <c r="DZ50" s="513">
        <v>0.47058823529411764</v>
      </c>
      <c r="EB50" s="513">
        <v>0.68421052631578949</v>
      </c>
      <c r="EC50" s="53">
        <v>0</v>
      </c>
      <c r="ED50" s="513">
        <v>0</v>
      </c>
    </row>
    <row r="51" spans="1:134" s="53" customFormat="1" ht="16" customHeight="1" thickBot="1" x14ac:dyDescent="0.35">
      <c r="A51" s="53" t="e">
        <f>_xlfn.XLOOKUP(B51,'UC MINI 2026'!$B$5:$B$61,'UC MINI 2026'!$A$5:$A$61)</f>
        <v>#N/A</v>
      </c>
      <c r="B51" s="180" t="s">
        <v>50</v>
      </c>
      <c r="C51" s="62"/>
      <c r="D51" s="146"/>
      <c r="E51" s="80"/>
      <c r="F51" s="63">
        <f>SUM(F46:F50)</f>
        <v>30</v>
      </c>
      <c r="G51" s="63">
        <f>SUM(G46:G50)</f>
        <v>23</v>
      </c>
      <c r="H51" s="164">
        <f t="shared" si="54"/>
        <v>0.76666666666666672</v>
      </c>
      <c r="I51" s="63">
        <f>SUM(I46:I50)</f>
        <v>23</v>
      </c>
      <c r="J51" s="164">
        <f t="shared" si="55"/>
        <v>1</v>
      </c>
      <c r="K51" s="63">
        <f>SUM(K46:K50)</f>
        <v>2</v>
      </c>
      <c r="L51" s="301">
        <f t="shared" si="56"/>
        <v>6.6666666666666666E-2</v>
      </c>
      <c r="M51" s="63">
        <f>SUM(M46:M50)</f>
        <v>31</v>
      </c>
      <c r="N51" s="63">
        <f>SUM(N46:N50)</f>
        <v>35</v>
      </c>
      <c r="O51" s="164">
        <f t="shared" si="165"/>
        <v>1.1290322580645162</v>
      </c>
      <c r="P51" s="63">
        <f>SUM(P46:P50)</f>
        <v>35</v>
      </c>
      <c r="Q51" s="164">
        <f t="shared" si="188"/>
        <v>1</v>
      </c>
      <c r="R51" s="63">
        <f>SUM(R46:R50)</f>
        <v>12</v>
      </c>
      <c r="S51" s="301">
        <f t="shared" si="189"/>
        <v>0.38709677419354838</v>
      </c>
      <c r="T51" s="63">
        <f>SUM(T46:T50)</f>
        <v>33</v>
      </c>
      <c r="U51" s="63">
        <f>SUM(U46:U50)</f>
        <v>36</v>
      </c>
      <c r="V51" s="164">
        <f t="shared" si="166"/>
        <v>1.0909090909090908</v>
      </c>
      <c r="W51" s="63">
        <f>SUM(W46:W50)</f>
        <v>35</v>
      </c>
      <c r="X51" s="164">
        <f t="shared" si="190"/>
        <v>0.97222222222222221</v>
      </c>
      <c r="Y51" s="63">
        <f>SUM(Y46:Y50)</f>
        <v>9</v>
      </c>
      <c r="Z51" s="301">
        <f t="shared" si="191"/>
        <v>0.27272727272727271</v>
      </c>
      <c r="AA51" s="63">
        <f>SUM(AA46:AA50)</f>
        <v>30</v>
      </c>
      <c r="AB51" s="63">
        <f>SUM(AB46:AB50)</f>
        <v>25</v>
      </c>
      <c r="AC51" s="164">
        <f t="shared" si="167"/>
        <v>0.83333333333333337</v>
      </c>
      <c r="AD51" s="63">
        <f>SUM(AD46:AD50)</f>
        <v>25</v>
      </c>
      <c r="AE51" s="164">
        <f t="shared" si="192"/>
        <v>1</v>
      </c>
      <c r="AF51" s="63">
        <f>SUM(AF46:AF50)</f>
        <v>7</v>
      </c>
      <c r="AG51" s="301">
        <f t="shared" si="193"/>
        <v>0.23333333333333334</v>
      </c>
      <c r="AH51" s="63">
        <f>SUM(AH46:AH50)</f>
        <v>32</v>
      </c>
      <c r="AI51" s="63">
        <f>SUM(AI46:AI50)</f>
        <v>45</v>
      </c>
      <c r="AJ51" s="164">
        <f t="shared" si="168"/>
        <v>1.40625</v>
      </c>
      <c r="AK51" s="63">
        <f>SUM(AK46:AK50)</f>
        <v>45</v>
      </c>
      <c r="AL51" s="164">
        <f t="shared" si="194"/>
        <v>1</v>
      </c>
      <c r="AM51" s="63">
        <f>SUM(AM46:AM50)</f>
        <v>21</v>
      </c>
      <c r="AN51" s="301">
        <f t="shared" si="195"/>
        <v>0.65625</v>
      </c>
      <c r="AO51" s="63">
        <f>SUM(AO46:AO50)</f>
        <v>34</v>
      </c>
      <c r="AP51" s="63">
        <f>SUM(AP46:AP50)</f>
        <v>54</v>
      </c>
      <c r="AQ51" s="164">
        <f t="shared" si="169"/>
        <v>1.588235294117647</v>
      </c>
      <c r="AR51" s="63">
        <f>SUM(AR46:AR50)</f>
        <v>52</v>
      </c>
      <c r="AS51" s="164">
        <f t="shared" si="196"/>
        <v>0.96296296296296291</v>
      </c>
      <c r="AT51" s="63">
        <f>SUM(AT46:AT50)</f>
        <v>23</v>
      </c>
      <c r="AU51" s="301">
        <f t="shared" si="197"/>
        <v>0.67647058823529416</v>
      </c>
      <c r="AV51" s="63">
        <f>SUM(AV46:AV50)</f>
        <v>0</v>
      </c>
      <c r="AW51" s="63">
        <f>SUM(AW46:AW50)</f>
        <v>0</v>
      </c>
      <c r="AX51" s="164">
        <f t="shared" si="170"/>
        <v>0</v>
      </c>
      <c r="AY51" s="63">
        <f>SUM(AY46:AY50)</f>
        <v>0</v>
      </c>
      <c r="AZ51" s="164">
        <f t="shared" si="198"/>
        <v>0</v>
      </c>
      <c r="BA51" s="63">
        <f>SUM(BA46:BA50)</f>
        <v>0</v>
      </c>
      <c r="BB51" s="301">
        <f t="shared" si="199"/>
        <v>0</v>
      </c>
      <c r="BC51" s="63">
        <f>SUM(BC46:BC50)</f>
        <v>0</v>
      </c>
      <c r="BD51" s="63">
        <f>SUM(BD46:BD50)</f>
        <v>0</v>
      </c>
      <c r="BE51" s="164">
        <f t="shared" si="171"/>
        <v>0</v>
      </c>
      <c r="BF51" s="63">
        <f>SUM(BF46:BF50)</f>
        <v>0</v>
      </c>
      <c r="BG51" s="164">
        <f t="shared" si="200"/>
        <v>0</v>
      </c>
      <c r="BH51" s="63">
        <f>SUM(BH46:BH50)</f>
        <v>0</v>
      </c>
      <c r="BI51" s="301">
        <f t="shared" si="201"/>
        <v>0</v>
      </c>
      <c r="BJ51" s="63">
        <f>SUM(BJ46:BJ50)</f>
        <v>0</v>
      </c>
      <c r="BK51" s="63">
        <f>SUM(BK46:BK50)</f>
        <v>0</v>
      </c>
      <c r="BL51" s="164">
        <f t="shared" si="172"/>
        <v>0</v>
      </c>
      <c r="BM51" s="63">
        <f>SUM(BM46:BM50)</f>
        <v>0</v>
      </c>
      <c r="BN51" s="164">
        <f t="shared" si="202"/>
        <v>0</v>
      </c>
      <c r="BO51" s="63">
        <f>SUM(BO46:BO50)</f>
        <v>0</v>
      </c>
      <c r="BP51" s="301">
        <f t="shared" si="203"/>
        <v>0</v>
      </c>
      <c r="BQ51" s="63">
        <f>SUM(BQ46:BQ50)</f>
        <v>0</v>
      </c>
      <c r="BR51" s="63">
        <f>SUM(BR46:BR50)</f>
        <v>0</v>
      </c>
      <c r="BS51" s="164">
        <f t="shared" si="173"/>
        <v>0</v>
      </c>
      <c r="BT51" s="63">
        <f>SUM(BT46:BT50)</f>
        <v>0</v>
      </c>
      <c r="BU51" s="164">
        <f t="shared" si="204"/>
        <v>0</v>
      </c>
      <c r="BV51" s="63">
        <f>SUM(BV46:BV50)</f>
        <v>0</v>
      </c>
      <c r="BW51" s="301">
        <f t="shared" si="205"/>
        <v>0</v>
      </c>
      <c r="BX51" s="63">
        <f>SUM(BX46:BX50)</f>
        <v>0</v>
      </c>
      <c r="BY51" s="63">
        <f>SUM(BY46:BY50)</f>
        <v>0</v>
      </c>
      <c r="BZ51" s="164">
        <f t="shared" si="174"/>
        <v>0</v>
      </c>
      <c r="CA51" s="63">
        <f>SUM(CA46:CA50)</f>
        <v>0</v>
      </c>
      <c r="CB51" s="164">
        <f t="shared" si="206"/>
        <v>0</v>
      </c>
      <c r="CC51" s="63">
        <f>SUM(CC46:CC50)</f>
        <v>0</v>
      </c>
      <c r="CD51" s="301">
        <f t="shared" si="207"/>
        <v>0</v>
      </c>
      <c r="CE51" s="63">
        <f>SUM(CE46:CE50)</f>
        <v>0</v>
      </c>
      <c r="CF51" s="63">
        <f>SUM(CF46:CF50)</f>
        <v>0</v>
      </c>
      <c r="CG51" s="164">
        <f t="shared" si="175"/>
        <v>0</v>
      </c>
      <c r="CH51" s="63">
        <f>SUM(CH46:CH50)</f>
        <v>0</v>
      </c>
      <c r="CI51" s="164">
        <f t="shared" si="208"/>
        <v>0</v>
      </c>
      <c r="CJ51" s="63">
        <f>SUM(CJ46:CJ50)</f>
        <v>0</v>
      </c>
      <c r="CK51" s="301">
        <f t="shared" si="209"/>
        <v>0</v>
      </c>
      <c r="CL51" s="63">
        <f>SUM(CL46:CL50)</f>
        <v>190</v>
      </c>
      <c r="CM51" s="63">
        <f>SUM(CM46:CM50)</f>
        <v>218</v>
      </c>
      <c r="CN51" s="157">
        <f t="shared" si="176"/>
        <v>1.1473684210526316</v>
      </c>
      <c r="CO51" s="63">
        <f>SUM(CO46:CO50)</f>
        <v>215</v>
      </c>
      <c r="CP51" s="321">
        <f>IFERROR(CO51/CM51,0)</f>
        <v>0.98623853211009171</v>
      </c>
      <c r="CQ51" s="63">
        <f>SUM(CQ46:CQ50)</f>
        <v>74</v>
      </c>
      <c r="CR51" s="320">
        <f t="shared" si="177"/>
        <v>0.38947368421052631</v>
      </c>
      <c r="CS51" s="63">
        <f>SUM(CS46:CS50)</f>
        <v>190</v>
      </c>
      <c r="CT51" s="63">
        <f>SUM(CT46:CT50)</f>
        <v>218</v>
      </c>
      <c r="CU51" s="157">
        <f t="shared" si="52"/>
        <v>1.1473684210526316</v>
      </c>
      <c r="CV51" s="63">
        <f>SUM(CV46:CV50)</f>
        <v>215</v>
      </c>
      <c r="CW51" s="321">
        <f>IFERROR((CV51/CT51),0)</f>
        <v>0.98623853211009171</v>
      </c>
      <c r="CX51" s="349">
        <f>K51+R51+Y51+AF51+AM51+AT51+BA51+BH51+BO51+BV51+CC51+CJ51</f>
        <v>74</v>
      </c>
      <c r="CY51" s="320">
        <f t="shared" si="178"/>
        <v>0.38947368421052631</v>
      </c>
      <c r="CZ51" s="63">
        <f ca="1">SUM(CZ43:CZ52)</f>
        <v>503</v>
      </c>
      <c r="DA51" s="65" t="e">
        <f ca="1">SUM(DA43:DA52)</f>
        <v>#N/A</v>
      </c>
      <c r="DB51" s="157">
        <f t="shared" ref="DB51:DB64" ca="1" si="227">IFERROR((DA51/CZ51),0)</f>
        <v>0.54274353876739567</v>
      </c>
      <c r="DC51" s="65">
        <f ca="1">SUM(DC43:DC52)</f>
        <v>140</v>
      </c>
      <c r="DD51" s="321">
        <f ca="1">IFERROR(DC51/DA51,0)</f>
        <v>0.51282051282051277</v>
      </c>
      <c r="DE51" s="349">
        <f>IF($CZ$5="Q1",K51+R51+Y51,
IF($CZ$5="Q2",AF51+AM51+AT51,
IF($CZ$5="Q3",BA51+BH51+BO51,
IF($CZ$5="Q4",BV51+CC51+CJ51,0))))</f>
        <v>23</v>
      </c>
      <c r="DF51" s="333">
        <f t="shared" ref="DF51:DF64" ca="1" si="228">IFERROR((DE51/CZ51),0)</f>
        <v>0.13717693836978131</v>
      </c>
      <c r="DG51" s="63">
        <f t="shared" si="89"/>
        <v>190</v>
      </c>
      <c r="DH51" s="65">
        <f t="shared" si="89"/>
        <v>218</v>
      </c>
      <c r="DI51" s="157">
        <f t="shared" ref="DI51:DI64" si="229">IFERROR((DH51/DG51),0)</f>
        <v>1.1473684210526316</v>
      </c>
      <c r="DJ51" s="65">
        <f>IF($DG$5="S 1",I51+P51+W51+AD51+AK51++AR51,
IF($DG$5="S 2",AY51+BF51+BM51+BT51+CA51+CH51,0))</f>
        <v>215</v>
      </c>
      <c r="DK51" s="321">
        <f t="shared" ref="DK51:DK64" si="230">IF(DH51=0,"N.D.",DJ51/DH51)</f>
        <v>0.98623853211009171</v>
      </c>
      <c r="DL51" s="349">
        <f>IF($DG$5="S 1",K51+R51+Y51+AF51+AM51+AT51,
IF($DG$5="S 2",BA51+BH51+BO51+BV51+CC51+CJ51,0))</f>
        <v>74</v>
      </c>
      <c r="DM51" s="333">
        <f t="shared" ref="DM51:DM64" si="231">IFERROR((DL51/DG51),0)</f>
        <v>0.38947368421052631</v>
      </c>
      <c r="DN51" s="63">
        <f ca="1">IFERROR(SUM(DN43:DN52),0)</f>
        <v>0</v>
      </c>
      <c r="DO51" s="64">
        <f ca="1">IFERROR(SUM(DO43:DO52),0)</f>
        <v>0</v>
      </c>
      <c r="DP51" s="157">
        <f t="shared" ref="DP51:DP64" ca="1" si="232">IFERROR((DO51/DN51),0)</f>
        <v>0</v>
      </c>
      <c r="DQ51" s="65">
        <f ca="1">IFERROR(SUM(DQ43:DQ52),0)</f>
        <v>0</v>
      </c>
      <c r="DR51" s="321" t="str">
        <f t="shared" ref="DR51:DR64" ca="1" si="233">IF(DO51=0,"N.D.",DQ51/DO51)</f>
        <v>N.D.</v>
      </c>
      <c r="DS51" s="349">
        <f ca="1">IFERROR(SUM(DS43:DS52),0)</f>
        <v>0</v>
      </c>
      <c r="DT51" s="333">
        <f t="shared" ref="DT51:DT64" ca="1" si="234">IFERROR((DS51/DN51),0)</f>
        <v>0</v>
      </c>
      <c r="DU51" s="53">
        <v>0</v>
      </c>
      <c r="DX51" s="53">
        <v>7</v>
      </c>
      <c r="DY51" s="53">
        <v>2</v>
      </c>
      <c r="DZ51" s="513">
        <v>0.2857142857142857</v>
      </c>
      <c r="EB51" s="513">
        <v>0.54838709677419351</v>
      </c>
      <c r="EC51" s="53">
        <v>0</v>
      </c>
      <c r="ED51" s="513">
        <v>0</v>
      </c>
    </row>
    <row r="52" spans="1:134" s="53" customFormat="1" ht="16" customHeight="1" x14ac:dyDescent="0.3">
      <c r="A52" s="53">
        <f>_xlfn.XLOOKUP(B52,'UC MINI 2026'!$B$5:$B$61,'UC MINI 2026'!$A$5:$A$61)</f>
        <v>9</v>
      </c>
      <c r="B52" s="179">
        <v>100734</v>
      </c>
      <c r="C52" s="381" t="s">
        <v>59</v>
      </c>
      <c r="D52" s="146"/>
      <c r="E52" s="309" t="s">
        <v>95</v>
      </c>
      <c r="F52" s="54">
        <f>SUMIF('UC MINI 2026'!$B$5:$B$71,'UC MINI 2026 MINI NEXT'!$B52,'UC MINI 2026'!$F$5:$F$71)</f>
        <v>21</v>
      </c>
      <c r="G52" s="86">
        <f>SUMIF('UC MINI 2026'!$B$5:$B$71,'UC MINI 2026 MINI NEXT'!$B52,'UC MINI 2026'!$G$5:$G$71)</f>
        <v>15</v>
      </c>
      <c r="H52" s="297">
        <f>IFERROR(G52/F52,0)</f>
        <v>0.7142857142857143</v>
      </c>
      <c r="I52" s="86">
        <f>IFERROR(VLOOKUP(B52,[2]BPS!$S$10:$AF$64,3,0),0)-IF(B52=100873,IFERROR(VLOOKUP("Enero",[2]BPS!$S$74:$T$89,2,0),0),0)</f>
        <v>14</v>
      </c>
      <c r="J52" s="297">
        <f>IFERROR(I52/G52,0)</f>
        <v>0.93333333333333335</v>
      </c>
      <c r="K52" s="86">
        <f>IFERROR(VLOOKUP(B52,'[2]RETAIL ORIGEN RMKT'!$S$11:$AF$62,3,0),0)</f>
        <v>2</v>
      </c>
      <c r="L52" s="150">
        <f>IFERROR(K52/F52,0)</f>
        <v>9.5238095238095233E-2</v>
      </c>
      <c r="M52" s="79">
        <f>SUMIF('UC MINI 2026'!$B$5:$B$61,'UC MINI 2026 MINI NEXT'!$B52,'UC MINI 2026'!$H$5:$H$61)</f>
        <v>22</v>
      </c>
      <c r="N52" s="86">
        <f>SUMIF('UC MINI 2026'!$B$5:$B$61,'UC MINI 2026 MINI NEXT'!$B52,'UC MINI 2026'!$I$5:$I$61)</f>
        <v>8</v>
      </c>
      <c r="O52" s="297">
        <f t="shared" si="165"/>
        <v>0.36363636363636365</v>
      </c>
      <c r="P52" s="86">
        <f>IFERROR(VLOOKUP(B52,[2]BPS!$S$10:$AF$64,4,0),0)-IF(B52=100873,IFERROR(VLOOKUP("FEBRERO",[2]BPS!$S$74:$T$89,2,0),0),0)</f>
        <v>8</v>
      </c>
      <c r="Q52" s="297">
        <f t="shared" si="188"/>
        <v>1</v>
      </c>
      <c r="R52" s="86">
        <f>IFERROR(VLOOKUP(B52,'[2]RETAIL ORIGEN RMKT'!$S$11:$AF$62,4,0),0)</f>
        <v>1</v>
      </c>
      <c r="S52" s="150">
        <f t="shared" si="189"/>
        <v>4.5454545454545456E-2</v>
      </c>
      <c r="T52" s="148">
        <f>SUMIF('UC MINI 2026'!$B$5:$B$71,'UC MINI 2026 MINI NEXT'!$B52,'UC MINI 2026'!$J$5:$J$71)</f>
        <v>22</v>
      </c>
      <c r="U52" s="86">
        <f>SUMIF('UC MINI 2026'!$B$10:$B$61,'UC MINI 2026 MINI NEXT'!$B52,'UC MINI 2026'!$K$10:$K$61)</f>
        <v>31</v>
      </c>
      <c r="V52" s="297">
        <f t="shared" si="166"/>
        <v>1.4090909090909092</v>
      </c>
      <c r="W52" s="86">
        <f>IFERROR(VLOOKUP(B52,[2]BPS!$S$10:$AF$64,5,0),0)-IF(B52=100873,IFERROR(VLOOKUP("MARZO",[2]BPS!$S$74:$T$89,2,0),0),0)</f>
        <v>20</v>
      </c>
      <c r="X52" s="297">
        <f t="shared" si="190"/>
        <v>0.64516129032258063</v>
      </c>
      <c r="Y52" s="86">
        <f>IFERROR(VLOOKUP(B52,'[2]RETAIL ORIGEN RMKT'!$S$11:$AF$62,5,0),0)</f>
        <v>9</v>
      </c>
      <c r="Z52" s="150">
        <f t="shared" si="191"/>
        <v>0.40909090909090912</v>
      </c>
      <c r="AA52" s="148">
        <f>SUMIF('UC MINI 2026'!$B$5:$B$61,'UC MINI 2026 MINI NEXT'!$B52,'UC MINI 2026'!$L$5:$L$61)</f>
        <v>21</v>
      </c>
      <c r="AB52" s="86">
        <f>SUMIF('UC MINI 2026'!$B$5:$B$61,'UC MINI 2026 MINI NEXT'!$B52,'UC MINI 2026'!$M$5:$M$61)</f>
        <v>28</v>
      </c>
      <c r="AC52" s="297">
        <f t="shared" si="167"/>
        <v>1.3333333333333333</v>
      </c>
      <c r="AD52" s="86">
        <f>IFERROR(VLOOKUP(B52,[2]BPS!$S$10:$AF$64,6,0),0)-IF(B52=100873,IFERROR(VLOOKUP("ABRIL",[2]BPS!$S$74:$T$89,2,0),0),0)</f>
        <v>28</v>
      </c>
      <c r="AE52" s="285">
        <f t="shared" si="192"/>
        <v>1</v>
      </c>
      <c r="AF52" s="86">
        <f>IFERROR(VLOOKUP(B52,'[2]RETAIL ORIGEN RMKT'!$S$11:$AF$62,6,0),0)</f>
        <v>9</v>
      </c>
      <c r="AG52" s="150">
        <f t="shared" si="193"/>
        <v>0.42857142857142855</v>
      </c>
      <c r="AH52" s="148">
        <f>SUMIF('UC MINI 2026'!$B$5:$B$61,'UC MINI 2026 MINI NEXT'!$B52,'UC MINI 2026'!$N$5:$N$61)</f>
        <v>22</v>
      </c>
      <c r="AI52" s="86">
        <f>SUMIF('UC MINI 2026'!$B$5:$B$61,'UC MINI 2026 MINI NEXT'!$B52,'UC MINI 2026'!$O$5:$O$61)</f>
        <v>27</v>
      </c>
      <c r="AJ52" s="297">
        <f t="shared" si="168"/>
        <v>1.2272727272727273</v>
      </c>
      <c r="AK52" s="86">
        <f>IFERROR(VLOOKUP(B52,[2]BPS!$S$10:$AF$64,7,0),0)-IF(B52=100873,IFERROR(VLOOKUP("MAYO",[2]BPS!$S$74:$T$89,2,0),0),0)</f>
        <v>26</v>
      </c>
      <c r="AL52" s="285">
        <f t="shared" si="194"/>
        <v>0.96296296296296291</v>
      </c>
      <c r="AM52" s="86">
        <f>IFERROR(VLOOKUP(B52,'[2]RETAIL ORIGEN RMKT'!$S$11:$AF$62,7,0),0)</f>
        <v>7</v>
      </c>
      <c r="AN52" s="150">
        <f t="shared" si="195"/>
        <v>0.31818181818181818</v>
      </c>
      <c r="AO52" s="148">
        <f>SUMIF('UC MINI 2026'!$B$5:$B$61,'UC MINI 2026 MINI NEXT'!$B52,'UC MINI 2026'!$P$5:$P$61)</f>
        <v>22</v>
      </c>
      <c r="AP52" s="86">
        <f>SUMIF('UC MINI 2026'!$B$5:$B$61,'UC MINI 2026 MINI NEXT'!$B52,'UC MINI 2026'!$Q$5:$Q$61)</f>
        <v>16</v>
      </c>
      <c r="AQ52" s="297">
        <f t="shared" si="169"/>
        <v>0.72727272727272729</v>
      </c>
      <c r="AR52" s="86">
        <f>IFERROR(VLOOKUP(B52,[2]BPS!$S$10:$AF$64,8,0),0)-IF(B52=100873,IFERROR(VLOOKUP("JUNIO",[2]BPS!$S$74:$T$89,2,0),0),0)</f>
        <v>16</v>
      </c>
      <c r="AS52" s="285">
        <f t="shared" si="196"/>
        <v>1</v>
      </c>
      <c r="AT52" s="86">
        <f>IFERROR(VLOOKUP(B52,'[2]RETAIL ORIGEN RMKT'!$S$11:$AF$62,8,0),0)</f>
        <v>2</v>
      </c>
      <c r="AU52" s="150">
        <f t="shared" si="197"/>
        <v>9.0909090909090912E-2</v>
      </c>
      <c r="AV52" s="148">
        <f>SUMIF('UC MINI 2026'!$B$5:$B$61,'UC MINI 2026 MINI NEXT'!$B52,'UC MINI 2026'!$R$5:$R$61)</f>
        <v>0</v>
      </c>
      <c r="AW52" s="86">
        <f>SUMIF('UC MINI 2026'!$B$5:$B$61,'UC MINI 2026 MINI NEXT'!$B52,'UC MINI 2026'!$S$5:$S$61)</f>
        <v>0</v>
      </c>
      <c r="AX52" s="297">
        <f t="shared" si="170"/>
        <v>0</v>
      </c>
      <c r="AY52" s="86">
        <f>IFERROR(VLOOKUP(B52,[2]BPS!$S$10:$AF$64,9,0),0)-IF(B52=100873,IFERROR(VLOOKUP("JULIO",[2]BPS!$S$74:$T$89,2,0),0),0)</f>
        <v>0</v>
      </c>
      <c r="AZ52" s="285">
        <f t="shared" si="198"/>
        <v>0</v>
      </c>
      <c r="BA52" s="86">
        <f>IFERROR(VLOOKUP(I52,'[2]RETAIL ORIGEN RMKT'!$S$11:$AF$62,9,0),0)</f>
        <v>0</v>
      </c>
      <c r="BB52" s="150">
        <f t="shared" si="199"/>
        <v>0</v>
      </c>
      <c r="BC52" s="148">
        <f>SUMIF('UC MINI 2026'!$B$5:$B$61,'UC MINI 2026 MINI NEXT'!$B52,'UC MINI 2026'!$T$5:$T$61)</f>
        <v>0</v>
      </c>
      <c r="BD52" s="86">
        <f>SUMIF('UC MINI 2026'!$B$5:$B$61,'UC MINI 2026 MINI NEXT'!$B52,'UC MINI 2026'!$U$5:$U$61)</f>
        <v>0</v>
      </c>
      <c r="BE52" s="297">
        <f t="shared" si="171"/>
        <v>0</v>
      </c>
      <c r="BF52" s="86">
        <f>IFERROR(VLOOKUP(B52,[2]BPS!$S$10:$AF$64,10,0),0)-IF(B52=100873,IFERROR(VLOOKUP("AGOSTO",[2]BPS!$S$74:$T$89,2,0),0),0)</f>
        <v>0</v>
      </c>
      <c r="BG52" s="285">
        <f t="shared" si="200"/>
        <v>0</v>
      </c>
      <c r="BH52" s="86">
        <f>IFERROR(VLOOKUP(P52,'[2]RETAIL ORIGEN RMKT'!$S$11:$AF$62,10,0),0)</f>
        <v>0</v>
      </c>
      <c r="BI52" s="150">
        <f t="shared" si="201"/>
        <v>0</v>
      </c>
      <c r="BJ52" s="148">
        <f>SUMIF('UC MINI 2026'!$B$5:$B$61,'UC MINI 2026 MINI NEXT'!$B52,'UC MINI 2026'!$V$5:$V$61)</f>
        <v>0</v>
      </c>
      <c r="BK52" s="86">
        <f>SUMIF('UC MINI 2026'!$B$5:$B$61,'UC MINI 2026 MINI NEXT'!$B52,'UC MINI 2026'!$W$5:$W$61)</f>
        <v>0</v>
      </c>
      <c r="BL52" s="297">
        <f t="shared" si="172"/>
        <v>0</v>
      </c>
      <c r="BM52" s="86">
        <f>IFERROR(VLOOKUP(B52,[2]BPS!$S$10:$AF$64,11,0),0)-IF(B52=100873,IFERROR(VLOOKUP("SEPTIEMBRE",[2]BPS!$S$74:$T$89,2,0),0),0)</f>
        <v>0</v>
      </c>
      <c r="BN52" s="285">
        <f t="shared" si="202"/>
        <v>0</v>
      </c>
      <c r="BO52" s="86">
        <f>IFERROR(VLOOKUP(W52,'[2]RETAIL ORIGEN RMKT'!$S$11:$AF$62,11,0),0)</f>
        <v>0</v>
      </c>
      <c r="BP52" s="150">
        <f t="shared" si="203"/>
        <v>0</v>
      </c>
      <c r="BQ52" s="148">
        <f>SUMIF('UC MINI 2026'!$B$5:$B$61,'UC MINI 2026 MINI NEXT'!$B52,'UC MINI 2026'!$V$5:$V$61)</f>
        <v>0</v>
      </c>
      <c r="BR52" s="86">
        <f>SUMIF('UC MINI 2026'!$B$5:$B$61,'UC MINI 2026 MINI NEXT'!$B52,'UC MINI 2026'!$Y$5:$Y$61)</f>
        <v>0</v>
      </c>
      <c r="BS52" s="297">
        <f t="shared" si="173"/>
        <v>0</v>
      </c>
      <c r="BT52" s="86">
        <f>IFERROR(VLOOKUP(B52,[2]BPS!$S$10:$AF$64,12,0),0)-IF(B52=100873,IFERROR(VLOOKUP("OCTUBRE",[2]BPS!$S$74:$T$89,2,0),0),0)</f>
        <v>0</v>
      </c>
      <c r="BU52" s="285">
        <f t="shared" si="204"/>
        <v>0</v>
      </c>
      <c r="BV52" s="86">
        <f>IFERROR(VLOOKUP(AD52,'[2]RETAIL ORIGEN RMKT'!$S$11:$AF$62,12,0),0)</f>
        <v>0</v>
      </c>
      <c r="BW52" s="150">
        <f t="shared" si="205"/>
        <v>0</v>
      </c>
      <c r="BX52" s="148">
        <f>SUMIF('UC MINI 2026'!$B$5:$B$61,'UC MINI 2026 MINI NEXT'!$B52,'UC MINI 2026'!$V$5:$V$61)</f>
        <v>0</v>
      </c>
      <c r="BY52" s="86">
        <f>SUMIF('UC MINI 2026'!$B$5:$B$61,'UC MINI 2026 MINI NEXT'!$B52,'UC MINI 2026'!$AA$5:$AA$61)</f>
        <v>0</v>
      </c>
      <c r="BZ52" s="297">
        <f t="shared" si="174"/>
        <v>0</v>
      </c>
      <c r="CA52" s="86">
        <f>IFERROR(VLOOKUP(B52,[2]BPS!$S$10:$AF$64,13,0),0)-IF(B52=100873,IFERROR(VLOOKUP("NOVIEMBRE",[2]BPS!$S$74:$T$89,2,0),0),0)</f>
        <v>0</v>
      </c>
      <c r="CB52" s="285">
        <f t="shared" si="206"/>
        <v>0</v>
      </c>
      <c r="CC52" s="86">
        <f>IFERROR(VLOOKUP(AK52,'[2]RETAIL ORIGEN RMKT'!$S$11:$AF$62,13,0),0)</f>
        <v>0</v>
      </c>
      <c r="CD52" s="150">
        <f t="shared" si="207"/>
        <v>0</v>
      </c>
      <c r="CE52" s="148">
        <f>SUMIF('UC MINI 2026'!$B$5:$B$61,'UC MINI 2026 MINI NEXT'!$B52,'UC MINI 2026'!$V$5:$V$61)</f>
        <v>0</v>
      </c>
      <c r="CF52" s="86">
        <f>SUMIF('UC MINI 2026'!$B$5:$B$61,'UC MINI 2026 MINI NEXT'!$B52,'UC MINI 2026'!$AC$5:$AC$61)</f>
        <v>0</v>
      </c>
      <c r="CG52" s="297">
        <f t="shared" si="175"/>
        <v>0</v>
      </c>
      <c r="CH52" s="86">
        <f>IFERROR(VLOOKUP(B52,[2]BPS!$S$10:$AF$64,14,0),0)-IF(B52=100873,IFERROR(VLOOKUP("DICIEMBRE",[2]BPS!$S$74:$T$89,2,0),0),0)</f>
        <v>0</v>
      </c>
      <c r="CI52" s="285">
        <f t="shared" si="208"/>
        <v>0</v>
      </c>
      <c r="CJ52" s="86">
        <f>IFERROR(VLOOKUP(AR52,'[2]RETAIL ORIGEN RMKT'!$S$11:$AF$62,14,0),0)</f>
        <v>0</v>
      </c>
      <c r="CK52" s="150">
        <f t="shared" si="209"/>
        <v>0</v>
      </c>
      <c r="CL52" s="54">
        <f t="shared" ref="CL52:CM56" si="235">IF($CL$4="ENERO",F52,IF($CL$4="FEBRERO",F52+M52,IF($CL$4="MARZO",F52+M52+T52,IF($CL$4="ABRIL",F52+M52+T52+AA52,IF($CL$4="MAYO",F52+M52+T52+AA52+AH52,IF($CL$4="JUNIO",F52+M52+T52+AA52+AH52+AO52,IF($CL$4="JULIO",F52+M52+T52+AA52+AH52+AO52+AV52,IF($CL$4="AGOSTO",F52+M52+T52+AA52+AH52+AO52+AV52+BC52,IF($CL$4="SEPTIEMBRE",F52+M52+T52+AA52+AH52+AO52+AV52+BC52+BJ52,IF($CL$4="OCTUBRE",F52+M52+T52+AA52+AH52+AO52+AV52+BC52+BJ52+BQ52,IF($CL$4="NOVIEMBRE",F52+M52+T52+AA52+AH52+AO52+AV52+BC52+BJ52+BQ52+BX52,IF($CL$4="DICIEMBRE",F52+M52+T52+AA52+AH52+AO52+AV52+BC52+BJ52+BQ52+BX52+CE52,""))))))))))))</f>
        <v>130</v>
      </c>
      <c r="CM52" s="86">
        <f t="shared" si="235"/>
        <v>125</v>
      </c>
      <c r="CN52" s="109">
        <f t="shared" si="176"/>
        <v>0.96153846153846156</v>
      </c>
      <c r="CO52" s="86">
        <f>IF($CL$4="ENERO",I52,IF($CL$4="FEBRERO",I52+P52,IF($CL$4="MARZO",I52+P52+W52,IF($CL$4="ABRIL",I52+P52+W52+AD52,IF($CL$4="MAYO",I52+P52+W52+AD52+AK52,IF($CL$4="JUNIO",I52+P52+W52+AD52+AK52+AR52,IF($CL$4="JULIO",I52+P52+W52+AD52+AK52+AR52+AY52,IF($CL$4="AGOSTO",I52+P52+W52+AD52+AK52+AR52+AY52+BF52,IF($CL$4="SEPTIEMBRE",I52+P52+W52+AD52+AK52+AR52+AY52+BF52+BM52,IF($CL$4="OCTUBRE",I52+P52+W52+AD52+AK52+AR52+AY52+BF52+BM52+BT52,IF($CL$4="NOVIEMBRE",I52+P52+W52+AD52+AK52+AR52+AY52+BF52+BM52+BT52+CA52,IF($CL$4="DICIEMBRE",I52+P52+W52+AD52+AK52+AR52+AY52+BF52+BM52+BT52+CA52+CH52,""))))))))))))</f>
        <v>112</v>
      </c>
      <c r="CP52" s="297">
        <f>IFERROR(IF(CM52=0,"N.D.",CO52/CM52),0)</f>
        <v>0.89600000000000002</v>
      </c>
      <c r="CQ52" s="348">
        <f>IFERROR(IF($CL$4="ENERO",K52,
IF($CL$4="FEBRERO",K52+R52,
IF($CL$4="MARZO",K52+R52+Y52,
IF($CL$4="ABRIL",K52+R52+Y52+AF52,
IF($CL$4="MAYO",K52+R52+Y52+AF52+AM52,
IF($CL$4="JUNIO",K52+R52+Y52+AF52+AM52+AT52,
IF($CL$4="JULIO",K52+R52+Y52+AF52+AM52+AT52+BA52,
IF($CL$4="AGOSTO",K52+R52+Y52+AF52+AM52+AT52+BA52+BH52,
IF($CL$4="SEPTIEMBRE",K52+R52+Y52+AF52+AM52+AT52+BA52+BH52+BO52,
IF($CL$4="OCTUBRE",K52+R52+Y52+AF52+AM52+AT52+BA52+BH52+BO52+BV52,
IF($CL$4="NOVIEMBRE",K52+R52+Y52+AF52+AM52+AT52+BA52+BH52+BO52+BV52+CC52,
IF($CL$4="DICIEMBRE",K52+R52+Y52+AF52+AM52+AT52+BA52+BH52+BO52+BV52+CC52+CJ52,"")))))))))))),0)</f>
        <v>30</v>
      </c>
      <c r="CR52" s="149">
        <f t="shared" si="177"/>
        <v>0.23076923076923078</v>
      </c>
      <c r="CS52" s="54">
        <f>+F52+M52+T52+AA52+AH52+AO52++AV52+BC52+BJ52+BQ52+BX52+CE52</f>
        <v>130</v>
      </c>
      <c r="CT52" s="86">
        <f>SUMIFS($F52:$CI52,$F$6:$CI$6,CT$6,$F$2:$CI$2,$CL$4)</f>
        <v>125</v>
      </c>
      <c r="CU52" s="109">
        <f>IFERROR((CT52/CS52),0)</f>
        <v>0.96153846153846156</v>
      </c>
      <c r="CV52" s="68">
        <f>IFERROR(I52+P52+W52+AD52+AK52+AR52+AY52+BF52+BM52+BT52+CA52+CH52,0)</f>
        <v>112</v>
      </c>
      <c r="CW52" s="297">
        <f>IF(CT52=0,"N.D.",CV52/CT52)</f>
        <v>0.89600000000000002</v>
      </c>
      <c r="CX52" s="350">
        <f>IFERROR(K52+R52+Y52+AF52+AM52+AT52+BA52+BH52+BO52+BV52+CC52+CJ52,0)</f>
        <v>30</v>
      </c>
      <c r="CY52" s="149">
        <f t="shared" si="178"/>
        <v>0.23076923076923078</v>
      </c>
      <c r="CZ52" s="54">
        <f t="shared" ref="CZ52:DA56" si="236">IF($CZ$5="Q1",F52+M52+T52,
IF($CZ$5="Q2",AA52+AH52++AO52,
IF($CZ$5="Q3",AV52+BC52+BJ52,
IF($CZ$5="Q4",BQ52+BX52+CE52,0))))</f>
        <v>65</v>
      </c>
      <c r="DA52" s="86">
        <f t="shared" si="236"/>
        <v>54</v>
      </c>
      <c r="DB52" s="109">
        <f t="shared" si="227"/>
        <v>0.83076923076923082</v>
      </c>
      <c r="DC52" s="68">
        <f>IFERROR(IF($CZ$5="Q1",I52+P52+W52,
IF($CZ$5="Q2",AD52+AK52++AR52,
IF($CZ$5="Q3",AY52+BF52+BM52,
IF($CZ$5="Q4",BT52+CA52+CH52,0)))),0)</f>
        <v>42</v>
      </c>
      <c r="DD52" s="297">
        <f>IF(DA52=0,"N.D.",DC52/DA52)</f>
        <v>0.77777777777777779</v>
      </c>
      <c r="DE52" s="350">
        <f>IFERROR(IF($CZ$5="Q1",K52+R52+Y52,
IF($CZ$5="Q2",AF52+AM52+AT52,
IF($CZ$5="Q3",BA52+BH52+BO52,
IF($CZ$5="Q4",BV52+CC52+CJ52,0)))),0)</f>
        <v>12</v>
      </c>
      <c r="DF52" s="150">
        <f t="shared" si="228"/>
        <v>0.18461538461538463</v>
      </c>
      <c r="DG52" s="54">
        <f>IF($DG$5="S 1",F52+M52+T52+AA52+AH52+AO52,
IF($DG$5="S 2",AV52+BC52+BJ52+BQ52+BX52+CE52,0))</f>
        <v>130</v>
      </c>
      <c r="DH52" s="86">
        <f>IF($DG$5="S 1",G52+N52+U52+AB52+AI52+AP52,
IF($DG$5="S 2",AW52+BD52+BK52+BR52+BY52+CF52,0))</f>
        <v>125</v>
      </c>
      <c r="DI52" s="109">
        <f t="shared" si="229"/>
        <v>0.96153846153846156</v>
      </c>
      <c r="DJ52" s="68">
        <f>IFERROR(IF($DG$5="S 1",I52+P52+W52+AD52+AK52++AR52,
IF($DG$5="S 2",AY52+BF52+BM52+BT52+CA52+CH52,0)),0)</f>
        <v>112</v>
      </c>
      <c r="DK52" s="297">
        <f t="shared" si="230"/>
        <v>0.89600000000000002</v>
      </c>
      <c r="DL52" s="350">
        <f>IFERROR(IF($DG$5="S 1",K52+R52+Y52+AF52+AM52+AT52,
IF($DG$5="S 2",BA52+BH52+BO52+BV52+CC52+CJ52,0)),0)</f>
        <v>30</v>
      </c>
      <c r="DM52" s="150">
        <f t="shared" si="231"/>
        <v>0.23076923076923078</v>
      </c>
      <c r="DN52" s="67">
        <f t="shared" ref="DN52:DO56" si="237">IF($DN$5="S 1",F52+M52+T52+AA52+AH52+AO52,
IF($DN$5="S 2",AV52+BC52+BJ52+BQ52+BX52+CE52,0))</f>
        <v>0</v>
      </c>
      <c r="DO52" s="266">
        <f t="shared" si="237"/>
        <v>0</v>
      </c>
      <c r="DP52" s="109">
        <f t="shared" si="232"/>
        <v>0</v>
      </c>
      <c r="DQ52" s="68">
        <f>IFERROR(IF($DN$5="S 1",I52+P52+W52+AD52+AK52++AR52,
IF($DN$5="S 2",AY52+BF52+BM52+BT52+CA52+CH52,0)),0)</f>
        <v>0</v>
      </c>
      <c r="DR52" s="297" t="str">
        <f t="shared" si="233"/>
        <v>N.D.</v>
      </c>
      <c r="DS52" s="350">
        <f>IFERROR(IF($DN$5="S 1",K52+R52+Y52+AF52+AM52+AT52,
IF($DN$5="S 2",BA52+BH52+BO52+BV52+CC52+CJ52,0)),0)</f>
        <v>0</v>
      </c>
      <c r="DT52" s="150">
        <f t="shared" si="234"/>
        <v>0</v>
      </c>
      <c r="DU52" s="53">
        <v>1</v>
      </c>
      <c r="DX52" s="53">
        <v>6</v>
      </c>
      <c r="DY52" s="53">
        <v>1</v>
      </c>
      <c r="DZ52" s="513">
        <v>0.125</v>
      </c>
      <c r="EB52" s="513">
        <v>0.5</v>
      </c>
      <c r="EC52" s="53">
        <v>0</v>
      </c>
      <c r="ED52" s="513">
        <v>0</v>
      </c>
    </row>
    <row r="53" spans="1:134" s="53" customFormat="1" ht="16" customHeight="1" x14ac:dyDescent="0.3">
      <c r="A53" s="53">
        <f>_xlfn.XLOOKUP(B53,'UC MINI 2026'!$B$5:$B$61,'UC MINI 2026'!$A$5:$A$61)</f>
        <v>9</v>
      </c>
      <c r="B53" s="179">
        <v>100311</v>
      </c>
      <c r="C53" s="381" t="s">
        <v>12</v>
      </c>
      <c r="D53" s="146"/>
      <c r="E53" s="309" t="s">
        <v>201</v>
      </c>
      <c r="F53" s="54">
        <f>SUMIF('UC MINI 2026'!$B$5:$B$71,'UC MINI 2026 MINI NEXT'!$B53,'UC MINI 2026'!$F$5:$F$71)</f>
        <v>6</v>
      </c>
      <c r="G53" s="86">
        <f>SUMIF('UC MINI 2026'!$B$5:$B$71,'UC MINI 2026 MINI NEXT'!$B53,'UC MINI 2026'!$G$5:$G$71)</f>
        <v>1</v>
      </c>
      <c r="H53" s="297">
        <f t="shared" si="54"/>
        <v>0.16666666666666666</v>
      </c>
      <c r="I53" s="86">
        <f>IFERROR(VLOOKUP(B53,[2]BPS!$S$10:$AF$64,3,0),0)-IF(B53=100873,IFERROR(VLOOKUP("Enero",[2]BPS!$S$74:$T$89,2,0),0),0)</f>
        <v>1</v>
      </c>
      <c r="J53" s="297">
        <f t="shared" si="55"/>
        <v>1</v>
      </c>
      <c r="K53" s="86">
        <f>IFERROR(VLOOKUP(B53,'[2]RETAIL ORIGEN RMKT'!$S$11:$AF$62,3,0),0)</f>
        <v>0</v>
      </c>
      <c r="L53" s="150">
        <f t="shared" si="56"/>
        <v>0</v>
      </c>
      <c r="M53" s="79">
        <f>SUMIF('UC MINI 2026'!$B$5:$B$61,'UC MINI 2026 MINI NEXT'!$B53,'UC MINI 2026'!$H$5:$H$61)</f>
        <v>6</v>
      </c>
      <c r="N53" s="86">
        <f>SUMIF('UC MINI 2026'!$B$5:$B$61,'UC MINI 2026 MINI NEXT'!$B53,'UC MINI 2026'!$I$5:$I$61)</f>
        <v>3</v>
      </c>
      <c r="O53" s="297">
        <f t="shared" si="165"/>
        <v>0.5</v>
      </c>
      <c r="P53" s="86">
        <f>IFERROR(VLOOKUP(B53,[2]BPS!$S$10:$AF$64,4,0),0)-IF(B53=100873,IFERROR(VLOOKUP("FEBRERO",[2]BPS!$S$74:$T$89,2,0),0),0)</f>
        <v>3</v>
      </c>
      <c r="Q53" s="297">
        <f t="shared" si="188"/>
        <v>1</v>
      </c>
      <c r="R53" s="86">
        <f>IFERROR(VLOOKUP(B53,'[2]RETAIL ORIGEN RMKT'!$S$11:$AF$62,4,0),0)</f>
        <v>0</v>
      </c>
      <c r="S53" s="150">
        <f t="shared" si="189"/>
        <v>0</v>
      </c>
      <c r="T53" s="148">
        <f>SUMIF('UC MINI 2026'!$B$5:$B$71,'UC MINI 2026 MINI NEXT'!$B53,'UC MINI 2026'!$J$5:$J$71)</f>
        <v>6</v>
      </c>
      <c r="U53" s="86">
        <f>SUMIF('UC MINI 2026'!$B$10:$B$61,'UC MINI 2026 MINI NEXT'!$B53,'UC MINI 2026'!$K$10:$K$61)</f>
        <v>10</v>
      </c>
      <c r="V53" s="297">
        <f t="shared" si="166"/>
        <v>1.6666666666666667</v>
      </c>
      <c r="W53" s="86">
        <f>IFERROR(VLOOKUP(B53,[2]BPS!$S$10:$AF$64,5,0),0)-IF(B53=100873,IFERROR(VLOOKUP("MARZO",[2]BPS!$S$74:$T$89,2,0),0),0)</f>
        <v>10</v>
      </c>
      <c r="X53" s="297">
        <f t="shared" si="190"/>
        <v>1</v>
      </c>
      <c r="Y53" s="86">
        <f>IFERROR(VLOOKUP(B53,'[2]RETAIL ORIGEN RMKT'!$S$11:$AF$62,5,0),0)</f>
        <v>1</v>
      </c>
      <c r="Z53" s="150">
        <f t="shared" si="191"/>
        <v>0.16666666666666666</v>
      </c>
      <c r="AA53" s="148">
        <f>SUMIF('UC MINI 2026'!$B$5:$B$61,'UC MINI 2026 MINI NEXT'!$B53,'UC MINI 2026'!$L$5:$L$61)</f>
        <v>7</v>
      </c>
      <c r="AB53" s="86">
        <f>SUMIF('UC MINI 2026'!$B$5:$B$61,'UC MINI 2026 MINI NEXT'!$B53,'UC MINI 2026'!$M$5:$M$61)</f>
        <v>9</v>
      </c>
      <c r="AC53" s="297">
        <f t="shared" si="167"/>
        <v>1.2857142857142858</v>
      </c>
      <c r="AD53" s="86">
        <f>IFERROR(VLOOKUP(B53,[2]BPS!$S$10:$AF$64,6,0),0)-IF(B53=100873,IFERROR(VLOOKUP("ABRIL",[2]BPS!$S$74:$T$89,2,0),0),0)</f>
        <v>8</v>
      </c>
      <c r="AE53" s="285">
        <f t="shared" si="192"/>
        <v>0.88888888888888884</v>
      </c>
      <c r="AF53" s="86">
        <f>IFERROR(VLOOKUP(B53,'[2]RETAIL ORIGEN RMKT'!$S$11:$AF$62,6,0),0)</f>
        <v>0</v>
      </c>
      <c r="AG53" s="150">
        <f t="shared" si="193"/>
        <v>0</v>
      </c>
      <c r="AH53" s="148">
        <f>SUMIF('UC MINI 2026'!$B$5:$B$61,'UC MINI 2026 MINI NEXT'!$B53,'UC MINI 2026'!$N$5:$N$61)</f>
        <v>7</v>
      </c>
      <c r="AI53" s="86">
        <f>SUMIF('UC MINI 2026'!$B$5:$B$61,'UC MINI 2026 MINI NEXT'!$B53,'UC MINI 2026'!$O$5:$O$61)</f>
        <v>7</v>
      </c>
      <c r="AJ53" s="297">
        <f t="shared" si="168"/>
        <v>1</v>
      </c>
      <c r="AK53" s="86">
        <f>IFERROR(VLOOKUP(B53,[2]BPS!$S$10:$AF$64,7,0),0)-IF(B53=100873,IFERROR(VLOOKUP("MAYO",[2]BPS!$S$74:$T$89,2,0),0),0)</f>
        <v>7</v>
      </c>
      <c r="AL53" s="285">
        <f t="shared" si="194"/>
        <v>1</v>
      </c>
      <c r="AM53" s="86">
        <f>IFERROR(VLOOKUP(B53,'[2]RETAIL ORIGEN RMKT'!$S$11:$AF$62,7,0),0)</f>
        <v>0</v>
      </c>
      <c r="AN53" s="150">
        <f t="shared" si="195"/>
        <v>0</v>
      </c>
      <c r="AO53" s="148">
        <f>SUMIF('UC MINI 2026'!$B$5:$B$61,'UC MINI 2026 MINI NEXT'!$B53,'UC MINI 2026'!$P$5:$P$61)</f>
        <v>8</v>
      </c>
      <c r="AP53" s="86">
        <f>SUMIF('UC MINI 2026'!$B$5:$B$61,'UC MINI 2026 MINI NEXT'!$B53,'UC MINI 2026'!$Q$5:$Q$61)</f>
        <v>6</v>
      </c>
      <c r="AQ53" s="297">
        <f t="shared" si="169"/>
        <v>0.75</v>
      </c>
      <c r="AR53" s="86">
        <f>IFERROR(VLOOKUP(B53,[2]BPS!$S$10:$AF$64,8,0),0)-IF(B53=100873,IFERROR(VLOOKUP("JUNIO",[2]BPS!$S$74:$T$89,2,0),0),0)</f>
        <v>5</v>
      </c>
      <c r="AS53" s="285">
        <f t="shared" si="196"/>
        <v>0.83333333333333337</v>
      </c>
      <c r="AT53" s="86">
        <f>IFERROR(VLOOKUP(B53,'[2]RETAIL ORIGEN RMKT'!$S$11:$AF$62,8,0),0)</f>
        <v>1</v>
      </c>
      <c r="AU53" s="150">
        <f t="shared" si="197"/>
        <v>0.125</v>
      </c>
      <c r="AV53" s="148">
        <f>SUMIF('UC MINI 2026'!$B$5:$B$61,'UC MINI 2026 MINI NEXT'!$B53,'UC MINI 2026'!$R$5:$R$61)</f>
        <v>8</v>
      </c>
      <c r="AW53" s="86">
        <f>SUMIF('UC MINI 2026'!$B$5:$B$61,'UC MINI 2026 MINI NEXT'!$B53,'UC MINI 2026'!$S$5:$S$61)</f>
        <v>0</v>
      </c>
      <c r="AX53" s="297">
        <f t="shared" si="170"/>
        <v>0</v>
      </c>
      <c r="AY53" s="86">
        <f>IFERROR(VLOOKUP(B53,[2]BPS!$S$10:$AF$64,9,0),0)-IF(B53=100873,IFERROR(VLOOKUP("JULIO",[2]BPS!$S$74:$T$89,2,0),0),0)</f>
        <v>0</v>
      </c>
      <c r="AZ53" s="285">
        <f t="shared" si="198"/>
        <v>0</v>
      </c>
      <c r="BA53" s="86">
        <f>IFERROR(VLOOKUP(I53,'[2]RETAIL ORIGEN RMKT'!$S$11:$AF$62,9,0),0)</f>
        <v>0</v>
      </c>
      <c r="BB53" s="150">
        <f t="shared" si="199"/>
        <v>0</v>
      </c>
      <c r="BC53" s="148">
        <f>SUMIF('UC MINI 2026'!$B$5:$B$61,'UC MINI 2026 MINI NEXT'!$B53,'UC MINI 2026'!$T$5:$T$61)</f>
        <v>4</v>
      </c>
      <c r="BD53" s="86">
        <f>SUMIF('UC MINI 2026'!$B$5:$B$61,'UC MINI 2026 MINI NEXT'!$B53,'UC MINI 2026'!$U$5:$U$61)</f>
        <v>0</v>
      </c>
      <c r="BE53" s="297">
        <f t="shared" si="171"/>
        <v>0</v>
      </c>
      <c r="BF53" s="86">
        <f>IFERROR(VLOOKUP(B53,[2]BPS!$S$10:$AF$64,10,0),0)-IF(B53=100873,IFERROR(VLOOKUP("AGOSTO",[2]BPS!$S$74:$T$89,2,0),0),0)</f>
        <v>0</v>
      </c>
      <c r="BG53" s="285">
        <f t="shared" si="200"/>
        <v>0</v>
      </c>
      <c r="BH53" s="86">
        <f>IFERROR(VLOOKUP(P53,'[2]RETAIL ORIGEN RMKT'!$S$11:$AF$62,10,0),0)</f>
        <v>0</v>
      </c>
      <c r="BI53" s="150">
        <f t="shared" si="201"/>
        <v>0</v>
      </c>
      <c r="BJ53" s="148">
        <f>SUMIF('UC MINI 2026'!$B$5:$B$61,'UC MINI 2026 MINI NEXT'!$B53,'UC MINI 2026'!$V$5:$V$61)</f>
        <v>8</v>
      </c>
      <c r="BK53" s="86">
        <f>SUMIF('UC MINI 2026'!$B$5:$B$61,'UC MINI 2026 MINI NEXT'!$B53,'UC MINI 2026'!$W$5:$W$61)</f>
        <v>0</v>
      </c>
      <c r="BL53" s="297">
        <f t="shared" si="172"/>
        <v>0</v>
      </c>
      <c r="BM53" s="86">
        <f>IFERROR(VLOOKUP(B53,[2]BPS!$S$10:$AF$64,11,0),0)-IF(B53=100873,IFERROR(VLOOKUP("SEPTIEMBRE",[2]BPS!$S$74:$T$89,2,0),0),0)</f>
        <v>0</v>
      </c>
      <c r="BN53" s="285">
        <f t="shared" si="202"/>
        <v>0</v>
      </c>
      <c r="BO53" s="86">
        <f>IFERROR(VLOOKUP(W53,'[2]RETAIL ORIGEN RMKT'!$S$11:$AF$62,11,0),0)</f>
        <v>0</v>
      </c>
      <c r="BP53" s="150">
        <f t="shared" si="203"/>
        <v>0</v>
      </c>
      <c r="BQ53" s="148">
        <f>SUMIF('UC MINI 2026'!$B$5:$B$61,'UC MINI 2026 MINI NEXT'!$B53,'UC MINI 2026'!$V$5:$V$61)</f>
        <v>8</v>
      </c>
      <c r="BR53" s="86">
        <f>SUMIF('UC MINI 2026'!$B$5:$B$61,'UC MINI 2026 MINI NEXT'!$B53,'UC MINI 2026'!$Y$5:$Y$61)</f>
        <v>0</v>
      </c>
      <c r="BS53" s="297">
        <f t="shared" si="173"/>
        <v>0</v>
      </c>
      <c r="BT53" s="86">
        <f>IFERROR(VLOOKUP(B53,[2]BPS!$S$10:$AF$64,12,0),0)-IF(B53=100873,IFERROR(VLOOKUP("OCTUBRE",[2]BPS!$S$74:$T$89,2,0),0),0)</f>
        <v>0</v>
      </c>
      <c r="BU53" s="285">
        <f t="shared" si="204"/>
        <v>0</v>
      </c>
      <c r="BV53" s="86">
        <f>IFERROR(VLOOKUP(AD53,'[2]RETAIL ORIGEN RMKT'!$S$11:$AF$62,12,0),0)</f>
        <v>0</v>
      </c>
      <c r="BW53" s="150">
        <f t="shared" si="205"/>
        <v>0</v>
      </c>
      <c r="BX53" s="148">
        <f>SUMIF('UC MINI 2026'!$B$5:$B$61,'UC MINI 2026 MINI NEXT'!$B53,'UC MINI 2026'!$V$5:$V$61)</f>
        <v>8</v>
      </c>
      <c r="BY53" s="86">
        <f>SUMIF('UC MINI 2026'!$B$5:$B$61,'UC MINI 2026 MINI NEXT'!$B53,'UC MINI 2026'!$AA$5:$AA$61)</f>
        <v>0</v>
      </c>
      <c r="BZ53" s="297">
        <f t="shared" si="174"/>
        <v>0</v>
      </c>
      <c r="CA53" s="86">
        <f>IFERROR(VLOOKUP(B53,[2]BPS!$S$10:$AF$64,13,0),0)-IF(B53=100873,IFERROR(VLOOKUP("NOVIEMBRE",[2]BPS!$S$74:$T$89,2,0),0),0)</f>
        <v>0</v>
      </c>
      <c r="CB53" s="285">
        <f t="shared" si="206"/>
        <v>0</v>
      </c>
      <c r="CC53" s="86">
        <f>IFERROR(VLOOKUP(AK53,'[2]RETAIL ORIGEN RMKT'!$S$11:$AF$62,13,0),0)</f>
        <v>0</v>
      </c>
      <c r="CD53" s="150">
        <f t="shared" si="207"/>
        <v>0</v>
      </c>
      <c r="CE53" s="148">
        <f>SUMIF('UC MINI 2026'!$B$5:$B$61,'UC MINI 2026 MINI NEXT'!$B53,'UC MINI 2026'!$V$5:$V$61)</f>
        <v>8</v>
      </c>
      <c r="CF53" s="86">
        <f>SUMIF('UC MINI 2026'!$B$5:$B$61,'UC MINI 2026 MINI NEXT'!$B53,'UC MINI 2026'!$AC$5:$AC$61)</f>
        <v>0</v>
      </c>
      <c r="CG53" s="297">
        <f t="shared" si="175"/>
        <v>0</v>
      </c>
      <c r="CH53" s="86">
        <f>IFERROR(VLOOKUP(B53,[2]BPS!$S$10:$AF$64,14,0),0)-IF(B53=100873,IFERROR(VLOOKUP("DICIEMBRE",[2]BPS!$S$74:$T$89,2,0),0),0)</f>
        <v>0</v>
      </c>
      <c r="CI53" s="285">
        <f t="shared" si="208"/>
        <v>0</v>
      </c>
      <c r="CJ53" s="86">
        <f>IFERROR(VLOOKUP(AR53,'[2]RETAIL ORIGEN RMKT'!$S$11:$AF$62,14,0),0)</f>
        <v>0</v>
      </c>
      <c r="CK53" s="150">
        <f t="shared" si="209"/>
        <v>0</v>
      </c>
      <c r="CL53" s="54">
        <f t="shared" si="235"/>
        <v>40</v>
      </c>
      <c r="CM53" s="86">
        <f t="shared" si="235"/>
        <v>36</v>
      </c>
      <c r="CN53" s="109">
        <f t="shared" si="176"/>
        <v>0.9</v>
      </c>
      <c r="CO53" s="86">
        <f>IFERROR(IF($CL$4="ENERO",I53,IF($CL$4="FEBRERO",I53+P53,IF($CL$4="MARZO",I53+P53+W53,IF($CL$4="ABRIL",I53+P53+W53+AD53,IF($CL$4="MAYO",I53+P53+W53+AD53+AK53,IF($CL$4="JUNIO",I53+P53+W53+AD53+AK53+AR53,IF($CL$4="JULIO",I53+P53+W53+AD53+AK53+AR53+AY53,IF($CL$4="AGOSTO",I53+P53+W53+AD53+AK53+AR53+AY53+BF53,IF($CL$4="SEPTIEMBRE",I53+P53+W53+AD53+AK53+AR53+AY53+BF53+BM53,IF($CL$4="OCTUBRE",I53+P53+W53+AD53+AK53+AR53+AY53+BF53+BM53+BT53,IF($CL$4="NOVIEMBRE",I53+P53+W53+AD53+AK53+AR53+AY53+BF53+BM53+BT53+CA53,IF($CL$4="DICIEMBRE",I53+P53+W53+AD53+AK53+AR53+AY53+BF53+BM53+BT53+CA53+CH53,"")))))))))))),0)</f>
        <v>34</v>
      </c>
      <c r="CP53" s="297">
        <f>IFERROR(IF(CM53=0,"N.D.",CO53/CM53),0)</f>
        <v>0.94444444444444442</v>
      </c>
      <c r="CQ53" s="348">
        <f>IFERROR(IF($CL$4="ENERO",K53,
IF($CL$4="FEBRERO",K53+R53,
IF($CL$4="MARZO",K53+R53+Y53,
IF($CL$4="ABRIL",K53+R53+Y53+AF53,
IF($CL$4="MAYO",K53+R53+Y53+AF53+AM53,
IF($CL$4="JUNIO",K53+R53+Y53+AF53+AM53+AT53,
IF($CL$4="JULIO",K53+R53+Y53+AF53+AM53+AT53+BA53,
IF($CL$4="AGOSTO",K53+R53+Y53+AF53+AM53+AT53+BA53+BH53,
IF($CL$4="SEPTIEMBRE",K53+R53+Y53+AF53+AM53+AT53+BA53+BH53+BO53,
IF($CL$4="OCTUBRE",K53+R53+Y53+AF53+AM53+AT53+BA53+BH53+BO53+BV53,
IF($CL$4="NOVIEMBRE",K53+R53+Y53+AF53+AM53+AT53+BA53+BH53+BO53+BV53+CC53,
IF($CL$4="DICIEMBRE",K53+R53+Y53+AF53+AM53+AT53+BA53+BH53+BO53+BV53+CC53+CJ53,"")))))))))))),0)</f>
        <v>2</v>
      </c>
      <c r="CR53" s="149">
        <f t="shared" si="177"/>
        <v>0.05</v>
      </c>
      <c r="CS53" s="54">
        <f>+F53+M53+T53+AA53+AH53+AO53++AV53+BC53+BJ53+BQ53+BX53+CE53</f>
        <v>84</v>
      </c>
      <c r="CT53" s="86">
        <f>SUMIFS($F53:$CI53,$F$6:$CI$6,CT$6,$F$2:$CI$2,$CL$4)</f>
        <v>36</v>
      </c>
      <c r="CU53" s="109">
        <f t="shared" si="52"/>
        <v>0.42857142857142855</v>
      </c>
      <c r="CV53" s="68">
        <f>IFERROR(I53+P53+W53+AD53+AK53+AR53+AY53+BF53+BM53+BT53+CA53+CH53,0)</f>
        <v>34</v>
      </c>
      <c r="CW53" s="297">
        <f>IF(CT53=0,"N.D.",CV53/CT53)</f>
        <v>0.94444444444444442</v>
      </c>
      <c r="CX53" s="350">
        <f>IFERROR(K53+R53+Y53+AF53+AM53+AT53+BA53+BH53+BO53+BV53+CC53+CJ53,0)</f>
        <v>2</v>
      </c>
      <c r="CY53" s="149">
        <f t="shared" si="178"/>
        <v>2.3809523809523808E-2</v>
      </c>
      <c r="CZ53" s="54">
        <f t="shared" si="236"/>
        <v>18</v>
      </c>
      <c r="DA53" s="86">
        <f t="shared" si="236"/>
        <v>14</v>
      </c>
      <c r="DB53" s="109">
        <f t="shared" si="227"/>
        <v>0.77777777777777779</v>
      </c>
      <c r="DC53" s="68">
        <f>IFERROR(IF($CZ$5="Q1",I53+P53+W53,
IF($CZ$5="Q2",AD53+AK53++AR53,
IF($CZ$5="Q3",AY53+BF53+BM53,
IF($CZ$5="Q4",BT53+CA53+CH53,0)))),0)</f>
        <v>14</v>
      </c>
      <c r="DD53" s="297">
        <f>IF(DA53=0,"N.D.",DC53/DA53)</f>
        <v>1</v>
      </c>
      <c r="DE53" s="350">
        <f>IFERROR(IF($CZ$5="Q1",K53+R53+Y53,
IF($CZ$5="Q2",AF53+AM53+AT53,
IF($CZ$5="Q3",BA53+BH53+BO53,
IF($CZ$5="Q4",BV53+CC53+CJ53,0)))),0)</f>
        <v>1</v>
      </c>
      <c r="DF53" s="150">
        <f t="shared" si="228"/>
        <v>5.5555555555555552E-2</v>
      </c>
      <c r="DG53" s="54">
        <f t="shared" si="89"/>
        <v>40</v>
      </c>
      <c r="DH53" s="86">
        <f t="shared" si="89"/>
        <v>36</v>
      </c>
      <c r="DI53" s="109">
        <f t="shared" si="229"/>
        <v>0.9</v>
      </c>
      <c r="DJ53" s="68">
        <f>IFERROR(IF($DG$5="S 1",I53+P53+W53+AD53+AK53++AR53,
IF($DG$5="S 2",AY53+BF53+BM53+BT53+CA53+CH53,0)),0)</f>
        <v>34</v>
      </c>
      <c r="DK53" s="297">
        <f t="shared" si="230"/>
        <v>0.94444444444444442</v>
      </c>
      <c r="DL53" s="350">
        <f>IFERROR(IF($DG$5="S 1",K53+R53+Y53+AF53+AM53+AT53,
IF($DG$5="S 2",BA53+BH53+BO53+BV53+CC53+CJ53,0)),0)</f>
        <v>2</v>
      </c>
      <c r="DM53" s="150">
        <f t="shared" si="231"/>
        <v>0.05</v>
      </c>
      <c r="DN53" s="67">
        <f t="shared" si="237"/>
        <v>44</v>
      </c>
      <c r="DO53" s="266">
        <f t="shared" si="237"/>
        <v>0</v>
      </c>
      <c r="DP53" s="109">
        <f t="shared" si="232"/>
        <v>0</v>
      </c>
      <c r="DQ53" s="68">
        <f>IFERROR(IF($DN$5="S 1",I53+P53+W53+AD53+AK53++AR53,
IF($DN$5="S 2",AY53+BF53+BM53+BT53+CA53+CH53,0)),0)</f>
        <v>0</v>
      </c>
      <c r="DR53" s="297" t="str">
        <f t="shared" si="233"/>
        <v>N.D.</v>
      </c>
      <c r="DS53" s="350">
        <f>IFERROR(IF($DN$5="S 1",K53+R53+Y53+AF53+AM53+AT53,
IF($DN$5="S 2",BA53+BH53+BO53+BV53+CC53+CJ53,0)),0)</f>
        <v>0</v>
      </c>
      <c r="DT53" s="150">
        <f t="shared" si="234"/>
        <v>0</v>
      </c>
      <c r="DU53" s="53">
        <v>1</v>
      </c>
      <c r="DX53" s="53">
        <v>0</v>
      </c>
      <c r="DY53" s="53">
        <v>1</v>
      </c>
      <c r="DZ53" s="513">
        <v>0</v>
      </c>
      <c r="EB53" s="513">
        <v>0</v>
      </c>
      <c r="EC53" s="53">
        <v>0</v>
      </c>
      <c r="ED53" s="513">
        <v>0</v>
      </c>
    </row>
    <row r="54" spans="1:134" s="70" customFormat="1" ht="16" customHeight="1" x14ac:dyDescent="0.3">
      <c r="A54" s="53">
        <f>_xlfn.XLOOKUP(B54,'UC MINI 2026'!$B$5:$B$61,'UC MINI 2026'!$A$5:$A$61)</f>
        <v>9</v>
      </c>
      <c r="B54" s="179">
        <v>100393</v>
      </c>
      <c r="C54" s="381" t="s">
        <v>75</v>
      </c>
      <c r="D54" s="146"/>
      <c r="E54" s="309" t="s">
        <v>201</v>
      </c>
      <c r="F54" s="54">
        <f>SUMIF('UC MINI 2026'!$B$5:$B$71,'UC MINI 2026 MINI NEXT'!$B54,'UC MINI 2026'!$F$5:$F$71)</f>
        <v>6</v>
      </c>
      <c r="G54" s="86">
        <f>SUMIF('UC MINI 2026'!$B$5:$B$71,'UC MINI 2026 MINI NEXT'!$B54,'UC MINI 2026'!$G$5:$G$71)</f>
        <v>11</v>
      </c>
      <c r="H54" s="297">
        <f t="shared" si="54"/>
        <v>1.8333333333333333</v>
      </c>
      <c r="I54" s="86">
        <f>IFERROR(VLOOKUP(B54,[2]BPS!$S$10:$AF$64,3,0),0)-IF(B54=100873,IFERROR(VLOOKUP("Enero",[2]BPS!$S$74:$T$89,2,0),0),0)</f>
        <v>11</v>
      </c>
      <c r="J54" s="297">
        <f t="shared" si="55"/>
        <v>1</v>
      </c>
      <c r="K54" s="86">
        <f>IFERROR(VLOOKUP(B54,'[2]RETAIL ORIGEN RMKT'!$S$11:$AF$62,3,0),0)</f>
        <v>1</v>
      </c>
      <c r="L54" s="150">
        <f t="shared" si="56"/>
        <v>0.16666666666666666</v>
      </c>
      <c r="M54" s="79">
        <f>SUMIF('UC MINI 2026'!$B$5:$B$61,'UC MINI 2026 MINI NEXT'!$B54,'UC MINI 2026'!$H$5:$H$61)</f>
        <v>7</v>
      </c>
      <c r="N54" s="86">
        <f>SUMIF('UC MINI 2026'!$B$5:$B$61,'UC MINI 2026 MINI NEXT'!$B54,'UC MINI 2026'!$I$5:$I$61)</f>
        <v>5</v>
      </c>
      <c r="O54" s="297">
        <f t="shared" si="165"/>
        <v>0.7142857142857143</v>
      </c>
      <c r="P54" s="86">
        <f>IFERROR(VLOOKUP(B54,[2]BPS!$S$10:$AF$64,4,0),0)-IF(B54=100873,IFERROR(VLOOKUP("FEBRERO",[2]BPS!$S$74:$T$89,2,0),0),0)</f>
        <v>3</v>
      </c>
      <c r="Q54" s="297">
        <f t="shared" si="188"/>
        <v>0.6</v>
      </c>
      <c r="R54" s="86">
        <f>IFERROR(VLOOKUP(B54,'[2]RETAIL ORIGEN RMKT'!$S$11:$AF$62,4,0),0)</f>
        <v>0</v>
      </c>
      <c r="S54" s="150">
        <f t="shared" si="189"/>
        <v>0</v>
      </c>
      <c r="T54" s="148">
        <f>SUMIF('UC MINI 2026'!$B$5:$B$71,'UC MINI 2026 MINI NEXT'!$B54,'UC MINI 2026'!$J$5:$J$71)</f>
        <v>7</v>
      </c>
      <c r="U54" s="86">
        <f>SUMIF('UC MINI 2026'!$B$10:$B$61,'UC MINI 2026 MINI NEXT'!$B54,'UC MINI 2026'!$K$10:$K$61)</f>
        <v>10</v>
      </c>
      <c r="V54" s="297">
        <f t="shared" si="166"/>
        <v>1.4285714285714286</v>
      </c>
      <c r="W54" s="86">
        <f>IFERROR(VLOOKUP(B54,[2]BPS!$S$10:$AF$64,5,0),0)-IF(B54=100873,IFERROR(VLOOKUP("MARZO",[2]BPS!$S$74:$T$89,2,0),0),0)</f>
        <v>10</v>
      </c>
      <c r="X54" s="297">
        <f t="shared" si="190"/>
        <v>1</v>
      </c>
      <c r="Y54" s="86">
        <f>IFERROR(VLOOKUP(B54,'[2]RETAIL ORIGEN RMKT'!$S$11:$AF$62,5,0),0)</f>
        <v>0</v>
      </c>
      <c r="Z54" s="150">
        <f t="shared" si="191"/>
        <v>0</v>
      </c>
      <c r="AA54" s="148">
        <f>SUMIF('UC MINI 2026'!$B$5:$B$61,'UC MINI 2026 MINI NEXT'!$B54,'UC MINI 2026'!$L$5:$L$61)</f>
        <v>6</v>
      </c>
      <c r="AB54" s="86">
        <f>SUMIF('UC MINI 2026'!$B$5:$B$61,'UC MINI 2026 MINI NEXT'!$B54,'UC MINI 2026'!$M$5:$M$61)</f>
        <v>5</v>
      </c>
      <c r="AC54" s="297">
        <f t="shared" si="167"/>
        <v>0.83333333333333337</v>
      </c>
      <c r="AD54" s="86">
        <f>IFERROR(VLOOKUP(B54,[2]BPS!$S$10:$AF$64,6,0),0)-IF(B54=100873,IFERROR(VLOOKUP("ABRIL",[2]BPS!$S$74:$T$89,2,0),0),0)</f>
        <v>5</v>
      </c>
      <c r="AE54" s="285">
        <f t="shared" si="192"/>
        <v>1</v>
      </c>
      <c r="AF54" s="86">
        <f>IFERROR(VLOOKUP(B54,'[2]RETAIL ORIGEN RMKT'!$S$11:$AF$62,6,0),0)</f>
        <v>0</v>
      </c>
      <c r="AG54" s="150">
        <f t="shared" si="193"/>
        <v>0</v>
      </c>
      <c r="AH54" s="148">
        <f>SUMIF('UC MINI 2026'!$B$5:$B$61,'UC MINI 2026 MINI NEXT'!$B54,'UC MINI 2026'!$N$5:$N$61)</f>
        <v>7</v>
      </c>
      <c r="AI54" s="86">
        <f>SUMIF('UC MINI 2026'!$B$5:$B$61,'UC MINI 2026 MINI NEXT'!$B54,'UC MINI 2026'!$O$5:$O$61)</f>
        <v>6</v>
      </c>
      <c r="AJ54" s="297">
        <f t="shared" si="168"/>
        <v>0.8571428571428571</v>
      </c>
      <c r="AK54" s="86">
        <f>IFERROR(VLOOKUP(B54,[2]BPS!$S$10:$AF$64,7,0),0)-IF(B54=100873,IFERROR(VLOOKUP("MAYO",[2]BPS!$S$74:$T$89,2,0),0),0)</f>
        <v>6</v>
      </c>
      <c r="AL54" s="285">
        <f t="shared" si="194"/>
        <v>1</v>
      </c>
      <c r="AM54" s="86">
        <f>IFERROR(VLOOKUP(B54,'[2]RETAIL ORIGEN RMKT'!$S$11:$AF$62,7,0),0)</f>
        <v>0</v>
      </c>
      <c r="AN54" s="150">
        <f t="shared" si="195"/>
        <v>0</v>
      </c>
      <c r="AO54" s="148">
        <f>SUMIF('UC MINI 2026'!$B$5:$B$61,'UC MINI 2026 MINI NEXT'!$B54,'UC MINI 2026'!$P$5:$P$61)</f>
        <v>7</v>
      </c>
      <c r="AP54" s="86">
        <f>SUMIF('UC MINI 2026'!$B$5:$B$61,'UC MINI 2026 MINI NEXT'!$B54,'UC MINI 2026'!$Q$5:$Q$61)</f>
        <v>8</v>
      </c>
      <c r="AQ54" s="297">
        <f t="shared" si="169"/>
        <v>1.1428571428571428</v>
      </c>
      <c r="AR54" s="86">
        <f>IFERROR(VLOOKUP(B54,[2]BPS!$S$10:$AF$64,8,0),0)-IF(B54=100873,IFERROR(VLOOKUP("JUNIO",[2]BPS!$S$74:$T$89,2,0),0),0)</f>
        <v>8</v>
      </c>
      <c r="AS54" s="285">
        <f t="shared" si="196"/>
        <v>1</v>
      </c>
      <c r="AT54" s="86">
        <f>IFERROR(VLOOKUP(B54,'[2]RETAIL ORIGEN RMKT'!$S$11:$AF$62,8,0),0)</f>
        <v>0</v>
      </c>
      <c r="AU54" s="150">
        <f t="shared" si="197"/>
        <v>0</v>
      </c>
      <c r="AV54" s="148">
        <f>SUMIF('UC MINI 2026'!$B$5:$B$61,'UC MINI 2026 MINI NEXT'!$B54,'UC MINI 2026'!$R$5:$R$61)</f>
        <v>0</v>
      </c>
      <c r="AW54" s="86">
        <f>SUMIF('UC MINI 2026'!$B$5:$B$61,'UC MINI 2026 MINI NEXT'!$B54,'UC MINI 2026'!$S$5:$S$61)</f>
        <v>0</v>
      </c>
      <c r="AX54" s="297">
        <f t="shared" si="170"/>
        <v>0</v>
      </c>
      <c r="AY54" s="86">
        <f>IFERROR(VLOOKUP(B54,[2]BPS!$S$10:$AF$64,9,0),0)-IF(B54=100873,IFERROR(VLOOKUP("JULIO",[2]BPS!$S$74:$T$89,2,0),0),0)</f>
        <v>0</v>
      </c>
      <c r="AZ54" s="285">
        <f t="shared" si="198"/>
        <v>0</v>
      </c>
      <c r="BA54" s="86">
        <f>IFERROR(VLOOKUP(I54,'[2]RETAIL ORIGEN RMKT'!$S$11:$AF$62,9,0),0)</f>
        <v>0</v>
      </c>
      <c r="BB54" s="150">
        <f t="shared" si="199"/>
        <v>0</v>
      </c>
      <c r="BC54" s="148">
        <f>SUMIF('UC MINI 2026'!$B$5:$B$61,'UC MINI 2026 MINI NEXT'!$B54,'UC MINI 2026'!$T$5:$T$61)</f>
        <v>0</v>
      </c>
      <c r="BD54" s="86">
        <f>SUMIF('UC MINI 2026'!$B$5:$B$61,'UC MINI 2026 MINI NEXT'!$B54,'UC MINI 2026'!$U$5:$U$61)</f>
        <v>0</v>
      </c>
      <c r="BE54" s="297">
        <f t="shared" si="171"/>
        <v>0</v>
      </c>
      <c r="BF54" s="86">
        <f>IFERROR(VLOOKUP(B54,[2]BPS!$S$10:$AF$64,10,0),0)-IF(B54=100873,IFERROR(VLOOKUP("AGOSTO",[2]BPS!$S$74:$T$89,2,0),0),0)</f>
        <v>0</v>
      </c>
      <c r="BG54" s="285">
        <f t="shared" si="200"/>
        <v>0</v>
      </c>
      <c r="BH54" s="86">
        <f>IFERROR(VLOOKUP(P54,'[2]RETAIL ORIGEN RMKT'!$S$11:$AF$62,10,0),0)</f>
        <v>0</v>
      </c>
      <c r="BI54" s="150">
        <f t="shared" si="201"/>
        <v>0</v>
      </c>
      <c r="BJ54" s="148">
        <f>SUMIF('UC MINI 2026'!$B$5:$B$61,'UC MINI 2026 MINI NEXT'!$B54,'UC MINI 2026'!$V$5:$V$61)</f>
        <v>0</v>
      </c>
      <c r="BK54" s="86">
        <f>SUMIF('UC MINI 2026'!$B$5:$B$61,'UC MINI 2026 MINI NEXT'!$B54,'UC MINI 2026'!$W$5:$W$61)</f>
        <v>0</v>
      </c>
      <c r="BL54" s="297">
        <f t="shared" si="172"/>
        <v>0</v>
      </c>
      <c r="BM54" s="86">
        <f>IFERROR(VLOOKUP(B54,[2]BPS!$S$10:$AF$64,11,0),0)-IF(B54=100873,IFERROR(VLOOKUP("SEPTIEMBRE",[2]BPS!$S$74:$T$89,2,0),0),0)</f>
        <v>0</v>
      </c>
      <c r="BN54" s="285">
        <f t="shared" si="202"/>
        <v>0</v>
      </c>
      <c r="BO54" s="86">
        <f>IFERROR(VLOOKUP(W54,'[2]RETAIL ORIGEN RMKT'!$S$11:$AF$62,11,0),0)</f>
        <v>0</v>
      </c>
      <c r="BP54" s="150">
        <f t="shared" si="203"/>
        <v>0</v>
      </c>
      <c r="BQ54" s="148">
        <f>SUMIF('UC MINI 2026'!$B$5:$B$61,'UC MINI 2026 MINI NEXT'!$B54,'UC MINI 2026'!$V$5:$V$61)</f>
        <v>0</v>
      </c>
      <c r="BR54" s="86">
        <f>SUMIF('UC MINI 2026'!$B$5:$B$61,'UC MINI 2026 MINI NEXT'!$B54,'UC MINI 2026'!$Y$5:$Y$61)</f>
        <v>0</v>
      </c>
      <c r="BS54" s="297">
        <f t="shared" si="173"/>
        <v>0</v>
      </c>
      <c r="BT54" s="86">
        <f>IFERROR(VLOOKUP(B54,[2]BPS!$S$10:$AF$64,12,0),0)-IF(B54=100873,IFERROR(VLOOKUP("OCTUBRE",[2]BPS!$S$74:$T$89,2,0),0),0)</f>
        <v>0</v>
      </c>
      <c r="BU54" s="285">
        <f t="shared" si="204"/>
        <v>0</v>
      </c>
      <c r="BV54" s="86">
        <f>IFERROR(VLOOKUP(AD54,'[2]RETAIL ORIGEN RMKT'!$S$11:$AF$62,12,0),0)</f>
        <v>0</v>
      </c>
      <c r="BW54" s="150">
        <f t="shared" si="205"/>
        <v>0</v>
      </c>
      <c r="BX54" s="148">
        <f>SUMIF('UC MINI 2026'!$B$5:$B$61,'UC MINI 2026 MINI NEXT'!$B54,'UC MINI 2026'!$V$5:$V$61)</f>
        <v>0</v>
      </c>
      <c r="BY54" s="86">
        <f>SUMIF('UC MINI 2026'!$B$5:$B$61,'UC MINI 2026 MINI NEXT'!$B54,'UC MINI 2026'!$AA$5:$AA$61)</f>
        <v>0</v>
      </c>
      <c r="BZ54" s="297">
        <f t="shared" si="174"/>
        <v>0</v>
      </c>
      <c r="CA54" s="86">
        <f>IFERROR(VLOOKUP(B54,[2]BPS!$S$10:$AF$64,13,0),0)-IF(B54=100873,IFERROR(VLOOKUP("NOVIEMBRE",[2]BPS!$S$74:$T$89,2,0),0),0)</f>
        <v>0</v>
      </c>
      <c r="CB54" s="285">
        <f t="shared" si="206"/>
        <v>0</v>
      </c>
      <c r="CC54" s="86">
        <f>IFERROR(VLOOKUP(AK54,'[2]RETAIL ORIGEN RMKT'!$S$11:$AF$62,13,0),0)</f>
        <v>0</v>
      </c>
      <c r="CD54" s="150">
        <f t="shared" si="207"/>
        <v>0</v>
      </c>
      <c r="CE54" s="148">
        <f>SUMIF('UC MINI 2026'!$B$5:$B$61,'UC MINI 2026 MINI NEXT'!$B54,'UC MINI 2026'!$V$5:$V$61)</f>
        <v>0</v>
      </c>
      <c r="CF54" s="86">
        <f>SUMIF('UC MINI 2026'!$B$5:$B$61,'UC MINI 2026 MINI NEXT'!$B54,'UC MINI 2026'!$AC$5:$AC$61)</f>
        <v>0</v>
      </c>
      <c r="CG54" s="297">
        <f t="shared" si="175"/>
        <v>0</v>
      </c>
      <c r="CH54" s="86">
        <f>IFERROR(VLOOKUP(B54,[2]BPS!$S$10:$AF$64,14,0),0)-IF(B54=100873,IFERROR(VLOOKUP("DICIEMBRE",[2]BPS!$S$74:$T$89,2,0),0),0)</f>
        <v>0</v>
      </c>
      <c r="CI54" s="285">
        <f t="shared" si="208"/>
        <v>0</v>
      </c>
      <c r="CJ54" s="86">
        <f>IFERROR(VLOOKUP(AR54,'[2]RETAIL ORIGEN RMKT'!$S$11:$AF$62,14,0),0)</f>
        <v>0</v>
      </c>
      <c r="CK54" s="150">
        <f t="shared" si="209"/>
        <v>0</v>
      </c>
      <c r="CL54" s="54">
        <f t="shared" si="235"/>
        <v>40</v>
      </c>
      <c r="CM54" s="86">
        <f t="shared" si="235"/>
        <v>45</v>
      </c>
      <c r="CN54" s="109">
        <f t="shared" si="176"/>
        <v>1.125</v>
      </c>
      <c r="CO54" s="86">
        <f>IFERROR(IF($CL$4="ENERO",I54,IF($CL$4="FEBRERO",I54+P54,IF($CL$4="MARZO",I54+P54+W54,IF($CL$4="ABRIL",I54+P54+W54+AD54,IF($CL$4="MAYO",I54+P54+W54+AD54+AK54,IF($CL$4="JUNIO",I54+P54+W54+AD54+AK54+AR54,IF($CL$4="JULIO",I54+P54+W54+AD54+AK54+AR54+AY54,IF($CL$4="AGOSTO",I54+P54+W54+AD54+AK54+AR54+AY54+BF54,IF($CL$4="SEPTIEMBRE",I54+P54+W54+AD54+AK54+AR54+AY54+BF54+BM54,IF($CL$4="OCTUBRE",I54+P54+W54+AD54+AK54+AR54+AY54+BF54+BM54+BT54,IF($CL$4="NOVIEMBRE",I54+P54+W54+AD54+AK54+AR54+AY54+BF54+BM54+BT54+CA54,IF($CL$4="DICIEMBRE",I54+P54+W54+AD54+AK54+AR54+AY54+BF54+BM54+BT54+CA54+CH54,"")))))))))))),0)</f>
        <v>43</v>
      </c>
      <c r="CP54" s="297">
        <f>IFERROR(IF(CM54=0,"N.D.",CO54/CM54),0)</f>
        <v>0.9555555555555556</v>
      </c>
      <c r="CQ54" s="348">
        <f>IFERROR(IF($CL$4="ENERO",K54,
IF($CL$4="FEBRERO",K54+R54,
IF($CL$4="MARZO",K54+R54+Y54,
IF($CL$4="ABRIL",K54+R54+Y54+AF54,
IF($CL$4="MAYO",K54+R54+Y54+AF54+AM54,
IF($CL$4="JUNIO",K54+R54+Y54+AF54+AM54+AT54,
IF($CL$4="JULIO",K54+R54+Y54+AF54+AM54+AT54+BA54,
IF($CL$4="AGOSTO",K54+R54+Y54+AF54+AM54+AT54+BA54+BH54,
IF($CL$4="SEPTIEMBRE",K54+R54+Y54+AF54+AM54+AT54+BA54+BH54+BO54,
IF($CL$4="OCTUBRE",K54+R54+Y54+AF54+AM54+AT54+BA54+BH54+BO54+BV54,
IF($CL$4="NOVIEMBRE",K54+R54+Y54+AF54+AM54+AT54+BA54+BH54+BO54+BV54+CC54,
IF($CL$4="DICIEMBRE",K54+R54+Y54+AF54+AM54+AT54+BA54+BH54+BO54+BV54+CC54+CJ54,"")))))))))))),0)</f>
        <v>1</v>
      </c>
      <c r="CR54" s="149">
        <f t="shared" si="177"/>
        <v>2.5000000000000001E-2</v>
      </c>
      <c r="CS54" s="54">
        <f>+F54+M54+T54+AA54+AH54+AO54++AV54+BC54+BJ54+BQ54+BX54+CE54</f>
        <v>40</v>
      </c>
      <c r="CT54" s="86">
        <f>SUMIFS($F54:$CI54,$F$6:$CI$6,CT$6,$F$2:$CI$2,$CL$4)</f>
        <v>45</v>
      </c>
      <c r="CU54" s="109">
        <f t="shared" si="52"/>
        <v>1.125</v>
      </c>
      <c r="CV54" s="68">
        <f>IFERROR(I54+P54+W54+AD54+AK54+AR54+AY54+BF54+BM54+BT54+CA54+CH54,0)</f>
        <v>43</v>
      </c>
      <c r="CW54" s="297">
        <f>IF(CT54=0,"N.D.",CV54/CT54)</f>
        <v>0.9555555555555556</v>
      </c>
      <c r="CX54" s="350">
        <f>IFERROR(K54+R54+Y54+AF54+AM54+AT54+BA54+BH54+BO54+BV54+CC54+CJ54,0)</f>
        <v>1</v>
      </c>
      <c r="CY54" s="149">
        <f t="shared" si="178"/>
        <v>2.5000000000000001E-2</v>
      </c>
      <c r="CZ54" s="54">
        <f t="shared" si="236"/>
        <v>20</v>
      </c>
      <c r="DA54" s="86">
        <f t="shared" si="236"/>
        <v>26</v>
      </c>
      <c r="DB54" s="109">
        <f t="shared" si="227"/>
        <v>1.3</v>
      </c>
      <c r="DC54" s="68">
        <f>IFERROR(IF($CZ$5="Q1",I54+P54+W54,
IF($CZ$5="Q2",AD54+AK54++AR54,
IF($CZ$5="Q3",AY54+BF54+BM54,
IF($CZ$5="Q4",BT54+CA54+CH54,0)))),0)</f>
        <v>24</v>
      </c>
      <c r="DD54" s="297">
        <f>IF(DA54=0,"N.D.",DC54/DA54)</f>
        <v>0.92307692307692313</v>
      </c>
      <c r="DE54" s="350">
        <f>IFERROR(IF($CZ$5="Q1",K54+R54+Y54,
IF($CZ$5="Q2",AF54+AM54+AT54,
IF($CZ$5="Q3",BA54+BH54+BO54,
IF($CZ$5="Q4",BV54+CC54+CJ54,0)))),0)</f>
        <v>1</v>
      </c>
      <c r="DF54" s="150">
        <f t="shared" si="228"/>
        <v>0.05</v>
      </c>
      <c r="DG54" s="54">
        <f t="shared" si="89"/>
        <v>40</v>
      </c>
      <c r="DH54" s="86">
        <f t="shared" si="89"/>
        <v>45</v>
      </c>
      <c r="DI54" s="109">
        <f t="shared" si="229"/>
        <v>1.125</v>
      </c>
      <c r="DJ54" s="68">
        <f>IFERROR(IF($DG$5="S 1",I54+P54+W54+AD54+AK54++AR54,
IF($DG$5="S 2",AY54+BF54+BM54+BT54+CA54+CH54,0)),0)</f>
        <v>43</v>
      </c>
      <c r="DK54" s="297">
        <f t="shared" si="230"/>
        <v>0.9555555555555556</v>
      </c>
      <c r="DL54" s="350">
        <f>IFERROR(IF($DG$5="S 1",K54+R54+Y54+AF54+AM54+AT54,
IF($DG$5="S 2",BA54+BH54+BO54+BV54+CC54+CJ54,0)),0)</f>
        <v>1</v>
      </c>
      <c r="DM54" s="150">
        <f t="shared" si="231"/>
        <v>2.5000000000000001E-2</v>
      </c>
      <c r="DN54" s="67">
        <f t="shared" si="237"/>
        <v>0</v>
      </c>
      <c r="DO54" s="266">
        <f t="shared" si="237"/>
        <v>0</v>
      </c>
      <c r="DP54" s="109">
        <f t="shared" si="232"/>
        <v>0</v>
      </c>
      <c r="DQ54" s="68">
        <f>IFERROR(IF($DN$5="S 1",I54+P54+W54+AD54+AK54++AR54,
IF($DN$5="S 2",AY54+BF54+BM54+BT54+CA54+CH54,0)),0)</f>
        <v>0</v>
      </c>
      <c r="DR54" s="297" t="str">
        <f t="shared" si="233"/>
        <v>N.D.</v>
      </c>
      <c r="DS54" s="350">
        <f>IFERROR(IF($DN$5="S 1",K54+R54+Y54+AF54+AM54+AT54,
IF($DN$5="S 2",BA54+BH54+BO54+BV54+CC54+CJ54,0)),0)</f>
        <v>0</v>
      </c>
      <c r="DT54" s="150">
        <f t="shared" si="234"/>
        <v>0</v>
      </c>
      <c r="DU54" s="53">
        <v>1</v>
      </c>
      <c r="DV54" s="53"/>
      <c r="DZ54" s="514"/>
      <c r="EB54" s="514"/>
      <c r="ED54" s="514"/>
    </row>
    <row r="55" spans="1:134" s="53" customFormat="1" ht="16" customHeight="1" x14ac:dyDescent="0.3">
      <c r="A55" s="53">
        <f>_xlfn.XLOOKUP(B55,'UC MINI 2026'!$B$5:$B$61,'UC MINI 2026'!$A$5:$A$61)</f>
        <v>9</v>
      </c>
      <c r="B55" s="179">
        <v>100586</v>
      </c>
      <c r="C55" s="381" t="s">
        <v>67</v>
      </c>
      <c r="D55" s="146"/>
      <c r="E55" s="309" t="s">
        <v>98</v>
      </c>
      <c r="F55" s="54">
        <f>SUMIF('UC MINI 2026'!$B$5:$B$71,'UC MINI 2026 MINI NEXT'!$B55,'UC MINI 2026'!$F$5:$F$71)</f>
        <v>13</v>
      </c>
      <c r="G55" s="86">
        <f>SUMIF('UC MINI 2026'!$B$5:$B$71,'UC MINI 2026 MINI NEXT'!$B55,'UC MINI 2026'!$G$5:$G$71)</f>
        <v>11</v>
      </c>
      <c r="H55" s="297">
        <f>IFERROR(G55/F55,0)</f>
        <v>0.84615384615384615</v>
      </c>
      <c r="I55" s="86">
        <f>IFERROR(VLOOKUP(B55,[2]BPS!$S$10:$AF$64,3,0),0)-IF(B55=100873,IFERROR(VLOOKUP("Enero",[2]BPS!$S$74:$T$89,2,0),0),0)</f>
        <v>10</v>
      </c>
      <c r="J55" s="297">
        <f>IFERROR(I55/G55,0)</f>
        <v>0.90909090909090906</v>
      </c>
      <c r="K55" s="86">
        <f>IFERROR(VLOOKUP(B55,'[2]RETAIL ORIGEN RMKT'!$S$11:$AF$62,3,0),0)</f>
        <v>2</v>
      </c>
      <c r="L55" s="150">
        <f>IFERROR(K55/F55,0)</f>
        <v>0.15384615384615385</v>
      </c>
      <c r="M55" s="79">
        <f>SUMIF('UC MINI 2026'!$B$5:$B$61,'UC MINI 2026 MINI NEXT'!$B55,'UC MINI 2026'!$H$5:$H$61)</f>
        <v>13</v>
      </c>
      <c r="N55" s="86">
        <f>SUMIF('UC MINI 2026'!$B$5:$B$61,'UC MINI 2026 MINI NEXT'!$B55,'UC MINI 2026'!$I$5:$I$61)</f>
        <v>14</v>
      </c>
      <c r="O55" s="297">
        <f t="shared" si="165"/>
        <v>1.0769230769230769</v>
      </c>
      <c r="P55" s="86">
        <f>IFERROR(VLOOKUP(B55,[2]BPS!$S$10:$AF$64,4,0),0)-IF(B55=100873,IFERROR(VLOOKUP("FEBRERO",[2]BPS!$S$74:$T$89,2,0),0),0)</f>
        <v>12</v>
      </c>
      <c r="Q55" s="297">
        <f t="shared" si="188"/>
        <v>0.8571428571428571</v>
      </c>
      <c r="R55" s="86">
        <f>IFERROR(VLOOKUP(B55,'[2]RETAIL ORIGEN RMKT'!$S$11:$AF$62,4,0),0)</f>
        <v>2</v>
      </c>
      <c r="S55" s="150">
        <f t="shared" si="189"/>
        <v>0.15384615384615385</v>
      </c>
      <c r="T55" s="148">
        <f>SUMIF('UC MINI 2026'!$B$5:$B$71,'UC MINI 2026 MINI NEXT'!$B55,'UC MINI 2026'!$J$5:$J$71)</f>
        <v>14</v>
      </c>
      <c r="U55" s="86">
        <f>SUMIF('UC MINI 2026'!$B$10:$B$61,'UC MINI 2026 MINI NEXT'!$B55,'UC MINI 2026'!$K$10:$K$61)</f>
        <v>16</v>
      </c>
      <c r="V55" s="297">
        <f t="shared" si="166"/>
        <v>1.1428571428571428</v>
      </c>
      <c r="W55" s="86">
        <f>IFERROR(VLOOKUP(B55,[2]BPS!$S$10:$AF$64,5,0),0)-IF(B55=100873,IFERROR(VLOOKUP("MARZO",[2]BPS!$S$74:$T$89,2,0),0),0)</f>
        <v>14</v>
      </c>
      <c r="X55" s="297">
        <f t="shared" si="190"/>
        <v>0.875</v>
      </c>
      <c r="Y55" s="86">
        <f>IFERROR(VLOOKUP(B55,'[2]RETAIL ORIGEN RMKT'!$S$11:$AF$62,5,0),0)</f>
        <v>3</v>
      </c>
      <c r="Z55" s="150">
        <f t="shared" si="191"/>
        <v>0.21428571428571427</v>
      </c>
      <c r="AA55" s="148">
        <f>SUMIF('UC MINI 2026'!$B$5:$B$61,'UC MINI 2026 MINI NEXT'!$B55,'UC MINI 2026'!$L$5:$L$61)</f>
        <v>13</v>
      </c>
      <c r="AB55" s="86">
        <f>SUMIF('UC MINI 2026'!$B$5:$B$61,'UC MINI 2026 MINI NEXT'!$B55,'UC MINI 2026'!$M$5:$M$61)</f>
        <v>23</v>
      </c>
      <c r="AC55" s="297">
        <f t="shared" si="167"/>
        <v>1.7692307692307692</v>
      </c>
      <c r="AD55" s="86">
        <f>IFERROR(VLOOKUP(B55,[2]BPS!$S$10:$AF$64,6,0),0)-IF(B55=100873,IFERROR(VLOOKUP("ABRIL",[2]BPS!$S$74:$T$89,2,0),0),0)</f>
        <v>20</v>
      </c>
      <c r="AE55" s="285">
        <f t="shared" si="192"/>
        <v>0.86956521739130432</v>
      </c>
      <c r="AF55" s="86">
        <f>IFERROR(VLOOKUP(B55,'[2]RETAIL ORIGEN RMKT'!$S$11:$AF$62,6,0),0)</f>
        <v>6</v>
      </c>
      <c r="AG55" s="150">
        <f t="shared" si="193"/>
        <v>0.46153846153846156</v>
      </c>
      <c r="AH55" s="148">
        <f>SUMIF('UC MINI 2026'!$B$5:$B$61,'UC MINI 2026 MINI NEXT'!$B55,'UC MINI 2026'!$N$5:$N$61)</f>
        <v>13</v>
      </c>
      <c r="AI55" s="86">
        <f>SUMIF('UC MINI 2026'!$B$5:$B$61,'UC MINI 2026 MINI NEXT'!$B55,'UC MINI 2026'!$O$5:$O$61)</f>
        <v>16</v>
      </c>
      <c r="AJ55" s="297">
        <f t="shared" si="168"/>
        <v>1.2307692307692308</v>
      </c>
      <c r="AK55" s="86">
        <f>IFERROR(VLOOKUP(B55,[2]BPS!$S$10:$AF$64,7,0),0)-IF(B55=100873,IFERROR(VLOOKUP("MAYO",[2]BPS!$S$74:$T$89,2,0),0),0)</f>
        <v>15</v>
      </c>
      <c r="AL55" s="285">
        <f t="shared" si="194"/>
        <v>0.9375</v>
      </c>
      <c r="AM55" s="86">
        <f>IFERROR(VLOOKUP(B55,'[2]RETAIL ORIGEN RMKT'!$S$11:$AF$62,7,0),0)</f>
        <v>4</v>
      </c>
      <c r="AN55" s="150">
        <f t="shared" si="195"/>
        <v>0.30769230769230771</v>
      </c>
      <c r="AO55" s="148">
        <f>SUMIF('UC MINI 2026'!$B$5:$B$61,'UC MINI 2026 MINI NEXT'!$B55,'UC MINI 2026'!$P$5:$P$61)</f>
        <v>14</v>
      </c>
      <c r="AP55" s="86">
        <f>SUMIF('UC MINI 2026'!$B$5:$B$61,'UC MINI 2026 MINI NEXT'!$B55,'UC MINI 2026'!$Q$5:$Q$61)</f>
        <v>21</v>
      </c>
      <c r="AQ55" s="297">
        <f t="shared" si="169"/>
        <v>1.5</v>
      </c>
      <c r="AR55" s="86">
        <f>IFERROR(VLOOKUP(B55,[2]BPS!$S$10:$AF$64,8,0),0)-IF(B55=100873,IFERROR(VLOOKUP("JUNIO",[2]BPS!$S$74:$T$89,2,0),0),0)</f>
        <v>18</v>
      </c>
      <c r="AS55" s="285">
        <f t="shared" si="196"/>
        <v>0.8571428571428571</v>
      </c>
      <c r="AT55" s="86">
        <f>IFERROR(VLOOKUP(B55,'[2]RETAIL ORIGEN RMKT'!$S$11:$AF$62,8,0),0)</f>
        <v>5</v>
      </c>
      <c r="AU55" s="150">
        <f t="shared" si="197"/>
        <v>0.35714285714285715</v>
      </c>
      <c r="AV55" s="148">
        <f>SUMIF('UC MINI 2026'!$B$5:$B$61,'UC MINI 2026 MINI NEXT'!$B55,'UC MINI 2026'!$R$5:$R$61)</f>
        <v>0</v>
      </c>
      <c r="AW55" s="86">
        <f>SUMIF('UC MINI 2026'!$B$5:$B$61,'UC MINI 2026 MINI NEXT'!$B55,'UC MINI 2026'!$S$5:$S$61)</f>
        <v>0</v>
      </c>
      <c r="AX55" s="297">
        <f t="shared" si="170"/>
        <v>0</v>
      </c>
      <c r="AY55" s="86">
        <f>IFERROR(VLOOKUP(B55,[2]BPS!$S$10:$AF$64,9,0),0)-IF(B55=100873,IFERROR(VLOOKUP("JULIO",[2]BPS!$S$74:$T$89,2,0),0),0)</f>
        <v>0</v>
      </c>
      <c r="AZ55" s="285">
        <f t="shared" si="198"/>
        <v>0</v>
      </c>
      <c r="BA55" s="86">
        <f>IFERROR(VLOOKUP(I55,'[2]RETAIL ORIGEN RMKT'!$S$11:$AF$62,9,0),0)</f>
        <v>0</v>
      </c>
      <c r="BB55" s="150">
        <f t="shared" si="199"/>
        <v>0</v>
      </c>
      <c r="BC55" s="148">
        <f>SUMIF('UC MINI 2026'!$B$5:$B$61,'UC MINI 2026 MINI NEXT'!$B55,'UC MINI 2026'!$T$5:$T$61)</f>
        <v>0</v>
      </c>
      <c r="BD55" s="86">
        <f>SUMIF('UC MINI 2026'!$B$5:$B$61,'UC MINI 2026 MINI NEXT'!$B55,'UC MINI 2026'!$U$5:$U$61)</f>
        <v>0</v>
      </c>
      <c r="BE55" s="297">
        <f t="shared" si="171"/>
        <v>0</v>
      </c>
      <c r="BF55" s="86">
        <f>IFERROR(VLOOKUP(B55,[2]BPS!$S$10:$AF$64,10,0),0)-IF(B55=100873,IFERROR(VLOOKUP("AGOSTO",[2]BPS!$S$74:$T$89,2,0),0),0)</f>
        <v>0</v>
      </c>
      <c r="BG55" s="285">
        <f t="shared" si="200"/>
        <v>0</v>
      </c>
      <c r="BH55" s="86">
        <f>IFERROR(VLOOKUP(P55,'[2]RETAIL ORIGEN RMKT'!$S$11:$AF$62,10,0),0)</f>
        <v>0</v>
      </c>
      <c r="BI55" s="150">
        <f t="shared" si="201"/>
        <v>0</v>
      </c>
      <c r="BJ55" s="148">
        <f>SUMIF('UC MINI 2026'!$B$5:$B$61,'UC MINI 2026 MINI NEXT'!$B55,'UC MINI 2026'!$V$5:$V$61)</f>
        <v>0</v>
      </c>
      <c r="BK55" s="86">
        <f>SUMIF('UC MINI 2026'!$B$5:$B$61,'UC MINI 2026 MINI NEXT'!$B55,'UC MINI 2026'!$W$5:$W$61)</f>
        <v>0</v>
      </c>
      <c r="BL55" s="297">
        <f t="shared" si="172"/>
        <v>0</v>
      </c>
      <c r="BM55" s="86">
        <f>IFERROR(VLOOKUP(B55,[2]BPS!$S$10:$AF$64,11,0),0)-IF(B55=100873,IFERROR(VLOOKUP("SEPTIEMBRE",[2]BPS!$S$74:$T$89,2,0),0),0)</f>
        <v>0</v>
      </c>
      <c r="BN55" s="285">
        <f t="shared" si="202"/>
        <v>0</v>
      </c>
      <c r="BO55" s="86">
        <f>IFERROR(VLOOKUP(W55,'[2]RETAIL ORIGEN RMKT'!$S$11:$AF$62,11,0),0)</f>
        <v>0</v>
      </c>
      <c r="BP55" s="150">
        <f t="shared" si="203"/>
        <v>0</v>
      </c>
      <c r="BQ55" s="148">
        <f>SUMIF('UC MINI 2026'!$B$5:$B$61,'UC MINI 2026 MINI NEXT'!$B55,'UC MINI 2026'!$V$5:$V$61)</f>
        <v>0</v>
      </c>
      <c r="BR55" s="86">
        <f>SUMIF('UC MINI 2026'!$B$5:$B$61,'UC MINI 2026 MINI NEXT'!$B55,'UC MINI 2026'!$Y$5:$Y$61)</f>
        <v>0</v>
      </c>
      <c r="BS55" s="297">
        <f t="shared" si="173"/>
        <v>0</v>
      </c>
      <c r="BT55" s="86">
        <f>IFERROR(VLOOKUP(B55,[2]BPS!$S$10:$AF$64,12,0),0)-IF(B55=100873,IFERROR(VLOOKUP("OCTUBRE",[2]BPS!$S$74:$T$89,2,0),0),0)</f>
        <v>0</v>
      </c>
      <c r="BU55" s="285">
        <f t="shared" si="204"/>
        <v>0</v>
      </c>
      <c r="BV55" s="86">
        <f>IFERROR(VLOOKUP(AD55,'[2]RETAIL ORIGEN RMKT'!$S$11:$AF$62,12,0),0)</f>
        <v>0</v>
      </c>
      <c r="BW55" s="150">
        <f t="shared" si="205"/>
        <v>0</v>
      </c>
      <c r="BX55" s="148">
        <f>SUMIF('UC MINI 2026'!$B$5:$B$61,'UC MINI 2026 MINI NEXT'!$B55,'UC MINI 2026'!$V$5:$V$61)</f>
        <v>0</v>
      </c>
      <c r="BY55" s="86">
        <f>SUMIF('UC MINI 2026'!$B$5:$B$61,'UC MINI 2026 MINI NEXT'!$B55,'UC MINI 2026'!$AA$5:$AA$61)</f>
        <v>0</v>
      </c>
      <c r="BZ55" s="297">
        <f t="shared" si="174"/>
        <v>0</v>
      </c>
      <c r="CA55" s="86">
        <f>IFERROR(VLOOKUP(B55,[2]BPS!$S$10:$AF$64,13,0),0)-IF(B55=100873,IFERROR(VLOOKUP("NOVIEMBRE",[2]BPS!$S$74:$T$89,2,0),0),0)</f>
        <v>0</v>
      </c>
      <c r="CB55" s="285">
        <f t="shared" si="206"/>
        <v>0</v>
      </c>
      <c r="CC55" s="86">
        <f>IFERROR(VLOOKUP(AK55,'[2]RETAIL ORIGEN RMKT'!$S$11:$AF$62,13,0),0)</f>
        <v>0</v>
      </c>
      <c r="CD55" s="150">
        <f t="shared" si="207"/>
        <v>0</v>
      </c>
      <c r="CE55" s="148">
        <f>SUMIF('UC MINI 2026'!$B$5:$B$61,'UC MINI 2026 MINI NEXT'!$B55,'UC MINI 2026'!$V$5:$V$61)</f>
        <v>0</v>
      </c>
      <c r="CF55" s="86">
        <f>SUMIF('UC MINI 2026'!$B$5:$B$61,'UC MINI 2026 MINI NEXT'!$B55,'UC MINI 2026'!$AC$5:$AC$61)</f>
        <v>0</v>
      </c>
      <c r="CG55" s="297">
        <f t="shared" si="175"/>
        <v>0</v>
      </c>
      <c r="CH55" s="86">
        <f>IFERROR(VLOOKUP(B55,[2]BPS!$S$10:$AF$64,14,0),0)-IF(B55=100873,IFERROR(VLOOKUP("DICIEMBRE",[2]BPS!$S$74:$T$89,2,0),0),0)</f>
        <v>0</v>
      </c>
      <c r="CI55" s="285">
        <f t="shared" si="208"/>
        <v>0</v>
      </c>
      <c r="CJ55" s="86">
        <f>IFERROR(VLOOKUP(AR55,'[2]RETAIL ORIGEN RMKT'!$S$11:$AF$62,14,0),0)</f>
        <v>0</v>
      </c>
      <c r="CK55" s="150">
        <f t="shared" si="209"/>
        <v>0</v>
      </c>
      <c r="CL55" s="54">
        <f t="shared" si="235"/>
        <v>80</v>
      </c>
      <c r="CM55" s="86">
        <f t="shared" si="235"/>
        <v>101</v>
      </c>
      <c r="CN55" s="109">
        <f t="shared" si="176"/>
        <v>1.2625</v>
      </c>
      <c r="CO55" s="86">
        <f>IFERROR(IF($CL$4="ENERO",I55,IF($CL$4="FEBRERO",I55+P55,IF($CL$4="MARZO",I55+P55+W55,IF($CL$4="ABRIL",I55+P55+W55+AD55,IF($CL$4="MAYO",I55+P55+W55+AD55+AK55,IF($CL$4="JUNIO",I55+P55+W55+AD55+AK55+AR55,IF($CL$4="JULIO",I55+P55+W55+AD55+AK55+AR55+AY55,IF($CL$4="AGOSTO",I55+P55+W55+AD55+AK55+AR55+AY55+BF55,IF($CL$4="SEPTIEMBRE",I55+P55+W55+AD55+AK55+AR55+AY55+BF55+BM55,IF($CL$4="OCTUBRE",I55+P55+W55+AD55+AK55+AR55+AY55+BF55+BM55+BT55,IF($CL$4="NOVIEMBRE",I55+P55+W55+AD55+AK55+AR55+AY55+BF55+BM55+BT55+CA55,IF($CL$4="DICIEMBRE",I55+P55+W55+AD55+AK55+AR55+AY55+BF55+BM55+BT55+CA55+CH55,"")))))))))))),0)</f>
        <v>89</v>
      </c>
      <c r="CP55" s="297">
        <f>IFERROR(IF(CM55=0,"N.D.",CO55/CM55),0)</f>
        <v>0.88118811881188119</v>
      </c>
      <c r="CQ55" s="348">
        <f>IFERROR(IF($CL$4="ENERO",K55,
IF($CL$4="FEBRERO",K55+R55,
IF($CL$4="MARZO",K55+R55+Y55,
IF($CL$4="ABRIL",K55+R55+Y55+AF55,
IF($CL$4="MAYO",K55+R55+Y55+AF55+AM55,
IF($CL$4="JUNIO",K55+R55+Y55+AF55+AM55+AT55,
IF($CL$4="JULIO",K55+R55+Y55+AF55+AM55+AT55+BA55,
IF($CL$4="AGOSTO",K55+R55+Y55+AF55+AM55+AT55+BA55+BH55,
IF($CL$4="SEPTIEMBRE",K55+R55+Y55+AF55+AM55+AT55+BA55+BH55+BO55,
IF($CL$4="OCTUBRE",K55+R55+Y55+AF55+AM55+AT55+BA55+BH55+BO55+BV55,
IF($CL$4="NOVIEMBRE",K55+R55+Y55+AF55+AM55+AT55+BA55+BH55+BO55+BV55+CC55,
IF($CL$4="DICIEMBRE",K55+R55+Y55+AF55+AM55+AT55+BA55+BH55+BO55+BV55+CC55+CJ55,"")))))))))))),0)</f>
        <v>22</v>
      </c>
      <c r="CR55" s="149">
        <f t="shared" si="177"/>
        <v>0.27500000000000002</v>
      </c>
      <c r="CS55" s="54">
        <f>+F55+M55+T55+AA55+AH55+AO55++AV55+BC55+BJ55+BQ55+BX55+CE55</f>
        <v>80</v>
      </c>
      <c r="CT55" s="86">
        <f>SUMIFS($F55:$CI55,$F$6:$CI$6,CT$6,$F$2:$CI$2,$CL$4)</f>
        <v>101</v>
      </c>
      <c r="CU55" s="109">
        <f>IFERROR((CT55/CS55),0)</f>
        <v>1.2625</v>
      </c>
      <c r="CV55" s="68">
        <f>IFERROR(I55+P55+W55+AD55+AK55+AR55+AY55+BF55+BM55+BT55+CA55+CH55,0)</f>
        <v>89</v>
      </c>
      <c r="CW55" s="297">
        <f>IF(CT55=0,"N.D.",CV55/CT55)</f>
        <v>0.88118811881188119</v>
      </c>
      <c r="CX55" s="350">
        <f>IFERROR(K55+R55+Y55+AF55+AM55+AT55+BA55+BH55+BO55+BV55+CC55+CJ55,0)</f>
        <v>22</v>
      </c>
      <c r="CY55" s="149">
        <f t="shared" si="178"/>
        <v>0.27500000000000002</v>
      </c>
      <c r="CZ55" s="54">
        <f t="shared" si="236"/>
        <v>40</v>
      </c>
      <c r="DA55" s="86">
        <f t="shared" si="236"/>
        <v>41</v>
      </c>
      <c r="DB55" s="109">
        <f t="shared" si="227"/>
        <v>1.0249999999999999</v>
      </c>
      <c r="DC55" s="68">
        <f>IFERROR(IF($CZ$5="Q1",I55+P55+W55,
IF($CZ$5="Q2",AD55+AK55++AR55,
IF($CZ$5="Q3",AY55+BF55+BM55,
IF($CZ$5="Q4",BT55+CA55+CH55,0)))),0)</f>
        <v>36</v>
      </c>
      <c r="DD55" s="297">
        <f>IF(DA55=0,"N.D.",DC55/DA55)</f>
        <v>0.87804878048780488</v>
      </c>
      <c r="DE55" s="350">
        <f>IFERROR(IF($CZ$5="Q1",K55+R55+Y55,
IF($CZ$5="Q2",AF55+AM55+AT55,
IF($CZ$5="Q3",BA55+BH55+BO55,
IF($CZ$5="Q4",BV55+CC55+CJ55,0)))),0)</f>
        <v>7</v>
      </c>
      <c r="DF55" s="150">
        <f t="shared" si="228"/>
        <v>0.17499999999999999</v>
      </c>
      <c r="DG55" s="54">
        <f>IF($DG$5="S 1",F55+M55+T55+AA55+AH55+AO55,
IF($DG$5="S 2",AV55+BC55+BJ55+BQ55+BX55+CE55,0))</f>
        <v>80</v>
      </c>
      <c r="DH55" s="86">
        <f>IF($DG$5="S 1",G55+N55+U55+AB55+AI55+AP55,
IF($DG$5="S 2",AW55+BD55+BK55+BR55+BY55+CF55,0))</f>
        <v>101</v>
      </c>
      <c r="DI55" s="109">
        <f t="shared" si="229"/>
        <v>1.2625</v>
      </c>
      <c r="DJ55" s="68">
        <f>IFERROR(IF($DG$5="S 1",I55+P55+W55+AD55+AK55++AR55,
IF($DG$5="S 2",AY55+BF55+BM55+BT55+CA55+CH55,0)),0)</f>
        <v>89</v>
      </c>
      <c r="DK55" s="297">
        <f t="shared" si="230"/>
        <v>0.88118811881188119</v>
      </c>
      <c r="DL55" s="350">
        <f>IFERROR(IF($DG$5="S 1",K55+R55+Y55+AF55+AM55+AT55,
IF($DG$5="S 2",BA55+BH55+BO55+BV55+CC55+CJ55,0)),0)</f>
        <v>22</v>
      </c>
      <c r="DM55" s="150">
        <f t="shared" si="231"/>
        <v>0.27500000000000002</v>
      </c>
      <c r="DN55" s="67">
        <f t="shared" si="237"/>
        <v>0</v>
      </c>
      <c r="DO55" s="266">
        <f t="shared" si="237"/>
        <v>0</v>
      </c>
      <c r="DP55" s="109">
        <f t="shared" si="232"/>
        <v>0</v>
      </c>
      <c r="DQ55" s="68">
        <f>IFERROR(IF($DN$5="S 1",I55+P55+W55+AD55+AK55++AR55,
IF($DN$5="S 2",AY55+BF55+BM55+BT55+CA55+CH55,0)),0)</f>
        <v>0</v>
      </c>
      <c r="DR55" s="297" t="str">
        <f t="shared" si="233"/>
        <v>N.D.</v>
      </c>
      <c r="DS55" s="350">
        <f>IFERROR(IF($DN$5="S 1",K55+R55+Y55+AF55+AM55+AT55,
IF($DN$5="S 2",BA55+BH55+BO55+BV55+CC55+CJ55,0)),0)</f>
        <v>0</v>
      </c>
      <c r="DT55" s="150">
        <f t="shared" si="234"/>
        <v>0</v>
      </c>
      <c r="DU55" s="53">
        <v>1</v>
      </c>
    </row>
    <row r="56" spans="1:134" s="53" customFormat="1" ht="16" customHeight="1" thickBot="1" x14ac:dyDescent="0.35">
      <c r="A56" s="53">
        <f>_xlfn.XLOOKUP(B56,'UC MINI 2026'!$B$5:$B$61,'UC MINI 2026'!$A$5:$A$61)</f>
        <v>9</v>
      </c>
      <c r="B56" s="179">
        <v>100813</v>
      </c>
      <c r="C56" s="381" t="s">
        <v>68</v>
      </c>
      <c r="D56" s="51"/>
      <c r="E56" s="309" t="s">
        <v>98</v>
      </c>
      <c r="F56" s="54">
        <f>SUMIF('UC MINI 2026'!$B$5:$B$71,'UC MINI 2026 MINI NEXT'!$B56,'UC MINI 2026'!$F$5:$F$71)</f>
        <v>4</v>
      </c>
      <c r="G56" s="86">
        <f>SUMIF('UC MINI 2026'!$B$5:$B$71,'UC MINI 2026 MINI NEXT'!$B56,'UC MINI 2026'!$G$5:$G$71)</f>
        <v>5</v>
      </c>
      <c r="H56" s="297">
        <f>IFERROR(G56/F56,0)</f>
        <v>1.25</v>
      </c>
      <c r="I56" s="86">
        <f>IFERROR(VLOOKUP(B56,[2]BPS!$S$10:$AF$64,3,0),0)-IF(B56=100873,IFERROR(VLOOKUP("Enero",[2]BPS!$S$74:$T$89,2,0),0),0)</f>
        <v>5</v>
      </c>
      <c r="J56" s="297">
        <f>IFERROR(I56/G56,0)</f>
        <v>1</v>
      </c>
      <c r="K56" s="86">
        <f>IFERROR(VLOOKUP(B56,'[2]RETAIL ORIGEN RMKT'!$S$11:$AF$62,3,0),0)</f>
        <v>3</v>
      </c>
      <c r="L56" s="150">
        <f>IFERROR(K56/F56,0)</f>
        <v>0.75</v>
      </c>
      <c r="M56" s="79">
        <f>SUMIF('UC MINI 2026'!$B$5:$B$61,'UC MINI 2026 MINI NEXT'!$B56,'UC MINI 2026'!$H$5:$H$61)</f>
        <v>4</v>
      </c>
      <c r="N56" s="86">
        <f>SUMIF('UC MINI 2026'!$B$5:$B$61,'UC MINI 2026 MINI NEXT'!$B56,'UC MINI 2026'!$I$5:$I$61)</f>
        <v>6</v>
      </c>
      <c r="O56" s="297">
        <f t="shared" si="165"/>
        <v>1.5</v>
      </c>
      <c r="P56" s="86">
        <f>IFERROR(VLOOKUP(B56,[2]BPS!$S$10:$AF$64,4,0),0)-IF(B56=100873,IFERROR(VLOOKUP("FEBRERO",[2]BPS!$S$74:$T$89,2,0),0),0)</f>
        <v>6</v>
      </c>
      <c r="Q56" s="297">
        <f t="shared" si="188"/>
        <v>1</v>
      </c>
      <c r="R56" s="86">
        <f>IFERROR(VLOOKUP(B56,'[2]RETAIL ORIGEN RMKT'!$S$11:$AF$62,4,0),0)</f>
        <v>2</v>
      </c>
      <c r="S56" s="150">
        <f t="shared" si="189"/>
        <v>0.5</v>
      </c>
      <c r="T56" s="148">
        <f>SUMIF('UC MINI 2026'!$B$5:$B$71,'UC MINI 2026 MINI NEXT'!$B56,'UC MINI 2026'!$J$5:$J$71)</f>
        <v>4</v>
      </c>
      <c r="U56" s="86">
        <f>SUMIF('UC MINI 2026'!$B$10:$B$61,'UC MINI 2026 MINI NEXT'!$B56,'UC MINI 2026'!$K$10:$K$61)</f>
        <v>9</v>
      </c>
      <c r="V56" s="297">
        <f t="shared" si="166"/>
        <v>2.25</v>
      </c>
      <c r="W56" s="86">
        <f>IFERROR(VLOOKUP(B56,[2]BPS!$S$10:$AF$64,5,0),0)-IF(B56=100873,IFERROR(VLOOKUP("MARZO",[2]BPS!$S$74:$T$89,2,0),0),0)</f>
        <v>8</v>
      </c>
      <c r="X56" s="297">
        <f t="shared" si="190"/>
        <v>0.88888888888888884</v>
      </c>
      <c r="Y56" s="86">
        <f>IFERROR(VLOOKUP(B56,'[2]RETAIL ORIGEN RMKT'!$S$11:$AF$62,5,0),0)</f>
        <v>1</v>
      </c>
      <c r="Z56" s="150">
        <f t="shared" si="191"/>
        <v>0.25</v>
      </c>
      <c r="AA56" s="148">
        <f>SUMIF('UC MINI 2026'!$B$5:$B$61,'UC MINI 2026 MINI NEXT'!$B56,'UC MINI 2026'!$L$5:$L$61)</f>
        <v>4</v>
      </c>
      <c r="AB56" s="86">
        <f>SUMIF('UC MINI 2026'!$B$5:$B$61,'UC MINI 2026 MINI NEXT'!$B56,'UC MINI 2026'!$M$5:$M$61)</f>
        <v>6</v>
      </c>
      <c r="AC56" s="297">
        <f t="shared" si="167"/>
        <v>1.5</v>
      </c>
      <c r="AD56" s="86">
        <f>IFERROR(VLOOKUP(B56,[2]BPS!$S$10:$AF$64,6,0),0)-IF(B56=100873,IFERROR(VLOOKUP("ABRIL",[2]BPS!$S$74:$T$89,2,0),0),0)</f>
        <v>6</v>
      </c>
      <c r="AE56" s="285">
        <f t="shared" si="192"/>
        <v>1</v>
      </c>
      <c r="AF56" s="86">
        <f>IFERROR(VLOOKUP(B56,'[2]RETAIL ORIGEN RMKT'!$S$11:$AF$62,6,0),0)</f>
        <v>1</v>
      </c>
      <c r="AG56" s="150">
        <f t="shared" si="193"/>
        <v>0.25</v>
      </c>
      <c r="AH56" s="148">
        <f>SUMIF('UC MINI 2026'!$B$5:$B$61,'UC MINI 2026 MINI NEXT'!$B56,'UC MINI 2026'!$N$5:$N$61)</f>
        <v>4</v>
      </c>
      <c r="AI56" s="86">
        <f>SUMIF('UC MINI 2026'!$B$5:$B$61,'UC MINI 2026 MINI NEXT'!$B56,'UC MINI 2026'!$O$5:$O$61)</f>
        <v>12</v>
      </c>
      <c r="AJ56" s="297">
        <f t="shared" si="168"/>
        <v>3</v>
      </c>
      <c r="AK56" s="86">
        <f>IFERROR(VLOOKUP(B56,[2]BPS!$S$10:$AF$64,7,0),0)-IF(B56=100873,IFERROR(VLOOKUP("MAYO",[2]BPS!$S$74:$T$89,2,0),0),0)</f>
        <v>12</v>
      </c>
      <c r="AL56" s="285">
        <f t="shared" si="194"/>
        <v>1</v>
      </c>
      <c r="AM56" s="86">
        <f>IFERROR(VLOOKUP(B56,'[2]RETAIL ORIGEN RMKT'!$S$11:$AF$62,7,0),0)</f>
        <v>5</v>
      </c>
      <c r="AN56" s="150">
        <f t="shared" si="195"/>
        <v>1.25</v>
      </c>
      <c r="AO56" s="148">
        <f>SUMIF('UC MINI 2026'!$B$5:$B$61,'UC MINI 2026 MINI NEXT'!$B56,'UC MINI 2026'!$P$5:$P$61)</f>
        <v>5</v>
      </c>
      <c r="AP56" s="86">
        <f>SUMIF('UC MINI 2026'!$B$5:$B$61,'UC MINI 2026 MINI NEXT'!$B56,'UC MINI 2026'!$Q$5:$Q$61)</f>
        <v>8</v>
      </c>
      <c r="AQ56" s="297">
        <f t="shared" si="169"/>
        <v>1.6</v>
      </c>
      <c r="AR56" s="86">
        <f>IFERROR(VLOOKUP(B56,[2]BPS!$S$10:$AF$64,8,0),0)-IF(B56=100873,IFERROR(VLOOKUP("JUNIO",[2]BPS!$S$74:$T$89,2,0),0),0)</f>
        <v>8</v>
      </c>
      <c r="AS56" s="285">
        <f t="shared" si="196"/>
        <v>1</v>
      </c>
      <c r="AT56" s="86">
        <f>IFERROR(VLOOKUP(B56,'[2]RETAIL ORIGEN RMKT'!$S$11:$AF$62,8,0),0)</f>
        <v>3</v>
      </c>
      <c r="AU56" s="150">
        <f t="shared" si="197"/>
        <v>0.6</v>
      </c>
      <c r="AV56" s="148">
        <f>SUMIF('UC MINI 2026'!$B$5:$B$61,'UC MINI 2026 MINI NEXT'!$B56,'UC MINI 2026'!$R$5:$R$61)</f>
        <v>0</v>
      </c>
      <c r="AW56" s="86">
        <f>SUMIF('UC MINI 2026'!$B$5:$B$61,'UC MINI 2026 MINI NEXT'!$B56,'UC MINI 2026'!$S$5:$S$61)</f>
        <v>0</v>
      </c>
      <c r="AX56" s="297">
        <f t="shared" si="170"/>
        <v>0</v>
      </c>
      <c r="AY56" s="86">
        <f>IFERROR(VLOOKUP(B56,[2]BPS!$S$10:$AF$64,9,0),0)-IF(B56=100873,IFERROR(VLOOKUP("JULIO",[2]BPS!$S$74:$T$89,2,0),0),0)</f>
        <v>0</v>
      </c>
      <c r="AZ56" s="285">
        <f t="shared" si="198"/>
        <v>0</v>
      </c>
      <c r="BA56" s="86">
        <f>IFERROR(VLOOKUP(I56,'[2]RETAIL ORIGEN RMKT'!$S$11:$AF$62,9,0),0)</f>
        <v>0</v>
      </c>
      <c r="BB56" s="150">
        <f t="shared" si="199"/>
        <v>0</v>
      </c>
      <c r="BC56" s="148">
        <f>SUMIF('UC MINI 2026'!$B$5:$B$61,'UC MINI 2026 MINI NEXT'!$B56,'UC MINI 2026'!$T$5:$T$61)</f>
        <v>0</v>
      </c>
      <c r="BD56" s="86">
        <f>SUMIF('UC MINI 2026'!$B$5:$B$61,'UC MINI 2026 MINI NEXT'!$B56,'UC MINI 2026'!$U$5:$U$61)</f>
        <v>0</v>
      </c>
      <c r="BE56" s="297">
        <f t="shared" si="171"/>
        <v>0</v>
      </c>
      <c r="BF56" s="86">
        <f>IFERROR(VLOOKUP(B56,[2]BPS!$S$10:$AF$64,10,0),0)-IF(B56=100873,IFERROR(VLOOKUP("AGOSTO",[2]BPS!$S$74:$T$89,2,0),0),0)</f>
        <v>0</v>
      </c>
      <c r="BG56" s="285">
        <f t="shared" si="200"/>
        <v>0</v>
      </c>
      <c r="BH56" s="86">
        <f>IFERROR(VLOOKUP(P56,'[2]RETAIL ORIGEN RMKT'!$S$11:$AF$62,10,0),0)</f>
        <v>0</v>
      </c>
      <c r="BI56" s="150">
        <f t="shared" si="201"/>
        <v>0</v>
      </c>
      <c r="BJ56" s="148">
        <f>SUMIF('UC MINI 2026'!$B$5:$B$61,'UC MINI 2026 MINI NEXT'!$B56,'UC MINI 2026'!$V$5:$V$61)</f>
        <v>0</v>
      </c>
      <c r="BK56" s="86">
        <f>SUMIF('UC MINI 2026'!$B$5:$B$61,'UC MINI 2026 MINI NEXT'!$B56,'UC MINI 2026'!$W$5:$W$61)</f>
        <v>0</v>
      </c>
      <c r="BL56" s="297">
        <f t="shared" si="172"/>
        <v>0</v>
      </c>
      <c r="BM56" s="86">
        <f>IFERROR(VLOOKUP(B56,[2]BPS!$S$10:$AF$64,11,0),0)-IF(B56=100873,IFERROR(VLOOKUP("SEPTIEMBRE",[2]BPS!$S$74:$T$89,2,0),0),0)</f>
        <v>0</v>
      </c>
      <c r="BN56" s="285">
        <f t="shared" si="202"/>
        <v>0</v>
      </c>
      <c r="BO56" s="86">
        <f>IFERROR(VLOOKUP(W56,'[2]RETAIL ORIGEN RMKT'!$S$11:$AF$62,11,0),0)</f>
        <v>0</v>
      </c>
      <c r="BP56" s="150">
        <f t="shared" si="203"/>
        <v>0</v>
      </c>
      <c r="BQ56" s="148">
        <f>SUMIF('UC MINI 2026'!$B$5:$B$61,'UC MINI 2026 MINI NEXT'!$B56,'UC MINI 2026'!$V$5:$V$61)</f>
        <v>0</v>
      </c>
      <c r="BR56" s="86">
        <f>SUMIF('UC MINI 2026'!$B$5:$B$61,'UC MINI 2026 MINI NEXT'!$B56,'UC MINI 2026'!$Y$5:$Y$61)</f>
        <v>0</v>
      </c>
      <c r="BS56" s="297">
        <f t="shared" si="173"/>
        <v>0</v>
      </c>
      <c r="BT56" s="86">
        <f>IFERROR(VLOOKUP(B56,[2]BPS!$S$10:$AF$64,12,0),0)-IF(B56=100873,IFERROR(VLOOKUP("OCTUBRE",[2]BPS!$S$74:$T$89,2,0),0),0)</f>
        <v>0</v>
      </c>
      <c r="BU56" s="285">
        <f t="shared" si="204"/>
        <v>0</v>
      </c>
      <c r="BV56" s="86">
        <f>IFERROR(VLOOKUP(AD56,'[2]RETAIL ORIGEN RMKT'!$S$11:$AF$62,12,0),0)</f>
        <v>0</v>
      </c>
      <c r="BW56" s="150">
        <f t="shared" si="205"/>
        <v>0</v>
      </c>
      <c r="BX56" s="148">
        <f>SUMIF('UC MINI 2026'!$B$5:$B$61,'UC MINI 2026 MINI NEXT'!$B56,'UC MINI 2026'!$V$5:$V$61)</f>
        <v>0</v>
      </c>
      <c r="BY56" s="86">
        <f>SUMIF('UC MINI 2026'!$B$5:$B$61,'UC MINI 2026 MINI NEXT'!$B56,'UC MINI 2026'!$AA$5:$AA$61)</f>
        <v>0</v>
      </c>
      <c r="BZ56" s="297">
        <f t="shared" si="174"/>
        <v>0</v>
      </c>
      <c r="CA56" s="86">
        <f>IFERROR(VLOOKUP(B56,[2]BPS!$S$10:$AF$64,13,0),0)-IF(B56=100873,IFERROR(VLOOKUP("NOVIEMBRE",[2]BPS!$S$74:$T$89,2,0),0),0)</f>
        <v>0</v>
      </c>
      <c r="CB56" s="285">
        <f t="shared" si="206"/>
        <v>0</v>
      </c>
      <c r="CC56" s="86">
        <f>IFERROR(VLOOKUP(AK56,'[2]RETAIL ORIGEN RMKT'!$S$11:$AF$62,13,0),0)</f>
        <v>0</v>
      </c>
      <c r="CD56" s="150">
        <f t="shared" si="207"/>
        <v>0</v>
      </c>
      <c r="CE56" s="148">
        <f>SUMIF('UC MINI 2026'!$B$5:$B$61,'UC MINI 2026 MINI NEXT'!$B56,'UC MINI 2026'!$V$5:$V$61)</f>
        <v>0</v>
      </c>
      <c r="CF56" s="86">
        <f>SUMIF('UC MINI 2026'!$B$5:$B$61,'UC MINI 2026 MINI NEXT'!$B56,'UC MINI 2026'!$AC$5:$AC$61)</f>
        <v>0</v>
      </c>
      <c r="CG56" s="297">
        <f t="shared" si="175"/>
        <v>0</v>
      </c>
      <c r="CH56" s="86">
        <f>IFERROR(VLOOKUP(B56,[2]BPS!$S$10:$AF$64,14,0),0)-IF(B56=100873,IFERROR(VLOOKUP("DICIEMBRE",[2]BPS!$S$74:$T$89,2,0),0),0)</f>
        <v>0</v>
      </c>
      <c r="CI56" s="285">
        <f t="shared" si="208"/>
        <v>0</v>
      </c>
      <c r="CJ56" s="86">
        <f>IFERROR(VLOOKUP(AR56,'[2]RETAIL ORIGEN RMKT'!$S$11:$AF$62,14,0),0)</f>
        <v>0</v>
      </c>
      <c r="CK56" s="150">
        <f t="shared" si="209"/>
        <v>0</v>
      </c>
      <c r="CL56" s="54">
        <f t="shared" si="235"/>
        <v>25</v>
      </c>
      <c r="CM56" s="86">
        <f t="shared" si="235"/>
        <v>46</v>
      </c>
      <c r="CN56" s="109">
        <f t="shared" si="176"/>
        <v>1.84</v>
      </c>
      <c r="CO56" s="86">
        <f>IFERROR(IF($CL$4="ENERO",I56,IF($CL$4="FEBRERO",I56+P56,IF($CL$4="MARZO",I56+P56+W56,IF($CL$4="ABRIL",I56+P56+W56+AD56,IF($CL$4="MAYO",I56+P56+W56+AD56+AK56,IF($CL$4="JUNIO",I56+P56+W56+AD56+AK56+AR56,IF($CL$4="JULIO",I56+P56+W56+AD56+AK56+AR56+AY56,IF($CL$4="AGOSTO",I56+P56+W56+AD56+AK56+AR56+AY56+BF56,IF($CL$4="SEPTIEMBRE",I56+P56+W56+AD56+AK56+AR56+AY56+BF56+BM56,IF($CL$4="OCTUBRE",I56+P56+W56+AD56+AK56+AR56+AY56+BF56+BM56+BT56,IF($CL$4="NOVIEMBRE",I56+P56+W56+AD56+AK56+AR56+AY56+BF56+BM56+BT56+CA56,IF($CL$4="DICIEMBRE",I56+P56+W56+AD56+AK56+AR56+AY56+BF56+BM56+BT56+CA56+CH56,"")))))))))))),0)</f>
        <v>45</v>
      </c>
      <c r="CP56" s="297">
        <f>IFERROR(IF(CM56=0,"N.D.",CO56/CM56),0)</f>
        <v>0.97826086956521741</v>
      </c>
      <c r="CQ56" s="348">
        <f>IFERROR(IF($CL$4="ENERO",K56,
IF($CL$4="FEBRERO",K56+R56,
IF($CL$4="MARZO",K56+R56+Y56,
IF($CL$4="ABRIL",K56+R56+Y56+AF56,
IF($CL$4="MAYO",K56+R56+Y56+AF56+AM56,
IF($CL$4="JUNIO",K56+R56+Y56+AF56+AM56+AT56,
IF($CL$4="JULIO",K56+R56+Y56+AF56+AM56+AT56+BA56,
IF($CL$4="AGOSTO",K56+R56+Y56+AF56+AM56+AT56+BA56+BH56,
IF($CL$4="SEPTIEMBRE",K56+R56+Y56+AF56+AM56+AT56+BA56+BH56+BO56,
IF($CL$4="OCTUBRE",K56+R56+Y56+AF56+AM56+AT56+BA56+BH56+BO56+BV56,
IF($CL$4="NOVIEMBRE",K56+R56+Y56+AF56+AM56+AT56+BA56+BH56+BO56+BV56+CC56,
IF($CL$4="DICIEMBRE",K56+R56+Y56+AF56+AM56+AT56+BA56+BH56+BO56+BV56+CC56+CJ56,"")))))))))))),0)</f>
        <v>15</v>
      </c>
      <c r="CR56" s="149">
        <f t="shared" si="177"/>
        <v>0.6</v>
      </c>
      <c r="CS56" s="54">
        <f>+F56+M56+T56+AA56+AH56+AO56++AV56+BC56+BJ56+BQ56+BX56+CE56</f>
        <v>25</v>
      </c>
      <c r="CT56" s="86">
        <f>SUMIFS($F56:$CI56,$F$6:$CI$6,CT$6,$F$2:$CI$2,$CL$4)</f>
        <v>46</v>
      </c>
      <c r="CU56" s="109">
        <f>IFERROR((CT56/CS56),0)</f>
        <v>1.84</v>
      </c>
      <c r="CV56" s="68">
        <f>IFERROR(I56+P56+W56+AD56+AK56+AR56+AY56+BF56+BM56+BT56+CA56+CH56,0)</f>
        <v>45</v>
      </c>
      <c r="CW56" s="297">
        <f>IF(CT56=0,"N.D.",CV56/CT56)</f>
        <v>0.97826086956521741</v>
      </c>
      <c r="CX56" s="350">
        <f>IFERROR(K56+R56+Y56+AF56+AM56+AT56+BA56+BH56+BO56+BV56+CC56+CJ56,0)</f>
        <v>15</v>
      </c>
      <c r="CY56" s="149">
        <f t="shared" si="178"/>
        <v>0.6</v>
      </c>
      <c r="CZ56" s="54">
        <f t="shared" si="236"/>
        <v>12</v>
      </c>
      <c r="DA56" s="86">
        <f t="shared" si="236"/>
        <v>20</v>
      </c>
      <c r="DB56" s="109">
        <f t="shared" si="227"/>
        <v>1.6666666666666667</v>
      </c>
      <c r="DC56" s="68">
        <f>IFERROR(IF($CZ$5="Q1",I56+P56+W56,
IF($CZ$5="Q2",AD56+AK56++AR56,
IF($CZ$5="Q3",AY56+BF56+BM56,
IF($CZ$5="Q4",BT56+CA56+CH56,0)))),0)</f>
        <v>19</v>
      </c>
      <c r="DD56" s="297">
        <f>IF(DA56=0,"N.D.",DC56/DA56)</f>
        <v>0.95</v>
      </c>
      <c r="DE56" s="350">
        <f>IFERROR(IF($CZ$5="Q1",K56+R56+Y56,
IF($CZ$5="Q2",AF56+AM56+AT56,
IF($CZ$5="Q3",BA56+BH56+BO56,
IF($CZ$5="Q4",BV56+CC56+CJ56,0)))),0)</f>
        <v>6</v>
      </c>
      <c r="DF56" s="150">
        <f t="shared" si="228"/>
        <v>0.5</v>
      </c>
      <c r="DG56" s="54">
        <f>IF($DG$5="S 1",F56+M56+T56+AA56+AH56+AO56,
IF($DG$5="S 2",AV56+BC56+BJ56+BQ56+BX56+CE56,0))</f>
        <v>25</v>
      </c>
      <c r="DH56" s="86">
        <f>IF($DG$5="S 1",G56+N56+U56+AB56+AI56+AP56,
IF($DG$5="S 2",AW56+BD56+BK56+BR56+BY56+CF56,0))</f>
        <v>46</v>
      </c>
      <c r="DI56" s="109">
        <f t="shared" si="229"/>
        <v>1.84</v>
      </c>
      <c r="DJ56" s="68">
        <f>IFERROR(IF($DG$5="S 1",I56+P56+W56+AD56+AK56++AR56,
IF($DG$5="S 2",AY56+BF56+BM56+BT56+CA56+CH56,0)),0)</f>
        <v>45</v>
      </c>
      <c r="DK56" s="297">
        <f t="shared" si="230"/>
        <v>0.97826086956521741</v>
      </c>
      <c r="DL56" s="350">
        <f>IFERROR(IF($DG$5="S 1",K56+R56+Y56+AF56+AM56+AT56,
IF($DG$5="S 2",BA56+BH56+BO56+BV56+CC56+CJ56,0)),0)</f>
        <v>15</v>
      </c>
      <c r="DM56" s="150">
        <f t="shared" si="231"/>
        <v>0.6</v>
      </c>
      <c r="DN56" s="67">
        <f t="shared" si="237"/>
        <v>0</v>
      </c>
      <c r="DO56" s="266">
        <f t="shared" si="237"/>
        <v>0</v>
      </c>
      <c r="DP56" s="109">
        <f t="shared" si="232"/>
        <v>0</v>
      </c>
      <c r="DQ56" s="68">
        <f>IFERROR(IF($DN$5="S 1",I56+P56+W56+AD56+AK56++AR56,
IF($DN$5="S 2",AY56+BF56+BM56+BT56+CA56+CH56,0)),0)</f>
        <v>0</v>
      </c>
      <c r="DR56" s="297" t="str">
        <f t="shared" si="233"/>
        <v>N.D.</v>
      </c>
      <c r="DS56" s="350">
        <f>IFERROR(IF($DN$5="S 1",K56+R56+Y56+AF56+AM56+AT56,
IF($DN$5="S 2",BA56+BH56+BO56+BV56+CC56+CJ56,0)),0)</f>
        <v>0</v>
      </c>
      <c r="DT56" s="150">
        <f t="shared" si="234"/>
        <v>0</v>
      </c>
      <c r="DU56" s="53">
        <v>1</v>
      </c>
    </row>
    <row r="57" spans="1:134" s="53" customFormat="1" ht="16" customHeight="1" thickBot="1" x14ac:dyDescent="0.35">
      <c r="A57" s="53" t="e">
        <f>_xlfn.XLOOKUP(B57,'UC MINI 2026'!$B$5:$B$61,'UC MINI 2026'!$A$5:$A$61)</f>
        <v>#N/A</v>
      </c>
      <c r="B57" s="180" t="s">
        <v>54</v>
      </c>
      <c r="C57" s="62"/>
      <c r="D57" s="146"/>
      <c r="E57" s="80"/>
      <c r="F57" s="63">
        <f>SUM(F52:F56)</f>
        <v>50</v>
      </c>
      <c r="G57" s="63">
        <f>SUM(G52:G56)</f>
        <v>43</v>
      </c>
      <c r="H57" s="164">
        <f t="shared" si="54"/>
        <v>0.86</v>
      </c>
      <c r="I57" s="63">
        <f>SUM(I52:I56)</f>
        <v>41</v>
      </c>
      <c r="J57" s="164">
        <f t="shared" si="55"/>
        <v>0.95348837209302328</v>
      </c>
      <c r="K57" s="63">
        <f>SUM(K52:K56)</f>
        <v>8</v>
      </c>
      <c r="L57" s="301">
        <f t="shared" si="56"/>
        <v>0.16</v>
      </c>
      <c r="M57" s="63">
        <f>SUM(M52:M56)</f>
        <v>52</v>
      </c>
      <c r="N57" s="63">
        <f>SUM(N52:N56)</f>
        <v>36</v>
      </c>
      <c r="O57" s="164">
        <f t="shared" si="165"/>
        <v>0.69230769230769229</v>
      </c>
      <c r="P57" s="63">
        <f>SUM(P52:P56)</f>
        <v>32</v>
      </c>
      <c r="Q57" s="164">
        <f t="shared" si="188"/>
        <v>0.88888888888888884</v>
      </c>
      <c r="R57" s="63">
        <f>SUM(R52:R56)</f>
        <v>5</v>
      </c>
      <c r="S57" s="301">
        <f t="shared" si="189"/>
        <v>9.6153846153846159E-2</v>
      </c>
      <c r="T57" s="63">
        <f>SUM(T52:T56)</f>
        <v>53</v>
      </c>
      <c r="U57" s="63">
        <f>SUM(U52:U56)</f>
        <v>76</v>
      </c>
      <c r="V57" s="164">
        <f t="shared" si="166"/>
        <v>1.4339622641509433</v>
      </c>
      <c r="W57" s="63">
        <f>SUM(W52:W56)</f>
        <v>62</v>
      </c>
      <c r="X57" s="164">
        <f t="shared" si="190"/>
        <v>0.81578947368421051</v>
      </c>
      <c r="Y57" s="63">
        <f>SUM(Y52:Y56)</f>
        <v>14</v>
      </c>
      <c r="Z57" s="301">
        <f t="shared" si="191"/>
        <v>0.26415094339622641</v>
      </c>
      <c r="AA57" s="63">
        <f>SUM(AA52:AA56)</f>
        <v>51</v>
      </c>
      <c r="AB57" s="63">
        <f>SUM(AB52:AB56)</f>
        <v>71</v>
      </c>
      <c r="AC57" s="164">
        <f t="shared" si="167"/>
        <v>1.392156862745098</v>
      </c>
      <c r="AD57" s="63">
        <f>SUM(AD52:AD56)</f>
        <v>67</v>
      </c>
      <c r="AE57" s="164">
        <f t="shared" si="192"/>
        <v>0.94366197183098588</v>
      </c>
      <c r="AF57" s="63">
        <f>SUM(AF52:AF56)</f>
        <v>16</v>
      </c>
      <c r="AG57" s="301">
        <f t="shared" si="193"/>
        <v>0.31372549019607843</v>
      </c>
      <c r="AH57" s="63">
        <f>SUM(AH52:AH56)</f>
        <v>53</v>
      </c>
      <c r="AI57" s="63">
        <f>SUM(AI52:AI56)</f>
        <v>68</v>
      </c>
      <c r="AJ57" s="164">
        <f t="shared" si="168"/>
        <v>1.2830188679245282</v>
      </c>
      <c r="AK57" s="63">
        <f>SUM(AK52:AK56)</f>
        <v>66</v>
      </c>
      <c r="AL57" s="164">
        <f t="shared" si="194"/>
        <v>0.97058823529411764</v>
      </c>
      <c r="AM57" s="63">
        <f>SUM(AM52:AM56)</f>
        <v>16</v>
      </c>
      <c r="AN57" s="301">
        <f t="shared" si="195"/>
        <v>0.30188679245283018</v>
      </c>
      <c r="AO57" s="63">
        <f>SUM(AO52:AO56)</f>
        <v>56</v>
      </c>
      <c r="AP57" s="63">
        <f>SUM(AP52:AP56)</f>
        <v>59</v>
      </c>
      <c r="AQ57" s="164">
        <f t="shared" si="169"/>
        <v>1.0535714285714286</v>
      </c>
      <c r="AR57" s="63">
        <f>SUM(AR52:AR56)</f>
        <v>55</v>
      </c>
      <c r="AS57" s="164">
        <f t="shared" si="196"/>
        <v>0.93220338983050843</v>
      </c>
      <c r="AT57" s="63">
        <f>SUM(AT52:AT56)</f>
        <v>11</v>
      </c>
      <c r="AU57" s="301">
        <f t="shared" si="197"/>
        <v>0.19642857142857142</v>
      </c>
      <c r="AV57" s="63">
        <f>SUM(AV52:AV56)</f>
        <v>8</v>
      </c>
      <c r="AW57" s="63">
        <f>SUM(AW52:AW56)</f>
        <v>0</v>
      </c>
      <c r="AX57" s="164">
        <f t="shared" si="170"/>
        <v>0</v>
      </c>
      <c r="AY57" s="63">
        <f>SUM(AY52:AY56)</f>
        <v>0</v>
      </c>
      <c r="AZ57" s="164">
        <f t="shared" si="198"/>
        <v>0</v>
      </c>
      <c r="BA57" s="63">
        <f>SUM(BA52:BA56)</f>
        <v>0</v>
      </c>
      <c r="BB57" s="301">
        <f t="shared" si="199"/>
        <v>0</v>
      </c>
      <c r="BC57" s="63">
        <f>SUM(BC52:BC56)</f>
        <v>4</v>
      </c>
      <c r="BD57" s="63">
        <f>SUM(BD52:BD56)</f>
        <v>0</v>
      </c>
      <c r="BE57" s="164">
        <f t="shared" si="171"/>
        <v>0</v>
      </c>
      <c r="BF57" s="63">
        <f>SUM(BF52:BF56)</f>
        <v>0</v>
      </c>
      <c r="BG57" s="164">
        <f t="shared" si="200"/>
        <v>0</v>
      </c>
      <c r="BH57" s="63">
        <f>SUM(BH52:BH56)</f>
        <v>0</v>
      </c>
      <c r="BI57" s="301">
        <f t="shared" si="201"/>
        <v>0</v>
      </c>
      <c r="BJ57" s="63">
        <f>SUM(BJ52:BJ56)</f>
        <v>8</v>
      </c>
      <c r="BK57" s="63">
        <f>SUM(BK52:BK56)</f>
        <v>0</v>
      </c>
      <c r="BL57" s="164">
        <f t="shared" si="172"/>
        <v>0</v>
      </c>
      <c r="BM57" s="63">
        <f>SUM(BM52:BM56)</f>
        <v>0</v>
      </c>
      <c r="BN57" s="164">
        <f t="shared" si="202"/>
        <v>0</v>
      </c>
      <c r="BO57" s="63">
        <f>SUM(BO52:BO56)</f>
        <v>0</v>
      </c>
      <c r="BP57" s="301">
        <f t="shared" si="203"/>
        <v>0</v>
      </c>
      <c r="BQ57" s="63">
        <f>SUM(BQ52:BQ56)</f>
        <v>8</v>
      </c>
      <c r="BR57" s="63">
        <f>SUM(BR52:BR56)</f>
        <v>0</v>
      </c>
      <c r="BS57" s="164">
        <f t="shared" si="173"/>
        <v>0</v>
      </c>
      <c r="BT57" s="63">
        <f>SUM(BT52:BT56)</f>
        <v>0</v>
      </c>
      <c r="BU57" s="164">
        <f t="shared" si="204"/>
        <v>0</v>
      </c>
      <c r="BV57" s="63">
        <f>SUM(BV52:BV56)</f>
        <v>0</v>
      </c>
      <c r="BW57" s="301">
        <f t="shared" si="205"/>
        <v>0</v>
      </c>
      <c r="BX57" s="63">
        <f>SUM(BX52:BX56)</f>
        <v>8</v>
      </c>
      <c r="BY57" s="63">
        <f>SUM(BY52:BY56)</f>
        <v>0</v>
      </c>
      <c r="BZ57" s="164">
        <f t="shared" si="174"/>
        <v>0</v>
      </c>
      <c r="CA57" s="63">
        <f>SUM(CA52:CA56)</f>
        <v>0</v>
      </c>
      <c r="CB57" s="164">
        <f t="shared" si="206"/>
        <v>0</v>
      </c>
      <c r="CC57" s="63">
        <f>SUM(CC52:CC56)</f>
        <v>0</v>
      </c>
      <c r="CD57" s="301">
        <f t="shared" si="207"/>
        <v>0</v>
      </c>
      <c r="CE57" s="63">
        <f>SUM(CE52:CE56)</f>
        <v>8</v>
      </c>
      <c r="CF57" s="63">
        <f>SUM(CF52:CF56)</f>
        <v>0</v>
      </c>
      <c r="CG57" s="164">
        <f t="shared" si="175"/>
        <v>0</v>
      </c>
      <c r="CH57" s="63">
        <f>SUM(CH52:CH56)</f>
        <v>0</v>
      </c>
      <c r="CI57" s="164">
        <f t="shared" si="208"/>
        <v>0</v>
      </c>
      <c r="CJ57" s="63">
        <f>SUM(CJ52:CJ56)</f>
        <v>0</v>
      </c>
      <c r="CK57" s="301">
        <f t="shared" si="209"/>
        <v>0</v>
      </c>
      <c r="CL57" s="63">
        <f>SUM(CL52:CL56)</f>
        <v>315</v>
      </c>
      <c r="CM57" s="63">
        <f>SUM(CM52:CM56)</f>
        <v>353</v>
      </c>
      <c r="CN57" s="157">
        <f t="shared" si="176"/>
        <v>1.1206349206349207</v>
      </c>
      <c r="CO57" s="63">
        <f>SUM(CO52:CO56)</f>
        <v>323</v>
      </c>
      <c r="CP57" s="321">
        <f>IFERROR(CO57/CM57,0)</f>
        <v>0.91501416430594906</v>
      </c>
      <c r="CQ57" s="63">
        <f>SUM(CQ52:CQ56)</f>
        <v>70</v>
      </c>
      <c r="CR57" s="320">
        <f t="shared" si="177"/>
        <v>0.22222222222222221</v>
      </c>
      <c r="CS57" s="63">
        <f>SUM(CS52:CS56)</f>
        <v>359</v>
      </c>
      <c r="CT57" s="63">
        <f>SUM(CT52:CT56)</f>
        <v>353</v>
      </c>
      <c r="CU57" s="157">
        <f t="shared" si="52"/>
        <v>0.98328690807799446</v>
      </c>
      <c r="CV57" s="63">
        <f>SUM(CV52:CV56)</f>
        <v>323</v>
      </c>
      <c r="CW57" s="321">
        <f>IFERROR((CV57/CT57),0)</f>
        <v>0.91501416430594906</v>
      </c>
      <c r="CX57" s="349">
        <f>K57+R57+Y57+AF57+AM57+AT57+BA57+BH57+BO57+BV57+CC57+CJ57</f>
        <v>70</v>
      </c>
      <c r="CY57" s="320">
        <f t="shared" si="178"/>
        <v>0.19498607242339833</v>
      </c>
      <c r="CZ57" s="63">
        <f ca="1">SUM(CZ46:CZ56)</f>
        <v>688</v>
      </c>
      <c r="DA57" s="65" t="e">
        <f ca="1">SUM(DA46:DA56)</f>
        <v>#N/A</v>
      </c>
      <c r="DB57" s="157">
        <f t="shared" ca="1" si="227"/>
        <v>0.51744186046511631</v>
      </c>
      <c r="DC57" s="65">
        <f ca="1">SUM(DC46:DC56)</f>
        <v>184</v>
      </c>
      <c r="DD57" s="321">
        <f ca="1">IFERROR(DC57/DA57,0)</f>
        <v>0.5168539325842697</v>
      </c>
      <c r="DE57" s="349">
        <f>IF($CZ$5="Q1",K57+R57+Y57,
IF($CZ$5="Q2",AF57+AM57+AT57,
IF($CZ$5="Q3",BA57+BH57+BO57,
IF($CZ$5="Q4",BV57+CC57+CJ57,0))))</f>
        <v>27</v>
      </c>
      <c r="DF57" s="333">
        <f t="shared" ca="1" si="228"/>
        <v>0.12354651162790697</v>
      </c>
      <c r="DG57" s="63">
        <f t="shared" si="89"/>
        <v>315</v>
      </c>
      <c r="DH57" s="65">
        <f t="shared" si="89"/>
        <v>353</v>
      </c>
      <c r="DI57" s="157">
        <f t="shared" si="229"/>
        <v>1.1206349206349207</v>
      </c>
      <c r="DJ57" s="65">
        <f>IF($DG$5="S 1",I57+P57+W57+AD57+AK57++AR57,
IF($DG$5="S 2",AY57+BF57+BM57+BT57+CA57+CH57,0))</f>
        <v>323</v>
      </c>
      <c r="DK57" s="321">
        <f t="shared" si="230"/>
        <v>0.91501416430594906</v>
      </c>
      <c r="DL57" s="349">
        <f>IF($DG$5="S 1",K57+R57+Y57+AF57+AM57+AT57,
IF($DG$5="S 2",BA57+BH57+BO57+BV57+CC57+CJ57,0))</f>
        <v>70</v>
      </c>
      <c r="DM57" s="333">
        <f t="shared" si="231"/>
        <v>0.22222222222222221</v>
      </c>
      <c r="DN57" s="63">
        <f ca="1">IFERROR(SUM(DN46:DN56),0)</f>
        <v>0</v>
      </c>
      <c r="DO57" s="64">
        <f ca="1">IFERROR(SUM(DO46:DO56),0)</f>
        <v>0</v>
      </c>
      <c r="DP57" s="157">
        <f t="shared" ca="1" si="232"/>
        <v>0</v>
      </c>
      <c r="DQ57" s="65">
        <f ca="1">IFERROR(SUM(DQ46:DQ56),0)</f>
        <v>0</v>
      </c>
      <c r="DR57" s="321" t="str">
        <f t="shared" ca="1" si="233"/>
        <v>N.D.</v>
      </c>
      <c r="DS57" s="349">
        <f ca="1">IFERROR(SUM(DS46:DS56),0)</f>
        <v>0</v>
      </c>
      <c r="DT57" s="333">
        <f t="shared" ca="1" si="234"/>
        <v>0</v>
      </c>
      <c r="DU57" s="53">
        <v>0</v>
      </c>
      <c r="DZ57" s="513"/>
      <c r="EB57" s="513"/>
      <c r="ED57" s="513"/>
    </row>
    <row r="58" spans="1:134" s="53" customFormat="1" ht="16" customHeight="1" x14ac:dyDescent="0.3">
      <c r="A58" s="53">
        <f>_xlfn.XLOOKUP(B58,'UC MINI 2026'!$B$5:$B$61,'UC MINI 2026'!$A$5:$A$61)</f>
        <v>10</v>
      </c>
      <c r="B58" s="179">
        <v>100344</v>
      </c>
      <c r="C58" s="381" t="s">
        <v>25</v>
      </c>
      <c r="D58" s="146"/>
      <c r="E58" s="309" t="s">
        <v>203</v>
      </c>
      <c r="F58" s="54">
        <f>SUMIF('UC MINI 2026'!$B$5:$B$71,'UC MINI 2026 MINI NEXT'!$B58,'UC MINI 2026'!$F$5:$F$71)</f>
        <v>7</v>
      </c>
      <c r="G58" s="86">
        <f>SUMIF('UC MINI 2026'!$B$5:$B$71,'UC MINI 2026 MINI NEXT'!$B58,'UC MINI 2026'!$G$5:$G$71)</f>
        <v>5</v>
      </c>
      <c r="H58" s="296">
        <f t="shared" si="54"/>
        <v>0.7142857142857143</v>
      </c>
      <c r="I58" s="86">
        <f>IFERROR(VLOOKUP(B58,[2]BPS!$S$10:$AF$64,3,0),0)-IF(B58=100873,IFERROR(VLOOKUP("Enero",[2]BPS!$S$74:$T$89,2,0),0),0)</f>
        <v>3</v>
      </c>
      <c r="J58" s="296">
        <f t="shared" si="55"/>
        <v>0.6</v>
      </c>
      <c r="K58" s="86">
        <f>IFERROR(VLOOKUP(B58,'[2]RETAIL ORIGEN RMKT'!$S$11:$AF$62,3,0),0)</f>
        <v>0</v>
      </c>
      <c r="L58" s="147">
        <f t="shared" si="56"/>
        <v>0</v>
      </c>
      <c r="M58" s="79">
        <f>SUMIF('UC MINI 2026'!$B$5:$B$61,'UC MINI 2026 MINI NEXT'!$B58,'UC MINI 2026'!$H$5:$H$61)</f>
        <v>7</v>
      </c>
      <c r="N58" s="86">
        <f>SUMIF('UC MINI 2026'!$B$5:$B$61,'UC MINI 2026 MINI NEXT'!$B58,'UC MINI 2026'!$I$5:$I$61)</f>
        <v>12</v>
      </c>
      <c r="O58" s="296">
        <f t="shared" si="165"/>
        <v>1.7142857142857142</v>
      </c>
      <c r="P58" s="86">
        <f>IFERROR(VLOOKUP(B58,[2]BPS!$S$10:$AF$64,4,0),0)-IF(B58=100873,IFERROR(VLOOKUP("FEBRERO",[2]BPS!$S$74:$T$89,2,0),0),0)</f>
        <v>11</v>
      </c>
      <c r="Q58" s="296">
        <f t="shared" si="188"/>
        <v>0.91666666666666663</v>
      </c>
      <c r="R58" s="86">
        <f>IFERROR(VLOOKUP(B58,'[2]RETAIL ORIGEN RMKT'!$S$11:$AF$62,4,0),0)</f>
        <v>3</v>
      </c>
      <c r="S58" s="147">
        <f t="shared" si="189"/>
        <v>0.42857142857142855</v>
      </c>
      <c r="T58" s="148">
        <f>SUMIF('UC MINI 2026'!$B$5:$B$71,'UC MINI 2026 MINI NEXT'!$B58,'UC MINI 2026'!$J$5:$J$71)</f>
        <v>7</v>
      </c>
      <c r="U58" s="86">
        <f>SUMIF('UC MINI 2026'!$B$10:$B$61,'UC MINI 2026 MINI NEXT'!$B58,'UC MINI 2026'!$K$10:$K$61)</f>
        <v>7</v>
      </c>
      <c r="V58" s="296">
        <f t="shared" si="166"/>
        <v>1</v>
      </c>
      <c r="W58" s="86">
        <f>IFERROR(VLOOKUP(B58,[2]BPS!$S$10:$AF$64,5,0),0)-IF(B58=100873,IFERROR(VLOOKUP("MARZO",[2]BPS!$S$74:$T$89,2,0),0),0)</f>
        <v>6</v>
      </c>
      <c r="X58" s="296">
        <f t="shared" si="190"/>
        <v>0.8571428571428571</v>
      </c>
      <c r="Y58" s="86">
        <f>IFERROR(VLOOKUP(B58,'[2]RETAIL ORIGEN RMKT'!$S$11:$AF$62,5,0),0)</f>
        <v>0</v>
      </c>
      <c r="Z58" s="147">
        <f t="shared" si="191"/>
        <v>0</v>
      </c>
      <c r="AA58" s="148">
        <f>SUMIF('UC MINI 2026'!$B$5:$B$61,'UC MINI 2026 MINI NEXT'!$B58,'UC MINI 2026'!$L$5:$L$61)</f>
        <v>8</v>
      </c>
      <c r="AB58" s="86">
        <f>SUMIF('UC MINI 2026'!$B$5:$B$61,'UC MINI 2026 MINI NEXT'!$B58,'UC MINI 2026'!$M$5:$M$61)</f>
        <v>5</v>
      </c>
      <c r="AC58" s="296">
        <f t="shared" si="167"/>
        <v>0.625</v>
      </c>
      <c r="AD58" s="86">
        <f>IFERROR(VLOOKUP(B58,[2]BPS!$S$10:$AF$64,6,0),0)-IF(B58=100873,IFERROR(VLOOKUP("ABRIL",[2]BPS!$S$74:$T$89,2,0),0),0)</f>
        <v>5</v>
      </c>
      <c r="AE58" s="285">
        <f t="shared" si="192"/>
        <v>1</v>
      </c>
      <c r="AF58" s="86">
        <f>IFERROR(VLOOKUP(B58,'[2]RETAIL ORIGEN RMKT'!$S$11:$AF$62,6,0),0)</f>
        <v>1</v>
      </c>
      <c r="AG58" s="147">
        <f t="shared" si="193"/>
        <v>0.125</v>
      </c>
      <c r="AH58" s="148">
        <f>SUMIF('UC MINI 2026'!$B$5:$B$61,'UC MINI 2026 MINI NEXT'!$B58,'UC MINI 2026'!$N$5:$N$61)</f>
        <v>8</v>
      </c>
      <c r="AI58" s="86">
        <f>SUMIF('UC MINI 2026'!$B$5:$B$61,'UC MINI 2026 MINI NEXT'!$B58,'UC MINI 2026'!$O$5:$O$61)</f>
        <v>8</v>
      </c>
      <c r="AJ58" s="296">
        <f t="shared" si="168"/>
        <v>1</v>
      </c>
      <c r="AK58" s="86">
        <f>IFERROR(VLOOKUP(B58,[2]BPS!$S$10:$AF$64,7,0),0)-IF(B58=100873,IFERROR(VLOOKUP("MAYO",[2]BPS!$S$74:$T$89,2,0),0),0)</f>
        <v>8</v>
      </c>
      <c r="AL58" s="285">
        <f t="shared" si="194"/>
        <v>1</v>
      </c>
      <c r="AM58" s="86">
        <f>IFERROR(VLOOKUP(B58,'[2]RETAIL ORIGEN RMKT'!$S$11:$AF$62,7,0),0)</f>
        <v>3</v>
      </c>
      <c r="AN58" s="147">
        <f t="shared" si="195"/>
        <v>0.375</v>
      </c>
      <c r="AO58" s="148">
        <f>SUMIF('UC MINI 2026'!$B$5:$B$61,'UC MINI 2026 MINI NEXT'!$B58,'UC MINI 2026'!$P$5:$P$61)</f>
        <v>8</v>
      </c>
      <c r="AP58" s="86">
        <f>SUMIF('UC MINI 2026'!$B$5:$B$61,'UC MINI 2026 MINI NEXT'!$B58,'UC MINI 2026'!$Q$5:$Q$61)</f>
        <v>13</v>
      </c>
      <c r="AQ58" s="296">
        <f t="shared" si="169"/>
        <v>1.625</v>
      </c>
      <c r="AR58" s="86">
        <f>IFERROR(VLOOKUP(B58,[2]BPS!$S$10:$AF$64,8,0),0)-IF(B58=100873,IFERROR(VLOOKUP("JUNIO",[2]BPS!$S$74:$T$89,2,0),0),0)</f>
        <v>13</v>
      </c>
      <c r="AS58" s="285">
        <f t="shared" si="196"/>
        <v>1</v>
      </c>
      <c r="AT58" s="86">
        <f>IFERROR(VLOOKUP(B58,'[2]RETAIL ORIGEN RMKT'!$S$11:$AF$62,8,0),0)</f>
        <v>1</v>
      </c>
      <c r="AU58" s="147">
        <f t="shared" si="197"/>
        <v>0.125</v>
      </c>
      <c r="AV58" s="148">
        <f>SUMIF('UC MINI 2026'!$B$5:$B$61,'UC MINI 2026 MINI NEXT'!$B58,'UC MINI 2026'!$R$5:$R$61)</f>
        <v>0</v>
      </c>
      <c r="AW58" s="86">
        <f>SUMIF('UC MINI 2026'!$B$5:$B$61,'UC MINI 2026 MINI NEXT'!$B58,'UC MINI 2026'!$S$5:$S$61)</f>
        <v>0</v>
      </c>
      <c r="AX58" s="296">
        <f t="shared" si="170"/>
        <v>0</v>
      </c>
      <c r="AY58" s="86">
        <f>IFERROR(VLOOKUP(B58,[2]BPS!$S$10:$AF$64,9,0),0)-IF(B58=100873,IFERROR(VLOOKUP("JULIO",[2]BPS!$S$74:$T$89,2,0),0),0)</f>
        <v>0</v>
      </c>
      <c r="AZ58" s="285">
        <f t="shared" si="198"/>
        <v>0</v>
      </c>
      <c r="BA58" s="86">
        <f>IFERROR(VLOOKUP(I58,'[2]RETAIL ORIGEN RMKT'!$S$11:$AF$62,9,0),0)</f>
        <v>0</v>
      </c>
      <c r="BB58" s="147">
        <f t="shared" si="199"/>
        <v>0</v>
      </c>
      <c r="BC58" s="148">
        <f>SUMIF('UC MINI 2026'!$B$5:$B$61,'UC MINI 2026 MINI NEXT'!$B58,'UC MINI 2026'!$T$5:$T$61)</f>
        <v>0</v>
      </c>
      <c r="BD58" s="86">
        <f>SUMIF('UC MINI 2026'!$B$5:$B$61,'UC MINI 2026 MINI NEXT'!$B58,'UC MINI 2026'!$U$5:$U$61)</f>
        <v>0</v>
      </c>
      <c r="BE58" s="296">
        <f t="shared" si="171"/>
        <v>0</v>
      </c>
      <c r="BF58" s="86">
        <f>IFERROR(VLOOKUP(B58,[2]BPS!$S$10:$AF$64,10,0),0)-IF(B58=100873,IFERROR(VLOOKUP("AGOSTO",[2]BPS!$S$74:$T$89,2,0),0),0)</f>
        <v>0</v>
      </c>
      <c r="BG58" s="285">
        <f t="shared" si="200"/>
        <v>0</v>
      </c>
      <c r="BH58" s="86">
        <f>IFERROR(VLOOKUP(P58,'[2]RETAIL ORIGEN RMKT'!$S$11:$AF$62,10,0),0)</f>
        <v>0</v>
      </c>
      <c r="BI58" s="147">
        <f t="shared" si="201"/>
        <v>0</v>
      </c>
      <c r="BJ58" s="148">
        <f>SUMIF('UC MINI 2026'!$B$5:$B$61,'UC MINI 2026 MINI NEXT'!$B58,'UC MINI 2026'!$V$5:$V$61)</f>
        <v>0</v>
      </c>
      <c r="BK58" s="86">
        <f>SUMIF('UC MINI 2026'!$B$5:$B$61,'UC MINI 2026 MINI NEXT'!$B58,'UC MINI 2026'!$W$5:$W$61)</f>
        <v>0</v>
      </c>
      <c r="BL58" s="296">
        <f t="shared" si="172"/>
        <v>0</v>
      </c>
      <c r="BM58" s="86">
        <f>IFERROR(VLOOKUP(B58,[2]BPS!$S$10:$AF$64,11,0),0)-IF(B58=100873,IFERROR(VLOOKUP("SEPTIEMBRE",[2]BPS!$S$74:$T$89,2,0),0),0)</f>
        <v>0</v>
      </c>
      <c r="BN58" s="285">
        <f t="shared" si="202"/>
        <v>0</v>
      </c>
      <c r="BO58" s="86">
        <f>IFERROR(VLOOKUP(W58,'[2]RETAIL ORIGEN RMKT'!$S$11:$AF$62,11,0),0)</f>
        <v>0</v>
      </c>
      <c r="BP58" s="147">
        <f t="shared" si="203"/>
        <v>0</v>
      </c>
      <c r="BQ58" s="148">
        <f>SUMIF('UC MINI 2026'!$B$5:$B$61,'UC MINI 2026 MINI NEXT'!$B58,'UC MINI 2026'!$V$5:$V$61)</f>
        <v>0</v>
      </c>
      <c r="BR58" s="86">
        <f>SUMIF('UC MINI 2026'!$B$5:$B$61,'UC MINI 2026 MINI NEXT'!$B58,'UC MINI 2026'!$Y$5:$Y$61)</f>
        <v>0</v>
      </c>
      <c r="BS58" s="296">
        <f t="shared" si="173"/>
        <v>0</v>
      </c>
      <c r="BT58" s="86">
        <f>IFERROR(VLOOKUP(B58,[2]BPS!$S$10:$AF$64,12,0),0)-IF(B58=100873,IFERROR(VLOOKUP("OCTUBRE",[2]BPS!$S$74:$T$89,2,0),0),0)</f>
        <v>0</v>
      </c>
      <c r="BU58" s="285">
        <f t="shared" si="204"/>
        <v>0</v>
      </c>
      <c r="BV58" s="86">
        <f>IFERROR(VLOOKUP(AD58,'[2]RETAIL ORIGEN RMKT'!$S$11:$AF$62,12,0),0)</f>
        <v>0</v>
      </c>
      <c r="BW58" s="147">
        <f t="shared" si="205"/>
        <v>0</v>
      </c>
      <c r="BX58" s="148">
        <f>SUMIF('UC MINI 2026'!$B$5:$B$61,'UC MINI 2026 MINI NEXT'!$B58,'UC MINI 2026'!$V$5:$V$61)</f>
        <v>0</v>
      </c>
      <c r="BY58" s="86">
        <f>SUMIF('UC MINI 2026'!$B$5:$B$61,'UC MINI 2026 MINI NEXT'!$B58,'UC MINI 2026'!$AA$5:$AA$61)</f>
        <v>0</v>
      </c>
      <c r="BZ58" s="296">
        <f t="shared" si="174"/>
        <v>0</v>
      </c>
      <c r="CA58" s="86">
        <f>IFERROR(VLOOKUP(B58,[2]BPS!$S$10:$AF$64,13,0),0)-IF(B58=100873,IFERROR(VLOOKUP("NOVIEMBRE",[2]BPS!$S$74:$T$89,2,0),0),0)</f>
        <v>0</v>
      </c>
      <c r="CB58" s="285">
        <f t="shared" si="206"/>
        <v>0</v>
      </c>
      <c r="CC58" s="86">
        <f>IFERROR(VLOOKUP(AK58,'[2]RETAIL ORIGEN RMKT'!$S$11:$AF$62,13,0),0)</f>
        <v>0</v>
      </c>
      <c r="CD58" s="147">
        <f t="shared" si="207"/>
        <v>0</v>
      </c>
      <c r="CE58" s="148">
        <f>SUMIF('UC MINI 2026'!$B$5:$B$61,'UC MINI 2026 MINI NEXT'!$B58,'UC MINI 2026'!$V$5:$V$61)</f>
        <v>0</v>
      </c>
      <c r="CF58" s="86">
        <f>SUMIF('UC MINI 2026'!$B$5:$B$61,'UC MINI 2026 MINI NEXT'!$B58,'UC MINI 2026'!$AC$5:$AC$61)</f>
        <v>0</v>
      </c>
      <c r="CG58" s="296">
        <f t="shared" si="175"/>
        <v>0</v>
      </c>
      <c r="CH58" s="86">
        <f>IFERROR(VLOOKUP(B58,[2]BPS!$S$10:$AF$64,14,0),0)-IF(B58=100873,IFERROR(VLOOKUP("DICIEMBRE",[2]BPS!$S$74:$T$89,2,0),0),0)</f>
        <v>0</v>
      </c>
      <c r="CI58" s="285">
        <f t="shared" si="208"/>
        <v>0</v>
      </c>
      <c r="CJ58" s="86">
        <f>IFERROR(VLOOKUP(AR58,'[2]RETAIL ORIGEN RMKT'!$S$11:$AF$62,14,0),0)</f>
        <v>0</v>
      </c>
      <c r="CK58" s="147">
        <f t="shared" si="209"/>
        <v>0</v>
      </c>
      <c r="CL58" s="67">
        <f t="shared" ref="CL58:CM63" si="238">IF($CL$4="ENERO",F58,IF($CL$4="FEBRERO",F58+M58,IF($CL$4="MARZO",F58+M58+T58,IF($CL$4="ABRIL",F58+M58+T58+AA58,IF($CL$4="MAYO",F58+M58+T58+AA58+AH58,IF($CL$4="JUNIO",F58+M58+T58+AA58+AH58+AO58,IF($CL$4="JULIO",F58+M58+T58+AA58+AH58+AO58+AV58,IF($CL$4="AGOSTO",F58+M58+T58+AA58+AH58+AO58+AV58+BC58,IF($CL$4="SEPTIEMBRE",F58+M58+T58+AA58+AH58+AO58+AV58+BC58+BJ58,IF($CL$4="OCTUBRE",F58+M58+T58+AA58+AH58+AO58+AV58+BC58+BJ58+BQ58,IF($CL$4="NOVIEMBRE",F58+M58+T58+AA58+AH58+AO58+AV58+BC58+BJ58+BQ58+BX58,IF($CL$4="DICIEMBRE",F58+M58+T58+AA58+AH58+AO58+AV58+BC58+BJ58+BQ58+BX58+CE58,""))))))))))))</f>
        <v>45</v>
      </c>
      <c r="CM58" s="68">
        <f t="shared" si="238"/>
        <v>50</v>
      </c>
      <c r="CN58" s="116">
        <f t="shared" si="176"/>
        <v>1.1111111111111112</v>
      </c>
      <c r="CO58" s="68">
        <f t="shared" ref="CO58:CO63" si="239">IFERROR(IF($CL$4="ENERO",I58,IF($CL$4="FEBRERO",I58+P58,IF($CL$4="MARZO",I58+P58+W58,IF($CL$4="ABRIL",I58+P58+W58+AD58,IF($CL$4="MAYO",I58+P58+W58+AD58+AK58,IF($CL$4="JUNIO",I58+P58+W58+AD58+AK58+AR58,IF($CL$4="JULIO",I58+P58+W58+AD58+AK58+AR58+AY58,IF($CL$4="AGOSTO",I58+P58+W58+AD58+AK58+AR58+AY58+BF58,IF($CL$4="SEPTIEMBRE",I58+P58+W58+AD58+AK58+AR58+AY58+BF58+BM58,IF($CL$4="OCTUBRE",I58+P58+W58+AD58+AK58+AR58+AY58+BF58+BM58+BT58,IF($CL$4="NOVIEMBRE",I58+P58+W58+AD58+AK58+AR58+AY58+BF58+BM58+BT58+CA58,IF($CL$4="DICIEMBRE",I58+P58+W58+AD58+AK58+AR58+AY58+BF58+BM58+BT58+CA58+CH58,"")))))))))))),0)</f>
        <v>46</v>
      </c>
      <c r="CP58" s="297">
        <f t="shared" ref="CP58:CP63" si="240">IFERROR(IF(CM58=0,"N.D.",CO58/CM58),0)</f>
        <v>0.92</v>
      </c>
      <c r="CQ58" s="350">
        <f t="shared" ref="CQ58:CQ63" si="241">IFERROR(IF($CL$4="ENERO",K58,
IF($CL$4="FEBRERO",K58+R58,
IF($CL$4="MARZO",K58+R58+Y58,
IF($CL$4="ABRIL",K58+R58+Y58+AF58,
IF($CL$4="MAYO",K58+R58+Y58+AF58+AM58,
IF($CL$4="JUNIO",K58+R58+Y58+AF58+AM58+AT58,
IF($CL$4="JULIO",K58+R58+Y58+AF58+AM58+AT58+BA58,
IF($CL$4="AGOSTO",K58+R58+Y58+AF58+AM58+AT58+BA58+BH58,
IF($CL$4="SEPTIEMBRE",K58+R58+Y58+AF58+AM58+AT58+BA58+BH58+BO58,
IF($CL$4="OCTUBRE",K58+R58+Y58+AF58+AM58+AT58+BA58+BH58+BO58+BV58,
IF($CL$4="NOVIEMBRE",K58+R58+Y58+AF58+AM58+AT58+BA58+BH58+BO58+BV58+CC58,
IF($CL$4="DICIEMBRE",K58+R58+Y58+AF58+AM58+AT58+BA58+BH58+BO58+BV58+CC58+CJ58,"")))))))))))),0)</f>
        <v>8</v>
      </c>
      <c r="CR58" s="161">
        <f t="shared" si="177"/>
        <v>0.17777777777777778</v>
      </c>
      <c r="CS58" s="67">
        <f t="shared" ref="CS58:CS63" si="242">+F58+M58+T58+AA58+AH58+AO58++AV58+BC58+BJ58+BQ58+BX58+CE58</f>
        <v>45</v>
      </c>
      <c r="CT58" s="68">
        <f t="shared" ref="CT58:CT65" si="243">SUMIFS($F58:$CI58,$F$6:$CI$6,CT$6,$F$2:$CI$2,$CL$4)</f>
        <v>50</v>
      </c>
      <c r="CU58" s="116">
        <f t="shared" si="52"/>
        <v>1.1111111111111112</v>
      </c>
      <c r="CV58" s="68">
        <f t="shared" ref="CV58:CV63" si="244">IFERROR(I58+P58+W58+AD58+AK58+AR58+AY58+BF58+BM58+BT58+CA58+CH58,0)</f>
        <v>46</v>
      </c>
      <c r="CW58" s="297">
        <f t="shared" ref="CW58:CW64" si="245">IF(CT58=0,"N.D.",CV58/CT58)</f>
        <v>0.92</v>
      </c>
      <c r="CX58" s="350">
        <f t="shared" ref="CX58:CX63" si="246">IFERROR(K58+R58+Y58+AF58+AM58+AT58+BA58+BH58+BO58+BV58+CC58+CJ58,0)</f>
        <v>8</v>
      </c>
      <c r="CY58" s="161">
        <f t="shared" si="178"/>
        <v>0.17777777777777778</v>
      </c>
      <c r="CZ58" s="67">
        <f t="shared" ref="CZ58:DA63" si="247">IF($CZ$5="Q1",F58+M58+T58,
IF($CZ$5="Q2",AA58+AH58++AO58,
IF($CZ$5="Q3",AV58+BC58+BJ58,
IF($CZ$5="Q4",BQ58+BX58+CE58,0))))</f>
        <v>21</v>
      </c>
      <c r="DA58" s="68">
        <f t="shared" si="247"/>
        <v>24</v>
      </c>
      <c r="DB58" s="116">
        <f t="shared" si="227"/>
        <v>1.1428571428571428</v>
      </c>
      <c r="DC58" s="68">
        <f t="shared" ref="DC58:DC63" si="248">IFERROR(IF($CZ$5="Q1",I58+P58+W58,
IF($CZ$5="Q2",AD58+AK58++AR58,
IF($CZ$5="Q3",AY58+BF58+BM58,
IF($CZ$5="Q4",BT58+CA58+CH58,0)))),0)</f>
        <v>20</v>
      </c>
      <c r="DD58" s="297">
        <f t="shared" ref="DD58:DD66" si="249">IF(DA58=0,"N.D.",DC58/DA58)</f>
        <v>0.83333333333333337</v>
      </c>
      <c r="DE58" s="350">
        <f t="shared" ref="DE58:DE63" si="250">IFERROR(IF($CZ$5="Q1",K58+R58+Y58,
IF($CZ$5="Q2",AF58+AM58+AT58,
IF($CZ$5="Q3",BA58+BH58+BO58,
IF($CZ$5="Q4",BV58+CC58+CJ58,0)))),0)</f>
        <v>3</v>
      </c>
      <c r="DF58" s="162">
        <f t="shared" si="228"/>
        <v>0.14285714285714285</v>
      </c>
      <c r="DG58" s="67">
        <f t="shared" si="89"/>
        <v>45</v>
      </c>
      <c r="DH58" s="68">
        <f t="shared" si="89"/>
        <v>50</v>
      </c>
      <c r="DI58" s="116">
        <f t="shared" si="229"/>
        <v>1.1111111111111112</v>
      </c>
      <c r="DJ58" s="68">
        <f t="shared" ref="DJ58:DJ63" si="251">IFERROR(IF($DG$5="S 1",I58+P58+W58+AD58+AK58++AR58,
IF($DG$5="S 2",AY58+BF58+BM58+BT58+CA58+CH58,0)),0)</f>
        <v>46</v>
      </c>
      <c r="DK58" s="297">
        <f t="shared" si="230"/>
        <v>0.92</v>
      </c>
      <c r="DL58" s="350">
        <f t="shared" ref="DL58:DL63" si="252">IFERROR(IF($DG$5="S 1",K58+R58+Y58+AF58+AM58+AT58,
IF($DG$5="S 2",BA58+BH58+BO58+BV58+CC58+CJ58,0)),0)</f>
        <v>8</v>
      </c>
      <c r="DM58" s="162">
        <f t="shared" si="231"/>
        <v>0.17777777777777778</v>
      </c>
      <c r="DN58" s="67">
        <f t="shared" ref="DN58:DO63" si="253">IF($DN$5="S 1",F58+M58+T58+AA58+AH58+AO58,
IF($DN$5="S 2",AV58+BC58+BJ58+BQ58+BX58+CE58,0))</f>
        <v>0</v>
      </c>
      <c r="DO58" s="266">
        <f t="shared" si="253"/>
        <v>0</v>
      </c>
      <c r="DP58" s="116">
        <f t="shared" si="232"/>
        <v>0</v>
      </c>
      <c r="DQ58" s="68">
        <f t="shared" ref="DQ58:DQ63" si="254">IFERROR(IF($DN$5="S 1",I58+P58+W58+AD58+AK58++AR58,
IF($DN$5="S 2",AY58+BF58+BM58+BT58+CA58+CH58,0)),0)</f>
        <v>0</v>
      </c>
      <c r="DR58" s="297" t="str">
        <f t="shared" si="233"/>
        <v>N.D.</v>
      </c>
      <c r="DS58" s="350">
        <f t="shared" ref="DS58:DS63" si="255">IFERROR(IF($DN$5="S 1",K58+R58+Y58+AF58+AM58+AT58,
IF($DN$5="S 2",BA58+BH58+BO58+BV58+CC58+CJ58,0)),0)</f>
        <v>0</v>
      </c>
      <c r="DT58" s="162">
        <f t="shared" si="234"/>
        <v>0</v>
      </c>
      <c r="DU58" s="53">
        <v>1</v>
      </c>
      <c r="DZ58" s="513"/>
      <c r="EB58" s="513"/>
      <c r="ED58" s="513"/>
    </row>
    <row r="59" spans="1:134" s="53" customFormat="1" ht="16" customHeight="1" x14ac:dyDescent="0.3">
      <c r="A59" s="53">
        <f>_xlfn.XLOOKUP(B59,'UC MINI 2026'!$B$5:$B$61,'UC MINI 2026'!$A$5:$A$61)</f>
        <v>10</v>
      </c>
      <c r="B59" s="179">
        <v>100422</v>
      </c>
      <c r="C59" s="381" t="s">
        <v>20</v>
      </c>
      <c r="D59" s="146"/>
      <c r="E59" s="309" t="s">
        <v>203</v>
      </c>
      <c r="F59" s="54">
        <f>SUMIF('UC MINI 2026'!$B$5:$B$71,'UC MINI 2026 MINI NEXT'!$B59,'UC MINI 2026'!$F$5:$F$71)</f>
        <v>2</v>
      </c>
      <c r="G59" s="86">
        <f>SUMIF('UC MINI 2026'!$B$5:$B$71,'UC MINI 2026 MINI NEXT'!$B59,'UC MINI 2026'!$G$5:$G$71)</f>
        <v>6</v>
      </c>
      <c r="H59" s="297">
        <f t="shared" si="54"/>
        <v>3</v>
      </c>
      <c r="I59" s="86">
        <f>IFERROR(VLOOKUP(B59,[2]BPS!$S$10:$AF$64,3,0),0)-IF(B59=100873,IFERROR(VLOOKUP("Enero",[2]BPS!$S$74:$T$89,2,0),0),0)</f>
        <v>3</v>
      </c>
      <c r="J59" s="297">
        <f t="shared" si="55"/>
        <v>0.5</v>
      </c>
      <c r="K59" s="86">
        <f>IFERROR(VLOOKUP(B59,'[2]RETAIL ORIGEN RMKT'!$S$11:$AF$62,3,0),0)</f>
        <v>1</v>
      </c>
      <c r="L59" s="150">
        <f t="shared" si="56"/>
        <v>0.5</v>
      </c>
      <c r="M59" s="79">
        <f>SUMIF('UC MINI 2026'!$B$5:$B$61,'UC MINI 2026 MINI NEXT'!$B59,'UC MINI 2026'!$H$5:$H$61)</f>
        <v>3</v>
      </c>
      <c r="N59" s="86">
        <f>SUMIF('UC MINI 2026'!$B$5:$B$61,'UC MINI 2026 MINI NEXT'!$B59,'UC MINI 2026'!$I$5:$I$61)</f>
        <v>2</v>
      </c>
      <c r="O59" s="297">
        <f t="shared" si="165"/>
        <v>0.66666666666666663</v>
      </c>
      <c r="P59" s="86">
        <f>IFERROR(VLOOKUP(B59,[2]BPS!$S$10:$AF$64,4,0),0)-IF(B59=100873,IFERROR(VLOOKUP("FEBRERO",[2]BPS!$S$74:$T$89,2,0),0),0)</f>
        <v>2</v>
      </c>
      <c r="Q59" s="297">
        <f t="shared" si="188"/>
        <v>1</v>
      </c>
      <c r="R59" s="86">
        <f>IFERROR(VLOOKUP(B59,'[2]RETAIL ORIGEN RMKT'!$S$11:$AF$62,4,0),0)</f>
        <v>0</v>
      </c>
      <c r="S59" s="150">
        <f t="shared" si="189"/>
        <v>0</v>
      </c>
      <c r="T59" s="148">
        <f>SUMIF('UC MINI 2026'!$B$5:$B$71,'UC MINI 2026 MINI NEXT'!$B59,'UC MINI 2026'!$J$5:$J$71)</f>
        <v>3</v>
      </c>
      <c r="U59" s="86">
        <f>SUMIF('UC MINI 2026'!$B$10:$B$61,'UC MINI 2026 MINI NEXT'!$B59,'UC MINI 2026'!$K$10:$K$61)</f>
        <v>1</v>
      </c>
      <c r="V59" s="297">
        <f t="shared" si="166"/>
        <v>0.33333333333333331</v>
      </c>
      <c r="W59" s="86">
        <f>IFERROR(VLOOKUP(B59,[2]BPS!$S$10:$AF$64,5,0),0)-IF(B59=100873,IFERROR(VLOOKUP("MARZO",[2]BPS!$S$74:$T$89,2,0),0),0)</f>
        <v>1</v>
      </c>
      <c r="X59" s="297">
        <f t="shared" si="190"/>
        <v>1</v>
      </c>
      <c r="Y59" s="86">
        <f>IFERROR(VLOOKUP(B59,'[2]RETAIL ORIGEN RMKT'!$S$11:$AF$62,5,0),0)</f>
        <v>0</v>
      </c>
      <c r="Z59" s="150">
        <f t="shared" si="191"/>
        <v>0</v>
      </c>
      <c r="AA59" s="148">
        <f>SUMIF('UC MINI 2026'!$B$5:$B$61,'UC MINI 2026 MINI NEXT'!$B59,'UC MINI 2026'!$L$5:$L$61)</f>
        <v>3</v>
      </c>
      <c r="AB59" s="86">
        <f>SUMIF('UC MINI 2026'!$B$5:$B$61,'UC MINI 2026 MINI NEXT'!$B59,'UC MINI 2026'!$M$5:$M$61)</f>
        <v>2</v>
      </c>
      <c r="AC59" s="297">
        <f t="shared" si="167"/>
        <v>0.66666666666666663</v>
      </c>
      <c r="AD59" s="86">
        <f>IFERROR(VLOOKUP(B59,[2]BPS!$S$10:$AF$64,6,0),0)-IF(B59=100873,IFERROR(VLOOKUP("ABRIL",[2]BPS!$S$74:$T$89,2,0),0),0)</f>
        <v>1</v>
      </c>
      <c r="AE59" s="285">
        <f t="shared" si="192"/>
        <v>0.5</v>
      </c>
      <c r="AF59" s="86">
        <f>IFERROR(VLOOKUP(B59,'[2]RETAIL ORIGEN RMKT'!$S$11:$AF$62,6,0),0)</f>
        <v>0</v>
      </c>
      <c r="AG59" s="150">
        <f t="shared" si="193"/>
        <v>0</v>
      </c>
      <c r="AH59" s="148">
        <f>SUMIF('UC MINI 2026'!$B$5:$B$61,'UC MINI 2026 MINI NEXT'!$B59,'UC MINI 2026'!$N$5:$N$61)</f>
        <v>3</v>
      </c>
      <c r="AI59" s="86">
        <f>SUMIF('UC MINI 2026'!$B$5:$B$61,'UC MINI 2026 MINI NEXT'!$B59,'UC MINI 2026'!$O$5:$O$61)</f>
        <v>5</v>
      </c>
      <c r="AJ59" s="297">
        <f t="shared" si="168"/>
        <v>1.6666666666666667</v>
      </c>
      <c r="AK59" s="86">
        <f>IFERROR(VLOOKUP(B59,[2]BPS!$S$10:$AF$64,7,0),0)-IF(B59=100873,IFERROR(VLOOKUP("MAYO",[2]BPS!$S$74:$T$89,2,0),0),0)</f>
        <v>5</v>
      </c>
      <c r="AL59" s="285">
        <f t="shared" si="194"/>
        <v>1</v>
      </c>
      <c r="AM59" s="86">
        <f>IFERROR(VLOOKUP(B59,'[2]RETAIL ORIGEN RMKT'!$S$11:$AF$62,7,0),0)</f>
        <v>1</v>
      </c>
      <c r="AN59" s="150">
        <f t="shared" si="195"/>
        <v>0.33333333333333331</v>
      </c>
      <c r="AO59" s="148">
        <f>SUMIF('UC MINI 2026'!$B$5:$B$61,'UC MINI 2026 MINI NEXT'!$B59,'UC MINI 2026'!$P$5:$P$61)</f>
        <v>3</v>
      </c>
      <c r="AP59" s="86">
        <f>SUMIF('UC MINI 2026'!$B$5:$B$61,'UC MINI 2026 MINI NEXT'!$B59,'UC MINI 2026'!$Q$5:$Q$61)</f>
        <v>5</v>
      </c>
      <c r="AQ59" s="297">
        <f t="shared" si="169"/>
        <v>1.6666666666666667</v>
      </c>
      <c r="AR59" s="86">
        <f>IFERROR(VLOOKUP(B59,[2]BPS!$S$10:$AF$64,8,0),0)-IF(B59=100873,IFERROR(VLOOKUP("JUNIO",[2]BPS!$S$74:$T$89,2,0),0),0)</f>
        <v>3</v>
      </c>
      <c r="AS59" s="285">
        <f t="shared" si="196"/>
        <v>0.6</v>
      </c>
      <c r="AT59" s="86">
        <f>IFERROR(VLOOKUP(B59,'[2]RETAIL ORIGEN RMKT'!$S$11:$AF$62,8,0),0)</f>
        <v>0</v>
      </c>
      <c r="AU59" s="150">
        <f t="shared" si="197"/>
        <v>0</v>
      </c>
      <c r="AV59" s="148">
        <f>SUMIF('UC MINI 2026'!$B$5:$B$61,'UC MINI 2026 MINI NEXT'!$B59,'UC MINI 2026'!$R$5:$R$61)</f>
        <v>0</v>
      </c>
      <c r="AW59" s="86">
        <f>SUMIF('UC MINI 2026'!$B$5:$B$61,'UC MINI 2026 MINI NEXT'!$B59,'UC MINI 2026'!$S$5:$S$61)</f>
        <v>0</v>
      </c>
      <c r="AX59" s="297">
        <f t="shared" si="170"/>
        <v>0</v>
      </c>
      <c r="AY59" s="86">
        <f>IFERROR(VLOOKUP(B59,[2]BPS!$S$10:$AF$64,9,0),0)-IF(B59=100873,IFERROR(VLOOKUP("JULIO",[2]BPS!$S$74:$T$89,2,0),0),0)</f>
        <v>0</v>
      </c>
      <c r="AZ59" s="285">
        <f t="shared" si="198"/>
        <v>0</v>
      </c>
      <c r="BA59" s="86">
        <f>IFERROR(VLOOKUP(I59,'[2]RETAIL ORIGEN RMKT'!$S$11:$AF$62,9,0),0)</f>
        <v>0</v>
      </c>
      <c r="BB59" s="150">
        <f t="shared" si="199"/>
        <v>0</v>
      </c>
      <c r="BC59" s="148">
        <f>SUMIF('UC MINI 2026'!$B$5:$B$61,'UC MINI 2026 MINI NEXT'!$B59,'UC MINI 2026'!$T$5:$T$61)</f>
        <v>0</v>
      </c>
      <c r="BD59" s="86">
        <f>SUMIF('UC MINI 2026'!$B$5:$B$61,'UC MINI 2026 MINI NEXT'!$B59,'UC MINI 2026'!$U$5:$U$61)</f>
        <v>0</v>
      </c>
      <c r="BE59" s="297">
        <f t="shared" si="171"/>
        <v>0</v>
      </c>
      <c r="BF59" s="86">
        <f>IFERROR(VLOOKUP(B59,[2]BPS!$S$10:$AF$64,10,0),0)-IF(B59=100873,IFERROR(VLOOKUP("AGOSTO",[2]BPS!$S$74:$T$89,2,0),0),0)</f>
        <v>0</v>
      </c>
      <c r="BG59" s="285">
        <f t="shared" si="200"/>
        <v>0</v>
      </c>
      <c r="BH59" s="86">
        <f>IFERROR(VLOOKUP(P59,'[2]RETAIL ORIGEN RMKT'!$S$11:$AF$62,10,0),0)</f>
        <v>0</v>
      </c>
      <c r="BI59" s="150">
        <f t="shared" si="201"/>
        <v>0</v>
      </c>
      <c r="BJ59" s="148">
        <f>SUMIF('UC MINI 2026'!$B$5:$B$61,'UC MINI 2026 MINI NEXT'!$B59,'UC MINI 2026'!$V$5:$V$61)</f>
        <v>0</v>
      </c>
      <c r="BK59" s="86">
        <f>SUMIF('UC MINI 2026'!$B$5:$B$61,'UC MINI 2026 MINI NEXT'!$B59,'UC MINI 2026'!$W$5:$W$61)</f>
        <v>0</v>
      </c>
      <c r="BL59" s="297">
        <f t="shared" si="172"/>
        <v>0</v>
      </c>
      <c r="BM59" s="86">
        <f>IFERROR(VLOOKUP(B59,[2]BPS!$S$10:$AF$64,11,0),0)-IF(B59=100873,IFERROR(VLOOKUP("SEPTIEMBRE",[2]BPS!$S$74:$T$89,2,0),0),0)</f>
        <v>0</v>
      </c>
      <c r="BN59" s="285">
        <f t="shared" si="202"/>
        <v>0</v>
      </c>
      <c r="BO59" s="86">
        <f>IFERROR(VLOOKUP(W59,'[2]RETAIL ORIGEN RMKT'!$S$11:$AF$62,11,0),0)</f>
        <v>0</v>
      </c>
      <c r="BP59" s="150">
        <f t="shared" si="203"/>
        <v>0</v>
      </c>
      <c r="BQ59" s="148">
        <f>SUMIF('UC MINI 2026'!$B$5:$B$61,'UC MINI 2026 MINI NEXT'!$B59,'UC MINI 2026'!$V$5:$V$61)</f>
        <v>0</v>
      </c>
      <c r="BR59" s="86">
        <f>SUMIF('UC MINI 2026'!$B$5:$B$61,'UC MINI 2026 MINI NEXT'!$B59,'UC MINI 2026'!$Y$5:$Y$61)</f>
        <v>0</v>
      </c>
      <c r="BS59" s="297">
        <f t="shared" si="173"/>
        <v>0</v>
      </c>
      <c r="BT59" s="86">
        <f>IFERROR(VLOOKUP(B59,[2]BPS!$S$10:$AF$64,12,0),0)-IF(B59=100873,IFERROR(VLOOKUP("OCTUBRE",[2]BPS!$S$74:$T$89,2,0),0),0)</f>
        <v>0</v>
      </c>
      <c r="BU59" s="285">
        <f t="shared" si="204"/>
        <v>0</v>
      </c>
      <c r="BV59" s="86">
        <f>IFERROR(VLOOKUP(AD59,'[2]RETAIL ORIGEN RMKT'!$S$11:$AF$62,12,0),0)</f>
        <v>0</v>
      </c>
      <c r="BW59" s="150">
        <f t="shared" si="205"/>
        <v>0</v>
      </c>
      <c r="BX59" s="148">
        <f>SUMIF('UC MINI 2026'!$B$5:$B$61,'UC MINI 2026 MINI NEXT'!$B59,'UC MINI 2026'!$V$5:$V$61)</f>
        <v>0</v>
      </c>
      <c r="BY59" s="86">
        <f>SUMIF('UC MINI 2026'!$B$5:$B$61,'UC MINI 2026 MINI NEXT'!$B59,'UC MINI 2026'!$AA$5:$AA$61)</f>
        <v>0</v>
      </c>
      <c r="BZ59" s="297">
        <f t="shared" si="174"/>
        <v>0</v>
      </c>
      <c r="CA59" s="86">
        <f>IFERROR(VLOOKUP(B59,[2]BPS!$S$10:$AF$64,13,0),0)-IF(B59=100873,IFERROR(VLOOKUP("NOVIEMBRE",[2]BPS!$S$74:$T$89,2,0),0),0)</f>
        <v>0</v>
      </c>
      <c r="CB59" s="285">
        <f t="shared" si="206"/>
        <v>0</v>
      </c>
      <c r="CC59" s="86">
        <f>IFERROR(VLOOKUP(AK59,'[2]RETAIL ORIGEN RMKT'!$S$11:$AF$62,13,0),0)</f>
        <v>0</v>
      </c>
      <c r="CD59" s="150">
        <f t="shared" si="207"/>
        <v>0</v>
      </c>
      <c r="CE59" s="148">
        <f>SUMIF('UC MINI 2026'!$B$5:$B$61,'UC MINI 2026 MINI NEXT'!$B59,'UC MINI 2026'!$V$5:$V$61)</f>
        <v>0</v>
      </c>
      <c r="CF59" s="86">
        <f>SUMIF('UC MINI 2026'!$B$5:$B$61,'UC MINI 2026 MINI NEXT'!$B59,'UC MINI 2026'!$AC$5:$AC$61)</f>
        <v>0</v>
      </c>
      <c r="CG59" s="297">
        <f t="shared" si="175"/>
        <v>0</v>
      </c>
      <c r="CH59" s="86">
        <f>IFERROR(VLOOKUP(B59,[2]BPS!$S$10:$AF$64,14,0),0)-IF(B59=100873,IFERROR(VLOOKUP("DICIEMBRE",[2]BPS!$S$74:$T$89,2,0),0),0)</f>
        <v>0</v>
      </c>
      <c r="CI59" s="285">
        <f t="shared" si="208"/>
        <v>0</v>
      </c>
      <c r="CJ59" s="86">
        <f>IFERROR(VLOOKUP(AR59,'[2]RETAIL ORIGEN RMKT'!$S$11:$AF$62,14,0),0)</f>
        <v>0</v>
      </c>
      <c r="CK59" s="150">
        <f t="shared" si="209"/>
        <v>0</v>
      </c>
      <c r="CL59" s="54">
        <f t="shared" si="238"/>
        <v>17</v>
      </c>
      <c r="CM59" s="86">
        <f t="shared" si="238"/>
        <v>21</v>
      </c>
      <c r="CN59" s="109">
        <f t="shared" si="176"/>
        <v>1.2352941176470589</v>
      </c>
      <c r="CO59" s="86">
        <f t="shared" si="239"/>
        <v>15</v>
      </c>
      <c r="CP59" s="297">
        <f t="shared" si="240"/>
        <v>0.7142857142857143</v>
      </c>
      <c r="CQ59" s="348">
        <f t="shared" si="241"/>
        <v>2</v>
      </c>
      <c r="CR59" s="149">
        <f t="shared" si="177"/>
        <v>0.11764705882352941</v>
      </c>
      <c r="CS59" s="54">
        <f t="shared" si="242"/>
        <v>17</v>
      </c>
      <c r="CT59" s="86">
        <f t="shared" si="243"/>
        <v>21</v>
      </c>
      <c r="CU59" s="109">
        <f t="shared" si="52"/>
        <v>1.2352941176470589</v>
      </c>
      <c r="CV59" s="68">
        <f t="shared" si="244"/>
        <v>15</v>
      </c>
      <c r="CW59" s="297">
        <f t="shared" si="245"/>
        <v>0.7142857142857143</v>
      </c>
      <c r="CX59" s="350">
        <f t="shared" si="246"/>
        <v>2</v>
      </c>
      <c r="CY59" s="149">
        <f t="shared" si="178"/>
        <v>0.11764705882352941</v>
      </c>
      <c r="CZ59" s="54">
        <f t="shared" si="247"/>
        <v>8</v>
      </c>
      <c r="DA59" s="86">
        <f t="shared" si="247"/>
        <v>9</v>
      </c>
      <c r="DB59" s="109">
        <f t="shared" si="227"/>
        <v>1.125</v>
      </c>
      <c r="DC59" s="68">
        <f t="shared" si="248"/>
        <v>6</v>
      </c>
      <c r="DD59" s="297">
        <f t="shared" si="249"/>
        <v>0.66666666666666663</v>
      </c>
      <c r="DE59" s="350">
        <f t="shared" si="250"/>
        <v>1</v>
      </c>
      <c r="DF59" s="150">
        <f t="shared" si="228"/>
        <v>0.125</v>
      </c>
      <c r="DG59" s="54">
        <f t="shared" si="89"/>
        <v>17</v>
      </c>
      <c r="DH59" s="86">
        <f t="shared" si="89"/>
        <v>21</v>
      </c>
      <c r="DI59" s="109">
        <f t="shared" si="229"/>
        <v>1.2352941176470589</v>
      </c>
      <c r="DJ59" s="68">
        <f t="shared" si="251"/>
        <v>15</v>
      </c>
      <c r="DK59" s="297">
        <f t="shared" si="230"/>
        <v>0.7142857142857143</v>
      </c>
      <c r="DL59" s="350">
        <f t="shared" si="252"/>
        <v>2</v>
      </c>
      <c r="DM59" s="150">
        <f t="shared" si="231"/>
        <v>0.11764705882352941</v>
      </c>
      <c r="DN59" s="67">
        <f t="shared" si="253"/>
        <v>0</v>
      </c>
      <c r="DO59" s="266">
        <f t="shared" si="253"/>
        <v>0</v>
      </c>
      <c r="DP59" s="109">
        <f t="shared" si="232"/>
        <v>0</v>
      </c>
      <c r="DQ59" s="68">
        <f t="shared" si="254"/>
        <v>0</v>
      </c>
      <c r="DR59" s="297" t="str">
        <f t="shared" si="233"/>
        <v>N.D.</v>
      </c>
      <c r="DS59" s="350">
        <f t="shared" si="255"/>
        <v>0</v>
      </c>
      <c r="DT59" s="150">
        <f t="shared" si="234"/>
        <v>0</v>
      </c>
      <c r="DU59" s="53">
        <v>1</v>
      </c>
      <c r="DZ59" s="513"/>
      <c r="EB59" s="513"/>
      <c r="ED59" s="513"/>
    </row>
    <row r="60" spans="1:134" s="53" customFormat="1" ht="16" customHeight="1" x14ac:dyDescent="0.3">
      <c r="A60" s="53">
        <f>_xlfn.XLOOKUP(B60,'UC MINI 2026'!$B$5:$B$61,'UC MINI 2026'!$A$5:$A$61)</f>
        <v>10</v>
      </c>
      <c r="B60" s="179">
        <v>100549</v>
      </c>
      <c r="C60" s="381" t="s">
        <v>66</v>
      </c>
      <c r="D60" s="146"/>
      <c r="E60" s="309" t="s">
        <v>203</v>
      </c>
      <c r="F60" s="54">
        <f>SUMIF('UC MINI 2026'!$B$5:$B$71,'UC MINI 2026 MINI NEXT'!$B60,'UC MINI 2026'!$F$5:$F$71)</f>
        <v>2</v>
      </c>
      <c r="G60" s="86">
        <f>SUMIF('UC MINI 2026'!$B$5:$B$71,'UC MINI 2026 MINI NEXT'!$B60,'UC MINI 2026'!$G$5:$G$71)</f>
        <v>3</v>
      </c>
      <c r="H60" s="297">
        <f t="shared" si="54"/>
        <v>1.5</v>
      </c>
      <c r="I60" s="86">
        <f>IFERROR(VLOOKUP(B60,[2]BPS!$S$10:$AF$64,3,0),0)-IF(B60=100873,IFERROR(VLOOKUP("Enero",[2]BPS!$S$74:$T$89,2,0),0),0)</f>
        <v>1</v>
      </c>
      <c r="J60" s="297">
        <f t="shared" si="55"/>
        <v>0.33333333333333331</v>
      </c>
      <c r="K60" s="86">
        <f>IFERROR(VLOOKUP(B60,'[2]RETAIL ORIGEN RMKT'!$S$11:$AF$62,3,0),0)</f>
        <v>0</v>
      </c>
      <c r="L60" s="150">
        <f t="shared" si="56"/>
        <v>0</v>
      </c>
      <c r="M60" s="79">
        <f>SUMIF('UC MINI 2026'!$B$5:$B$61,'UC MINI 2026 MINI NEXT'!$B60,'UC MINI 2026'!$H$5:$H$61)</f>
        <v>2</v>
      </c>
      <c r="N60" s="86">
        <f>SUMIF('UC MINI 2026'!$B$5:$B$61,'UC MINI 2026 MINI NEXT'!$B60,'UC MINI 2026'!$I$5:$I$61)</f>
        <v>1</v>
      </c>
      <c r="O60" s="297">
        <f t="shared" si="165"/>
        <v>0.5</v>
      </c>
      <c r="P60" s="86">
        <f>IFERROR(VLOOKUP(B60,[2]BPS!$S$10:$AF$64,4,0),0)-IF(B60=100873,IFERROR(VLOOKUP("FEBRERO",[2]BPS!$S$74:$T$89,2,0),0),0)</f>
        <v>1</v>
      </c>
      <c r="Q60" s="297">
        <f t="shared" si="188"/>
        <v>1</v>
      </c>
      <c r="R60" s="86">
        <f>IFERROR(VLOOKUP(B60,'[2]RETAIL ORIGEN RMKT'!$S$11:$AF$62,4,0),0)</f>
        <v>0</v>
      </c>
      <c r="S60" s="150">
        <f t="shared" si="189"/>
        <v>0</v>
      </c>
      <c r="T60" s="148">
        <f>SUMIF('UC MINI 2026'!$B$5:$B$71,'UC MINI 2026 MINI NEXT'!$B60,'UC MINI 2026'!$J$5:$J$71)</f>
        <v>2</v>
      </c>
      <c r="U60" s="86">
        <f>SUMIF('UC MINI 2026'!$B$10:$B$61,'UC MINI 2026 MINI NEXT'!$B60,'UC MINI 2026'!$K$10:$K$61)</f>
        <v>1</v>
      </c>
      <c r="V60" s="297">
        <f t="shared" si="166"/>
        <v>0.5</v>
      </c>
      <c r="W60" s="86">
        <f>IFERROR(VLOOKUP(B60,[2]BPS!$S$10:$AF$64,5,0),0)-IF(B60=100873,IFERROR(VLOOKUP("MARZO",[2]BPS!$S$74:$T$89,2,0),0),0)</f>
        <v>1</v>
      </c>
      <c r="X60" s="297">
        <f t="shared" si="190"/>
        <v>1</v>
      </c>
      <c r="Y60" s="86">
        <f>IFERROR(VLOOKUP(B60,'[2]RETAIL ORIGEN RMKT'!$S$11:$AF$62,5,0),0)</f>
        <v>1</v>
      </c>
      <c r="Z60" s="150">
        <f t="shared" si="191"/>
        <v>0.5</v>
      </c>
      <c r="AA60" s="148">
        <f>SUMIF('UC MINI 2026'!$B$5:$B$61,'UC MINI 2026 MINI NEXT'!$B60,'UC MINI 2026'!$L$5:$L$61)</f>
        <v>2</v>
      </c>
      <c r="AB60" s="86">
        <f>SUMIF('UC MINI 2026'!$B$5:$B$61,'UC MINI 2026 MINI NEXT'!$B60,'UC MINI 2026'!$M$5:$M$61)</f>
        <v>4</v>
      </c>
      <c r="AC60" s="297">
        <f t="shared" si="167"/>
        <v>2</v>
      </c>
      <c r="AD60" s="86">
        <f>IFERROR(VLOOKUP(B60,[2]BPS!$S$10:$AF$64,6,0),0)-IF(B60=100873,IFERROR(VLOOKUP("ABRIL",[2]BPS!$S$74:$T$89,2,0),0),0)</f>
        <v>3</v>
      </c>
      <c r="AE60" s="285">
        <f t="shared" si="192"/>
        <v>0.75</v>
      </c>
      <c r="AF60" s="86">
        <f>IFERROR(VLOOKUP(B60,'[2]RETAIL ORIGEN RMKT'!$S$11:$AF$62,6,0),0)</f>
        <v>0</v>
      </c>
      <c r="AG60" s="150">
        <f t="shared" si="193"/>
        <v>0</v>
      </c>
      <c r="AH60" s="148">
        <f>SUMIF('UC MINI 2026'!$B$5:$B$61,'UC MINI 2026 MINI NEXT'!$B60,'UC MINI 2026'!$N$5:$N$61)</f>
        <v>2</v>
      </c>
      <c r="AI60" s="86">
        <f>SUMIF('UC MINI 2026'!$B$5:$B$61,'UC MINI 2026 MINI NEXT'!$B60,'UC MINI 2026'!$O$5:$O$61)</f>
        <v>5</v>
      </c>
      <c r="AJ60" s="297">
        <f t="shared" si="168"/>
        <v>2.5</v>
      </c>
      <c r="AK60" s="86">
        <f>IFERROR(VLOOKUP(B60,[2]BPS!$S$10:$AF$64,7,0),0)-IF(B60=100873,IFERROR(VLOOKUP("MAYO",[2]BPS!$S$74:$T$89,2,0),0),0)</f>
        <v>5</v>
      </c>
      <c r="AL60" s="285">
        <f t="shared" si="194"/>
        <v>1</v>
      </c>
      <c r="AM60" s="86">
        <f>IFERROR(VLOOKUP(B60,'[2]RETAIL ORIGEN RMKT'!$S$11:$AF$62,7,0),0)</f>
        <v>0</v>
      </c>
      <c r="AN60" s="150">
        <f t="shared" si="195"/>
        <v>0</v>
      </c>
      <c r="AO60" s="148">
        <f>SUMIF('UC MINI 2026'!$B$5:$B$61,'UC MINI 2026 MINI NEXT'!$B60,'UC MINI 2026'!$P$5:$P$61)</f>
        <v>2</v>
      </c>
      <c r="AP60" s="86">
        <f>SUMIF('UC MINI 2026'!$B$5:$B$61,'UC MINI 2026 MINI NEXT'!$B60,'UC MINI 2026'!$Q$5:$Q$61)</f>
        <v>5</v>
      </c>
      <c r="AQ60" s="297">
        <f t="shared" si="169"/>
        <v>2.5</v>
      </c>
      <c r="AR60" s="86">
        <f>IFERROR(VLOOKUP(B60,[2]BPS!$S$10:$AF$64,8,0),0)-IF(B60=100873,IFERROR(VLOOKUP("JUNIO",[2]BPS!$S$74:$T$89,2,0),0),0)</f>
        <v>5</v>
      </c>
      <c r="AS60" s="285">
        <f t="shared" si="196"/>
        <v>1</v>
      </c>
      <c r="AT60" s="86">
        <f>IFERROR(VLOOKUP(B60,'[2]RETAIL ORIGEN RMKT'!$S$11:$AF$62,8,0),0)</f>
        <v>0</v>
      </c>
      <c r="AU60" s="150">
        <f t="shared" si="197"/>
        <v>0</v>
      </c>
      <c r="AV60" s="148">
        <f>SUMIF('UC MINI 2026'!$B$5:$B$61,'UC MINI 2026 MINI NEXT'!$B60,'UC MINI 2026'!$R$5:$R$61)</f>
        <v>0</v>
      </c>
      <c r="AW60" s="86">
        <f>SUMIF('UC MINI 2026'!$B$5:$B$61,'UC MINI 2026 MINI NEXT'!$B60,'UC MINI 2026'!$S$5:$S$61)</f>
        <v>0</v>
      </c>
      <c r="AX60" s="297">
        <f t="shared" si="170"/>
        <v>0</v>
      </c>
      <c r="AY60" s="86">
        <f>IFERROR(VLOOKUP(B60,[2]BPS!$S$10:$AF$64,9,0),0)-IF(B60=100873,IFERROR(VLOOKUP("JULIO",[2]BPS!$S$74:$T$89,2,0),0),0)</f>
        <v>0</v>
      </c>
      <c r="AZ60" s="285">
        <f t="shared" si="198"/>
        <v>0</v>
      </c>
      <c r="BA60" s="86">
        <f>IFERROR(VLOOKUP(I60,'[2]RETAIL ORIGEN RMKT'!$S$11:$AF$62,9,0),0)</f>
        <v>0</v>
      </c>
      <c r="BB60" s="150">
        <f t="shared" si="199"/>
        <v>0</v>
      </c>
      <c r="BC60" s="148">
        <f>SUMIF('UC MINI 2026'!$B$5:$B$61,'UC MINI 2026 MINI NEXT'!$B60,'UC MINI 2026'!$T$5:$T$61)</f>
        <v>0</v>
      </c>
      <c r="BD60" s="86">
        <f>SUMIF('UC MINI 2026'!$B$5:$B$61,'UC MINI 2026 MINI NEXT'!$B60,'UC MINI 2026'!$U$5:$U$61)</f>
        <v>0</v>
      </c>
      <c r="BE60" s="297">
        <f t="shared" si="171"/>
        <v>0</v>
      </c>
      <c r="BF60" s="86">
        <f>IFERROR(VLOOKUP(B60,[2]BPS!$S$10:$AF$64,10,0),0)-IF(B60=100873,IFERROR(VLOOKUP("AGOSTO",[2]BPS!$S$74:$T$89,2,0),0),0)</f>
        <v>0</v>
      </c>
      <c r="BG60" s="285">
        <f t="shared" si="200"/>
        <v>0</v>
      </c>
      <c r="BH60" s="86">
        <f>IFERROR(VLOOKUP(P60,'[2]RETAIL ORIGEN RMKT'!$S$11:$AF$62,10,0),0)</f>
        <v>0</v>
      </c>
      <c r="BI60" s="150">
        <f t="shared" si="201"/>
        <v>0</v>
      </c>
      <c r="BJ60" s="148">
        <f>SUMIF('UC MINI 2026'!$B$5:$B$61,'UC MINI 2026 MINI NEXT'!$B60,'UC MINI 2026'!$V$5:$V$61)</f>
        <v>0</v>
      </c>
      <c r="BK60" s="86">
        <f>SUMIF('UC MINI 2026'!$B$5:$B$61,'UC MINI 2026 MINI NEXT'!$B60,'UC MINI 2026'!$W$5:$W$61)</f>
        <v>0</v>
      </c>
      <c r="BL60" s="297">
        <f t="shared" si="172"/>
        <v>0</v>
      </c>
      <c r="BM60" s="86">
        <f>IFERROR(VLOOKUP(B60,[2]BPS!$S$10:$AF$64,11,0),0)-IF(B60=100873,IFERROR(VLOOKUP("SEPTIEMBRE",[2]BPS!$S$74:$T$89,2,0),0),0)</f>
        <v>0</v>
      </c>
      <c r="BN60" s="285">
        <f t="shared" si="202"/>
        <v>0</v>
      </c>
      <c r="BO60" s="86">
        <f>IFERROR(VLOOKUP(W60,'[2]RETAIL ORIGEN RMKT'!$S$11:$AF$62,11,0),0)</f>
        <v>0</v>
      </c>
      <c r="BP60" s="150">
        <f t="shared" si="203"/>
        <v>0</v>
      </c>
      <c r="BQ60" s="148">
        <f>SUMIF('UC MINI 2026'!$B$5:$B$61,'UC MINI 2026 MINI NEXT'!$B60,'UC MINI 2026'!$V$5:$V$61)</f>
        <v>0</v>
      </c>
      <c r="BR60" s="86">
        <f>SUMIF('UC MINI 2026'!$B$5:$B$61,'UC MINI 2026 MINI NEXT'!$B60,'UC MINI 2026'!$Y$5:$Y$61)</f>
        <v>0</v>
      </c>
      <c r="BS60" s="297">
        <f t="shared" si="173"/>
        <v>0</v>
      </c>
      <c r="BT60" s="86">
        <f>IFERROR(VLOOKUP(B60,[2]BPS!$S$10:$AF$64,12,0),0)-IF(B60=100873,IFERROR(VLOOKUP("OCTUBRE",[2]BPS!$S$74:$T$89,2,0),0),0)</f>
        <v>0</v>
      </c>
      <c r="BU60" s="285">
        <f t="shared" si="204"/>
        <v>0</v>
      </c>
      <c r="BV60" s="86">
        <f>IFERROR(VLOOKUP(AD60,'[2]RETAIL ORIGEN RMKT'!$S$11:$AF$62,12,0),0)</f>
        <v>0</v>
      </c>
      <c r="BW60" s="150">
        <f t="shared" si="205"/>
        <v>0</v>
      </c>
      <c r="BX60" s="148">
        <f>SUMIF('UC MINI 2026'!$B$5:$B$61,'UC MINI 2026 MINI NEXT'!$B60,'UC MINI 2026'!$V$5:$V$61)</f>
        <v>0</v>
      </c>
      <c r="BY60" s="86">
        <f>SUMIF('UC MINI 2026'!$B$5:$B$61,'UC MINI 2026 MINI NEXT'!$B60,'UC MINI 2026'!$AA$5:$AA$61)</f>
        <v>0</v>
      </c>
      <c r="BZ60" s="297">
        <f t="shared" si="174"/>
        <v>0</v>
      </c>
      <c r="CA60" s="86">
        <f>IFERROR(VLOOKUP(B60,[2]BPS!$S$10:$AF$64,13,0),0)-IF(B60=100873,IFERROR(VLOOKUP("NOVIEMBRE",[2]BPS!$S$74:$T$89,2,0),0),0)</f>
        <v>0</v>
      </c>
      <c r="CB60" s="285">
        <f t="shared" si="206"/>
        <v>0</v>
      </c>
      <c r="CC60" s="86">
        <f>IFERROR(VLOOKUP(AK60,'[2]RETAIL ORIGEN RMKT'!$S$11:$AF$62,13,0),0)</f>
        <v>0</v>
      </c>
      <c r="CD60" s="150">
        <f t="shared" si="207"/>
        <v>0</v>
      </c>
      <c r="CE60" s="148">
        <f>SUMIF('UC MINI 2026'!$B$5:$B$61,'UC MINI 2026 MINI NEXT'!$B60,'UC MINI 2026'!$V$5:$V$61)</f>
        <v>0</v>
      </c>
      <c r="CF60" s="86">
        <f>SUMIF('UC MINI 2026'!$B$5:$B$61,'UC MINI 2026 MINI NEXT'!$B60,'UC MINI 2026'!$AC$5:$AC$61)</f>
        <v>0</v>
      </c>
      <c r="CG60" s="297">
        <f t="shared" si="175"/>
        <v>0</v>
      </c>
      <c r="CH60" s="86">
        <f>IFERROR(VLOOKUP(B60,[2]BPS!$S$10:$AF$64,14,0),0)-IF(B60=100873,IFERROR(VLOOKUP("DICIEMBRE",[2]BPS!$S$74:$T$89,2,0),0),0)</f>
        <v>0</v>
      </c>
      <c r="CI60" s="285">
        <f t="shared" si="208"/>
        <v>0</v>
      </c>
      <c r="CJ60" s="86">
        <f>IFERROR(VLOOKUP(AR60,'[2]RETAIL ORIGEN RMKT'!$S$11:$AF$62,14,0),0)</f>
        <v>0</v>
      </c>
      <c r="CK60" s="150">
        <f t="shared" si="209"/>
        <v>0</v>
      </c>
      <c r="CL60" s="54">
        <f t="shared" si="238"/>
        <v>12</v>
      </c>
      <c r="CM60" s="86">
        <f t="shared" si="238"/>
        <v>19</v>
      </c>
      <c r="CN60" s="109">
        <f t="shared" si="176"/>
        <v>1.5833333333333333</v>
      </c>
      <c r="CO60" s="86">
        <f t="shared" si="239"/>
        <v>16</v>
      </c>
      <c r="CP60" s="297">
        <f t="shared" si="240"/>
        <v>0.84210526315789469</v>
      </c>
      <c r="CQ60" s="348">
        <f t="shared" si="241"/>
        <v>1</v>
      </c>
      <c r="CR60" s="149">
        <f t="shared" si="177"/>
        <v>8.3333333333333329E-2</v>
      </c>
      <c r="CS60" s="54">
        <f t="shared" si="242"/>
        <v>12</v>
      </c>
      <c r="CT60" s="86">
        <f t="shared" si="243"/>
        <v>19</v>
      </c>
      <c r="CU60" s="109">
        <f t="shared" si="52"/>
        <v>1.5833333333333333</v>
      </c>
      <c r="CV60" s="68">
        <f t="shared" si="244"/>
        <v>16</v>
      </c>
      <c r="CW60" s="297">
        <f t="shared" si="245"/>
        <v>0.84210526315789469</v>
      </c>
      <c r="CX60" s="350">
        <f t="shared" si="246"/>
        <v>1</v>
      </c>
      <c r="CY60" s="149">
        <f t="shared" si="178"/>
        <v>8.3333333333333329E-2</v>
      </c>
      <c r="CZ60" s="54">
        <f t="shared" si="247"/>
        <v>6</v>
      </c>
      <c r="DA60" s="86">
        <f t="shared" si="247"/>
        <v>5</v>
      </c>
      <c r="DB60" s="109">
        <f t="shared" si="227"/>
        <v>0.83333333333333337</v>
      </c>
      <c r="DC60" s="68">
        <f t="shared" si="248"/>
        <v>3</v>
      </c>
      <c r="DD60" s="297">
        <f t="shared" si="249"/>
        <v>0.6</v>
      </c>
      <c r="DE60" s="350">
        <f t="shared" si="250"/>
        <v>1</v>
      </c>
      <c r="DF60" s="150">
        <f t="shared" si="228"/>
        <v>0.16666666666666666</v>
      </c>
      <c r="DG60" s="54">
        <f t="shared" si="89"/>
        <v>12</v>
      </c>
      <c r="DH60" s="86">
        <f t="shared" si="89"/>
        <v>19</v>
      </c>
      <c r="DI60" s="109">
        <f t="shared" si="229"/>
        <v>1.5833333333333333</v>
      </c>
      <c r="DJ60" s="68">
        <f t="shared" si="251"/>
        <v>16</v>
      </c>
      <c r="DK60" s="297">
        <f t="shared" si="230"/>
        <v>0.84210526315789469</v>
      </c>
      <c r="DL60" s="350">
        <f t="shared" si="252"/>
        <v>1</v>
      </c>
      <c r="DM60" s="150">
        <f t="shared" si="231"/>
        <v>8.3333333333333329E-2</v>
      </c>
      <c r="DN60" s="67">
        <f t="shared" si="253"/>
        <v>0</v>
      </c>
      <c r="DO60" s="266">
        <f t="shared" si="253"/>
        <v>0</v>
      </c>
      <c r="DP60" s="109">
        <f t="shared" si="232"/>
        <v>0</v>
      </c>
      <c r="DQ60" s="68">
        <f t="shared" si="254"/>
        <v>0</v>
      </c>
      <c r="DR60" s="297" t="str">
        <f t="shared" si="233"/>
        <v>N.D.</v>
      </c>
      <c r="DS60" s="350">
        <f t="shared" si="255"/>
        <v>0</v>
      </c>
      <c r="DT60" s="150">
        <f t="shared" si="234"/>
        <v>0</v>
      </c>
      <c r="DU60" s="53">
        <v>1</v>
      </c>
      <c r="DZ60" s="513"/>
      <c r="EB60" s="513"/>
      <c r="ED60" s="513"/>
    </row>
    <row r="61" spans="1:134" s="53" customFormat="1" ht="16" customHeight="1" x14ac:dyDescent="0.3">
      <c r="A61" s="53">
        <f>_xlfn.XLOOKUP(B61,'UC MINI 2026'!$B$5:$B$61,'UC MINI 2026'!$A$5:$A$61)</f>
        <v>10</v>
      </c>
      <c r="B61" s="179">
        <v>100589</v>
      </c>
      <c r="C61" s="381" t="s">
        <v>17</v>
      </c>
      <c r="D61" s="146"/>
      <c r="E61" s="309" t="s">
        <v>203</v>
      </c>
      <c r="F61" s="54">
        <f>SUMIF('UC MINI 2026'!$B$5:$B$71,'UC MINI 2026 MINI NEXT'!$B61,'UC MINI 2026'!$F$5:$F$71)</f>
        <v>6</v>
      </c>
      <c r="G61" s="86">
        <f>SUMIF('UC MINI 2026'!$B$5:$B$71,'UC MINI 2026 MINI NEXT'!$B61,'UC MINI 2026'!$G$5:$G$71)</f>
        <v>2</v>
      </c>
      <c r="H61" s="297">
        <f t="shared" si="54"/>
        <v>0.33333333333333331</v>
      </c>
      <c r="I61" s="86">
        <f>IFERROR(VLOOKUP(B61,[2]BPS!$S$10:$AF$64,3,0),0)-IF(B61=100873,IFERROR(VLOOKUP("Enero",[2]BPS!$S$74:$T$89,2,0),0),0)</f>
        <v>2</v>
      </c>
      <c r="J61" s="297">
        <f t="shared" si="55"/>
        <v>1</v>
      </c>
      <c r="K61" s="86">
        <f>IFERROR(VLOOKUP(B61,'[2]RETAIL ORIGEN RMKT'!$S$11:$AF$62,3,0),0)</f>
        <v>1</v>
      </c>
      <c r="L61" s="150">
        <f t="shared" si="56"/>
        <v>0.16666666666666666</v>
      </c>
      <c r="M61" s="79">
        <f>SUMIF('UC MINI 2026'!$B$5:$B$61,'UC MINI 2026 MINI NEXT'!$B61,'UC MINI 2026'!$H$5:$H$61)</f>
        <v>6</v>
      </c>
      <c r="N61" s="86">
        <f>SUMIF('UC MINI 2026'!$B$5:$B$61,'UC MINI 2026 MINI NEXT'!$B61,'UC MINI 2026'!$I$5:$I$61)</f>
        <v>2</v>
      </c>
      <c r="O61" s="297">
        <f t="shared" si="165"/>
        <v>0.33333333333333331</v>
      </c>
      <c r="P61" s="86">
        <f>IFERROR(VLOOKUP(B61,[2]BPS!$S$10:$AF$64,4,0),0)-IF(B61=100873,IFERROR(VLOOKUP("FEBRERO",[2]BPS!$S$74:$T$89,2,0),0),0)</f>
        <v>2</v>
      </c>
      <c r="Q61" s="297">
        <f t="shared" si="188"/>
        <v>1</v>
      </c>
      <c r="R61" s="86">
        <f>IFERROR(VLOOKUP(B61,'[2]RETAIL ORIGEN RMKT'!$S$11:$AF$62,4,0),0)</f>
        <v>0</v>
      </c>
      <c r="S61" s="150">
        <f t="shared" si="189"/>
        <v>0</v>
      </c>
      <c r="T61" s="148">
        <f>SUMIF('UC MINI 2026'!$B$5:$B$71,'UC MINI 2026 MINI NEXT'!$B61,'UC MINI 2026'!$J$5:$J$71)</f>
        <v>6</v>
      </c>
      <c r="U61" s="86">
        <f>SUMIF('UC MINI 2026'!$B$10:$B$61,'UC MINI 2026 MINI NEXT'!$B61,'UC MINI 2026'!$K$10:$K$61)</f>
        <v>6</v>
      </c>
      <c r="V61" s="297">
        <f t="shared" si="166"/>
        <v>1</v>
      </c>
      <c r="W61" s="86">
        <f>IFERROR(VLOOKUP(B61,[2]BPS!$S$10:$AF$64,5,0),0)-IF(B61=100873,IFERROR(VLOOKUP("MARZO",[2]BPS!$S$74:$T$89,2,0),0),0)</f>
        <v>4</v>
      </c>
      <c r="X61" s="297">
        <f t="shared" si="190"/>
        <v>0.66666666666666663</v>
      </c>
      <c r="Y61" s="86">
        <f>IFERROR(VLOOKUP(B61,'[2]RETAIL ORIGEN RMKT'!$S$11:$AF$62,5,0),0)</f>
        <v>1</v>
      </c>
      <c r="Z61" s="150">
        <f t="shared" si="191"/>
        <v>0.16666666666666666</v>
      </c>
      <c r="AA61" s="148">
        <f>SUMIF('UC MINI 2026'!$B$5:$B$61,'UC MINI 2026 MINI NEXT'!$B61,'UC MINI 2026'!$L$5:$L$61)</f>
        <v>6</v>
      </c>
      <c r="AB61" s="86">
        <f>SUMIF('UC MINI 2026'!$B$5:$B$61,'UC MINI 2026 MINI NEXT'!$B61,'UC MINI 2026'!$M$5:$M$61)</f>
        <v>0</v>
      </c>
      <c r="AC61" s="297">
        <f t="shared" si="167"/>
        <v>0</v>
      </c>
      <c r="AD61" s="86">
        <f>IFERROR(VLOOKUP(B61,[2]BPS!$S$10:$AF$64,6,0),0)-IF(B61=100873,IFERROR(VLOOKUP("ABRIL",[2]BPS!$S$74:$T$89,2,0),0),0)</f>
        <v>0</v>
      </c>
      <c r="AE61" s="285">
        <f t="shared" si="192"/>
        <v>0</v>
      </c>
      <c r="AF61" s="86">
        <f>IFERROR(VLOOKUP(B61,'[2]RETAIL ORIGEN RMKT'!$S$11:$AF$62,6,0),0)</f>
        <v>0</v>
      </c>
      <c r="AG61" s="150">
        <f t="shared" si="193"/>
        <v>0</v>
      </c>
      <c r="AH61" s="148">
        <f>SUMIF('UC MINI 2026'!$B$5:$B$61,'UC MINI 2026 MINI NEXT'!$B61,'UC MINI 2026'!$N$5:$N$61)</f>
        <v>6</v>
      </c>
      <c r="AI61" s="86">
        <f>SUMIF('UC MINI 2026'!$B$5:$B$61,'UC MINI 2026 MINI NEXT'!$B61,'UC MINI 2026'!$O$5:$O$61)</f>
        <v>7</v>
      </c>
      <c r="AJ61" s="297">
        <f t="shared" si="168"/>
        <v>1.1666666666666667</v>
      </c>
      <c r="AK61" s="86">
        <f>IFERROR(VLOOKUP(B61,[2]BPS!$S$10:$AF$64,7,0),0)-IF(B61=100873,IFERROR(VLOOKUP("MAYO",[2]BPS!$S$74:$T$89,2,0),0),0)</f>
        <v>7</v>
      </c>
      <c r="AL61" s="285">
        <f t="shared" si="194"/>
        <v>1</v>
      </c>
      <c r="AM61" s="86">
        <f>IFERROR(VLOOKUP(B61,'[2]RETAIL ORIGEN RMKT'!$S$11:$AF$62,7,0),0)</f>
        <v>0</v>
      </c>
      <c r="AN61" s="150">
        <f t="shared" si="195"/>
        <v>0</v>
      </c>
      <c r="AO61" s="148">
        <f>SUMIF('UC MINI 2026'!$B$5:$B$61,'UC MINI 2026 MINI NEXT'!$B61,'UC MINI 2026'!$P$5:$P$61)</f>
        <v>6</v>
      </c>
      <c r="AP61" s="86">
        <f>SUMIF('UC MINI 2026'!$B$5:$B$61,'UC MINI 2026 MINI NEXT'!$B61,'UC MINI 2026'!$Q$5:$Q$61)</f>
        <v>5</v>
      </c>
      <c r="AQ61" s="297">
        <f t="shared" si="169"/>
        <v>0.83333333333333337</v>
      </c>
      <c r="AR61" s="86">
        <f>IFERROR(VLOOKUP(B61,[2]BPS!$S$10:$AF$64,8,0),0)-IF(B61=100873,IFERROR(VLOOKUP("JUNIO",[2]BPS!$S$74:$T$89,2,0),0),0)</f>
        <v>5</v>
      </c>
      <c r="AS61" s="285">
        <f t="shared" si="196"/>
        <v>1</v>
      </c>
      <c r="AT61" s="86">
        <f>IFERROR(VLOOKUP(B61,'[2]RETAIL ORIGEN RMKT'!$S$11:$AF$62,8,0),0)</f>
        <v>1</v>
      </c>
      <c r="AU61" s="150">
        <f t="shared" si="197"/>
        <v>0.16666666666666666</v>
      </c>
      <c r="AV61" s="148">
        <f>SUMIF('UC MINI 2026'!$B$5:$B$61,'UC MINI 2026 MINI NEXT'!$B61,'UC MINI 2026'!$R$5:$R$61)</f>
        <v>0</v>
      </c>
      <c r="AW61" s="86">
        <f>SUMIF('UC MINI 2026'!$B$5:$B$61,'UC MINI 2026 MINI NEXT'!$B61,'UC MINI 2026'!$S$5:$S$61)</f>
        <v>0</v>
      </c>
      <c r="AX61" s="297">
        <f t="shared" si="170"/>
        <v>0</v>
      </c>
      <c r="AY61" s="86">
        <f>IFERROR(VLOOKUP(B61,[2]BPS!$S$10:$AF$64,9,0),0)-IF(B61=100873,IFERROR(VLOOKUP("JULIO",[2]BPS!$S$74:$T$89,2,0),0),0)</f>
        <v>0</v>
      </c>
      <c r="AZ61" s="285">
        <f t="shared" si="198"/>
        <v>0</v>
      </c>
      <c r="BA61" s="86">
        <f>IFERROR(VLOOKUP(I61,'[2]RETAIL ORIGEN RMKT'!$S$11:$AF$62,9,0),0)</f>
        <v>0</v>
      </c>
      <c r="BB61" s="150">
        <f t="shared" si="199"/>
        <v>0</v>
      </c>
      <c r="BC61" s="148">
        <f>SUMIF('UC MINI 2026'!$B$5:$B$61,'UC MINI 2026 MINI NEXT'!$B61,'UC MINI 2026'!$T$5:$T$61)</f>
        <v>0</v>
      </c>
      <c r="BD61" s="86">
        <f>SUMIF('UC MINI 2026'!$B$5:$B$61,'UC MINI 2026 MINI NEXT'!$B61,'UC MINI 2026'!$U$5:$U$61)</f>
        <v>0</v>
      </c>
      <c r="BE61" s="297">
        <f t="shared" si="171"/>
        <v>0</v>
      </c>
      <c r="BF61" s="86">
        <f>IFERROR(VLOOKUP(B61,[2]BPS!$S$10:$AF$64,10,0),0)-IF(B61=100873,IFERROR(VLOOKUP("AGOSTO",[2]BPS!$S$74:$T$89,2,0),0),0)</f>
        <v>0</v>
      </c>
      <c r="BG61" s="285">
        <f t="shared" si="200"/>
        <v>0</v>
      </c>
      <c r="BH61" s="86">
        <f>IFERROR(VLOOKUP(P61,'[2]RETAIL ORIGEN RMKT'!$S$11:$AF$62,10,0),0)</f>
        <v>0</v>
      </c>
      <c r="BI61" s="150">
        <f t="shared" si="201"/>
        <v>0</v>
      </c>
      <c r="BJ61" s="148">
        <f>SUMIF('UC MINI 2026'!$B$5:$B$61,'UC MINI 2026 MINI NEXT'!$B61,'UC MINI 2026'!$V$5:$V$61)</f>
        <v>0</v>
      </c>
      <c r="BK61" s="86">
        <f>SUMIF('UC MINI 2026'!$B$5:$B$61,'UC MINI 2026 MINI NEXT'!$B61,'UC MINI 2026'!$W$5:$W$61)</f>
        <v>0</v>
      </c>
      <c r="BL61" s="297">
        <f t="shared" si="172"/>
        <v>0</v>
      </c>
      <c r="BM61" s="86">
        <f>IFERROR(VLOOKUP(B61,[2]BPS!$S$10:$AF$64,11,0),0)-IF(B61=100873,IFERROR(VLOOKUP("SEPTIEMBRE",[2]BPS!$S$74:$T$89,2,0),0),0)</f>
        <v>0</v>
      </c>
      <c r="BN61" s="285">
        <f t="shared" si="202"/>
        <v>0</v>
      </c>
      <c r="BO61" s="86">
        <f>IFERROR(VLOOKUP(W61,'[2]RETAIL ORIGEN RMKT'!$S$11:$AF$62,11,0),0)</f>
        <v>0</v>
      </c>
      <c r="BP61" s="150">
        <f t="shared" si="203"/>
        <v>0</v>
      </c>
      <c r="BQ61" s="148">
        <f>SUMIF('UC MINI 2026'!$B$5:$B$61,'UC MINI 2026 MINI NEXT'!$B61,'UC MINI 2026'!$V$5:$V$61)</f>
        <v>0</v>
      </c>
      <c r="BR61" s="86">
        <f>SUMIF('UC MINI 2026'!$B$5:$B$61,'UC MINI 2026 MINI NEXT'!$B61,'UC MINI 2026'!$Y$5:$Y$61)</f>
        <v>0</v>
      </c>
      <c r="BS61" s="297">
        <f t="shared" si="173"/>
        <v>0</v>
      </c>
      <c r="BT61" s="86">
        <f>IFERROR(VLOOKUP(B61,[2]BPS!$S$10:$AF$64,12,0),0)-IF(B61=100873,IFERROR(VLOOKUP("OCTUBRE",[2]BPS!$S$74:$T$89,2,0),0),0)</f>
        <v>0</v>
      </c>
      <c r="BU61" s="285">
        <f t="shared" si="204"/>
        <v>0</v>
      </c>
      <c r="BV61" s="86">
        <f>IFERROR(VLOOKUP(AD61,'[2]RETAIL ORIGEN RMKT'!$S$11:$AF$62,12,0),0)</f>
        <v>0</v>
      </c>
      <c r="BW61" s="150">
        <f t="shared" si="205"/>
        <v>0</v>
      </c>
      <c r="BX61" s="148">
        <f>SUMIF('UC MINI 2026'!$B$5:$B$61,'UC MINI 2026 MINI NEXT'!$B61,'UC MINI 2026'!$V$5:$V$61)</f>
        <v>0</v>
      </c>
      <c r="BY61" s="86">
        <f>SUMIF('UC MINI 2026'!$B$5:$B$61,'UC MINI 2026 MINI NEXT'!$B61,'UC MINI 2026'!$AA$5:$AA$61)</f>
        <v>0</v>
      </c>
      <c r="BZ61" s="297">
        <f t="shared" si="174"/>
        <v>0</v>
      </c>
      <c r="CA61" s="86">
        <f>IFERROR(VLOOKUP(B61,[2]BPS!$S$10:$AF$64,13,0),0)-IF(B61=100873,IFERROR(VLOOKUP("NOVIEMBRE",[2]BPS!$S$74:$T$89,2,0),0),0)</f>
        <v>0</v>
      </c>
      <c r="CB61" s="285">
        <f t="shared" si="206"/>
        <v>0</v>
      </c>
      <c r="CC61" s="86">
        <f>IFERROR(VLOOKUP(AK61,'[2]RETAIL ORIGEN RMKT'!$S$11:$AF$62,13,0),0)</f>
        <v>0</v>
      </c>
      <c r="CD61" s="150">
        <f t="shared" si="207"/>
        <v>0</v>
      </c>
      <c r="CE61" s="148">
        <f>SUMIF('UC MINI 2026'!$B$5:$B$61,'UC MINI 2026 MINI NEXT'!$B61,'UC MINI 2026'!$V$5:$V$61)</f>
        <v>0</v>
      </c>
      <c r="CF61" s="86">
        <f>SUMIF('UC MINI 2026'!$B$5:$B$61,'UC MINI 2026 MINI NEXT'!$B61,'UC MINI 2026'!$AC$5:$AC$61)</f>
        <v>0</v>
      </c>
      <c r="CG61" s="297">
        <f t="shared" si="175"/>
        <v>0</v>
      </c>
      <c r="CH61" s="86">
        <f>IFERROR(VLOOKUP(B61,[2]BPS!$S$10:$AF$64,14,0),0)-IF(B61=100873,IFERROR(VLOOKUP("DICIEMBRE",[2]BPS!$S$74:$T$89,2,0),0),0)</f>
        <v>0</v>
      </c>
      <c r="CI61" s="285">
        <f t="shared" si="208"/>
        <v>0</v>
      </c>
      <c r="CJ61" s="86">
        <f>IFERROR(VLOOKUP(AR61,'[2]RETAIL ORIGEN RMKT'!$S$11:$AF$62,14,0),0)</f>
        <v>0</v>
      </c>
      <c r="CK61" s="150">
        <f t="shared" si="209"/>
        <v>0</v>
      </c>
      <c r="CL61" s="54">
        <f t="shared" si="238"/>
        <v>36</v>
      </c>
      <c r="CM61" s="86">
        <f t="shared" si="238"/>
        <v>22</v>
      </c>
      <c r="CN61" s="109">
        <f t="shared" si="176"/>
        <v>0.61111111111111116</v>
      </c>
      <c r="CO61" s="86">
        <f t="shared" si="239"/>
        <v>20</v>
      </c>
      <c r="CP61" s="297">
        <f t="shared" si="240"/>
        <v>0.90909090909090906</v>
      </c>
      <c r="CQ61" s="348">
        <f t="shared" si="241"/>
        <v>3</v>
      </c>
      <c r="CR61" s="149">
        <f t="shared" si="177"/>
        <v>8.3333333333333329E-2</v>
      </c>
      <c r="CS61" s="54">
        <f t="shared" si="242"/>
        <v>36</v>
      </c>
      <c r="CT61" s="86">
        <f t="shared" si="243"/>
        <v>22</v>
      </c>
      <c r="CU61" s="109">
        <f t="shared" si="52"/>
        <v>0.61111111111111116</v>
      </c>
      <c r="CV61" s="68">
        <f t="shared" si="244"/>
        <v>20</v>
      </c>
      <c r="CW61" s="297">
        <f t="shared" si="245"/>
        <v>0.90909090909090906</v>
      </c>
      <c r="CX61" s="350">
        <f t="shared" si="246"/>
        <v>3</v>
      </c>
      <c r="CY61" s="149">
        <f t="shared" si="178"/>
        <v>8.3333333333333329E-2</v>
      </c>
      <c r="CZ61" s="54">
        <f t="shared" si="247"/>
        <v>18</v>
      </c>
      <c r="DA61" s="86">
        <f t="shared" si="247"/>
        <v>10</v>
      </c>
      <c r="DB61" s="109">
        <f t="shared" si="227"/>
        <v>0.55555555555555558</v>
      </c>
      <c r="DC61" s="68">
        <f t="shared" si="248"/>
        <v>8</v>
      </c>
      <c r="DD61" s="297">
        <f t="shared" si="249"/>
        <v>0.8</v>
      </c>
      <c r="DE61" s="350">
        <f t="shared" si="250"/>
        <v>2</v>
      </c>
      <c r="DF61" s="150">
        <f t="shared" si="228"/>
        <v>0.1111111111111111</v>
      </c>
      <c r="DG61" s="54">
        <f t="shared" si="89"/>
        <v>36</v>
      </c>
      <c r="DH61" s="86">
        <f t="shared" si="89"/>
        <v>22</v>
      </c>
      <c r="DI61" s="109">
        <f t="shared" si="229"/>
        <v>0.61111111111111116</v>
      </c>
      <c r="DJ61" s="68">
        <f t="shared" si="251"/>
        <v>20</v>
      </c>
      <c r="DK61" s="297">
        <f t="shared" si="230"/>
        <v>0.90909090909090906</v>
      </c>
      <c r="DL61" s="350">
        <f t="shared" si="252"/>
        <v>3</v>
      </c>
      <c r="DM61" s="150">
        <f t="shared" si="231"/>
        <v>8.3333333333333329E-2</v>
      </c>
      <c r="DN61" s="67">
        <f t="shared" si="253"/>
        <v>0</v>
      </c>
      <c r="DO61" s="266">
        <f t="shared" si="253"/>
        <v>0</v>
      </c>
      <c r="DP61" s="109">
        <f t="shared" si="232"/>
        <v>0</v>
      </c>
      <c r="DQ61" s="68">
        <f t="shared" si="254"/>
        <v>0</v>
      </c>
      <c r="DR61" s="297" t="str">
        <f t="shared" si="233"/>
        <v>N.D.</v>
      </c>
      <c r="DS61" s="350">
        <f t="shared" si="255"/>
        <v>0</v>
      </c>
      <c r="DT61" s="150">
        <f t="shared" si="234"/>
        <v>0</v>
      </c>
      <c r="DU61" s="53">
        <v>1</v>
      </c>
    </row>
    <row r="62" spans="1:134" s="53" customFormat="1" ht="16" customHeight="1" x14ac:dyDescent="0.3">
      <c r="A62" s="53">
        <f>_xlfn.XLOOKUP(B62,'UC MINI 2026'!$B$5:$B$61,'UC MINI 2026'!$A$5:$A$61)</f>
        <v>10</v>
      </c>
      <c r="B62" s="179">
        <v>100819</v>
      </c>
      <c r="C62" s="381" t="s">
        <v>74</v>
      </c>
      <c r="D62" s="146"/>
      <c r="E62" s="309" t="s">
        <v>203</v>
      </c>
      <c r="F62" s="54">
        <f>SUMIF('UC MINI 2026'!$B$5:$B$71,'UC MINI 2026 MINI NEXT'!$B62,'UC MINI 2026'!$F$5:$F$71)</f>
        <v>2</v>
      </c>
      <c r="G62" s="86">
        <f>SUMIF('UC MINI 2026'!$B$5:$B$71,'UC MINI 2026 MINI NEXT'!$B62,'UC MINI 2026'!$G$5:$G$71)</f>
        <v>2</v>
      </c>
      <c r="H62" s="297">
        <f t="shared" si="54"/>
        <v>1</v>
      </c>
      <c r="I62" s="86">
        <f>IFERROR(VLOOKUP(B62,[2]BPS!$S$10:$AF$64,3,0),0)-IF(B62=100873,IFERROR(VLOOKUP("Enero",[2]BPS!$S$74:$T$89,2,0),0),0)</f>
        <v>2</v>
      </c>
      <c r="J62" s="297">
        <f t="shared" si="55"/>
        <v>1</v>
      </c>
      <c r="K62" s="86">
        <f>IFERROR(VLOOKUP(B62,'[2]RETAIL ORIGEN RMKT'!$S$11:$AF$62,3,0),0)</f>
        <v>2</v>
      </c>
      <c r="L62" s="150">
        <f t="shared" si="56"/>
        <v>1</v>
      </c>
      <c r="M62" s="79">
        <f>SUMIF('UC MINI 2026'!$B$5:$B$61,'UC MINI 2026 MINI NEXT'!$B62,'UC MINI 2026'!$H$5:$H$61)</f>
        <v>2</v>
      </c>
      <c r="N62" s="86">
        <f>SUMIF('UC MINI 2026'!$B$5:$B$61,'UC MINI 2026 MINI NEXT'!$B62,'UC MINI 2026'!$I$5:$I$61)</f>
        <v>4</v>
      </c>
      <c r="O62" s="297">
        <f t="shared" si="165"/>
        <v>2</v>
      </c>
      <c r="P62" s="86">
        <f>IFERROR(VLOOKUP(B62,[2]BPS!$S$10:$AF$64,4,0),0)-IF(B62=100873,IFERROR(VLOOKUP("FEBRERO",[2]BPS!$S$74:$T$89,2,0),0),0)</f>
        <v>4</v>
      </c>
      <c r="Q62" s="297">
        <f t="shared" si="188"/>
        <v>1</v>
      </c>
      <c r="R62" s="86">
        <f>IFERROR(VLOOKUP(B62,'[2]RETAIL ORIGEN RMKT'!$S$11:$AF$62,4,0),0)</f>
        <v>3</v>
      </c>
      <c r="S62" s="150">
        <f t="shared" si="189"/>
        <v>1.5</v>
      </c>
      <c r="T62" s="148">
        <f>SUMIF('UC MINI 2026'!$B$5:$B$71,'UC MINI 2026 MINI NEXT'!$B62,'UC MINI 2026'!$J$5:$J$71)</f>
        <v>2</v>
      </c>
      <c r="U62" s="86">
        <f>SUMIF('UC MINI 2026'!$B$10:$B$61,'UC MINI 2026 MINI NEXT'!$B62,'UC MINI 2026'!$K$10:$K$61)</f>
        <v>4</v>
      </c>
      <c r="V62" s="297">
        <f t="shared" si="166"/>
        <v>2</v>
      </c>
      <c r="W62" s="86">
        <f>IFERROR(VLOOKUP(B62,[2]BPS!$S$10:$AF$64,5,0),0)-IF(B62=100873,IFERROR(VLOOKUP("MARZO",[2]BPS!$S$74:$T$89,2,0),0),0)</f>
        <v>3</v>
      </c>
      <c r="X62" s="297">
        <f t="shared" si="190"/>
        <v>0.75</v>
      </c>
      <c r="Y62" s="86">
        <f>IFERROR(VLOOKUP(B62,'[2]RETAIL ORIGEN RMKT'!$S$11:$AF$62,5,0),0)</f>
        <v>2</v>
      </c>
      <c r="Z62" s="150">
        <f t="shared" si="191"/>
        <v>1</v>
      </c>
      <c r="AA62" s="148">
        <f>SUMIF('UC MINI 2026'!$B$5:$B$61,'UC MINI 2026 MINI NEXT'!$B62,'UC MINI 2026'!$L$5:$L$61)</f>
        <v>3</v>
      </c>
      <c r="AB62" s="86">
        <f>SUMIF('UC MINI 2026'!$B$5:$B$61,'UC MINI 2026 MINI NEXT'!$B62,'UC MINI 2026'!$M$5:$M$61)</f>
        <v>2</v>
      </c>
      <c r="AC62" s="297">
        <f t="shared" si="167"/>
        <v>0.66666666666666663</v>
      </c>
      <c r="AD62" s="86">
        <f>IFERROR(VLOOKUP(B62,[2]BPS!$S$10:$AF$64,6,0),0)-IF(B62=100873,IFERROR(VLOOKUP("ABRIL",[2]BPS!$S$74:$T$89,2,0),0),0)</f>
        <v>1</v>
      </c>
      <c r="AE62" s="285">
        <f t="shared" si="192"/>
        <v>0.5</v>
      </c>
      <c r="AF62" s="86">
        <f>IFERROR(VLOOKUP(B62,'[2]RETAIL ORIGEN RMKT'!$S$11:$AF$62,6,0),0)</f>
        <v>1</v>
      </c>
      <c r="AG62" s="150">
        <f t="shared" si="193"/>
        <v>0.33333333333333331</v>
      </c>
      <c r="AH62" s="148">
        <f>SUMIF('UC MINI 2026'!$B$5:$B$61,'UC MINI 2026 MINI NEXT'!$B62,'UC MINI 2026'!$N$5:$N$61)</f>
        <v>3</v>
      </c>
      <c r="AI62" s="86">
        <f>SUMIF('UC MINI 2026'!$B$5:$B$61,'UC MINI 2026 MINI NEXT'!$B62,'UC MINI 2026'!$O$5:$O$61)</f>
        <v>4</v>
      </c>
      <c r="AJ62" s="297">
        <f t="shared" si="168"/>
        <v>1.3333333333333333</v>
      </c>
      <c r="AK62" s="86">
        <f>IFERROR(VLOOKUP(B62,[2]BPS!$S$10:$AF$64,7,0),0)-IF(B62=100873,IFERROR(VLOOKUP("MAYO",[2]BPS!$S$74:$T$89,2,0),0),0)</f>
        <v>3</v>
      </c>
      <c r="AL62" s="285">
        <f t="shared" si="194"/>
        <v>0.75</v>
      </c>
      <c r="AM62" s="86">
        <f>IFERROR(VLOOKUP(B62,'[2]RETAIL ORIGEN RMKT'!$S$11:$AF$62,7,0),0)</f>
        <v>1</v>
      </c>
      <c r="AN62" s="150">
        <f t="shared" si="195"/>
        <v>0.33333333333333331</v>
      </c>
      <c r="AO62" s="148">
        <f>SUMIF('UC MINI 2026'!$B$5:$B$61,'UC MINI 2026 MINI NEXT'!$B62,'UC MINI 2026'!$P$5:$P$61)</f>
        <v>3</v>
      </c>
      <c r="AP62" s="86">
        <f>SUMIF('UC MINI 2026'!$B$5:$B$61,'UC MINI 2026 MINI NEXT'!$B62,'UC MINI 2026'!$Q$5:$Q$61)</f>
        <v>0</v>
      </c>
      <c r="AQ62" s="297">
        <f t="shared" si="169"/>
        <v>0</v>
      </c>
      <c r="AR62" s="86">
        <f>IFERROR(VLOOKUP(B62,[2]BPS!$S$10:$AF$64,8,0),0)-IF(B62=100873,IFERROR(VLOOKUP("JUNIO",[2]BPS!$S$74:$T$89,2,0),0),0)</f>
        <v>0</v>
      </c>
      <c r="AS62" s="285">
        <f t="shared" si="196"/>
        <v>0</v>
      </c>
      <c r="AT62" s="86">
        <f>IFERROR(VLOOKUP(B62,'[2]RETAIL ORIGEN RMKT'!$S$11:$AF$62,8,0),0)</f>
        <v>0</v>
      </c>
      <c r="AU62" s="150">
        <f t="shared" si="197"/>
        <v>0</v>
      </c>
      <c r="AV62" s="148">
        <f>SUMIF('UC MINI 2026'!$B$5:$B$61,'UC MINI 2026 MINI NEXT'!$B62,'UC MINI 2026'!$R$5:$R$61)</f>
        <v>0</v>
      </c>
      <c r="AW62" s="86">
        <f>SUMIF('UC MINI 2026'!$B$5:$B$61,'UC MINI 2026 MINI NEXT'!$B62,'UC MINI 2026'!$S$5:$S$61)</f>
        <v>0</v>
      </c>
      <c r="AX62" s="297">
        <f t="shared" si="170"/>
        <v>0</v>
      </c>
      <c r="AY62" s="86">
        <f>IFERROR(VLOOKUP(B62,[2]BPS!$S$10:$AF$64,9,0),0)-IF(B62=100873,IFERROR(VLOOKUP("JULIO",[2]BPS!$S$74:$T$89,2,0),0),0)</f>
        <v>0</v>
      </c>
      <c r="AZ62" s="285">
        <f t="shared" si="198"/>
        <v>0</v>
      </c>
      <c r="BA62" s="86">
        <f>IFERROR(VLOOKUP(I62,'[2]RETAIL ORIGEN RMKT'!$S$11:$AF$62,9,0),0)</f>
        <v>0</v>
      </c>
      <c r="BB62" s="150">
        <f t="shared" si="199"/>
        <v>0</v>
      </c>
      <c r="BC62" s="148">
        <f>SUMIF('UC MINI 2026'!$B$5:$B$61,'UC MINI 2026 MINI NEXT'!$B62,'UC MINI 2026'!$T$5:$T$61)</f>
        <v>0</v>
      </c>
      <c r="BD62" s="86">
        <f>SUMIF('UC MINI 2026'!$B$5:$B$61,'UC MINI 2026 MINI NEXT'!$B62,'UC MINI 2026'!$U$5:$U$61)</f>
        <v>0</v>
      </c>
      <c r="BE62" s="297">
        <f t="shared" si="171"/>
        <v>0</v>
      </c>
      <c r="BF62" s="86">
        <f>IFERROR(VLOOKUP(B62,[2]BPS!$S$10:$AF$64,10,0),0)-IF(B62=100873,IFERROR(VLOOKUP("AGOSTO",[2]BPS!$S$74:$T$89,2,0),0),0)</f>
        <v>0</v>
      </c>
      <c r="BG62" s="285">
        <f t="shared" si="200"/>
        <v>0</v>
      </c>
      <c r="BH62" s="86">
        <f>IFERROR(VLOOKUP(P62,'[2]RETAIL ORIGEN RMKT'!$S$11:$AF$62,10,0),0)</f>
        <v>0</v>
      </c>
      <c r="BI62" s="150">
        <f t="shared" si="201"/>
        <v>0</v>
      </c>
      <c r="BJ62" s="148">
        <f>SUMIF('UC MINI 2026'!$B$5:$B$61,'UC MINI 2026 MINI NEXT'!$B62,'UC MINI 2026'!$V$5:$V$61)</f>
        <v>0</v>
      </c>
      <c r="BK62" s="86">
        <f>SUMIF('UC MINI 2026'!$B$5:$B$61,'UC MINI 2026 MINI NEXT'!$B62,'UC MINI 2026'!$W$5:$W$61)</f>
        <v>0</v>
      </c>
      <c r="BL62" s="297">
        <f t="shared" si="172"/>
        <v>0</v>
      </c>
      <c r="BM62" s="86">
        <f>IFERROR(VLOOKUP(B62,[2]BPS!$S$10:$AF$64,11,0),0)-IF(B62=100873,IFERROR(VLOOKUP("SEPTIEMBRE",[2]BPS!$S$74:$T$89,2,0),0),0)</f>
        <v>0</v>
      </c>
      <c r="BN62" s="285">
        <f t="shared" si="202"/>
        <v>0</v>
      </c>
      <c r="BO62" s="86">
        <f>IFERROR(VLOOKUP(W62,'[2]RETAIL ORIGEN RMKT'!$S$11:$AF$62,11,0),0)</f>
        <v>0</v>
      </c>
      <c r="BP62" s="150">
        <f t="shared" si="203"/>
        <v>0</v>
      </c>
      <c r="BQ62" s="148">
        <f>SUMIF('UC MINI 2026'!$B$5:$B$61,'UC MINI 2026 MINI NEXT'!$B62,'UC MINI 2026'!$V$5:$V$61)</f>
        <v>0</v>
      </c>
      <c r="BR62" s="86">
        <f>SUMIF('UC MINI 2026'!$B$5:$B$61,'UC MINI 2026 MINI NEXT'!$B62,'UC MINI 2026'!$Y$5:$Y$61)</f>
        <v>0</v>
      </c>
      <c r="BS62" s="297">
        <f t="shared" si="173"/>
        <v>0</v>
      </c>
      <c r="BT62" s="86">
        <f>IFERROR(VLOOKUP(B62,[2]BPS!$S$10:$AF$64,12,0),0)-IF(B62=100873,IFERROR(VLOOKUP("OCTUBRE",[2]BPS!$S$74:$T$89,2,0),0),0)</f>
        <v>0</v>
      </c>
      <c r="BU62" s="285">
        <f t="shared" si="204"/>
        <v>0</v>
      </c>
      <c r="BV62" s="86">
        <f>IFERROR(VLOOKUP(AD62,'[2]RETAIL ORIGEN RMKT'!$S$11:$AF$62,12,0),0)</f>
        <v>0</v>
      </c>
      <c r="BW62" s="150">
        <f t="shared" si="205"/>
        <v>0</v>
      </c>
      <c r="BX62" s="148">
        <f>SUMIF('UC MINI 2026'!$B$5:$B$61,'UC MINI 2026 MINI NEXT'!$B62,'UC MINI 2026'!$V$5:$V$61)</f>
        <v>0</v>
      </c>
      <c r="BY62" s="86">
        <f>SUMIF('UC MINI 2026'!$B$5:$B$61,'UC MINI 2026 MINI NEXT'!$B62,'UC MINI 2026'!$AA$5:$AA$61)</f>
        <v>0</v>
      </c>
      <c r="BZ62" s="297">
        <f t="shared" si="174"/>
        <v>0</v>
      </c>
      <c r="CA62" s="86">
        <f>IFERROR(VLOOKUP(B62,[2]BPS!$S$10:$AF$64,13,0),0)-IF(B62=100873,IFERROR(VLOOKUP("NOVIEMBRE",[2]BPS!$S$74:$T$89,2,0),0),0)</f>
        <v>0</v>
      </c>
      <c r="CB62" s="285">
        <f t="shared" si="206"/>
        <v>0</v>
      </c>
      <c r="CC62" s="86">
        <f>IFERROR(VLOOKUP(AK62,'[2]RETAIL ORIGEN RMKT'!$S$11:$AF$62,13,0),0)</f>
        <v>0</v>
      </c>
      <c r="CD62" s="150">
        <f t="shared" si="207"/>
        <v>0</v>
      </c>
      <c r="CE62" s="148">
        <f>SUMIF('UC MINI 2026'!$B$5:$B$61,'UC MINI 2026 MINI NEXT'!$B62,'UC MINI 2026'!$V$5:$V$61)</f>
        <v>0</v>
      </c>
      <c r="CF62" s="86">
        <f>SUMIF('UC MINI 2026'!$B$5:$B$61,'UC MINI 2026 MINI NEXT'!$B62,'UC MINI 2026'!$AC$5:$AC$61)</f>
        <v>0</v>
      </c>
      <c r="CG62" s="297">
        <f t="shared" si="175"/>
        <v>0</v>
      </c>
      <c r="CH62" s="86">
        <f>IFERROR(VLOOKUP(B62,[2]BPS!$S$10:$AF$64,14,0),0)-IF(B62=100873,IFERROR(VLOOKUP("DICIEMBRE",[2]BPS!$S$74:$T$89,2,0),0),0)</f>
        <v>0</v>
      </c>
      <c r="CI62" s="285">
        <f t="shared" si="208"/>
        <v>0</v>
      </c>
      <c r="CJ62" s="86">
        <f>IFERROR(VLOOKUP(AR62,'[2]RETAIL ORIGEN RMKT'!$S$11:$AF$62,14,0),0)</f>
        <v>0</v>
      </c>
      <c r="CK62" s="150">
        <f t="shared" si="209"/>
        <v>0</v>
      </c>
      <c r="CL62" s="54">
        <f t="shared" si="238"/>
        <v>15</v>
      </c>
      <c r="CM62" s="86">
        <f t="shared" si="238"/>
        <v>16</v>
      </c>
      <c r="CN62" s="109">
        <f t="shared" si="176"/>
        <v>1.0666666666666667</v>
      </c>
      <c r="CO62" s="86">
        <f t="shared" si="239"/>
        <v>13</v>
      </c>
      <c r="CP62" s="297">
        <f t="shared" si="240"/>
        <v>0.8125</v>
      </c>
      <c r="CQ62" s="348">
        <f t="shared" si="241"/>
        <v>9</v>
      </c>
      <c r="CR62" s="149">
        <f t="shared" si="177"/>
        <v>0.6</v>
      </c>
      <c r="CS62" s="54">
        <f t="shared" si="242"/>
        <v>15</v>
      </c>
      <c r="CT62" s="86">
        <f t="shared" si="243"/>
        <v>16</v>
      </c>
      <c r="CU62" s="109">
        <f t="shared" si="52"/>
        <v>1.0666666666666667</v>
      </c>
      <c r="CV62" s="68">
        <f t="shared" si="244"/>
        <v>13</v>
      </c>
      <c r="CW62" s="297">
        <f t="shared" si="245"/>
        <v>0.8125</v>
      </c>
      <c r="CX62" s="350">
        <f t="shared" si="246"/>
        <v>9</v>
      </c>
      <c r="CY62" s="149">
        <f t="shared" si="178"/>
        <v>0.6</v>
      </c>
      <c r="CZ62" s="54">
        <f t="shared" si="247"/>
        <v>6</v>
      </c>
      <c r="DA62" s="86">
        <f t="shared" si="247"/>
        <v>10</v>
      </c>
      <c r="DB62" s="109">
        <f t="shared" si="227"/>
        <v>1.6666666666666667</v>
      </c>
      <c r="DC62" s="68">
        <f t="shared" si="248"/>
        <v>9</v>
      </c>
      <c r="DD62" s="297">
        <f t="shared" si="249"/>
        <v>0.9</v>
      </c>
      <c r="DE62" s="350">
        <f t="shared" si="250"/>
        <v>7</v>
      </c>
      <c r="DF62" s="150">
        <f t="shared" si="228"/>
        <v>1.1666666666666667</v>
      </c>
      <c r="DG62" s="54">
        <f t="shared" si="89"/>
        <v>15</v>
      </c>
      <c r="DH62" s="86">
        <f t="shared" si="89"/>
        <v>16</v>
      </c>
      <c r="DI62" s="109">
        <f t="shared" si="229"/>
        <v>1.0666666666666667</v>
      </c>
      <c r="DJ62" s="68">
        <f t="shared" si="251"/>
        <v>13</v>
      </c>
      <c r="DK62" s="297">
        <f t="shared" si="230"/>
        <v>0.8125</v>
      </c>
      <c r="DL62" s="350">
        <f t="shared" si="252"/>
        <v>9</v>
      </c>
      <c r="DM62" s="150">
        <f t="shared" si="231"/>
        <v>0.6</v>
      </c>
      <c r="DN62" s="67">
        <f t="shared" si="253"/>
        <v>0</v>
      </c>
      <c r="DO62" s="266">
        <f t="shared" si="253"/>
        <v>0</v>
      </c>
      <c r="DP62" s="109">
        <f t="shared" si="232"/>
        <v>0</v>
      </c>
      <c r="DQ62" s="68">
        <f t="shared" si="254"/>
        <v>0</v>
      </c>
      <c r="DR62" s="297" t="str">
        <f t="shared" si="233"/>
        <v>N.D.</v>
      </c>
      <c r="DS62" s="350">
        <f t="shared" si="255"/>
        <v>0</v>
      </c>
      <c r="DT62" s="150">
        <f t="shared" si="234"/>
        <v>0</v>
      </c>
      <c r="DU62" s="53">
        <v>1</v>
      </c>
    </row>
    <row r="63" spans="1:134" s="53" customFormat="1" ht="16" customHeight="1" thickBot="1" x14ac:dyDescent="0.35">
      <c r="A63" s="53">
        <f>_xlfn.XLOOKUP(B63,'UC MINI 2026'!$B$5:$B$61,'UC MINI 2026'!$A$5:$A$61)</f>
        <v>10</v>
      </c>
      <c r="B63" s="179">
        <v>100881</v>
      </c>
      <c r="C63" s="381" t="s">
        <v>163</v>
      </c>
      <c r="D63" s="146"/>
      <c r="E63" s="309" t="s">
        <v>164</v>
      </c>
      <c r="F63" s="54">
        <f>SUMIF('UC MINI 2026'!$B$5:$B$71,'UC MINI 2026 MINI NEXT'!$B63,'UC MINI 2026'!$F$5:$F$71)</f>
        <v>4</v>
      </c>
      <c r="G63" s="86">
        <f>SUMIF('UC MINI 2026'!$B$5:$B$71,'UC MINI 2026 MINI NEXT'!$B63,'UC MINI 2026'!$G$5:$G$71)</f>
        <v>3</v>
      </c>
      <c r="H63" s="297">
        <f t="shared" si="54"/>
        <v>0.75</v>
      </c>
      <c r="I63" s="86">
        <f>IFERROR(VLOOKUP(B63,[2]BPS!$S$10:$AF$64,3,0),0)-IF(B63=100873,IFERROR(VLOOKUP("Enero",[2]BPS!$S$74:$T$89,2,0),0),0)</f>
        <v>3</v>
      </c>
      <c r="J63" s="297">
        <f t="shared" si="55"/>
        <v>1</v>
      </c>
      <c r="K63" s="86">
        <f>IFERROR(VLOOKUP(B63,'[2]RETAIL ORIGEN RMKT'!$S$11:$AF$62,3,0),0)</f>
        <v>0</v>
      </c>
      <c r="L63" s="150">
        <f t="shared" si="56"/>
        <v>0</v>
      </c>
      <c r="M63" s="79">
        <f>SUMIF('UC MINI 2026'!$B$5:$B$61,'UC MINI 2026 MINI NEXT'!$B63,'UC MINI 2026'!$H$5:$H$61)</f>
        <v>4</v>
      </c>
      <c r="N63" s="86">
        <f>SUMIF('UC MINI 2026'!$B$5:$B$61,'UC MINI 2026 MINI NEXT'!$B63,'UC MINI 2026'!$I$5:$I$61)</f>
        <v>8</v>
      </c>
      <c r="O63" s="297">
        <f t="shared" si="165"/>
        <v>2</v>
      </c>
      <c r="P63" s="86">
        <f>IFERROR(VLOOKUP(B63,[2]BPS!$S$10:$AF$64,4,0),0)-IF(B63=100873,IFERROR(VLOOKUP("FEBRERO",[2]BPS!$S$74:$T$89,2,0),0),0)</f>
        <v>8</v>
      </c>
      <c r="Q63" s="297">
        <f t="shared" si="188"/>
        <v>1</v>
      </c>
      <c r="R63" s="86">
        <f>IFERROR(VLOOKUP(B63,'[2]RETAIL ORIGEN RMKT'!$S$11:$AF$62,4,0),0)</f>
        <v>3</v>
      </c>
      <c r="S63" s="150">
        <f t="shared" si="189"/>
        <v>0.75</v>
      </c>
      <c r="T63" s="148">
        <f>SUMIF('UC MINI 2026'!$B$5:$B$71,'UC MINI 2026 MINI NEXT'!$B63,'UC MINI 2026'!$J$5:$J$71)</f>
        <v>4</v>
      </c>
      <c r="U63" s="86">
        <f>SUMIF('UC MINI 2026'!$B$10:$B$61,'UC MINI 2026 MINI NEXT'!$B63,'UC MINI 2026'!$K$10:$K$61)</f>
        <v>5</v>
      </c>
      <c r="V63" s="297">
        <f t="shared" si="166"/>
        <v>1.25</v>
      </c>
      <c r="W63" s="86">
        <f>IFERROR(VLOOKUP(B63,[2]BPS!$S$10:$AF$64,5,0),0)-IF(B63=100873,IFERROR(VLOOKUP("MARZO",[2]BPS!$S$74:$T$89,2,0),0),0)</f>
        <v>5</v>
      </c>
      <c r="X63" s="297">
        <f t="shared" si="190"/>
        <v>1</v>
      </c>
      <c r="Y63" s="86">
        <f>IFERROR(VLOOKUP(B63,'[2]RETAIL ORIGEN RMKT'!$S$11:$AF$62,5,0),0)</f>
        <v>1</v>
      </c>
      <c r="Z63" s="150">
        <f t="shared" si="191"/>
        <v>0.25</v>
      </c>
      <c r="AA63" s="148">
        <f>SUMIF('UC MINI 2026'!$B$5:$B$61,'UC MINI 2026 MINI NEXT'!$B63,'UC MINI 2026'!$L$5:$L$61)</f>
        <v>4</v>
      </c>
      <c r="AB63" s="86">
        <f>SUMIF('UC MINI 2026'!$B$5:$B$61,'UC MINI 2026 MINI NEXT'!$B63,'UC MINI 2026'!$M$5:$M$61)</f>
        <v>10</v>
      </c>
      <c r="AC63" s="297">
        <f t="shared" si="167"/>
        <v>2.5</v>
      </c>
      <c r="AD63" s="86">
        <f>IFERROR(VLOOKUP(B63,[2]BPS!$S$10:$AF$64,6,0),0)-IF(B63=100873,IFERROR(VLOOKUP("ABRIL",[2]BPS!$S$74:$T$89,2,0),0),0)</f>
        <v>10</v>
      </c>
      <c r="AE63" s="285">
        <f t="shared" si="192"/>
        <v>1</v>
      </c>
      <c r="AF63" s="86">
        <f>IFERROR(VLOOKUP(B63,'[2]RETAIL ORIGEN RMKT'!$S$11:$AF$62,6,0),0)</f>
        <v>3</v>
      </c>
      <c r="AG63" s="150">
        <f t="shared" si="193"/>
        <v>0.75</v>
      </c>
      <c r="AH63" s="148">
        <f>SUMIF('UC MINI 2026'!$B$5:$B$61,'UC MINI 2026 MINI NEXT'!$B63,'UC MINI 2026'!$N$5:$N$61)</f>
        <v>4</v>
      </c>
      <c r="AI63" s="86">
        <f>SUMIF('UC MINI 2026'!$B$5:$B$61,'UC MINI 2026 MINI NEXT'!$B63,'UC MINI 2026'!$O$5:$O$61)</f>
        <v>4</v>
      </c>
      <c r="AJ63" s="297">
        <f t="shared" si="168"/>
        <v>1</v>
      </c>
      <c r="AK63" s="86">
        <f>IFERROR(VLOOKUP(B63,[2]BPS!$S$10:$AF$64,7,0),0)-IF(B63=100873,IFERROR(VLOOKUP("MAYO",[2]BPS!$S$74:$T$89,2,0),0),0)</f>
        <v>4</v>
      </c>
      <c r="AL63" s="285">
        <f t="shared" si="194"/>
        <v>1</v>
      </c>
      <c r="AM63" s="86">
        <f>IFERROR(VLOOKUP(B63,'[2]RETAIL ORIGEN RMKT'!$S$11:$AF$62,7,0),0)</f>
        <v>0</v>
      </c>
      <c r="AN63" s="150">
        <f t="shared" si="195"/>
        <v>0</v>
      </c>
      <c r="AO63" s="148">
        <f>SUMIF('UC MINI 2026'!$B$5:$B$61,'UC MINI 2026 MINI NEXT'!$B63,'UC MINI 2026'!$P$5:$P$61)</f>
        <v>5</v>
      </c>
      <c r="AP63" s="86">
        <f>SUMIF('UC MINI 2026'!$B$5:$B$61,'UC MINI 2026 MINI NEXT'!$B63,'UC MINI 2026'!$Q$5:$Q$61)</f>
        <v>9</v>
      </c>
      <c r="AQ63" s="297">
        <f t="shared" si="169"/>
        <v>1.8</v>
      </c>
      <c r="AR63" s="86">
        <f>IFERROR(VLOOKUP(B63,[2]BPS!$S$10:$AF$64,8,0),0)-IF(B63=100873,IFERROR(VLOOKUP("JUNIO",[2]BPS!$S$74:$T$89,2,0),0),0)</f>
        <v>9</v>
      </c>
      <c r="AS63" s="285">
        <f t="shared" si="196"/>
        <v>1</v>
      </c>
      <c r="AT63" s="86">
        <f>IFERROR(VLOOKUP(B63,'[2]RETAIL ORIGEN RMKT'!$S$11:$AF$62,8,0),0)</f>
        <v>3</v>
      </c>
      <c r="AU63" s="150">
        <f t="shared" si="197"/>
        <v>0.6</v>
      </c>
      <c r="AV63" s="148">
        <f>SUMIF('UC MINI 2026'!$B$5:$B$61,'UC MINI 2026 MINI NEXT'!$B63,'UC MINI 2026'!$R$5:$R$61)</f>
        <v>0</v>
      </c>
      <c r="AW63" s="86">
        <f>SUMIF('UC MINI 2026'!$B$5:$B$61,'UC MINI 2026 MINI NEXT'!$B63,'UC MINI 2026'!$S$5:$S$61)</f>
        <v>0</v>
      </c>
      <c r="AX63" s="297">
        <f t="shared" si="170"/>
        <v>0</v>
      </c>
      <c r="AY63" s="86">
        <f>IFERROR(VLOOKUP(B63,[2]BPS!$S$10:$AF$64,9,0),0)-IF(B63=100873,IFERROR(VLOOKUP("JULIO",[2]BPS!$S$74:$T$89,2,0),0),0)</f>
        <v>0</v>
      </c>
      <c r="AZ63" s="285">
        <f t="shared" si="198"/>
        <v>0</v>
      </c>
      <c r="BA63" s="86">
        <f>IFERROR(VLOOKUP(I63,'[2]RETAIL ORIGEN RMKT'!$S$11:$AF$62,9,0),0)</f>
        <v>0</v>
      </c>
      <c r="BB63" s="150">
        <f t="shared" si="199"/>
        <v>0</v>
      </c>
      <c r="BC63" s="148">
        <f>SUMIF('UC MINI 2026'!$B$5:$B$61,'UC MINI 2026 MINI NEXT'!$B63,'UC MINI 2026'!$T$5:$T$61)</f>
        <v>0</v>
      </c>
      <c r="BD63" s="86">
        <f>SUMIF('UC MINI 2026'!$B$5:$B$61,'UC MINI 2026 MINI NEXT'!$B63,'UC MINI 2026'!$U$5:$U$61)</f>
        <v>0</v>
      </c>
      <c r="BE63" s="297">
        <f t="shared" si="171"/>
        <v>0</v>
      </c>
      <c r="BF63" s="86">
        <f>IFERROR(VLOOKUP(B63,[2]BPS!$S$10:$AF$64,10,0),0)-IF(B63=100873,IFERROR(VLOOKUP("AGOSTO",[2]BPS!$S$74:$T$89,2,0),0),0)</f>
        <v>0</v>
      </c>
      <c r="BG63" s="285">
        <f t="shared" si="200"/>
        <v>0</v>
      </c>
      <c r="BH63" s="86">
        <f>IFERROR(VLOOKUP(P63,'[2]RETAIL ORIGEN RMKT'!$S$11:$AF$62,10,0),0)</f>
        <v>0</v>
      </c>
      <c r="BI63" s="150">
        <f t="shared" si="201"/>
        <v>0</v>
      </c>
      <c r="BJ63" s="148">
        <f>SUMIF('UC MINI 2026'!$B$5:$B$61,'UC MINI 2026 MINI NEXT'!$B63,'UC MINI 2026'!$V$5:$V$61)</f>
        <v>0</v>
      </c>
      <c r="BK63" s="86">
        <f>SUMIF('UC MINI 2026'!$B$5:$B$61,'UC MINI 2026 MINI NEXT'!$B63,'UC MINI 2026'!$W$5:$W$61)</f>
        <v>0</v>
      </c>
      <c r="BL63" s="297">
        <f t="shared" si="172"/>
        <v>0</v>
      </c>
      <c r="BM63" s="86">
        <f>IFERROR(VLOOKUP(B63,[2]BPS!$S$10:$AF$64,11,0),0)-IF(B63=100873,IFERROR(VLOOKUP("SEPTIEMBRE",[2]BPS!$S$74:$T$89,2,0),0),0)</f>
        <v>0</v>
      </c>
      <c r="BN63" s="285">
        <f t="shared" si="202"/>
        <v>0</v>
      </c>
      <c r="BO63" s="86">
        <f>IFERROR(VLOOKUP(W63,'[2]RETAIL ORIGEN RMKT'!$S$11:$AF$62,11,0),0)</f>
        <v>0</v>
      </c>
      <c r="BP63" s="150">
        <f t="shared" si="203"/>
        <v>0</v>
      </c>
      <c r="BQ63" s="148">
        <f>SUMIF('UC MINI 2026'!$B$5:$B$61,'UC MINI 2026 MINI NEXT'!$B63,'UC MINI 2026'!$V$5:$V$61)</f>
        <v>0</v>
      </c>
      <c r="BR63" s="86">
        <f>SUMIF('UC MINI 2026'!$B$5:$B$61,'UC MINI 2026 MINI NEXT'!$B63,'UC MINI 2026'!$Y$5:$Y$61)</f>
        <v>0</v>
      </c>
      <c r="BS63" s="297">
        <f t="shared" si="173"/>
        <v>0</v>
      </c>
      <c r="BT63" s="86">
        <f>IFERROR(VLOOKUP(B63,[2]BPS!$S$10:$AF$64,12,0),0)-IF(B63=100873,IFERROR(VLOOKUP("OCTUBRE",[2]BPS!$S$74:$T$89,2,0),0),0)</f>
        <v>0</v>
      </c>
      <c r="BU63" s="285">
        <f t="shared" si="204"/>
        <v>0</v>
      </c>
      <c r="BV63" s="86">
        <f>IFERROR(VLOOKUP(AD63,'[2]RETAIL ORIGEN RMKT'!$S$11:$AF$62,12,0),0)</f>
        <v>0</v>
      </c>
      <c r="BW63" s="150">
        <f t="shared" si="205"/>
        <v>0</v>
      </c>
      <c r="BX63" s="148">
        <f>SUMIF('UC MINI 2026'!$B$5:$B$61,'UC MINI 2026 MINI NEXT'!$B63,'UC MINI 2026'!$V$5:$V$61)</f>
        <v>0</v>
      </c>
      <c r="BY63" s="86">
        <f>SUMIF('UC MINI 2026'!$B$5:$B$61,'UC MINI 2026 MINI NEXT'!$B63,'UC MINI 2026'!$AA$5:$AA$61)</f>
        <v>0</v>
      </c>
      <c r="BZ63" s="297">
        <f t="shared" si="174"/>
        <v>0</v>
      </c>
      <c r="CA63" s="86">
        <f>IFERROR(VLOOKUP(B63,[2]BPS!$S$10:$AF$64,13,0),0)-IF(B63=100873,IFERROR(VLOOKUP("NOVIEMBRE",[2]BPS!$S$74:$T$89,2,0),0),0)</f>
        <v>0</v>
      </c>
      <c r="CB63" s="285">
        <f t="shared" si="206"/>
        <v>0</v>
      </c>
      <c r="CC63" s="86">
        <f>IFERROR(VLOOKUP(AK63,'[2]RETAIL ORIGEN RMKT'!$S$11:$AF$62,13,0),0)</f>
        <v>0</v>
      </c>
      <c r="CD63" s="150">
        <f t="shared" si="207"/>
        <v>0</v>
      </c>
      <c r="CE63" s="148">
        <f>SUMIF('UC MINI 2026'!$B$5:$B$61,'UC MINI 2026 MINI NEXT'!$B63,'UC MINI 2026'!$V$5:$V$61)</f>
        <v>0</v>
      </c>
      <c r="CF63" s="86">
        <f>SUMIF('UC MINI 2026'!$B$5:$B$61,'UC MINI 2026 MINI NEXT'!$B63,'UC MINI 2026'!$AC$5:$AC$61)</f>
        <v>0</v>
      </c>
      <c r="CG63" s="297">
        <f t="shared" si="175"/>
        <v>0</v>
      </c>
      <c r="CH63" s="86">
        <f>IFERROR(VLOOKUP(B63,[2]BPS!$S$10:$AF$64,14,0),0)-IF(B63=100873,IFERROR(VLOOKUP("DICIEMBRE",[2]BPS!$S$74:$T$89,2,0),0),0)</f>
        <v>0</v>
      </c>
      <c r="CI63" s="285">
        <f t="shared" si="208"/>
        <v>0</v>
      </c>
      <c r="CJ63" s="86">
        <f>IFERROR(VLOOKUP(AR63,'[2]RETAIL ORIGEN RMKT'!$S$11:$AF$62,14,0),0)</f>
        <v>0</v>
      </c>
      <c r="CK63" s="150">
        <f t="shared" si="209"/>
        <v>0</v>
      </c>
      <c r="CL63" s="58">
        <f t="shared" si="238"/>
        <v>25</v>
      </c>
      <c r="CM63" s="59">
        <f t="shared" si="238"/>
        <v>39</v>
      </c>
      <c r="CN63" s="112">
        <f t="shared" si="176"/>
        <v>1.56</v>
      </c>
      <c r="CO63" s="86">
        <f t="shared" si="239"/>
        <v>39</v>
      </c>
      <c r="CP63" s="297">
        <f t="shared" si="240"/>
        <v>1</v>
      </c>
      <c r="CQ63" s="348">
        <f t="shared" si="241"/>
        <v>10</v>
      </c>
      <c r="CR63" s="152">
        <f t="shared" si="177"/>
        <v>0.4</v>
      </c>
      <c r="CS63" s="58">
        <f t="shared" si="242"/>
        <v>25</v>
      </c>
      <c r="CT63" s="59">
        <f t="shared" si="243"/>
        <v>39</v>
      </c>
      <c r="CU63" s="112">
        <f t="shared" si="52"/>
        <v>1.56</v>
      </c>
      <c r="CV63" s="68">
        <f t="shared" si="244"/>
        <v>39</v>
      </c>
      <c r="CW63" s="299">
        <f t="shared" si="245"/>
        <v>1</v>
      </c>
      <c r="CX63" s="350">
        <f t="shared" si="246"/>
        <v>10</v>
      </c>
      <c r="CY63" s="152">
        <f t="shared" si="178"/>
        <v>0.4</v>
      </c>
      <c r="CZ63" s="58">
        <f t="shared" si="247"/>
        <v>12</v>
      </c>
      <c r="DA63" s="59">
        <f t="shared" si="247"/>
        <v>16</v>
      </c>
      <c r="DB63" s="112">
        <f t="shared" si="227"/>
        <v>1.3333333333333333</v>
      </c>
      <c r="DC63" s="68">
        <f t="shared" si="248"/>
        <v>16</v>
      </c>
      <c r="DD63" s="299">
        <f t="shared" si="249"/>
        <v>1</v>
      </c>
      <c r="DE63" s="350">
        <f t="shared" si="250"/>
        <v>4</v>
      </c>
      <c r="DF63" s="153">
        <f t="shared" si="228"/>
        <v>0.33333333333333331</v>
      </c>
      <c r="DG63" s="58">
        <f t="shared" si="89"/>
        <v>25</v>
      </c>
      <c r="DH63" s="59">
        <f t="shared" si="89"/>
        <v>39</v>
      </c>
      <c r="DI63" s="112">
        <f t="shared" si="229"/>
        <v>1.56</v>
      </c>
      <c r="DJ63" s="68">
        <f t="shared" si="251"/>
        <v>39</v>
      </c>
      <c r="DK63" s="299">
        <f t="shared" si="230"/>
        <v>1</v>
      </c>
      <c r="DL63" s="350">
        <f t="shared" si="252"/>
        <v>10</v>
      </c>
      <c r="DM63" s="153">
        <f t="shared" si="231"/>
        <v>0.4</v>
      </c>
      <c r="DN63" s="67">
        <f t="shared" si="253"/>
        <v>0</v>
      </c>
      <c r="DO63" s="266">
        <f t="shared" si="253"/>
        <v>0</v>
      </c>
      <c r="DP63" s="112">
        <f t="shared" si="232"/>
        <v>0</v>
      </c>
      <c r="DQ63" s="68">
        <f t="shared" si="254"/>
        <v>0</v>
      </c>
      <c r="DR63" s="299" t="str">
        <f t="shared" si="233"/>
        <v>N.D.</v>
      </c>
      <c r="DS63" s="350">
        <f t="shared" si="255"/>
        <v>0</v>
      </c>
      <c r="DT63" s="153">
        <f t="shared" si="234"/>
        <v>0</v>
      </c>
      <c r="DU63" s="53">
        <v>1</v>
      </c>
    </row>
    <row r="64" spans="1:134" s="53" customFormat="1" ht="16" customHeight="1" thickBot="1" x14ac:dyDescent="0.35">
      <c r="A64" s="50"/>
      <c r="B64" s="180" t="s">
        <v>99</v>
      </c>
      <c r="C64" s="62"/>
      <c r="D64" s="146"/>
      <c r="E64" s="62"/>
      <c r="F64" s="63">
        <f>SUM(F58:F63)</f>
        <v>23</v>
      </c>
      <c r="G64" s="63">
        <f>SUM(G58:G63)</f>
        <v>21</v>
      </c>
      <c r="H64" s="164">
        <f t="shared" si="54"/>
        <v>0.91304347826086951</v>
      </c>
      <c r="I64" s="63">
        <f>SUM(I58:I63)</f>
        <v>14</v>
      </c>
      <c r="J64" s="164">
        <f t="shared" si="55"/>
        <v>0.66666666666666663</v>
      </c>
      <c r="K64" s="63">
        <f>SUM(K58:K63)</f>
        <v>4</v>
      </c>
      <c r="L64" s="164">
        <f t="shared" si="56"/>
        <v>0.17391304347826086</v>
      </c>
      <c r="M64" s="63">
        <f>SUM(M58:M63)</f>
        <v>24</v>
      </c>
      <c r="N64" s="63">
        <f>SUM(N58:N63)</f>
        <v>29</v>
      </c>
      <c r="O64" s="164">
        <f t="shared" si="165"/>
        <v>1.2083333333333333</v>
      </c>
      <c r="P64" s="63">
        <f>SUM(P58:P63)</f>
        <v>28</v>
      </c>
      <c r="Q64" s="164">
        <f t="shared" si="188"/>
        <v>0.96551724137931039</v>
      </c>
      <c r="R64" s="63">
        <f>SUM(R58:R63)</f>
        <v>9</v>
      </c>
      <c r="S64" s="164">
        <f t="shared" si="189"/>
        <v>0.375</v>
      </c>
      <c r="T64" s="63">
        <f>SUM(T58:T63)</f>
        <v>24</v>
      </c>
      <c r="U64" s="63">
        <f>SUM(U58:U63)</f>
        <v>24</v>
      </c>
      <c r="V64" s="164">
        <f t="shared" si="166"/>
        <v>1</v>
      </c>
      <c r="W64" s="63">
        <f>SUM(W58:W63)</f>
        <v>20</v>
      </c>
      <c r="X64" s="164">
        <f t="shared" si="190"/>
        <v>0.83333333333333337</v>
      </c>
      <c r="Y64" s="63">
        <f>SUM(Y58:Y63)</f>
        <v>5</v>
      </c>
      <c r="Z64" s="164">
        <f t="shared" si="191"/>
        <v>0.20833333333333334</v>
      </c>
      <c r="AA64" s="63">
        <f>SUM(AA58:AA63)</f>
        <v>26</v>
      </c>
      <c r="AB64" s="63">
        <f>SUM(AB58:AB63)</f>
        <v>23</v>
      </c>
      <c r="AC64" s="164">
        <f t="shared" si="167"/>
        <v>0.88461538461538458</v>
      </c>
      <c r="AD64" s="63">
        <f>SUM(AD58:AD63)</f>
        <v>20</v>
      </c>
      <c r="AE64" s="164">
        <f t="shared" si="192"/>
        <v>0.86956521739130432</v>
      </c>
      <c r="AF64" s="63">
        <f>SUM(AF58:AF63)</f>
        <v>5</v>
      </c>
      <c r="AG64" s="164">
        <f t="shared" si="193"/>
        <v>0.19230769230769232</v>
      </c>
      <c r="AH64" s="63">
        <f>SUM(AH58:AH63)</f>
        <v>26</v>
      </c>
      <c r="AI64" s="63">
        <f>SUM(AI58:AI63)</f>
        <v>33</v>
      </c>
      <c r="AJ64" s="164">
        <f t="shared" si="168"/>
        <v>1.2692307692307692</v>
      </c>
      <c r="AK64" s="63">
        <f>SUM(AK58:AK63)</f>
        <v>32</v>
      </c>
      <c r="AL64" s="164">
        <f t="shared" si="194"/>
        <v>0.96969696969696972</v>
      </c>
      <c r="AM64" s="63">
        <f>SUM(AM58:AM63)</f>
        <v>5</v>
      </c>
      <c r="AN64" s="164">
        <f t="shared" si="195"/>
        <v>0.19230769230769232</v>
      </c>
      <c r="AO64" s="63">
        <f>SUM(AO58:AO63)</f>
        <v>27</v>
      </c>
      <c r="AP64" s="63">
        <f>SUM(AP58:AP63)</f>
        <v>37</v>
      </c>
      <c r="AQ64" s="164">
        <f t="shared" si="169"/>
        <v>1.3703703703703705</v>
      </c>
      <c r="AR64" s="63">
        <f>SUM(AR58:AR63)</f>
        <v>35</v>
      </c>
      <c r="AS64" s="164">
        <f t="shared" si="196"/>
        <v>0.94594594594594594</v>
      </c>
      <c r="AT64" s="63">
        <f>SUM(AT58:AT63)</f>
        <v>5</v>
      </c>
      <c r="AU64" s="164">
        <f t="shared" si="197"/>
        <v>0.18518518518518517</v>
      </c>
      <c r="AV64" s="63">
        <f>SUM(AV58:AV63)</f>
        <v>0</v>
      </c>
      <c r="AW64" s="63">
        <f>SUM(AW58:AW63)</f>
        <v>0</v>
      </c>
      <c r="AX64" s="164">
        <f t="shared" si="170"/>
        <v>0</v>
      </c>
      <c r="AY64" s="63">
        <f>SUM(AY58:AY63)</f>
        <v>0</v>
      </c>
      <c r="AZ64" s="164">
        <f t="shared" si="198"/>
        <v>0</v>
      </c>
      <c r="BA64" s="63">
        <f>SUM(BA58:BA63)</f>
        <v>0</v>
      </c>
      <c r="BB64" s="164">
        <f t="shared" si="199"/>
        <v>0</v>
      </c>
      <c r="BC64" s="63">
        <f>SUM(BC58:BC63)</f>
        <v>0</v>
      </c>
      <c r="BD64" s="63">
        <f>SUM(BD58:BD63)</f>
        <v>0</v>
      </c>
      <c r="BE64" s="164">
        <f t="shared" si="171"/>
        <v>0</v>
      </c>
      <c r="BF64" s="63">
        <f>SUM(BF58:BF63)</f>
        <v>0</v>
      </c>
      <c r="BG64" s="164">
        <f t="shared" si="200"/>
        <v>0</v>
      </c>
      <c r="BH64" s="63">
        <f>SUM(BH58:BH63)</f>
        <v>0</v>
      </c>
      <c r="BI64" s="164">
        <f t="shared" si="201"/>
        <v>0</v>
      </c>
      <c r="BJ64" s="63">
        <f>SUM(BJ58:BJ63)</f>
        <v>0</v>
      </c>
      <c r="BK64" s="63">
        <f>SUM(BK58:BK63)</f>
        <v>0</v>
      </c>
      <c r="BL64" s="164">
        <f t="shared" si="172"/>
        <v>0</v>
      </c>
      <c r="BM64" s="63">
        <f>SUM(BM58:BM63)</f>
        <v>0</v>
      </c>
      <c r="BN64" s="164">
        <f t="shared" si="202"/>
        <v>0</v>
      </c>
      <c r="BO64" s="63">
        <f>SUM(BO58:BO63)</f>
        <v>0</v>
      </c>
      <c r="BP64" s="164">
        <f t="shared" si="203"/>
        <v>0</v>
      </c>
      <c r="BQ64" s="63">
        <f>SUM(BQ58:BQ63)</f>
        <v>0</v>
      </c>
      <c r="BR64" s="63">
        <f>SUM(BR58:BR63)</f>
        <v>0</v>
      </c>
      <c r="BS64" s="164">
        <f t="shared" si="173"/>
        <v>0</v>
      </c>
      <c r="BT64" s="63">
        <f>SUM(BT58:BT63)</f>
        <v>0</v>
      </c>
      <c r="BU64" s="164">
        <f t="shared" si="204"/>
        <v>0</v>
      </c>
      <c r="BV64" s="63">
        <f>SUM(BV58:BV63)</f>
        <v>0</v>
      </c>
      <c r="BW64" s="164">
        <f t="shared" si="205"/>
        <v>0</v>
      </c>
      <c r="BX64" s="63">
        <f>SUM(BX58:BX63)</f>
        <v>0</v>
      </c>
      <c r="BY64" s="63">
        <f>SUM(BY58:BY63)</f>
        <v>0</v>
      </c>
      <c r="BZ64" s="164">
        <f t="shared" si="174"/>
        <v>0</v>
      </c>
      <c r="CA64" s="63">
        <f>SUM(CA58:CA63)</f>
        <v>0</v>
      </c>
      <c r="CB64" s="164">
        <f t="shared" si="206"/>
        <v>0</v>
      </c>
      <c r="CC64" s="63">
        <f>SUM(CC58:CC63)</f>
        <v>0</v>
      </c>
      <c r="CD64" s="164">
        <f t="shared" si="207"/>
        <v>0</v>
      </c>
      <c r="CE64" s="63">
        <f>SUM(CE58:CE63)</f>
        <v>0</v>
      </c>
      <c r="CF64" s="63">
        <f>SUM(CF58:CF63)</f>
        <v>0</v>
      </c>
      <c r="CG64" s="164">
        <f t="shared" si="175"/>
        <v>0</v>
      </c>
      <c r="CH64" s="63">
        <f>SUM(CH58:CH63)</f>
        <v>0</v>
      </c>
      <c r="CI64" s="164">
        <f t="shared" si="208"/>
        <v>0</v>
      </c>
      <c r="CJ64" s="63">
        <f>SUM(CJ58:CJ63)</f>
        <v>0</v>
      </c>
      <c r="CK64" s="164">
        <f t="shared" si="209"/>
        <v>0</v>
      </c>
      <c r="CL64" s="63">
        <f>SUM(CL58:CL63)</f>
        <v>150</v>
      </c>
      <c r="CM64" s="65">
        <f>SUM(CM58:CM63)</f>
        <v>167</v>
      </c>
      <c r="CN64" s="157">
        <f t="shared" si="176"/>
        <v>1.1133333333333333</v>
      </c>
      <c r="CO64" s="158">
        <f>SUM(CO58:CO63)</f>
        <v>149</v>
      </c>
      <c r="CP64" s="159">
        <f>IF(CM64=0,"N.D.",CO64/CM64)</f>
        <v>0.89221556886227549</v>
      </c>
      <c r="CQ64" s="349">
        <f>IF($CL$4="ENERO",K64,
IF($CL$4="FEBRERO",K64+R64,
IF($CL$4="MARZO",K64+R64+Y64,
IF($CL$4="ABRIL",K64+R64+Y64+AF64,
IF($CL$4="MAYO",K64+R64+Y64+AF64+AM64,
IF($CL$4="JUNIO",K64+R64+Y64+AF64+AM64+AT64,
IF($CL$4="JULIO",K64+R64+Y64+AF64+AM64+AT64+BA64,
IF($CL$4="AGOSTO",K64+R64+Y64+AF64+AM64+AT64+BA64+BH64,
IF($CL$4="SEPTIEMBRE",K64+R64+Y64+AF64+AM64+AT64+BA64+BH64+BO64,
IF($CL$4="OCTUBRE",K64+R64+Y64+AF64+AM64+AT64+BA64+BH64+BO64+BV64,
IF($CL$4="NOVIEMBRE",K64+R64+Y64+AF64+AM64+AT64+BA64+BH64+BO64+BV64+CC64,
IF($CL$4="DICIEMBRE",K64+R64+Y64+AF64+AM64+AT64+BA64+BH64+BO64+BV64+CC64+CJ64,""))))))))))))</f>
        <v>33</v>
      </c>
      <c r="CR64" s="320">
        <f t="shared" si="177"/>
        <v>0.22</v>
      </c>
      <c r="CS64" s="63">
        <f>SUM(CS58:CS63)</f>
        <v>150</v>
      </c>
      <c r="CT64" s="65">
        <f>SUM(CT58:CT63)</f>
        <v>167</v>
      </c>
      <c r="CU64" s="157">
        <f t="shared" si="52"/>
        <v>1.1133333333333333</v>
      </c>
      <c r="CV64" s="99">
        <f>SUM(CV58:CV63)</f>
        <v>149</v>
      </c>
      <c r="CW64" s="159">
        <f t="shared" si="245"/>
        <v>0.89221556886227549</v>
      </c>
      <c r="CX64" s="349">
        <f>K64+R64+Y64+AF64+AM64+AT64+BA64+BH64+BO64+BV64+CC64+CJ64</f>
        <v>33</v>
      </c>
      <c r="CY64" s="320">
        <f t="shared" si="178"/>
        <v>0.22</v>
      </c>
      <c r="CZ64" s="63">
        <f>SUM(CZ58:CZ63)</f>
        <v>71</v>
      </c>
      <c r="DA64" s="65">
        <f>SUM(DA58:DA63)</f>
        <v>74</v>
      </c>
      <c r="DB64" s="157">
        <f t="shared" si="227"/>
        <v>1.0422535211267605</v>
      </c>
      <c r="DC64" s="160">
        <f>SUM(DC58:DC63)</f>
        <v>62</v>
      </c>
      <c r="DD64" s="159">
        <f t="shared" si="249"/>
        <v>0.83783783783783783</v>
      </c>
      <c r="DE64" s="349">
        <f>IF($CZ$5="Q1",K64+R64+Y64,
IF($CZ$5="Q2",AF64+AM64+AT64,
IF($CZ$5="Q3",BA64+BH64+BO64,
IF($CZ$5="Q4",BV64+CC64+CJ64,0))))</f>
        <v>18</v>
      </c>
      <c r="DF64" s="333">
        <f t="shared" si="228"/>
        <v>0.25352112676056338</v>
      </c>
      <c r="DG64" s="63">
        <f t="shared" si="89"/>
        <v>150</v>
      </c>
      <c r="DH64" s="65">
        <f t="shared" si="89"/>
        <v>167</v>
      </c>
      <c r="DI64" s="157">
        <f t="shared" si="229"/>
        <v>1.1133333333333333</v>
      </c>
      <c r="DJ64" s="160">
        <f>IF($DG$5="S 1",I64+P64+W64+AD64+AK64++AR64,
IF($DG$5="S 2",AY64+BF64+BM64+BT64+CA64+CH64,0))</f>
        <v>149</v>
      </c>
      <c r="DK64" s="159">
        <f t="shared" si="230"/>
        <v>0.89221556886227549</v>
      </c>
      <c r="DL64" s="349">
        <f>IF($DG$5="S 1",K64+R64+Y64+AF64+AM64+AT64,
IF($DG$5="S 2",BA64+BH64+BO64+BV64+CC64+CJ64,0))</f>
        <v>33</v>
      </c>
      <c r="DM64" s="333">
        <f t="shared" si="231"/>
        <v>0.22</v>
      </c>
      <c r="DN64" s="63">
        <f>IFERROR(SUM(DN58:DN63),0)</f>
        <v>0</v>
      </c>
      <c r="DO64" s="64">
        <f>IFERROR(SUM(DO58:DO63),0)</f>
        <v>0</v>
      </c>
      <c r="DP64" s="157">
        <f t="shared" si="232"/>
        <v>0</v>
      </c>
      <c r="DQ64" s="160">
        <f>IFERROR(SUM(DQ58:DQ63),0)</f>
        <v>0</v>
      </c>
      <c r="DR64" s="159" t="str">
        <f t="shared" si="233"/>
        <v>N.D.</v>
      </c>
      <c r="DS64" s="349">
        <f>IFERROR(SUM(DS58:DS63),0)</f>
        <v>0</v>
      </c>
      <c r="DT64" s="333">
        <f t="shared" si="234"/>
        <v>0</v>
      </c>
      <c r="DU64" s="53">
        <v>1</v>
      </c>
    </row>
    <row r="65" spans="1:134" s="53" customFormat="1" ht="16" customHeight="1" thickBot="1" x14ac:dyDescent="0.35">
      <c r="B65" s="179">
        <v>12345</v>
      </c>
      <c r="C65" s="381" t="s">
        <v>278</v>
      </c>
      <c r="D65" s="146"/>
      <c r="E65" s="381" t="s">
        <v>278</v>
      </c>
      <c r="F65" s="58">
        <f>SUMIF('UC MINI 2026'!$B$5:$B$71,'UC MINI 2026 MINI NEXT'!$B65,'UC MINI 2026'!$F$5:$F$71)</f>
        <v>0</v>
      </c>
      <c r="G65" s="59">
        <f>SUMIF('UC MINI 2026'!$B$5:$B$71,'UC MINI 2026 MINI NEXT'!$B65,'UC MINI 2026'!$G$5:$G$71)</f>
        <v>4</v>
      </c>
      <c r="H65" s="299">
        <f t="shared" si="54"/>
        <v>0</v>
      </c>
      <c r="I65" s="59">
        <f>IFERROR(VLOOKUP("ENERO",[2]BPS!$S$74:$T$88,2,0),0)</f>
        <v>4</v>
      </c>
      <c r="J65" s="299">
        <f t="shared" si="55"/>
        <v>1</v>
      </c>
      <c r="K65" s="59">
        <f>IFERROR(VLOOKUP("ENERO",'[2]RETAIL ORIGEN RMKT'!$S$72:$T$86,2,0),0)</f>
        <v>4</v>
      </c>
      <c r="L65" s="153">
        <f t="shared" si="56"/>
        <v>0</v>
      </c>
      <c r="M65" s="252">
        <f>SUMIF('UC MINI 2026'!$B$5:$B$71,'UC MINI 2026 MINI NEXT'!$B65,'UC MINI 2026'!$H$5:$H$71)</f>
        <v>0</v>
      </c>
      <c r="N65" s="59">
        <f>SUMIF('UC MINI 2026'!$B$5:$B$71,'UC MINI 2026 MINI NEXT'!$B65,'UC MINI 2026'!$I$5:$I$71)</f>
        <v>7</v>
      </c>
      <c r="O65" s="299">
        <f t="shared" si="165"/>
        <v>0</v>
      </c>
      <c r="P65" s="59">
        <f>IFERROR(VLOOKUP("FEBRERO",[2]BPS!$S$74:$T$88,2,0),0)</f>
        <v>7</v>
      </c>
      <c r="Q65" s="299">
        <f t="shared" si="188"/>
        <v>1</v>
      </c>
      <c r="R65" s="59">
        <f>IFERROR(VLOOKUP("FEBRERO",'[2]RETAIL ORIGEN RMKT'!$S$72:$T$86,2,0),0)</f>
        <v>7</v>
      </c>
      <c r="S65" s="153">
        <f t="shared" si="189"/>
        <v>0</v>
      </c>
      <c r="T65" s="148">
        <f>SUMIF('UC MINI 2026'!$B$5:$B$71,'UC MINI 2026 MINI NEXT'!$B65,'UC MINI 2026'!$J$5:$J$71)</f>
        <v>0</v>
      </c>
      <c r="U65" s="86">
        <v>2</v>
      </c>
      <c r="V65" s="297">
        <f t="shared" si="166"/>
        <v>0</v>
      </c>
      <c r="W65" s="59">
        <f>IFERROR(VLOOKUP("MARZO",[2]BPS!$S$74:$T$88,2,0),0)</f>
        <v>2</v>
      </c>
      <c r="X65" s="297">
        <f t="shared" si="190"/>
        <v>1</v>
      </c>
      <c r="Y65" s="59">
        <f>IFERROR(VLOOKUP("MARZO",'[2]RETAIL ORIGEN RMKT'!$S$72:$T$86,2,0),0)</f>
        <v>2</v>
      </c>
      <c r="Z65" s="150">
        <f t="shared" si="191"/>
        <v>0</v>
      </c>
      <c r="AA65" s="148">
        <f>SUMIF('UC MINI 2026'!$B$5:$B$61,'UC MINI 2026 MINI NEXT'!$B65,'UC MINI 2026'!$L$5:$L$61)</f>
        <v>0</v>
      </c>
      <c r="AB65" s="86">
        <f>SUMIF('UC MINI 2026'!$B$5:$B$65,'UC MINI 2026 MINI NEXT'!$B65,'UC MINI 2026'!$M$5:$M$65)</f>
        <v>4</v>
      </c>
      <c r="AC65" s="297">
        <f t="shared" si="167"/>
        <v>0</v>
      </c>
      <c r="AD65" s="59">
        <f>IFERROR(VLOOKUP("ABRIL",[2]BPS!$S$74:$T$88,2,0),0)</f>
        <v>4</v>
      </c>
      <c r="AE65" s="285">
        <f t="shared" si="192"/>
        <v>1</v>
      </c>
      <c r="AF65" s="59">
        <f>IFERROR(VLOOKUP("ABRIL",'[2]RETAIL ORIGEN RMKT'!$S$72:$T$86,2,0),0)</f>
        <v>4</v>
      </c>
      <c r="AG65" s="150">
        <f t="shared" si="193"/>
        <v>0</v>
      </c>
      <c r="AH65" s="148">
        <f>SUMIF('UC MINI 2026'!$B$5:$B$61,'UC MINI 2026 MINI NEXT'!$B65,'UC MINI 2026'!$N$5:$N$61)</f>
        <v>0</v>
      </c>
      <c r="AI65" s="86">
        <f>SUMIF('UC MINI 2026'!$B$5:$B$65,'UC MINI 2026 MINI NEXT'!$B65,'UC MINI 2026'!$O$5:$O$65)</f>
        <v>6</v>
      </c>
      <c r="AJ65" s="297">
        <f t="shared" si="168"/>
        <v>0</v>
      </c>
      <c r="AK65" s="59">
        <f>IFERROR(VLOOKUP("MAYO",[2]BPS!$S$74:$T$88,2,0),0)</f>
        <v>6</v>
      </c>
      <c r="AL65" s="285">
        <f t="shared" si="194"/>
        <v>1</v>
      </c>
      <c r="AM65" s="59">
        <f>IFERROR(VLOOKUP("MAYO",'[2]RETAIL ORIGEN RMKT'!$S$72:$T$86,2,0),0)</f>
        <v>6</v>
      </c>
      <c r="AN65" s="150">
        <f t="shared" si="195"/>
        <v>0</v>
      </c>
      <c r="AO65" s="148">
        <f>SUMIF('UC MINI 2026'!$B$5:$B$61,'UC MINI 2026 MINI NEXT'!$B65,'UC MINI 2026'!$P$5:$P$61)</f>
        <v>0</v>
      </c>
      <c r="AP65" s="86">
        <f>SUMIF('UC MINI 2026'!$B$5:$B$65,'UC MINI 2026 MINI NEXT'!$B65,'UC MINI 2026'!$Q$5:$Q$65)</f>
        <v>13</v>
      </c>
      <c r="AQ65" s="297">
        <f t="shared" si="169"/>
        <v>0</v>
      </c>
      <c r="AR65" s="59">
        <f>IFERROR(VLOOKUP("JUNIO",[2]BPS!$S$74:$T$88,2,0),0)</f>
        <v>13</v>
      </c>
      <c r="AS65" s="285">
        <f t="shared" si="196"/>
        <v>1</v>
      </c>
      <c r="AT65" s="59">
        <f>IFERROR(VLOOKUP("JUNIO",'[2]RETAIL ORIGEN RMKT'!$S$72:$T$86,2,0),0)</f>
        <v>13</v>
      </c>
      <c r="AU65" s="150">
        <f t="shared" si="197"/>
        <v>0</v>
      </c>
      <c r="AV65" s="148">
        <f>SUMIF('UC MINI 2026'!$B$5:$B$61,'UC MINI 2026 MINI NEXT'!$B65,'UC MINI 2026'!$R$5:$R$61)</f>
        <v>0</v>
      </c>
      <c r="AW65" s="86">
        <f>SUMIF('UC MINI 2026'!$B$5:$B$61,'UC MINI 2026 MINI NEXT'!$B65,'UC MINI 2026'!$S$5:$S$61)</f>
        <v>0</v>
      </c>
      <c r="AX65" s="297">
        <f t="shared" si="170"/>
        <v>0</v>
      </c>
      <c r="AY65" s="59">
        <f>IFERROR(VLOOKUP("JULIO",[2]BPS!$S$74:$T$88,2,0),0)</f>
        <v>0</v>
      </c>
      <c r="AZ65" s="285">
        <f t="shared" si="198"/>
        <v>0</v>
      </c>
      <c r="BA65" s="59">
        <f>IFERROR(VLOOKUP("JULIO",'[2]RETAIL ORIGEN RMKT'!$S$72:$T$86,2,0),0)</f>
        <v>0</v>
      </c>
      <c r="BB65" s="150">
        <f t="shared" si="199"/>
        <v>0</v>
      </c>
      <c r="BC65" s="148">
        <f>SUMIF('UC MINI 2026'!$B$5:$B$61,'UC MINI 2026 MINI NEXT'!$B65,'UC MINI 2026'!$T$5:$T$61)</f>
        <v>0</v>
      </c>
      <c r="BD65" s="86">
        <f>SUMIF('UC MINI 2026'!$B$5:$B$61,'UC MINI 2026 MINI NEXT'!$B65,'UC MINI 2026'!$U$5:$U$61)</f>
        <v>0</v>
      </c>
      <c r="BE65" s="297">
        <f t="shared" si="171"/>
        <v>0</v>
      </c>
      <c r="BF65" s="59">
        <f>IFERROR(VLOOKUP("AGOSTO",[2]BPS!$S$74:$T$88,2,0),0)</f>
        <v>0</v>
      </c>
      <c r="BG65" s="285">
        <f t="shared" si="200"/>
        <v>0</v>
      </c>
      <c r="BH65" s="59">
        <f>IFERROR(VLOOKUP("AGOSTO",'[2]RETAIL ORIGEN RMKT'!$S$72:$T$86,2,0),0)</f>
        <v>0</v>
      </c>
      <c r="BI65" s="150">
        <f t="shared" si="201"/>
        <v>0</v>
      </c>
      <c r="BJ65" s="148">
        <f>SUMIF('UC MINI 2026'!$B$5:$B$61,'UC MINI 2026 MINI NEXT'!$B65,'UC MINI 2026'!$V$5:$V$61)</f>
        <v>0</v>
      </c>
      <c r="BK65" s="86">
        <f>SUMIF('UC MINI 2026'!$B$5:$B$61,'UC MINI 2026 MINI NEXT'!$B65,'UC MINI 2026'!$W$5:$W$61)</f>
        <v>0</v>
      </c>
      <c r="BL65" s="297">
        <f t="shared" si="172"/>
        <v>0</v>
      </c>
      <c r="BM65" s="59">
        <f>IFERROR(VLOOKUP("SEPTIEMBRE",[2]BPS!$S$74:$T$88,2,0),0)</f>
        <v>0</v>
      </c>
      <c r="BN65" s="285">
        <f t="shared" si="202"/>
        <v>0</v>
      </c>
      <c r="BO65" s="59">
        <f>IFERROR(VLOOKUP("SEPTIEMBRE",'[2]RETAIL ORIGEN RMKT'!$S$72:$T$86,2,0),0)</f>
        <v>0</v>
      </c>
      <c r="BP65" s="150">
        <f t="shared" si="203"/>
        <v>0</v>
      </c>
      <c r="BQ65" s="148">
        <f>SUMIF('UC MINI 2026'!$B$5:$B$61,'UC MINI 2026 MINI NEXT'!$B65,'UC MINI 2026'!$V$5:$V$61)</f>
        <v>0</v>
      </c>
      <c r="BR65" s="86">
        <f>SUMIF('UC MINI 2026'!$B$5:$B$61,'UC MINI 2026 MINI NEXT'!$B65,'UC MINI 2026'!$Y$5:$Y$61)</f>
        <v>0</v>
      </c>
      <c r="BS65" s="297">
        <f t="shared" si="173"/>
        <v>0</v>
      </c>
      <c r="BT65" s="59">
        <f>IFERROR(VLOOKUP("OCTUBRE",[2]BPS!$S$74:$T$88,2,0),0)</f>
        <v>0</v>
      </c>
      <c r="BU65" s="285">
        <f t="shared" si="204"/>
        <v>0</v>
      </c>
      <c r="BV65" s="59">
        <f>IFERROR(VLOOKUP("OCTUBRE",'[2]RETAIL ORIGEN RMKT'!$S$72:$T$86,2,0),0)</f>
        <v>0</v>
      </c>
      <c r="BW65" s="150">
        <f t="shared" si="205"/>
        <v>0</v>
      </c>
      <c r="BX65" s="148">
        <f>SUMIF('UC MINI 2026'!$B$5:$B$61,'UC MINI 2026 MINI NEXT'!$B65,'UC MINI 2026'!$V$5:$V$61)</f>
        <v>0</v>
      </c>
      <c r="BY65" s="86">
        <f>SUMIF('UC MINI 2026'!$B$5:$B$61,'UC MINI 2026 MINI NEXT'!$B65,'UC MINI 2026'!$AA$5:$AA$61)</f>
        <v>0</v>
      </c>
      <c r="BZ65" s="297">
        <f t="shared" si="174"/>
        <v>0</v>
      </c>
      <c r="CA65" s="59">
        <f>IFERROR(VLOOKUP("NOVIEMBRE",[2]BPS!$S$74:$T$88,2,0),0)</f>
        <v>0</v>
      </c>
      <c r="CB65" s="285">
        <f t="shared" si="206"/>
        <v>0</v>
      </c>
      <c r="CC65" s="59">
        <f>IFERROR(VLOOKUP("NOVIEMBRE",'[2]RETAIL ORIGEN RMKT'!$S$72:$T$86,2,0),0)</f>
        <v>0</v>
      </c>
      <c r="CD65" s="150">
        <f t="shared" si="207"/>
        <v>0</v>
      </c>
      <c r="CE65" s="148">
        <f>SUMIF('UC MINI 2026'!$B$5:$B$61,'UC MINI 2026 MINI NEXT'!$B65,'UC MINI 2026'!$V$5:$V$61)</f>
        <v>0</v>
      </c>
      <c r="CF65" s="86">
        <f>SUMIF('UC MINI 2026'!$B$5:$B$61,'UC MINI 2026 MINI NEXT'!$B65,'UC MINI 2026'!$AC$5:$AC$61)</f>
        <v>0</v>
      </c>
      <c r="CG65" s="297">
        <f t="shared" si="175"/>
        <v>0</v>
      </c>
      <c r="CH65" s="59">
        <f>IFERROR(VLOOKUP("DICIEMBRE",[2]BPS!$S$74:$T$88,2,0),0)</f>
        <v>0</v>
      </c>
      <c r="CI65" s="285">
        <f t="shared" si="208"/>
        <v>0</v>
      </c>
      <c r="CJ65" s="59">
        <f>IFERROR(VLOOKUP("DICIEMBRE",'[2]RETAIL ORIGEN RMKT'!$S$72:$T$86,2,0),0)</f>
        <v>0</v>
      </c>
      <c r="CK65" s="150">
        <f t="shared" si="209"/>
        <v>0</v>
      </c>
      <c r="CL65" s="58">
        <f>IF($CL$4="ENERO",F65,IF($CL$4="FEBRERO",F65+M65,IF($CL$4="MARZO",F65+M65+T65,IF($CL$4="ABRIL",F65+M65+T65+AA65,IF($CL$4="MAYO",F65+M65+T65+AA65+AH65,IF($CL$4="JUNIO",F65+M65+T65+AA65+AH65+AO65,IF($CL$4="JULIO",F65+M65+T65+AA65+AH65+AO65+AV65,IF($CL$4="AGOSTO",F65+M65+T65+AA65+AH65+AO65+AV65+BC65,IF($CL$4="SEPTIEMBRE",F65+M65+T65+AA65+AH65+AO65+AV65+BC65+BJ65,IF($CL$4="OCTUBRE",F65+M65+T65+AA65+AH65+AO65+AV65+BC65+BJ65+BQ65,IF($CL$4="NOVIEMBRE",F65+M65+T65+AA65+AH65+AO65+AV65+BC65+BJ65+BQ65+BX65,IF($CL$4="DICIEMBRE",F65+M65+T65+AA65+AH65+AO65+AV65+BC65+BJ65+BQ65+BX65+CE65,""))))))))))))</f>
        <v>0</v>
      </c>
      <c r="CM65" s="59">
        <f>IF($CL$4="ENERO",G65,IF($CL$4="FEBRERO",G65+N65,IF($CL$4="MARZO",G65+N65+U65,IF($CL$4="ABRIL",G65+N65+U65+AB65,IF($CL$4="MAYO",G65+N65+U65+AB65+AI65,IF($CL$4="JUNIO",G65+N65+U65+AB65+AI65+AP65,IF($CL$4="JULIO",G65+N65+U65+AB65+AI65+AP65+AW65,IF($CL$4="AGOSTO",G65+N65+U65+AB65+AI65+AP65+AW65+BD65,IF($CL$4="SEPTIEMBRE",G65+N65+U65+AB65+AI65+AP65+AW65+BD65+BK65,IF($CL$4="OCTUBRE",G65+N65+U65+AB65+AI65+AP65+AW65+BD65+BK65+BR65,IF($CL$4="NOVIEMBRE",G65+N65+U65+AB65+AI65+AP65+AW65+BD65+BK65+BR65+BY65,IF($CL$4="DICIEMBRE",G65+N65+U65+AB65+AI65+AP65+AW65+BD65+BK65+BR65+BY65+CF65,""))))))))))))</f>
        <v>36</v>
      </c>
      <c r="CN65" s="112">
        <f t="shared" si="176"/>
        <v>0</v>
      </c>
      <c r="CO65" s="86">
        <f>IFERROR(IF($CL$4="ENERO",I65,IF($CL$4="FEBRERO",I65+P65,IF($CL$4="MARZO",I65+P65+W65,IF($CL$4="ABRIL",I65+P65+W65+AD65,IF($CL$4="MAYO",I65+P65+W65+AD65+AK65,IF($CL$4="JUNIO",I65+P65+W65+AD65+AK65+AR65,IF($CL$4="JULIO",I65+P65+W65+AD65+AK65+AR65+AY65,IF($CL$4="AGOSTO",I65+P65+W65+AD65+AK65+AR65+AY65+BF65,IF($CL$4="SEPTIEMBRE",I65+P65+W65+AD65+AK65+AR65+AY65+BF65+BM65,IF($CL$4="OCTUBRE",I65+P65+W65+AD65+AK65+AR65+AY65+BF65+BM65+BT65,IF($CL$4="NOVIEMBRE",I65+P65+W65+AD65+AK65+AR65+AY65+BF65+BM65+BT65+CA65,IF($CL$4="DICIEMBRE",I65+P65+W65+AD65+AK65+AR65+AY65+BF65+BM65+BT65+CA65+CH65,"")))))))))))),0)</f>
        <v>36</v>
      </c>
      <c r="CP65" s="297">
        <f>IFERROR(IF(CM65=0,"N.D.",CO65/CM65),0)</f>
        <v>1</v>
      </c>
      <c r="CQ65" s="348">
        <f>IFERROR(IF($CL$4="ENERO",K65,
IF($CL$4="FEBRERO",K65+R65,
IF($CL$4="MARZO",K65+R65+Y65,
IF($CL$4="ABRIL",K65+R65+Y65+AF65,
IF($CL$4="MAYO",K65+R65+Y65+AF65+AM65,
IF($CL$4="JUNIO",K65+R65+Y65+AF65+AM65+AT65,
IF($CL$4="JULIO",K65+R65+Y65+AF65+AM65+AT65+BA65,
IF($CL$4="AGOSTO",K65+R65+Y65+AF65+AM65+AT65+BA65+BH65,
IF($CL$4="SEPTIEMBRE",K65+R65+Y65+AF65+AM65+AT65+BA65+BH65+BO65,
IF($CL$4="OCTUBRE",K65+R65+Y65+AF65+AM65+AT65+BA65+BH65+BO65+BV65,
IF($CL$4="NOVIEMBRE",K65+R65+Y65+AF65+AM65+AT65+BA65+BH65+BO65+BV65+CC65,
IF($CL$4="DICIEMBRE",K65+R65+Y65+AF65+AM65+AT65+BA65+BH65+BO65+BV65+CC65+CJ65,"")))))))))))),0)</f>
        <v>36</v>
      </c>
      <c r="CR65" s="152">
        <f t="shared" si="177"/>
        <v>0</v>
      </c>
      <c r="CS65" s="58">
        <f>+F65+M65+T65+AA65+AH65+AO65++AV65+BC65+BJ65+BQ65+BX65+CE65</f>
        <v>0</v>
      </c>
      <c r="CT65" s="59">
        <f t="shared" si="243"/>
        <v>36</v>
      </c>
      <c r="CU65" s="112">
        <f>IFERROR((CT65/CS65),0)</f>
        <v>0</v>
      </c>
      <c r="CV65" s="68">
        <f>IFERROR(I65+P65+W65+AD65+AK65+AR65+AY65+BF65+BM65+BT65+CA65+CH65,0)</f>
        <v>36</v>
      </c>
      <c r="CW65" s="299">
        <f>IF(CT65=0,"N.D.",CV65/CT65)</f>
        <v>1</v>
      </c>
      <c r="CX65" s="350">
        <f>IFERROR(K65+R65+Y65+AF65+AM65+AT65+BA65+BH65+BO65+BV65+CC65+CJ65,0)</f>
        <v>36</v>
      </c>
      <c r="CY65" s="152">
        <f t="shared" si="178"/>
        <v>0</v>
      </c>
      <c r="CZ65" s="54"/>
      <c r="DA65" s="86"/>
      <c r="DB65" s="109"/>
      <c r="DC65" s="68"/>
      <c r="DD65" s="297"/>
      <c r="DE65" s="350"/>
      <c r="DF65" s="150"/>
      <c r="DG65" s="54"/>
      <c r="DH65" s="86"/>
      <c r="DI65" s="109"/>
      <c r="DJ65" s="68"/>
      <c r="DK65" s="297"/>
      <c r="DL65" s="350"/>
      <c r="DM65" s="150"/>
      <c r="DN65" s="67"/>
      <c r="DO65" s="266"/>
      <c r="DP65" s="109"/>
      <c r="DQ65" s="68"/>
      <c r="DR65" s="297"/>
      <c r="DS65" s="350"/>
      <c r="DT65" s="150"/>
      <c r="DZ65" s="513"/>
      <c r="EB65" s="513"/>
      <c r="ED65" s="513"/>
    </row>
    <row r="66" spans="1:134" s="53" customFormat="1" ht="16" customHeight="1" thickBot="1" x14ac:dyDescent="0.35">
      <c r="A66" s="50"/>
      <c r="B66" s="71" t="s">
        <v>27</v>
      </c>
      <c r="C66" s="72"/>
      <c r="D66" s="146"/>
      <c r="E66" s="71"/>
      <c r="F66" s="195">
        <f>F64+F57+F51+F45+F42+F36+F30+F23+F17+F11+F65</f>
        <v>280</v>
      </c>
      <c r="G66" s="195">
        <f>G64+G57+G51+G45+G42+G36+G30+G23+G17+G11+G65</f>
        <v>255</v>
      </c>
      <c r="H66" s="547">
        <f t="shared" si="54"/>
        <v>0.9107142857142857</v>
      </c>
      <c r="I66" s="195">
        <f>I64+I57+I51+I45+I42+I36+I30+I23+I17+I11+I65</f>
        <v>239</v>
      </c>
      <c r="J66" s="547">
        <f t="shared" si="55"/>
        <v>0.93725490196078431</v>
      </c>
      <c r="K66" s="195">
        <f>K64+K57+K51+K45+K42+K36+K30+K23+K17+K11+K65</f>
        <v>54</v>
      </c>
      <c r="L66" s="547">
        <f t="shared" si="56"/>
        <v>0.19285714285714287</v>
      </c>
      <c r="M66" s="195">
        <f>M64+M57+M51+M45+M42+M36+M30+M23+M17+M11+M65</f>
        <v>292</v>
      </c>
      <c r="N66" s="195">
        <f>N64+N57+N51+N45+N42+N36+N30+N23+N17+N11+N65</f>
        <v>287</v>
      </c>
      <c r="O66" s="547">
        <f t="shared" si="165"/>
        <v>0.98287671232876717</v>
      </c>
      <c r="P66" s="195">
        <f>P64+P57+P51+P45+P42+P36+P30+P23+P17+P11+P65</f>
        <v>272</v>
      </c>
      <c r="Q66" s="547">
        <f t="shared" si="188"/>
        <v>0.94773519163763065</v>
      </c>
      <c r="R66" s="195">
        <f>R64+R57+R51+R45+R42+R36+R30+R23+R17+R11+R65</f>
        <v>69</v>
      </c>
      <c r="S66" s="547">
        <f t="shared" si="189"/>
        <v>0.2363013698630137</v>
      </c>
      <c r="T66" s="195">
        <f>T64+T57+T51+T45+T42+T36+T30+T23+T17+T11+T65</f>
        <v>308</v>
      </c>
      <c r="U66" s="195">
        <f>U64+U57+U51+U45+U42+U36+U30+U23+U17+U11+U65</f>
        <v>346</v>
      </c>
      <c r="V66" s="547">
        <f t="shared" si="166"/>
        <v>1.1233766233766234</v>
      </c>
      <c r="W66" s="195">
        <f>W64+W57+W51+W45+W42+W36+W30+W23+W17+W11+W65</f>
        <v>307</v>
      </c>
      <c r="X66" s="547">
        <f t="shared" si="190"/>
        <v>0.88728323699421963</v>
      </c>
      <c r="Y66" s="195">
        <f>Y64+Y57+Y51+Y45+Y42+Y36+Y30+Y23+Y17+Y11+Y65</f>
        <v>92</v>
      </c>
      <c r="Z66" s="547">
        <f t="shared" si="191"/>
        <v>0.29870129870129869</v>
      </c>
      <c r="AA66" s="195">
        <f>AA64+AA57+AA51+AA45+AA42+AA36+AA30+AA23+AA17+AA11+AA65</f>
        <v>293</v>
      </c>
      <c r="AB66" s="195">
        <f>AB64+AB57+AB51+AB45+AB42+AB36+AB30+AB23+AB17+AB11+AB65</f>
        <v>335</v>
      </c>
      <c r="AC66" s="547">
        <f t="shared" si="167"/>
        <v>1.1433447098976108</v>
      </c>
      <c r="AD66" s="195">
        <f>AD64+AD57+AD51+AD45+AD42+AD36+AD30+AD23+AD17+AD11+AD65</f>
        <v>306</v>
      </c>
      <c r="AE66" s="547">
        <f t="shared" si="192"/>
        <v>0.91343283582089552</v>
      </c>
      <c r="AF66" s="195">
        <f>AF64+AF57+AF51+AF45+AF42+AF36+AF30+AF23+AF17+AF11+AF65</f>
        <v>97</v>
      </c>
      <c r="AG66" s="547">
        <f t="shared" si="193"/>
        <v>0.33105802047781568</v>
      </c>
      <c r="AH66" s="195">
        <f>AH64+AH57+AH51+AH45+AH42+AH36+AH30+AH23+AH17+AH11+AH65</f>
        <v>310</v>
      </c>
      <c r="AI66" s="195">
        <f>AI64+AI57+AI51+AI45+AI42+AI36+AI30+AI23+AI17+AI11+AI65</f>
        <v>369</v>
      </c>
      <c r="AJ66" s="547">
        <f t="shared" si="168"/>
        <v>1.1903225806451614</v>
      </c>
      <c r="AK66" s="195">
        <f>AK64+AK57+AK51+AK45+AK42+AK36+AK30+AK23+AK17+AK11+AK65</f>
        <v>346</v>
      </c>
      <c r="AL66" s="547">
        <f t="shared" si="194"/>
        <v>0.93766937669376693</v>
      </c>
      <c r="AM66" s="195">
        <f>AM64+AM57+AM51+AM45+AM42+AM36+AM30+AM23+AM17+AM11+AM65</f>
        <v>100</v>
      </c>
      <c r="AN66" s="547">
        <f t="shared" si="195"/>
        <v>0.32258064516129031</v>
      </c>
      <c r="AO66" s="195">
        <f>AO64+AO57+AO51+AO45+AO42+AO36+AO30+AO23+AO17+AO11+AO65</f>
        <v>321</v>
      </c>
      <c r="AP66" s="195">
        <f>AP64+AP57+AP51+AP45+AP42+AP36+AP30+AP23+AP17+AP11+AP65</f>
        <v>450</v>
      </c>
      <c r="AQ66" s="547">
        <f t="shared" si="169"/>
        <v>1.4018691588785046</v>
      </c>
      <c r="AR66" s="195">
        <f>AR64+AR57+AR51+AR45+AR42+AR36+AR30+AR23+AR17+AR11+AR65</f>
        <v>413</v>
      </c>
      <c r="AS66" s="547">
        <f t="shared" si="196"/>
        <v>0.9177777777777778</v>
      </c>
      <c r="AT66" s="195">
        <f>AT64+AT57+AT51+AT45+AT42+AT36+AT30+AT23+AT17+AT11+AT65</f>
        <v>128</v>
      </c>
      <c r="AU66" s="547">
        <f t="shared" si="197"/>
        <v>0.39875389408099687</v>
      </c>
      <c r="AV66" s="195">
        <f>AV64+AV57+AV51+AV45+AV42+AV36+AV30+AV23+AV17+AV11+AV65</f>
        <v>51</v>
      </c>
      <c r="AW66" s="195">
        <f>AW64+AW57+AW51+AW45+AW42+AW36+AW30+AW23+AW17+AW11+AW65</f>
        <v>0</v>
      </c>
      <c r="AX66" s="547">
        <f t="shared" si="170"/>
        <v>0</v>
      </c>
      <c r="AY66" s="195">
        <f>AY64+AY57+AY51+AY45+AY42+AY36+AY30+AY23+AY17+AY11+AY65</f>
        <v>0</v>
      </c>
      <c r="AZ66" s="547">
        <f t="shared" si="198"/>
        <v>0</v>
      </c>
      <c r="BA66" s="195">
        <f>BA64+BA57+BA51+BA45+BA42+BA36+BA30+BA23+BA17+BA11+BA65</f>
        <v>0</v>
      </c>
      <c r="BB66" s="547">
        <f t="shared" si="199"/>
        <v>0</v>
      </c>
      <c r="BC66" s="195">
        <f>BC64+BC57+BC51+BC45+BC42+BC36+BC30+BC23+BC17+BC11+BC65</f>
        <v>41</v>
      </c>
      <c r="BD66" s="195">
        <f>BD64+BD57+BD51+BD45+BD42+BD36+BD30+BD23+BD17+BD11+BD65</f>
        <v>0</v>
      </c>
      <c r="BE66" s="547">
        <f t="shared" si="171"/>
        <v>0</v>
      </c>
      <c r="BF66" s="195">
        <f>BF64+BF57+BF51+BF45+BF42+BF36+BF30+BF23+BF17+BF11+BF65</f>
        <v>0</v>
      </c>
      <c r="BG66" s="547">
        <f t="shared" si="200"/>
        <v>0</v>
      </c>
      <c r="BH66" s="195">
        <f>BH64+BH57+BH51+BH45+BH42+BH36+BH30+BH23+BH17+BH11+BH65</f>
        <v>0</v>
      </c>
      <c r="BI66" s="547">
        <f t="shared" si="201"/>
        <v>0</v>
      </c>
      <c r="BJ66" s="195">
        <f>BJ64+BJ57+BJ51+BJ45+BJ42+BJ36+BJ30+BJ23+BJ17+BJ11+BJ65</f>
        <v>51</v>
      </c>
      <c r="BK66" s="195">
        <f>BK64+BK57+BK51+BK45+BK42+BK36+BK30+BK23+BK17+BK11+BK65</f>
        <v>0</v>
      </c>
      <c r="BL66" s="547">
        <f t="shared" si="172"/>
        <v>0</v>
      </c>
      <c r="BM66" s="195">
        <f>BM64+BM57+BM51+BM45+BM42+BM36+BM30+BM23+BM17+BM11+BM65</f>
        <v>0</v>
      </c>
      <c r="BN66" s="547">
        <f t="shared" si="202"/>
        <v>0</v>
      </c>
      <c r="BO66" s="195">
        <f>BO64+BO57+BO51+BO45+BO42+BO36+BO30+BO23+BO17+BO11+BO65</f>
        <v>0</v>
      </c>
      <c r="BP66" s="547">
        <f t="shared" si="203"/>
        <v>0</v>
      </c>
      <c r="BQ66" s="195">
        <f>BQ64+BQ57+BQ51+BQ45+BQ42+BQ36+BQ30+BQ23+BQ17+BQ11+BQ65</f>
        <v>51</v>
      </c>
      <c r="BR66" s="195">
        <f>BR64+BR57+BR51+BR45+BR42+BR36+BR30+BR23+BR17+BR11+BR65</f>
        <v>0</v>
      </c>
      <c r="BS66" s="547">
        <f t="shared" si="173"/>
        <v>0</v>
      </c>
      <c r="BT66" s="195">
        <f>BT64+BT57+BT51+BT45+BT42+BT36+BT30+BT23+BT17+BT11+BT65</f>
        <v>0</v>
      </c>
      <c r="BU66" s="547">
        <f t="shared" si="204"/>
        <v>0</v>
      </c>
      <c r="BV66" s="195">
        <f>BV64+BV57+BV51+BV45+BV42+BV36+BV30+BV23+BV17+BV11+BV65</f>
        <v>0</v>
      </c>
      <c r="BW66" s="547">
        <f t="shared" si="205"/>
        <v>0</v>
      </c>
      <c r="BX66" s="195">
        <f>BX64+BX57+BX51+BX45+BX42+BX36+BX30+BX23+BX17+BX11+BX65</f>
        <v>51</v>
      </c>
      <c r="BY66" s="195">
        <f>BY64+BY57+BY51+BY45+BY42+BY36+BY30+BY23+BY17+BY11+BY65</f>
        <v>0</v>
      </c>
      <c r="BZ66" s="547">
        <f t="shared" si="174"/>
        <v>0</v>
      </c>
      <c r="CA66" s="195">
        <f>CA64+CA57+CA51+CA45+CA42+CA36+CA30+CA23+CA17+CA11+CA65</f>
        <v>0</v>
      </c>
      <c r="CB66" s="547">
        <f t="shared" si="206"/>
        <v>0</v>
      </c>
      <c r="CC66" s="195">
        <f>CC64+CC57+CC51+CC45+CC42+CC36+CC30+CC23+CC17+CC11+CC65</f>
        <v>0</v>
      </c>
      <c r="CD66" s="547">
        <f t="shared" si="207"/>
        <v>0</v>
      </c>
      <c r="CE66" s="195">
        <f>CE64+CE57+CE51+CE45+CE42+CE36+CE30+CE23+CE17+CE11+CE65</f>
        <v>51</v>
      </c>
      <c r="CF66" s="195">
        <f>CF64+CF57+CF51+CF45+CF42+CF36+CF30+CF23+CF17+CF11+CF65</f>
        <v>0</v>
      </c>
      <c r="CG66" s="547">
        <f t="shared" si="175"/>
        <v>0</v>
      </c>
      <c r="CH66" s="195">
        <f>CH64+CH57+CH51+CH45+CH42+CH36+CH30+CH23+CH17+CH11+CH65</f>
        <v>0</v>
      </c>
      <c r="CI66" s="547">
        <f t="shared" si="208"/>
        <v>0</v>
      </c>
      <c r="CJ66" s="195">
        <f>CJ64+CJ57+CJ51+CJ45+CJ42+CJ36+CJ30+CJ23+CJ17+CJ11+CJ65</f>
        <v>0</v>
      </c>
      <c r="CK66" s="547">
        <f t="shared" si="209"/>
        <v>0</v>
      </c>
      <c r="CL66" s="195">
        <f>CL64+CL57+CL51+CL45+CL42+CL36+CL30+CL23+CL17+CL11+CL65</f>
        <v>1804</v>
      </c>
      <c r="CM66" s="195">
        <f>CM64+CM57+CM51+CM45+CM42+CM36+CM30+CM23+CM17+CM11+CM65</f>
        <v>2042</v>
      </c>
      <c r="CN66" s="547">
        <f>IFERROR(CM66/CL66,0)</f>
        <v>1.1319290465631928</v>
      </c>
      <c r="CO66" s="195">
        <f>CO64+CO57+CO51+CO45+CO42+CO36+CO30+CO23+CO17+CO11+CO65</f>
        <v>1883</v>
      </c>
      <c r="CP66" s="547">
        <f>IFERROR(CO66/CM66,0)</f>
        <v>0.92213516160626841</v>
      </c>
      <c r="CQ66" s="195">
        <f>CQ64+CQ57+CQ51+CQ45+CQ42+CQ36+CQ30+CQ23+CQ17+CQ11+CQ65</f>
        <v>540</v>
      </c>
      <c r="CR66" s="547">
        <f t="shared" si="177"/>
        <v>0.29933481152993346</v>
      </c>
      <c r="CS66" s="195">
        <f>CS64+CS57+CS51+CS45+CS42+CS36+CS30+CS23+CS17+CS11+CS65</f>
        <v>2100</v>
      </c>
      <c r="CT66" s="195">
        <f>CT64+CT57+CT51+CT45+CT42+CT36+CT30+CT23+CT17+CT11+CT65</f>
        <v>2042</v>
      </c>
      <c r="CU66" s="547">
        <f>IFERROR(CT66/CS66,0)</f>
        <v>0.97238095238095235</v>
      </c>
      <c r="CV66" s="195">
        <f>CV64+CV57+CV51+CV45+CV42+CV36+CV30+CV23+CV17+CV11+CV65</f>
        <v>1883</v>
      </c>
      <c r="CW66" s="547">
        <f>IFERROR(CV66/CT66,0)</f>
        <v>0.92213516160626841</v>
      </c>
      <c r="CX66" s="195">
        <f>CX64+CX57+CX51+CX45+CX42+CX36+CX30+CX23+CX17+CX11+CX65</f>
        <v>540</v>
      </c>
      <c r="CY66" s="421">
        <f t="shared" si="178"/>
        <v>0.25714285714285712</v>
      </c>
      <c r="CZ66" s="546">
        <f ca="1">CZ64+CZ57+CZ51+CZ42+CZ36+CZ23</f>
        <v>2163</v>
      </c>
      <c r="DA66" s="73" t="e">
        <f ca="1">DA64+DA57+DA51+DA42+DA36+DA23</f>
        <v>#N/A</v>
      </c>
      <c r="DB66" s="165">
        <f ca="1">IFERROR((DA66/CZ66),0)</f>
        <v>0.52103559870550165</v>
      </c>
      <c r="DC66" s="166">
        <f ca="1">DC64+DC57+DC51+DC42+DC36+DC23</f>
        <v>696</v>
      </c>
      <c r="DD66" s="165" t="e">
        <f t="shared" ca="1" si="249"/>
        <v>#N/A</v>
      </c>
      <c r="DE66" s="351">
        <f>IF($CZ$5="Q1",K66+R66+Y66,
IF($CZ$5="Q2",AF66+AM66+AT66,
IF($CZ$5="Q3",BA66+BH66+BO66,
IF($CZ$5="Q4",BV66+CC66+CJ66,0))))</f>
        <v>215</v>
      </c>
      <c r="DF66" s="167">
        <f ca="1">IFERROR((DE66/CZ66),0)</f>
        <v>0.14932963476652797</v>
      </c>
      <c r="DG66" s="388">
        <f>SUM(DG64,DG57,DG51,DG42,DG36,DG23)</f>
        <v>1028</v>
      </c>
      <c r="DH66" s="73">
        <f>SUM(DH64,DH57,DH51,DH42,DH36,DH23)</f>
        <v>1161</v>
      </c>
      <c r="DI66" s="165">
        <f>IFERROR((DH66/DG66),0)</f>
        <v>1.1293774319066148</v>
      </c>
      <c r="DJ66" s="166">
        <f>SUM(DJ64,DJ57,DJ51,DJ42,DJ36,DJ23)</f>
        <v>1097</v>
      </c>
      <c r="DK66" s="165">
        <f>IF(DH66=0,"N.D.",DJ66/DH66)</f>
        <v>0.94487510766580529</v>
      </c>
      <c r="DL66" s="384">
        <f>SUM(DL64,DL57,DL51,DL42,DL36,DL23)</f>
        <v>286</v>
      </c>
      <c r="DM66" s="167">
        <f>IFERROR((DL66/DG66),0)</f>
        <v>0.27821011673151752</v>
      </c>
      <c r="DN66" s="388">
        <f ca="1">SUM(DN64,DN57,DN51,DN42,DN36,DN23)</f>
        <v>0</v>
      </c>
      <c r="DO66" s="73">
        <f ca="1">SUM(DO64,DO57,DO51,DO42,DO36,DO23)</f>
        <v>0</v>
      </c>
      <c r="DP66" s="165">
        <f ca="1">IFERROR((DO66/DN66),0)</f>
        <v>0</v>
      </c>
      <c r="DQ66" s="166">
        <f ca="1">SUM(DQ64,DQ57,DQ51,DQ42,DQ36,DQ23)</f>
        <v>0</v>
      </c>
      <c r="DR66" s="165" t="str">
        <f ca="1">IF(DO66=0,"N.D.",DQ66/DO66)</f>
        <v>N.D.</v>
      </c>
      <c r="DS66" s="384">
        <f ca="1">SUM(DS64,DS57,DS51,DS42,DS36,DS23)</f>
        <v>0</v>
      </c>
      <c r="DT66" s="167">
        <f ca="1">IFERROR((DS66/DN66),0)</f>
        <v>0</v>
      </c>
    </row>
    <row r="67" spans="1:134" s="53" customFormat="1" x14ac:dyDescent="0.3">
      <c r="B67" s="74"/>
      <c r="D67" s="146"/>
      <c r="G67" s="75"/>
      <c r="H67" s="75"/>
      <c r="I67" s="75"/>
      <c r="J67" s="75"/>
      <c r="K67" s="75"/>
      <c r="L67" s="75"/>
      <c r="DC67" s="44"/>
    </row>
    <row r="75" spans="1:134" ht="15" thickBot="1" x14ac:dyDescent="0.4">
      <c r="H75"/>
      <c r="I75"/>
      <c r="J75"/>
      <c r="K75"/>
      <c r="L7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134" ht="14.5" customHeight="1" x14ac:dyDescent="0.35">
      <c r="H76"/>
      <c r="I76" s="618" t="s">
        <v>178</v>
      </c>
      <c r="J76" s="619"/>
      <c r="K76" s="620"/>
      <c r="L76" s="174"/>
      <c r="M76" s="174"/>
      <c r="N76" s="174"/>
      <c r="O76" s="174"/>
      <c r="P76" s="174"/>
      <c r="Q76" s="356"/>
      <c r="R76" s="356"/>
      <c r="S76" s="356"/>
      <c r="T76" s="356"/>
      <c r="U76" s="356"/>
      <c r="V76" s="357"/>
      <c r="W76" s="2"/>
      <c r="X76" s="2"/>
      <c r="Y76" s="618" t="s">
        <v>131</v>
      </c>
      <c r="Z76" s="619"/>
      <c r="AA76" s="620"/>
      <c r="AB76" s="174"/>
      <c r="AC76" s="174"/>
      <c r="AD76" s="174"/>
      <c r="AE76" s="174"/>
      <c r="AF76" s="174"/>
      <c r="AG76" s="356"/>
      <c r="AH76" s="356"/>
      <c r="AI76" s="356"/>
      <c r="AJ76" s="356"/>
      <c r="AK76" s="356"/>
      <c r="AL76" s="357"/>
      <c r="AM76" s="2"/>
    </row>
    <row r="77" spans="1:134" ht="15" thickBot="1" x14ac:dyDescent="0.4">
      <c r="H77"/>
      <c r="I77" s="621"/>
      <c r="J77" s="622"/>
      <c r="K77" s="623"/>
      <c r="L77"/>
      <c r="M77"/>
      <c r="N77"/>
      <c r="O77"/>
      <c r="P77"/>
      <c r="Q77" s="2"/>
      <c r="R77" s="2"/>
      <c r="S77" s="2"/>
      <c r="T77" s="2"/>
      <c r="U77" s="2"/>
      <c r="V77" s="358"/>
      <c r="W77" s="2"/>
      <c r="X77" s="2"/>
      <c r="Y77" s="621"/>
      <c r="Z77" s="622"/>
      <c r="AA77" s="623"/>
      <c r="AB77"/>
      <c r="AC77"/>
      <c r="AD77"/>
      <c r="AE77"/>
      <c r="AF77"/>
      <c r="AG77" s="2"/>
      <c r="AH77" s="2"/>
      <c r="AI77" s="2"/>
      <c r="AJ77" s="2"/>
      <c r="AK77" s="2"/>
      <c r="AL77" s="358"/>
      <c r="AM77" s="2"/>
    </row>
    <row r="78" spans="1:134" ht="14.5" x14ac:dyDescent="0.35">
      <c r="H78"/>
      <c r="I78" s="359"/>
      <c r="J78"/>
      <c r="K78"/>
      <c r="L78"/>
      <c r="M78"/>
      <c r="N78"/>
      <c r="O78"/>
      <c r="P78" t="str">
        <f>CONCATENATE("ventas origen remarketing ",
CHOOSE(MATCH(CL4, {"ENERO";"FEBRERO";"MARZO";"ABRIL";"MAYO";"JUNIO";"JULIO";"AGOSTO";"SEPTIEMBRE";"OCTUBRE";"NOVIEMBRE";"DICIEMBRE"}, 0),
"01", "02", "03", "04", "05", "06", "07", "08", "09", "10", "11", "12"),
".xlsx")</f>
        <v>ventas origen remarketing 06.xlsx</v>
      </c>
      <c r="Q78" s="2"/>
      <c r="R78" s="2"/>
      <c r="S78" s="2"/>
      <c r="T78" s="2"/>
      <c r="U78" s="2"/>
      <c r="V78" s="358"/>
      <c r="W78" s="2"/>
      <c r="X78" s="2"/>
      <c r="Y78" s="359"/>
      <c r="Z78"/>
      <c r="AA78"/>
      <c r="AB78"/>
      <c r="AC78"/>
      <c r="AD78"/>
      <c r="AE78"/>
      <c r="AF78" t="str">
        <f>CONCATENATE("2 - Cierre ventas YTD_",
CHOOSE(MATCH(CL4,{"Enero";"Febrero";"Marzo";"Abril";"Mayo";"Junio";"Julio";"Agosto";"Septiembre";"Octubre";"Noviembre";"Diciembre"},0),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AG78" s="2"/>
      <c r="AH78" s="2"/>
      <c r="AI78" s="2"/>
      <c r="AJ78" s="2"/>
      <c r="AK78" s="2"/>
      <c r="AL78" s="358"/>
      <c r="AM78" s="2"/>
    </row>
    <row r="79" spans="1:134" ht="14.5" x14ac:dyDescent="0.35">
      <c r="H79" s="354"/>
      <c r="I79" s="359" t="s">
        <v>175</v>
      </c>
      <c r="J79" t="str">
        <f>P78</f>
        <v>ventas origen remarketing 06.xlsx</v>
      </c>
      <c r="K79"/>
      <c r="L79"/>
      <c r="M79"/>
      <c r="N79"/>
      <c r="O79">
        <v>2025</v>
      </c>
      <c r="P79" s="360" t="str">
        <f>HYPERLINK(
    "O:\USED CAR &amp; REMARKETING\03-VO\2025\Informe Seguimiento Concesionarios 2025\ESPANHA\" &amp; CHOOSE(MATCH(CL4,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 J79,
    "Ventas Origen Remarketing " &amp;
    CHOOSE(MATCH(CL4,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Ventas Origen Remarketing Junio</v>
      </c>
      <c r="Q79" s="2"/>
      <c r="R79" s="2"/>
      <c r="S79" s="2"/>
      <c r="T79" s="2"/>
      <c r="U79" s="2"/>
      <c r="V79" s="358"/>
      <c r="W79" s="2"/>
      <c r="X79" s="355"/>
      <c r="Y79" s="359" t="s">
        <v>175</v>
      </c>
      <c r="Z79" t="str">
        <f>AF78</f>
        <v>2 - Cierre ventas YTD_JUN_2026.xlsx</v>
      </c>
      <c r="AA79"/>
      <c r="AB79"/>
      <c r="AC79"/>
      <c r="AD79"/>
      <c r="AE79">
        <v>2025</v>
      </c>
      <c r="AF79" s="360" t="str">
        <f>HYPERLINK(
    "O:\USED CAR &amp; REMARKETING\03-VO\2025\Informe Seguimiento Concesionarios 2025\ESPANHA\" &amp;
    CHOOSE(MATCH(CL4, {"Enero";"Febrero";"Marzo";"Abril";"Mayo";"Junio";"Julio";"Agosto";"Septiembre";"Octubre";"Noviembre";"Diciembre"}, 0),
        "1. ENERO\2 - Cierre ventas YTD_ENE_2025.xlsx",
        "2. FEBRERO\2 - Cierre ventas YTD_FEB_2025.xlsx",
        "3. MARZO\2 - Cierre ventas YTD_MAR_2025.xlsx",
        "4. ABRIL\2 - Cierre ventas YTD_ABR_2025.xlsx",
        "5. MAYO\2 - Cierre ventas YTD_MAY_2025.xlsx",
        "6. JUNIO\2 - Cierre ventas YTD_JUN_2025.xlsx",
        "7. JULIO\2 - Cierre ventas YTD_JUL_2025.xlsx",
        "8. AGOSTO\2 - Cierre ventas YTD_AGO_2025.xlsx",
        "9. SEPTIEMBRE\2 - Cierre ventas YTD_SEP_2025.xlsx",
        "10. OCTUBRE\2 - Cierre ventas YTD_OCT_2025.xlsx",
        "11. NOVIEMBRE\2 - Cierre ventas YTD_NOV_2025.xlsx",
        "12. DICIEMBRE\2 - Cierre ventas YTD_DIC_2025.xlsx"
    ),
    "Cierre Ventas " &amp;
    CHOOSE(MATCH(CL4,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AG79" s="2"/>
      <c r="AH79" s="2"/>
      <c r="AI79" s="2"/>
      <c r="AJ79" s="2"/>
      <c r="AK79" s="2"/>
      <c r="AL79" s="358"/>
      <c r="AM79" s="2"/>
    </row>
    <row r="80" spans="1:134" ht="14.5" x14ac:dyDescent="0.35">
      <c r="H80" s="354"/>
      <c r="I80" s="359" t="s">
        <v>176</v>
      </c>
      <c r="J80" t="s">
        <v>199</v>
      </c>
      <c r="K80"/>
      <c r="L80"/>
      <c r="M80"/>
      <c r="N80"/>
      <c r="O80">
        <v>2026</v>
      </c>
      <c r="P80" s="360" t="str">
        <f>HYPERLINK(
    "O:\USED CAR &amp; REMARKETING\03-VO\2026\Informe Seguimiento Concesionarios 2026\ESPAÑA\" &amp; CHOOSE(MATCH(CL4,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 J79,
    "Ventas Origen Remarketing " &amp;
    CHOOSE(MATCH(CL4,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Ventas Origen Remarketing Junio</v>
      </c>
      <c r="Q80" s="2"/>
      <c r="R80" s="2"/>
      <c r="S80" s="2"/>
      <c r="T80" s="2"/>
      <c r="U80" s="2"/>
      <c r="V80" s="358"/>
      <c r="W80" s="2"/>
      <c r="X80" s="2"/>
      <c r="Y80" s="359" t="s">
        <v>176</v>
      </c>
      <c r="Z80" t="s">
        <v>179</v>
      </c>
      <c r="AA80"/>
      <c r="AB80"/>
      <c r="AC80"/>
      <c r="AD80"/>
      <c r="AE80">
        <v>2026</v>
      </c>
      <c r="AF80" s="360" t="str">
        <f>HYPERLINK(
    "O:\USED CAR &amp; REMARKETING\03-VO\2026\Informe Seguimiento Concesionarios 2026\ESPAÑA\" &amp;
    CHOOSE(MATCH(CL4, {"ENERO";"FEBRERO";"MARZO";"ABRRIL";"MAYO";"JUNIO";"JULIO";"AGOSTO";"SEPTIEMBRE";"OCTUBRE";"NOVIEMBRE";"DICIEMBRE"},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&amp;Z79,
    "Cierre Ventas " &amp;
    CHOOSE(MATCH(CL4, {"ENERO";"FEBRERO";"MARZO";"ABRRIL";"MAYO";"JUNIO";"JULIO";"AGOSTO";"SEPTIEMBRE";"OCTUBRE";"NOVIEMBRE";"DICIEMBRE"},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Ventas Junio</v>
      </c>
      <c r="AG80" s="2"/>
      <c r="AH80" s="2"/>
      <c r="AI80" s="2"/>
      <c r="AJ80" s="2"/>
      <c r="AK80" s="2"/>
      <c r="AL80" s="358"/>
      <c r="AM80" s="2"/>
    </row>
    <row r="81" spans="8:39" ht="14.5" x14ac:dyDescent="0.35">
      <c r="H81"/>
      <c r="I81" s="361" t="s">
        <v>177</v>
      </c>
      <c r="J81" s="354" t="s">
        <v>245</v>
      </c>
      <c r="K81"/>
      <c r="L81"/>
      <c r="M81"/>
      <c r="N81"/>
      <c r="O81"/>
      <c r="P81"/>
      <c r="Q81" s="2"/>
      <c r="R81" s="2"/>
      <c r="S81" s="2"/>
      <c r="T81" s="2"/>
      <c r="U81" s="2"/>
      <c r="V81" s="358"/>
      <c r="W81" s="2"/>
      <c r="X81" s="2"/>
      <c r="Y81" s="361" t="s">
        <v>177</v>
      </c>
      <c r="Z81" s="354" t="s">
        <v>192</v>
      </c>
      <c r="AA81"/>
      <c r="AB81"/>
      <c r="AC81"/>
      <c r="AD81"/>
      <c r="AE81"/>
      <c r="AF81"/>
      <c r="AG81" s="2"/>
      <c r="AH81" s="2"/>
      <c r="AI81" s="2"/>
      <c r="AJ81" s="2"/>
      <c r="AK81" s="2"/>
      <c r="AL81" s="358"/>
      <c r="AM81" s="2"/>
    </row>
    <row r="82" spans="8:39" ht="14.5" x14ac:dyDescent="0.35">
      <c r="H82" s="2"/>
      <c r="I82" s="361"/>
      <c r="J82" s="354"/>
      <c r="K82"/>
      <c r="L82"/>
      <c r="M82"/>
      <c r="N82"/>
      <c r="O82" s="376"/>
      <c r="P82"/>
      <c r="Q82" s="2"/>
      <c r="R82" s="2"/>
      <c r="S82" s="2" t="s">
        <v>200</v>
      </c>
      <c r="T82" s="2"/>
      <c r="U82" s="2"/>
      <c r="V82" s="358"/>
      <c r="W82" s="2"/>
      <c r="X82" s="2"/>
      <c r="Y82" s="361"/>
      <c r="Z82" s="354"/>
      <c r="AA82"/>
      <c r="AB82"/>
      <c r="AC82"/>
      <c r="AD82"/>
      <c r="AE82" s="376"/>
      <c r="AF82"/>
      <c r="AG82" s="2"/>
      <c r="AH82" s="2"/>
      <c r="AI82" s="2" t="s">
        <v>197</v>
      </c>
      <c r="AJ82" s="2"/>
      <c r="AK82" s="2"/>
      <c r="AL82" s="358"/>
      <c r="AM82" s="2"/>
    </row>
    <row r="83" spans="8:39" ht="14.5" x14ac:dyDescent="0.35">
      <c r="H83" s="2"/>
      <c r="I83" s="359"/>
      <c r="J83" t="str">
        <f>CONCATENATE("'[", J79, "]", J80, "'", J82, J81)</f>
        <v>'[ventas origen remarketing 06.xlsx]Hoja1'!$G$7:$J$65</v>
      </c>
      <c r="K83"/>
      <c r="L83"/>
      <c r="M83"/>
      <c r="N83"/>
      <c r="O83"/>
      <c r="P83"/>
      <c r="Q83" s="2"/>
      <c r="R83" s="2"/>
      <c r="S83" s="2"/>
      <c r="T83" s="2"/>
      <c r="U83" s="2"/>
      <c r="V83" s="358"/>
      <c r="W83" s="2"/>
      <c r="X83" s="2"/>
      <c r="Y83" s="359"/>
      <c r="Z83" t="str">
        <f>CONCATENATE("'[", Z79, "]", Z80, "'", Z82, Z81)</f>
        <v>'[2 - Cierre ventas YTD_JUN_2026.xlsx]SOLO BPS'!$R$9:$AE$65</v>
      </c>
      <c r="AA83"/>
      <c r="AB83"/>
      <c r="AC83"/>
      <c r="AD83"/>
      <c r="AE83"/>
      <c r="AF83"/>
      <c r="AG83" s="2"/>
      <c r="AH83" s="2"/>
      <c r="AI83" s="2"/>
      <c r="AJ83" s="2"/>
      <c r="AK83" s="2"/>
      <c r="AL83" s="358"/>
      <c r="AM83" s="2"/>
    </row>
    <row r="84" spans="8:39" ht="13.5" thickBot="1" x14ac:dyDescent="0.35">
      <c r="H84" s="2"/>
      <c r="I84" s="362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4"/>
      <c r="W84" s="2"/>
      <c r="X84" s="2"/>
      <c r="Y84" s="362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4"/>
      <c r="AM84" s="2"/>
    </row>
    <row r="85" spans="8:39" x14ac:dyDescent="0.3"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8:39" x14ac:dyDescent="0.3"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</sheetData>
  <mergeCells count="24">
    <mergeCell ref="B3:DM3"/>
    <mergeCell ref="B5:B6"/>
    <mergeCell ref="C5:C6"/>
    <mergeCell ref="E5:E6"/>
    <mergeCell ref="F5:L5"/>
    <mergeCell ref="M5:S5"/>
    <mergeCell ref="T5:Z5"/>
    <mergeCell ref="AA5:AG5"/>
    <mergeCell ref="AH5:AN5"/>
    <mergeCell ref="AO5:AU5"/>
    <mergeCell ref="CL5:CP5"/>
    <mergeCell ref="CS5:CY5"/>
    <mergeCell ref="CZ5:DF5"/>
    <mergeCell ref="DG5:DM5"/>
    <mergeCell ref="BQ5:BW5"/>
    <mergeCell ref="DX5:ED5"/>
    <mergeCell ref="BX5:CD5"/>
    <mergeCell ref="CE5:CK5"/>
    <mergeCell ref="I76:K77"/>
    <mergeCell ref="Y76:AA77"/>
    <mergeCell ref="AV5:BB5"/>
    <mergeCell ref="BC5:BI5"/>
    <mergeCell ref="BJ5:BP5"/>
    <mergeCell ref="DN5:DT5"/>
  </mergeCells>
  <conditionalFormatting sqref="B3">
    <cfRule type="duplicateValues" dxfId="160" priority="38"/>
  </conditionalFormatting>
  <conditionalFormatting sqref="B5">
    <cfRule type="duplicateValues" dxfId="159" priority="37"/>
  </conditionalFormatting>
  <conditionalFormatting sqref="B66:B1048576 B4">
    <cfRule type="duplicateValues" dxfId="158" priority="39"/>
  </conditionalFormatting>
  <conditionalFormatting sqref="F5 M5 T5 AA5 AH5 AO5 AV5 BC5 BJ5 BQ5 BX5 CE5">
    <cfRule type="expression" dxfId="157" priority="25">
      <formula>IF($CL$4="DICIEMBRE","VERDADERO")</formula>
    </cfRule>
  </conditionalFormatting>
  <conditionalFormatting sqref="F5 M5 T5 AA5 AH5 AO5 AV5 BC5 BJ5 BQ5 BX5">
    <cfRule type="expression" dxfId="156" priority="26">
      <formula>IF($CL$4="NOVIEMBRE","VERDADERO")</formula>
    </cfRule>
  </conditionalFormatting>
  <conditionalFormatting sqref="F5 M5 T5 AA5 AH5 AO5 AV5 BC5 BJ5 BQ5">
    <cfRule type="expression" dxfId="155" priority="27">
      <formula>IF($CL$4="OCTUBRE","VERDADERO")</formula>
    </cfRule>
  </conditionalFormatting>
  <conditionalFormatting sqref="F5 M5 T5 AA5 AH5 AO5 AV5 BC5 BJ5">
    <cfRule type="expression" dxfId="154" priority="28">
      <formula>IF($CL$4="SEPTIEMBRE","VERDADERO")</formula>
    </cfRule>
  </conditionalFormatting>
  <conditionalFormatting sqref="F5 M5 T5 AA5 AH5 AO5 AV5 BC5">
    <cfRule type="expression" dxfId="153" priority="29">
      <formula>IF($CL$4="AGOSTO","VERDADERO")</formula>
    </cfRule>
  </conditionalFormatting>
  <conditionalFormatting sqref="F5 M5 T5 AA5 AH5 AO5 AV5">
    <cfRule type="expression" dxfId="152" priority="30">
      <formula>IF($CL$4="JULIO","VERDADERO")</formula>
    </cfRule>
  </conditionalFormatting>
  <conditionalFormatting sqref="F5 M5 T5 AA5 AH5 AO5">
    <cfRule type="expression" dxfId="151" priority="31">
      <formula>IF($CL$4="JUNIO","VERDADERO")</formula>
    </cfRule>
  </conditionalFormatting>
  <conditionalFormatting sqref="F5 M5 T5 AA5 AH5">
    <cfRule type="expression" dxfId="150" priority="32">
      <formula>IF($CL$4="MAYO","VERDADERO")</formula>
    </cfRule>
  </conditionalFormatting>
  <conditionalFormatting sqref="F5 M5 T5 AA5">
    <cfRule type="expression" dxfId="149" priority="33">
      <formula>IF($CL$4="ABRIL","VERDADERO")</formula>
    </cfRule>
  </conditionalFormatting>
  <conditionalFormatting sqref="F5 M5 T5">
    <cfRule type="expression" dxfId="148" priority="34">
      <formula>IF($CL$4="MARZO","VERDADERO")</formula>
    </cfRule>
  </conditionalFormatting>
  <conditionalFormatting sqref="F5 M5">
    <cfRule type="expression" dxfId="147" priority="35">
      <formula>IF($CL$4="FEBRERO","VERDADERO")</formula>
    </cfRule>
  </conditionalFormatting>
  <conditionalFormatting sqref="F5">
    <cfRule type="expression" dxfId="146" priority="36">
      <formula>IF($CL$4="ENERO","VERDADERO")</formula>
    </cfRule>
  </conditionalFormatting>
  <conditionalFormatting sqref="H75:J75 N75:P75 T75:V75 Z75:AB75 AF75:AH75 AL75:AM75 W76:X84 K85:M86 Q85:S1048576 W85:Y86 AC85:AE86 AI85:AK86 AE7:AE10 AL7:AL10 AS7:AS10 AZ7:AZ10 BG7:BG10 BN7:BN10 BU7:BU10 CB7:CB10 CI7:CI10 AE12:AE16 AL12:AL16 AS12:AS16 AZ12:AZ16 BG12:BG16 BN12:BN16 BU12:BU16 CB12:CB16 CI12:CI16 AE18:AE22 AL18:AL22 AS18:AS22 AZ18:AZ22 BG18:BG22 BN18:BN22 BU18:BU22 CB18:CB22 CI18:CI22 AE31:AE35 AL31:AL35 AS31:AS35 AZ31:AZ35 BG31:BG35 BN31:BN35 BU31:BU35 CB31:CB35 CI31:CI35 AE52:AE56 AL52:AL56 AS52:AS56 AZ52:AZ56 BG52:BG56 BN52:BN56 BU52:BU56 CB52:CB56 CI52:CI56 AE58:AE63 AL58:AL63 AS58:AS63 AZ58:AZ63 BG58:BG63 BN58:BN63 BU58:BU63 CB58:CB63 CI58:CI63 AE46:AE50 AL46:AL50 AS46:AS50 AZ46:AZ50 BG46:BG50 BN46:BN50 BU46:BU50 CB46:CB50 CI46:CI50 AE65 AL65 AE24:AE29 AL24:AL29 AS24:AS29 AZ24:AZ29 BG24:BG29 BN24:BN29 BU24:BU29 CB24:CB29 CI24:CI29 AE37:AE44 AL37:AL44 AS37:AS44 AZ37:AZ44 BG37:BG44 BN37:BN44 BU37:BU44 CB37:CB44 CI37:CI44 AS65 CI65 CB65 BU65 BN65 BG65 AZ65">
    <cfRule type="cellIs" dxfId="145" priority="22" operator="greaterThan">
      <formula>1</formula>
    </cfRule>
  </conditionalFormatting>
  <conditionalFormatting sqref="J7:J65 Q7:Q65 X7:X65 AE7:AE65 AL7:AL65 AS7:AS65 CI7:CI65 CB7:CB65 BU7:BU65 BN7:BN65 BG7:BG65 AZ7:AZ65">
    <cfRule type="dataBar" priority="2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{0D336F1B-16A5-463F-954A-75B6052FACB3}</x14:id>
        </ext>
      </extLst>
    </cfRule>
  </conditionalFormatting>
  <conditionalFormatting sqref="DP7:DP65 CN7:CN65 DB7:DB65 DI7:DI65 CU7:CU65">
    <cfRule type="cellIs" dxfId="144" priority="3" operator="greaterThanOrEqual">
      <formula>1</formula>
    </cfRule>
    <cfRule type="cellIs" dxfId="143" priority="4" operator="lessThan">
      <formula>1</formula>
    </cfRule>
  </conditionalFormatting>
  <conditionalFormatting sqref="DR7:DR65 CP7:CP65 DD7:DD65 DK7:DK65 CW7:CW65">
    <cfRule type="containsText" dxfId="142" priority="5" operator="containsText" text="N D">
      <formula>NOT(ISERROR(SEARCH("N D",CP7)))</formula>
    </cfRule>
    <cfRule type="cellIs" dxfId="141" priority="6" operator="lessThan">
      <formula>0.8</formula>
    </cfRule>
    <cfRule type="cellIs" dxfId="140" priority="7" operator="greaterThanOrEqual">
      <formula>0.8</formula>
    </cfRule>
  </conditionalFormatting>
  <conditionalFormatting sqref="DT7:DT65 CR7:CR65 DM7:DM65 CY7:CY65">
    <cfRule type="cellIs" dxfId="139" priority="8" operator="greaterThanOrEqual">
      <formula>0.25</formula>
    </cfRule>
    <cfRule type="cellIs" dxfId="138" priority="9" operator="between">
      <formula>0.15</formula>
      <formula>0.249</formula>
    </cfRule>
    <cfRule type="cellIs" dxfId="137" priority="10" operator="lessThan">
      <formula>0.15</formula>
    </cfRule>
  </conditionalFormatting>
  <conditionalFormatting sqref="DF7:DF65">
    <cfRule type="cellIs" dxfId="136" priority="14" operator="lessThan">
      <formula>0.15</formula>
    </cfRule>
    <cfRule type="cellIs" dxfId="135" priority="15" operator="between">
      <formula>0.15</formula>
      <formula>0.25</formula>
    </cfRule>
    <cfRule type="cellIs" dxfId="134" priority="16" operator="greaterThanOrEqual">
      <formula>0.25</formula>
    </cfRule>
  </conditionalFormatting>
  <conditionalFormatting sqref="K76:M84 Q76:S84">
    <cfRule type="cellIs" dxfId="133" priority="2" operator="greaterThan">
      <formula>1</formula>
    </cfRule>
  </conditionalFormatting>
  <conditionalFormatting sqref="AA76:AC84 AG76:AI84">
    <cfRule type="cellIs" dxfId="132" priority="1" operator="greaterThan">
      <formula>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336F1B-16A5-463F-954A-75B6052FACB3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theme="9" tint="-0.249977111117893"/>
              <x14:negativeFillColor rgb="FFFF0000"/>
              <x14:axisColor rgb="FF000000"/>
            </x14:dataBar>
          </x14:cfRule>
          <xm:sqref>J7:J65 Q7:Q65 X7:X65 AE7:AE65 AL7:AL65 AS7:AS65 CI7:CI65 CB7:CB65 BU7:BU65 BN7:BN65 BG7:BG65 AZ7:AZ65</xm:sqref>
        </x14:conditionalFormatting>
        <x14:conditionalFormatting xmlns:xm="http://schemas.microsoft.com/office/excel/2006/main">
          <x14:cfRule type="containsText" priority="23" operator="containsText" id="{A3053566-B7BA-4C6C-89B9-EC06F804B1AA}">
            <xm:f>NOT(ISERROR(SEARCH("N.D.",CP7)))</xm:f>
            <xm:f>"N.D."</xm:f>
            <x14:dxf>
              <font>
                <b/>
                <i val="0"/>
                <color rgb="FFFF0000"/>
              </font>
              <fill>
                <patternFill patternType="none">
                  <fgColor auto="1"/>
                  <bgColor auto="1"/>
                </patternFill>
              </fill>
            </x14:dxf>
          </x14:cfRule>
          <xm:sqref>DK64 DR64 DE62:DF63 CX62:CY63 CP62:CP64 CW62:CW64 DD62:DD64 CQ62:CR63 CP7:CR10 CP12:CR16 CP11 CR11 CP18:CR22 CP17 CR17 CP23 CR23 CP31:CR35 CP30 CR30 CP36 CR36 CP45 CR45 CP52:CR56 CP51 CR51 CP58:CR61 CP57 CR57 DD65:DF65 DK65:DM65 DR65:DT65 CP46:CR50 CP65:CR65 CW65:CY65 DR7:DT63 CP24:CR29 CP37:CR44 DD7:DF61 DK7:DM63 CW7:CY61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308F91-CAB7-4D4A-AB2E-D0319246FBF3}">
          <x14:formula1>
            <xm:f>MAESTRO!$H$3:$H$14</xm:f>
          </x14:formula1>
          <xm:sqref>CL4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88D2-D019-4375-A885-79855F82A42C}">
  <sheetPr codeName="Hoja8">
    <tabColor theme="9" tint="0.39997558519241921"/>
    <pageSetUpPr fitToPage="1"/>
  </sheetPr>
  <dimension ref="A1:AZ151"/>
  <sheetViews>
    <sheetView topLeftCell="K3" workbookViewId="0">
      <selection activeCell="AC66" sqref="AC66"/>
    </sheetView>
  </sheetViews>
  <sheetFormatPr baseColWidth="10" defaultColWidth="11.453125" defaultRowHeight="13" x14ac:dyDescent="0.3"/>
  <cols>
    <col min="1" max="1" width="6.1796875" style="44" customWidth="1"/>
    <col min="2" max="2" width="11" style="78" customWidth="1"/>
    <col min="3" max="3" width="24.81640625" style="44" customWidth="1"/>
    <col min="4" max="4" width="11" style="44" customWidth="1"/>
    <col min="5" max="5" width="24" style="44" customWidth="1"/>
    <col min="6" max="6" width="11.1796875" style="44" customWidth="1"/>
    <col min="7" max="7" width="11.1796875" style="76" customWidth="1"/>
    <col min="8" max="29" width="11.1796875" style="44" customWidth="1"/>
    <col min="30" max="30" width="10.54296875" style="44" customWidth="1"/>
    <col min="31" max="31" width="8.81640625" style="44" customWidth="1"/>
    <col min="32" max="32" width="7.81640625" style="44" customWidth="1"/>
    <col min="33" max="33" width="6.81640625" style="44" customWidth="1"/>
    <col min="34" max="34" width="8.81640625" style="44" customWidth="1"/>
    <col min="35" max="35" width="7.81640625" style="44" customWidth="1"/>
    <col min="36" max="36" width="6.81640625" style="44" customWidth="1"/>
    <col min="37" max="37" width="8.81640625" style="44" hidden="1" customWidth="1"/>
    <col min="38" max="38" width="10.1796875" style="44" hidden="1" customWidth="1"/>
    <col min="39" max="39" width="10.7265625" style="44" hidden="1" customWidth="1"/>
    <col min="40" max="40" width="8.81640625" style="44" customWidth="1"/>
    <col min="41" max="41" width="10.1796875" style="44" bestFit="1" customWidth="1"/>
    <col min="42" max="42" width="10.7265625" style="44" bestFit="1" customWidth="1"/>
    <col min="43" max="16384" width="11.453125" style="44"/>
  </cols>
  <sheetData>
    <row r="1" spans="1:52" hidden="1" x14ac:dyDescent="0.3">
      <c r="E1" s="2" t="s">
        <v>109</v>
      </c>
      <c r="F1" s="2" t="s">
        <v>0</v>
      </c>
      <c r="G1" s="2" t="s">
        <v>0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101</v>
      </c>
      <c r="W1" s="2" t="s">
        <v>101</v>
      </c>
      <c r="X1" s="2" t="s">
        <v>102</v>
      </c>
      <c r="Y1" s="2" t="s">
        <v>102</v>
      </c>
      <c r="Z1" s="2" t="s">
        <v>103</v>
      </c>
      <c r="AA1" s="2" t="s">
        <v>103</v>
      </c>
      <c r="AB1" s="2" t="s">
        <v>104</v>
      </c>
      <c r="AC1" s="2" t="s">
        <v>104</v>
      </c>
    </row>
    <row r="2" spans="1:52" hidden="1" x14ac:dyDescent="0.3">
      <c r="E2" s="2" t="s">
        <v>108</v>
      </c>
      <c r="F2" s="172" t="str">
        <f>$AD$4</f>
        <v>JUNIO</v>
      </c>
      <c r="G2" s="172" t="str">
        <f>$AD$4</f>
        <v>JUNIO</v>
      </c>
      <c r="H2" s="172" t="str">
        <f>IF($AD$4="ENERO",0,$AD$4)</f>
        <v>JUNIO</v>
      </c>
      <c r="I2" s="172" t="str">
        <f>IF($AD$4="ENERO",0,$AD$4)</f>
        <v>JUNIO</v>
      </c>
      <c r="J2" s="172" t="str">
        <f>IF(OR($AD$4="ENERO",$AD$4="FEBRERO"),0,$AD$4)</f>
        <v>JUNIO</v>
      </c>
      <c r="K2" s="172" t="str">
        <f>IF(OR($AD$4="ENERO",$AD$4="FEBRERO"),0,$AD$4)</f>
        <v>JUNIO</v>
      </c>
      <c r="L2" s="172" t="str">
        <f>IF(OR($AD$4="ENERO",$AD$4="FEBRERO",$AD$4="MARZO"),0,$AD$4)</f>
        <v>JUNIO</v>
      </c>
      <c r="M2" s="172" t="str">
        <f>IF(OR($AD$4="ENERO",$AD$4="FEBRERO",$AD$4="MARZO"),0,$AD$4)</f>
        <v>JUNIO</v>
      </c>
      <c r="N2" s="172" t="str">
        <f>IF(OR($AD$4="ENERO",$AD$4="FEBRERO",$AD$4="MARZO",$AD$4="ABRIL"),0,$AD$4)</f>
        <v>JUNIO</v>
      </c>
      <c r="O2" s="172" t="str">
        <f>IF(OR($AD$4="ENERO",$AD$4="FEBRERO",$AD$4="MARZO",$AD$4="ABRIL"),0,$AD$4)</f>
        <v>JUNIO</v>
      </c>
      <c r="P2" s="172" t="str">
        <f>IF(OR($AD$4="ENERO",$AD$4="FEBRERO",$AD$4="MARZO",$AD$4="ABRIL",$AD$4="MAYO"),0,$AD$4)</f>
        <v>JUNIO</v>
      </c>
      <c r="Q2" s="172" t="str">
        <f>IF(OR($AD$4="ENERO",$AD$4="FEBRERO",$AD$4="MARZO",$AD$4="ABRIL",$AD$4="MAYO"),0,$AD$4)</f>
        <v>JUNIO</v>
      </c>
      <c r="R2" s="172">
        <f>IF(OR($AD$4="ENERO",$AD$4="FEBRERO",$AD$4="MARZO",$AD$4="ABRIL",$AD$4="MAYO",$AD$4="JUNIO"),0,$AD$4)</f>
        <v>0</v>
      </c>
      <c r="S2" s="172">
        <f>IF(OR($AD$4="ENERO",$AD$4="FEBRERO",$AD$4="MARZO",$AD$4="ABRIL",$AD$4="MAYO",$AD$4="JUNIO"),0,$AD$4)</f>
        <v>0</v>
      </c>
      <c r="T2" s="172">
        <f>IF(OR($AD$4="ENERO",$AD$4="FEBRERO",$AD$4="MARZO",$AD$4="ABRIL",$AD$4="MAYO",$AD$4="JUNIO",$AD$4="JULIO"),0,$AD$4)</f>
        <v>0</v>
      </c>
      <c r="U2" s="172">
        <f>IF(OR($AD$4="ENERO",$AD$4="FEBRERO",$AD$4="MARZO",$AD$4="ABRIL",$AD$4="MAYO",$AD$4="JUNIO",$AD$4="JULIO"),0,$AD$4)</f>
        <v>0</v>
      </c>
      <c r="V2" s="172">
        <f>IF(OR($AD$4="ENERO",$AD$4="FEBRERO",$AD$4="MARZO",$AD$4="ABRIL",$AD$4="MAYO",$AD$4="JUNIO",$AD$4="JULIO",$AD$4="AGOSTO"),0,$AD$4)</f>
        <v>0</v>
      </c>
      <c r="W2" s="172">
        <f>IF(OR($AD$4="ENERO",$AD$4="FEBRERO",$AD$4="MARZO",$AD$4="ABRIL",$AD$4="MAYO",$AD$4="JUNIO",$AD$4="JULIO",$AD$4="AGOSTO"),0,$AD$4)</f>
        <v>0</v>
      </c>
      <c r="X2" s="172">
        <f>IF(OR($AD$4="ENERO",$AD$4="FEBRERO",$AD$4="MARZO",$AD$4="ABRIL",$AD$4="MAYO",$AD$4="JUNIO",$AD$4="JULIO",$AD$4="AGOSTO",$AD$4="SEPTIEMBRE"),0,$AD$4)</f>
        <v>0</v>
      </c>
      <c r="Y2" s="172">
        <f>IF(OR($AD$4="ENERO",$AD$4="FEBRERO",$AD$4="MARZO",$AD$4="ABRIL",$AD$4="MAYO",$AD$4="JUNIO",$AD$4="JULIO",$AD$4="AGOSTO",$AD$4="SEPTIEMBRE"),0,$AD$4)</f>
        <v>0</v>
      </c>
      <c r="Z2" s="172">
        <f>IF(OR($AD$4="ENERO",$AD$4="FEBRERO",$AD$4="MARZO",$AD$4="ABRIL",$AD$4="MAYO",$AD$4="JUNIO",$AD$4="JULIO",$AD$4="AGOSTO",$AD$4="SEPTIEMBRE",$AD$4="OCTUBRE"),0,$AD$4)</f>
        <v>0</v>
      </c>
      <c r="AA2" s="172">
        <f>IF(OR($AD$4="ENERO",$AD$4="FEBRERO",$AD$4="MARZO",$AD$4="ABRIL",$AD$4="MAYO",$AD$4="JUNIO",$AD$4="JULIO",$AD$4="AGOSTO",$AD$4="SEPTIEMBRE",$AD$4="OCTUBRE"),0,$AD$4)</f>
        <v>0</v>
      </c>
      <c r="AB2" s="172">
        <f>IF(OR($AD$4="ENERO",$AD$4="FEBRERO",$AD$4="MARZO",$AD$4="ABRIL",$AD$4="MAYO",$AD$4="JUNIO",$AD$4="JULIO",$AD$4="AGOSTO",$AD$4="SEPTIEMBRE",$AD$4="OCTUBRE",$AD$4="NOVIEMBRE"),0,$AD$4)</f>
        <v>0</v>
      </c>
      <c r="AC2" s="172">
        <f>IF(OR($AD$4="ENERO",$AD$4="FEBRERO",$AD$4="MARZO",$AD$4="ABRIL",$AD$4="MAYO",$AD$4="JUNIO",$AD$4="JULIO",$AD$4="AGOSTO",$AD$4="SEPTIEMBRE",$AD$4="OCTUBRE",$AD$4="NOVIEMBRE"),0,$AD$4)</f>
        <v>0</v>
      </c>
    </row>
    <row r="3" spans="1:52" s="42" customFormat="1" ht="18.5" thickBot="1" x14ac:dyDescent="0.35">
      <c r="B3" s="627" t="s">
        <v>260</v>
      </c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7"/>
      <c r="AB3" s="627"/>
      <c r="AC3" s="627"/>
      <c r="AD3" s="627"/>
      <c r="AE3" s="627"/>
      <c r="AF3" s="627"/>
      <c r="AG3" s="627"/>
      <c r="AH3" s="627"/>
      <c r="AI3" s="627"/>
      <c r="AJ3" s="627"/>
      <c r="AK3" s="627"/>
      <c r="AL3" s="627"/>
      <c r="AM3" s="627"/>
      <c r="AN3" s="43"/>
    </row>
    <row r="4" spans="1:52" ht="13.5" thickBot="1" x14ac:dyDescent="0.35">
      <c r="F4" s="377" t="s">
        <v>107</v>
      </c>
      <c r="G4" s="378" t="s">
        <v>106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D4" s="82" t="s">
        <v>5</v>
      </c>
    </row>
    <row r="5" spans="1:52" ht="15" customHeight="1" thickBot="1" x14ac:dyDescent="0.35">
      <c r="B5" s="632" t="s">
        <v>35</v>
      </c>
      <c r="C5" s="630" t="s">
        <v>36</v>
      </c>
      <c r="D5" s="632" t="s">
        <v>76</v>
      </c>
      <c r="E5" s="633"/>
      <c r="F5" s="745" t="s">
        <v>0</v>
      </c>
      <c r="G5" s="746"/>
      <c r="H5" s="745" t="s">
        <v>1</v>
      </c>
      <c r="I5" s="746"/>
      <c r="J5" s="745" t="s">
        <v>2</v>
      </c>
      <c r="K5" s="746"/>
      <c r="L5" s="745" t="s">
        <v>3</v>
      </c>
      <c r="M5" s="746"/>
      <c r="N5" s="745" t="s">
        <v>4</v>
      </c>
      <c r="O5" s="746"/>
      <c r="P5" s="753" t="s">
        <v>5</v>
      </c>
      <c r="Q5" s="754"/>
      <c r="R5" s="745" t="s">
        <v>6</v>
      </c>
      <c r="S5" s="746"/>
      <c r="T5" s="745" t="s">
        <v>7</v>
      </c>
      <c r="U5" s="744"/>
      <c r="V5" s="745" t="s">
        <v>101</v>
      </c>
      <c r="W5" s="746"/>
      <c r="X5" s="744" t="s">
        <v>102</v>
      </c>
      <c r="Y5" s="744"/>
      <c r="Z5" s="745" t="s">
        <v>103</v>
      </c>
      <c r="AA5" s="746"/>
      <c r="AB5" s="744" t="s">
        <v>104</v>
      </c>
      <c r="AC5" s="746"/>
      <c r="AD5" s="741" t="s">
        <v>33</v>
      </c>
      <c r="AE5" s="742"/>
      <c r="AF5" s="742"/>
      <c r="AG5" s="743"/>
      <c r="AH5" s="742" t="s">
        <v>108</v>
      </c>
      <c r="AI5" s="742"/>
      <c r="AJ5" s="743"/>
      <c r="AK5" s="741" t="s">
        <v>73</v>
      </c>
      <c r="AL5" s="742"/>
      <c r="AM5" s="743"/>
      <c r="AN5" s="741" t="s">
        <v>171</v>
      </c>
      <c r="AO5" s="742"/>
      <c r="AP5" s="743"/>
      <c r="AT5" s="742" t="s">
        <v>246</v>
      </c>
      <c r="AU5" s="742"/>
      <c r="AV5" s="743"/>
    </row>
    <row r="6" spans="1:52" ht="15" customHeight="1" thickBot="1" x14ac:dyDescent="0.35">
      <c r="B6" s="634"/>
      <c r="C6" s="631"/>
      <c r="D6" s="634"/>
      <c r="E6" s="736"/>
      <c r="F6" s="103" t="s">
        <v>159</v>
      </c>
      <c r="G6" s="101" t="s">
        <v>160</v>
      </c>
      <c r="H6" s="103" t="s">
        <v>159</v>
      </c>
      <c r="I6" s="262" t="s">
        <v>160</v>
      </c>
      <c r="J6" s="263" t="s">
        <v>159</v>
      </c>
      <c r="K6" s="101" t="s">
        <v>160</v>
      </c>
      <c r="L6" s="103" t="s">
        <v>159</v>
      </c>
      <c r="M6" s="101" t="s">
        <v>160</v>
      </c>
      <c r="N6" s="103" t="s">
        <v>159</v>
      </c>
      <c r="O6" s="101" t="s">
        <v>160</v>
      </c>
      <c r="P6" s="103" t="s">
        <v>159</v>
      </c>
      <c r="Q6" s="262" t="s">
        <v>160</v>
      </c>
      <c r="R6" s="263" t="s">
        <v>159</v>
      </c>
      <c r="S6" s="101" t="s">
        <v>160</v>
      </c>
      <c r="T6" s="103" t="s">
        <v>159</v>
      </c>
      <c r="U6" s="262" t="s">
        <v>160</v>
      </c>
      <c r="V6" s="263" t="s">
        <v>159</v>
      </c>
      <c r="W6" s="101" t="s">
        <v>160</v>
      </c>
      <c r="X6" s="103" t="s">
        <v>159</v>
      </c>
      <c r="Y6" s="262" t="s">
        <v>160</v>
      </c>
      <c r="Z6" s="263" t="s">
        <v>159</v>
      </c>
      <c r="AA6" s="101" t="s">
        <v>160</v>
      </c>
      <c r="AB6" s="103" t="s">
        <v>159</v>
      </c>
      <c r="AC6" s="101" t="s">
        <v>160</v>
      </c>
      <c r="AD6" s="226"/>
      <c r="AE6" s="104" t="s">
        <v>159</v>
      </c>
      <c r="AF6" s="105" t="s">
        <v>160</v>
      </c>
      <c r="AG6" s="102" t="s">
        <v>161</v>
      </c>
      <c r="AH6" s="104" t="s">
        <v>159</v>
      </c>
      <c r="AI6" s="105" t="s">
        <v>160</v>
      </c>
      <c r="AJ6" s="102" t="s">
        <v>161</v>
      </c>
      <c r="AK6" s="104" t="s">
        <v>159</v>
      </c>
      <c r="AL6" s="105" t="s">
        <v>160</v>
      </c>
      <c r="AM6" s="102" t="s">
        <v>161</v>
      </c>
      <c r="AN6" s="104" t="s">
        <v>159</v>
      </c>
      <c r="AO6" s="105" t="s">
        <v>160</v>
      </c>
      <c r="AP6" s="102" t="s">
        <v>161</v>
      </c>
      <c r="AT6" s="104" t="s">
        <v>159</v>
      </c>
      <c r="AU6" s="105" t="s">
        <v>160</v>
      </c>
      <c r="AV6" s="102" t="s">
        <v>161</v>
      </c>
    </row>
    <row r="7" spans="1:52" s="53" customFormat="1" ht="16" customHeight="1" x14ac:dyDescent="0.3">
      <c r="A7" s="53">
        <f>_xlfn.XLOOKUP(B7,'UC MINI 2026 MINI NEXT'!$B$7:$B$63,'UC MINI 2026 MINI NEXT'!$A$7:$A$63)</f>
        <v>1</v>
      </c>
      <c r="B7" s="179">
        <v>100323</v>
      </c>
      <c r="C7" s="381" t="s">
        <v>165</v>
      </c>
      <c r="D7" s="51">
        <v>8337</v>
      </c>
      <c r="E7" s="309" t="s">
        <v>274</v>
      </c>
      <c r="F7" s="199">
        <f>IFERROR(VLOOKUP(B7,'[2]COMPRAS UC'!$R$11:$AF$66,3,0),0)</f>
        <v>3</v>
      </c>
      <c r="G7" s="23">
        <f>IFERROR(VLOOKUP(B7,'[2]COMPRAS YUC'!$R$10:$AF$63,3,0),0)</f>
        <v>6</v>
      </c>
      <c r="H7" s="87">
        <f>IFERROR(VLOOKUP(B7,'[2]COMPRAS UC'!$R$11:$AF$66,4,0),0)</f>
        <v>0</v>
      </c>
      <c r="I7" s="23">
        <f>IFERROR(VLOOKUP(B7,'[2]COMPRAS YUC'!$R$10:$AF$63,4,0),0)</f>
        <v>4</v>
      </c>
      <c r="J7" s="87">
        <f>IFERROR(VLOOKUP(B7,'[2]COMPRAS UC'!$R$11:$AF$66,5,0),0)</f>
        <v>1</v>
      </c>
      <c r="K7" s="23">
        <f>IFERROR(VLOOKUP(B7,'[2]COMPRAS YUC'!$R$10:$AF$63,5,0),0)</f>
        <v>1</v>
      </c>
      <c r="L7" s="87">
        <f>IFERROR(VLOOKUP(B7,'[2]COMPRAS UC'!$R$11:$AF$66,6,0),0)</f>
        <v>3</v>
      </c>
      <c r="M7" s="23">
        <f>IFERROR(VLOOKUP(B7,'[2]COMPRAS YUC'!$R$10:$AF$63,6,0),0)</f>
        <v>0</v>
      </c>
      <c r="N7" s="87">
        <f>IFERROR(VLOOKUP(B7,'[2]COMPRAS UC'!$R$11:$AF$66,7,0),0)</f>
        <v>7</v>
      </c>
      <c r="O7" s="23">
        <f>IFERROR(VLOOKUP(B7,'[2]COMPRAS YUC'!$R$10:$AF$63,7,0),0)</f>
        <v>0</v>
      </c>
      <c r="P7" s="87">
        <f>IFERROR(VLOOKUP(B7,'[2]COMPRAS UC'!$R$11:$AF$66,8,0),0)</f>
        <v>4</v>
      </c>
      <c r="Q7" s="23">
        <f>IFERROR(VLOOKUP(B7,'[2]COMPRAS YUC'!$R$10:$AF$63,8,0),0)</f>
        <v>0</v>
      </c>
      <c r="R7" s="87">
        <f>IFERROR(VLOOKUP(D7,'[2]COMPRAS UC'!$R$11:$AF$66,9,0),0)</f>
        <v>0</v>
      </c>
      <c r="S7" s="23">
        <f>IFERROR(VLOOKUP(D7,'[2]COMPRAS YUC'!$R$10:$AF$63,9,0),0)</f>
        <v>0</v>
      </c>
      <c r="T7" s="87">
        <f>IFERROR(VLOOKUP(F7,'[2]COMPRAS UC'!$R$11:$AF$66,10,0),0)</f>
        <v>0</v>
      </c>
      <c r="U7" s="23">
        <f>IFERROR(VLOOKUP(F7,'[2]COMPRAS YUC'!$R$10:$AF$63,10,0),0)</f>
        <v>0</v>
      </c>
      <c r="V7" s="87">
        <f>IFERROR(VLOOKUP(H7,'[2]COMPRAS UC'!$R$11:$AF$66,11,0),0)</f>
        <v>0</v>
      </c>
      <c r="W7" s="23">
        <f>IFERROR(VLOOKUP(H7,'[2]COMPRAS YUC'!$R$10:$AF$63,11,0),0)</f>
        <v>0</v>
      </c>
      <c r="X7" s="87">
        <f>IFERROR(VLOOKUP(J7,'[2]COMPRAS UC'!$R$11:$AF$66,12,0),0)</f>
        <v>0</v>
      </c>
      <c r="Y7" s="23">
        <f>IFERROR(VLOOKUP(J7,'[2]COMPRAS YUC'!$R$10:$AF$63,12,0),0)</f>
        <v>0</v>
      </c>
      <c r="Z7" s="87">
        <f>IFERROR(VLOOKUP(L7,'[2]COMPRAS UC'!$R$11:$AF$66,13,0),0)</f>
        <v>0</v>
      </c>
      <c r="AA7" s="23">
        <f>IFERROR(VLOOKUP(L7,'[2]COMPRAS YUC'!$R$10:$AF$63,13,0),0)</f>
        <v>0</v>
      </c>
      <c r="AB7" s="87">
        <f>IFERROR(VLOOKUP(N7,'[2]COMPRAS UC'!$R$11:$AF$66,14,0),0)</f>
        <v>0</v>
      </c>
      <c r="AC7" s="23">
        <f>IFERROR(VLOOKUP(N7,'[2]COMPRAS YUC'!$R$10:$AF$63,14,0),0)</f>
        <v>0</v>
      </c>
      <c r="AD7" s="268"/>
      <c r="AE7" s="79">
        <f t="shared" ref="AE7:AF10" si="0">IFERROR(IF($AD$4="ENERO",F7,IF($AD$4="FEBRERO",F7+H7,IF($AD$4="MARZO",F7+H7+J7,IF($AD$4="ABRIL",F7+H7+J7+L7,IF($AD$4="MAYO",F7+H7+J7+L7+N7,IF($AD$4="JUNIO",F7+H7+J7+L7+N7+P7,IF($AD$4="JULIO",F7+H7+J7+L7+N7+P7+R7,IF($AD$4="AGOSTO",F7+H7+J7+L7+N7+P7+R7+T7,IF($AD$4="SEPTIEMBRE",F7+H7+J7+L7+N7+P7+R7+T7+V7,IF($AD$4="OCTUBRE",F7+H7+J7+L7+N7+P7+R7+T7+V7+X7,IF($AD$4="NOVIEMBRE",F7+H7+J7+L7+N7+P7+R7+T7+V7+X7+Z7,IF($AD$4="DICIEMBRE",F7+H7+J7+L7+N7+P7+R7+T7+V7+X7+Z7+AB7,"")))))))))))),0)</f>
        <v>18</v>
      </c>
      <c r="AF7" s="96">
        <f t="shared" si="0"/>
        <v>11</v>
      </c>
      <c r="AG7" s="228">
        <f t="shared" ref="AG7:AG23" si="1">IFERROR(AE7+AF7,0)</f>
        <v>29</v>
      </c>
      <c r="AH7" s="79">
        <f t="shared" ref="AH7:AH12" si="2">IFERROR(SUM(F7+H7+J7+L7+N7+P7+R7+T7+V7+X7+Z7+AB7),0)</f>
        <v>18</v>
      </c>
      <c r="AI7" s="96">
        <f t="shared" ref="AI7:AI12" si="3">IFERROR(SUM(G7,I7,K7,M7,O7,Q7,S7,U7,W7,Y7,AA7,AC7),0)</f>
        <v>11</v>
      </c>
      <c r="AJ7" s="228">
        <f>AH7+AI7</f>
        <v>29</v>
      </c>
      <c r="AK7" s="86">
        <f t="shared" ref="AK7:AL10" si="4">IF($AK$5="Q1",F7+H7+J7,
IF($AK$5="Q2",L7+N7++P7,
IF($AK$5="Q3",R7+T7+V7,
IF($AK$5="Q4",X7+Z7+AB7,0))))</f>
        <v>0</v>
      </c>
      <c r="AL7" s="96">
        <f t="shared" si="4"/>
        <v>0</v>
      </c>
      <c r="AM7" s="233">
        <f>AK7+AL7</f>
        <v>0</v>
      </c>
      <c r="AN7" s="79">
        <f t="shared" ref="AN7:AO10" si="5">IFERROR(IF($AN$5="S 1",F7+H7+J7+L7+N7+P7,
IF($AN$5="S 2",R7+T7+V7+X7+Z7+AB7,0)),0)</f>
        <v>18</v>
      </c>
      <c r="AO7" s="96">
        <f t="shared" si="5"/>
        <v>11</v>
      </c>
      <c r="AP7" s="228">
        <f>AN7+AO7</f>
        <v>29</v>
      </c>
      <c r="AQ7" s="53">
        <v>1</v>
      </c>
      <c r="AZ7" s="53">
        <f>SUM(L7:Q7)</f>
        <v>14</v>
      </c>
    </row>
    <row r="8" spans="1:52" s="53" customFormat="1" ht="16" customHeight="1" x14ac:dyDescent="0.3">
      <c r="A8" s="53">
        <f>_xlfn.XLOOKUP(B8,'UC MINI 2026 MINI NEXT'!$B$7:$B$63,'UC MINI 2026 MINI NEXT'!$A$7:$A$63)</f>
        <v>1</v>
      </c>
      <c r="B8" s="179">
        <v>100873</v>
      </c>
      <c r="C8" s="381" t="s">
        <v>166</v>
      </c>
      <c r="D8" s="51">
        <v>51827</v>
      </c>
      <c r="E8" s="309" t="s">
        <v>156</v>
      </c>
      <c r="F8" s="199">
        <f>IFERROR(VLOOKUP(B8,'[2]COMPRAS UC'!$R$11:$AF$66,3,0),0)</f>
        <v>4</v>
      </c>
      <c r="G8" s="23">
        <f>IFERROR(VLOOKUP(B8,'[2]COMPRAS YUC'!$R$10:$AF$63,3,0),0)</f>
        <v>1</v>
      </c>
      <c r="H8" s="87">
        <f>IFERROR(VLOOKUP(B8,'[2]COMPRAS UC'!$R$11:$AF$66,4,0),0)</f>
        <v>6</v>
      </c>
      <c r="I8" s="23">
        <f>IFERROR(VLOOKUP(B8,'[2]COMPRAS YUC'!$R$10:$AF$63,4,0),0)</f>
        <v>1</v>
      </c>
      <c r="J8" s="87">
        <f>IFERROR(VLOOKUP(B8,'[2]COMPRAS UC'!$R$11:$AF$66,5,0),0)</f>
        <v>11</v>
      </c>
      <c r="K8" s="23">
        <f>IFERROR(VLOOKUP(B8,'[2]COMPRAS YUC'!$R$10:$AF$63,5,0),0)</f>
        <v>3</v>
      </c>
      <c r="L8" s="87">
        <f>IFERROR(VLOOKUP(B8,'[2]COMPRAS UC'!$R$11:$AF$66,6,0),0)</f>
        <v>11</v>
      </c>
      <c r="M8" s="23">
        <f>IFERROR(VLOOKUP(B8,'[2]COMPRAS YUC'!$R$10:$AF$63,6,0),0)</f>
        <v>10</v>
      </c>
      <c r="N8" s="87">
        <f>IFERROR(VLOOKUP(B8,'[2]COMPRAS UC'!$R$11:$AF$66,7,0),0)</f>
        <v>15</v>
      </c>
      <c r="O8" s="23">
        <f>IFERROR(VLOOKUP(B8,'[2]COMPRAS YUC'!$R$10:$AF$63,7,0),0)</f>
        <v>1</v>
      </c>
      <c r="P8" s="87">
        <f>IFERROR(VLOOKUP(B8,'[2]COMPRAS UC'!$R$11:$AF$66,8,0),0)</f>
        <v>11</v>
      </c>
      <c r="Q8" s="23">
        <f>IFERROR(VLOOKUP(B8,'[2]COMPRAS YUC'!$R$10:$AF$63,8,0),0)</f>
        <v>0</v>
      </c>
      <c r="R8" s="87">
        <f>IFERROR(VLOOKUP(D8,'[2]COMPRAS UC'!$R$11:$AF$66,9,0),0)</f>
        <v>0</v>
      </c>
      <c r="S8" s="23">
        <f>IFERROR(VLOOKUP(D8,'[2]COMPRAS YUC'!$R$10:$AF$63,9,0),0)</f>
        <v>0</v>
      </c>
      <c r="T8" s="87">
        <f>IFERROR(VLOOKUP(F8,'[2]COMPRAS UC'!$R$11:$AF$66,10,0),0)</f>
        <v>0</v>
      </c>
      <c r="U8" s="23">
        <f>IFERROR(VLOOKUP(F8,'[2]COMPRAS YUC'!$R$10:$AF$63,10,0),0)</f>
        <v>0</v>
      </c>
      <c r="V8" s="87">
        <f>IFERROR(VLOOKUP(H8,'[2]COMPRAS UC'!$R$11:$AF$66,11,0),0)</f>
        <v>0</v>
      </c>
      <c r="W8" s="23">
        <f>IFERROR(VLOOKUP(H8,'[2]COMPRAS YUC'!$R$10:$AF$63,11,0),0)</f>
        <v>0</v>
      </c>
      <c r="X8" s="87">
        <f>IFERROR(VLOOKUP(J8,'[2]COMPRAS UC'!$R$11:$AF$66,12,0),0)</f>
        <v>0</v>
      </c>
      <c r="Y8" s="23">
        <f>IFERROR(VLOOKUP(J8,'[2]COMPRAS YUC'!$R$10:$AF$63,12,0),0)</f>
        <v>0</v>
      </c>
      <c r="Z8" s="87">
        <f>IFERROR(VLOOKUP(L8,'[2]COMPRAS UC'!$R$11:$AF$66,13,0),0)</f>
        <v>0</v>
      </c>
      <c r="AA8" s="23">
        <f>IFERROR(VLOOKUP(L8,'[2]COMPRAS YUC'!$R$10:$AF$63,13,0),0)</f>
        <v>0</v>
      </c>
      <c r="AB8" s="87">
        <f>IFERROR(VLOOKUP(N8,'[2]COMPRAS UC'!$R$11:$AF$66,14,0),0)</f>
        <v>0</v>
      </c>
      <c r="AC8" s="23">
        <f>IFERROR(VLOOKUP(N8,'[2]COMPRAS YUC'!$R$10:$AF$63,14,0),0)</f>
        <v>0</v>
      </c>
      <c r="AD8" s="270"/>
      <c r="AE8" s="267">
        <f t="shared" si="0"/>
        <v>58</v>
      </c>
      <c r="AF8" s="188">
        <f t="shared" si="0"/>
        <v>16</v>
      </c>
      <c r="AG8" s="230">
        <f t="shared" si="1"/>
        <v>74</v>
      </c>
      <c r="AH8" s="267">
        <f t="shared" si="2"/>
        <v>58</v>
      </c>
      <c r="AI8" s="188">
        <f t="shared" si="3"/>
        <v>16</v>
      </c>
      <c r="AJ8" s="230">
        <f>AH8+AI8</f>
        <v>74</v>
      </c>
      <c r="AK8" s="191">
        <f t="shared" si="4"/>
        <v>0</v>
      </c>
      <c r="AL8" s="188">
        <f t="shared" si="4"/>
        <v>0</v>
      </c>
      <c r="AM8" s="235">
        <f>AK8+AL8</f>
        <v>0</v>
      </c>
      <c r="AN8" s="267">
        <f t="shared" si="5"/>
        <v>58</v>
      </c>
      <c r="AO8" s="188">
        <f t="shared" si="5"/>
        <v>16</v>
      </c>
      <c r="AP8" s="230">
        <f>AN8+AO8</f>
        <v>74</v>
      </c>
      <c r="AQ8" s="53">
        <v>1</v>
      </c>
      <c r="AZ8" s="53">
        <f>SUM(L8:Q8)</f>
        <v>48</v>
      </c>
    </row>
    <row r="9" spans="1:52" s="53" customFormat="1" ht="16" customHeight="1" x14ac:dyDescent="0.3">
      <c r="A9" s="53">
        <f>_xlfn.XLOOKUP(B9,'UC MINI 2026 MINI NEXT'!$B$7:$B$63,'UC MINI 2026 MINI NEXT'!$A$7:$A$63)</f>
        <v>1</v>
      </c>
      <c r="B9" s="179">
        <v>100389</v>
      </c>
      <c r="C9" s="381" t="s">
        <v>40</v>
      </c>
      <c r="D9" s="51">
        <v>20822</v>
      </c>
      <c r="E9" s="309" t="s">
        <v>275</v>
      </c>
      <c r="F9" s="199">
        <f>IFERROR(VLOOKUP(B9,'[2]COMPRAS UC'!$R$11:$AF$66,3,0),0)</f>
        <v>0</v>
      </c>
      <c r="G9" s="23">
        <f>IFERROR(VLOOKUP(B9,'[2]COMPRAS YUC'!$R$10:$AF$63,3,0),0)</f>
        <v>0</v>
      </c>
      <c r="H9" s="87">
        <f>IFERROR(VLOOKUP(B9,'[2]COMPRAS UC'!$R$11:$AF$66,4,0),0)</f>
        <v>1</v>
      </c>
      <c r="I9" s="23">
        <f>IFERROR(VLOOKUP(B9,'[2]COMPRAS YUC'!$R$10:$AF$63,4,0),0)</f>
        <v>0</v>
      </c>
      <c r="J9" s="87">
        <f>IFERROR(VLOOKUP(B9,'[2]COMPRAS UC'!$R$11:$AF$66,5,0),0)</f>
        <v>0</v>
      </c>
      <c r="K9" s="23">
        <f>IFERROR(VLOOKUP(B9,'[2]COMPRAS YUC'!$R$10:$AF$63,5,0),0)</f>
        <v>1</v>
      </c>
      <c r="L9" s="87">
        <f>IFERROR(VLOOKUP(B9,'[2]COMPRAS UC'!$R$11:$AF$66,6,0),0)</f>
        <v>0</v>
      </c>
      <c r="M9" s="23">
        <f>IFERROR(VLOOKUP(B9,'[2]COMPRAS YUC'!$R$10:$AF$63,6,0),0)</f>
        <v>0</v>
      </c>
      <c r="N9" s="87">
        <f>IFERROR(VLOOKUP(B9,'[2]COMPRAS UC'!$R$11:$AF$66,7,0),0)</f>
        <v>0</v>
      </c>
      <c r="O9" s="23">
        <f>IFERROR(VLOOKUP(B9,'[2]COMPRAS YUC'!$R$10:$AF$63,7,0),0)</f>
        <v>0</v>
      </c>
      <c r="P9" s="87">
        <f>IFERROR(VLOOKUP(B9,'[2]COMPRAS UC'!$R$11:$AF$66,8,0),0)</f>
        <v>0</v>
      </c>
      <c r="Q9" s="23">
        <f>IFERROR(VLOOKUP(B9,'[2]COMPRAS YUC'!$R$10:$AF$63,8,0),0)</f>
        <v>0</v>
      </c>
      <c r="R9" s="87">
        <f>IFERROR(VLOOKUP(D9,'[2]COMPRAS UC'!$R$11:$AF$66,9,0),0)</f>
        <v>0</v>
      </c>
      <c r="S9" s="23">
        <f>IFERROR(VLOOKUP(D9,'[2]COMPRAS YUC'!$R$10:$AF$63,9,0),0)</f>
        <v>0</v>
      </c>
      <c r="T9" s="87">
        <f>IFERROR(VLOOKUP(F9,'[2]COMPRAS UC'!$R$11:$AF$66,10,0),0)</f>
        <v>0</v>
      </c>
      <c r="U9" s="23">
        <f>IFERROR(VLOOKUP(F9,'[2]COMPRAS YUC'!$R$10:$AF$63,10,0),0)</f>
        <v>0</v>
      </c>
      <c r="V9" s="87">
        <f>IFERROR(VLOOKUP(H9,'[2]COMPRAS UC'!$R$11:$AF$66,11,0),0)</f>
        <v>0</v>
      </c>
      <c r="W9" s="23">
        <f>IFERROR(VLOOKUP(H9,'[2]COMPRAS YUC'!$R$10:$AF$63,11,0),0)</f>
        <v>0</v>
      </c>
      <c r="X9" s="87">
        <f>IFERROR(VLOOKUP(J9,'[2]COMPRAS UC'!$R$11:$AF$66,12,0),0)</f>
        <v>0</v>
      </c>
      <c r="Y9" s="23">
        <f>IFERROR(VLOOKUP(J9,'[2]COMPRAS YUC'!$R$10:$AF$63,12,0),0)</f>
        <v>0</v>
      </c>
      <c r="Z9" s="87">
        <f>IFERROR(VLOOKUP(L9,'[2]COMPRAS UC'!$R$11:$AF$66,13,0),0)</f>
        <v>0</v>
      </c>
      <c r="AA9" s="23">
        <f>IFERROR(VLOOKUP(L9,'[2]COMPRAS YUC'!$R$10:$AF$63,13,0),0)</f>
        <v>0</v>
      </c>
      <c r="AB9" s="87">
        <f>IFERROR(VLOOKUP(N9,'[2]COMPRAS UC'!$R$11:$AF$66,14,0),0)</f>
        <v>0</v>
      </c>
      <c r="AC9" s="23">
        <f>IFERROR(VLOOKUP(N9,'[2]COMPRAS YUC'!$R$10:$AF$63,14,0),0)</f>
        <v>0</v>
      </c>
      <c r="AD9" s="268"/>
      <c r="AE9" s="79">
        <f t="shared" si="0"/>
        <v>1</v>
      </c>
      <c r="AF9" s="96">
        <f t="shared" si="0"/>
        <v>1</v>
      </c>
      <c r="AG9" s="228">
        <f t="shared" si="1"/>
        <v>2</v>
      </c>
      <c r="AH9" s="79">
        <f t="shared" si="2"/>
        <v>1</v>
      </c>
      <c r="AI9" s="96">
        <f t="shared" si="3"/>
        <v>1</v>
      </c>
      <c r="AJ9" s="228">
        <f>AH9+AI9</f>
        <v>2</v>
      </c>
      <c r="AK9" s="86">
        <f t="shared" si="4"/>
        <v>0</v>
      </c>
      <c r="AL9" s="96">
        <f t="shared" si="4"/>
        <v>0</v>
      </c>
      <c r="AM9" s="233">
        <f>AK9+AL9</f>
        <v>0</v>
      </c>
      <c r="AN9" s="79">
        <f t="shared" si="5"/>
        <v>1</v>
      </c>
      <c r="AO9" s="96">
        <f t="shared" si="5"/>
        <v>1</v>
      </c>
      <c r="AP9" s="228">
        <f>AN9+AO9</f>
        <v>2</v>
      </c>
      <c r="AQ9" s="53">
        <v>1</v>
      </c>
      <c r="AZ9" s="53">
        <f>SUM(L9:Q9)</f>
        <v>0</v>
      </c>
    </row>
    <row r="10" spans="1:52" s="53" customFormat="1" ht="16" customHeight="1" thickBot="1" x14ac:dyDescent="0.35">
      <c r="A10" s="53">
        <f>_xlfn.XLOOKUP(B10,'UC MINI 2026 MINI NEXT'!$B$7:$B$63,'UC MINI 2026 MINI NEXT'!$A$7:$A$63)</f>
        <v>1</v>
      </c>
      <c r="B10" s="179">
        <v>100738</v>
      </c>
      <c r="C10" s="381" t="s">
        <v>42</v>
      </c>
      <c r="D10" s="51">
        <v>40230</v>
      </c>
      <c r="E10" s="309" t="s">
        <v>89</v>
      </c>
      <c r="F10" s="199">
        <f>IFERROR(VLOOKUP(B10,'[2]COMPRAS UC'!$R$11:$AF$66,3,0),0)</f>
        <v>0</v>
      </c>
      <c r="G10" s="23">
        <f>IFERROR(VLOOKUP(B10,'[2]COMPRAS YUC'!$R$10:$AF$63,3,0),0)</f>
        <v>0</v>
      </c>
      <c r="H10" s="87">
        <f>IFERROR(VLOOKUP(B10,'[2]COMPRAS UC'!$R$11:$AF$66,4,0),0)</f>
        <v>0</v>
      </c>
      <c r="I10" s="23">
        <f>IFERROR(VLOOKUP(B10,'[2]COMPRAS YUC'!$R$10:$AF$63,4,0),0)</f>
        <v>0</v>
      </c>
      <c r="J10" s="87">
        <f>IFERROR(VLOOKUP(B10,'[2]COMPRAS UC'!$R$11:$AF$66,5,0),0)</f>
        <v>0</v>
      </c>
      <c r="K10" s="23">
        <f>IFERROR(VLOOKUP(B10,'[2]COMPRAS YUC'!$R$10:$AF$63,5,0),0)</f>
        <v>0</v>
      </c>
      <c r="L10" s="87">
        <f>IFERROR(VLOOKUP(B10,'[2]COMPRAS UC'!$R$11:$AF$66,6,0),0)</f>
        <v>0</v>
      </c>
      <c r="M10" s="23">
        <f>IFERROR(VLOOKUP(B10,'[2]COMPRAS YUC'!$R$10:$AF$63,6,0),0)</f>
        <v>0</v>
      </c>
      <c r="N10" s="87">
        <f>IFERROR(VLOOKUP(B10,'[2]COMPRAS UC'!$R$11:$AF$66,7,0),0)</f>
        <v>0</v>
      </c>
      <c r="O10" s="23">
        <f>IFERROR(VLOOKUP(B10,'[2]COMPRAS YUC'!$R$10:$AF$63,7,0),0)</f>
        <v>0</v>
      </c>
      <c r="P10" s="87">
        <f>IFERROR(VLOOKUP(B10,'[2]COMPRAS UC'!$R$11:$AF$66,8,0),0)</f>
        <v>0</v>
      </c>
      <c r="Q10" s="23">
        <f>IFERROR(VLOOKUP(B10,'[2]COMPRAS YUC'!$R$10:$AF$63,8,0),0)</f>
        <v>1</v>
      </c>
      <c r="R10" s="87">
        <f>IFERROR(VLOOKUP(D10,'[2]COMPRAS UC'!$R$11:$AF$66,9,0),0)</f>
        <v>0</v>
      </c>
      <c r="S10" s="23">
        <f>IFERROR(VLOOKUP(D10,'[2]COMPRAS YUC'!$R$10:$AF$63,9,0),0)</f>
        <v>0</v>
      </c>
      <c r="T10" s="87">
        <f>IFERROR(VLOOKUP(F10,'[2]COMPRAS UC'!$R$11:$AF$66,10,0),0)</f>
        <v>0</v>
      </c>
      <c r="U10" s="23">
        <f>IFERROR(VLOOKUP(F10,'[2]COMPRAS YUC'!$R$10:$AF$63,10,0),0)</f>
        <v>0</v>
      </c>
      <c r="V10" s="87">
        <f>IFERROR(VLOOKUP(H10,'[2]COMPRAS UC'!$R$11:$AF$66,11,0),0)</f>
        <v>0</v>
      </c>
      <c r="W10" s="23">
        <f>IFERROR(VLOOKUP(H10,'[2]COMPRAS YUC'!$R$10:$AF$63,11,0),0)</f>
        <v>0</v>
      </c>
      <c r="X10" s="87">
        <f>IFERROR(VLOOKUP(J10,'[2]COMPRAS UC'!$R$11:$AF$66,12,0),0)</f>
        <v>0</v>
      </c>
      <c r="Y10" s="23">
        <f>IFERROR(VLOOKUP(J10,'[2]COMPRAS YUC'!$R$10:$AF$63,12,0),0)</f>
        <v>0</v>
      </c>
      <c r="Z10" s="87">
        <f>IFERROR(VLOOKUP(L10,'[2]COMPRAS UC'!$R$11:$AF$66,13,0),0)</f>
        <v>0</v>
      </c>
      <c r="AA10" s="23">
        <f>IFERROR(VLOOKUP(L10,'[2]COMPRAS YUC'!$R$10:$AF$63,13,0),0)</f>
        <v>0</v>
      </c>
      <c r="AB10" s="87">
        <f>IFERROR(VLOOKUP(N10,'[2]COMPRAS UC'!$R$11:$AF$66,14,0),0)</f>
        <v>0</v>
      </c>
      <c r="AC10" s="23">
        <f>IFERROR(VLOOKUP(N10,'[2]COMPRAS YUC'!$R$10:$AF$63,14,0),0)</f>
        <v>0</v>
      </c>
      <c r="AD10" s="269"/>
      <c r="AE10" s="252">
        <f t="shared" si="0"/>
        <v>0</v>
      </c>
      <c r="AF10" s="97">
        <f t="shared" si="0"/>
        <v>1</v>
      </c>
      <c r="AG10" s="229">
        <f t="shared" si="1"/>
        <v>1</v>
      </c>
      <c r="AH10" s="252">
        <f t="shared" si="2"/>
        <v>0</v>
      </c>
      <c r="AI10" s="97">
        <f t="shared" si="3"/>
        <v>1</v>
      </c>
      <c r="AJ10" s="229">
        <f>AH10+AI10</f>
        <v>1</v>
      </c>
      <c r="AK10" s="59">
        <f t="shared" si="4"/>
        <v>0</v>
      </c>
      <c r="AL10" s="97">
        <f t="shared" si="4"/>
        <v>0</v>
      </c>
      <c r="AM10" s="234">
        <f>AK10+AL10</f>
        <v>0</v>
      </c>
      <c r="AN10" s="252">
        <f t="shared" si="5"/>
        <v>0</v>
      </c>
      <c r="AO10" s="97">
        <f t="shared" si="5"/>
        <v>1</v>
      </c>
      <c r="AP10" s="229">
        <f>AN10+AO10</f>
        <v>1</v>
      </c>
      <c r="AQ10" s="53">
        <v>1</v>
      </c>
      <c r="AZ10" s="53">
        <f>SUM(L10:Q10)</f>
        <v>1</v>
      </c>
    </row>
    <row r="11" spans="1:52" s="53" customFormat="1" ht="16" customHeight="1" thickBot="1" x14ac:dyDescent="0.35">
      <c r="A11" s="53">
        <f>_xlfn.XLOOKUP(B11,'UC MINI 2026 MINI NEXT'!$B$7:$B$63,'UC MINI 2026 MINI NEXT'!$A$7:$A$63)</f>
        <v>0</v>
      </c>
      <c r="B11" s="180" t="s">
        <v>264</v>
      </c>
      <c r="C11" s="62"/>
      <c r="D11" s="80"/>
      <c r="E11" s="265"/>
      <c r="F11" s="259">
        <f t="shared" ref="F11:AC11" si="6">SUM(F7:F10)</f>
        <v>7</v>
      </c>
      <c r="G11" s="259">
        <f t="shared" si="6"/>
        <v>7</v>
      </c>
      <c r="H11" s="259">
        <f t="shared" si="6"/>
        <v>7</v>
      </c>
      <c r="I11" s="259">
        <f t="shared" si="6"/>
        <v>5</v>
      </c>
      <c r="J11" s="259">
        <f t="shared" si="6"/>
        <v>12</v>
      </c>
      <c r="K11" s="259">
        <f t="shared" si="6"/>
        <v>5</v>
      </c>
      <c r="L11" s="259">
        <f t="shared" si="6"/>
        <v>14</v>
      </c>
      <c r="M11" s="259">
        <f t="shared" si="6"/>
        <v>10</v>
      </c>
      <c r="N11" s="259">
        <f t="shared" si="6"/>
        <v>22</v>
      </c>
      <c r="O11" s="259">
        <f t="shared" si="6"/>
        <v>1</v>
      </c>
      <c r="P11" s="259">
        <f t="shared" si="6"/>
        <v>15</v>
      </c>
      <c r="Q11" s="259">
        <f t="shared" si="6"/>
        <v>1</v>
      </c>
      <c r="R11" s="259">
        <f t="shared" si="6"/>
        <v>0</v>
      </c>
      <c r="S11" s="259">
        <f t="shared" si="6"/>
        <v>0</v>
      </c>
      <c r="T11" s="259">
        <f t="shared" si="6"/>
        <v>0</v>
      </c>
      <c r="U11" s="259">
        <f t="shared" si="6"/>
        <v>0</v>
      </c>
      <c r="V11" s="259">
        <f t="shared" si="6"/>
        <v>0</v>
      </c>
      <c r="W11" s="259">
        <f t="shared" si="6"/>
        <v>0</v>
      </c>
      <c r="X11" s="259">
        <f t="shared" si="6"/>
        <v>0</v>
      </c>
      <c r="Y11" s="259">
        <f t="shared" si="6"/>
        <v>0</v>
      </c>
      <c r="Z11" s="259">
        <f t="shared" si="6"/>
        <v>0</v>
      </c>
      <c r="AA11" s="259">
        <f t="shared" si="6"/>
        <v>0</v>
      </c>
      <c r="AB11" s="259">
        <f t="shared" si="6"/>
        <v>0</v>
      </c>
      <c r="AC11" s="259">
        <f t="shared" si="6"/>
        <v>0</v>
      </c>
      <c r="AD11" s="271"/>
      <c r="AE11" s="94">
        <f t="shared" ref="AE11:AE24" si="7">IFERROR(IF($AD$4="ENERO",F11,IF($AD$4="FEBRERO",F11+H11,IF($AD$4="MARZO",F11+H11+J11,IF($AD$4="ABRIL",F11+H11+J11+L11,IF($AD$4="MAYO",F11+H11+J11+L11+N11,IF($AD$4="JUNIO",F11+H11+J11+L11+N11+P11,IF($AD$4="JULIO",F11+H11+J11+L11+N11+P11+R11,IF($AD$4="AGOSTO",F11+H11+J11+L11+N11+P11+R11+T11,IF($AD$4="SEPTIEMBRE",F11+H11+J11+L11+N11+P11+R11+T11+V11,IF($AD$4="OCTUBRE",F11+H11+J11+L11+N11+P11+R11+T11+V11+X11,IF($AD$4="NOVIEMBRE",F11+H11+J11+L11+N11+P11+R11+T11+V11+X11+Z11,IF($AD$4="DICIEMBRE",F11+H11+J11+L11+N11+P11+R11+T11+V11+X11+Z11+AB11,"")))))))))))),0)</f>
        <v>77</v>
      </c>
      <c r="AF11" s="256">
        <f t="shared" ref="AF11:AF24" si="8">IFERROR(IF($AD$4="ENERO",G11,IF($AD$4="FEBRERO",G11+I11,IF($AD$4="MARZO",G11+I11+K11,IF($AD$4="ABRIL",G11+I11+K11+M11,IF($AD$4="MAYO",G11+I11+K11+M11+O11,IF($AD$4="JUNIO",G11+I11+K11+M11+O11+Q11,IF($AD$4="JULIO",G11+I11+K11+M11+O11+Q11+S11,IF($AD$4="AGOSTO",G11+I11+K11+M11+O11+Q11+S11+U11,IF($AD$4="SEPTIEMBRE",G11+I11+K11+M11+O11+Q11+S11+U11+W11,IF($AD$4="OCTUBRE",G11+I11+K11+M11+O11+Q11+S11+U11+W11+Y11,IF($AD$4="NOVIEMBRE",G11+I11+K11+M11+O11+Q11+S11+U11+W11+Y11+AA11,IF($AD$4="DICIEMBRE",G11+I11+K11+M11+O11+Q11+S11+U11+W11+Y11+AA11+AC11,"")))))))))))),0)</f>
        <v>29</v>
      </c>
      <c r="AG11" s="432">
        <f t="shared" si="1"/>
        <v>106</v>
      </c>
      <c r="AH11" s="94">
        <f t="shared" si="2"/>
        <v>77</v>
      </c>
      <c r="AI11" s="256">
        <f t="shared" si="3"/>
        <v>29</v>
      </c>
      <c r="AJ11" s="432">
        <f>SUM(AJ7:AJ10)</f>
        <v>106</v>
      </c>
      <c r="AK11" s="65">
        <f>SUM(AK2:AK10)</f>
        <v>0</v>
      </c>
      <c r="AL11" s="99">
        <f>SUM(AL2:AL10)</f>
        <v>0</v>
      </c>
      <c r="AM11" s="236">
        <f>SUM(AM2:AM10)</f>
        <v>0</v>
      </c>
      <c r="AN11" s="94">
        <f>IFERROR(IF($AN$5="S 1",F11+H11+J11+L11+N11+P11,
IF($AN$5="S 2",R11+T11+V11+X11+Z11+AB11,0)),0)</f>
        <v>77</v>
      </c>
      <c r="AO11" s="256">
        <f>IFERROR(IF($AN$5="S 1",G11+I11+K11+M11+O11+Q11,
IF($AN$5="S 2",S11+U11+W11+Y11+AA11+AC11,0)),0)</f>
        <v>29</v>
      </c>
      <c r="AP11" s="432">
        <f>SUM(AP7:AP10)</f>
        <v>106</v>
      </c>
      <c r="AQ11" s="53">
        <v>0</v>
      </c>
    </row>
    <row r="12" spans="1:52" s="53" customFormat="1" ht="16" customHeight="1" x14ac:dyDescent="0.3">
      <c r="A12" s="53">
        <f>_xlfn.XLOOKUP(B12,'UC MINI 2026 MINI NEXT'!$B$7:$B$63,'UC MINI 2026 MINI NEXT'!$A$7:$A$63)</f>
        <v>2</v>
      </c>
      <c r="B12" s="179">
        <v>100213</v>
      </c>
      <c r="C12" s="381" t="s">
        <v>15</v>
      </c>
      <c r="D12" s="51">
        <v>7450</v>
      </c>
      <c r="E12" s="309" t="s">
        <v>276</v>
      </c>
      <c r="F12" s="199">
        <f>IFERROR(VLOOKUP(B12,'[2]COMPRAS UC'!$R$11:$AF$66,3,0),0)</f>
        <v>3</v>
      </c>
      <c r="G12" s="23">
        <f>IFERROR(VLOOKUP(B12,'[2]COMPRAS YUC'!$R$10:$AF$63,3,0),0)</f>
        <v>3</v>
      </c>
      <c r="H12" s="87">
        <f>IFERROR(VLOOKUP(B12,'[2]COMPRAS UC'!$R$11:$AF$66,4,0),0)</f>
        <v>2</v>
      </c>
      <c r="I12" s="23">
        <f>IFERROR(VLOOKUP(B12,'[2]COMPRAS YUC'!$R$10:$AF$63,4,0),0)</f>
        <v>0</v>
      </c>
      <c r="J12" s="87">
        <f>IFERROR(VLOOKUP(B12,'[2]COMPRAS UC'!$R$11:$AF$66,5,0),0)</f>
        <v>0</v>
      </c>
      <c r="K12" s="23">
        <f>IFERROR(VLOOKUP(B12,'[2]COMPRAS YUC'!$R$10:$AF$63,5,0),0)</f>
        <v>3</v>
      </c>
      <c r="L12" s="87">
        <f>IFERROR(VLOOKUP(B12,'[2]COMPRAS UC'!$R$11:$AF$66,6,0),0)</f>
        <v>0</v>
      </c>
      <c r="M12" s="23">
        <f>IFERROR(VLOOKUP(B12,'[2]COMPRAS YUC'!$R$10:$AF$63,6,0),0)</f>
        <v>4</v>
      </c>
      <c r="N12" s="87">
        <f>IFERROR(VLOOKUP(B12,'[2]COMPRAS UC'!$R$11:$AF$66,7,0),0)</f>
        <v>2</v>
      </c>
      <c r="O12" s="23">
        <f>IFERROR(VLOOKUP(B12,'[2]COMPRAS YUC'!$R$10:$AF$63,7,0),0)</f>
        <v>2</v>
      </c>
      <c r="P12" s="87">
        <f>IFERROR(VLOOKUP(B12,'[2]COMPRAS UC'!$R$11:$AF$66,8,0),0)</f>
        <v>2</v>
      </c>
      <c r="Q12" s="23">
        <f>IFERROR(VLOOKUP(B12,'[2]COMPRAS YUC'!$R$10:$AF$63,8,0),0)</f>
        <v>2</v>
      </c>
      <c r="R12" s="87">
        <f>IFERROR(VLOOKUP(D12,'[2]COMPRAS UC'!$R$11:$AF$66,9,0),0)</f>
        <v>0</v>
      </c>
      <c r="S12" s="23">
        <f>IFERROR(VLOOKUP(D12,'[2]COMPRAS YUC'!$R$10:$AF$63,9,0),0)</f>
        <v>0</v>
      </c>
      <c r="T12" s="87">
        <f>IFERROR(VLOOKUP(F12,'[2]COMPRAS UC'!$R$11:$AF$66,10,0),0)</f>
        <v>0</v>
      </c>
      <c r="U12" s="23">
        <f>IFERROR(VLOOKUP(F12,'[2]COMPRAS YUC'!$R$10:$AF$63,10,0),0)</f>
        <v>0</v>
      </c>
      <c r="V12" s="87">
        <f>IFERROR(VLOOKUP(H12,'[2]COMPRAS UC'!$R$11:$AF$66,11,0),0)</f>
        <v>0</v>
      </c>
      <c r="W12" s="23">
        <f>IFERROR(VLOOKUP(H12,'[2]COMPRAS YUC'!$R$10:$AF$63,11,0),0)</f>
        <v>0</v>
      </c>
      <c r="X12" s="87">
        <f>IFERROR(VLOOKUP(J12,'[2]COMPRAS UC'!$R$11:$AF$66,12,0),0)</f>
        <v>0</v>
      </c>
      <c r="Y12" s="23">
        <f>IFERROR(VLOOKUP(J12,'[2]COMPRAS YUC'!$R$10:$AF$63,12,0),0)</f>
        <v>0</v>
      </c>
      <c r="Z12" s="87">
        <f>IFERROR(VLOOKUP(L12,'[2]COMPRAS UC'!$R$11:$AF$66,13,0),0)</f>
        <v>0</v>
      </c>
      <c r="AA12" s="23">
        <f>IFERROR(VLOOKUP(L12,'[2]COMPRAS YUC'!$R$10:$AF$63,13,0),0)</f>
        <v>0</v>
      </c>
      <c r="AB12" s="87">
        <f>IFERROR(VLOOKUP(N12,'[2]COMPRAS UC'!$R$11:$AF$66,14,0),0)</f>
        <v>0</v>
      </c>
      <c r="AC12" s="23">
        <f>IFERROR(VLOOKUP(N12,'[2]COMPRAS YUC'!$R$10:$AF$63,14,0),0)</f>
        <v>0</v>
      </c>
      <c r="AD12" s="268"/>
      <c r="AE12" s="79">
        <f t="shared" si="7"/>
        <v>9</v>
      </c>
      <c r="AF12" s="96">
        <f t="shared" si="8"/>
        <v>14</v>
      </c>
      <c r="AG12" s="228">
        <f t="shared" si="1"/>
        <v>23</v>
      </c>
      <c r="AH12" s="79">
        <f t="shared" si="2"/>
        <v>9</v>
      </c>
      <c r="AI12" s="96">
        <f t="shared" si="3"/>
        <v>14</v>
      </c>
      <c r="AJ12" s="228">
        <f>AH12+AI12</f>
        <v>23</v>
      </c>
      <c r="AK12" s="86">
        <f>IF($AK$5="Q1",F12+H12+J12,
IF($AK$5="Q2",L12+N12++P12,
IF($AK$5="Q3",R12+T12+V12,
IF($AK$5="Q4",X12+Z12+AB12,0))))</f>
        <v>0</v>
      </c>
      <c r="AL12" s="96">
        <f>IF($AK$5="Q1",G12+I12+K12,
IF($AK$5="Q2",M12+O12++Q12,
IF($AK$5="Q3",S12+U12+W12,
IF($AK$5="Q4",Y12+AA12+AC12,0))))</f>
        <v>0</v>
      </c>
      <c r="AM12" s="233">
        <f>AK12+AL12</f>
        <v>0</v>
      </c>
      <c r="AN12" s="79">
        <f>IFERROR(IF($AN$5="S 1",F12+H12+J12+L12+N12+P12,
IF($AN$5="S 2",R12+T12+V12+X12+Z12+AB12,0)),0)</f>
        <v>9</v>
      </c>
      <c r="AO12" s="96">
        <f>IFERROR(IF($AN$5="S 1",G12+I12+K12+M12+O12+Q12,
IF($AN$5="S 2",S12+U12+W12+Y12+AA12+AC12,0)),0)</f>
        <v>14</v>
      </c>
      <c r="AP12" s="228">
        <f>AN12+AO12</f>
        <v>23</v>
      </c>
      <c r="AQ12" s="53">
        <v>1</v>
      </c>
      <c r="AV12" s="53" cm="1">
        <f t="array" ref="AV12:AV53">_xlfn._xlws.SORT(_xlfn._xlws.FILTER(AG12:AG64, AQ12:AQ64=1),1, -1)</f>
        <v>90</v>
      </c>
      <c r="AZ12" s="53">
        <f>SUM(L12:Q12)</f>
        <v>12</v>
      </c>
    </row>
    <row r="13" spans="1:52" s="53" customFormat="1" ht="16" customHeight="1" x14ac:dyDescent="0.3">
      <c r="A13" s="53">
        <f>_xlfn.XLOOKUP(B13,'UC MINI 2026 MINI NEXT'!$B$7:$B$63,'UC MINI 2026 MINI NEXT'!$A$7:$A$63)</f>
        <v>2</v>
      </c>
      <c r="B13" s="179">
        <v>100319</v>
      </c>
      <c r="C13" s="381" t="s">
        <v>16</v>
      </c>
      <c r="D13" s="51">
        <v>7450</v>
      </c>
      <c r="E13" s="309" t="s">
        <v>276</v>
      </c>
      <c r="F13" s="199">
        <f>IFERROR(VLOOKUP(B13,'[2]COMPRAS UC'!$R$11:$AF$66,3,0),0)</f>
        <v>10</v>
      </c>
      <c r="G13" s="23">
        <f>IFERROR(VLOOKUP(B13,'[2]COMPRAS YUC'!$R$10:$AF$63,3,0),0)</f>
        <v>6</v>
      </c>
      <c r="H13" s="87">
        <f>IFERROR(VLOOKUP(B13,'[2]COMPRAS UC'!$R$11:$AF$66,4,0),0)</f>
        <v>10</v>
      </c>
      <c r="I13" s="23">
        <f>IFERROR(VLOOKUP(B13,'[2]COMPRAS YUC'!$R$10:$AF$63,4,0),0)</f>
        <v>0</v>
      </c>
      <c r="J13" s="87">
        <f>IFERROR(VLOOKUP(B13,'[2]COMPRAS UC'!$R$11:$AF$66,5,0),0)</f>
        <v>17</v>
      </c>
      <c r="K13" s="23">
        <f>IFERROR(VLOOKUP(B13,'[2]COMPRAS YUC'!$R$10:$AF$63,5,0),0)</f>
        <v>3</v>
      </c>
      <c r="L13" s="87">
        <f>IFERROR(VLOOKUP(B13,'[2]COMPRAS UC'!$R$11:$AF$66,6,0),0)</f>
        <v>12</v>
      </c>
      <c r="M13" s="23">
        <f>IFERROR(VLOOKUP(B13,'[2]COMPRAS YUC'!$R$10:$AF$63,6,0),0)</f>
        <v>2</v>
      </c>
      <c r="N13" s="87">
        <f>IFERROR(VLOOKUP(B13,'[2]COMPRAS UC'!$R$11:$AF$66,7,0),0)</f>
        <v>11</v>
      </c>
      <c r="O13" s="23">
        <f>IFERROR(VLOOKUP(B13,'[2]COMPRAS YUC'!$R$10:$AF$63,7,0),0)</f>
        <v>1</v>
      </c>
      <c r="P13" s="87">
        <f>IFERROR(VLOOKUP(B13,'[2]COMPRAS UC'!$R$11:$AF$66,8,0),0)</f>
        <v>5</v>
      </c>
      <c r="Q13" s="23">
        <f>IFERROR(VLOOKUP(B13,'[2]COMPRAS YUC'!$R$10:$AF$63,8,0),0)</f>
        <v>0</v>
      </c>
      <c r="R13" s="87">
        <f>IFERROR(VLOOKUP(D13,'[2]COMPRAS UC'!$R$11:$AF$66,9,0),0)</f>
        <v>0</v>
      </c>
      <c r="S13" s="23">
        <f>IFERROR(VLOOKUP(D13,'[2]COMPRAS YUC'!$R$10:$AF$63,9,0),0)</f>
        <v>0</v>
      </c>
      <c r="T13" s="87">
        <f>IFERROR(VLOOKUP(F13,'[2]COMPRAS UC'!$R$11:$AF$66,10,0),0)</f>
        <v>0</v>
      </c>
      <c r="U13" s="23">
        <f>IFERROR(VLOOKUP(F13,'[2]COMPRAS YUC'!$R$10:$AF$63,10,0),0)</f>
        <v>0</v>
      </c>
      <c r="V13" s="87">
        <f>IFERROR(VLOOKUP(H13,'[2]COMPRAS UC'!$R$11:$AF$66,11,0),0)</f>
        <v>0</v>
      </c>
      <c r="W13" s="23">
        <f>IFERROR(VLOOKUP(H13,'[2]COMPRAS YUC'!$R$10:$AF$63,11,0),0)</f>
        <v>0</v>
      </c>
      <c r="X13" s="87">
        <f>IFERROR(VLOOKUP(J13,'[2]COMPRAS UC'!$R$11:$AF$66,12,0),0)</f>
        <v>0</v>
      </c>
      <c r="Y13" s="23">
        <f>IFERROR(VLOOKUP(J13,'[2]COMPRAS YUC'!$R$10:$AF$63,12,0),0)</f>
        <v>0</v>
      </c>
      <c r="Z13" s="87">
        <f>IFERROR(VLOOKUP(L13,'[2]COMPRAS UC'!$R$11:$AF$66,13,0),0)</f>
        <v>0</v>
      </c>
      <c r="AA13" s="23">
        <f>IFERROR(VLOOKUP(L13,'[2]COMPRAS YUC'!$R$10:$AF$63,13,0),0)</f>
        <v>0</v>
      </c>
      <c r="AB13" s="87">
        <f>IFERROR(VLOOKUP(N13,'[2]COMPRAS UC'!$R$11:$AF$66,14,0),0)</f>
        <v>0</v>
      </c>
      <c r="AC13" s="23">
        <f>IFERROR(VLOOKUP(N13,'[2]COMPRAS YUC'!$R$10:$AF$63,14,0),0)</f>
        <v>0</v>
      </c>
      <c r="AD13" s="268"/>
      <c r="AE13" s="79">
        <f t="shared" si="7"/>
        <v>65</v>
      </c>
      <c r="AF13" s="96">
        <f t="shared" si="8"/>
        <v>12</v>
      </c>
      <c r="AG13" s="228">
        <f t="shared" si="1"/>
        <v>77</v>
      </c>
      <c r="AH13" s="79">
        <f t="shared" ref="AH13:AH23" si="9">IFERROR(SUM(F13+H13+J13+L13+N13+P13+R13+T13+V13+X13+Z13+AB13),0)</f>
        <v>65</v>
      </c>
      <c r="AI13" s="96">
        <f t="shared" ref="AI13:AI23" si="10">IFERROR(SUM(G13,I13,K13,M13,O13,Q13,S13,U13,W13,Y13,AA13,AC13),0)</f>
        <v>12</v>
      </c>
      <c r="AJ13" s="228">
        <f t="shared" ref="AJ13:AJ21" si="11">AH13+AI13</f>
        <v>77</v>
      </c>
      <c r="AK13" s="86">
        <f t="shared" ref="AK13:AL21" si="12">IF($AK$5="Q1",F13+H13+J13,
IF($AK$5="Q2",L13+N13++P13,
IF($AK$5="Q3",R13+T13+V13,
IF($AK$5="Q4",X13+Z13+AB13,0))))</f>
        <v>0</v>
      </c>
      <c r="AL13" s="96">
        <f t="shared" si="12"/>
        <v>0</v>
      </c>
      <c r="AM13" s="233">
        <f t="shared" ref="AM13:AM21" si="13">AK13+AL13</f>
        <v>0</v>
      </c>
      <c r="AN13" s="79">
        <f t="shared" ref="AN13:AO24" si="14">IFERROR(IF($AN$5="S 1",F13+H13+J13+L13+N13+P13,
IF($AN$5="S 2",R13+T13+V13+X13+Z13+AB13,0)),0)</f>
        <v>65</v>
      </c>
      <c r="AO13" s="96">
        <f t="shared" si="14"/>
        <v>12</v>
      </c>
      <c r="AP13" s="228">
        <f t="shared" ref="AP13:AP21" si="15">AN13+AO13</f>
        <v>77</v>
      </c>
      <c r="AQ13" s="53">
        <v>1</v>
      </c>
      <c r="AV13" s="53">
        <v>77</v>
      </c>
      <c r="AZ13" s="53">
        <f t="shared" ref="AZ13:AZ21" si="16">SUM(L13:Q13)</f>
        <v>31</v>
      </c>
    </row>
    <row r="14" spans="1:52" s="53" customFormat="1" ht="16" customHeight="1" x14ac:dyDescent="0.3">
      <c r="A14" s="53">
        <f>_xlfn.XLOOKUP(B14,'UC MINI 2026 MINI NEXT'!$B$7:$B$63,'UC MINI 2026 MINI NEXT'!$A$7:$A$63)</f>
        <v>2</v>
      </c>
      <c r="B14" s="179">
        <v>100349</v>
      </c>
      <c r="C14" s="381" t="s">
        <v>10</v>
      </c>
      <c r="D14" s="51">
        <v>7450</v>
      </c>
      <c r="E14" s="309" t="s">
        <v>276</v>
      </c>
      <c r="F14" s="199">
        <f>IFERROR(VLOOKUP(B14,'[2]COMPRAS UC'!$R$11:$AF$66,3,0),0)</f>
        <v>6</v>
      </c>
      <c r="G14" s="23">
        <f>IFERROR(VLOOKUP(B14,'[2]COMPRAS YUC'!$R$10:$AF$63,3,0),0)</f>
        <v>3</v>
      </c>
      <c r="H14" s="87">
        <f>IFERROR(VLOOKUP(B14,'[2]COMPRAS UC'!$R$11:$AF$66,4,0),0)</f>
        <v>8</v>
      </c>
      <c r="I14" s="23">
        <f>IFERROR(VLOOKUP(B14,'[2]COMPRAS YUC'!$R$10:$AF$63,4,0),0)</f>
        <v>0</v>
      </c>
      <c r="J14" s="87">
        <f>IFERROR(VLOOKUP(B14,'[2]COMPRAS UC'!$R$11:$AF$66,5,0),0)</f>
        <v>2</v>
      </c>
      <c r="K14" s="23">
        <f>IFERROR(VLOOKUP(B14,'[2]COMPRAS YUC'!$R$10:$AF$63,5,0),0)</f>
        <v>4</v>
      </c>
      <c r="L14" s="87">
        <f>IFERROR(VLOOKUP(B14,'[2]COMPRAS UC'!$R$11:$AF$66,6,0),0)</f>
        <v>7</v>
      </c>
      <c r="M14" s="23">
        <f>IFERROR(VLOOKUP(B14,'[2]COMPRAS YUC'!$R$10:$AF$63,6,0),0)</f>
        <v>0</v>
      </c>
      <c r="N14" s="87">
        <f>IFERROR(VLOOKUP(B14,'[2]COMPRAS UC'!$R$11:$AF$66,7,0),0)</f>
        <v>10</v>
      </c>
      <c r="O14" s="23">
        <f>IFERROR(VLOOKUP(B14,'[2]COMPRAS YUC'!$R$10:$AF$63,7,0),0)</f>
        <v>0</v>
      </c>
      <c r="P14" s="87">
        <f>IFERROR(VLOOKUP(B14,'[2]COMPRAS UC'!$R$11:$AF$66,8,0),0)</f>
        <v>6</v>
      </c>
      <c r="Q14" s="23">
        <f>IFERROR(VLOOKUP(B14,'[2]COMPRAS YUC'!$R$10:$AF$63,8,0),0)</f>
        <v>0</v>
      </c>
      <c r="R14" s="87">
        <f>IFERROR(VLOOKUP(D14,'[2]COMPRAS UC'!$R$11:$AF$66,9,0),0)</f>
        <v>0</v>
      </c>
      <c r="S14" s="23">
        <f>IFERROR(VLOOKUP(D14,'[2]COMPRAS YUC'!$R$10:$AF$63,9,0),0)</f>
        <v>0</v>
      </c>
      <c r="T14" s="87">
        <f>IFERROR(VLOOKUP(F14,'[2]COMPRAS UC'!$R$11:$AF$66,10,0),0)</f>
        <v>0</v>
      </c>
      <c r="U14" s="23">
        <f>IFERROR(VLOOKUP(F14,'[2]COMPRAS YUC'!$R$10:$AF$63,10,0),0)</f>
        <v>0</v>
      </c>
      <c r="V14" s="87">
        <f>IFERROR(VLOOKUP(H14,'[2]COMPRAS UC'!$R$11:$AF$66,11,0),0)</f>
        <v>0</v>
      </c>
      <c r="W14" s="23">
        <f>IFERROR(VLOOKUP(H14,'[2]COMPRAS YUC'!$R$10:$AF$63,11,0),0)</f>
        <v>0</v>
      </c>
      <c r="X14" s="87">
        <f>IFERROR(VLOOKUP(J14,'[2]COMPRAS UC'!$R$11:$AF$66,12,0),0)</f>
        <v>0</v>
      </c>
      <c r="Y14" s="23">
        <f>IFERROR(VLOOKUP(J14,'[2]COMPRAS YUC'!$R$10:$AF$63,12,0),0)</f>
        <v>0</v>
      </c>
      <c r="Z14" s="87">
        <f>IFERROR(VLOOKUP(L14,'[2]COMPRAS UC'!$R$11:$AF$66,13,0),0)</f>
        <v>0</v>
      </c>
      <c r="AA14" s="23">
        <f>IFERROR(VLOOKUP(L14,'[2]COMPRAS YUC'!$R$10:$AF$63,13,0),0)</f>
        <v>0</v>
      </c>
      <c r="AB14" s="87">
        <f>IFERROR(VLOOKUP(N14,'[2]COMPRAS UC'!$R$11:$AF$66,14,0),0)</f>
        <v>0</v>
      </c>
      <c r="AC14" s="23">
        <f>IFERROR(VLOOKUP(N14,'[2]COMPRAS YUC'!$R$10:$AF$63,14,0),0)</f>
        <v>0</v>
      </c>
      <c r="AD14" s="268"/>
      <c r="AE14" s="79">
        <f t="shared" si="7"/>
        <v>39</v>
      </c>
      <c r="AF14" s="96">
        <f t="shared" si="8"/>
        <v>7</v>
      </c>
      <c r="AG14" s="228">
        <f t="shared" si="1"/>
        <v>46</v>
      </c>
      <c r="AH14" s="79">
        <f t="shared" si="9"/>
        <v>39</v>
      </c>
      <c r="AI14" s="96">
        <f t="shared" si="10"/>
        <v>7</v>
      </c>
      <c r="AJ14" s="228">
        <f t="shared" si="11"/>
        <v>46</v>
      </c>
      <c r="AK14" s="86">
        <f t="shared" si="12"/>
        <v>0</v>
      </c>
      <c r="AL14" s="96">
        <f t="shared" si="12"/>
        <v>0</v>
      </c>
      <c r="AM14" s="233">
        <f t="shared" si="13"/>
        <v>0</v>
      </c>
      <c r="AN14" s="79">
        <f t="shared" si="14"/>
        <v>39</v>
      </c>
      <c r="AO14" s="96">
        <f t="shared" si="14"/>
        <v>7</v>
      </c>
      <c r="AP14" s="228">
        <f t="shared" si="15"/>
        <v>46</v>
      </c>
      <c r="AQ14" s="53">
        <v>1</v>
      </c>
      <c r="AV14" s="53">
        <v>46</v>
      </c>
      <c r="AZ14" s="53">
        <f t="shared" si="16"/>
        <v>23</v>
      </c>
    </row>
    <row r="15" spans="1:52" s="53" customFormat="1" ht="16" customHeight="1" x14ac:dyDescent="0.3">
      <c r="A15" s="53">
        <f>_xlfn.XLOOKUP(B15,'UC MINI 2026 MINI NEXT'!$B$7:$B$63,'UC MINI 2026 MINI NEXT'!$A$7:$A$63)</f>
        <v>2</v>
      </c>
      <c r="B15" s="179">
        <v>100917</v>
      </c>
      <c r="C15" s="381" t="s">
        <v>263</v>
      </c>
      <c r="D15" s="51">
        <v>7450</v>
      </c>
      <c r="E15" s="309" t="s">
        <v>276</v>
      </c>
      <c r="F15" s="199">
        <f>IFERROR(VLOOKUP(B15,'[2]COMPRAS UC'!$R$11:$AF$66,3,0),0)</f>
        <v>0</v>
      </c>
      <c r="G15" s="23">
        <f>IFERROR(VLOOKUP(B15,'[2]COMPRAS YUC'!$R$10:$AF$63,3,0),0)</f>
        <v>0</v>
      </c>
      <c r="H15" s="87">
        <f>IFERROR(VLOOKUP(B15,'[2]COMPRAS UC'!$R$11:$AF$66,4,0),0)</f>
        <v>0</v>
      </c>
      <c r="I15" s="23">
        <f>IFERROR(VLOOKUP(B15,'[2]COMPRAS YUC'!$R$10:$AF$63,4,0),0)</f>
        <v>0</v>
      </c>
      <c r="J15" s="87">
        <f>IFERROR(VLOOKUP(B15,'[2]COMPRAS UC'!$R$11:$AF$66,5,0),0)</f>
        <v>0</v>
      </c>
      <c r="K15" s="23">
        <f>IFERROR(VLOOKUP(B15,'[2]COMPRAS YUC'!$R$10:$AF$63,5,0),0)</f>
        <v>0</v>
      </c>
      <c r="L15" s="87">
        <f>IFERROR(VLOOKUP(B15,'[2]COMPRAS UC'!$R$11:$AF$66,6,0),0)</f>
        <v>1</v>
      </c>
      <c r="M15" s="23">
        <f>IFERROR(VLOOKUP(B15,'[2]COMPRAS YUC'!$R$10:$AF$63,6,0),0)</f>
        <v>3</v>
      </c>
      <c r="N15" s="87">
        <f>IFERROR(VLOOKUP(B15,'[2]COMPRAS UC'!$R$11:$AF$66,7,0),0)</f>
        <v>0</v>
      </c>
      <c r="O15" s="23">
        <f>IFERROR(VLOOKUP(B15,'[2]COMPRAS YUC'!$R$10:$AF$63,7,0),0)</f>
        <v>0</v>
      </c>
      <c r="P15" s="87">
        <f>IFERROR(VLOOKUP(B15,'[2]COMPRAS UC'!$R$11:$AF$66,8,0),0)</f>
        <v>6</v>
      </c>
      <c r="Q15" s="23">
        <f>IFERROR(VLOOKUP(B15,'[2]COMPRAS YUC'!$R$10:$AF$63,8,0),0)</f>
        <v>0</v>
      </c>
      <c r="R15" s="87">
        <f>IFERROR(VLOOKUP(D15,'[2]COMPRAS UC'!$R$11:$AF$66,9,0),0)</f>
        <v>0</v>
      </c>
      <c r="S15" s="23">
        <f>IFERROR(VLOOKUP(D15,'[2]COMPRAS YUC'!$R$10:$AF$63,9,0),0)</f>
        <v>0</v>
      </c>
      <c r="T15" s="87">
        <f>IFERROR(VLOOKUP(F15,'[2]COMPRAS UC'!$R$11:$AF$66,10,0),0)</f>
        <v>0</v>
      </c>
      <c r="U15" s="23">
        <f>IFERROR(VLOOKUP(F15,'[2]COMPRAS YUC'!$R$10:$AF$63,10,0),0)</f>
        <v>0</v>
      </c>
      <c r="V15" s="87">
        <f>IFERROR(VLOOKUP(H15,'[2]COMPRAS UC'!$R$11:$AF$66,11,0),0)</f>
        <v>0</v>
      </c>
      <c r="W15" s="23">
        <f>IFERROR(VLOOKUP(H15,'[2]COMPRAS YUC'!$R$10:$AF$63,11,0),0)</f>
        <v>0</v>
      </c>
      <c r="X15" s="87">
        <f>IFERROR(VLOOKUP(J15,'[2]COMPRAS UC'!$R$11:$AF$66,12,0),0)</f>
        <v>0</v>
      </c>
      <c r="Y15" s="23">
        <f>IFERROR(VLOOKUP(J15,'[2]COMPRAS YUC'!$R$10:$AF$63,12,0),0)</f>
        <v>0</v>
      </c>
      <c r="Z15" s="87">
        <f>IFERROR(VLOOKUP(L15,'[2]COMPRAS UC'!$R$11:$AF$66,13,0),0)</f>
        <v>0</v>
      </c>
      <c r="AA15" s="23">
        <f>IFERROR(VLOOKUP(L15,'[2]COMPRAS YUC'!$R$10:$AF$63,13,0),0)</f>
        <v>0</v>
      </c>
      <c r="AB15" s="87">
        <f>IFERROR(VLOOKUP(N15,'[2]COMPRAS UC'!$R$11:$AF$66,14,0),0)</f>
        <v>0</v>
      </c>
      <c r="AC15" s="23">
        <f>IFERROR(VLOOKUP(N15,'[2]COMPRAS YUC'!$R$10:$AF$63,14,0),0)</f>
        <v>0</v>
      </c>
      <c r="AD15" s="268"/>
      <c r="AE15" s="79">
        <f t="shared" si="7"/>
        <v>7</v>
      </c>
      <c r="AF15" s="96">
        <f t="shared" si="8"/>
        <v>3</v>
      </c>
      <c r="AG15" s="228">
        <f t="shared" si="1"/>
        <v>10</v>
      </c>
      <c r="AH15" s="79">
        <f>IFERROR(SUM(F15+H15+J15+L15+N15+P15+R15+T15+V15+X15+Z15+AB15),0)</f>
        <v>7</v>
      </c>
      <c r="AI15" s="96">
        <f>IFERROR(SUM(G15,I15,K15,M15,O15,Q15,S15,U15,W15,Y15,AA15,AC15),0)</f>
        <v>3</v>
      </c>
      <c r="AJ15" s="228">
        <f>AH15+AI15</f>
        <v>10</v>
      </c>
      <c r="AK15" s="86">
        <f>IF($AK$5="Q1",F15+H15+J15,
IF($AK$5="Q2",L15+N15++P15,
IF($AK$5="Q3",R15+T15+V15,
IF($AK$5="Q4",X15+Z15+AB15,0))))</f>
        <v>0</v>
      </c>
      <c r="AL15" s="96">
        <f>IF($AK$5="Q1",G15+I15+K15,
IF($AK$5="Q2",M15+O15++Q15,
IF($AK$5="Q3",S15+U15+W15,
IF($AK$5="Q4",Y15+AA15+AC15,0))))</f>
        <v>0</v>
      </c>
      <c r="AM15" s="233">
        <f>AK15+AL15</f>
        <v>0</v>
      </c>
      <c r="AN15" s="79">
        <f t="shared" ref="AN15:AO18" si="17">IFERROR(IF($AN$5="S 1",F15+H15+J15+L15+N15+P15,
IF($AN$5="S 2",R15+T15+V15+X15+Z15+AB15,0)),0)</f>
        <v>7</v>
      </c>
      <c r="AO15" s="96">
        <f t="shared" si="17"/>
        <v>3</v>
      </c>
      <c r="AP15" s="228">
        <f>AN15+AO15</f>
        <v>10</v>
      </c>
      <c r="AQ15" s="53">
        <v>1</v>
      </c>
      <c r="AV15" s="53">
        <v>26</v>
      </c>
      <c r="AZ15" s="53">
        <f>SUM(L15:Q15)</f>
        <v>10</v>
      </c>
    </row>
    <row r="16" spans="1:52" s="53" customFormat="1" ht="16" customHeight="1" thickBot="1" x14ac:dyDescent="0.35">
      <c r="A16" s="53">
        <f>_xlfn.XLOOKUP(B16,'UC MINI 2026 MINI NEXT'!$B$7:$B$63,'UC MINI 2026 MINI NEXT'!$A$7:$A$63)</f>
        <v>2</v>
      </c>
      <c r="B16" s="179">
        <v>100726</v>
      </c>
      <c r="C16" s="381" t="s">
        <v>19</v>
      </c>
      <c r="D16" s="51">
        <v>39198</v>
      </c>
      <c r="E16" s="309" t="s">
        <v>88</v>
      </c>
      <c r="F16" s="199">
        <f>IFERROR(VLOOKUP(B16,'[2]COMPRAS UC'!$R$11:$AF$66,3,0),0)</f>
        <v>0</v>
      </c>
      <c r="G16" s="23">
        <f>IFERROR(VLOOKUP(B16,'[2]COMPRAS YUC'!$R$10:$AF$63,3,0),0)</f>
        <v>0</v>
      </c>
      <c r="H16" s="87">
        <f>IFERROR(VLOOKUP(B16,'[2]COMPRAS UC'!$R$11:$AF$66,4,0),0)</f>
        <v>0</v>
      </c>
      <c r="I16" s="23">
        <f>IFERROR(VLOOKUP(B16,'[2]COMPRAS YUC'!$R$10:$AF$63,4,0),0)</f>
        <v>0</v>
      </c>
      <c r="J16" s="87">
        <f>IFERROR(VLOOKUP(B16,'[2]COMPRAS UC'!$R$11:$AF$66,5,0),0)</f>
        <v>0</v>
      </c>
      <c r="K16" s="23">
        <f>IFERROR(VLOOKUP(B16,'[2]COMPRAS YUC'!$R$10:$AF$63,5,0),0)</f>
        <v>0</v>
      </c>
      <c r="L16" s="87">
        <f>IFERROR(VLOOKUP(B16,'[2]COMPRAS UC'!$R$11:$AF$66,6,0),0)</f>
        <v>0</v>
      </c>
      <c r="M16" s="23">
        <f>IFERROR(VLOOKUP(B16,'[2]COMPRAS YUC'!$R$10:$AF$63,6,0),0)</f>
        <v>0</v>
      </c>
      <c r="N16" s="87">
        <f>IFERROR(VLOOKUP(B16,'[2]COMPRAS UC'!$R$11:$AF$66,7,0),0)</f>
        <v>0</v>
      </c>
      <c r="O16" s="23">
        <f>IFERROR(VLOOKUP(B16,'[2]COMPRAS YUC'!$R$10:$AF$63,7,0),0)</f>
        <v>0</v>
      </c>
      <c r="P16" s="87">
        <f>IFERROR(VLOOKUP(B16,'[2]COMPRAS UC'!$R$11:$AF$66,8,0),0)</f>
        <v>0</v>
      </c>
      <c r="Q16" s="23">
        <f>IFERROR(VLOOKUP(B16,'[2]COMPRAS YUC'!$R$10:$AF$63,8,0),0)</f>
        <v>0</v>
      </c>
      <c r="R16" s="87">
        <f>IFERROR(VLOOKUP(D16,'[2]COMPRAS UC'!$R$11:$AF$66,9,0),0)</f>
        <v>0</v>
      </c>
      <c r="S16" s="23">
        <f>IFERROR(VLOOKUP(D16,'[2]COMPRAS YUC'!$R$10:$AF$63,9,0),0)</f>
        <v>0</v>
      </c>
      <c r="T16" s="87">
        <f>IFERROR(VLOOKUP(F16,'[2]COMPRAS UC'!$R$11:$AF$66,10,0),0)</f>
        <v>0</v>
      </c>
      <c r="U16" s="23">
        <f>IFERROR(VLOOKUP(F16,'[2]COMPRAS YUC'!$R$10:$AF$63,10,0),0)</f>
        <v>0</v>
      </c>
      <c r="V16" s="87">
        <f>IFERROR(VLOOKUP(H16,'[2]COMPRAS UC'!$R$11:$AF$66,11,0),0)</f>
        <v>0</v>
      </c>
      <c r="W16" s="23">
        <f>IFERROR(VLOOKUP(H16,'[2]COMPRAS YUC'!$R$10:$AF$63,11,0),0)</f>
        <v>0</v>
      </c>
      <c r="X16" s="87">
        <f>IFERROR(VLOOKUP(J16,'[2]COMPRAS UC'!$R$11:$AF$66,12,0),0)</f>
        <v>0</v>
      </c>
      <c r="Y16" s="23">
        <f>IFERROR(VLOOKUP(J16,'[2]COMPRAS YUC'!$R$10:$AF$63,12,0),0)</f>
        <v>0</v>
      </c>
      <c r="Z16" s="87">
        <f>IFERROR(VLOOKUP(L16,'[2]COMPRAS UC'!$R$11:$AF$66,13,0),0)</f>
        <v>0</v>
      </c>
      <c r="AA16" s="23">
        <f>IFERROR(VLOOKUP(L16,'[2]COMPRAS YUC'!$R$10:$AF$63,13,0),0)</f>
        <v>0</v>
      </c>
      <c r="AB16" s="87">
        <f>IFERROR(VLOOKUP(N16,'[2]COMPRAS UC'!$R$11:$AF$66,14,0),0)</f>
        <v>0</v>
      </c>
      <c r="AC16" s="23">
        <f>IFERROR(VLOOKUP(N16,'[2]COMPRAS YUC'!$R$10:$AF$63,14,0),0)</f>
        <v>0</v>
      </c>
      <c r="AD16" s="269"/>
      <c r="AE16" s="252">
        <f t="shared" si="7"/>
        <v>0</v>
      </c>
      <c r="AF16" s="97">
        <f t="shared" si="8"/>
        <v>0</v>
      </c>
      <c r="AG16" s="229">
        <f t="shared" si="1"/>
        <v>0</v>
      </c>
      <c r="AH16" s="252">
        <f>IFERROR(SUM(F16+H16+J16+L16+N16+P16+R16+T16+V16+X16+Z16+AB16),0)</f>
        <v>0</v>
      </c>
      <c r="AI16" s="97">
        <f>IFERROR(SUM(G16,I16,K16,M16,O16,Q16,S16,U16,W16,Y16,AA16,AC16),0)</f>
        <v>0</v>
      </c>
      <c r="AJ16" s="229">
        <f>AH16+AI16</f>
        <v>0</v>
      </c>
      <c r="AK16" s="59">
        <f>IF($AK$5="Q1",F16+H16+J16,
IF($AK$5="Q2",L16+N16++P16,
IF($AK$5="Q3",R16+T16+V16,
IF($AK$5="Q4",X16+Z16+AB16,0))))</f>
        <v>0</v>
      </c>
      <c r="AL16" s="97">
        <f>IF($AK$5="Q1",G16+I16+K16,
IF($AK$5="Q2",M16+O16++Q16,
IF($AK$5="Q3",S16+U16+W16,
IF($AK$5="Q4",Y16+AA16+AC16,0))))</f>
        <v>0</v>
      </c>
      <c r="AM16" s="234">
        <f>AK16+AL16</f>
        <v>0</v>
      </c>
      <c r="AN16" s="252">
        <f t="shared" si="17"/>
        <v>0</v>
      </c>
      <c r="AO16" s="97">
        <f t="shared" si="17"/>
        <v>0</v>
      </c>
      <c r="AP16" s="229">
        <f>AN16+AO16</f>
        <v>0</v>
      </c>
      <c r="AQ16" s="53">
        <v>1</v>
      </c>
      <c r="AV16" s="53">
        <v>23</v>
      </c>
      <c r="AZ16" s="53">
        <f>SUM(L16:Q16)</f>
        <v>0</v>
      </c>
    </row>
    <row r="17" spans="1:52" s="53" customFormat="1" ht="16" customHeight="1" thickBot="1" x14ac:dyDescent="0.35">
      <c r="A17" s="53">
        <f>_xlfn.XLOOKUP(B17,'UC MINI 2026 MINI NEXT'!$B$7:$B$63,'UC MINI 2026 MINI NEXT'!$A$7:$A$63)</f>
        <v>0</v>
      </c>
      <c r="B17" s="180" t="s">
        <v>265</v>
      </c>
      <c r="C17" s="62"/>
      <c r="D17" s="80"/>
      <c r="E17" s="265"/>
      <c r="F17" s="259">
        <f t="shared" ref="F17:AC17" si="18">SUM(F12:F16)</f>
        <v>19</v>
      </c>
      <c r="G17" s="264">
        <f t="shared" si="18"/>
        <v>12</v>
      </c>
      <c r="H17" s="259">
        <f t="shared" si="18"/>
        <v>20</v>
      </c>
      <c r="I17" s="264">
        <f t="shared" si="18"/>
        <v>0</v>
      </c>
      <c r="J17" s="259">
        <f t="shared" si="18"/>
        <v>19</v>
      </c>
      <c r="K17" s="264">
        <f t="shared" si="18"/>
        <v>10</v>
      </c>
      <c r="L17" s="259">
        <f t="shared" si="18"/>
        <v>20</v>
      </c>
      <c r="M17" s="264">
        <f t="shared" si="18"/>
        <v>9</v>
      </c>
      <c r="N17" s="259">
        <f t="shared" si="18"/>
        <v>23</v>
      </c>
      <c r="O17" s="264">
        <f t="shared" si="18"/>
        <v>3</v>
      </c>
      <c r="P17" s="259">
        <f t="shared" si="18"/>
        <v>19</v>
      </c>
      <c r="Q17" s="264">
        <f t="shared" si="18"/>
        <v>2</v>
      </c>
      <c r="R17" s="259">
        <f t="shared" si="18"/>
        <v>0</v>
      </c>
      <c r="S17" s="264">
        <f t="shared" si="18"/>
        <v>0</v>
      </c>
      <c r="T17" s="259">
        <f t="shared" si="18"/>
        <v>0</v>
      </c>
      <c r="U17" s="264">
        <f t="shared" si="18"/>
        <v>0</v>
      </c>
      <c r="V17" s="259">
        <f t="shared" si="18"/>
        <v>0</v>
      </c>
      <c r="W17" s="264">
        <f t="shared" si="18"/>
        <v>0</v>
      </c>
      <c r="X17" s="259">
        <f t="shared" si="18"/>
        <v>0</v>
      </c>
      <c r="Y17" s="264">
        <f t="shared" si="18"/>
        <v>0</v>
      </c>
      <c r="Z17" s="259">
        <f t="shared" si="18"/>
        <v>0</v>
      </c>
      <c r="AA17" s="264">
        <f t="shared" si="18"/>
        <v>0</v>
      </c>
      <c r="AB17" s="259">
        <f t="shared" si="18"/>
        <v>0</v>
      </c>
      <c r="AC17" s="264">
        <f t="shared" si="18"/>
        <v>0</v>
      </c>
      <c r="AD17" s="271"/>
      <c r="AE17" s="94">
        <f t="shared" si="7"/>
        <v>120</v>
      </c>
      <c r="AF17" s="425">
        <f t="shared" si="8"/>
        <v>36</v>
      </c>
      <c r="AG17" s="432">
        <f t="shared" si="1"/>
        <v>156</v>
      </c>
      <c r="AH17" s="94">
        <f t="shared" si="9"/>
        <v>120</v>
      </c>
      <c r="AI17" s="256">
        <f t="shared" si="10"/>
        <v>36</v>
      </c>
      <c r="AJ17" s="432">
        <f>SUM(AJ12:AJ16)</f>
        <v>156</v>
      </c>
      <c r="AK17" s="65">
        <f>SUM(AK5:AK16)</f>
        <v>0</v>
      </c>
      <c r="AL17" s="99">
        <f>SUM(AL5:AL16)</f>
        <v>0</v>
      </c>
      <c r="AM17" s="236">
        <f>SUM(AM5:AM16)</f>
        <v>0</v>
      </c>
      <c r="AN17" s="94">
        <f t="shared" si="17"/>
        <v>120</v>
      </c>
      <c r="AO17" s="425">
        <f t="shared" si="17"/>
        <v>36</v>
      </c>
      <c r="AP17" s="432">
        <f>SUM(AP12:AP16)</f>
        <v>156</v>
      </c>
      <c r="AQ17" s="53">
        <v>0</v>
      </c>
      <c r="AV17" s="53">
        <v>22</v>
      </c>
    </row>
    <row r="18" spans="1:52" s="53" customFormat="1" ht="16" customHeight="1" x14ac:dyDescent="0.3">
      <c r="A18" s="53">
        <f>_xlfn.XLOOKUP(B18,'UC MINI 2026 MINI NEXT'!$B$7:$B$63,'UC MINI 2026 MINI NEXT'!$A$7:$A$63)</f>
        <v>3</v>
      </c>
      <c r="B18" s="179">
        <v>100307</v>
      </c>
      <c r="C18" s="381" t="s">
        <v>39</v>
      </c>
      <c r="D18" s="51">
        <v>5570</v>
      </c>
      <c r="E18" s="309" t="s">
        <v>83</v>
      </c>
      <c r="F18" s="199">
        <f>IFERROR(VLOOKUP(B18,'[2]COMPRAS UC'!$R$11:$AF$66,3,0),0)</f>
        <v>0</v>
      </c>
      <c r="G18" s="23">
        <f>IFERROR(VLOOKUP(B18,'[2]COMPRAS YUC'!$R$10:$AF$63,3,0),0)</f>
        <v>0</v>
      </c>
      <c r="H18" s="87">
        <f>IFERROR(VLOOKUP(B18,'[2]COMPRAS UC'!$R$11:$AF$66,4,0),0)</f>
        <v>0</v>
      </c>
      <c r="I18" s="23">
        <f>IFERROR(VLOOKUP(B18,'[2]COMPRAS YUC'!$R$10:$AF$63,4,0),0)</f>
        <v>0</v>
      </c>
      <c r="J18" s="87">
        <f>IFERROR(VLOOKUP(B18,'[2]COMPRAS UC'!$R$11:$AF$66,5,0),0)</f>
        <v>0</v>
      </c>
      <c r="K18" s="23">
        <f>IFERROR(VLOOKUP(B18,'[2]COMPRAS YUC'!$R$10:$AF$63,5,0),0)</f>
        <v>0</v>
      </c>
      <c r="L18" s="87">
        <f>IFERROR(VLOOKUP(B18,'[2]COMPRAS UC'!$R$11:$AF$66,6,0),0)</f>
        <v>0</v>
      </c>
      <c r="M18" s="23">
        <f>IFERROR(VLOOKUP(B18,'[2]COMPRAS YUC'!$R$10:$AF$63,6,0),0)</f>
        <v>0</v>
      </c>
      <c r="N18" s="87">
        <f>IFERROR(VLOOKUP(B18,'[2]COMPRAS UC'!$R$11:$AF$66,7,0),0)</f>
        <v>0</v>
      </c>
      <c r="O18" s="23">
        <f>IFERROR(VLOOKUP(B18,'[2]COMPRAS YUC'!$R$10:$AF$63,7,0),0)</f>
        <v>0</v>
      </c>
      <c r="P18" s="87">
        <f>IFERROR(VLOOKUP(B18,'[2]COMPRAS UC'!$R$11:$AF$66,8,0),0)</f>
        <v>0</v>
      </c>
      <c r="Q18" s="23">
        <f>IFERROR(VLOOKUP(B18,'[2]COMPRAS YUC'!$R$10:$AF$63,8,0),0)</f>
        <v>0</v>
      </c>
      <c r="R18" s="87">
        <f>IFERROR(VLOOKUP(D18,'[2]COMPRAS UC'!$R$11:$AF$66,9,0),0)</f>
        <v>0</v>
      </c>
      <c r="S18" s="23">
        <f>IFERROR(VLOOKUP(D18,'[2]COMPRAS YUC'!$R$10:$AF$63,9,0),0)</f>
        <v>0</v>
      </c>
      <c r="T18" s="87">
        <f>IFERROR(VLOOKUP(F18,'[2]COMPRAS UC'!$R$11:$AF$66,10,0),0)</f>
        <v>0</v>
      </c>
      <c r="U18" s="23">
        <f>IFERROR(VLOOKUP(F18,'[2]COMPRAS YUC'!$R$10:$AF$63,10,0),0)</f>
        <v>0</v>
      </c>
      <c r="V18" s="87">
        <f>IFERROR(VLOOKUP(H18,'[2]COMPRAS UC'!$R$11:$AF$66,11,0),0)</f>
        <v>0</v>
      </c>
      <c r="W18" s="23">
        <f>IFERROR(VLOOKUP(H18,'[2]COMPRAS YUC'!$R$10:$AF$63,11,0),0)</f>
        <v>0</v>
      </c>
      <c r="X18" s="87">
        <f>IFERROR(VLOOKUP(J18,'[2]COMPRAS UC'!$R$11:$AF$66,12,0),0)</f>
        <v>0</v>
      </c>
      <c r="Y18" s="23">
        <f>IFERROR(VLOOKUP(J18,'[2]COMPRAS YUC'!$R$10:$AF$63,12,0),0)</f>
        <v>0</v>
      </c>
      <c r="Z18" s="87">
        <f>IFERROR(VLOOKUP(L18,'[2]COMPRAS UC'!$R$11:$AF$66,13,0),0)</f>
        <v>0</v>
      </c>
      <c r="AA18" s="23">
        <f>IFERROR(VLOOKUP(L18,'[2]COMPRAS YUC'!$R$10:$AF$63,13,0),0)</f>
        <v>0</v>
      </c>
      <c r="AB18" s="87">
        <f>IFERROR(VLOOKUP(N18,'[2]COMPRAS UC'!$R$11:$AF$66,14,0),0)</f>
        <v>0</v>
      </c>
      <c r="AC18" s="23">
        <f>IFERROR(VLOOKUP(N18,'[2]COMPRAS YUC'!$R$10:$AF$63,14,0),0)</f>
        <v>0</v>
      </c>
      <c r="AD18" s="268"/>
      <c r="AE18" s="79">
        <f t="shared" si="7"/>
        <v>0</v>
      </c>
      <c r="AF18" s="96">
        <f t="shared" si="8"/>
        <v>0</v>
      </c>
      <c r="AG18" s="228">
        <f t="shared" si="1"/>
        <v>0</v>
      </c>
      <c r="AH18" s="79">
        <f>IFERROR(SUM(F18+H18+J18+L18+N18+P18+R18+T18+V18+X18+Z18+AB18),0)</f>
        <v>0</v>
      </c>
      <c r="AI18" s="96">
        <f>IFERROR(SUM(G18,I18,K18,M18,O18,Q18,S18,U18,W18,Y18,AA18,AC18),0)</f>
        <v>0</v>
      </c>
      <c r="AJ18" s="228">
        <f>AH18+AI18</f>
        <v>0</v>
      </c>
      <c r="AK18" s="86">
        <f>IF($AK$5="Q1",F18+H18+J18,
IF($AK$5="Q2",L18+N18++P18,
IF($AK$5="Q3",R18+T18+V18,
IF($AK$5="Q4",X18+Z18+AB18,0))))</f>
        <v>0</v>
      </c>
      <c r="AL18" s="96">
        <f>IF($AK$5="Q1",G18+I18+K18,
IF($AK$5="Q2",M18+O18++Q18,
IF($AK$5="Q3",S18+U18+W18,
IF($AK$5="Q4",Y18+AA18+AC18,0))))</f>
        <v>0</v>
      </c>
      <c r="AM18" s="233">
        <f>AK18+AL18</f>
        <v>0</v>
      </c>
      <c r="AN18" s="79">
        <f t="shared" si="17"/>
        <v>0</v>
      </c>
      <c r="AO18" s="96">
        <f t="shared" si="17"/>
        <v>0</v>
      </c>
      <c r="AP18" s="228">
        <f>AN18+AO18</f>
        <v>0</v>
      </c>
      <c r="AQ18" s="53">
        <v>1</v>
      </c>
      <c r="AV18" s="53">
        <v>22</v>
      </c>
      <c r="AZ18" s="53">
        <f>SUM(L18:Q18)</f>
        <v>0</v>
      </c>
    </row>
    <row r="19" spans="1:52" s="53" customFormat="1" ht="16" customHeight="1" x14ac:dyDescent="0.3">
      <c r="A19" s="53">
        <f>_xlfn.XLOOKUP(B19,'UC MINI 2026 MINI NEXT'!$B$7:$B$63,'UC MINI 2026 MINI NEXT'!$A$7:$A$63)</f>
        <v>3</v>
      </c>
      <c r="B19" s="179">
        <v>100380</v>
      </c>
      <c r="C19" s="381" t="s">
        <v>11</v>
      </c>
      <c r="D19" s="51">
        <v>20285</v>
      </c>
      <c r="E19" s="309" t="s">
        <v>78</v>
      </c>
      <c r="F19" s="199">
        <f>IFERROR(VLOOKUP(B19,'[2]COMPRAS UC'!$R$11:$AF$66,3,0),0)</f>
        <v>0</v>
      </c>
      <c r="G19" s="23">
        <f>IFERROR(VLOOKUP(B19,'[2]COMPRAS YUC'!$R$10:$AF$63,3,0),0)</f>
        <v>0</v>
      </c>
      <c r="H19" s="87">
        <f>IFERROR(VLOOKUP(B19,'[2]COMPRAS UC'!$R$11:$AF$66,4,0),0)</f>
        <v>2</v>
      </c>
      <c r="I19" s="23">
        <f>IFERROR(VLOOKUP(B19,'[2]COMPRAS YUC'!$R$10:$AF$63,4,0),0)</f>
        <v>0</v>
      </c>
      <c r="J19" s="87">
        <f>IFERROR(VLOOKUP(B19,'[2]COMPRAS UC'!$R$11:$AF$66,5,0),0)</f>
        <v>0</v>
      </c>
      <c r="K19" s="23">
        <f>IFERROR(VLOOKUP(B19,'[2]COMPRAS YUC'!$R$10:$AF$63,5,0),0)</f>
        <v>0</v>
      </c>
      <c r="L19" s="87">
        <f>IFERROR(VLOOKUP(B19,'[2]COMPRAS UC'!$R$11:$AF$66,6,0),0)</f>
        <v>0</v>
      </c>
      <c r="M19" s="23">
        <f>IFERROR(VLOOKUP(B19,'[2]COMPRAS YUC'!$R$10:$AF$63,6,0),0)</f>
        <v>0</v>
      </c>
      <c r="N19" s="87">
        <f>IFERROR(VLOOKUP(B19,'[2]COMPRAS UC'!$R$11:$AF$66,7,0),0)</f>
        <v>0</v>
      </c>
      <c r="O19" s="23">
        <f>IFERROR(VLOOKUP(B19,'[2]COMPRAS YUC'!$R$10:$AF$63,7,0),0)</f>
        <v>0</v>
      </c>
      <c r="P19" s="87">
        <f>IFERROR(VLOOKUP(B19,'[2]COMPRAS UC'!$R$11:$AF$66,8,0),0)</f>
        <v>1</v>
      </c>
      <c r="Q19" s="23">
        <f>IFERROR(VLOOKUP(B19,'[2]COMPRAS YUC'!$R$10:$AF$63,8,0),0)</f>
        <v>0</v>
      </c>
      <c r="R19" s="87">
        <f>IFERROR(VLOOKUP(D19,'[2]COMPRAS UC'!$R$11:$AF$66,9,0),0)</f>
        <v>0</v>
      </c>
      <c r="S19" s="23">
        <f>IFERROR(VLOOKUP(D19,'[2]COMPRAS YUC'!$R$10:$AF$63,9,0),0)</f>
        <v>0</v>
      </c>
      <c r="T19" s="87">
        <f>IFERROR(VLOOKUP(F19,'[2]COMPRAS UC'!$R$11:$AF$66,10,0),0)</f>
        <v>0</v>
      </c>
      <c r="U19" s="23">
        <f>IFERROR(VLOOKUP(F19,'[2]COMPRAS YUC'!$R$10:$AF$63,10,0),0)</f>
        <v>0</v>
      </c>
      <c r="V19" s="87">
        <f>IFERROR(VLOOKUP(H19,'[2]COMPRAS UC'!$R$11:$AF$66,11,0),0)</f>
        <v>0</v>
      </c>
      <c r="W19" s="23">
        <f>IFERROR(VLOOKUP(H19,'[2]COMPRAS YUC'!$R$10:$AF$63,11,0),0)</f>
        <v>0</v>
      </c>
      <c r="X19" s="87">
        <f>IFERROR(VLOOKUP(J19,'[2]COMPRAS UC'!$R$11:$AF$66,12,0),0)</f>
        <v>0</v>
      </c>
      <c r="Y19" s="23">
        <f>IFERROR(VLOOKUP(J19,'[2]COMPRAS YUC'!$R$10:$AF$63,12,0),0)</f>
        <v>0</v>
      </c>
      <c r="Z19" s="87">
        <f>IFERROR(VLOOKUP(L19,'[2]COMPRAS UC'!$R$11:$AF$66,13,0),0)</f>
        <v>0</v>
      </c>
      <c r="AA19" s="23">
        <f>IFERROR(VLOOKUP(L19,'[2]COMPRAS YUC'!$R$10:$AF$63,13,0),0)</f>
        <v>0</v>
      </c>
      <c r="AB19" s="87">
        <f>IFERROR(VLOOKUP(N19,'[2]COMPRAS UC'!$R$11:$AF$66,14,0),0)</f>
        <v>0</v>
      </c>
      <c r="AC19" s="23">
        <f>IFERROR(VLOOKUP(N19,'[2]COMPRAS YUC'!$R$10:$AF$63,14,0),0)</f>
        <v>0</v>
      </c>
      <c r="AD19" s="268"/>
      <c r="AE19" s="79">
        <f t="shared" si="7"/>
        <v>3</v>
      </c>
      <c r="AF19" s="96">
        <f t="shared" si="8"/>
        <v>0</v>
      </c>
      <c r="AG19" s="228">
        <f t="shared" si="1"/>
        <v>3</v>
      </c>
      <c r="AH19" s="79">
        <f t="shared" si="9"/>
        <v>3</v>
      </c>
      <c r="AI19" s="96">
        <f t="shared" si="10"/>
        <v>0</v>
      </c>
      <c r="AJ19" s="228">
        <f t="shared" si="11"/>
        <v>3</v>
      </c>
      <c r="AK19" s="86">
        <f t="shared" si="12"/>
        <v>0</v>
      </c>
      <c r="AL19" s="96">
        <f t="shared" si="12"/>
        <v>0</v>
      </c>
      <c r="AM19" s="233">
        <f t="shared" si="13"/>
        <v>0</v>
      </c>
      <c r="AN19" s="79">
        <f t="shared" si="14"/>
        <v>3</v>
      </c>
      <c r="AO19" s="96">
        <f t="shared" si="14"/>
        <v>0</v>
      </c>
      <c r="AP19" s="228">
        <f t="shared" si="15"/>
        <v>3</v>
      </c>
      <c r="AQ19" s="53">
        <v>1</v>
      </c>
      <c r="AV19" s="53">
        <v>20</v>
      </c>
      <c r="AZ19" s="53">
        <f t="shared" si="16"/>
        <v>1</v>
      </c>
    </row>
    <row r="20" spans="1:52" s="53" customFormat="1" ht="16" customHeight="1" x14ac:dyDescent="0.3">
      <c r="A20" s="53">
        <f>_xlfn.XLOOKUP(B20,'UC MINI 2026 MINI NEXT'!$B$7:$B$63,'UC MINI 2026 MINI NEXT'!$A$7:$A$63)</f>
        <v>3</v>
      </c>
      <c r="B20" s="179">
        <v>100418</v>
      </c>
      <c r="C20" s="381" t="s">
        <v>13</v>
      </c>
      <c r="D20" s="51">
        <v>5570</v>
      </c>
      <c r="E20" s="309" t="s">
        <v>83</v>
      </c>
      <c r="F20" s="199">
        <f>IFERROR(VLOOKUP(B20,'[2]COMPRAS UC'!$R$11:$AF$66,3,0),0)</f>
        <v>0</v>
      </c>
      <c r="G20" s="23">
        <f>IFERROR(VLOOKUP(B20,'[2]COMPRAS YUC'!$R$10:$AF$63,3,0),0)</f>
        <v>0</v>
      </c>
      <c r="H20" s="87">
        <f>IFERROR(VLOOKUP(B20,'[2]COMPRAS UC'!$R$11:$AF$66,4,0),0)</f>
        <v>0</v>
      </c>
      <c r="I20" s="23">
        <f>IFERROR(VLOOKUP(B20,'[2]COMPRAS YUC'!$R$10:$AF$63,4,0),0)</f>
        <v>0</v>
      </c>
      <c r="J20" s="87">
        <f>IFERROR(VLOOKUP(B20,'[2]COMPRAS UC'!$R$11:$AF$66,5,0),0)</f>
        <v>0</v>
      </c>
      <c r="K20" s="23">
        <f>IFERROR(VLOOKUP(B20,'[2]COMPRAS YUC'!$R$10:$AF$63,5,0),0)</f>
        <v>0</v>
      </c>
      <c r="L20" s="87">
        <f>IFERROR(VLOOKUP(B20,'[2]COMPRAS UC'!$R$11:$AF$66,6,0),0)</f>
        <v>0</v>
      </c>
      <c r="M20" s="23">
        <f>IFERROR(VLOOKUP(B20,'[2]COMPRAS YUC'!$R$10:$AF$63,6,0),0)</f>
        <v>0</v>
      </c>
      <c r="N20" s="87">
        <f>IFERROR(VLOOKUP(B20,'[2]COMPRAS UC'!$R$11:$AF$66,7,0),0)</f>
        <v>0</v>
      </c>
      <c r="O20" s="23">
        <f>IFERROR(VLOOKUP(B20,'[2]COMPRAS YUC'!$R$10:$AF$63,7,0),0)</f>
        <v>0</v>
      </c>
      <c r="P20" s="87">
        <f>IFERROR(VLOOKUP(B20,'[2]COMPRAS UC'!$R$11:$AF$66,8,0),0)</f>
        <v>0</v>
      </c>
      <c r="Q20" s="23">
        <f>IFERROR(VLOOKUP(B20,'[2]COMPRAS YUC'!$R$10:$AF$63,8,0),0)</f>
        <v>0</v>
      </c>
      <c r="R20" s="87">
        <f>IFERROR(VLOOKUP(D20,'[2]COMPRAS UC'!$R$11:$AF$66,9,0),0)</f>
        <v>0</v>
      </c>
      <c r="S20" s="23">
        <f>IFERROR(VLOOKUP(D20,'[2]COMPRAS YUC'!$R$10:$AF$63,9,0),0)</f>
        <v>0</v>
      </c>
      <c r="T20" s="87">
        <f>IFERROR(VLOOKUP(F20,'[2]COMPRAS UC'!$R$11:$AF$66,10,0),0)</f>
        <v>0</v>
      </c>
      <c r="U20" s="23">
        <f>IFERROR(VLOOKUP(F20,'[2]COMPRAS YUC'!$R$10:$AF$63,10,0),0)</f>
        <v>0</v>
      </c>
      <c r="V20" s="87">
        <f>IFERROR(VLOOKUP(H20,'[2]COMPRAS UC'!$R$11:$AF$66,11,0),0)</f>
        <v>0</v>
      </c>
      <c r="W20" s="23">
        <f>IFERROR(VLOOKUP(H20,'[2]COMPRAS YUC'!$R$10:$AF$63,11,0),0)</f>
        <v>0</v>
      </c>
      <c r="X20" s="87">
        <f>IFERROR(VLOOKUP(J20,'[2]COMPRAS UC'!$R$11:$AF$66,12,0),0)</f>
        <v>0</v>
      </c>
      <c r="Y20" s="23">
        <f>IFERROR(VLOOKUP(J20,'[2]COMPRAS YUC'!$R$10:$AF$63,12,0),0)</f>
        <v>0</v>
      </c>
      <c r="Z20" s="87">
        <f>IFERROR(VLOOKUP(L20,'[2]COMPRAS UC'!$R$11:$AF$66,13,0),0)</f>
        <v>0</v>
      </c>
      <c r="AA20" s="23">
        <f>IFERROR(VLOOKUP(L20,'[2]COMPRAS YUC'!$R$10:$AF$63,13,0),0)</f>
        <v>0</v>
      </c>
      <c r="AB20" s="87">
        <f>IFERROR(VLOOKUP(N20,'[2]COMPRAS UC'!$R$11:$AF$66,14,0),0)</f>
        <v>0</v>
      </c>
      <c r="AC20" s="23">
        <f>IFERROR(VLOOKUP(N20,'[2]COMPRAS YUC'!$R$10:$AF$63,14,0),0)</f>
        <v>0</v>
      </c>
      <c r="AD20" s="269"/>
      <c r="AE20" s="54">
        <f t="shared" si="7"/>
        <v>0</v>
      </c>
      <c r="AF20" s="96">
        <f t="shared" si="8"/>
        <v>0</v>
      </c>
      <c r="AG20" s="228">
        <f t="shared" si="1"/>
        <v>0</v>
      </c>
      <c r="AH20" s="79">
        <f t="shared" si="9"/>
        <v>0</v>
      </c>
      <c r="AI20" s="96">
        <f t="shared" si="10"/>
        <v>0</v>
      </c>
      <c r="AJ20" s="228">
        <f t="shared" si="11"/>
        <v>0</v>
      </c>
      <c r="AK20" s="86">
        <f t="shared" si="12"/>
        <v>0</v>
      </c>
      <c r="AL20" s="96">
        <f t="shared" si="12"/>
        <v>0</v>
      </c>
      <c r="AM20" s="233">
        <f t="shared" si="13"/>
        <v>0</v>
      </c>
      <c r="AN20" s="79">
        <f t="shared" si="14"/>
        <v>0</v>
      </c>
      <c r="AO20" s="96">
        <f t="shared" si="14"/>
        <v>0</v>
      </c>
      <c r="AP20" s="228">
        <f t="shared" si="15"/>
        <v>0</v>
      </c>
      <c r="AQ20" s="53">
        <v>1</v>
      </c>
      <c r="AV20" s="53">
        <v>17</v>
      </c>
      <c r="AZ20" s="53">
        <f t="shared" si="16"/>
        <v>0</v>
      </c>
    </row>
    <row r="21" spans="1:52" s="53" customFormat="1" ht="16" customHeight="1" x14ac:dyDescent="0.3">
      <c r="A21" s="53">
        <f>_xlfn.XLOOKUP(B21,'UC MINI 2026 MINI NEXT'!$B$7:$B$63,'UC MINI 2026 MINI NEXT'!$A$7:$A$63)</f>
        <v>3</v>
      </c>
      <c r="B21" s="179">
        <v>100730</v>
      </c>
      <c r="C21" s="381" t="s">
        <v>41</v>
      </c>
      <c r="D21" s="51">
        <v>20285</v>
      </c>
      <c r="E21" s="309" t="s">
        <v>78</v>
      </c>
      <c r="F21" s="199">
        <f>IFERROR(VLOOKUP(B21,'[2]COMPRAS UC'!$R$11:$AF$66,3,0),0)</f>
        <v>0</v>
      </c>
      <c r="G21" s="23">
        <f>IFERROR(VLOOKUP(B21,'[2]COMPRAS YUC'!$R$10:$AF$63,3,0),0)</f>
        <v>0</v>
      </c>
      <c r="H21" s="87">
        <f>IFERROR(VLOOKUP(B21,'[2]COMPRAS UC'!$R$11:$AF$66,4,0),0)</f>
        <v>1</v>
      </c>
      <c r="I21" s="23">
        <f>IFERROR(VLOOKUP(B21,'[2]COMPRAS YUC'!$R$10:$AF$63,4,0),0)</f>
        <v>0</v>
      </c>
      <c r="J21" s="87">
        <f>IFERROR(VLOOKUP(B21,'[2]COMPRAS UC'!$R$11:$AF$66,5,0),0)</f>
        <v>0</v>
      </c>
      <c r="K21" s="23">
        <f>IFERROR(VLOOKUP(B21,'[2]COMPRAS YUC'!$R$10:$AF$63,5,0),0)</f>
        <v>3</v>
      </c>
      <c r="L21" s="87">
        <f>IFERROR(VLOOKUP(B21,'[2]COMPRAS UC'!$R$11:$AF$66,6,0),0)</f>
        <v>0</v>
      </c>
      <c r="M21" s="23">
        <f>IFERROR(VLOOKUP(B21,'[2]COMPRAS YUC'!$R$10:$AF$63,6,0),0)</f>
        <v>0</v>
      </c>
      <c r="N21" s="87">
        <f>IFERROR(VLOOKUP(B21,'[2]COMPRAS UC'!$R$11:$AF$66,7,0),0)</f>
        <v>0</v>
      </c>
      <c r="O21" s="23">
        <f>IFERROR(VLOOKUP(B21,'[2]COMPRAS YUC'!$R$10:$AF$63,7,0),0)</f>
        <v>0</v>
      </c>
      <c r="P21" s="87">
        <f>IFERROR(VLOOKUP(B21,'[2]COMPRAS UC'!$R$11:$AF$66,8,0),0)</f>
        <v>1</v>
      </c>
      <c r="Q21" s="23">
        <f>IFERROR(VLOOKUP(B21,'[2]COMPRAS YUC'!$R$10:$AF$63,8,0),0)</f>
        <v>0</v>
      </c>
      <c r="R21" s="87">
        <f>IFERROR(VLOOKUP(D21,'[2]COMPRAS UC'!$R$11:$AF$66,9,0),0)</f>
        <v>0</v>
      </c>
      <c r="S21" s="23">
        <f>IFERROR(VLOOKUP(D21,'[2]COMPRAS YUC'!$R$10:$AF$63,9,0),0)</f>
        <v>0</v>
      </c>
      <c r="T21" s="87">
        <f>IFERROR(VLOOKUP(F21,'[2]COMPRAS UC'!$R$11:$AF$66,10,0),0)</f>
        <v>0</v>
      </c>
      <c r="U21" s="23">
        <f>IFERROR(VLOOKUP(F21,'[2]COMPRAS YUC'!$R$10:$AF$63,10,0),0)</f>
        <v>0</v>
      </c>
      <c r="V21" s="87">
        <f>IFERROR(VLOOKUP(H21,'[2]COMPRAS UC'!$R$11:$AF$66,11,0),0)</f>
        <v>0</v>
      </c>
      <c r="W21" s="23">
        <f>IFERROR(VLOOKUP(H21,'[2]COMPRAS YUC'!$R$10:$AF$63,11,0),0)</f>
        <v>0</v>
      </c>
      <c r="X21" s="87">
        <f>IFERROR(VLOOKUP(J21,'[2]COMPRAS UC'!$R$11:$AF$66,12,0),0)</f>
        <v>0</v>
      </c>
      <c r="Y21" s="23">
        <f>IFERROR(VLOOKUP(J21,'[2]COMPRAS YUC'!$R$10:$AF$63,12,0),0)</f>
        <v>0</v>
      </c>
      <c r="Z21" s="87">
        <f>IFERROR(VLOOKUP(L21,'[2]COMPRAS UC'!$R$11:$AF$66,13,0),0)</f>
        <v>0</v>
      </c>
      <c r="AA21" s="23">
        <f>IFERROR(VLOOKUP(L21,'[2]COMPRAS YUC'!$R$10:$AF$63,13,0),0)</f>
        <v>0</v>
      </c>
      <c r="AB21" s="87">
        <f>IFERROR(VLOOKUP(N21,'[2]COMPRAS UC'!$R$11:$AF$66,14,0),0)</f>
        <v>0</v>
      </c>
      <c r="AC21" s="23">
        <f>IFERROR(VLOOKUP(N21,'[2]COMPRAS YUC'!$R$10:$AF$63,14,0),0)</f>
        <v>0</v>
      </c>
      <c r="AD21" s="504"/>
      <c r="AE21" s="86">
        <f t="shared" si="7"/>
        <v>2</v>
      </c>
      <c r="AF21" s="96">
        <f t="shared" si="8"/>
        <v>3</v>
      </c>
      <c r="AG21" s="228">
        <f t="shared" si="1"/>
        <v>5</v>
      </c>
      <c r="AH21" s="79">
        <f t="shared" si="9"/>
        <v>2</v>
      </c>
      <c r="AI21" s="96">
        <f t="shared" si="10"/>
        <v>3</v>
      </c>
      <c r="AJ21" s="228">
        <f t="shared" si="11"/>
        <v>5</v>
      </c>
      <c r="AK21" s="86">
        <f t="shared" si="12"/>
        <v>0</v>
      </c>
      <c r="AL21" s="96">
        <f t="shared" si="12"/>
        <v>0</v>
      </c>
      <c r="AM21" s="233">
        <f t="shared" si="13"/>
        <v>0</v>
      </c>
      <c r="AN21" s="79">
        <f t="shared" si="14"/>
        <v>2</v>
      </c>
      <c r="AO21" s="96">
        <f t="shared" si="14"/>
        <v>3</v>
      </c>
      <c r="AP21" s="505">
        <f t="shared" si="15"/>
        <v>5</v>
      </c>
      <c r="AQ21" s="53">
        <v>1</v>
      </c>
      <c r="AV21" s="53">
        <v>16</v>
      </c>
      <c r="AZ21" s="53">
        <f t="shared" si="16"/>
        <v>1</v>
      </c>
    </row>
    <row r="22" spans="1:52" s="53" customFormat="1" ht="16" customHeight="1" thickBot="1" x14ac:dyDescent="0.35">
      <c r="A22" s="53">
        <f>_xlfn.XLOOKUP(B22,'UC MINI 2026 MINI NEXT'!$B$7:$B$63,'UC MINI 2026 MINI NEXT'!$A$7:$A$63)</f>
        <v>3</v>
      </c>
      <c r="B22" s="179">
        <v>100764</v>
      </c>
      <c r="C22" s="381" t="s">
        <v>26</v>
      </c>
      <c r="D22" s="51">
        <v>41672</v>
      </c>
      <c r="E22" s="309" t="s">
        <v>277</v>
      </c>
      <c r="F22" s="199">
        <f>IFERROR(VLOOKUP(B22,'[2]COMPRAS UC'!$R$11:$AF$66,3,0),0)</f>
        <v>0</v>
      </c>
      <c r="G22" s="23">
        <f>IFERROR(VLOOKUP(B22,'[2]COMPRAS YUC'!$R$10:$AF$63,3,0),0)</f>
        <v>0</v>
      </c>
      <c r="H22" s="87">
        <f>IFERROR(VLOOKUP(B22,'[2]COMPRAS UC'!$R$11:$AF$66,4,0),0)</f>
        <v>0</v>
      </c>
      <c r="I22" s="23">
        <f>IFERROR(VLOOKUP(B22,'[2]COMPRAS YUC'!$R$10:$AF$63,4,0),0)</f>
        <v>0</v>
      </c>
      <c r="J22" s="87">
        <f>IFERROR(VLOOKUP(B22,'[2]COMPRAS UC'!$R$11:$AF$66,5,0),0)</f>
        <v>0</v>
      </c>
      <c r="K22" s="23">
        <f>IFERROR(VLOOKUP(B22,'[2]COMPRAS YUC'!$R$10:$AF$63,5,0),0)</f>
        <v>0</v>
      </c>
      <c r="L22" s="87">
        <f>IFERROR(VLOOKUP(B22,'[2]COMPRAS UC'!$R$11:$AF$66,6,0),0)</f>
        <v>1</v>
      </c>
      <c r="M22" s="23">
        <f>IFERROR(VLOOKUP(B22,'[2]COMPRAS YUC'!$R$10:$AF$63,6,0),0)</f>
        <v>0</v>
      </c>
      <c r="N22" s="87">
        <f>IFERROR(VLOOKUP(B22,'[2]COMPRAS UC'!$R$11:$AF$66,7,0),0)</f>
        <v>0</v>
      </c>
      <c r="O22" s="23">
        <f>IFERROR(VLOOKUP(B22,'[2]COMPRAS YUC'!$R$10:$AF$63,7,0),0)</f>
        <v>0</v>
      </c>
      <c r="P22" s="87">
        <f>IFERROR(VLOOKUP(B22,'[2]COMPRAS UC'!$R$11:$AF$66,8,0),0)</f>
        <v>0</v>
      </c>
      <c r="Q22" s="23">
        <f>IFERROR(VLOOKUP(B22,'[2]COMPRAS YUC'!$R$10:$AF$63,8,0),0)</f>
        <v>0</v>
      </c>
      <c r="R22" s="87">
        <f>IFERROR(VLOOKUP(D22,'[2]COMPRAS UC'!$R$11:$AF$66,9,0),0)</f>
        <v>0</v>
      </c>
      <c r="S22" s="23">
        <f>IFERROR(VLOOKUP(D22,'[2]COMPRAS YUC'!$R$10:$AF$63,9,0),0)</f>
        <v>0</v>
      </c>
      <c r="T22" s="87">
        <f>IFERROR(VLOOKUP(F22,'[2]COMPRAS UC'!$R$11:$AF$66,10,0),0)</f>
        <v>0</v>
      </c>
      <c r="U22" s="23">
        <f>IFERROR(VLOOKUP(F22,'[2]COMPRAS YUC'!$R$10:$AF$63,10,0),0)</f>
        <v>0</v>
      </c>
      <c r="V22" s="87">
        <f>IFERROR(VLOOKUP(H22,'[2]COMPRAS UC'!$R$11:$AF$66,11,0),0)</f>
        <v>0</v>
      </c>
      <c r="W22" s="23">
        <f>IFERROR(VLOOKUP(H22,'[2]COMPRAS YUC'!$R$10:$AF$63,11,0),0)</f>
        <v>0</v>
      </c>
      <c r="X22" s="87">
        <f>IFERROR(VLOOKUP(J22,'[2]COMPRAS UC'!$R$11:$AF$66,12,0),0)</f>
        <v>0</v>
      </c>
      <c r="Y22" s="23">
        <f>IFERROR(VLOOKUP(J22,'[2]COMPRAS YUC'!$R$10:$AF$63,12,0),0)</f>
        <v>0</v>
      </c>
      <c r="Z22" s="87">
        <f>IFERROR(VLOOKUP(L22,'[2]COMPRAS UC'!$R$11:$AF$66,13,0),0)</f>
        <v>0</v>
      </c>
      <c r="AA22" s="23">
        <f>IFERROR(VLOOKUP(L22,'[2]COMPRAS YUC'!$R$10:$AF$63,13,0),0)</f>
        <v>0</v>
      </c>
      <c r="AB22" s="87">
        <f>IFERROR(VLOOKUP(N22,'[2]COMPRAS UC'!$R$11:$AF$66,14,0),0)</f>
        <v>0</v>
      </c>
      <c r="AC22" s="23">
        <f>IFERROR(VLOOKUP(N22,'[2]COMPRAS YUC'!$R$10:$AF$63,14,0),0)</f>
        <v>0</v>
      </c>
      <c r="AD22" s="268"/>
      <c r="AE22" s="79">
        <f t="shared" si="7"/>
        <v>1</v>
      </c>
      <c r="AF22" s="96">
        <f t="shared" si="8"/>
        <v>0</v>
      </c>
      <c r="AG22" s="228">
        <f t="shared" si="1"/>
        <v>1</v>
      </c>
      <c r="AH22" s="79">
        <f>IFERROR(SUM(F22+H22+J22+L22+N22+P22+R22+T22+V22+X22+Z22+AB22),0)</f>
        <v>1</v>
      </c>
      <c r="AI22" s="96">
        <f>IFERROR(SUM(G22,I22,K22,M22,O22,Q22,S22,U22,W22,Y22,AA22,AC22),0)</f>
        <v>0</v>
      </c>
      <c r="AJ22" s="228">
        <f>AH22+AI22</f>
        <v>1</v>
      </c>
      <c r="AK22" s="86">
        <f>IF($AK$5="Q1",F22+H22+J22,
IF($AK$5="Q2",L22+N22++P22,
IF($AK$5="Q3",R22+T22+V22,
IF($AK$5="Q4",X22+Z22+AB22,0))))</f>
        <v>0</v>
      </c>
      <c r="AL22" s="96">
        <f>IF($AK$5="Q1",G22+I22+K22,
IF($AK$5="Q2",M22+O22++Q22,
IF($AK$5="Q3",S22+U22+W22,
IF($AK$5="Q4",Y22+AA22+AC22,0))))</f>
        <v>0</v>
      </c>
      <c r="AM22" s="233">
        <f>AK22+AL22</f>
        <v>0</v>
      </c>
      <c r="AN22" s="79">
        <f>IFERROR(IF($AN$5="S 1",F22+H22+J22+L22+N22+P22,
IF($AN$5="S 2",R22+T22+V22+X22+Z22+AB22,0)),0)</f>
        <v>1</v>
      </c>
      <c r="AO22" s="96">
        <f>IFERROR(IF($AN$5="S 1",G22+I22+K22+M22+O22+Q22,
IF($AN$5="S 2",S22+U22+W22+Y22+AA22+AC22,0)),0)</f>
        <v>0</v>
      </c>
      <c r="AP22" s="228">
        <f>AN22+AO22</f>
        <v>1</v>
      </c>
      <c r="AQ22" s="53">
        <v>1</v>
      </c>
      <c r="AV22" s="53">
        <v>15</v>
      </c>
      <c r="AZ22" s="53">
        <f>SUM(L22:Q22)</f>
        <v>1</v>
      </c>
    </row>
    <row r="23" spans="1:52" s="53" customFormat="1" ht="16" customHeight="1" thickBot="1" x14ac:dyDescent="0.35">
      <c r="A23" s="53">
        <f>_xlfn.XLOOKUP(B23,'UC MINI 2026 MINI NEXT'!$B$7:$B$63,'UC MINI 2026 MINI NEXT'!$A$7:$A$63)</f>
        <v>0</v>
      </c>
      <c r="B23" s="180" t="s">
        <v>273</v>
      </c>
      <c r="C23" s="62"/>
      <c r="D23" s="80"/>
      <c r="E23" s="265"/>
      <c r="F23" s="259">
        <f t="shared" ref="F23:AC23" si="19">SUM(F18:F22)</f>
        <v>0</v>
      </c>
      <c r="G23" s="264">
        <f t="shared" si="19"/>
        <v>0</v>
      </c>
      <c r="H23" s="259">
        <f t="shared" si="19"/>
        <v>3</v>
      </c>
      <c r="I23" s="264">
        <f t="shared" si="19"/>
        <v>0</v>
      </c>
      <c r="J23" s="259">
        <f t="shared" si="19"/>
        <v>0</v>
      </c>
      <c r="K23" s="264">
        <f t="shared" si="19"/>
        <v>3</v>
      </c>
      <c r="L23" s="259">
        <f t="shared" si="19"/>
        <v>1</v>
      </c>
      <c r="M23" s="264">
        <f t="shared" si="19"/>
        <v>0</v>
      </c>
      <c r="N23" s="259">
        <f t="shared" si="19"/>
        <v>0</v>
      </c>
      <c r="O23" s="264">
        <f t="shared" si="19"/>
        <v>0</v>
      </c>
      <c r="P23" s="259">
        <f t="shared" si="19"/>
        <v>2</v>
      </c>
      <c r="Q23" s="264">
        <f t="shared" si="19"/>
        <v>0</v>
      </c>
      <c r="R23" s="259">
        <f t="shared" si="19"/>
        <v>0</v>
      </c>
      <c r="S23" s="264">
        <f t="shared" si="19"/>
        <v>0</v>
      </c>
      <c r="T23" s="259">
        <f t="shared" si="19"/>
        <v>0</v>
      </c>
      <c r="U23" s="264">
        <f t="shared" si="19"/>
        <v>0</v>
      </c>
      <c r="V23" s="259">
        <f t="shared" si="19"/>
        <v>0</v>
      </c>
      <c r="W23" s="264">
        <f t="shared" si="19"/>
        <v>0</v>
      </c>
      <c r="X23" s="259">
        <f t="shared" si="19"/>
        <v>0</v>
      </c>
      <c r="Y23" s="264">
        <f t="shared" si="19"/>
        <v>0</v>
      </c>
      <c r="Z23" s="259">
        <f t="shared" si="19"/>
        <v>0</v>
      </c>
      <c r="AA23" s="264">
        <f t="shared" si="19"/>
        <v>0</v>
      </c>
      <c r="AB23" s="259">
        <f t="shared" si="19"/>
        <v>0</v>
      </c>
      <c r="AC23" s="264">
        <f t="shared" si="19"/>
        <v>0</v>
      </c>
      <c r="AD23" s="271"/>
      <c r="AE23" s="94">
        <f t="shared" si="7"/>
        <v>6</v>
      </c>
      <c r="AF23" s="256">
        <f t="shared" si="8"/>
        <v>3</v>
      </c>
      <c r="AG23" s="432">
        <f t="shared" si="1"/>
        <v>9</v>
      </c>
      <c r="AH23" s="94">
        <f t="shared" si="9"/>
        <v>6</v>
      </c>
      <c r="AI23" s="256">
        <f t="shared" si="10"/>
        <v>3</v>
      </c>
      <c r="AJ23" s="432">
        <f>SUM(AJ18:AM22)</f>
        <v>9</v>
      </c>
      <c r="AK23" s="65">
        <f>SUM(AK12:AK22)</f>
        <v>0</v>
      </c>
      <c r="AL23" s="99">
        <f>SUM(AL12:AL22)</f>
        <v>0</v>
      </c>
      <c r="AM23" s="236">
        <f>SUM(AM12:AM22)</f>
        <v>0</v>
      </c>
      <c r="AN23" s="94">
        <f t="shared" si="14"/>
        <v>6</v>
      </c>
      <c r="AO23" s="256">
        <f t="shared" si="14"/>
        <v>3</v>
      </c>
      <c r="AP23" s="432">
        <f>SUM(AP18:AP22)</f>
        <v>9</v>
      </c>
      <c r="AQ23" s="53">
        <v>0</v>
      </c>
      <c r="AV23" s="53">
        <v>11</v>
      </c>
    </row>
    <row r="24" spans="1:52" s="53" customFormat="1" ht="16" customHeight="1" x14ac:dyDescent="0.3">
      <c r="A24" s="53">
        <f>_xlfn.XLOOKUP(B24,'UC MINI 2026 MINI NEXT'!$B$7:$B$63,'UC MINI 2026 MINI NEXT'!$A$7:$A$63)</f>
        <v>4</v>
      </c>
      <c r="B24" s="179">
        <v>100120</v>
      </c>
      <c r="C24" s="381" t="s">
        <v>44</v>
      </c>
      <c r="D24" s="51">
        <v>1211</v>
      </c>
      <c r="E24" s="309" t="s">
        <v>80</v>
      </c>
      <c r="F24" s="199">
        <f>IFERROR(VLOOKUP(B24,'[2]COMPRAS UC'!$R$11:$AF$66,3,0),0)</f>
        <v>0</v>
      </c>
      <c r="G24" s="23">
        <f>IFERROR(VLOOKUP(B24,'[2]COMPRAS YUC'!$R$10:$AF$63,3,0),0)</f>
        <v>0</v>
      </c>
      <c r="H24" s="87">
        <f>IFERROR(VLOOKUP(B24,'[2]COMPRAS UC'!$R$11:$AF$66,4,0),0)</f>
        <v>0</v>
      </c>
      <c r="I24" s="23">
        <f>IFERROR(VLOOKUP(B24,'[2]COMPRAS YUC'!$R$10:$AF$63,4,0),0)</f>
        <v>0</v>
      </c>
      <c r="J24" s="87">
        <f>IFERROR(VLOOKUP(B24,'[2]COMPRAS UC'!$R$11:$AF$66,5,0),0)</f>
        <v>0</v>
      </c>
      <c r="K24" s="23">
        <f>IFERROR(VLOOKUP(B24,'[2]COMPRAS YUC'!$R$10:$AF$63,5,0),0)</f>
        <v>0</v>
      </c>
      <c r="L24" s="87">
        <f>IFERROR(VLOOKUP(B24,'[2]COMPRAS UC'!$R$11:$AF$66,6,0),0)</f>
        <v>0</v>
      </c>
      <c r="M24" s="23">
        <f>IFERROR(VLOOKUP(B24,'[2]COMPRAS YUC'!$R$10:$AF$63,6,0),0)</f>
        <v>0</v>
      </c>
      <c r="N24" s="87">
        <f>IFERROR(VLOOKUP(B24,'[2]COMPRAS UC'!$R$11:$AF$66,7,0),0)</f>
        <v>0</v>
      </c>
      <c r="O24" s="23">
        <f>IFERROR(VLOOKUP(B24,'[2]COMPRAS YUC'!$R$10:$AF$63,7,0),0)</f>
        <v>0</v>
      </c>
      <c r="P24" s="87">
        <f>IFERROR(VLOOKUP(B24,'[2]COMPRAS UC'!$R$11:$AF$66,8,0),0)</f>
        <v>0</v>
      </c>
      <c r="Q24" s="23">
        <f>IFERROR(VLOOKUP(B24,'[2]COMPRAS YUC'!$R$10:$AF$63,8,0),0)</f>
        <v>0</v>
      </c>
      <c r="R24" s="87">
        <f>IFERROR(VLOOKUP(D24,'[2]COMPRAS UC'!$R$11:$AF$66,9,0),0)</f>
        <v>0</v>
      </c>
      <c r="S24" s="23">
        <f>IFERROR(VLOOKUP(D24,'[2]COMPRAS YUC'!$R$10:$AF$63,9,0),0)</f>
        <v>0</v>
      </c>
      <c r="T24" s="87">
        <f>IFERROR(VLOOKUP(F24,'[2]COMPRAS UC'!$R$11:$AF$66,10,0),0)</f>
        <v>0</v>
      </c>
      <c r="U24" s="23">
        <f>IFERROR(VLOOKUP(F24,'[2]COMPRAS YUC'!$R$10:$AF$63,10,0),0)</f>
        <v>0</v>
      </c>
      <c r="V24" s="87">
        <f>IFERROR(VLOOKUP(H24,'[2]COMPRAS UC'!$R$11:$AF$66,11,0),0)</f>
        <v>0</v>
      </c>
      <c r="W24" s="23">
        <f>IFERROR(VLOOKUP(H24,'[2]COMPRAS YUC'!$R$10:$AF$63,11,0),0)</f>
        <v>0</v>
      </c>
      <c r="X24" s="87">
        <f>IFERROR(VLOOKUP(J24,'[2]COMPRAS UC'!$R$11:$AF$66,12,0),0)</f>
        <v>0</v>
      </c>
      <c r="Y24" s="23">
        <f>IFERROR(VLOOKUP(J24,'[2]COMPRAS YUC'!$R$10:$AF$63,12,0),0)</f>
        <v>0</v>
      </c>
      <c r="Z24" s="87">
        <f>IFERROR(VLOOKUP(L24,'[2]COMPRAS UC'!$R$11:$AF$66,13,0),0)</f>
        <v>0</v>
      </c>
      <c r="AA24" s="23">
        <f>IFERROR(VLOOKUP(L24,'[2]COMPRAS YUC'!$R$10:$AF$63,13,0),0)</f>
        <v>0</v>
      </c>
      <c r="AB24" s="87">
        <f>IFERROR(VLOOKUP(N24,'[2]COMPRAS UC'!$R$11:$AF$66,14,0),0)</f>
        <v>0</v>
      </c>
      <c r="AC24" s="23">
        <f>IFERROR(VLOOKUP(N24,'[2]COMPRAS YUC'!$R$10:$AF$63,14,0),0)</f>
        <v>0</v>
      </c>
      <c r="AD24" s="270"/>
      <c r="AE24" s="79">
        <f t="shared" si="7"/>
        <v>0</v>
      </c>
      <c r="AF24" s="96">
        <f t="shared" si="8"/>
        <v>0</v>
      </c>
      <c r="AG24" s="228">
        <f t="shared" ref="AG24:AG29" si="20">IFERROR(AE24+AF24,0)</f>
        <v>0</v>
      </c>
      <c r="AH24" s="79">
        <f t="shared" ref="AH24:AH29" si="21">IFERROR(SUM(F24+H24+J24+L24+N24+P24+R24+T24+V24+X24+Z24+AB24),0)</f>
        <v>0</v>
      </c>
      <c r="AI24" s="96">
        <f t="shared" ref="AI24:AI29" si="22">IFERROR(SUM(G24,I24,K24,M24,O24,Q24,S24,U24,W24,Y24,AA24,AC24),0)</f>
        <v>0</v>
      </c>
      <c r="AJ24" s="228">
        <f t="shared" ref="AJ24:AJ29" si="23">AH24+AI24</f>
        <v>0</v>
      </c>
      <c r="AK24" s="86">
        <f>IF($AK$5="Q1",F24+H24+J24,
IF($AK$5="Q2",L24+N24++P24,
IF($AK$5="Q3",R24+T24+V24,
IF($AK$5="Q4",X24+Z24+AB24,0))))</f>
        <v>0</v>
      </c>
      <c r="AL24" s="96">
        <f>IF($AK$5="Q1",G24+I24+K24,
IF($AK$5="Q2",M24+O24++Q24,
IF($AK$5="Q3",S24+U24+W24,
IF($AK$5="Q4",Y24+AA24+AC24,0))))</f>
        <v>0</v>
      </c>
      <c r="AM24" s="233">
        <f t="shared" ref="AM24:AM29" si="24">AK24+AL24</f>
        <v>0</v>
      </c>
      <c r="AN24" s="79">
        <f t="shared" si="14"/>
        <v>0</v>
      </c>
      <c r="AO24" s="96">
        <f t="shared" si="14"/>
        <v>0</v>
      </c>
      <c r="AP24" s="228">
        <f t="shared" ref="AP24:AP29" si="25">AN24+AO24</f>
        <v>0</v>
      </c>
      <c r="AQ24" s="53">
        <v>1</v>
      </c>
      <c r="AV24" s="53">
        <v>11</v>
      </c>
    </row>
    <row r="25" spans="1:52" s="53" customFormat="1" ht="16" customHeight="1" x14ac:dyDescent="0.3">
      <c r="A25" s="53">
        <f>_xlfn.XLOOKUP(B25,'UC MINI 2026 MINI NEXT'!$B$7:$B$63,'UC MINI 2026 MINI NEXT'!$A$7:$A$63)</f>
        <v>4</v>
      </c>
      <c r="B25" s="179">
        <v>100146</v>
      </c>
      <c r="C25" s="381" t="s">
        <v>18</v>
      </c>
      <c r="D25" s="51">
        <v>9785</v>
      </c>
      <c r="E25" s="309" t="s">
        <v>81</v>
      </c>
      <c r="F25" s="199">
        <f>IFERROR(VLOOKUP(B25,'[2]COMPRAS UC'!$R$11:$AF$66,3,0),0)</f>
        <v>0</v>
      </c>
      <c r="G25" s="23">
        <f>IFERROR(VLOOKUP(B25,'[2]COMPRAS YUC'!$R$10:$AF$63,3,0),0)</f>
        <v>0</v>
      </c>
      <c r="H25" s="87">
        <f>IFERROR(VLOOKUP(B25,'[2]COMPRAS UC'!$R$11:$AF$66,4,0),0)</f>
        <v>0</v>
      </c>
      <c r="I25" s="23">
        <f>IFERROR(VLOOKUP(B25,'[2]COMPRAS YUC'!$R$10:$AF$63,4,0),0)</f>
        <v>0</v>
      </c>
      <c r="J25" s="87">
        <f>IFERROR(VLOOKUP(B25,'[2]COMPRAS UC'!$R$11:$AF$66,5,0),0)</f>
        <v>0</v>
      </c>
      <c r="K25" s="23">
        <f>IFERROR(VLOOKUP(B25,'[2]COMPRAS YUC'!$R$10:$AF$63,5,0),0)</f>
        <v>0</v>
      </c>
      <c r="L25" s="87">
        <f>IFERROR(VLOOKUP(B25,'[2]COMPRAS UC'!$R$11:$AF$66,6,0),0)</f>
        <v>0</v>
      </c>
      <c r="M25" s="23">
        <f>IFERROR(VLOOKUP(B25,'[2]COMPRAS YUC'!$R$10:$AF$63,6,0),0)</f>
        <v>0</v>
      </c>
      <c r="N25" s="87">
        <f>IFERROR(VLOOKUP(B25,'[2]COMPRAS UC'!$R$11:$AF$66,7,0),0)</f>
        <v>0</v>
      </c>
      <c r="O25" s="23">
        <f>IFERROR(VLOOKUP(B25,'[2]COMPRAS YUC'!$R$10:$AF$63,7,0),0)</f>
        <v>0</v>
      </c>
      <c r="P25" s="87">
        <f>IFERROR(VLOOKUP(B25,'[2]COMPRAS UC'!$R$11:$AF$66,8,0),0)</f>
        <v>0</v>
      </c>
      <c r="Q25" s="23">
        <f>IFERROR(VLOOKUP(B25,'[2]COMPRAS YUC'!$R$10:$AF$63,8,0),0)</f>
        <v>0</v>
      </c>
      <c r="R25" s="87">
        <f>IFERROR(VLOOKUP(D25,'[2]COMPRAS UC'!$R$11:$AF$66,9,0),0)</f>
        <v>0</v>
      </c>
      <c r="S25" s="23">
        <f>IFERROR(VLOOKUP(D25,'[2]COMPRAS YUC'!$R$10:$AF$63,9,0),0)</f>
        <v>0</v>
      </c>
      <c r="T25" s="87">
        <f>IFERROR(VLOOKUP(F25,'[2]COMPRAS UC'!$R$11:$AF$66,10,0),0)</f>
        <v>0</v>
      </c>
      <c r="U25" s="23">
        <f>IFERROR(VLOOKUP(F25,'[2]COMPRAS YUC'!$R$10:$AF$63,10,0),0)</f>
        <v>0</v>
      </c>
      <c r="V25" s="87">
        <f>IFERROR(VLOOKUP(H25,'[2]COMPRAS UC'!$R$11:$AF$66,11,0),0)</f>
        <v>0</v>
      </c>
      <c r="W25" s="23">
        <f>IFERROR(VLOOKUP(H25,'[2]COMPRAS YUC'!$R$10:$AF$63,11,0),0)</f>
        <v>0</v>
      </c>
      <c r="X25" s="87">
        <f>IFERROR(VLOOKUP(J25,'[2]COMPRAS UC'!$R$11:$AF$66,12,0),0)</f>
        <v>0</v>
      </c>
      <c r="Y25" s="23">
        <f>IFERROR(VLOOKUP(J25,'[2]COMPRAS YUC'!$R$10:$AF$63,12,0),0)</f>
        <v>0</v>
      </c>
      <c r="Z25" s="87">
        <f>IFERROR(VLOOKUP(L25,'[2]COMPRAS UC'!$R$11:$AF$66,13,0),0)</f>
        <v>0</v>
      </c>
      <c r="AA25" s="23">
        <f>IFERROR(VLOOKUP(L25,'[2]COMPRAS YUC'!$R$10:$AF$63,13,0),0)</f>
        <v>0</v>
      </c>
      <c r="AB25" s="87">
        <f>IFERROR(VLOOKUP(N25,'[2]COMPRAS UC'!$R$11:$AF$66,14,0),0)</f>
        <v>0</v>
      </c>
      <c r="AC25" s="23">
        <f>IFERROR(VLOOKUP(N25,'[2]COMPRAS YUC'!$R$10:$AF$63,14,0),0)</f>
        <v>0</v>
      </c>
      <c r="AD25" s="268"/>
      <c r="AE25" s="79">
        <f t="shared" ref="AE25:AF29" si="26">IFERROR(IF($AD$4="ENERO",F25,IF($AD$4="FEBRERO",F25+H25,IF($AD$4="MARZO",F25+H25+J25,IF($AD$4="ABRIL",F25+H25+J25+L25,IF($AD$4="MAYO",F25+H25+J25+L25+N25,IF($AD$4="JUNIO",F25+H25+J25+L25+N25+P25,IF($AD$4="JULIO",F25+H25+J25+L25+N25+P25+R25,IF($AD$4="AGOSTO",F25+H25+J25+L25+N25+P25+R25+T25,IF($AD$4="SEPTIEMBRE",F25+H25+J25+L25+N25+P25+R25+T25+V25,IF($AD$4="OCTUBRE",F25+H25+J25+L25+N25+P25+R25+T25+V25+X25,IF($AD$4="NOVIEMBRE",F25+H25+J25+L25+N25+P25+R25+T25+V25+X25+Z25,IF($AD$4="DICIEMBRE",F25+H25+J25+L25+N25+P25+R25+T25+V25+X25+Z25+AB25,"")))))))))))),0)</f>
        <v>0</v>
      </c>
      <c r="AF25" s="96">
        <f t="shared" si="26"/>
        <v>0</v>
      </c>
      <c r="AG25" s="228">
        <f t="shared" si="20"/>
        <v>0</v>
      </c>
      <c r="AH25" s="79">
        <f t="shared" si="21"/>
        <v>0</v>
      </c>
      <c r="AI25" s="96">
        <f t="shared" si="22"/>
        <v>0</v>
      </c>
      <c r="AJ25" s="228">
        <f t="shared" si="23"/>
        <v>0</v>
      </c>
      <c r="AK25" s="86">
        <f t="shared" ref="AK25:AL29" si="27">IF($AK$5="Q1",F25+H25+J25,
IF($AK$5="Q2",L25+N25++P25,
IF($AK$5="Q3",R25+T25+V25,
IF($AK$5="Q4",X25+Z25+AB25,0))))</f>
        <v>0</v>
      </c>
      <c r="AL25" s="96">
        <f t="shared" si="27"/>
        <v>0</v>
      </c>
      <c r="AM25" s="233">
        <f t="shared" si="24"/>
        <v>0</v>
      </c>
      <c r="AN25" s="79">
        <f t="shared" ref="AN25:AO29" si="28">IFERROR(IF($AN$5="S 1",F25+H25+J25+L25+N25+P25,
IF($AN$5="S 2",R25+T25+V25+X25+Z25+AB25,0)),0)</f>
        <v>0</v>
      </c>
      <c r="AO25" s="96">
        <f t="shared" si="28"/>
        <v>0</v>
      </c>
      <c r="AP25" s="228">
        <f t="shared" si="25"/>
        <v>0</v>
      </c>
      <c r="AQ25" s="53">
        <v>1</v>
      </c>
      <c r="AV25" s="53">
        <v>10</v>
      </c>
      <c r="AZ25" s="53">
        <f>SUM(L25:Q25)</f>
        <v>0</v>
      </c>
    </row>
    <row r="26" spans="1:52" s="53" customFormat="1" ht="16" customHeight="1" x14ac:dyDescent="0.3">
      <c r="A26" s="53">
        <f>_xlfn.XLOOKUP(B26,'UC MINI 2026 MINI NEXT'!$B$7:$B$63,'UC MINI 2026 MINI NEXT'!$A$7:$A$63)</f>
        <v>4</v>
      </c>
      <c r="B26" s="179">
        <v>100155</v>
      </c>
      <c r="C26" s="381" t="s">
        <v>167</v>
      </c>
      <c r="D26" s="51">
        <v>1212</v>
      </c>
      <c r="E26" s="309" t="s">
        <v>82</v>
      </c>
      <c r="F26" s="199">
        <f>IFERROR(VLOOKUP(B26,'[2]COMPRAS UC'!$R$11:$AF$66,3,0),0)</f>
        <v>0</v>
      </c>
      <c r="G26" s="23">
        <f>IFERROR(VLOOKUP(B26,'[2]COMPRAS YUC'!$R$10:$AF$63,3,0),0)</f>
        <v>0</v>
      </c>
      <c r="H26" s="87">
        <f>IFERROR(VLOOKUP(B26,'[2]COMPRAS UC'!$R$11:$AF$66,4,0),0)</f>
        <v>0</v>
      </c>
      <c r="I26" s="23">
        <f>IFERROR(VLOOKUP(B26,'[2]COMPRAS YUC'!$R$10:$AF$63,4,0),0)</f>
        <v>0</v>
      </c>
      <c r="J26" s="87">
        <f>IFERROR(VLOOKUP(B26,'[2]COMPRAS UC'!$R$11:$AF$66,5,0),0)</f>
        <v>0</v>
      </c>
      <c r="K26" s="23">
        <f>IFERROR(VLOOKUP(B26,'[2]COMPRAS YUC'!$R$10:$AF$63,5,0),0)</f>
        <v>0</v>
      </c>
      <c r="L26" s="87">
        <f>IFERROR(VLOOKUP(B26,'[2]COMPRAS UC'!$R$11:$AF$66,6,0),0)</f>
        <v>0</v>
      </c>
      <c r="M26" s="23">
        <f>IFERROR(VLOOKUP(B26,'[2]COMPRAS YUC'!$R$10:$AF$63,6,0),0)</f>
        <v>0</v>
      </c>
      <c r="N26" s="87">
        <f>IFERROR(VLOOKUP(B26,'[2]COMPRAS UC'!$R$11:$AF$66,7,0),0)</f>
        <v>0</v>
      </c>
      <c r="O26" s="23">
        <f>IFERROR(VLOOKUP(B26,'[2]COMPRAS YUC'!$R$10:$AF$63,7,0),0)</f>
        <v>0</v>
      </c>
      <c r="P26" s="87">
        <f>IFERROR(VLOOKUP(B26,'[2]COMPRAS UC'!$R$11:$AF$66,8,0),0)</f>
        <v>0</v>
      </c>
      <c r="Q26" s="23">
        <f>IFERROR(VLOOKUP(B26,'[2]COMPRAS YUC'!$R$10:$AF$63,8,0),0)</f>
        <v>0</v>
      </c>
      <c r="R26" s="87">
        <f>IFERROR(VLOOKUP(D26,'[2]COMPRAS UC'!$R$11:$AF$66,9,0),0)</f>
        <v>0</v>
      </c>
      <c r="S26" s="23">
        <f>IFERROR(VLOOKUP(D26,'[2]COMPRAS YUC'!$R$10:$AF$63,9,0),0)</f>
        <v>0</v>
      </c>
      <c r="T26" s="87">
        <f>IFERROR(VLOOKUP(F26,'[2]COMPRAS UC'!$R$11:$AF$66,10,0),0)</f>
        <v>0</v>
      </c>
      <c r="U26" s="23">
        <f>IFERROR(VLOOKUP(F26,'[2]COMPRAS YUC'!$R$10:$AF$63,10,0),0)</f>
        <v>0</v>
      </c>
      <c r="V26" s="87">
        <f>IFERROR(VLOOKUP(H26,'[2]COMPRAS UC'!$R$11:$AF$66,11,0),0)</f>
        <v>0</v>
      </c>
      <c r="W26" s="23">
        <f>IFERROR(VLOOKUP(H26,'[2]COMPRAS YUC'!$R$10:$AF$63,11,0),0)</f>
        <v>0</v>
      </c>
      <c r="X26" s="87">
        <f>IFERROR(VLOOKUP(J26,'[2]COMPRAS UC'!$R$11:$AF$66,12,0),0)</f>
        <v>0</v>
      </c>
      <c r="Y26" s="23">
        <f>IFERROR(VLOOKUP(J26,'[2]COMPRAS YUC'!$R$10:$AF$63,12,0),0)</f>
        <v>0</v>
      </c>
      <c r="Z26" s="87">
        <f>IFERROR(VLOOKUP(L26,'[2]COMPRAS UC'!$R$11:$AF$66,13,0),0)</f>
        <v>0</v>
      </c>
      <c r="AA26" s="23">
        <f>IFERROR(VLOOKUP(L26,'[2]COMPRAS YUC'!$R$10:$AF$63,13,0),0)</f>
        <v>0</v>
      </c>
      <c r="AB26" s="87">
        <f>IFERROR(VLOOKUP(N26,'[2]COMPRAS UC'!$R$11:$AF$66,14,0),0)</f>
        <v>0</v>
      </c>
      <c r="AC26" s="23">
        <f>IFERROR(VLOOKUP(N26,'[2]COMPRAS YUC'!$R$10:$AF$63,14,0),0)</f>
        <v>0</v>
      </c>
      <c r="AD26" s="268"/>
      <c r="AE26" s="79">
        <f t="shared" si="26"/>
        <v>0</v>
      </c>
      <c r="AF26" s="96">
        <f t="shared" si="26"/>
        <v>0</v>
      </c>
      <c r="AG26" s="228">
        <f t="shared" si="20"/>
        <v>0</v>
      </c>
      <c r="AH26" s="79">
        <f t="shared" si="21"/>
        <v>0</v>
      </c>
      <c r="AI26" s="96">
        <f t="shared" si="22"/>
        <v>0</v>
      </c>
      <c r="AJ26" s="228">
        <f t="shared" si="23"/>
        <v>0</v>
      </c>
      <c r="AK26" s="86">
        <f t="shared" si="27"/>
        <v>0</v>
      </c>
      <c r="AL26" s="96">
        <f t="shared" si="27"/>
        <v>0</v>
      </c>
      <c r="AM26" s="233">
        <f t="shared" si="24"/>
        <v>0</v>
      </c>
      <c r="AN26" s="79">
        <f t="shared" si="28"/>
        <v>0</v>
      </c>
      <c r="AO26" s="96">
        <f t="shared" si="28"/>
        <v>0</v>
      </c>
      <c r="AP26" s="228">
        <f t="shared" si="25"/>
        <v>0</v>
      </c>
      <c r="AQ26" s="53">
        <v>1</v>
      </c>
      <c r="AV26" s="53">
        <v>10</v>
      </c>
      <c r="AZ26" s="53">
        <f>SUM(L26:Q26)</f>
        <v>0</v>
      </c>
    </row>
    <row r="27" spans="1:52" s="53" customFormat="1" ht="16" customHeight="1" x14ac:dyDescent="0.3">
      <c r="A27" s="53">
        <f>_xlfn.XLOOKUP(B27,'UC MINI 2026 MINI NEXT'!$B$7:$B$63,'UC MINI 2026 MINI NEXT'!$A$7:$A$63)</f>
        <v>4</v>
      </c>
      <c r="B27" s="179">
        <v>100304</v>
      </c>
      <c r="C27" s="381" t="s">
        <v>45</v>
      </c>
      <c r="D27" s="51">
        <v>9785</v>
      </c>
      <c r="E27" s="309" t="s">
        <v>81</v>
      </c>
      <c r="F27" s="199">
        <f>IFERROR(VLOOKUP(B27,'[2]COMPRAS UC'!$R$11:$AF$66,3,0),0)</f>
        <v>0</v>
      </c>
      <c r="G27" s="23">
        <f>IFERROR(VLOOKUP(B27,'[2]COMPRAS YUC'!$R$10:$AF$63,3,0),0)</f>
        <v>0</v>
      </c>
      <c r="H27" s="87">
        <f>IFERROR(VLOOKUP(B27,'[2]COMPRAS UC'!$R$11:$AF$66,4,0),0)</f>
        <v>1</v>
      </c>
      <c r="I27" s="23">
        <f>IFERROR(VLOOKUP(B27,'[2]COMPRAS YUC'!$R$10:$AF$63,4,0),0)</f>
        <v>0</v>
      </c>
      <c r="J27" s="87">
        <f>IFERROR(VLOOKUP(B27,'[2]COMPRAS UC'!$R$11:$AF$66,5,0),0)</f>
        <v>2</v>
      </c>
      <c r="K27" s="23">
        <f>IFERROR(VLOOKUP(B27,'[2]COMPRAS YUC'!$R$10:$AF$63,5,0),0)</f>
        <v>0</v>
      </c>
      <c r="L27" s="87">
        <f>IFERROR(VLOOKUP(B27,'[2]COMPRAS UC'!$R$11:$AF$66,6,0),0)</f>
        <v>2</v>
      </c>
      <c r="M27" s="23">
        <f>IFERROR(VLOOKUP(B27,'[2]COMPRAS YUC'!$R$10:$AF$63,6,0),0)</f>
        <v>0</v>
      </c>
      <c r="N27" s="87">
        <f>IFERROR(VLOOKUP(B27,'[2]COMPRAS UC'!$R$11:$AF$66,7,0),0)</f>
        <v>0</v>
      </c>
      <c r="O27" s="23">
        <f>IFERROR(VLOOKUP(B27,'[2]COMPRAS YUC'!$R$10:$AF$63,7,0),0)</f>
        <v>0</v>
      </c>
      <c r="P27" s="87">
        <f>IFERROR(VLOOKUP(B27,'[2]COMPRAS UC'!$R$11:$AF$66,8,0),0)</f>
        <v>0</v>
      </c>
      <c r="Q27" s="23">
        <f>IFERROR(VLOOKUP(B27,'[2]COMPRAS YUC'!$R$10:$AF$63,8,0),0)</f>
        <v>0</v>
      </c>
      <c r="R27" s="87">
        <f>IFERROR(VLOOKUP(D27,'[2]COMPRAS UC'!$R$11:$AF$66,9,0),0)</f>
        <v>0</v>
      </c>
      <c r="S27" s="23">
        <f>IFERROR(VLOOKUP(D27,'[2]COMPRAS YUC'!$R$10:$AF$63,9,0),0)</f>
        <v>0</v>
      </c>
      <c r="T27" s="87">
        <f>IFERROR(VLOOKUP(F27,'[2]COMPRAS UC'!$R$11:$AF$66,10,0),0)</f>
        <v>0</v>
      </c>
      <c r="U27" s="23">
        <f>IFERROR(VLOOKUP(F27,'[2]COMPRAS YUC'!$R$10:$AF$63,10,0),0)</f>
        <v>0</v>
      </c>
      <c r="V27" s="87">
        <f>IFERROR(VLOOKUP(H27,'[2]COMPRAS UC'!$R$11:$AF$66,11,0),0)</f>
        <v>0</v>
      </c>
      <c r="W27" s="23">
        <f>IFERROR(VLOOKUP(H27,'[2]COMPRAS YUC'!$R$10:$AF$63,11,0),0)</f>
        <v>0</v>
      </c>
      <c r="X27" s="87">
        <f>IFERROR(VLOOKUP(J27,'[2]COMPRAS UC'!$R$11:$AF$66,12,0),0)</f>
        <v>0</v>
      </c>
      <c r="Y27" s="23">
        <f>IFERROR(VLOOKUP(J27,'[2]COMPRAS YUC'!$R$10:$AF$63,12,0),0)</f>
        <v>0</v>
      </c>
      <c r="Z27" s="87">
        <f>IFERROR(VLOOKUP(L27,'[2]COMPRAS UC'!$R$11:$AF$66,13,0),0)</f>
        <v>0</v>
      </c>
      <c r="AA27" s="23">
        <f>IFERROR(VLOOKUP(L27,'[2]COMPRAS YUC'!$R$10:$AF$63,13,0),0)</f>
        <v>0</v>
      </c>
      <c r="AB27" s="87">
        <f>IFERROR(VLOOKUP(N27,'[2]COMPRAS UC'!$R$11:$AF$66,14,0),0)</f>
        <v>0</v>
      </c>
      <c r="AC27" s="23">
        <f>IFERROR(VLOOKUP(N27,'[2]COMPRAS YUC'!$R$10:$AF$63,14,0),0)</f>
        <v>0</v>
      </c>
      <c r="AD27" s="268"/>
      <c r="AE27" s="79">
        <f t="shared" si="26"/>
        <v>5</v>
      </c>
      <c r="AF27" s="96">
        <f t="shared" si="26"/>
        <v>0</v>
      </c>
      <c r="AG27" s="228">
        <f t="shared" si="20"/>
        <v>5</v>
      </c>
      <c r="AH27" s="79">
        <f t="shared" si="21"/>
        <v>5</v>
      </c>
      <c r="AI27" s="96">
        <f t="shared" si="22"/>
        <v>0</v>
      </c>
      <c r="AJ27" s="228">
        <f t="shared" si="23"/>
        <v>5</v>
      </c>
      <c r="AK27" s="86">
        <f t="shared" si="27"/>
        <v>0</v>
      </c>
      <c r="AL27" s="96">
        <f t="shared" si="27"/>
        <v>0</v>
      </c>
      <c r="AM27" s="233">
        <f t="shared" si="24"/>
        <v>0</v>
      </c>
      <c r="AN27" s="79">
        <f t="shared" si="28"/>
        <v>5</v>
      </c>
      <c r="AO27" s="96">
        <f t="shared" si="28"/>
        <v>0</v>
      </c>
      <c r="AP27" s="228">
        <f t="shared" si="25"/>
        <v>5</v>
      </c>
      <c r="AQ27" s="53">
        <v>1</v>
      </c>
      <c r="AV27" s="53">
        <v>8</v>
      </c>
      <c r="AZ27" s="53">
        <f>SUM(L27:Q27)</f>
        <v>2</v>
      </c>
    </row>
    <row r="28" spans="1:52" s="53" customFormat="1" ht="16" customHeight="1" x14ac:dyDescent="0.3">
      <c r="A28" s="53">
        <f>_xlfn.XLOOKUP(B28,'UC MINI 2026 MINI NEXT'!$B$7:$B$63,'UC MINI 2026 MINI NEXT'!$A$7:$A$63)</f>
        <v>4</v>
      </c>
      <c r="B28" s="179">
        <v>100346</v>
      </c>
      <c r="C28" s="381" t="s">
        <v>46</v>
      </c>
      <c r="D28" s="51">
        <v>9785</v>
      </c>
      <c r="E28" s="309" t="s">
        <v>81</v>
      </c>
      <c r="F28" s="199">
        <f>IFERROR(VLOOKUP(B28,'[2]COMPRAS UC'!$R$11:$AF$66,3,0),0)</f>
        <v>0</v>
      </c>
      <c r="G28" s="23">
        <f>IFERROR(VLOOKUP(B28,'[2]COMPRAS YUC'!$R$10:$AF$63,3,0),0)</f>
        <v>0</v>
      </c>
      <c r="H28" s="87">
        <f>IFERROR(VLOOKUP(B28,'[2]COMPRAS UC'!$R$11:$AF$66,4,0),0)</f>
        <v>0</v>
      </c>
      <c r="I28" s="23">
        <f>IFERROR(VLOOKUP(B28,'[2]COMPRAS YUC'!$R$10:$AF$63,4,0),0)</f>
        <v>0</v>
      </c>
      <c r="J28" s="87">
        <f>IFERROR(VLOOKUP(B28,'[2]COMPRAS UC'!$R$11:$AF$66,5,0),0)</f>
        <v>0</v>
      </c>
      <c r="K28" s="23">
        <f>IFERROR(VLOOKUP(B28,'[2]COMPRAS YUC'!$R$10:$AF$63,5,0),0)</f>
        <v>0</v>
      </c>
      <c r="L28" s="87">
        <f>IFERROR(VLOOKUP(B28,'[2]COMPRAS UC'!$R$11:$AF$66,6,0),0)</f>
        <v>0</v>
      </c>
      <c r="M28" s="23">
        <f>IFERROR(VLOOKUP(B28,'[2]COMPRAS YUC'!$R$10:$AF$63,6,0),0)</f>
        <v>0</v>
      </c>
      <c r="N28" s="87">
        <f>IFERROR(VLOOKUP(B28,'[2]COMPRAS UC'!$R$11:$AF$66,7,0),0)</f>
        <v>0</v>
      </c>
      <c r="O28" s="23">
        <f>IFERROR(VLOOKUP(B28,'[2]COMPRAS YUC'!$R$10:$AF$63,7,0),0)</f>
        <v>0</v>
      </c>
      <c r="P28" s="87">
        <f>IFERROR(VLOOKUP(B28,'[2]COMPRAS UC'!$R$11:$AF$66,8,0),0)</f>
        <v>0</v>
      </c>
      <c r="Q28" s="23">
        <f>IFERROR(VLOOKUP(B28,'[2]COMPRAS YUC'!$R$10:$AF$63,8,0),0)</f>
        <v>0</v>
      </c>
      <c r="R28" s="87">
        <f>IFERROR(VLOOKUP(D28,'[2]COMPRAS UC'!$R$11:$AF$66,9,0),0)</f>
        <v>0</v>
      </c>
      <c r="S28" s="23">
        <f>IFERROR(VLOOKUP(D28,'[2]COMPRAS YUC'!$R$10:$AF$63,9,0),0)</f>
        <v>0</v>
      </c>
      <c r="T28" s="87">
        <f>IFERROR(VLOOKUP(F28,'[2]COMPRAS UC'!$R$11:$AF$66,10,0),0)</f>
        <v>0</v>
      </c>
      <c r="U28" s="23">
        <f>IFERROR(VLOOKUP(F28,'[2]COMPRAS YUC'!$R$10:$AF$63,10,0),0)</f>
        <v>0</v>
      </c>
      <c r="V28" s="87">
        <f>IFERROR(VLOOKUP(H28,'[2]COMPRAS UC'!$R$11:$AF$66,11,0),0)</f>
        <v>0</v>
      </c>
      <c r="W28" s="23">
        <f>IFERROR(VLOOKUP(H28,'[2]COMPRAS YUC'!$R$10:$AF$63,11,0),0)</f>
        <v>0</v>
      </c>
      <c r="X28" s="87">
        <f>IFERROR(VLOOKUP(J28,'[2]COMPRAS UC'!$R$11:$AF$66,12,0),0)</f>
        <v>0</v>
      </c>
      <c r="Y28" s="23">
        <f>IFERROR(VLOOKUP(J28,'[2]COMPRAS YUC'!$R$10:$AF$63,12,0),0)</f>
        <v>0</v>
      </c>
      <c r="Z28" s="87">
        <f>IFERROR(VLOOKUP(L28,'[2]COMPRAS UC'!$R$11:$AF$66,13,0),0)</f>
        <v>0</v>
      </c>
      <c r="AA28" s="23">
        <f>IFERROR(VLOOKUP(L28,'[2]COMPRAS YUC'!$R$10:$AF$63,13,0),0)</f>
        <v>0</v>
      </c>
      <c r="AB28" s="87">
        <f>IFERROR(VLOOKUP(N28,'[2]COMPRAS UC'!$R$11:$AF$66,14,0),0)</f>
        <v>0</v>
      </c>
      <c r="AC28" s="23">
        <f>IFERROR(VLOOKUP(N28,'[2]COMPRAS YUC'!$R$10:$AF$63,14,0),0)</f>
        <v>0</v>
      </c>
      <c r="AD28" s="268"/>
      <c r="AE28" s="79">
        <f t="shared" si="26"/>
        <v>0</v>
      </c>
      <c r="AF28" s="96">
        <f t="shared" si="26"/>
        <v>0</v>
      </c>
      <c r="AG28" s="228">
        <f t="shared" si="20"/>
        <v>0</v>
      </c>
      <c r="AH28" s="79">
        <f t="shared" si="21"/>
        <v>0</v>
      </c>
      <c r="AI28" s="96">
        <f t="shared" si="22"/>
        <v>0</v>
      </c>
      <c r="AJ28" s="228">
        <f t="shared" si="23"/>
        <v>0</v>
      </c>
      <c r="AK28" s="86">
        <f t="shared" si="27"/>
        <v>0</v>
      </c>
      <c r="AL28" s="96">
        <f t="shared" si="27"/>
        <v>0</v>
      </c>
      <c r="AM28" s="233">
        <f t="shared" si="24"/>
        <v>0</v>
      </c>
      <c r="AN28" s="79">
        <f t="shared" si="28"/>
        <v>0</v>
      </c>
      <c r="AO28" s="96">
        <f t="shared" si="28"/>
        <v>0</v>
      </c>
      <c r="AP28" s="228">
        <f t="shared" si="25"/>
        <v>0</v>
      </c>
      <c r="AQ28" s="53">
        <v>1</v>
      </c>
      <c r="AV28" s="53">
        <v>8</v>
      </c>
      <c r="AZ28" s="53">
        <f>SUM(L28:Q28)</f>
        <v>0</v>
      </c>
    </row>
    <row r="29" spans="1:52" s="53" customFormat="1" ht="16" customHeight="1" thickBot="1" x14ac:dyDescent="0.35">
      <c r="A29" s="53">
        <f>_xlfn.XLOOKUP(B29,'UC MINI 2026 MINI NEXT'!$B$7:$B$63,'UC MINI 2026 MINI NEXT'!$A$7:$A$63)</f>
        <v>4</v>
      </c>
      <c r="B29" s="179">
        <v>100571</v>
      </c>
      <c r="C29" s="381" t="s">
        <v>48</v>
      </c>
      <c r="D29" s="51">
        <v>1212</v>
      </c>
      <c r="E29" s="309" t="s">
        <v>82</v>
      </c>
      <c r="F29" s="199">
        <f>IFERROR(VLOOKUP(B29,'[2]COMPRAS UC'!$R$11:$AF$66,3,0),0)</f>
        <v>0</v>
      </c>
      <c r="G29" s="23">
        <f>IFERROR(VLOOKUP(B29,'[2]COMPRAS YUC'!$R$10:$AF$63,3,0),0)</f>
        <v>0</v>
      </c>
      <c r="H29" s="87">
        <f>IFERROR(VLOOKUP(B29,'[2]COMPRAS UC'!$R$11:$AF$66,4,0),0)</f>
        <v>0</v>
      </c>
      <c r="I29" s="23">
        <f>IFERROR(VLOOKUP(B29,'[2]COMPRAS YUC'!$R$10:$AF$63,4,0),0)</f>
        <v>0</v>
      </c>
      <c r="J29" s="87">
        <f>IFERROR(VLOOKUP(B29,'[2]COMPRAS UC'!$R$11:$AF$66,5,0),0)</f>
        <v>0</v>
      </c>
      <c r="K29" s="23">
        <f>IFERROR(VLOOKUP(B29,'[2]COMPRAS YUC'!$R$10:$AF$63,5,0),0)</f>
        <v>0</v>
      </c>
      <c r="L29" s="87">
        <f>IFERROR(VLOOKUP(B29,'[2]COMPRAS UC'!$R$11:$AF$66,6,0),0)</f>
        <v>0</v>
      </c>
      <c r="M29" s="23">
        <f>IFERROR(VLOOKUP(B29,'[2]COMPRAS YUC'!$R$10:$AF$63,6,0),0)</f>
        <v>0</v>
      </c>
      <c r="N29" s="87">
        <f>IFERROR(VLOOKUP(B29,'[2]COMPRAS UC'!$R$11:$AF$66,7,0),0)</f>
        <v>0</v>
      </c>
      <c r="O29" s="23">
        <f>IFERROR(VLOOKUP(B29,'[2]COMPRAS YUC'!$R$10:$AF$63,7,0),0)</f>
        <v>0</v>
      </c>
      <c r="P29" s="87">
        <f>IFERROR(VLOOKUP(B29,'[2]COMPRAS UC'!$R$11:$AF$66,8,0),0)</f>
        <v>0</v>
      </c>
      <c r="Q29" s="23">
        <f>IFERROR(VLOOKUP(B29,'[2]COMPRAS YUC'!$R$10:$AF$63,8,0),0)</f>
        <v>0</v>
      </c>
      <c r="R29" s="87">
        <f>IFERROR(VLOOKUP(D29,'[2]COMPRAS UC'!$R$11:$AF$66,9,0),0)</f>
        <v>0</v>
      </c>
      <c r="S29" s="23">
        <f>IFERROR(VLOOKUP(D29,'[2]COMPRAS YUC'!$R$10:$AF$63,9,0),0)</f>
        <v>0</v>
      </c>
      <c r="T29" s="87">
        <f>IFERROR(VLOOKUP(F29,'[2]COMPRAS UC'!$R$11:$AF$66,10,0),0)</f>
        <v>0</v>
      </c>
      <c r="U29" s="23">
        <f>IFERROR(VLOOKUP(F29,'[2]COMPRAS YUC'!$R$10:$AF$63,10,0),0)</f>
        <v>0</v>
      </c>
      <c r="V29" s="87">
        <f>IFERROR(VLOOKUP(H29,'[2]COMPRAS UC'!$R$11:$AF$66,11,0),0)</f>
        <v>0</v>
      </c>
      <c r="W29" s="23">
        <f>IFERROR(VLOOKUP(H29,'[2]COMPRAS YUC'!$R$10:$AF$63,11,0),0)</f>
        <v>0</v>
      </c>
      <c r="X29" s="87">
        <f>IFERROR(VLOOKUP(J29,'[2]COMPRAS UC'!$R$11:$AF$66,12,0),0)</f>
        <v>0</v>
      </c>
      <c r="Y29" s="23">
        <f>IFERROR(VLOOKUP(J29,'[2]COMPRAS YUC'!$R$10:$AF$63,12,0),0)</f>
        <v>0</v>
      </c>
      <c r="Z29" s="87">
        <f>IFERROR(VLOOKUP(L29,'[2]COMPRAS UC'!$R$11:$AF$66,13,0),0)</f>
        <v>0</v>
      </c>
      <c r="AA29" s="23">
        <f>IFERROR(VLOOKUP(L29,'[2]COMPRAS YUC'!$R$10:$AF$63,13,0),0)</f>
        <v>0</v>
      </c>
      <c r="AB29" s="87">
        <f>IFERROR(VLOOKUP(N29,'[2]COMPRAS UC'!$R$11:$AF$66,14,0),0)</f>
        <v>0</v>
      </c>
      <c r="AC29" s="23">
        <f>IFERROR(VLOOKUP(N29,'[2]COMPRAS YUC'!$R$10:$AF$63,14,0),0)</f>
        <v>0</v>
      </c>
      <c r="AD29" s="268"/>
      <c r="AE29" s="79">
        <f t="shared" si="26"/>
        <v>0</v>
      </c>
      <c r="AF29" s="96">
        <f t="shared" si="26"/>
        <v>0</v>
      </c>
      <c r="AG29" s="228">
        <f t="shared" si="20"/>
        <v>0</v>
      </c>
      <c r="AH29" s="79">
        <f t="shared" si="21"/>
        <v>0</v>
      </c>
      <c r="AI29" s="96">
        <f t="shared" si="22"/>
        <v>0</v>
      </c>
      <c r="AJ29" s="228">
        <f t="shared" si="23"/>
        <v>0</v>
      </c>
      <c r="AK29" s="86">
        <f t="shared" si="27"/>
        <v>0</v>
      </c>
      <c r="AL29" s="96">
        <f t="shared" si="27"/>
        <v>0</v>
      </c>
      <c r="AM29" s="233">
        <f t="shared" si="24"/>
        <v>0</v>
      </c>
      <c r="AN29" s="79">
        <f t="shared" si="28"/>
        <v>0</v>
      </c>
      <c r="AO29" s="96">
        <f t="shared" si="28"/>
        <v>0</v>
      </c>
      <c r="AP29" s="228">
        <f t="shared" si="25"/>
        <v>0</v>
      </c>
      <c r="AQ29" s="53">
        <v>1</v>
      </c>
      <c r="AV29" s="53">
        <v>6</v>
      </c>
      <c r="AZ29" s="53">
        <f>SUM(L29:Q29)</f>
        <v>0</v>
      </c>
    </row>
    <row r="30" spans="1:52" s="53" customFormat="1" ht="16" customHeight="1" thickBot="1" x14ac:dyDescent="0.35">
      <c r="A30" s="53">
        <f>_xlfn.XLOOKUP(B30,'UC MINI 2026 MINI NEXT'!$B$7:$B$63,'UC MINI 2026 MINI NEXT'!$A$7:$A$63)</f>
        <v>0</v>
      </c>
      <c r="B30" s="180" t="s">
        <v>266</v>
      </c>
      <c r="C30" s="62"/>
      <c r="D30" s="80"/>
      <c r="E30" s="265"/>
      <c r="F30" s="259">
        <f t="shared" ref="F30:AC30" si="29">SUM(F25:F29)</f>
        <v>0</v>
      </c>
      <c r="G30" s="264">
        <f t="shared" si="29"/>
        <v>0</v>
      </c>
      <c r="H30" s="259">
        <f t="shared" si="29"/>
        <v>1</v>
      </c>
      <c r="I30" s="264">
        <f t="shared" si="29"/>
        <v>0</v>
      </c>
      <c r="J30" s="259">
        <f t="shared" si="29"/>
        <v>2</v>
      </c>
      <c r="K30" s="264">
        <f t="shared" si="29"/>
        <v>0</v>
      </c>
      <c r="L30" s="259">
        <f t="shared" si="29"/>
        <v>2</v>
      </c>
      <c r="M30" s="264">
        <f t="shared" si="29"/>
        <v>0</v>
      </c>
      <c r="N30" s="259">
        <f t="shared" si="29"/>
        <v>0</v>
      </c>
      <c r="O30" s="264">
        <f t="shared" si="29"/>
        <v>0</v>
      </c>
      <c r="P30" s="259">
        <f>SUM(P24:P29)</f>
        <v>0</v>
      </c>
      <c r="Q30" s="264">
        <f>SUM(Q24:Q29)</f>
        <v>0</v>
      </c>
      <c r="R30" s="259">
        <f t="shared" si="29"/>
        <v>0</v>
      </c>
      <c r="S30" s="264">
        <f t="shared" si="29"/>
        <v>0</v>
      </c>
      <c r="T30" s="259">
        <f t="shared" si="29"/>
        <v>0</v>
      </c>
      <c r="U30" s="264">
        <f t="shared" si="29"/>
        <v>0</v>
      </c>
      <c r="V30" s="259">
        <f t="shared" si="29"/>
        <v>0</v>
      </c>
      <c r="W30" s="264">
        <f t="shared" si="29"/>
        <v>0</v>
      </c>
      <c r="X30" s="259">
        <f t="shared" si="29"/>
        <v>0</v>
      </c>
      <c r="Y30" s="264">
        <f t="shared" si="29"/>
        <v>0</v>
      </c>
      <c r="Z30" s="259">
        <f t="shared" si="29"/>
        <v>0</v>
      </c>
      <c r="AA30" s="264">
        <f t="shared" si="29"/>
        <v>0</v>
      </c>
      <c r="AB30" s="259">
        <f t="shared" si="29"/>
        <v>0</v>
      </c>
      <c r="AC30" s="264">
        <f t="shared" si="29"/>
        <v>0</v>
      </c>
      <c r="AD30" s="271"/>
      <c r="AE30" s="94">
        <f>IFERROR(IF($AD$4="ENERO",F30,IF($AD$4="FEBRERO",F30+H30,IF($AD$4="MARZO",F30+H30+J30,IF($AD$4="ABRIL",F30+H30+J30+L30,IF($AD$4="MAYO",F30+H30+J30+L30+N30,IF($AD$4="JUNIO",F30+H30+J30+L30+N30+P30,IF($AD$4="JULIO",F30+H30+J30+L30+N30+P30+R30,IF($AD$4="AGOSTO",F30+H30+J30+L30+N30+P30+R30+T30,IF($AD$4="SEPTIEMBRE",F30+H30+J30+L30+N30+P30+R30+T30+V30,IF($AD$4="OCTUBRE",F30+H30+J30+L30+N30+P30+R30+T30+V30+X30,IF($AD$4="NOVIEMBRE",F30+H30+J30+L30+N30+P30+R30+T30+V30+X30+Z30,IF($AD$4="DICIEMBRE",F30+H30+J30+L30+N30+P30+R30+T30+V30+X30+Z30+AB30,"")))))))))))),0)</f>
        <v>5</v>
      </c>
      <c r="AF30" s="425">
        <f>IFERROR(IF($AD$4="ENERO",G30,IF($AD$4="FEBRERO",G30+I30,IF($AD$4="MARZO",G30+I30+K30,IF($AD$4="ABRIL",G30+I30+K30+M30,IF($AD$4="MAYO",G30+I30+K30+M30+O30,IF($AD$4="JUNIO",G30+I30+K30+M30+O30+Q30,IF($AD$4="JULIO",G30+I30+K30+M30+O30+Q30+S30,IF($AD$4="AGOSTO",G30+I30+K30+M30+O30+Q30+S30+U30,IF($AD$4="SEPTIEMBRE",G30+I30+K30+M30+O30+Q30+S30+U30+W30,IF($AD$4="OCTUBRE",G30+I30+K30+M30+O30+Q30+S30+U30+W30+Y30,IF($AD$4="NOVIEMBRE",G30+I30+K30+M30+O30+Q30+S30+U30+W30+Y30+AA30,IF($AD$4="DICIEMBRE",G30+I30+K30+M30+O30+Q30+S30+U30+W30+Y30+AA30+AC30,"")))))))))))),0)</f>
        <v>0</v>
      </c>
      <c r="AG30" s="432">
        <f t="shared" ref="AG30:AG37" si="30">IFERROR(AE30+AF30,0)</f>
        <v>5</v>
      </c>
      <c r="AH30" s="94">
        <f t="shared" ref="AH30:AH37" si="31">IFERROR(SUM(F30+H30+J30+L30+N30+P30+R30+T30+V30+X30+Z30+AB30),0)</f>
        <v>5</v>
      </c>
      <c r="AI30" s="256">
        <f t="shared" ref="AI30:AI37" si="32">IFERROR(SUM(G30,I30,K30,M30,O30,Q30,S30,U30,W30,Y30,AA30,AC30),0)</f>
        <v>0</v>
      </c>
      <c r="AJ30" s="432">
        <f>SUM(AJ25:AJ29)</f>
        <v>5</v>
      </c>
      <c r="AK30" s="65">
        <f>SUM(AK14:AK29)</f>
        <v>0</v>
      </c>
      <c r="AL30" s="99">
        <f>SUM(AL14:AL29)</f>
        <v>0</v>
      </c>
      <c r="AM30" s="236">
        <f>SUM(AM14:AM29)</f>
        <v>0</v>
      </c>
      <c r="AN30" s="94">
        <f>IFERROR(IF($AN$5="S 1",F30+H30+J30+L30+N30+P30,
IF($AN$5="S 2",R30+T30+V30+X30+Z30+AB30,0)),0)</f>
        <v>5</v>
      </c>
      <c r="AO30" s="425">
        <f>IFERROR(IF($AN$5="S 1",G30+I30+K30+M30+O30+Q30,
IF($AN$5="S 2",S30+U30+W30+Y30+AA30+AC30,0)),0)</f>
        <v>0</v>
      </c>
      <c r="AP30" s="432">
        <f>SUM(AP25:AP29)</f>
        <v>5</v>
      </c>
      <c r="AQ30" s="53">
        <v>0</v>
      </c>
      <c r="AV30" s="53">
        <v>5</v>
      </c>
    </row>
    <row r="31" spans="1:52" s="53" customFormat="1" ht="16" customHeight="1" x14ac:dyDescent="0.3">
      <c r="A31" s="53">
        <f>_xlfn.XLOOKUP(B31,'UC MINI 2026 MINI NEXT'!$B$7:$B$63,'UC MINI 2026 MINI NEXT'!$A$7:$A$63)</f>
        <v>5</v>
      </c>
      <c r="B31" s="179">
        <v>100015</v>
      </c>
      <c r="C31" s="381" t="s">
        <v>51</v>
      </c>
      <c r="D31" s="51">
        <v>22761</v>
      </c>
      <c r="E31" s="309" t="s">
        <v>79</v>
      </c>
      <c r="F31" s="199">
        <f>IFERROR(VLOOKUP(B31,'[2]COMPRAS UC'!$R$11:$AF$66,3,0),0)</f>
        <v>0</v>
      </c>
      <c r="G31" s="23">
        <f>IFERROR(VLOOKUP(B31,'[2]COMPRAS YUC'!$R$10:$AF$63,3,0),0)</f>
        <v>2</v>
      </c>
      <c r="H31" s="87">
        <f>IFERROR(VLOOKUP(B31,'[2]COMPRAS UC'!$R$11:$AF$66,4,0),0)</f>
        <v>0</v>
      </c>
      <c r="I31" s="23">
        <f>IFERROR(VLOOKUP(B31,'[2]COMPRAS YUC'!$R$10:$AF$63,4,0),0)</f>
        <v>0</v>
      </c>
      <c r="J31" s="87">
        <f>IFERROR(VLOOKUP(B31,'[2]COMPRAS UC'!$R$11:$AF$66,5,0),0)</f>
        <v>0</v>
      </c>
      <c r="K31" s="23">
        <f>IFERROR(VLOOKUP(B31,'[2]COMPRAS YUC'!$R$10:$AF$63,5,0),0)</f>
        <v>0</v>
      </c>
      <c r="L31" s="87">
        <f>IFERROR(VLOOKUP(B31,'[2]COMPRAS UC'!$R$11:$AF$66,6,0),0)</f>
        <v>0</v>
      </c>
      <c r="M31" s="23">
        <f>IFERROR(VLOOKUP(B31,'[2]COMPRAS YUC'!$R$10:$AF$63,6,0),0)</f>
        <v>0</v>
      </c>
      <c r="N31" s="87">
        <f>IFERROR(VLOOKUP(B31,'[2]COMPRAS UC'!$R$11:$AF$66,7,0),0)</f>
        <v>0</v>
      </c>
      <c r="O31" s="23">
        <f>IFERROR(VLOOKUP(B31,'[2]COMPRAS YUC'!$R$10:$AF$63,7,0),0)</f>
        <v>0</v>
      </c>
      <c r="P31" s="87">
        <f>IFERROR(VLOOKUP(B31,'[2]COMPRAS UC'!$R$11:$AF$66,8,0),0)</f>
        <v>0</v>
      </c>
      <c r="Q31" s="23">
        <f>IFERROR(VLOOKUP(B31,'[2]COMPRAS YUC'!$R$10:$AF$63,8,0),0)</f>
        <v>0</v>
      </c>
      <c r="R31" s="87">
        <f>IFERROR(VLOOKUP(D31,'[2]COMPRAS UC'!$R$11:$AF$66,9,0),0)</f>
        <v>0</v>
      </c>
      <c r="S31" s="23">
        <f>IFERROR(VLOOKUP(D31,'[2]COMPRAS YUC'!$R$10:$AF$63,9,0),0)</f>
        <v>0</v>
      </c>
      <c r="T31" s="87">
        <f>IFERROR(VLOOKUP(F31,'[2]COMPRAS UC'!$R$11:$AF$66,10,0),0)</f>
        <v>0</v>
      </c>
      <c r="U31" s="23">
        <f>IFERROR(VLOOKUP(F31,'[2]COMPRAS YUC'!$R$10:$AF$63,10,0),0)</f>
        <v>0</v>
      </c>
      <c r="V31" s="87">
        <f>IFERROR(VLOOKUP(H31,'[2]COMPRAS UC'!$R$11:$AF$66,11,0),0)</f>
        <v>0</v>
      </c>
      <c r="W31" s="23">
        <f>IFERROR(VLOOKUP(H31,'[2]COMPRAS YUC'!$R$10:$AF$63,11,0),0)</f>
        <v>0</v>
      </c>
      <c r="X31" s="87">
        <f>IFERROR(VLOOKUP(J31,'[2]COMPRAS UC'!$R$11:$AF$66,12,0),0)</f>
        <v>0</v>
      </c>
      <c r="Y31" s="23">
        <f>IFERROR(VLOOKUP(J31,'[2]COMPRAS YUC'!$R$10:$AF$63,12,0),0)</f>
        <v>0</v>
      </c>
      <c r="Z31" s="87">
        <f>IFERROR(VLOOKUP(L31,'[2]COMPRAS UC'!$R$11:$AF$66,13,0),0)</f>
        <v>0</v>
      </c>
      <c r="AA31" s="23">
        <f>IFERROR(VLOOKUP(L31,'[2]COMPRAS YUC'!$R$10:$AF$63,13,0),0)</f>
        <v>0</v>
      </c>
      <c r="AB31" s="87">
        <f>IFERROR(VLOOKUP(N31,'[2]COMPRAS UC'!$R$11:$AF$66,14,0),0)</f>
        <v>0</v>
      </c>
      <c r="AC31" s="23">
        <f>IFERROR(VLOOKUP(N31,'[2]COMPRAS YUC'!$R$10:$AF$63,14,0),0)</f>
        <v>0</v>
      </c>
      <c r="AD31" s="272"/>
      <c r="AE31" s="266">
        <f t="shared" ref="AE31:AF35" si="33">IFERROR(IF($AD$4="ENERO",F31,IF($AD$4="FEBRERO",F31+H31,IF($AD$4="MARZO",F31+H31+J31,IF($AD$4="ABRIL",F31+H31+J31+L31,IF($AD$4="MAYO",F31+H31+J31+L31+N31,IF($AD$4="JUNIO",F31+H31+J31+L31+N31+P31,IF($AD$4="JULIO",F31+H31+J31+L31+N31+P31+R31,IF($AD$4="AGOSTO",F31+H31+J31+L31+N31+P31+R31+T31,IF($AD$4="SEPTIEMBRE",F31+H31+J31+L31+N31+P31+R31+T31+V31,IF($AD$4="OCTUBRE",F31+H31+J31+L31+N31+P31+R31+T31+V31+X31,IF($AD$4="NOVIEMBRE",F31+H31+J31+L31+N31+P31+R31+T31+V31+X31+Z31,IF($AD$4="DICIEMBRE",F31+H31+J31+L31+N31+P31+R31+T31+V31+X31+Z31+AB31,"")))))))))))),0)</f>
        <v>0</v>
      </c>
      <c r="AF31" s="98">
        <f t="shared" si="33"/>
        <v>2</v>
      </c>
      <c r="AG31" s="231">
        <f t="shared" si="30"/>
        <v>2</v>
      </c>
      <c r="AH31" s="266">
        <f t="shared" si="31"/>
        <v>0</v>
      </c>
      <c r="AI31" s="98">
        <f t="shared" si="32"/>
        <v>2</v>
      </c>
      <c r="AJ31" s="231">
        <f>AH31+AI31</f>
        <v>2</v>
      </c>
      <c r="AK31" s="68">
        <f>IF($AK$5="Q1",F31+H31+J31,
IF($AK$5="Q2",L31+N31++P31,
IF($AK$5="Q3",R31+T31+V31,
IF($AK$5="Q4",X31+Z31+AB31,0))))</f>
        <v>0</v>
      </c>
      <c r="AL31" s="98">
        <f>IF($AK$5="Q1",G31+I31+K31,
IF($AK$5="Q2",M31+O31++Q31,
IF($AK$5="Q3",S31+U31+W31,
IF($AK$5="Q4",Y31+AA31+AC31,0))))</f>
        <v>0</v>
      </c>
      <c r="AM31" s="237">
        <f>AK31+AL31</f>
        <v>0</v>
      </c>
      <c r="AN31" s="266">
        <f t="shared" ref="AN31:AO35" si="34">IFERROR(IF($AN$5="S 1",F31+H31+J31+L31+N31+P31,
IF($AN$5="S 2",R31+T31+V31+X31+Z31+AB31,0)),0)</f>
        <v>0</v>
      </c>
      <c r="AO31" s="98">
        <f t="shared" si="34"/>
        <v>2</v>
      </c>
      <c r="AP31" s="231">
        <f>AN31+AO31</f>
        <v>2</v>
      </c>
      <c r="AQ31" s="53">
        <v>1</v>
      </c>
      <c r="AV31" s="53">
        <v>5</v>
      </c>
      <c r="AZ31" s="53">
        <f>SUM(L31:Q31)</f>
        <v>0</v>
      </c>
    </row>
    <row r="32" spans="1:52" s="53" customFormat="1" ht="16" customHeight="1" x14ac:dyDescent="0.3">
      <c r="A32" s="53">
        <f>_xlfn.XLOOKUP(B32,'UC MINI 2026 MINI NEXT'!$B$7:$B$63,'UC MINI 2026 MINI NEXT'!$A$7:$A$63)</f>
        <v>5</v>
      </c>
      <c r="B32" s="179">
        <v>100190</v>
      </c>
      <c r="C32" s="381" t="s">
        <v>52</v>
      </c>
      <c r="D32" s="51">
        <v>22761</v>
      </c>
      <c r="E32" s="309" t="s">
        <v>79</v>
      </c>
      <c r="F32" s="199">
        <f>IFERROR(VLOOKUP(B32,'[2]COMPRAS UC'!$R$11:$AF$66,3,0),0)</f>
        <v>0</v>
      </c>
      <c r="G32" s="23">
        <f>IFERROR(VLOOKUP(B32,'[2]COMPRAS YUC'!$R$10:$AF$63,3,0),0)</f>
        <v>2</v>
      </c>
      <c r="H32" s="87">
        <f>IFERROR(VLOOKUP(B32,'[2]COMPRAS UC'!$R$11:$AF$66,4,0),0)</f>
        <v>3</v>
      </c>
      <c r="I32" s="23">
        <f>IFERROR(VLOOKUP(B32,'[2]COMPRAS YUC'!$R$10:$AF$63,4,0),0)</f>
        <v>3</v>
      </c>
      <c r="J32" s="87">
        <f>IFERROR(VLOOKUP(B32,'[2]COMPRAS UC'!$R$11:$AF$66,5,0),0)</f>
        <v>0</v>
      </c>
      <c r="K32" s="23">
        <f>IFERROR(VLOOKUP(B32,'[2]COMPRAS YUC'!$R$10:$AF$63,5,0),0)</f>
        <v>0</v>
      </c>
      <c r="L32" s="87">
        <f>IFERROR(VLOOKUP(B32,'[2]COMPRAS UC'!$R$11:$AF$66,6,0),0)</f>
        <v>0</v>
      </c>
      <c r="M32" s="23">
        <f>IFERROR(VLOOKUP(B32,'[2]COMPRAS YUC'!$R$10:$AF$63,6,0),0)</f>
        <v>0</v>
      </c>
      <c r="N32" s="87">
        <f>IFERROR(VLOOKUP(B32,'[2]COMPRAS UC'!$R$11:$AF$66,7,0),0)</f>
        <v>0</v>
      </c>
      <c r="O32" s="23">
        <f>IFERROR(VLOOKUP(B32,'[2]COMPRAS YUC'!$R$10:$AF$63,7,0),0)</f>
        <v>0</v>
      </c>
      <c r="P32" s="87">
        <f>IFERROR(VLOOKUP(B32,'[2]COMPRAS UC'!$R$11:$AF$66,8,0),0)</f>
        <v>0</v>
      </c>
      <c r="Q32" s="23">
        <f>IFERROR(VLOOKUP(B32,'[2]COMPRAS YUC'!$R$10:$AF$63,8,0),0)</f>
        <v>0</v>
      </c>
      <c r="R32" s="87">
        <f>IFERROR(VLOOKUP(D32,'[2]COMPRAS UC'!$R$11:$AF$66,9,0),0)</f>
        <v>0</v>
      </c>
      <c r="S32" s="23">
        <f>IFERROR(VLOOKUP(D32,'[2]COMPRAS YUC'!$R$10:$AF$63,9,0),0)</f>
        <v>0</v>
      </c>
      <c r="T32" s="87">
        <f>IFERROR(VLOOKUP(F32,'[2]COMPRAS UC'!$R$11:$AF$66,10,0),0)</f>
        <v>0</v>
      </c>
      <c r="U32" s="23">
        <f>IFERROR(VLOOKUP(F32,'[2]COMPRAS YUC'!$R$10:$AF$63,10,0),0)</f>
        <v>0</v>
      </c>
      <c r="V32" s="87">
        <f>IFERROR(VLOOKUP(H32,'[2]COMPRAS UC'!$R$11:$AF$66,11,0),0)</f>
        <v>0</v>
      </c>
      <c r="W32" s="23">
        <f>IFERROR(VLOOKUP(H32,'[2]COMPRAS YUC'!$R$10:$AF$63,11,0),0)</f>
        <v>0</v>
      </c>
      <c r="X32" s="87">
        <f>IFERROR(VLOOKUP(J32,'[2]COMPRAS UC'!$R$11:$AF$66,12,0),0)</f>
        <v>0</v>
      </c>
      <c r="Y32" s="23">
        <f>IFERROR(VLOOKUP(J32,'[2]COMPRAS YUC'!$R$10:$AF$63,12,0),0)</f>
        <v>0</v>
      </c>
      <c r="Z32" s="87">
        <f>IFERROR(VLOOKUP(L32,'[2]COMPRAS UC'!$R$11:$AF$66,13,0),0)</f>
        <v>0</v>
      </c>
      <c r="AA32" s="23">
        <f>IFERROR(VLOOKUP(L32,'[2]COMPRAS YUC'!$R$10:$AF$63,13,0),0)</f>
        <v>0</v>
      </c>
      <c r="AB32" s="87">
        <f>IFERROR(VLOOKUP(N32,'[2]COMPRAS UC'!$R$11:$AF$66,14,0),0)</f>
        <v>0</v>
      </c>
      <c r="AC32" s="23">
        <f>IFERROR(VLOOKUP(N32,'[2]COMPRAS YUC'!$R$10:$AF$63,14,0),0)</f>
        <v>0</v>
      </c>
      <c r="AD32" s="268"/>
      <c r="AE32" s="79">
        <f t="shared" si="33"/>
        <v>3</v>
      </c>
      <c r="AF32" s="96">
        <f t="shared" si="33"/>
        <v>5</v>
      </c>
      <c r="AG32" s="228">
        <f t="shared" si="30"/>
        <v>8</v>
      </c>
      <c r="AH32" s="79">
        <f t="shared" si="31"/>
        <v>3</v>
      </c>
      <c r="AI32" s="96">
        <f t="shared" si="32"/>
        <v>5</v>
      </c>
      <c r="AJ32" s="228">
        <f>AH32+AI32</f>
        <v>8</v>
      </c>
      <c r="AK32" s="86">
        <f t="shared" ref="AK32:AL35" si="35">IF($AK$5="Q1",F32+H32+J32,
IF($AK$5="Q2",L32+N32++P32,
IF($AK$5="Q3",R32+T32+V32,
IF($AK$5="Q4",X32+Z32+AB32,0))))</f>
        <v>0</v>
      </c>
      <c r="AL32" s="96">
        <f t="shared" si="35"/>
        <v>0</v>
      </c>
      <c r="AM32" s="233">
        <f>AK32+AL32</f>
        <v>0</v>
      </c>
      <c r="AN32" s="79">
        <f t="shared" si="34"/>
        <v>3</v>
      </c>
      <c r="AO32" s="96">
        <f t="shared" si="34"/>
        <v>5</v>
      </c>
      <c r="AP32" s="228">
        <f>AN32+AO32</f>
        <v>8</v>
      </c>
      <c r="AQ32" s="53">
        <v>1</v>
      </c>
      <c r="AV32" s="53">
        <v>5</v>
      </c>
      <c r="AZ32" s="53">
        <f>SUM(L32:Q32)</f>
        <v>0</v>
      </c>
    </row>
    <row r="33" spans="1:52" s="53" customFormat="1" ht="16" customHeight="1" x14ac:dyDescent="0.3">
      <c r="A33" s="53">
        <f>_xlfn.XLOOKUP(B33,'UC MINI 2026 MINI NEXT'!$B$7:$B$63,'UC MINI 2026 MINI NEXT'!$A$7:$A$63)</f>
        <v>5</v>
      </c>
      <c r="B33" s="179">
        <v>100379</v>
      </c>
      <c r="C33" s="381" t="s">
        <v>9</v>
      </c>
      <c r="D33" s="51">
        <v>22761</v>
      </c>
      <c r="E33" s="309" t="s">
        <v>79</v>
      </c>
      <c r="F33" s="199">
        <f>IFERROR(VLOOKUP(B33,'[2]COMPRAS UC'!$R$11:$AF$66,3,0),0)</f>
        <v>0</v>
      </c>
      <c r="G33" s="23">
        <f>IFERROR(VLOOKUP(B33,'[2]COMPRAS YUC'!$R$10:$AF$63,3,0),0)</f>
        <v>0</v>
      </c>
      <c r="H33" s="87">
        <f>IFERROR(VLOOKUP(B33,'[2]COMPRAS UC'!$R$11:$AF$66,4,0),0)</f>
        <v>1</v>
      </c>
      <c r="I33" s="23">
        <f>IFERROR(VLOOKUP(B33,'[2]COMPRAS YUC'!$R$10:$AF$63,4,0),0)</f>
        <v>0</v>
      </c>
      <c r="J33" s="87">
        <f>IFERROR(VLOOKUP(B33,'[2]COMPRAS UC'!$R$11:$AF$66,5,0),0)</f>
        <v>0</v>
      </c>
      <c r="K33" s="23">
        <f>IFERROR(VLOOKUP(B33,'[2]COMPRAS YUC'!$R$10:$AF$63,5,0),0)</f>
        <v>0</v>
      </c>
      <c r="L33" s="87">
        <f>IFERROR(VLOOKUP(B33,'[2]COMPRAS UC'!$R$11:$AF$66,6,0),0)</f>
        <v>2</v>
      </c>
      <c r="M33" s="23">
        <f>IFERROR(VLOOKUP(B33,'[2]COMPRAS YUC'!$R$10:$AF$63,6,0),0)</f>
        <v>2</v>
      </c>
      <c r="N33" s="87">
        <f>IFERROR(VLOOKUP(B33,'[2]COMPRAS UC'!$R$11:$AF$66,7,0),0)</f>
        <v>0</v>
      </c>
      <c r="O33" s="23">
        <f>IFERROR(VLOOKUP(B33,'[2]COMPRAS YUC'!$R$10:$AF$63,7,0),0)</f>
        <v>0</v>
      </c>
      <c r="P33" s="87">
        <f>IFERROR(VLOOKUP(B33,'[2]COMPRAS UC'!$R$11:$AF$66,8,0),0)</f>
        <v>0</v>
      </c>
      <c r="Q33" s="23">
        <f>IFERROR(VLOOKUP(B33,'[2]COMPRAS YUC'!$R$10:$AF$63,8,0),0)</f>
        <v>1</v>
      </c>
      <c r="R33" s="87">
        <f>IFERROR(VLOOKUP(D33,'[2]COMPRAS UC'!$R$11:$AF$66,9,0),0)</f>
        <v>0</v>
      </c>
      <c r="S33" s="23">
        <f>IFERROR(VLOOKUP(D33,'[2]COMPRAS YUC'!$R$10:$AF$63,9,0),0)</f>
        <v>0</v>
      </c>
      <c r="T33" s="87">
        <f>IFERROR(VLOOKUP(F33,'[2]COMPRAS UC'!$R$11:$AF$66,10,0),0)</f>
        <v>0</v>
      </c>
      <c r="U33" s="23">
        <f>IFERROR(VLOOKUP(F33,'[2]COMPRAS YUC'!$R$10:$AF$63,10,0),0)</f>
        <v>0</v>
      </c>
      <c r="V33" s="87">
        <f>IFERROR(VLOOKUP(H33,'[2]COMPRAS UC'!$R$11:$AF$66,11,0),0)</f>
        <v>0</v>
      </c>
      <c r="W33" s="23">
        <f>IFERROR(VLOOKUP(H33,'[2]COMPRAS YUC'!$R$10:$AF$63,11,0),0)</f>
        <v>0</v>
      </c>
      <c r="X33" s="87">
        <f>IFERROR(VLOOKUP(J33,'[2]COMPRAS UC'!$R$11:$AF$66,12,0),0)</f>
        <v>0</v>
      </c>
      <c r="Y33" s="23">
        <f>IFERROR(VLOOKUP(J33,'[2]COMPRAS YUC'!$R$10:$AF$63,12,0),0)</f>
        <v>0</v>
      </c>
      <c r="Z33" s="87">
        <f>IFERROR(VLOOKUP(L33,'[2]COMPRAS UC'!$R$11:$AF$66,13,0),0)</f>
        <v>0</v>
      </c>
      <c r="AA33" s="23">
        <f>IFERROR(VLOOKUP(L33,'[2]COMPRAS YUC'!$R$10:$AF$63,13,0),0)</f>
        <v>0</v>
      </c>
      <c r="AB33" s="87">
        <f>IFERROR(VLOOKUP(N33,'[2]COMPRAS UC'!$R$11:$AF$66,14,0),0)</f>
        <v>0</v>
      </c>
      <c r="AC33" s="23">
        <f>IFERROR(VLOOKUP(N33,'[2]COMPRAS YUC'!$R$10:$AF$63,14,0),0)</f>
        <v>0</v>
      </c>
      <c r="AD33" s="268"/>
      <c r="AE33" s="79">
        <f t="shared" si="33"/>
        <v>3</v>
      </c>
      <c r="AF33" s="96">
        <f t="shared" si="33"/>
        <v>3</v>
      </c>
      <c r="AG33" s="228">
        <f t="shared" si="30"/>
        <v>6</v>
      </c>
      <c r="AH33" s="79">
        <f t="shared" si="31"/>
        <v>3</v>
      </c>
      <c r="AI33" s="96">
        <f t="shared" si="32"/>
        <v>3</v>
      </c>
      <c r="AJ33" s="228">
        <f>AH33+AI33</f>
        <v>6</v>
      </c>
      <c r="AK33" s="86">
        <f t="shared" si="35"/>
        <v>0</v>
      </c>
      <c r="AL33" s="96">
        <f t="shared" si="35"/>
        <v>0</v>
      </c>
      <c r="AM33" s="233">
        <f>AK33+AL33</f>
        <v>0</v>
      </c>
      <c r="AN33" s="79">
        <f t="shared" si="34"/>
        <v>3</v>
      </c>
      <c r="AO33" s="96">
        <f t="shared" si="34"/>
        <v>3</v>
      </c>
      <c r="AP33" s="228">
        <f>AN33+AO33</f>
        <v>6</v>
      </c>
      <c r="AQ33" s="53">
        <v>1</v>
      </c>
      <c r="AV33" s="53">
        <v>5</v>
      </c>
      <c r="AZ33" s="53">
        <f>SUM(L33:Q33)</f>
        <v>5</v>
      </c>
    </row>
    <row r="34" spans="1:52" s="53" customFormat="1" ht="16" customHeight="1" x14ac:dyDescent="0.3">
      <c r="A34" s="53">
        <f>_xlfn.XLOOKUP(B34,'UC MINI 2026 MINI NEXT'!$B$7:$B$63,'UC MINI 2026 MINI NEXT'!$A$7:$A$63)</f>
        <v>5</v>
      </c>
      <c r="B34" s="179">
        <v>100410</v>
      </c>
      <c r="C34" s="381" t="s">
        <v>22</v>
      </c>
      <c r="D34" s="51">
        <v>22761</v>
      </c>
      <c r="E34" s="309" t="s">
        <v>79</v>
      </c>
      <c r="F34" s="199">
        <f>IFERROR(VLOOKUP(B34,'[2]COMPRAS UC'!$R$11:$AF$66,3,0),0)</f>
        <v>0</v>
      </c>
      <c r="G34" s="23">
        <f>IFERROR(VLOOKUP(B34,'[2]COMPRAS YUC'!$R$10:$AF$63,3,0),0)</f>
        <v>4</v>
      </c>
      <c r="H34" s="87">
        <f>IFERROR(VLOOKUP(B34,'[2]COMPRAS UC'!$R$11:$AF$66,4,0),0)</f>
        <v>0</v>
      </c>
      <c r="I34" s="23">
        <f>IFERROR(VLOOKUP(B34,'[2]COMPRAS YUC'!$R$10:$AF$63,4,0),0)</f>
        <v>3</v>
      </c>
      <c r="J34" s="87">
        <f>IFERROR(VLOOKUP(B34,'[2]COMPRAS UC'!$R$11:$AF$66,5,0),0)</f>
        <v>1</v>
      </c>
      <c r="K34" s="23">
        <f>IFERROR(VLOOKUP(B34,'[2]COMPRAS YUC'!$R$10:$AF$63,5,0),0)</f>
        <v>1</v>
      </c>
      <c r="L34" s="87">
        <f>IFERROR(VLOOKUP(B34,'[2]COMPRAS UC'!$R$11:$AF$66,6,0),0)</f>
        <v>0</v>
      </c>
      <c r="M34" s="23">
        <f>IFERROR(VLOOKUP(B34,'[2]COMPRAS YUC'!$R$10:$AF$63,6,0),0)</f>
        <v>0</v>
      </c>
      <c r="N34" s="87">
        <f>IFERROR(VLOOKUP(B34,'[2]COMPRAS UC'!$R$11:$AF$66,7,0),0)</f>
        <v>2</v>
      </c>
      <c r="O34" s="23">
        <f>IFERROR(VLOOKUP(B34,'[2]COMPRAS YUC'!$R$10:$AF$63,7,0),0)</f>
        <v>0</v>
      </c>
      <c r="P34" s="87">
        <f>IFERROR(VLOOKUP(B34,'[2]COMPRAS UC'!$R$11:$AF$66,8,0),0)</f>
        <v>0</v>
      </c>
      <c r="Q34" s="23">
        <f>IFERROR(VLOOKUP(B34,'[2]COMPRAS YUC'!$R$10:$AF$63,8,0),0)</f>
        <v>0</v>
      </c>
      <c r="R34" s="87">
        <f>IFERROR(VLOOKUP(D34,'[2]COMPRAS UC'!$R$11:$AF$66,9,0),0)</f>
        <v>0</v>
      </c>
      <c r="S34" s="23">
        <f>IFERROR(VLOOKUP(D34,'[2]COMPRAS YUC'!$R$10:$AF$63,9,0),0)</f>
        <v>0</v>
      </c>
      <c r="T34" s="87">
        <f>IFERROR(VLOOKUP(F34,'[2]COMPRAS UC'!$R$11:$AF$66,10,0),0)</f>
        <v>0</v>
      </c>
      <c r="U34" s="23">
        <f>IFERROR(VLOOKUP(F34,'[2]COMPRAS YUC'!$R$10:$AF$63,10,0),0)</f>
        <v>0</v>
      </c>
      <c r="V34" s="87">
        <f>IFERROR(VLOOKUP(H34,'[2]COMPRAS UC'!$R$11:$AF$66,11,0),0)</f>
        <v>0</v>
      </c>
      <c r="W34" s="23">
        <f>IFERROR(VLOOKUP(H34,'[2]COMPRAS YUC'!$R$10:$AF$63,11,0),0)</f>
        <v>0</v>
      </c>
      <c r="X34" s="87">
        <f>IFERROR(VLOOKUP(J34,'[2]COMPRAS UC'!$R$11:$AF$66,12,0),0)</f>
        <v>0</v>
      </c>
      <c r="Y34" s="23">
        <f>IFERROR(VLOOKUP(J34,'[2]COMPRAS YUC'!$R$10:$AF$63,12,0),0)</f>
        <v>0</v>
      </c>
      <c r="Z34" s="87">
        <f>IFERROR(VLOOKUP(L34,'[2]COMPRAS UC'!$R$11:$AF$66,13,0),0)</f>
        <v>0</v>
      </c>
      <c r="AA34" s="23">
        <f>IFERROR(VLOOKUP(L34,'[2]COMPRAS YUC'!$R$10:$AF$63,13,0),0)</f>
        <v>0</v>
      </c>
      <c r="AB34" s="87">
        <f>IFERROR(VLOOKUP(N34,'[2]COMPRAS UC'!$R$11:$AF$66,14,0),0)</f>
        <v>0</v>
      </c>
      <c r="AC34" s="23">
        <f>IFERROR(VLOOKUP(N34,'[2]COMPRAS YUC'!$R$10:$AF$63,14,0),0)</f>
        <v>0</v>
      </c>
      <c r="AD34" s="268"/>
      <c r="AE34" s="79">
        <f t="shared" si="33"/>
        <v>3</v>
      </c>
      <c r="AF34" s="96">
        <f t="shared" si="33"/>
        <v>8</v>
      </c>
      <c r="AG34" s="228">
        <f t="shared" si="30"/>
        <v>11</v>
      </c>
      <c r="AH34" s="79">
        <f t="shared" si="31"/>
        <v>3</v>
      </c>
      <c r="AI34" s="96">
        <f t="shared" si="32"/>
        <v>8</v>
      </c>
      <c r="AJ34" s="228">
        <f>AH34+AI34</f>
        <v>11</v>
      </c>
      <c r="AK34" s="86">
        <f t="shared" si="35"/>
        <v>0</v>
      </c>
      <c r="AL34" s="96">
        <f t="shared" si="35"/>
        <v>0</v>
      </c>
      <c r="AM34" s="233">
        <f>AK34+AL34</f>
        <v>0</v>
      </c>
      <c r="AN34" s="79">
        <f t="shared" si="34"/>
        <v>3</v>
      </c>
      <c r="AO34" s="96">
        <f t="shared" si="34"/>
        <v>8</v>
      </c>
      <c r="AP34" s="228">
        <f>AN34+AO34</f>
        <v>11</v>
      </c>
      <c r="AQ34" s="53">
        <v>1</v>
      </c>
      <c r="AV34" s="53">
        <v>4</v>
      </c>
      <c r="AZ34" s="53">
        <f>SUM(L34:Q34)</f>
        <v>2</v>
      </c>
    </row>
    <row r="35" spans="1:52" s="53" customFormat="1" ht="16" customHeight="1" thickBot="1" x14ac:dyDescent="0.35">
      <c r="A35" s="53">
        <f>_xlfn.XLOOKUP(B35,'UC MINI 2026 MINI NEXT'!$B$7:$B$63,'UC MINI 2026 MINI NEXT'!$A$7:$A$63)</f>
        <v>5</v>
      </c>
      <c r="B35" s="179">
        <v>100739</v>
      </c>
      <c r="C35" s="381" t="s">
        <v>49</v>
      </c>
      <c r="D35" s="51">
        <v>22761</v>
      </c>
      <c r="E35" s="309" t="s">
        <v>79</v>
      </c>
      <c r="F35" s="199">
        <f>IFERROR(VLOOKUP(B35,'[2]COMPRAS UC'!$R$11:$AF$66,3,0),0)</f>
        <v>0</v>
      </c>
      <c r="G35" s="23">
        <f>IFERROR(VLOOKUP(B35,'[2]COMPRAS YUC'!$R$10:$AF$63,3,0),0)</f>
        <v>0</v>
      </c>
      <c r="H35" s="87">
        <f>IFERROR(VLOOKUP(B35,'[2]COMPRAS UC'!$R$11:$AF$66,4,0),0)</f>
        <v>1</v>
      </c>
      <c r="I35" s="23">
        <f>IFERROR(VLOOKUP(B35,'[2]COMPRAS YUC'!$R$10:$AF$63,4,0),0)</f>
        <v>0</v>
      </c>
      <c r="J35" s="87">
        <f>IFERROR(VLOOKUP(B35,'[2]COMPRAS UC'!$R$11:$AF$66,5,0),0)</f>
        <v>0</v>
      </c>
      <c r="K35" s="23">
        <f>IFERROR(VLOOKUP(B35,'[2]COMPRAS YUC'!$R$10:$AF$63,5,0),0)</f>
        <v>0</v>
      </c>
      <c r="L35" s="87">
        <f>IFERROR(VLOOKUP(B35,'[2]COMPRAS UC'!$R$11:$AF$66,6,0),0)</f>
        <v>0</v>
      </c>
      <c r="M35" s="23">
        <f>IFERROR(VLOOKUP(B35,'[2]COMPRAS YUC'!$R$10:$AF$63,6,0),0)</f>
        <v>0</v>
      </c>
      <c r="N35" s="87">
        <f>IFERROR(VLOOKUP(B35,'[2]COMPRAS UC'!$R$11:$AF$66,7,0),0)</f>
        <v>0</v>
      </c>
      <c r="O35" s="23">
        <f>IFERROR(VLOOKUP(B35,'[2]COMPRAS YUC'!$R$10:$AF$63,7,0),0)</f>
        <v>0</v>
      </c>
      <c r="P35" s="87">
        <f>IFERROR(VLOOKUP(B35,'[2]COMPRAS UC'!$R$11:$AF$66,8,0),0)</f>
        <v>0</v>
      </c>
      <c r="Q35" s="23">
        <f>IFERROR(VLOOKUP(B35,'[2]COMPRAS YUC'!$R$10:$AF$63,8,0),0)</f>
        <v>0</v>
      </c>
      <c r="R35" s="87">
        <f>IFERROR(VLOOKUP(D35,'[2]COMPRAS UC'!$R$11:$AF$66,9,0),0)</f>
        <v>0</v>
      </c>
      <c r="S35" s="23">
        <f>IFERROR(VLOOKUP(D35,'[2]COMPRAS YUC'!$R$10:$AF$63,9,0),0)</f>
        <v>0</v>
      </c>
      <c r="T35" s="87">
        <f>IFERROR(VLOOKUP(F35,'[2]COMPRAS UC'!$R$11:$AF$66,10,0),0)</f>
        <v>0</v>
      </c>
      <c r="U35" s="23">
        <f>IFERROR(VLOOKUP(F35,'[2]COMPRAS YUC'!$R$10:$AF$63,10,0),0)</f>
        <v>0</v>
      </c>
      <c r="V35" s="87">
        <f>IFERROR(VLOOKUP(H35,'[2]COMPRAS UC'!$R$11:$AF$66,11,0),0)</f>
        <v>0</v>
      </c>
      <c r="W35" s="23">
        <f>IFERROR(VLOOKUP(H35,'[2]COMPRAS YUC'!$R$10:$AF$63,11,0),0)</f>
        <v>0</v>
      </c>
      <c r="X35" s="87">
        <f>IFERROR(VLOOKUP(J35,'[2]COMPRAS UC'!$R$11:$AF$66,12,0),0)</f>
        <v>0</v>
      </c>
      <c r="Y35" s="23">
        <f>IFERROR(VLOOKUP(J35,'[2]COMPRAS YUC'!$R$10:$AF$63,12,0),0)</f>
        <v>0</v>
      </c>
      <c r="Z35" s="87">
        <f>IFERROR(VLOOKUP(L35,'[2]COMPRAS UC'!$R$11:$AF$66,13,0),0)</f>
        <v>0</v>
      </c>
      <c r="AA35" s="23">
        <f>IFERROR(VLOOKUP(L35,'[2]COMPRAS YUC'!$R$10:$AF$63,13,0),0)</f>
        <v>0</v>
      </c>
      <c r="AB35" s="87">
        <f>IFERROR(VLOOKUP(N35,'[2]COMPRAS UC'!$R$11:$AF$66,14,0),0)</f>
        <v>0</v>
      </c>
      <c r="AC35" s="23">
        <f>IFERROR(VLOOKUP(N35,'[2]COMPRAS YUC'!$R$10:$AF$63,14,0),0)</f>
        <v>0</v>
      </c>
      <c r="AD35" s="269"/>
      <c r="AE35" s="252">
        <f t="shared" si="33"/>
        <v>1</v>
      </c>
      <c r="AF35" s="97">
        <f t="shared" si="33"/>
        <v>0</v>
      </c>
      <c r="AG35" s="229">
        <f t="shared" si="30"/>
        <v>1</v>
      </c>
      <c r="AH35" s="252">
        <f t="shared" si="31"/>
        <v>1</v>
      </c>
      <c r="AI35" s="97">
        <f t="shared" si="32"/>
        <v>0</v>
      </c>
      <c r="AJ35" s="229">
        <f>AH35+AI35</f>
        <v>1</v>
      </c>
      <c r="AK35" s="59">
        <f t="shared" si="35"/>
        <v>0</v>
      </c>
      <c r="AL35" s="97">
        <f t="shared" si="35"/>
        <v>0</v>
      </c>
      <c r="AM35" s="234">
        <f>AK35+AL35</f>
        <v>0</v>
      </c>
      <c r="AN35" s="252">
        <f t="shared" si="34"/>
        <v>1</v>
      </c>
      <c r="AO35" s="97">
        <f t="shared" si="34"/>
        <v>0</v>
      </c>
      <c r="AP35" s="229">
        <f>AN35+AO35</f>
        <v>1</v>
      </c>
      <c r="AQ35" s="53">
        <v>1</v>
      </c>
      <c r="AV35" s="53">
        <v>3</v>
      </c>
      <c r="AZ35" s="53">
        <f>SUM(L35:Q35)</f>
        <v>0</v>
      </c>
    </row>
    <row r="36" spans="1:52" s="53" customFormat="1" ht="16" customHeight="1" thickBot="1" x14ac:dyDescent="0.35">
      <c r="A36" s="53" t="e">
        <f>_xlfn.XLOOKUP(B36,'UC MINI 2026 MINI NEXT'!$B$7:$B$63,'UC MINI 2026 MINI NEXT'!$A$7:$A$63)</f>
        <v>#N/A</v>
      </c>
      <c r="B36" s="180" t="s">
        <v>267</v>
      </c>
      <c r="C36" s="62"/>
      <c r="D36" s="80"/>
      <c r="E36" s="265"/>
      <c r="F36" s="259">
        <f t="shared" ref="F36:AC36" si="36">SUM(F31:F35)</f>
        <v>0</v>
      </c>
      <c r="G36" s="264">
        <f t="shared" si="36"/>
        <v>8</v>
      </c>
      <c r="H36" s="259">
        <f t="shared" si="36"/>
        <v>5</v>
      </c>
      <c r="I36" s="264">
        <f t="shared" si="36"/>
        <v>6</v>
      </c>
      <c r="J36" s="259">
        <f t="shared" si="36"/>
        <v>1</v>
      </c>
      <c r="K36" s="264">
        <f t="shared" si="36"/>
        <v>1</v>
      </c>
      <c r="L36" s="259">
        <f t="shared" si="36"/>
        <v>2</v>
      </c>
      <c r="M36" s="264">
        <f t="shared" si="36"/>
        <v>2</v>
      </c>
      <c r="N36" s="259">
        <f t="shared" si="36"/>
        <v>2</v>
      </c>
      <c r="O36" s="264">
        <f t="shared" si="36"/>
        <v>0</v>
      </c>
      <c r="P36" s="259">
        <f>SUM(P31:P35)</f>
        <v>0</v>
      </c>
      <c r="Q36" s="264">
        <f>SUM(Q31:Q35)</f>
        <v>1</v>
      </c>
      <c r="R36" s="259">
        <f t="shared" si="36"/>
        <v>0</v>
      </c>
      <c r="S36" s="264">
        <f t="shared" si="36"/>
        <v>0</v>
      </c>
      <c r="T36" s="259">
        <f t="shared" si="36"/>
        <v>0</v>
      </c>
      <c r="U36" s="264">
        <f t="shared" si="36"/>
        <v>0</v>
      </c>
      <c r="V36" s="259">
        <f t="shared" si="36"/>
        <v>0</v>
      </c>
      <c r="W36" s="264">
        <f t="shared" si="36"/>
        <v>0</v>
      </c>
      <c r="X36" s="259">
        <f t="shared" si="36"/>
        <v>0</v>
      </c>
      <c r="Y36" s="264">
        <f t="shared" si="36"/>
        <v>0</v>
      </c>
      <c r="Z36" s="259">
        <f t="shared" si="36"/>
        <v>0</v>
      </c>
      <c r="AA36" s="264">
        <f t="shared" si="36"/>
        <v>0</v>
      </c>
      <c r="AB36" s="259">
        <f t="shared" si="36"/>
        <v>0</v>
      </c>
      <c r="AC36" s="264">
        <f t="shared" si="36"/>
        <v>0</v>
      </c>
      <c r="AD36" s="271"/>
      <c r="AE36" s="94">
        <f>IFERROR(IF($AD$4="ENERO",F36,IF($AD$4="FEBRERO",F36+H36,IF($AD$4="MARZO",F36+H36+J36,IF($AD$4="ABRIL",F36+H36+J36+L36,IF($AD$4="MAYO",F36+H36+J36+L36+N36,IF($AD$4="JUNIO",F36+H36+J36+L36+N36+P36,IF($AD$4="JULIO",F36+H36+J36+L36+N36+P36+R36,IF($AD$4="AGOSTO",F36+H36+J36+L36+N36+P36+R36+T36,IF($AD$4="SEPTIEMBRE",F36+H36+J36+L36+N36+P36+R36+T36+V36,IF($AD$4="OCTUBRE",F36+H36+J36+L36+N36+P36+R36+T36+V36+X36,IF($AD$4="NOVIEMBRE",F36+H36+J36+L36+N36+P36+R36+T36+V36+X36+Z36,IF($AD$4="DICIEMBRE",F36+H36+J36+L36+N36+P36+R36+T36+V36+X36+Z36+AB36,"")))))))))))),0)</f>
        <v>10</v>
      </c>
      <c r="AF36" s="425">
        <f>IFERROR(IF($AD$4="ENERO",G36,IF($AD$4="FEBRERO",G36+I36,IF($AD$4="MARZO",G36+I36+K36,IF($AD$4="ABRIL",G36+I36+K36+M36,IF($AD$4="MAYO",G36+I36+K36+M36+O36,IF($AD$4="JUNIO",G36+I36+K36+M36+O36+Q36,IF($AD$4="JULIO",G36+I36+K36+M36+O36+Q36+S36,IF($AD$4="AGOSTO",G36+I36+K36+M36+O36+Q36+S36+U36,IF($AD$4="SEPTIEMBRE",G36+I36+K36+M36+O36+Q36+S36+U36+W36,IF($AD$4="OCTUBRE",G36+I36+K36+M36+O36+Q36+S36+U36+W36+Y36,IF($AD$4="NOVIEMBRE",G36+I36+K36+M36+O36+Q36+S36+U36+W36+Y36+AA36,IF($AD$4="DICIEMBRE",G36+I36+K36+M36+O36+Q36+S36+U36+W36+Y36+AA36+AC36,"")))))))))))),0)</f>
        <v>18</v>
      </c>
      <c r="AG36" s="432">
        <f t="shared" si="30"/>
        <v>28</v>
      </c>
      <c r="AH36" s="94">
        <f t="shared" si="31"/>
        <v>10</v>
      </c>
      <c r="AI36" s="256">
        <f t="shared" si="32"/>
        <v>18</v>
      </c>
      <c r="AJ36" s="432">
        <f>SUM(AJ31:AJ35)</f>
        <v>28</v>
      </c>
      <c r="AK36" s="65">
        <f>SUM(AK19:AK34)</f>
        <v>0</v>
      </c>
      <c r="AL36" s="99">
        <f>SUM(AL19:AL34)</f>
        <v>0</v>
      </c>
      <c r="AM36" s="236">
        <f>SUM(AM19:AM34)</f>
        <v>0</v>
      </c>
      <c r="AN36" s="94">
        <f>IFERROR(IF($AN$5="S 1",F36+H36+J36+L36+N36+P36,
IF($AN$5="S 2",R36+T36+V36+X36+Z36+AB36,0)),0)</f>
        <v>10</v>
      </c>
      <c r="AO36" s="425">
        <f>IFERROR(IF($AN$5="S 1",G36+I36+K36+M36+O36+Q36,
IF($AN$5="S 2",S36+U36+W36+Y36+AA36+AC36,0)),0)</f>
        <v>18</v>
      </c>
      <c r="AP36" s="432">
        <f>SUM(AP31:AP35)</f>
        <v>28</v>
      </c>
      <c r="AQ36" s="53">
        <v>0</v>
      </c>
      <c r="AV36" s="53">
        <v>2</v>
      </c>
    </row>
    <row r="37" spans="1:52" s="53" customFormat="1" ht="16" customHeight="1" x14ac:dyDescent="0.3">
      <c r="A37" s="53">
        <f>_xlfn.XLOOKUP(B37,'UC MINI 2026 MINI NEXT'!$B$7:$B$63,'UC MINI 2026 MINI NEXT'!$A$7:$A$63)</f>
        <v>6</v>
      </c>
      <c r="B37" s="179">
        <v>100348</v>
      </c>
      <c r="C37" s="381" t="s">
        <v>56</v>
      </c>
      <c r="D37" s="51">
        <v>8596</v>
      </c>
      <c r="E37" s="309" t="s">
        <v>105</v>
      </c>
      <c r="F37" s="199">
        <f>IFERROR(VLOOKUP(B37,'[2]COMPRAS UC'!$R$11:$AF$66,3,0),0)</f>
        <v>2</v>
      </c>
      <c r="G37" s="23">
        <f>IFERROR(VLOOKUP(B37,'[2]COMPRAS YUC'!$R$10:$AF$63,3,0),0)</f>
        <v>0</v>
      </c>
      <c r="H37" s="87">
        <f>IFERROR(VLOOKUP(B37,'[2]COMPRAS UC'!$R$11:$AF$66,4,0),0)</f>
        <v>0</v>
      </c>
      <c r="I37" s="23">
        <f>IFERROR(VLOOKUP(B37,'[2]COMPRAS YUC'!$R$10:$AF$63,4,0),0)</f>
        <v>0</v>
      </c>
      <c r="J37" s="87">
        <f>IFERROR(VLOOKUP(B37,'[2]COMPRAS UC'!$R$11:$AF$66,5,0),0)</f>
        <v>2</v>
      </c>
      <c r="K37" s="23">
        <f>IFERROR(VLOOKUP(B37,'[2]COMPRAS YUC'!$R$10:$AF$63,5,0),0)</f>
        <v>0</v>
      </c>
      <c r="L37" s="87">
        <f>IFERROR(VLOOKUP(B37,'[2]COMPRAS UC'!$R$11:$AF$66,6,0),0)</f>
        <v>1</v>
      </c>
      <c r="M37" s="23">
        <f>IFERROR(VLOOKUP(B37,'[2]COMPRAS YUC'!$R$10:$AF$63,6,0),0)</f>
        <v>0</v>
      </c>
      <c r="N37" s="87">
        <f>IFERROR(VLOOKUP(B37,'[2]COMPRAS UC'!$R$11:$AF$66,7,0),0)</f>
        <v>0</v>
      </c>
      <c r="O37" s="23">
        <f>IFERROR(VLOOKUP(B37,'[2]COMPRAS YUC'!$R$10:$AF$63,7,0),0)</f>
        <v>0</v>
      </c>
      <c r="P37" s="87">
        <f>IFERROR(VLOOKUP(B37,'[2]COMPRAS UC'!$R$11:$AF$66,8,0),0)</f>
        <v>0</v>
      </c>
      <c r="Q37" s="23">
        <f>IFERROR(VLOOKUP(B37,'[2]COMPRAS YUC'!$R$10:$AF$63,8,0),0)</f>
        <v>0</v>
      </c>
      <c r="R37" s="87">
        <f>IFERROR(VLOOKUP(D37,'[2]COMPRAS UC'!$R$11:$AF$66,9,0),0)</f>
        <v>0</v>
      </c>
      <c r="S37" s="23">
        <f>IFERROR(VLOOKUP(D37,'[2]COMPRAS YUC'!$R$10:$AF$63,9,0),0)</f>
        <v>0</v>
      </c>
      <c r="T37" s="87">
        <f>IFERROR(VLOOKUP(F37,'[2]COMPRAS UC'!$R$11:$AF$66,10,0),0)</f>
        <v>0</v>
      </c>
      <c r="U37" s="23">
        <f>IFERROR(VLOOKUP(F37,'[2]COMPRAS YUC'!$R$10:$AF$63,10,0),0)</f>
        <v>0</v>
      </c>
      <c r="V37" s="87">
        <f>IFERROR(VLOOKUP(H37,'[2]COMPRAS UC'!$R$11:$AF$66,11,0),0)</f>
        <v>0</v>
      </c>
      <c r="W37" s="23">
        <f>IFERROR(VLOOKUP(H37,'[2]COMPRAS YUC'!$R$10:$AF$63,11,0),0)</f>
        <v>0</v>
      </c>
      <c r="X37" s="87">
        <f>IFERROR(VLOOKUP(J37,'[2]COMPRAS UC'!$R$11:$AF$66,12,0),0)</f>
        <v>0</v>
      </c>
      <c r="Y37" s="23">
        <f>IFERROR(VLOOKUP(J37,'[2]COMPRAS YUC'!$R$10:$AF$63,12,0),0)</f>
        <v>0</v>
      </c>
      <c r="Z37" s="87">
        <f>IFERROR(VLOOKUP(L37,'[2]COMPRAS UC'!$R$11:$AF$66,13,0),0)</f>
        <v>0</v>
      </c>
      <c r="AA37" s="23">
        <f>IFERROR(VLOOKUP(L37,'[2]COMPRAS YUC'!$R$10:$AF$63,13,0),0)</f>
        <v>0</v>
      </c>
      <c r="AB37" s="87">
        <f>IFERROR(VLOOKUP(N37,'[2]COMPRAS UC'!$R$11:$AF$66,14,0),0)</f>
        <v>0</v>
      </c>
      <c r="AC37" s="23">
        <f>IFERROR(VLOOKUP(N37,'[2]COMPRAS YUC'!$R$10:$AF$63,14,0),0)</f>
        <v>0</v>
      </c>
      <c r="AD37" s="268"/>
      <c r="AE37" s="79">
        <f t="shared" ref="AE37:AF41" si="37">IFERROR(IF($AD$4="ENERO",F37,IF($AD$4="FEBRERO",F37+H37,IF($AD$4="MARZO",F37+H37+J37,IF($AD$4="ABRIL",F37+H37+J37+L37,IF($AD$4="MAYO",F37+H37+J37+L37+N37,IF($AD$4="JUNIO",F37+H37+J37+L37+N37+P37,IF($AD$4="JULIO",F37+H37+J37+L37+N37+P37+R37,IF($AD$4="AGOSTO",F37+H37+J37+L37+N37+P37+R37+T37,IF($AD$4="SEPTIEMBRE",F37+H37+J37+L37+N37+P37+R37+T37+V37,IF($AD$4="OCTUBRE",F37+H37+J37+L37+N37+P37+R37+T37+V37+X37,IF($AD$4="NOVIEMBRE",F37+H37+J37+L37+N37+P37+R37+T37+V37+X37+Z37,IF($AD$4="DICIEMBRE",F37+H37+J37+L37+N37+P37+R37+T37+V37+X37+Z37+AB37,"")))))))))))),0)</f>
        <v>5</v>
      </c>
      <c r="AF37" s="96">
        <f t="shared" si="37"/>
        <v>0</v>
      </c>
      <c r="AG37" s="228">
        <f t="shared" si="30"/>
        <v>5</v>
      </c>
      <c r="AH37" s="79">
        <f t="shared" si="31"/>
        <v>5</v>
      </c>
      <c r="AI37" s="96">
        <f t="shared" si="32"/>
        <v>0</v>
      </c>
      <c r="AJ37" s="228">
        <f>AH37+AI37</f>
        <v>5</v>
      </c>
      <c r="AK37" s="86">
        <f t="shared" ref="AK37:AL41" si="38">IF($AK$5="Q1",F37+H37+J37,
IF($AK$5="Q2",L37+N37++P37,
IF($AK$5="Q3",R37+T37+V37,
IF($AK$5="Q4",X37+Z37+AB37,0))))</f>
        <v>0</v>
      </c>
      <c r="AL37" s="96">
        <f t="shared" si="38"/>
        <v>0</v>
      </c>
      <c r="AM37" s="233">
        <f>AK37+AL37</f>
        <v>0</v>
      </c>
      <c r="AN37" s="79">
        <f t="shared" ref="AN37:AO41" si="39">IFERROR(IF($AN$5="S 1",F37+H37+J37+L37+N37+P37,
IF($AN$5="S 2",R37+T37+V37+X37+Z37+AB37,0)),0)</f>
        <v>5</v>
      </c>
      <c r="AO37" s="96">
        <f t="shared" si="39"/>
        <v>0</v>
      </c>
      <c r="AP37" s="228">
        <f>AN37+AO37</f>
        <v>5</v>
      </c>
      <c r="AQ37" s="53">
        <v>1</v>
      </c>
      <c r="AV37" s="53">
        <v>2</v>
      </c>
      <c r="AZ37" s="53">
        <f>SUM(L37:Q37)</f>
        <v>1</v>
      </c>
    </row>
    <row r="38" spans="1:52" s="53" customFormat="1" ht="16" customHeight="1" x14ac:dyDescent="0.3">
      <c r="A38" s="53">
        <f>_xlfn.XLOOKUP(B38,'UC MINI 2026 MINI NEXT'!$B$7:$B$63,'UC MINI 2026 MINI NEXT'!$A$7:$A$63)</f>
        <v>6</v>
      </c>
      <c r="B38" s="179">
        <v>100585</v>
      </c>
      <c r="C38" s="381" t="s">
        <v>58</v>
      </c>
      <c r="D38" s="51">
        <v>34177</v>
      </c>
      <c r="E38" s="309" t="s">
        <v>87</v>
      </c>
      <c r="F38" s="199">
        <f>IFERROR(VLOOKUP(B38,'[2]COMPRAS UC'!$R$11:$AF$66,3,0),0)</f>
        <v>0</v>
      </c>
      <c r="G38" s="23">
        <f>IFERROR(VLOOKUP(B38,'[2]COMPRAS YUC'!$R$10:$AF$63,3,0),0)</f>
        <v>0</v>
      </c>
      <c r="H38" s="87">
        <f>IFERROR(VLOOKUP(B38,'[2]COMPRAS UC'!$R$11:$AF$66,4,0),0)</f>
        <v>0</v>
      </c>
      <c r="I38" s="23">
        <f>IFERROR(VLOOKUP(B38,'[2]COMPRAS YUC'!$R$10:$AF$63,4,0),0)</f>
        <v>0</v>
      </c>
      <c r="J38" s="87">
        <f>IFERROR(VLOOKUP(B38,'[2]COMPRAS UC'!$R$11:$AF$66,5,0),0)</f>
        <v>0</v>
      </c>
      <c r="K38" s="23">
        <f>IFERROR(VLOOKUP(B38,'[2]COMPRAS YUC'!$R$10:$AF$63,5,0),0)</f>
        <v>0</v>
      </c>
      <c r="L38" s="87">
        <f>IFERROR(VLOOKUP(B38,'[2]COMPRAS UC'!$R$11:$AF$66,6,0),0)</f>
        <v>0</v>
      </c>
      <c r="M38" s="23">
        <f>IFERROR(VLOOKUP(B38,'[2]COMPRAS YUC'!$R$10:$AF$63,6,0),0)</f>
        <v>0</v>
      </c>
      <c r="N38" s="87">
        <f>IFERROR(VLOOKUP(B38,'[2]COMPRAS UC'!$R$11:$AF$66,7,0),0)</f>
        <v>0</v>
      </c>
      <c r="O38" s="23">
        <f>IFERROR(VLOOKUP(B38,'[2]COMPRAS YUC'!$R$10:$AF$63,7,0),0)</f>
        <v>0</v>
      </c>
      <c r="P38" s="87">
        <f>IFERROR(VLOOKUP(B38,'[2]COMPRAS UC'!$R$11:$AF$66,8,0),0)</f>
        <v>2</v>
      </c>
      <c r="Q38" s="23">
        <f>IFERROR(VLOOKUP(B38,'[2]COMPRAS YUC'!$R$10:$AF$63,8,0),0)</f>
        <v>0</v>
      </c>
      <c r="R38" s="87">
        <f>IFERROR(VLOOKUP(D38,'[2]COMPRAS UC'!$R$11:$AF$66,9,0),0)</f>
        <v>0</v>
      </c>
      <c r="S38" s="23">
        <f>IFERROR(VLOOKUP(D38,'[2]COMPRAS YUC'!$R$10:$AF$63,9,0),0)</f>
        <v>0</v>
      </c>
      <c r="T38" s="87">
        <f>IFERROR(VLOOKUP(F38,'[2]COMPRAS UC'!$R$11:$AF$66,10,0),0)</f>
        <v>0</v>
      </c>
      <c r="U38" s="23">
        <f>IFERROR(VLOOKUP(F38,'[2]COMPRAS YUC'!$R$10:$AF$63,10,0),0)</f>
        <v>0</v>
      </c>
      <c r="V38" s="87">
        <f>IFERROR(VLOOKUP(H38,'[2]COMPRAS UC'!$R$11:$AF$66,11,0),0)</f>
        <v>0</v>
      </c>
      <c r="W38" s="23">
        <f>IFERROR(VLOOKUP(H38,'[2]COMPRAS YUC'!$R$10:$AF$63,11,0),0)</f>
        <v>0</v>
      </c>
      <c r="X38" s="87">
        <f>IFERROR(VLOOKUP(J38,'[2]COMPRAS UC'!$R$11:$AF$66,12,0),0)</f>
        <v>0</v>
      </c>
      <c r="Y38" s="23">
        <f>IFERROR(VLOOKUP(J38,'[2]COMPRAS YUC'!$R$10:$AF$63,12,0),0)</f>
        <v>0</v>
      </c>
      <c r="Z38" s="87">
        <f>IFERROR(VLOOKUP(L38,'[2]COMPRAS UC'!$R$11:$AF$66,13,0),0)</f>
        <v>0</v>
      </c>
      <c r="AA38" s="23">
        <f>IFERROR(VLOOKUP(L38,'[2]COMPRAS YUC'!$R$10:$AF$63,13,0),0)</f>
        <v>0</v>
      </c>
      <c r="AB38" s="87">
        <f>IFERROR(VLOOKUP(N38,'[2]COMPRAS UC'!$R$11:$AF$66,14,0),0)</f>
        <v>0</v>
      </c>
      <c r="AC38" s="23">
        <f>IFERROR(VLOOKUP(N38,'[2]COMPRAS YUC'!$R$10:$AF$63,14,0),0)</f>
        <v>0</v>
      </c>
      <c r="AD38" s="268"/>
      <c r="AE38" s="79"/>
      <c r="AF38" s="96"/>
      <c r="AG38" s="228"/>
      <c r="AH38" s="79"/>
      <c r="AI38" s="96"/>
      <c r="AJ38" s="228"/>
      <c r="AK38" s="86"/>
      <c r="AL38" s="96"/>
      <c r="AM38" s="233"/>
      <c r="AN38" s="79"/>
      <c r="AO38" s="96"/>
      <c r="AP38" s="228"/>
      <c r="AV38" s="53">
        <v>1</v>
      </c>
    </row>
    <row r="39" spans="1:52" s="53" customFormat="1" ht="16" customHeight="1" x14ac:dyDescent="0.3">
      <c r="A39" s="53">
        <f>_xlfn.XLOOKUP(B39,'UC MINI 2026 MINI NEXT'!$B$7:$B$63,'UC MINI 2026 MINI NEXT'!$A$7:$A$63)</f>
        <v>6</v>
      </c>
      <c r="B39" s="179">
        <v>100727</v>
      </c>
      <c r="C39" s="381" t="s">
        <v>21</v>
      </c>
      <c r="D39" s="51">
        <v>39200</v>
      </c>
      <c r="E39" s="309" t="s">
        <v>93</v>
      </c>
      <c r="F39" s="199">
        <f>IFERROR(VLOOKUP(B39,'[2]COMPRAS UC'!$R$11:$AF$66,3,0),0)</f>
        <v>0</v>
      </c>
      <c r="G39" s="23">
        <f>IFERROR(VLOOKUP(B39,'[2]COMPRAS YUC'!$R$10:$AF$63,3,0),0)</f>
        <v>0</v>
      </c>
      <c r="H39" s="87">
        <f>IFERROR(VLOOKUP(B39,'[2]COMPRAS UC'!$R$11:$AF$66,4,0),0)</f>
        <v>0</v>
      </c>
      <c r="I39" s="23">
        <f>IFERROR(VLOOKUP(B39,'[2]COMPRAS YUC'!$R$10:$AF$63,4,0),0)</f>
        <v>2</v>
      </c>
      <c r="J39" s="87">
        <f>IFERROR(VLOOKUP(B39,'[2]COMPRAS UC'!$R$11:$AF$66,5,0),0)</f>
        <v>0</v>
      </c>
      <c r="K39" s="23">
        <f>IFERROR(VLOOKUP(B39,'[2]COMPRAS YUC'!$R$10:$AF$63,5,0),0)</f>
        <v>0</v>
      </c>
      <c r="L39" s="87">
        <f>IFERROR(VLOOKUP(B39,'[2]COMPRAS UC'!$R$11:$AF$66,6,0),0)</f>
        <v>0</v>
      </c>
      <c r="M39" s="23">
        <f>IFERROR(VLOOKUP(B39,'[2]COMPRAS YUC'!$R$10:$AF$63,6,0),0)</f>
        <v>0</v>
      </c>
      <c r="N39" s="87">
        <f>IFERROR(VLOOKUP(B39,'[2]COMPRAS UC'!$R$11:$AF$66,7,0),0)</f>
        <v>0</v>
      </c>
      <c r="O39" s="23">
        <f>IFERROR(VLOOKUP(B39,'[2]COMPRAS YUC'!$R$10:$AF$63,7,0),0)</f>
        <v>0</v>
      </c>
      <c r="P39" s="87">
        <f>IFERROR(VLOOKUP(B39,'[2]COMPRAS UC'!$R$11:$AF$66,8,0),0)</f>
        <v>0</v>
      </c>
      <c r="Q39" s="23">
        <f>IFERROR(VLOOKUP(B39,'[2]COMPRAS YUC'!$R$10:$AF$63,8,0),0)</f>
        <v>0</v>
      </c>
      <c r="R39" s="87">
        <f>IFERROR(VLOOKUP(D39,'[2]COMPRAS UC'!$R$11:$AF$66,9,0),0)</f>
        <v>0</v>
      </c>
      <c r="S39" s="23">
        <f>IFERROR(VLOOKUP(D39,'[2]COMPRAS YUC'!$R$10:$AF$63,9,0),0)</f>
        <v>0</v>
      </c>
      <c r="T39" s="87">
        <f>IFERROR(VLOOKUP(F39,'[2]COMPRAS UC'!$R$11:$AF$66,10,0),0)</f>
        <v>0</v>
      </c>
      <c r="U39" s="23">
        <f>IFERROR(VLOOKUP(F39,'[2]COMPRAS YUC'!$R$10:$AF$63,10,0),0)</f>
        <v>0</v>
      </c>
      <c r="V39" s="87">
        <f>IFERROR(VLOOKUP(H39,'[2]COMPRAS UC'!$R$11:$AF$66,11,0),0)</f>
        <v>0</v>
      </c>
      <c r="W39" s="23">
        <f>IFERROR(VLOOKUP(H39,'[2]COMPRAS YUC'!$R$10:$AF$63,11,0),0)</f>
        <v>0</v>
      </c>
      <c r="X39" s="87">
        <f>IFERROR(VLOOKUP(J39,'[2]COMPRAS UC'!$R$11:$AF$66,12,0),0)</f>
        <v>0</v>
      </c>
      <c r="Y39" s="23">
        <f>IFERROR(VLOOKUP(J39,'[2]COMPRAS YUC'!$R$10:$AF$63,12,0),0)</f>
        <v>0</v>
      </c>
      <c r="Z39" s="87">
        <f>IFERROR(VLOOKUP(L39,'[2]COMPRAS UC'!$R$11:$AF$66,13,0),0)</f>
        <v>0</v>
      </c>
      <c r="AA39" s="23">
        <f>IFERROR(VLOOKUP(L39,'[2]COMPRAS YUC'!$R$10:$AF$63,13,0),0)</f>
        <v>0</v>
      </c>
      <c r="AB39" s="87">
        <f>IFERROR(VLOOKUP(N39,'[2]COMPRAS UC'!$R$11:$AF$66,14,0),0)</f>
        <v>0</v>
      </c>
      <c r="AC39" s="23">
        <f>IFERROR(VLOOKUP(N39,'[2]COMPRAS YUC'!$R$10:$AF$63,14,0),0)</f>
        <v>0</v>
      </c>
      <c r="AD39" s="268"/>
      <c r="AE39" s="79">
        <f t="shared" si="37"/>
        <v>0</v>
      </c>
      <c r="AF39" s="96">
        <f t="shared" si="37"/>
        <v>2</v>
      </c>
      <c r="AG39" s="228">
        <f t="shared" ref="AG39:AG57" si="40">IFERROR(AE39+AF39,0)</f>
        <v>2</v>
      </c>
      <c r="AH39" s="79">
        <f t="shared" ref="AH39:AH57" si="41">IFERROR(SUM(F39+H39+J39+L39+N39+P39+R39+T39+V39+X39+Z39+AB39),0)</f>
        <v>0</v>
      </c>
      <c r="AI39" s="96">
        <f t="shared" ref="AI39:AI57" si="42">IFERROR(SUM(G39,I39,K39,M39,O39,Q39,S39,U39,W39,Y39,AA39,AC39),0)</f>
        <v>2</v>
      </c>
      <c r="AJ39" s="228">
        <f>AH39+AI39</f>
        <v>2</v>
      </c>
      <c r="AK39" s="86">
        <f t="shared" si="38"/>
        <v>0</v>
      </c>
      <c r="AL39" s="96">
        <f t="shared" si="38"/>
        <v>0</v>
      </c>
      <c r="AM39" s="233">
        <f>AK39+AL39</f>
        <v>0</v>
      </c>
      <c r="AN39" s="79">
        <f t="shared" si="39"/>
        <v>0</v>
      </c>
      <c r="AO39" s="96">
        <f t="shared" si="39"/>
        <v>2</v>
      </c>
      <c r="AP39" s="228">
        <f>AN39+AO39</f>
        <v>2</v>
      </c>
      <c r="AQ39" s="53">
        <v>1</v>
      </c>
      <c r="AV39" s="53">
        <v>1</v>
      </c>
      <c r="AZ39" s="53">
        <f>SUM(L39:Q39)</f>
        <v>0</v>
      </c>
    </row>
    <row r="40" spans="1:52" s="53" customFormat="1" ht="16" customHeight="1" x14ac:dyDescent="0.3">
      <c r="A40" s="53">
        <f>_xlfn.XLOOKUP(B40,'UC MINI 2026 MINI NEXT'!$B$7:$B$63,'UC MINI 2026 MINI NEXT'!$A$7:$A$63)</f>
        <v>6</v>
      </c>
      <c r="B40" s="179">
        <v>100728</v>
      </c>
      <c r="C40" s="381" t="s">
        <v>24</v>
      </c>
      <c r="D40" s="51">
        <v>39349</v>
      </c>
      <c r="E40" s="309" t="s">
        <v>94</v>
      </c>
      <c r="F40" s="199">
        <f>IFERROR(VLOOKUP(B40,'[2]COMPRAS UC'!$R$11:$AF$66,3,0),0)</f>
        <v>0</v>
      </c>
      <c r="G40" s="23">
        <f>IFERROR(VLOOKUP(B40,'[2]COMPRAS YUC'!$R$10:$AF$63,3,0),0)</f>
        <v>2</v>
      </c>
      <c r="H40" s="87">
        <f>IFERROR(VLOOKUP(B40,'[2]COMPRAS UC'!$R$11:$AF$66,4,0),0)</f>
        <v>1</v>
      </c>
      <c r="I40" s="23">
        <f>IFERROR(VLOOKUP(B40,'[2]COMPRAS YUC'!$R$10:$AF$63,4,0),0)</f>
        <v>1</v>
      </c>
      <c r="J40" s="87">
        <f>IFERROR(VLOOKUP(B40,'[2]COMPRAS UC'!$R$11:$AF$66,5,0),0)</f>
        <v>2</v>
      </c>
      <c r="K40" s="23">
        <f>IFERROR(VLOOKUP(B40,'[2]COMPRAS YUC'!$R$10:$AF$63,5,0),0)</f>
        <v>1</v>
      </c>
      <c r="L40" s="87">
        <f>IFERROR(VLOOKUP(B40,'[2]COMPRAS UC'!$R$11:$AF$66,6,0),0)</f>
        <v>0</v>
      </c>
      <c r="M40" s="23">
        <f>IFERROR(VLOOKUP(B40,'[2]COMPRAS YUC'!$R$10:$AF$63,6,0),0)</f>
        <v>1</v>
      </c>
      <c r="N40" s="87">
        <f>IFERROR(VLOOKUP(B40,'[2]COMPRAS UC'!$R$11:$AF$66,7,0),0)</f>
        <v>1</v>
      </c>
      <c r="O40" s="23">
        <f>IFERROR(VLOOKUP(B40,'[2]COMPRAS YUC'!$R$10:$AF$63,7,0),0)</f>
        <v>2</v>
      </c>
      <c r="P40" s="87">
        <f>IFERROR(VLOOKUP(B40,'[2]COMPRAS UC'!$R$11:$AF$66,8,0),0)</f>
        <v>5</v>
      </c>
      <c r="Q40" s="23">
        <f>IFERROR(VLOOKUP(B40,'[2]COMPRAS YUC'!$R$10:$AF$63,8,0),0)</f>
        <v>0</v>
      </c>
      <c r="R40" s="87">
        <f>IFERROR(VLOOKUP(D40,'[2]COMPRAS UC'!$R$11:$AF$66,9,0),0)</f>
        <v>0</v>
      </c>
      <c r="S40" s="23">
        <f>IFERROR(VLOOKUP(D40,'[2]COMPRAS YUC'!$R$10:$AF$63,9,0),0)</f>
        <v>0</v>
      </c>
      <c r="T40" s="87">
        <f>IFERROR(VLOOKUP(F40,'[2]COMPRAS UC'!$R$11:$AF$66,10,0),0)</f>
        <v>0</v>
      </c>
      <c r="U40" s="23">
        <f>IFERROR(VLOOKUP(F40,'[2]COMPRAS YUC'!$R$10:$AF$63,10,0),0)</f>
        <v>0</v>
      </c>
      <c r="V40" s="87">
        <f>IFERROR(VLOOKUP(H40,'[2]COMPRAS UC'!$R$11:$AF$66,11,0),0)</f>
        <v>0</v>
      </c>
      <c r="W40" s="23">
        <f>IFERROR(VLOOKUP(H40,'[2]COMPRAS YUC'!$R$10:$AF$63,11,0),0)</f>
        <v>0</v>
      </c>
      <c r="X40" s="87">
        <f>IFERROR(VLOOKUP(J40,'[2]COMPRAS UC'!$R$11:$AF$66,12,0),0)</f>
        <v>0</v>
      </c>
      <c r="Y40" s="23">
        <f>IFERROR(VLOOKUP(J40,'[2]COMPRAS YUC'!$R$10:$AF$63,12,0),0)</f>
        <v>0</v>
      </c>
      <c r="Z40" s="87">
        <f>IFERROR(VLOOKUP(L40,'[2]COMPRAS UC'!$R$11:$AF$66,13,0),0)</f>
        <v>0</v>
      </c>
      <c r="AA40" s="23">
        <f>IFERROR(VLOOKUP(L40,'[2]COMPRAS YUC'!$R$10:$AF$63,13,0),0)</f>
        <v>0</v>
      </c>
      <c r="AB40" s="87">
        <f>IFERROR(VLOOKUP(N40,'[2]COMPRAS UC'!$R$11:$AF$66,14,0),0)</f>
        <v>0</v>
      </c>
      <c r="AC40" s="23">
        <f>IFERROR(VLOOKUP(N40,'[2]COMPRAS YUC'!$R$10:$AF$63,14,0),0)</f>
        <v>0</v>
      </c>
      <c r="AD40" s="268"/>
      <c r="AE40" s="79">
        <f t="shared" si="37"/>
        <v>9</v>
      </c>
      <c r="AF40" s="96">
        <f t="shared" si="37"/>
        <v>7</v>
      </c>
      <c r="AG40" s="228">
        <f t="shared" si="40"/>
        <v>16</v>
      </c>
      <c r="AH40" s="79">
        <f t="shared" si="41"/>
        <v>9</v>
      </c>
      <c r="AI40" s="96">
        <f t="shared" si="42"/>
        <v>7</v>
      </c>
      <c r="AJ40" s="228">
        <f>AH40+AI40</f>
        <v>16</v>
      </c>
      <c r="AK40" s="86">
        <f t="shared" si="38"/>
        <v>0</v>
      </c>
      <c r="AL40" s="96">
        <f t="shared" si="38"/>
        <v>0</v>
      </c>
      <c r="AM40" s="233">
        <f>AK40+AL40</f>
        <v>0</v>
      </c>
      <c r="AN40" s="79">
        <f t="shared" si="39"/>
        <v>9</v>
      </c>
      <c r="AO40" s="96">
        <f t="shared" si="39"/>
        <v>7</v>
      </c>
      <c r="AP40" s="228">
        <f>AN40+AO40</f>
        <v>16</v>
      </c>
      <c r="AQ40" s="53">
        <v>1</v>
      </c>
      <c r="AV40" s="53">
        <v>1</v>
      </c>
      <c r="AZ40" s="53">
        <f>SUM(L40:Q40)</f>
        <v>9</v>
      </c>
    </row>
    <row r="41" spans="1:52" s="53" customFormat="1" ht="16" customHeight="1" thickBot="1" x14ac:dyDescent="0.35">
      <c r="A41" s="53">
        <f>_xlfn.XLOOKUP(B41,'UC MINI 2026 MINI NEXT'!$B$7:$B$63,'UC MINI 2026 MINI NEXT'!$A$7:$A$63)</f>
        <v>6</v>
      </c>
      <c r="B41" s="179">
        <v>100817</v>
      </c>
      <c r="C41" s="381" t="s">
        <v>69</v>
      </c>
      <c r="D41" s="51">
        <v>39349</v>
      </c>
      <c r="E41" s="309" t="s">
        <v>94</v>
      </c>
      <c r="F41" s="199">
        <f>IFERROR(VLOOKUP(B41,'[2]COMPRAS UC'!$R$11:$AF$66,3,0),0)</f>
        <v>0</v>
      </c>
      <c r="G41" s="23">
        <f>IFERROR(VLOOKUP(B41,'[2]COMPRAS YUC'!$R$10:$AF$63,3,0),0)</f>
        <v>1</v>
      </c>
      <c r="H41" s="87">
        <f>IFERROR(VLOOKUP(B41,'[2]COMPRAS UC'!$R$11:$AF$66,4,0),0)</f>
        <v>0</v>
      </c>
      <c r="I41" s="23">
        <f>IFERROR(VLOOKUP(B41,'[2]COMPRAS YUC'!$R$10:$AF$63,4,0),0)</f>
        <v>10</v>
      </c>
      <c r="J41" s="87">
        <f>IFERROR(VLOOKUP(B41,'[2]COMPRAS UC'!$R$11:$AF$66,5,0),0)</f>
        <v>0</v>
      </c>
      <c r="K41" s="23">
        <f>IFERROR(VLOOKUP(B41,'[2]COMPRAS YUC'!$R$10:$AF$63,5,0),0)</f>
        <v>3</v>
      </c>
      <c r="L41" s="87">
        <f>IFERROR(VLOOKUP(B41,'[2]COMPRAS UC'!$R$11:$AF$66,6,0),0)</f>
        <v>0</v>
      </c>
      <c r="M41" s="23">
        <f>IFERROR(VLOOKUP(B41,'[2]COMPRAS YUC'!$R$10:$AF$63,6,0),0)</f>
        <v>3</v>
      </c>
      <c r="N41" s="87">
        <f>IFERROR(VLOOKUP(B41,'[2]COMPRAS UC'!$R$11:$AF$66,7,0),0)</f>
        <v>1</v>
      </c>
      <c r="O41" s="23">
        <f>IFERROR(VLOOKUP(B41,'[2]COMPRAS YUC'!$R$10:$AF$63,7,0),0)</f>
        <v>2</v>
      </c>
      <c r="P41" s="87">
        <f>IFERROR(VLOOKUP(B41,'[2]COMPRAS UC'!$R$11:$AF$66,8,0),0)</f>
        <v>0</v>
      </c>
      <c r="Q41" s="23">
        <f>IFERROR(VLOOKUP(B41,'[2]COMPRAS YUC'!$R$10:$AF$63,8,0),0)</f>
        <v>0</v>
      </c>
      <c r="R41" s="87">
        <f>IFERROR(VLOOKUP(D41,'[2]COMPRAS UC'!$R$11:$AF$66,9,0),0)</f>
        <v>0</v>
      </c>
      <c r="S41" s="23">
        <f>IFERROR(VLOOKUP(D41,'[2]COMPRAS YUC'!$R$10:$AF$63,9,0),0)</f>
        <v>0</v>
      </c>
      <c r="T41" s="87">
        <f>IFERROR(VLOOKUP(F41,'[2]COMPRAS UC'!$R$11:$AF$66,10,0),0)</f>
        <v>0</v>
      </c>
      <c r="U41" s="23">
        <f>IFERROR(VLOOKUP(F41,'[2]COMPRAS YUC'!$R$10:$AF$63,10,0),0)</f>
        <v>0</v>
      </c>
      <c r="V41" s="87">
        <f>IFERROR(VLOOKUP(H41,'[2]COMPRAS UC'!$R$11:$AF$66,11,0),0)</f>
        <v>0</v>
      </c>
      <c r="W41" s="23">
        <f>IFERROR(VLOOKUP(H41,'[2]COMPRAS YUC'!$R$10:$AF$63,11,0),0)</f>
        <v>0</v>
      </c>
      <c r="X41" s="87">
        <f>IFERROR(VLOOKUP(J41,'[2]COMPRAS UC'!$R$11:$AF$66,12,0),0)</f>
        <v>0</v>
      </c>
      <c r="Y41" s="23">
        <f>IFERROR(VLOOKUP(J41,'[2]COMPRAS YUC'!$R$10:$AF$63,12,0),0)</f>
        <v>0</v>
      </c>
      <c r="Z41" s="87">
        <f>IFERROR(VLOOKUP(L41,'[2]COMPRAS UC'!$R$11:$AF$66,13,0),0)</f>
        <v>0</v>
      </c>
      <c r="AA41" s="23">
        <f>IFERROR(VLOOKUP(L41,'[2]COMPRAS YUC'!$R$10:$AF$63,13,0),0)</f>
        <v>0</v>
      </c>
      <c r="AB41" s="87">
        <f>IFERROR(VLOOKUP(N41,'[2]COMPRAS UC'!$R$11:$AF$66,14,0),0)</f>
        <v>0</v>
      </c>
      <c r="AC41" s="23">
        <f>IFERROR(VLOOKUP(N41,'[2]COMPRAS YUC'!$R$10:$AF$63,14,0),0)</f>
        <v>0</v>
      </c>
      <c r="AD41" s="268"/>
      <c r="AE41" s="79">
        <f t="shared" si="37"/>
        <v>1</v>
      </c>
      <c r="AF41" s="96">
        <f t="shared" si="37"/>
        <v>19</v>
      </c>
      <c r="AG41" s="228">
        <f t="shared" si="40"/>
        <v>20</v>
      </c>
      <c r="AH41" s="79">
        <f t="shared" si="41"/>
        <v>1</v>
      </c>
      <c r="AI41" s="96">
        <f t="shared" si="42"/>
        <v>19</v>
      </c>
      <c r="AJ41" s="228">
        <f>AH41+AI41</f>
        <v>20</v>
      </c>
      <c r="AK41" s="86">
        <f t="shared" si="38"/>
        <v>0</v>
      </c>
      <c r="AL41" s="96">
        <f t="shared" si="38"/>
        <v>0</v>
      </c>
      <c r="AM41" s="233">
        <f>AK41+AL41</f>
        <v>0</v>
      </c>
      <c r="AN41" s="79">
        <f t="shared" si="39"/>
        <v>1</v>
      </c>
      <c r="AO41" s="96">
        <f t="shared" si="39"/>
        <v>19</v>
      </c>
      <c r="AP41" s="228">
        <f>AN41+AO41</f>
        <v>20</v>
      </c>
      <c r="AQ41" s="53">
        <v>1</v>
      </c>
      <c r="AV41" s="53">
        <v>1</v>
      </c>
      <c r="AZ41" s="53">
        <f>SUM(L41:Q41)</f>
        <v>6</v>
      </c>
    </row>
    <row r="42" spans="1:52" s="53" customFormat="1" ht="16" customHeight="1" thickBot="1" x14ac:dyDescent="0.35">
      <c r="A42" s="53">
        <f>_xlfn.XLOOKUP(B42,'UC MINI 2026 MINI NEXT'!$B$7:$B$63,'UC MINI 2026 MINI NEXT'!$A$7:$A$63)</f>
        <v>0</v>
      </c>
      <c r="B42" s="180" t="s">
        <v>268</v>
      </c>
      <c r="C42" s="62"/>
      <c r="D42" s="80"/>
      <c r="E42" s="265"/>
      <c r="F42" s="259">
        <f t="shared" ref="F42:AC42" si="43">SUM(F37:F41)</f>
        <v>2</v>
      </c>
      <c r="G42" s="264">
        <f t="shared" si="43"/>
        <v>3</v>
      </c>
      <c r="H42" s="259">
        <f t="shared" si="43"/>
        <v>1</v>
      </c>
      <c r="I42" s="264">
        <f t="shared" si="43"/>
        <v>13</v>
      </c>
      <c r="J42" s="259">
        <f t="shared" si="43"/>
        <v>4</v>
      </c>
      <c r="K42" s="264">
        <f t="shared" si="43"/>
        <v>4</v>
      </c>
      <c r="L42" s="259">
        <f t="shared" si="43"/>
        <v>1</v>
      </c>
      <c r="M42" s="264">
        <f t="shared" si="43"/>
        <v>4</v>
      </c>
      <c r="N42" s="259">
        <f t="shared" si="43"/>
        <v>2</v>
      </c>
      <c r="O42" s="264">
        <f t="shared" si="43"/>
        <v>4</v>
      </c>
      <c r="P42" s="259">
        <f>SUM(P37:P41)</f>
        <v>7</v>
      </c>
      <c r="Q42" s="264">
        <f>SUM(Q37:Q41)</f>
        <v>0</v>
      </c>
      <c r="R42" s="259">
        <f t="shared" si="43"/>
        <v>0</v>
      </c>
      <c r="S42" s="264">
        <f t="shared" si="43"/>
        <v>0</v>
      </c>
      <c r="T42" s="259">
        <f t="shared" si="43"/>
        <v>0</v>
      </c>
      <c r="U42" s="264">
        <f t="shared" si="43"/>
        <v>0</v>
      </c>
      <c r="V42" s="259">
        <f t="shared" si="43"/>
        <v>0</v>
      </c>
      <c r="W42" s="264">
        <f t="shared" si="43"/>
        <v>0</v>
      </c>
      <c r="X42" s="259">
        <f t="shared" si="43"/>
        <v>0</v>
      </c>
      <c r="Y42" s="264">
        <f t="shared" si="43"/>
        <v>0</v>
      </c>
      <c r="Z42" s="259">
        <f t="shared" si="43"/>
        <v>0</v>
      </c>
      <c r="AA42" s="264">
        <f t="shared" si="43"/>
        <v>0</v>
      </c>
      <c r="AB42" s="259">
        <f t="shared" si="43"/>
        <v>0</v>
      </c>
      <c r="AC42" s="264">
        <f t="shared" si="43"/>
        <v>0</v>
      </c>
      <c r="AD42" s="271"/>
      <c r="AE42" s="94">
        <f t="shared" ref="AE42:AF45" si="44">IFERROR(IF($AD$4="ENERO",F42,IF($AD$4="FEBRERO",F42+H42,IF($AD$4="MARZO",F42+H42+J42,IF($AD$4="ABRIL",F42+H42+J42+L42,IF($AD$4="MAYO",F42+H42+J42+L42+N42,IF($AD$4="JUNIO",F42+H42+J42+L42+N42+P42,IF($AD$4="JULIO",F42+H42+J42+L42+N42+P42+R42,IF($AD$4="AGOSTO",F42+H42+J42+L42+N42+P42+R42+T42,IF($AD$4="SEPTIEMBRE",F42+H42+J42+L42+N42+P42+R42+T42+V42,IF($AD$4="OCTUBRE",F42+H42+J42+L42+N42+P42+R42+T42+V42+X42,IF($AD$4="NOVIEMBRE",F42+H42+J42+L42+N42+P42+R42+T42+V42+X42+Z42,IF($AD$4="DICIEMBRE",F42+H42+J42+L42+N42+P42+R42+T42+V42+X42+Z42+AB42,"")))))))))))),0)</f>
        <v>17</v>
      </c>
      <c r="AF42" s="425">
        <f t="shared" si="44"/>
        <v>28</v>
      </c>
      <c r="AG42" s="432">
        <f t="shared" si="40"/>
        <v>45</v>
      </c>
      <c r="AH42" s="94">
        <f t="shared" si="41"/>
        <v>17</v>
      </c>
      <c r="AI42" s="256">
        <f t="shared" si="42"/>
        <v>28</v>
      </c>
      <c r="AJ42" s="432">
        <f>SUM(AJ37:AJ41)</f>
        <v>43</v>
      </c>
      <c r="AK42" s="65">
        <f>SUM(AK25:AK41)</f>
        <v>0</v>
      </c>
      <c r="AL42" s="99">
        <f>SUM(AL25:AL41)</f>
        <v>0</v>
      </c>
      <c r="AM42" s="236">
        <f>SUM(AM25:AM41)</f>
        <v>0</v>
      </c>
      <c r="AN42" s="94">
        <f t="shared" ref="AN42:AO45" si="45">IFERROR(IF($AN$5="S 1",F42+H42+J42+L42+N42+P42,
IF($AN$5="S 2",R42+T42+V42+X42+Z42+AB42,0)),0)</f>
        <v>17</v>
      </c>
      <c r="AO42" s="425">
        <f t="shared" si="45"/>
        <v>28</v>
      </c>
      <c r="AP42" s="432">
        <f>SUM(AP37:AP41)</f>
        <v>43</v>
      </c>
      <c r="AQ42" s="53">
        <v>0</v>
      </c>
      <c r="AV42" s="53">
        <v>0</v>
      </c>
    </row>
    <row r="43" spans="1:52" s="53" customFormat="1" ht="16" customHeight="1" x14ac:dyDescent="0.3">
      <c r="A43" s="53">
        <f>_xlfn.XLOOKUP(B43,'UC MINI 2026 MINI NEXT'!$B$7:$B$63,'UC MINI 2026 MINI NEXT'!$A$7:$A$63)</f>
        <v>7</v>
      </c>
      <c r="B43" s="179">
        <v>100909</v>
      </c>
      <c r="C43" s="381" t="s">
        <v>255</v>
      </c>
      <c r="D43" s="51">
        <v>54468</v>
      </c>
      <c r="E43" s="309" t="s">
        <v>254</v>
      </c>
      <c r="F43" s="199">
        <f>IFERROR(VLOOKUP(B43,'[2]COMPRAS UC'!$R$11:$AF$66,3,0),0)</f>
        <v>0</v>
      </c>
      <c r="G43" s="23">
        <f>IFERROR(VLOOKUP(B43,'[2]COMPRAS YUC'!$R$10:$AF$63,3,0),0)</f>
        <v>11</v>
      </c>
      <c r="H43" s="87">
        <f>IFERROR(VLOOKUP(B43,'[2]COMPRAS UC'!$R$11:$AF$66,4,0),0)</f>
        <v>1</v>
      </c>
      <c r="I43" s="23">
        <f>IFERROR(VLOOKUP(B43,'[2]COMPRAS YUC'!$R$10:$AF$63,4,0),0)</f>
        <v>4</v>
      </c>
      <c r="J43" s="87">
        <f>IFERROR(VLOOKUP(B43,'[2]COMPRAS UC'!$R$11:$AF$66,5,0),0)</f>
        <v>1</v>
      </c>
      <c r="K43" s="23">
        <f>IFERROR(VLOOKUP(B43,'[2]COMPRAS YUC'!$R$10:$AF$63,5,0),0)</f>
        <v>0</v>
      </c>
      <c r="L43" s="87">
        <f>IFERROR(VLOOKUP(B43,'[2]COMPRAS UC'!$R$11:$AF$66,6,0),0)</f>
        <v>0</v>
      </c>
      <c r="M43" s="23">
        <f>IFERROR(VLOOKUP(B43,'[2]COMPRAS YUC'!$R$10:$AF$63,6,0),0)</f>
        <v>0</v>
      </c>
      <c r="N43" s="87">
        <f>IFERROR(VLOOKUP(B43,'[2]COMPRAS UC'!$R$11:$AF$66,7,0),0)</f>
        <v>2</v>
      </c>
      <c r="O43" s="23">
        <f>IFERROR(VLOOKUP(B43,'[2]COMPRAS YUC'!$R$10:$AF$63,7,0),0)</f>
        <v>0</v>
      </c>
      <c r="P43" s="87">
        <f>IFERROR(VLOOKUP(B43,'[2]COMPRAS UC'!$R$11:$AF$66,8,0),0)</f>
        <v>3</v>
      </c>
      <c r="Q43" s="23">
        <f>IFERROR(VLOOKUP(B43,'[2]COMPRAS YUC'!$R$10:$AF$63,8,0),0)</f>
        <v>0</v>
      </c>
      <c r="R43" s="87">
        <f>IFERROR(VLOOKUP(D43,'[2]COMPRAS UC'!$R$11:$AF$66,9,0),0)</f>
        <v>0</v>
      </c>
      <c r="S43" s="23">
        <f>IFERROR(VLOOKUP(D43,'[2]COMPRAS YUC'!$R$10:$AF$63,9,0),0)</f>
        <v>0</v>
      </c>
      <c r="T43" s="87">
        <f>IFERROR(VLOOKUP(F43,'[2]COMPRAS UC'!$R$11:$AF$66,10,0),0)</f>
        <v>0</v>
      </c>
      <c r="U43" s="23">
        <f>IFERROR(VLOOKUP(F43,'[2]COMPRAS YUC'!$R$10:$AF$63,10,0),0)</f>
        <v>0</v>
      </c>
      <c r="V43" s="87">
        <f>IFERROR(VLOOKUP(H43,'[2]COMPRAS UC'!$R$11:$AF$66,11,0),0)</f>
        <v>0</v>
      </c>
      <c r="W43" s="23">
        <f>IFERROR(VLOOKUP(H43,'[2]COMPRAS YUC'!$R$10:$AF$63,11,0),0)</f>
        <v>0</v>
      </c>
      <c r="X43" s="87">
        <f>IFERROR(VLOOKUP(J43,'[2]COMPRAS UC'!$R$11:$AF$66,12,0),0)</f>
        <v>0</v>
      </c>
      <c r="Y43" s="23">
        <f>IFERROR(VLOOKUP(J43,'[2]COMPRAS YUC'!$R$10:$AF$63,12,0),0)</f>
        <v>0</v>
      </c>
      <c r="Z43" s="87">
        <f>IFERROR(VLOOKUP(L43,'[2]COMPRAS UC'!$R$11:$AF$66,13,0),0)</f>
        <v>0</v>
      </c>
      <c r="AA43" s="23">
        <f>IFERROR(VLOOKUP(L43,'[2]COMPRAS YUC'!$R$10:$AF$63,13,0),0)</f>
        <v>0</v>
      </c>
      <c r="AB43" s="87">
        <f>IFERROR(VLOOKUP(N43,'[2]COMPRAS UC'!$R$11:$AF$66,14,0),0)</f>
        <v>0</v>
      </c>
      <c r="AC43" s="23">
        <f>IFERROR(VLOOKUP(N43,'[2]COMPRAS YUC'!$R$10:$AF$63,14,0),0)</f>
        <v>0</v>
      </c>
      <c r="AD43" s="272"/>
      <c r="AE43" s="266">
        <f t="shared" si="44"/>
        <v>7</v>
      </c>
      <c r="AF43" s="98">
        <f t="shared" si="44"/>
        <v>15</v>
      </c>
      <c r="AG43" s="231">
        <f t="shared" si="40"/>
        <v>22</v>
      </c>
      <c r="AH43" s="266">
        <f t="shared" si="41"/>
        <v>7</v>
      </c>
      <c r="AI43" s="98">
        <f t="shared" si="42"/>
        <v>15</v>
      </c>
      <c r="AJ43" s="231">
        <f>AH43+AI43</f>
        <v>22</v>
      </c>
      <c r="AK43" s="68">
        <f>IF($AK$5="Q1",F43+H43+J43,
IF($AK$5="Q2",L43+N43++P43,
IF($AK$5="Q3",R43+T43+V43,
IF($AK$5="Q4",X43+Z43+AB43,0))))</f>
        <v>0</v>
      </c>
      <c r="AL43" s="98">
        <f>IF($AK$5="Q1",G43+I43+K43,
IF($AK$5="Q2",M43+O43++Q43,
IF($AK$5="Q3",S43+U43+W43,
IF($AK$5="Q4",Y43+AA43+AC43,0))))</f>
        <v>0</v>
      </c>
      <c r="AM43" s="237">
        <f>AK43+AL43</f>
        <v>0</v>
      </c>
      <c r="AN43" s="266">
        <f t="shared" si="45"/>
        <v>7</v>
      </c>
      <c r="AO43" s="98">
        <f t="shared" si="45"/>
        <v>15</v>
      </c>
      <c r="AP43" s="231">
        <f>AN43+AO43</f>
        <v>22</v>
      </c>
      <c r="AQ43" s="53">
        <v>1</v>
      </c>
      <c r="AV43" s="53">
        <v>0</v>
      </c>
      <c r="AZ43" s="53">
        <f>SUM(L43:Q43)</f>
        <v>5</v>
      </c>
    </row>
    <row r="44" spans="1:52" s="53" customFormat="1" ht="16" customHeight="1" thickBot="1" x14ac:dyDescent="0.35">
      <c r="A44" s="53">
        <f>_xlfn.XLOOKUP(B44,'UC MINI 2026 MINI NEXT'!$B$7:$B$63,'UC MINI 2026 MINI NEXT'!$A$7:$A$63)</f>
        <v>7</v>
      </c>
      <c r="B44" s="179">
        <v>100572</v>
      </c>
      <c r="C44" s="381" t="s">
        <v>55</v>
      </c>
      <c r="D44" s="51">
        <v>8337</v>
      </c>
      <c r="E44" s="309" t="s">
        <v>274</v>
      </c>
      <c r="F44" s="199">
        <f>IFERROR(VLOOKUP(B44,'[2]COMPRAS UC'!$R$11:$AF$66,3,0),0)</f>
        <v>0</v>
      </c>
      <c r="G44" s="23">
        <f>IFERROR(VLOOKUP(B44,'[2]COMPRAS YUC'!$R$10:$AF$63,3,0),0)</f>
        <v>0</v>
      </c>
      <c r="H44" s="87">
        <f>IFERROR(VLOOKUP(B44,'[2]COMPRAS UC'!$R$11:$AF$66,4,0),0)</f>
        <v>0</v>
      </c>
      <c r="I44" s="23">
        <f>IFERROR(VLOOKUP(B44,'[2]COMPRAS YUC'!$R$10:$AF$63,4,0),0)</f>
        <v>2</v>
      </c>
      <c r="J44" s="87">
        <f>IFERROR(VLOOKUP(B44,'[2]COMPRAS UC'!$R$11:$AF$66,5,0),0)</f>
        <v>2</v>
      </c>
      <c r="K44" s="23">
        <f>IFERROR(VLOOKUP(B44,'[2]COMPRAS YUC'!$R$10:$AF$63,5,0),0)</f>
        <v>0</v>
      </c>
      <c r="L44" s="87">
        <f>IFERROR(VLOOKUP(B44,'[2]COMPRAS UC'!$R$11:$AF$66,6,0),0)</f>
        <v>0</v>
      </c>
      <c r="M44" s="23">
        <f>IFERROR(VLOOKUP(B44,'[2]COMPRAS YUC'!$R$10:$AF$63,6,0),0)</f>
        <v>0</v>
      </c>
      <c r="N44" s="87">
        <f>IFERROR(VLOOKUP(B44,'[2]COMPRAS UC'!$R$11:$AF$66,7,0),0)</f>
        <v>0</v>
      </c>
      <c r="O44" s="23">
        <f>IFERROR(VLOOKUP(B44,'[2]COMPRAS YUC'!$R$10:$AF$63,7,0),0)</f>
        <v>0</v>
      </c>
      <c r="P44" s="87">
        <f>IFERROR(VLOOKUP(B44,'[2]COMPRAS UC'!$R$11:$AF$66,8,0),0)</f>
        <v>2</v>
      </c>
      <c r="Q44" s="23">
        <f>IFERROR(VLOOKUP(B44,'[2]COMPRAS YUC'!$R$10:$AF$63,8,0),0)</f>
        <v>5</v>
      </c>
      <c r="R44" s="87">
        <f>IFERROR(VLOOKUP(D44,'[2]COMPRAS UC'!$R$11:$AF$66,9,0),0)</f>
        <v>0</v>
      </c>
      <c r="S44" s="23">
        <f>IFERROR(VLOOKUP(D44,'[2]COMPRAS YUC'!$R$10:$AF$63,9,0),0)</f>
        <v>0</v>
      </c>
      <c r="T44" s="87">
        <f>IFERROR(VLOOKUP(F44,'[2]COMPRAS UC'!$R$11:$AF$66,10,0),0)</f>
        <v>0</v>
      </c>
      <c r="U44" s="23">
        <f>IFERROR(VLOOKUP(F44,'[2]COMPRAS YUC'!$R$10:$AF$63,10,0),0)</f>
        <v>0</v>
      </c>
      <c r="V44" s="87">
        <f>IFERROR(VLOOKUP(H44,'[2]COMPRAS UC'!$R$11:$AF$66,11,0),0)</f>
        <v>0</v>
      </c>
      <c r="W44" s="23">
        <f>IFERROR(VLOOKUP(H44,'[2]COMPRAS YUC'!$R$10:$AF$63,11,0),0)</f>
        <v>0</v>
      </c>
      <c r="X44" s="87">
        <f>IFERROR(VLOOKUP(J44,'[2]COMPRAS UC'!$R$11:$AF$66,12,0),0)</f>
        <v>0</v>
      </c>
      <c r="Y44" s="23">
        <f>IFERROR(VLOOKUP(J44,'[2]COMPRAS YUC'!$R$10:$AF$63,12,0),0)</f>
        <v>0</v>
      </c>
      <c r="Z44" s="87">
        <f>IFERROR(VLOOKUP(L44,'[2]COMPRAS UC'!$R$11:$AF$66,13,0),0)</f>
        <v>0</v>
      </c>
      <c r="AA44" s="23">
        <f>IFERROR(VLOOKUP(L44,'[2]COMPRAS YUC'!$R$10:$AF$63,13,0),0)</f>
        <v>0</v>
      </c>
      <c r="AB44" s="87">
        <f>IFERROR(VLOOKUP(N44,'[2]COMPRAS UC'!$R$11:$AF$66,14,0),0)</f>
        <v>0</v>
      </c>
      <c r="AC44" s="23">
        <f>IFERROR(VLOOKUP(N44,'[2]COMPRAS YUC'!$R$10:$AF$63,14,0),0)</f>
        <v>0</v>
      </c>
      <c r="AD44" s="386"/>
      <c r="AE44" s="79">
        <f t="shared" si="44"/>
        <v>4</v>
      </c>
      <c r="AF44" s="96">
        <f t="shared" si="44"/>
        <v>7</v>
      </c>
      <c r="AG44" s="254">
        <f t="shared" si="40"/>
        <v>11</v>
      </c>
      <c r="AH44" s="79">
        <f t="shared" si="41"/>
        <v>4</v>
      </c>
      <c r="AI44" s="96">
        <f t="shared" si="42"/>
        <v>7</v>
      </c>
      <c r="AJ44" s="254">
        <f>AH44+AI44</f>
        <v>11</v>
      </c>
      <c r="AK44" s="86">
        <f>IF($AK$5="Q1",F44+H44+J44,
IF($AK$5="Q2",L44+N44++P44,
IF($AK$5="Q3",R44+T44+V44,
IF($AK$5="Q4",X44+Z44+AB44,0))))</f>
        <v>0</v>
      </c>
      <c r="AL44" s="96">
        <f>IF($AK$5="Q1",G44+I44+K44,
IF($AK$5="Q2",M44+O44++Q44,
IF($AK$5="Q3",S44+U44+W44,
IF($AK$5="Q4",Y44+AA44+AC44,0))))</f>
        <v>0</v>
      </c>
      <c r="AM44" s="255">
        <f>AK44+AL44</f>
        <v>0</v>
      </c>
      <c r="AN44" s="79">
        <f t="shared" si="45"/>
        <v>4</v>
      </c>
      <c r="AO44" s="96">
        <f t="shared" si="45"/>
        <v>7</v>
      </c>
      <c r="AP44" s="254">
        <f>AN44+AO44</f>
        <v>11</v>
      </c>
      <c r="AQ44" s="53">
        <v>1</v>
      </c>
      <c r="AV44" s="53">
        <v>0</v>
      </c>
      <c r="AZ44" s="53">
        <f>SUM(L44:Q44)</f>
        <v>7</v>
      </c>
    </row>
    <row r="45" spans="1:52" s="53" customFormat="1" ht="16" customHeight="1" thickBot="1" x14ac:dyDescent="0.35">
      <c r="A45" s="53">
        <f>_xlfn.XLOOKUP(B45,'UC MINI 2026 MINI NEXT'!$B$7:$B$63,'UC MINI 2026 MINI NEXT'!$A$7:$A$63)</f>
        <v>0</v>
      </c>
      <c r="B45" s="180" t="s">
        <v>269</v>
      </c>
      <c r="C45" s="62"/>
      <c r="D45" s="80"/>
      <c r="E45" s="265"/>
      <c r="F45" s="63">
        <f t="shared" ref="F45:AC45" si="46">SUM(F43:F44)</f>
        <v>0</v>
      </c>
      <c r="G45" s="264">
        <f t="shared" si="46"/>
        <v>11</v>
      </c>
      <c r="H45" s="63">
        <f t="shared" si="46"/>
        <v>1</v>
      </c>
      <c r="I45" s="264">
        <f t="shared" si="46"/>
        <v>6</v>
      </c>
      <c r="J45" s="63">
        <f t="shared" si="46"/>
        <v>3</v>
      </c>
      <c r="K45" s="264">
        <f t="shared" si="46"/>
        <v>0</v>
      </c>
      <c r="L45" s="63">
        <f t="shared" si="46"/>
        <v>0</v>
      </c>
      <c r="M45" s="264">
        <f t="shared" si="46"/>
        <v>0</v>
      </c>
      <c r="N45" s="63">
        <f t="shared" si="46"/>
        <v>2</v>
      </c>
      <c r="O45" s="264">
        <f t="shared" si="46"/>
        <v>0</v>
      </c>
      <c r="P45" s="63">
        <f>SUM(P43:P44)</f>
        <v>5</v>
      </c>
      <c r="Q45" s="264">
        <f>SUM(Q43:Q44)</f>
        <v>5</v>
      </c>
      <c r="R45" s="63">
        <f t="shared" si="46"/>
        <v>0</v>
      </c>
      <c r="S45" s="264">
        <f t="shared" si="46"/>
        <v>0</v>
      </c>
      <c r="T45" s="63">
        <f t="shared" si="46"/>
        <v>0</v>
      </c>
      <c r="U45" s="264">
        <f t="shared" si="46"/>
        <v>0</v>
      </c>
      <c r="V45" s="63">
        <f t="shared" si="46"/>
        <v>0</v>
      </c>
      <c r="W45" s="264">
        <f t="shared" si="46"/>
        <v>0</v>
      </c>
      <c r="X45" s="63">
        <f t="shared" si="46"/>
        <v>0</v>
      </c>
      <c r="Y45" s="264">
        <f t="shared" si="46"/>
        <v>0</v>
      </c>
      <c r="Z45" s="63">
        <f t="shared" si="46"/>
        <v>0</v>
      </c>
      <c r="AA45" s="264">
        <f t="shared" si="46"/>
        <v>0</v>
      </c>
      <c r="AB45" s="63">
        <f t="shared" si="46"/>
        <v>0</v>
      </c>
      <c r="AC45" s="264">
        <f t="shared" si="46"/>
        <v>0</v>
      </c>
      <c r="AD45" s="271"/>
      <c r="AE45" s="94">
        <f t="shared" si="44"/>
        <v>11</v>
      </c>
      <c r="AF45" s="256">
        <f t="shared" si="44"/>
        <v>22</v>
      </c>
      <c r="AG45" s="432">
        <f t="shared" si="40"/>
        <v>33</v>
      </c>
      <c r="AH45" s="94">
        <f t="shared" si="41"/>
        <v>11</v>
      </c>
      <c r="AI45" s="256">
        <f t="shared" si="42"/>
        <v>22</v>
      </c>
      <c r="AJ45" s="432">
        <f>SUM(AJ43:AJ44)</f>
        <v>33</v>
      </c>
      <c r="AK45" s="65">
        <f>SUM(AK30:AK44)</f>
        <v>0</v>
      </c>
      <c r="AL45" s="99">
        <f>SUM(AL30:AL44)</f>
        <v>0</v>
      </c>
      <c r="AM45" s="236">
        <f>SUM(AM30:AM44)</f>
        <v>0</v>
      </c>
      <c r="AN45" s="94">
        <f t="shared" si="45"/>
        <v>11</v>
      </c>
      <c r="AO45" s="256">
        <f t="shared" si="45"/>
        <v>22</v>
      </c>
      <c r="AP45" s="432">
        <f>SUM(AP43:AP44)</f>
        <v>33</v>
      </c>
      <c r="AQ45" s="53">
        <v>0</v>
      </c>
      <c r="AV45" s="53">
        <v>0</v>
      </c>
    </row>
    <row r="46" spans="1:52" s="53" customFormat="1" ht="16" customHeight="1" x14ac:dyDescent="0.3">
      <c r="A46" s="53">
        <f>_xlfn.XLOOKUP(B46,'UC MINI 2026 MINI NEXT'!$B$7:$B$63,'UC MINI 2026 MINI NEXT'!$A$7:$A$63)</f>
        <v>8</v>
      </c>
      <c r="B46" s="179">
        <v>100002</v>
      </c>
      <c r="C46" s="381" t="s">
        <v>61</v>
      </c>
      <c r="D46" s="51">
        <v>1357</v>
      </c>
      <c r="E46" s="309" t="s">
        <v>96</v>
      </c>
      <c r="F46" s="199">
        <f>IFERROR(VLOOKUP(B46,'[2]COMPRAS UC'!$R$11:$AF$66,3,0),0)</f>
        <v>0</v>
      </c>
      <c r="G46" s="23">
        <f>IFERROR(VLOOKUP(B46,'[2]COMPRAS YUC'!$R$10:$AF$63,3,0),0)</f>
        <v>0</v>
      </c>
      <c r="H46" s="87">
        <f>IFERROR(VLOOKUP(B46,'[2]COMPRAS UC'!$R$11:$AF$66,4,0),0)</f>
        <v>1</v>
      </c>
      <c r="I46" s="23">
        <f>IFERROR(VLOOKUP(B46,'[2]COMPRAS YUC'!$R$10:$AF$63,4,0),0)</f>
        <v>0</v>
      </c>
      <c r="J46" s="87">
        <f>IFERROR(VLOOKUP(B46,'[2]COMPRAS UC'!$R$11:$AF$66,5,0),0)</f>
        <v>1</v>
      </c>
      <c r="K46" s="23">
        <f>IFERROR(VLOOKUP(B46,'[2]COMPRAS YUC'!$R$10:$AF$63,5,0),0)</f>
        <v>0</v>
      </c>
      <c r="L46" s="87">
        <f>IFERROR(VLOOKUP(B46,'[2]COMPRAS UC'!$R$11:$AF$66,6,0),0)</f>
        <v>0</v>
      </c>
      <c r="M46" s="23">
        <f>IFERROR(VLOOKUP(B46,'[2]COMPRAS YUC'!$R$10:$AF$63,6,0),0)</f>
        <v>0</v>
      </c>
      <c r="N46" s="87">
        <f>IFERROR(VLOOKUP(B46,'[2]COMPRAS UC'!$R$11:$AF$66,7,0),0)</f>
        <v>2</v>
      </c>
      <c r="O46" s="23">
        <f>IFERROR(VLOOKUP(B46,'[2]COMPRAS YUC'!$R$10:$AF$63,7,0),0)</f>
        <v>0</v>
      </c>
      <c r="P46" s="87">
        <f>IFERROR(VLOOKUP(B46,'[2]COMPRAS UC'!$R$11:$AF$66,8,0),0)</f>
        <v>1</v>
      </c>
      <c r="Q46" s="23">
        <f>IFERROR(VLOOKUP(B46,'[2]COMPRAS YUC'!$R$10:$AF$63,8,0),0)</f>
        <v>0</v>
      </c>
      <c r="R46" s="87">
        <f>IFERROR(VLOOKUP(D46,'[2]COMPRAS UC'!$R$11:$AF$66,9,0),0)</f>
        <v>0</v>
      </c>
      <c r="S46" s="23">
        <f>IFERROR(VLOOKUP(D46,'[2]COMPRAS YUC'!$R$10:$AF$63,9,0),0)</f>
        <v>0</v>
      </c>
      <c r="T46" s="87">
        <f>IFERROR(VLOOKUP(F46,'[2]COMPRAS UC'!$R$11:$AF$66,10,0),0)</f>
        <v>0</v>
      </c>
      <c r="U46" s="23">
        <f>IFERROR(VLOOKUP(F46,'[2]COMPRAS YUC'!$R$10:$AF$63,10,0),0)</f>
        <v>0</v>
      </c>
      <c r="V46" s="87">
        <f>IFERROR(VLOOKUP(H46,'[2]COMPRAS UC'!$R$11:$AF$66,11,0),0)</f>
        <v>0</v>
      </c>
      <c r="W46" s="23">
        <f>IFERROR(VLOOKUP(H46,'[2]COMPRAS YUC'!$R$10:$AF$63,11,0),0)</f>
        <v>0</v>
      </c>
      <c r="X46" s="87">
        <f>IFERROR(VLOOKUP(J46,'[2]COMPRAS UC'!$R$11:$AF$66,12,0),0)</f>
        <v>0</v>
      </c>
      <c r="Y46" s="23">
        <f>IFERROR(VLOOKUP(J46,'[2]COMPRAS YUC'!$R$10:$AF$63,12,0),0)</f>
        <v>0</v>
      </c>
      <c r="Z46" s="87">
        <f>IFERROR(VLOOKUP(L46,'[2]COMPRAS UC'!$R$11:$AF$66,13,0),0)</f>
        <v>0</v>
      </c>
      <c r="AA46" s="23">
        <f>IFERROR(VLOOKUP(L46,'[2]COMPRAS YUC'!$R$10:$AF$63,13,0),0)</f>
        <v>0</v>
      </c>
      <c r="AB46" s="87">
        <f>IFERROR(VLOOKUP(N46,'[2]COMPRAS UC'!$R$11:$AF$66,14,0),0)</f>
        <v>0</v>
      </c>
      <c r="AC46" s="23">
        <f>IFERROR(VLOOKUP(N46,'[2]COMPRAS YUC'!$R$10:$AF$63,14,0),0)</f>
        <v>0</v>
      </c>
      <c r="AD46" s="272"/>
      <c r="AE46" s="266">
        <f t="shared" ref="AE46:AF49" si="47">IFERROR(IF($AD$4="ENERO",F46,IF($AD$4="FEBRERO",F46+H46,IF($AD$4="MARZO",F46+H46+J46,IF($AD$4="ABRIL",F46+H46+J46+L46,IF($AD$4="MAYO",F46+H46+J46+L46+N46,IF($AD$4="JUNIO",F46+H46+J46+L46+N46+P46,IF($AD$4="JULIO",F46+H46+J46+L46+N46+P46+R46,IF($AD$4="AGOSTO",F46+H46+J46+L46+N46+P46+R46+T46,IF($AD$4="SEPTIEMBRE",F46+H46+J46+L46+N46+P46+R46+T46+V46,IF($AD$4="OCTUBRE",F46+H46+J46+L46+N46+P46+R46+T46+V46+X46,IF($AD$4="NOVIEMBRE",F46+H46+J46+L46+N46+P46+R46+T46+V46+X46+Z46,IF($AD$4="DICIEMBRE",F46+H46+J46+L46+N46+P46+R46+T46+V46+X46+Z46+AB46,"")))))))))))),0)</f>
        <v>5</v>
      </c>
      <c r="AF46" s="98">
        <f t="shared" si="47"/>
        <v>0</v>
      </c>
      <c r="AG46" s="231">
        <f t="shared" si="40"/>
        <v>5</v>
      </c>
      <c r="AH46" s="266">
        <f t="shared" si="41"/>
        <v>5</v>
      </c>
      <c r="AI46" s="98">
        <f t="shared" si="42"/>
        <v>0</v>
      </c>
      <c r="AJ46" s="231">
        <f>AH46+AI46</f>
        <v>5</v>
      </c>
      <c r="AK46" s="68">
        <f t="shared" ref="AK46:AL49" si="48">IF($AK$5="Q1",F46+H46+J46,
IF($AK$5="Q2",L46+N46++P46,
IF($AK$5="Q3",R46+T46+V46,
IF($AK$5="Q4",X46+Z46+AB46,0))))</f>
        <v>0</v>
      </c>
      <c r="AL46" s="98">
        <f t="shared" si="48"/>
        <v>0</v>
      </c>
      <c r="AM46" s="237">
        <f>AK46+AL46</f>
        <v>0</v>
      </c>
      <c r="AN46" s="266">
        <f t="shared" ref="AN46:AO49" si="49">IFERROR(IF($AN$5="S 1",F46+H46+J46+L46+N46+P46,
IF($AN$5="S 2",R46+T46+V46+X46+Z46+AB46,0)),0)</f>
        <v>5</v>
      </c>
      <c r="AO46" s="98">
        <f t="shared" si="49"/>
        <v>0</v>
      </c>
      <c r="AP46" s="231">
        <f>AN46+AO46</f>
        <v>5</v>
      </c>
      <c r="AQ46" s="53">
        <v>1</v>
      </c>
      <c r="AV46" s="53">
        <v>0</v>
      </c>
      <c r="AZ46" s="53">
        <f>SUM(L46:Q46)</f>
        <v>3</v>
      </c>
    </row>
    <row r="47" spans="1:52" s="53" customFormat="1" ht="16" customHeight="1" x14ac:dyDescent="0.3">
      <c r="A47" s="53">
        <f>_xlfn.XLOOKUP(B47,'UC MINI 2026 MINI NEXT'!$B$7:$B$63,'UC MINI 2026 MINI NEXT'!$A$7:$A$63)</f>
        <v>8</v>
      </c>
      <c r="B47" s="179">
        <v>100062</v>
      </c>
      <c r="C47" s="381" t="s">
        <v>62</v>
      </c>
      <c r="D47" s="51">
        <v>9911</v>
      </c>
      <c r="E47" s="309" t="s">
        <v>97</v>
      </c>
      <c r="F47" s="199">
        <f>IFERROR(VLOOKUP(B47,'[2]COMPRAS UC'!$R$11:$AF$66,3,0),0)</f>
        <v>1</v>
      </c>
      <c r="G47" s="23">
        <f>IFERROR(VLOOKUP(B47,'[2]COMPRAS YUC'!$R$10:$AF$63,3,0),0)</f>
        <v>2</v>
      </c>
      <c r="H47" s="87">
        <f>IFERROR(VLOOKUP(B47,'[2]COMPRAS UC'!$R$11:$AF$66,4,0),0)</f>
        <v>1</v>
      </c>
      <c r="I47" s="23">
        <f>IFERROR(VLOOKUP(B47,'[2]COMPRAS YUC'!$R$10:$AF$63,4,0),0)</f>
        <v>1</v>
      </c>
      <c r="J47" s="87">
        <f>IFERROR(VLOOKUP(B47,'[2]COMPRAS UC'!$R$11:$AF$66,5,0),0)</f>
        <v>6</v>
      </c>
      <c r="K47" s="23">
        <f>IFERROR(VLOOKUP(B47,'[2]COMPRAS YUC'!$R$10:$AF$63,5,0),0)</f>
        <v>0</v>
      </c>
      <c r="L47" s="87">
        <f>IFERROR(VLOOKUP(B47,'[2]COMPRAS UC'!$R$11:$AF$66,6,0),0)</f>
        <v>2</v>
      </c>
      <c r="M47" s="23">
        <f>IFERROR(VLOOKUP(B47,'[2]COMPRAS YUC'!$R$10:$AF$63,6,0),0)</f>
        <v>7</v>
      </c>
      <c r="N47" s="87">
        <f>IFERROR(VLOOKUP(B47,'[2]COMPRAS UC'!$R$11:$AF$66,7,0),0)</f>
        <v>2</v>
      </c>
      <c r="O47" s="23">
        <f>IFERROR(VLOOKUP(B47,'[2]COMPRAS YUC'!$R$10:$AF$63,7,0),0)</f>
        <v>0</v>
      </c>
      <c r="P47" s="87">
        <f>IFERROR(VLOOKUP(B47,'[2]COMPRAS UC'!$R$11:$AF$66,8,0),0)</f>
        <v>0</v>
      </c>
      <c r="Q47" s="23">
        <f>IFERROR(VLOOKUP(B47,'[2]COMPRAS YUC'!$R$10:$AF$63,8,0),0)</f>
        <v>0</v>
      </c>
      <c r="R47" s="87">
        <f>IFERROR(VLOOKUP(D47,'[2]COMPRAS UC'!$R$11:$AF$66,9,0),0)</f>
        <v>0</v>
      </c>
      <c r="S47" s="23">
        <f>IFERROR(VLOOKUP(D47,'[2]COMPRAS YUC'!$R$10:$AF$63,9,0),0)</f>
        <v>0</v>
      </c>
      <c r="T47" s="87">
        <f>IFERROR(VLOOKUP(F47,'[2]COMPRAS UC'!$R$11:$AF$66,10,0),0)</f>
        <v>0</v>
      </c>
      <c r="U47" s="23">
        <f>IFERROR(VLOOKUP(F47,'[2]COMPRAS YUC'!$R$10:$AF$63,10,0),0)</f>
        <v>0</v>
      </c>
      <c r="V47" s="87">
        <f>IFERROR(VLOOKUP(H47,'[2]COMPRAS UC'!$R$11:$AF$66,11,0),0)</f>
        <v>0</v>
      </c>
      <c r="W47" s="23">
        <f>IFERROR(VLOOKUP(H47,'[2]COMPRAS YUC'!$R$10:$AF$63,11,0),0)</f>
        <v>0</v>
      </c>
      <c r="X47" s="87">
        <f>IFERROR(VLOOKUP(J47,'[2]COMPRAS UC'!$R$11:$AF$66,12,0),0)</f>
        <v>0</v>
      </c>
      <c r="Y47" s="23">
        <f>IFERROR(VLOOKUP(J47,'[2]COMPRAS YUC'!$R$10:$AF$63,12,0),0)</f>
        <v>0</v>
      </c>
      <c r="Z47" s="87">
        <f>IFERROR(VLOOKUP(L47,'[2]COMPRAS UC'!$R$11:$AF$66,13,0),0)</f>
        <v>0</v>
      </c>
      <c r="AA47" s="23">
        <f>IFERROR(VLOOKUP(L47,'[2]COMPRAS YUC'!$R$10:$AF$63,13,0),0)</f>
        <v>0</v>
      </c>
      <c r="AB47" s="87">
        <f>IFERROR(VLOOKUP(N47,'[2]COMPRAS UC'!$R$11:$AF$66,14,0),0)</f>
        <v>0</v>
      </c>
      <c r="AC47" s="23">
        <f>IFERROR(VLOOKUP(N47,'[2]COMPRAS YUC'!$R$10:$AF$63,14,0),0)</f>
        <v>0</v>
      </c>
      <c r="AD47" s="268"/>
      <c r="AE47" s="79">
        <f t="shared" si="47"/>
        <v>12</v>
      </c>
      <c r="AF47" s="96">
        <f t="shared" si="47"/>
        <v>10</v>
      </c>
      <c r="AG47" s="228">
        <f t="shared" si="40"/>
        <v>22</v>
      </c>
      <c r="AH47" s="79">
        <f t="shared" si="41"/>
        <v>12</v>
      </c>
      <c r="AI47" s="96">
        <f t="shared" si="42"/>
        <v>10</v>
      </c>
      <c r="AJ47" s="228">
        <f>AH47+AI47</f>
        <v>22</v>
      </c>
      <c r="AK47" s="86">
        <f t="shared" si="48"/>
        <v>0</v>
      </c>
      <c r="AL47" s="96">
        <f t="shared" si="48"/>
        <v>0</v>
      </c>
      <c r="AM47" s="233">
        <f>AK47+AL47</f>
        <v>0</v>
      </c>
      <c r="AN47" s="79">
        <f t="shared" si="49"/>
        <v>12</v>
      </c>
      <c r="AO47" s="96">
        <f t="shared" si="49"/>
        <v>10</v>
      </c>
      <c r="AP47" s="228">
        <f>AN47+AO47</f>
        <v>22</v>
      </c>
      <c r="AQ47" s="53">
        <v>1</v>
      </c>
      <c r="AV47" s="53">
        <v>0</v>
      </c>
      <c r="AZ47" s="53">
        <f>SUM(L47:Q47)</f>
        <v>11</v>
      </c>
    </row>
    <row r="48" spans="1:52" s="53" customFormat="1" ht="16" customHeight="1" x14ac:dyDescent="0.3">
      <c r="A48" s="53">
        <f>_xlfn.XLOOKUP(B48,'UC MINI 2026 MINI NEXT'!$B$7:$B$63,'UC MINI 2026 MINI NEXT'!$A$7:$A$63)</f>
        <v>8</v>
      </c>
      <c r="B48" s="179">
        <v>100206</v>
      </c>
      <c r="C48" s="381" t="s">
        <v>63</v>
      </c>
      <c r="D48" s="51">
        <v>9911</v>
      </c>
      <c r="E48" s="309" t="s">
        <v>97</v>
      </c>
      <c r="F48" s="199">
        <f>IFERROR(VLOOKUP(B48,'[2]COMPRAS UC'!$R$11:$AF$66,3,0),0)</f>
        <v>2</v>
      </c>
      <c r="G48" s="23">
        <f>IFERROR(VLOOKUP(B48,'[2]COMPRAS YUC'!$R$10:$AF$63,3,0),0)</f>
        <v>0</v>
      </c>
      <c r="H48" s="87">
        <f>IFERROR(VLOOKUP(B48,'[2]COMPRAS UC'!$R$11:$AF$66,4,0),0)</f>
        <v>6</v>
      </c>
      <c r="I48" s="23">
        <f>IFERROR(VLOOKUP(B48,'[2]COMPRAS YUC'!$R$10:$AF$63,4,0),0)</f>
        <v>2</v>
      </c>
      <c r="J48" s="87">
        <f>IFERROR(VLOOKUP(B48,'[2]COMPRAS UC'!$R$11:$AF$66,5,0),0)</f>
        <v>1</v>
      </c>
      <c r="K48" s="23">
        <f>IFERROR(VLOOKUP(B48,'[2]COMPRAS YUC'!$R$10:$AF$63,5,0),0)</f>
        <v>1</v>
      </c>
      <c r="L48" s="87">
        <f>IFERROR(VLOOKUP(B48,'[2]COMPRAS UC'!$R$11:$AF$66,6,0),0)</f>
        <v>4</v>
      </c>
      <c r="M48" s="23">
        <f>IFERROR(VLOOKUP(B48,'[2]COMPRAS YUC'!$R$10:$AF$63,6,0),0)</f>
        <v>7</v>
      </c>
      <c r="N48" s="87">
        <f>IFERROR(VLOOKUP(B48,'[2]COMPRAS UC'!$R$11:$AF$66,7,0),0)</f>
        <v>2</v>
      </c>
      <c r="O48" s="23">
        <f>IFERROR(VLOOKUP(B48,'[2]COMPRAS YUC'!$R$10:$AF$63,7,0),0)</f>
        <v>1</v>
      </c>
      <c r="P48" s="87">
        <f>IFERROR(VLOOKUP(B48,'[2]COMPRAS UC'!$R$11:$AF$66,8,0),0)</f>
        <v>0</v>
      </c>
      <c r="Q48" s="23">
        <f>IFERROR(VLOOKUP(B48,'[2]COMPRAS YUC'!$R$10:$AF$63,8,0),0)</f>
        <v>0</v>
      </c>
      <c r="R48" s="87">
        <f>IFERROR(VLOOKUP(D48,'[2]COMPRAS UC'!$R$11:$AF$66,9,0),0)</f>
        <v>0</v>
      </c>
      <c r="S48" s="23">
        <f>IFERROR(VLOOKUP(D48,'[2]COMPRAS YUC'!$R$10:$AF$63,9,0),0)</f>
        <v>0</v>
      </c>
      <c r="T48" s="87">
        <f>IFERROR(VLOOKUP(F48,'[2]COMPRAS UC'!$R$11:$AF$66,10,0),0)</f>
        <v>0</v>
      </c>
      <c r="U48" s="23">
        <f>IFERROR(VLOOKUP(F48,'[2]COMPRAS YUC'!$R$10:$AF$63,10,0),0)</f>
        <v>0</v>
      </c>
      <c r="V48" s="87">
        <f>IFERROR(VLOOKUP(H48,'[2]COMPRAS UC'!$R$11:$AF$66,11,0),0)</f>
        <v>0</v>
      </c>
      <c r="W48" s="23">
        <f>IFERROR(VLOOKUP(H48,'[2]COMPRAS YUC'!$R$10:$AF$63,11,0),0)</f>
        <v>0</v>
      </c>
      <c r="X48" s="87">
        <f>IFERROR(VLOOKUP(J48,'[2]COMPRAS UC'!$R$11:$AF$66,12,0),0)</f>
        <v>0</v>
      </c>
      <c r="Y48" s="23">
        <f>IFERROR(VLOOKUP(J48,'[2]COMPRAS YUC'!$R$10:$AF$63,12,0),0)</f>
        <v>0</v>
      </c>
      <c r="Z48" s="87">
        <f>IFERROR(VLOOKUP(L48,'[2]COMPRAS UC'!$R$11:$AF$66,13,0),0)</f>
        <v>0</v>
      </c>
      <c r="AA48" s="23">
        <f>IFERROR(VLOOKUP(L48,'[2]COMPRAS YUC'!$R$10:$AF$63,13,0),0)</f>
        <v>0</v>
      </c>
      <c r="AB48" s="87">
        <f>IFERROR(VLOOKUP(N48,'[2]COMPRAS UC'!$R$11:$AF$66,14,0),0)</f>
        <v>0</v>
      </c>
      <c r="AC48" s="23">
        <f>IFERROR(VLOOKUP(N48,'[2]COMPRAS YUC'!$R$10:$AF$63,14,0),0)</f>
        <v>0</v>
      </c>
      <c r="AD48" s="268"/>
      <c r="AE48" s="79">
        <f t="shared" si="47"/>
        <v>15</v>
      </c>
      <c r="AF48" s="96">
        <f t="shared" si="47"/>
        <v>11</v>
      </c>
      <c r="AG48" s="228">
        <f t="shared" si="40"/>
        <v>26</v>
      </c>
      <c r="AH48" s="79">
        <f t="shared" si="41"/>
        <v>15</v>
      </c>
      <c r="AI48" s="96">
        <f t="shared" si="42"/>
        <v>11</v>
      </c>
      <c r="AJ48" s="228">
        <f>AH48+AI48</f>
        <v>26</v>
      </c>
      <c r="AK48" s="86">
        <f t="shared" si="48"/>
        <v>0</v>
      </c>
      <c r="AL48" s="96">
        <f t="shared" si="48"/>
        <v>0</v>
      </c>
      <c r="AM48" s="233">
        <f>AK48+AL48</f>
        <v>0</v>
      </c>
      <c r="AN48" s="79">
        <f t="shared" si="49"/>
        <v>15</v>
      </c>
      <c r="AO48" s="96">
        <f t="shared" si="49"/>
        <v>11</v>
      </c>
      <c r="AP48" s="228">
        <f>AN48+AO48</f>
        <v>26</v>
      </c>
      <c r="AQ48" s="53">
        <v>1</v>
      </c>
      <c r="AV48" s="53">
        <v>0</v>
      </c>
      <c r="AZ48" s="53">
        <f>SUM(L48:Q48)</f>
        <v>14</v>
      </c>
    </row>
    <row r="49" spans="1:52" s="70" customFormat="1" ht="16" customHeight="1" x14ac:dyDescent="0.3">
      <c r="A49" s="53">
        <f>_xlfn.XLOOKUP(B49,'UC MINI 2026 MINI NEXT'!$B$7:$B$63,'UC MINI 2026 MINI NEXT'!$A$7:$A$63)</f>
        <v>8</v>
      </c>
      <c r="B49" s="179">
        <v>100394</v>
      </c>
      <c r="C49" s="381" t="s">
        <v>64</v>
      </c>
      <c r="D49" s="51">
        <v>1357</v>
      </c>
      <c r="E49" s="309" t="s">
        <v>96</v>
      </c>
      <c r="F49" s="199">
        <f>IFERROR(VLOOKUP(B49,'[2]COMPRAS UC'!$R$11:$AF$66,3,0),0)</f>
        <v>0</v>
      </c>
      <c r="G49" s="23">
        <f>IFERROR(VLOOKUP(B49,'[2]COMPRAS YUC'!$R$10:$AF$63,3,0),0)</f>
        <v>0</v>
      </c>
      <c r="H49" s="87">
        <f>IFERROR(VLOOKUP(B49,'[2]COMPRAS UC'!$R$11:$AF$66,4,0),0)</f>
        <v>2</v>
      </c>
      <c r="I49" s="23">
        <f>IFERROR(VLOOKUP(B49,'[2]COMPRAS YUC'!$R$10:$AF$63,4,0),0)</f>
        <v>1</v>
      </c>
      <c r="J49" s="87">
        <f>IFERROR(VLOOKUP(B49,'[2]COMPRAS UC'!$R$11:$AF$66,5,0),0)</f>
        <v>0</v>
      </c>
      <c r="K49" s="23">
        <f>IFERROR(VLOOKUP(B49,'[2]COMPRAS YUC'!$R$10:$AF$63,5,0),0)</f>
        <v>0</v>
      </c>
      <c r="L49" s="87">
        <f>IFERROR(VLOOKUP(B49,'[2]COMPRAS UC'!$R$11:$AF$66,6,0),0)</f>
        <v>1</v>
      </c>
      <c r="M49" s="23">
        <f>IFERROR(VLOOKUP(B49,'[2]COMPRAS YUC'!$R$10:$AF$63,6,0),0)</f>
        <v>0</v>
      </c>
      <c r="N49" s="87">
        <f>IFERROR(VLOOKUP(B49,'[2]COMPRAS UC'!$R$11:$AF$66,7,0),0)</f>
        <v>0</v>
      </c>
      <c r="O49" s="23">
        <f>IFERROR(VLOOKUP(B49,'[2]COMPRAS YUC'!$R$10:$AF$63,7,0),0)</f>
        <v>0</v>
      </c>
      <c r="P49" s="87">
        <f>IFERROR(VLOOKUP(B49,'[2]COMPRAS UC'!$R$11:$AF$66,8,0),0)</f>
        <v>0</v>
      </c>
      <c r="Q49" s="23">
        <f>IFERROR(VLOOKUP(B49,'[2]COMPRAS YUC'!$R$10:$AF$63,8,0),0)</f>
        <v>0</v>
      </c>
      <c r="R49" s="87">
        <f>IFERROR(VLOOKUP(D49,'[2]COMPRAS UC'!$R$11:$AF$66,9,0),0)</f>
        <v>0</v>
      </c>
      <c r="S49" s="23">
        <f>IFERROR(VLOOKUP(D49,'[2]COMPRAS YUC'!$R$10:$AF$63,9,0),0)</f>
        <v>0</v>
      </c>
      <c r="T49" s="87">
        <f>IFERROR(VLOOKUP(F49,'[2]COMPRAS UC'!$R$11:$AF$66,10,0),0)</f>
        <v>0</v>
      </c>
      <c r="U49" s="23">
        <f>IFERROR(VLOOKUP(F49,'[2]COMPRAS YUC'!$R$10:$AF$63,10,0),0)</f>
        <v>0</v>
      </c>
      <c r="V49" s="87">
        <f>IFERROR(VLOOKUP(H49,'[2]COMPRAS UC'!$R$11:$AF$66,11,0),0)</f>
        <v>0</v>
      </c>
      <c r="W49" s="23">
        <f>IFERROR(VLOOKUP(H49,'[2]COMPRAS YUC'!$R$10:$AF$63,11,0),0)</f>
        <v>0</v>
      </c>
      <c r="X49" s="87">
        <f>IFERROR(VLOOKUP(J49,'[2]COMPRAS UC'!$R$11:$AF$66,12,0),0)</f>
        <v>0</v>
      </c>
      <c r="Y49" s="23">
        <f>IFERROR(VLOOKUP(J49,'[2]COMPRAS YUC'!$R$10:$AF$63,12,0),0)</f>
        <v>0</v>
      </c>
      <c r="Z49" s="87">
        <f>IFERROR(VLOOKUP(L49,'[2]COMPRAS UC'!$R$11:$AF$66,13,0),0)</f>
        <v>0</v>
      </c>
      <c r="AA49" s="23">
        <f>IFERROR(VLOOKUP(L49,'[2]COMPRAS YUC'!$R$10:$AF$63,13,0),0)</f>
        <v>0</v>
      </c>
      <c r="AB49" s="87">
        <f>IFERROR(VLOOKUP(N49,'[2]COMPRAS UC'!$R$11:$AF$66,14,0),0)</f>
        <v>0</v>
      </c>
      <c r="AC49" s="23">
        <f>IFERROR(VLOOKUP(N49,'[2]COMPRAS YUC'!$R$10:$AF$63,14,0),0)</f>
        <v>0</v>
      </c>
      <c r="AD49" s="268"/>
      <c r="AE49" s="79">
        <f t="shared" si="47"/>
        <v>3</v>
      </c>
      <c r="AF49" s="96">
        <f t="shared" si="47"/>
        <v>1</v>
      </c>
      <c r="AG49" s="228">
        <f t="shared" si="40"/>
        <v>4</v>
      </c>
      <c r="AH49" s="79">
        <f t="shared" si="41"/>
        <v>3</v>
      </c>
      <c r="AI49" s="96">
        <f t="shared" si="42"/>
        <v>1</v>
      </c>
      <c r="AJ49" s="228">
        <f>AH49+AI49</f>
        <v>4</v>
      </c>
      <c r="AK49" s="86">
        <f t="shared" si="48"/>
        <v>0</v>
      </c>
      <c r="AL49" s="96">
        <f t="shared" si="48"/>
        <v>0</v>
      </c>
      <c r="AM49" s="233">
        <f>AK49+AL49</f>
        <v>0</v>
      </c>
      <c r="AN49" s="79">
        <f t="shared" si="49"/>
        <v>3</v>
      </c>
      <c r="AO49" s="96">
        <f t="shared" si="49"/>
        <v>1</v>
      </c>
      <c r="AP49" s="228">
        <f>AN49+AO49</f>
        <v>4</v>
      </c>
      <c r="AQ49" s="53">
        <v>1</v>
      </c>
      <c r="AV49" s="70">
        <v>0</v>
      </c>
      <c r="AZ49" s="53">
        <f>SUM(L49:Q49)</f>
        <v>1</v>
      </c>
    </row>
    <row r="50" spans="1:52" s="70" customFormat="1" ht="16" customHeight="1" thickBot="1" x14ac:dyDescent="0.35">
      <c r="A50" s="53">
        <v>8</v>
      </c>
      <c r="B50" s="179">
        <v>100468</v>
      </c>
      <c r="C50" s="381" t="s">
        <v>65</v>
      </c>
      <c r="D50" s="51">
        <v>9911</v>
      </c>
      <c r="E50" s="309" t="s">
        <v>97</v>
      </c>
      <c r="F50" s="199">
        <f>IFERROR(VLOOKUP(B50,'[2]COMPRAS UC'!$R$11:$AF$66,3,0),0)</f>
        <v>0</v>
      </c>
      <c r="G50" s="23">
        <f>IFERROR(VLOOKUP(B50,'[2]COMPRAS YUC'!$R$10:$AF$63,3,0),0)</f>
        <v>0</v>
      </c>
      <c r="H50" s="87">
        <f>IFERROR(VLOOKUP(B50,'[2]COMPRAS UC'!$R$11:$AF$66,4,0),0)</f>
        <v>1</v>
      </c>
      <c r="I50" s="23">
        <f>IFERROR(VLOOKUP(B50,'[2]COMPRAS YUC'!$R$10:$AF$63,4,0),0)</f>
        <v>0</v>
      </c>
      <c r="J50" s="87">
        <f>IFERROR(VLOOKUP(B50,'[2]COMPRAS UC'!$R$11:$AF$66,5,0),0)</f>
        <v>1</v>
      </c>
      <c r="K50" s="23">
        <f>IFERROR(VLOOKUP(B50,'[2]COMPRAS YUC'!$R$10:$AF$63,5,0),0)</f>
        <v>4</v>
      </c>
      <c r="L50" s="87">
        <f>IFERROR(VLOOKUP(B50,'[2]COMPRAS UC'!$R$11:$AF$66,6,0),0)</f>
        <v>1</v>
      </c>
      <c r="M50" s="23">
        <f>IFERROR(VLOOKUP(B50,'[2]COMPRAS YUC'!$R$10:$AF$63,6,0),0)</f>
        <v>1</v>
      </c>
      <c r="N50" s="87">
        <f>IFERROR(VLOOKUP(B50,'[2]COMPRAS UC'!$R$11:$AF$66,7,0),0)</f>
        <v>2</v>
      </c>
      <c r="O50" s="23">
        <f>IFERROR(VLOOKUP(B50,'[2]COMPRAS YUC'!$R$10:$AF$63,7,0),0)</f>
        <v>1</v>
      </c>
      <c r="P50" s="87">
        <f>IFERROR(VLOOKUP(B50,'[2]COMPRAS UC'!$R$11:$AF$66,8,0),0)</f>
        <v>7</v>
      </c>
      <c r="Q50" s="23">
        <f>IFERROR(VLOOKUP(B50,'[2]COMPRAS YUC'!$R$10:$AF$63,8,0),0)</f>
        <v>1</v>
      </c>
      <c r="R50" s="87">
        <f>IFERROR(VLOOKUP(D50,'[2]COMPRAS UC'!$R$11:$AF$66,9,0),0)</f>
        <v>0</v>
      </c>
      <c r="S50" s="23">
        <f>IFERROR(VLOOKUP(D50,'[2]COMPRAS YUC'!$R$10:$AF$63,9,0),0)</f>
        <v>0</v>
      </c>
      <c r="T50" s="87">
        <f>IFERROR(VLOOKUP(F50,'[2]COMPRAS UC'!$R$11:$AF$66,10,0),0)</f>
        <v>0</v>
      </c>
      <c r="U50" s="23">
        <f>IFERROR(VLOOKUP(F50,'[2]COMPRAS YUC'!$R$10:$AF$63,10,0),0)</f>
        <v>0</v>
      </c>
      <c r="V50" s="87">
        <f>IFERROR(VLOOKUP(H50,'[2]COMPRAS UC'!$R$11:$AF$66,11,0),0)</f>
        <v>0</v>
      </c>
      <c r="W50" s="23">
        <f>IFERROR(VLOOKUP(H50,'[2]COMPRAS YUC'!$R$10:$AF$63,11,0),0)</f>
        <v>0</v>
      </c>
      <c r="X50" s="87">
        <f>IFERROR(VLOOKUP(J50,'[2]COMPRAS UC'!$R$11:$AF$66,12,0),0)</f>
        <v>0</v>
      </c>
      <c r="Y50" s="23">
        <f>IFERROR(VLOOKUP(J50,'[2]COMPRAS YUC'!$R$10:$AF$63,12,0),0)</f>
        <v>0</v>
      </c>
      <c r="Z50" s="87">
        <f>IFERROR(VLOOKUP(L50,'[2]COMPRAS UC'!$R$11:$AF$66,13,0),0)</f>
        <v>0</v>
      </c>
      <c r="AA50" s="23">
        <f>IFERROR(VLOOKUP(L50,'[2]COMPRAS YUC'!$R$10:$AF$63,13,0),0)</f>
        <v>0</v>
      </c>
      <c r="AB50" s="87">
        <f>IFERROR(VLOOKUP(N50,'[2]COMPRAS UC'!$R$11:$AF$66,14,0),0)</f>
        <v>0</v>
      </c>
      <c r="AC50" s="23">
        <f>IFERROR(VLOOKUP(N50,'[2]COMPRAS YUC'!$R$10:$AF$63,14,0),0)</f>
        <v>0</v>
      </c>
      <c r="AD50" s="270"/>
      <c r="AE50" s="79">
        <f>IFERROR(IF($AD$4="ENERO",F50,IF($AD$4="FEBRERO",F50+H50,IF($AD$4="MARZO",F50+H50+J50,IF($AD$4="ABRIL",F50+H50+J50+L50,IF($AD$4="MAYO",F50+H50+J50+L50+N50,IF($AD$4="JUNIO",F50+H50+J50+L50+N50+P50,IF($AD$4="JULIO",F50+H50+J50+L50+N50+P50+R50,IF($AD$4="AGOSTO",F50+H50+J50+L50+N50+P50+R50+T50,IF($AD$4="SEPTIEMBRE",F50+H50+J50+L50+N50+P50+R50+T50+V50,IF($AD$4="OCTUBRE",F50+H50+J50+L50+N50+P50+R50+T50+V50+X50,IF($AD$4="NOVIEMBRE",F50+H50+J50+L50+N50+P50+R50+T50+V50+X50+Z50,IF($AD$4="DICIEMBRE",F50+H50+J50+L50+N50+P50+R50+T50+V50+X50+Z50+AB50,"")))))))))))),0)</f>
        <v>12</v>
      </c>
      <c r="AF50" s="96">
        <f>IFERROR(IF($AD$4="ENERO",G50,IF($AD$4="FEBRERO",G50+I50,IF($AD$4="MARZO",G50+I50+K50,IF($AD$4="ABRIL",G50+I50+K50+M50,IF($AD$4="MAYO",G50+I50+K50+M50+O50,IF($AD$4="JUNIO",G50+I50+K50+M50+O50+Q50,IF($AD$4="JULIO",G50+I50+K50+M50+O50+Q50+S50,IF($AD$4="AGOSTO",G50+I50+K50+M50+O50+Q50+S50+U50,IF($AD$4="SEPTIEMBRE",G50+I50+K50+M50+O50+Q50+S50+U50+W50,IF($AD$4="OCTUBRE",G50+I50+K50+M50+O50+Q50+S50+U50+W50+Y50,IF($AD$4="NOVIEMBRE",G50+I50+K50+M50+O50+Q50+S50+U50+W50+Y50+AA50,IF($AD$4="DICIEMBRE",G50+I50+K50+M50+O50+Q50+S50+U50+W50+Y50+AA50+AC50,"")))))))))))),0)</f>
        <v>7</v>
      </c>
      <c r="AG50" s="228">
        <f t="shared" si="40"/>
        <v>19</v>
      </c>
      <c r="AH50" s="79">
        <f t="shared" si="41"/>
        <v>12</v>
      </c>
      <c r="AI50" s="96">
        <f t="shared" si="42"/>
        <v>7</v>
      </c>
      <c r="AJ50" s="228">
        <f>AH50+AI50</f>
        <v>19</v>
      </c>
      <c r="AK50" s="191"/>
      <c r="AL50" s="188"/>
      <c r="AM50" s="235"/>
      <c r="AN50" s="79">
        <f>IFERROR(IF($AN$5="S 1",F50+H50+J50+L50+N50+P50,
IF($AN$5="S 2",R50+T50+V50+X50+Z50+AB50,0)),0)</f>
        <v>12</v>
      </c>
      <c r="AO50" s="96">
        <f>IFERROR(IF($AN$5="S 1",G50+I50+K50+M50+O50+Q50,
IF($AN$5="S 2",S50+U50+W50+Y50+AA50+AC50,0)),0)</f>
        <v>7</v>
      </c>
      <c r="AP50" s="228">
        <f>AN50+AO50</f>
        <v>19</v>
      </c>
      <c r="AQ50" s="53"/>
      <c r="AV50" s="70">
        <v>0</v>
      </c>
      <c r="AZ50" s="53"/>
    </row>
    <row r="51" spans="1:52" s="53" customFormat="1" ht="16" customHeight="1" thickBot="1" x14ac:dyDescent="0.35">
      <c r="A51" s="53" t="e">
        <f>_xlfn.XLOOKUP(B51,'UC MINI 2026 MINI NEXT'!$B$7:$B$63,'UC MINI 2026 MINI NEXT'!$A$7:$A$63)</f>
        <v>#N/A</v>
      </c>
      <c r="B51" s="180" t="s">
        <v>270</v>
      </c>
      <c r="C51" s="62"/>
      <c r="D51" s="80"/>
      <c r="E51" s="265"/>
      <c r="F51" s="63">
        <f t="shared" ref="F51:AC51" si="50">SUM(F46:F50)</f>
        <v>3</v>
      </c>
      <c r="G51" s="63">
        <f t="shared" si="50"/>
        <v>2</v>
      </c>
      <c r="H51" s="63">
        <f t="shared" si="50"/>
        <v>11</v>
      </c>
      <c r="I51" s="63">
        <f t="shared" si="50"/>
        <v>4</v>
      </c>
      <c r="J51" s="63">
        <f t="shared" si="50"/>
        <v>9</v>
      </c>
      <c r="K51" s="63">
        <f t="shared" si="50"/>
        <v>5</v>
      </c>
      <c r="L51" s="63">
        <f t="shared" si="50"/>
        <v>8</v>
      </c>
      <c r="M51" s="63">
        <f t="shared" si="50"/>
        <v>15</v>
      </c>
      <c r="N51" s="63">
        <f t="shared" si="50"/>
        <v>8</v>
      </c>
      <c r="O51" s="63">
        <f t="shared" si="50"/>
        <v>2</v>
      </c>
      <c r="P51" s="63">
        <f>SUM(P46:P50)</f>
        <v>8</v>
      </c>
      <c r="Q51" s="63">
        <f>SUM(Q46:Q50)</f>
        <v>1</v>
      </c>
      <c r="R51" s="63">
        <f t="shared" si="50"/>
        <v>0</v>
      </c>
      <c r="S51" s="63">
        <f t="shared" si="50"/>
        <v>0</v>
      </c>
      <c r="T51" s="63">
        <f t="shared" si="50"/>
        <v>0</v>
      </c>
      <c r="U51" s="63">
        <f t="shared" si="50"/>
        <v>0</v>
      </c>
      <c r="V51" s="63">
        <f t="shared" si="50"/>
        <v>0</v>
      </c>
      <c r="W51" s="63">
        <f t="shared" si="50"/>
        <v>0</v>
      </c>
      <c r="X51" s="63">
        <f t="shared" si="50"/>
        <v>0</v>
      </c>
      <c r="Y51" s="63">
        <f t="shared" si="50"/>
        <v>0</v>
      </c>
      <c r="Z51" s="63">
        <f t="shared" si="50"/>
        <v>0</v>
      </c>
      <c r="AA51" s="63">
        <f t="shared" si="50"/>
        <v>0</v>
      </c>
      <c r="AB51" s="63">
        <f t="shared" si="50"/>
        <v>0</v>
      </c>
      <c r="AC51" s="63">
        <f t="shared" si="50"/>
        <v>0</v>
      </c>
      <c r="AD51" s="271"/>
      <c r="AE51" s="94">
        <f>IFERROR(IF($AD$4="ENERO",F51,IF($AD$4="FEBRERO",F51+H51,IF($AD$4="MARZO",F51+H51+J51,IF($AD$4="ABRIL",F51+H51+J51+L51,IF($AD$4="MAYO",F51+H51+J51+L51+N51,IF($AD$4="JUNIO",F51+H51+J51+L51+N51+P51,IF($AD$4="JULIO",F51+H51+J51+L51+N51+P51+R51,IF($AD$4="AGOSTO",F51+H51+J51+L51+N51+P51+R51+T51,IF($AD$4="SEPTIEMBRE",F51+H51+J51+L51+N51+P51+R51+T51+V51,IF($AD$4="OCTUBRE",F51+H51+J51+L51+N51+P51+R51+T51+V51+X51,IF($AD$4="NOVIEMBRE",F51+H51+J51+L51+N51+P51+R51+T51+V51+X51+Z51,IF($AD$4="DICIEMBRE",F51+H51+J51+L51+N51+P51+R51+T51+V51+X51+Z51+AB51,"")))))))))))),0)</f>
        <v>47</v>
      </c>
      <c r="AF51" s="256">
        <f>IFERROR(IF($AD$4="ENERO",G51,IF($AD$4="FEBRERO",G51+I51,IF($AD$4="MARZO",G51+I51+K51,IF($AD$4="ABRIL",G51+I51+K51+M51,IF($AD$4="MAYO",G51+I51+K51+M51+O51,IF($AD$4="JUNIO",G51+I51+K51+M51+O51+Q51,IF($AD$4="JULIO",G51+I51+K51+M51+O51+Q51+S51,IF($AD$4="AGOSTO",G51+I51+K51+M51+O51+Q51+S51+U51,IF($AD$4="SEPTIEMBRE",G51+I51+K51+M51+O51+Q51+S51+U51+W51,IF($AD$4="OCTUBRE",G51+I51+K51+M51+O51+Q51+S51+U51+W51+Y51,IF($AD$4="NOVIEMBRE",G51+I51+K51+M51+O51+Q51+S51+U51+W51+Y51+AA51,IF($AD$4="DICIEMBRE",G51+I51+K51+M51+O51+Q51+S51+U51+W51+Y51+AA51+AC51,"")))))))))))),0)</f>
        <v>29</v>
      </c>
      <c r="AG51" s="432">
        <f t="shared" si="40"/>
        <v>76</v>
      </c>
      <c r="AH51" s="94">
        <f t="shared" si="41"/>
        <v>47</v>
      </c>
      <c r="AI51" s="256">
        <f t="shared" si="42"/>
        <v>29</v>
      </c>
      <c r="AJ51" s="432">
        <f>SUM(AJ46:AJ50)</f>
        <v>76</v>
      </c>
      <c r="AK51" s="65">
        <f>SUM(AK36:AK49)</f>
        <v>0</v>
      </c>
      <c r="AL51" s="99">
        <f>SUM(AL36:AL49)</f>
        <v>0</v>
      </c>
      <c r="AM51" s="236">
        <f>SUM(AM36:AM49)</f>
        <v>0</v>
      </c>
      <c r="AN51" s="94">
        <f>IFERROR(IF($AN$5="S 1",F51+H51+J51+L51+N51+P51,
IF($AN$5="S 2",R51+T51+V51+X51+Z51+AB51,0)),0)</f>
        <v>47</v>
      </c>
      <c r="AO51" s="256">
        <f>IFERROR(IF($AN$5="S 1",G51+I51+K51+M51+O51+Q51,
IF($AN$5="S 2",S51+U51+W51+Y51+AA51+AC51,0)),0)</f>
        <v>29</v>
      </c>
      <c r="AP51" s="432">
        <f>SUM(AP46:AP50)</f>
        <v>76</v>
      </c>
      <c r="AQ51" s="53">
        <v>0</v>
      </c>
      <c r="AV51" s="53">
        <v>0</v>
      </c>
    </row>
    <row r="52" spans="1:52" s="53" customFormat="1" ht="16" customHeight="1" x14ac:dyDescent="0.3">
      <c r="A52" s="53">
        <f>_xlfn.XLOOKUP(B52,'UC MINI 2026 MINI NEXT'!$B$7:$B$63,'UC MINI 2026 MINI NEXT'!$A$7:$A$63)</f>
        <v>9</v>
      </c>
      <c r="B52" s="179">
        <v>100734</v>
      </c>
      <c r="C52" s="381" t="s">
        <v>59</v>
      </c>
      <c r="D52" s="51">
        <v>39812</v>
      </c>
      <c r="E52" s="309" t="s">
        <v>95</v>
      </c>
      <c r="F52" s="199">
        <f>IFERROR(VLOOKUP(B52,'[2]COMPRAS UC'!$R$11:$AF$66,3,0),0)</f>
        <v>0</v>
      </c>
      <c r="G52" s="23">
        <f>IFERROR(VLOOKUP(B52,'[2]COMPRAS YUC'!$R$10:$AF$63,3,0),0)</f>
        <v>1</v>
      </c>
      <c r="H52" s="87">
        <f>IFERROR(VLOOKUP(B52,'[2]COMPRAS UC'!$R$11:$AF$66,4,0),0)</f>
        <v>1</v>
      </c>
      <c r="I52" s="23">
        <f>IFERROR(VLOOKUP(B52,'[2]COMPRAS YUC'!$R$10:$AF$63,4,0),0)</f>
        <v>3</v>
      </c>
      <c r="J52" s="87">
        <f>IFERROR(VLOOKUP(B52,'[2]COMPRAS UC'!$R$11:$AF$66,5,0),0)</f>
        <v>2</v>
      </c>
      <c r="K52" s="23">
        <f>IFERROR(VLOOKUP(B52,'[2]COMPRAS YUC'!$R$10:$AF$63,5,0),0)</f>
        <v>1</v>
      </c>
      <c r="L52" s="87">
        <f>IFERROR(VLOOKUP(B52,'[2]COMPRAS UC'!$R$11:$AF$66,6,0),0)</f>
        <v>1</v>
      </c>
      <c r="M52" s="23">
        <f>IFERROR(VLOOKUP(B52,'[2]COMPRAS YUC'!$R$10:$AF$63,6,0),0)</f>
        <v>0</v>
      </c>
      <c r="N52" s="87">
        <f>IFERROR(VLOOKUP(B52,'[2]COMPRAS UC'!$R$11:$AF$66,7,0),0)</f>
        <v>0</v>
      </c>
      <c r="O52" s="23">
        <f>IFERROR(VLOOKUP(B52,'[2]COMPRAS YUC'!$R$10:$AF$63,7,0),0)</f>
        <v>1</v>
      </c>
      <c r="P52" s="87">
        <f>IFERROR(VLOOKUP(B52,'[2]COMPRAS UC'!$R$11:$AF$66,8,0),0)</f>
        <v>3</v>
      </c>
      <c r="Q52" s="23">
        <f>IFERROR(VLOOKUP(B52,'[2]COMPRAS YUC'!$R$10:$AF$63,8,0),0)</f>
        <v>2</v>
      </c>
      <c r="R52" s="87">
        <f>IFERROR(VLOOKUP(D52,'[2]COMPRAS UC'!$R$11:$AF$66,9,0),0)</f>
        <v>0</v>
      </c>
      <c r="S52" s="23">
        <f>IFERROR(VLOOKUP(D52,'[2]COMPRAS YUC'!$R$10:$AF$63,9,0),0)</f>
        <v>0</v>
      </c>
      <c r="T52" s="87">
        <f>IFERROR(VLOOKUP(F52,'[2]COMPRAS UC'!$R$11:$AF$66,10,0),0)</f>
        <v>0</v>
      </c>
      <c r="U52" s="23">
        <f>IFERROR(VLOOKUP(F52,'[2]COMPRAS YUC'!$R$10:$AF$63,10,0),0)</f>
        <v>0</v>
      </c>
      <c r="V52" s="87">
        <f>IFERROR(VLOOKUP(H52,'[2]COMPRAS UC'!$R$11:$AF$66,11,0),0)</f>
        <v>0</v>
      </c>
      <c r="W52" s="23">
        <f>IFERROR(VLOOKUP(H52,'[2]COMPRAS YUC'!$R$10:$AF$63,11,0),0)</f>
        <v>0</v>
      </c>
      <c r="X52" s="87">
        <f>IFERROR(VLOOKUP(J52,'[2]COMPRAS UC'!$R$11:$AF$66,12,0),0)</f>
        <v>0</v>
      </c>
      <c r="Y52" s="23">
        <f>IFERROR(VLOOKUP(J52,'[2]COMPRAS YUC'!$R$10:$AF$63,12,0),0)</f>
        <v>0</v>
      </c>
      <c r="Z52" s="87">
        <f>IFERROR(VLOOKUP(L52,'[2]COMPRAS UC'!$R$11:$AF$66,13,0),0)</f>
        <v>0</v>
      </c>
      <c r="AA52" s="23">
        <f>IFERROR(VLOOKUP(L52,'[2]COMPRAS YUC'!$R$10:$AF$63,13,0),0)</f>
        <v>0</v>
      </c>
      <c r="AB52" s="87">
        <f>IFERROR(VLOOKUP(N52,'[2]COMPRAS UC'!$R$11:$AF$66,14,0),0)</f>
        <v>0</v>
      </c>
      <c r="AC52" s="23">
        <f>IFERROR(VLOOKUP(N52,'[2]COMPRAS YUC'!$R$10:$AF$63,14,0),0)</f>
        <v>0</v>
      </c>
      <c r="AD52" s="268"/>
      <c r="AE52" s="79">
        <f t="shared" ref="AE52:AE64" si="51">IFERROR(IF($AD$4="ENERO",F52,IF($AD$4="FEBRERO",F52+H52,IF($AD$4="MARZO",F52+H52+J52,IF($AD$4="ABRIL",F52+H52+J52+L52,IF($AD$4="MAYO",F52+H52+J52+L52+N52,IF($AD$4="JUNIO",F52+H52+J52+L52+N52+P52,IF($AD$4="JULIO",F52+H52+J52+L52+N52+P52+R52,IF($AD$4="AGOSTO",F52+H52+J52+L52+N52+P52+R52+T52,IF($AD$4="SEPTIEMBRE",F52+H52+J52+L52+N52+P52+R52+T52+V52,IF($AD$4="OCTUBRE",F52+H52+J52+L52+N52+P52+R52+T52+V52+X52,IF($AD$4="NOVIEMBRE",F52+H52+J52+L52+N52+P52+R52+T52+V52+X52+Z52,IF($AD$4="DICIEMBRE",F52+H52+J52+L52+N52+P52+R52+T52+V52+X52+Z52+AB52,"")))))))))))),0)</f>
        <v>7</v>
      </c>
      <c r="AF52" s="96">
        <f t="shared" ref="AF52:AF64" si="52">IFERROR(IF($AD$4="ENERO",G52,IF($AD$4="FEBRERO",G52+I52,IF($AD$4="MARZO",G52+I52+K52,IF($AD$4="ABRIL",G52+I52+K52+M52,IF($AD$4="MAYO",G52+I52+K52+M52+O52,IF($AD$4="JUNIO",G52+I52+K52+M52+O52+Q52,IF($AD$4="JULIO",G52+I52+K52+M52+O52+Q52+S52,IF($AD$4="AGOSTO",G52+I52+K52+M52+O52+Q52+S52+U52,IF($AD$4="SEPTIEMBRE",G52+I52+K52+M52+O52+Q52+S52+U52+W52,IF($AD$4="OCTUBRE",G52+I52+K52+M52+O52+Q52+S52+U52+W52+Y52,IF($AD$4="NOVIEMBRE",G52+I52+K52+M52+O52+Q52+S52+U52+W52+Y52+AA52,IF($AD$4="DICIEMBRE",G52+I52+K52+M52+O52+Q52+S52+U52+W52+Y52+AA52+AC52,"")))))))))))),0)</f>
        <v>8</v>
      </c>
      <c r="AG52" s="228">
        <f t="shared" si="40"/>
        <v>15</v>
      </c>
      <c r="AH52" s="79">
        <f t="shared" si="41"/>
        <v>7</v>
      </c>
      <c r="AI52" s="96">
        <f t="shared" si="42"/>
        <v>8</v>
      </c>
      <c r="AJ52" s="228">
        <f>AH52+AI52</f>
        <v>15</v>
      </c>
      <c r="AK52" s="86">
        <f t="shared" ref="AK52:AL56" si="53">IF($AK$5="Q1",F52+H52+J52,
IF($AK$5="Q2",L52+N52++P52,
IF($AK$5="Q3",R52+T52+V52,
IF($AK$5="Q4",X52+Z52+AB52,0))))</f>
        <v>0</v>
      </c>
      <c r="AL52" s="96">
        <f t="shared" si="53"/>
        <v>0</v>
      </c>
      <c r="AM52" s="233">
        <f>AK52+AL52</f>
        <v>0</v>
      </c>
      <c r="AN52" s="79">
        <f t="shared" ref="AN52:AN64" si="54">IFERROR(IF($AN$5="S 1",F52+H52+J52+L52+N52+P52,
IF($AN$5="S 2",R52+T52+V52+X52+Z52+AB52,0)),0)</f>
        <v>7</v>
      </c>
      <c r="AO52" s="96">
        <f t="shared" ref="AO52:AO64" si="55">IFERROR(IF($AN$5="S 1",G52+I52+K52+M52+O52+Q52,
IF($AN$5="S 2",S52+U52+W52+Y52+AA52+AC52,0)),0)</f>
        <v>8</v>
      </c>
      <c r="AP52" s="228">
        <f>AN52+AO52</f>
        <v>15</v>
      </c>
      <c r="AQ52" s="53">
        <v>1</v>
      </c>
      <c r="AV52" s="53">
        <v>0</v>
      </c>
      <c r="AZ52" s="53">
        <f>SUM(L52:Q52)</f>
        <v>7</v>
      </c>
    </row>
    <row r="53" spans="1:52" s="53" customFormat="1" ht="16" customHeight="1" x14ac:dyDescent="0.3">
      <c r="A53" s="53">
        <f>_xlfn.XLOOKUP(B53,'UC MINI 2026 MINI NEXT'!$B$7:$B$63,'UC MINI 2026 MINI NEXT'!$A$7:$A$63)</f>
        <v>9</v>
      </c>
      <c r="B53" s="179">
        <v>100311</v>
      </c>
      <c r="C53" s="381" t="s">
        <v>12</v>
      </c>
      <c r="D53" s="51">
        <v>20839</v>
      </c>
      <c r="E53" s="309" t="s">
        <v>201</v>
      </c>
      <c r="F53" s="199">
        <f>IFERROR(VLOOKUP(B53,'[2]COMPRAS UC'!$R$11:$AF$66,3,0),0)</f>
        <v>0</v>
      </c>
      <c r="G53" s="23">
        <f>IFERROR(VLOOKUP(B53,'[2]COMPRAS YUC'!$R$10:$AF$63,3,0),0)</f>
        <v>0</v>
      </c>
      <c r="H53" s="87">
        <f>IFERROR(VLOOKUP(B53,'[2]COMPRAS UC'!$R$11:$AF$66,4,0),0)</f>
        <v>0</v>
      </c>
      <c r="I53" s="23">
        <f>IFERROR(VLOOKUP(B53,'[2]COMPRAS YUC'!$R$10:$AF$63,4,0),0)</f>
        <v>0</v>
      </c>
      <c r="J53" s="87">
        <f>IFERROR(VLOOKUP(B53,'[2]COMPRAS UC'!$R$11:$AF$66,5,0),0)</f>
        <v>0</v>
      </c>
      <c r="K53" s="23">
        <f>IFERROR(VLOOKUP(B53,'[2]COMPRAS YUC'!$R$10:$AF$63,5,0),0)</f>
        <v>0</v>
      </c>
      <c r="L53" s="87">
        <f>IFERROR(VLOOKUP(B53,'[2]COMPRAS UC'!$R$11:$AF$66,6,0),0)</f>
        <v>0</v>
      </c>
      <c r="M53" s="23">
        <f>IFERROR(VLOOKUP(B53,'[2]COMPRAS YUC'!$R$10:$AF$63,6,0),0)</f>
        <v>0</v>
      </c>
      <c r="N53" s="87">
        <f>IFERROR(VLOOKUP(B53,'[2]COMPRAS UC'!$R$11:$AF$66,7,0),0)</f>
        <v>0</v>
      </c>
      <c r="O53" s="23">
        <f>IFERROR(VLOOKUP(B53,'[2]COMPRAS YUC'!$R$10:$AF$63,7,0),0)</f>
        <v>0</v>
      </c>
      <c r="P53" s="87">
        <f>IFERROR(VLOOKUP(B53,'[2]COMPRAS UC'!$R$11:$AF$66,8,0),0)</f>
        <v>0</v>
      </c>
      <c r="Q53" s="23">
        <f>IFERROR(VLOOKUP(B53,'[2]COMPRAS YUC'!$R$10:$AF$63,8,0),0)</f>
        <v>0</v>
      </c>
      <c r="R53" s="87">
        <f>IFERROR(VLOOKUP(D53,'[2]COMPRAS UC'!$R$11:$AF$66,9,0),0)</f>
        <v>0</v>
      </c>
      <c r="S53" s="23">
        <f>IFERROR(VLOOKUP(D53,'[2]COMPRAS YUC'!$R$10:$AF$63,9,0),0)</f>
        <v>0</v>
      </c>
      <c r="T53" s="87">
        <f>IFERROR(VLOOKUP(F53,'[2]COMPRAS UC'!$R$11:$AF$66,10,0),0)</f>
        <v>0</v>
      </c>
      <c r="U53" s="23">
        <f>IFERROR(VLOOKUP(F53,'[2]COMPRAS YUC'!$R$10:$AF$63,10,0),0)</f>
        <v>0</v>
      </c>
      <c r="V53" s="87">
        <f>IFERROR(VLOOKUP(H53,'[2]COMPRAS UC'!$R$11:$AF$66,11,0),0)</f>
        <v>0</v>
      </c>
      <c r="W53" s="23">
        <f>IFERROR(VLOOKUP(H53,'[2]COMPRAS YUC'!$R$10:$AF$63,11,0),0)</f>
        <v>0</v>
      </c>
      <c r="X53" s="87">
        <f>IFERROR(VLOOKUP(J53,'[2]COMPRAS UC'!$R$11:$AF$66,12,0),0)</f>
        <v>0</v>
      </c>
      <c r="Y53" s="23">
        <f>IFERROR(VLOOKUP(J53,'[2]COMPRAS YUC'!$R$10:$AF$63,12,0),0)</f>
        <v>0</v>
      </c>
      <c r="Z53" s="87">
        <f>IFERROR(VLOOKUP(L53,'[2]COMPRAS UC'!$R$11:$AF$66,13,0),0)</f>
        <v>0</v>
      </c>
      <c r="AA53" s="23">
        <f>IFERROR(VLOOKUP(L53,'[2]COMPRAS YUC'!$R$10:$AF$63,13,0),0)</f>
        <v>0</v>
      </c>
      <c r="AB53" s="87">
        <f>IFERROR(VLOOKUP(N53,'[2]COMPRAS UC'!$R$11:$AF$66,14,0),0)</f>
        <v>0</v>
      </c>
      <c r="AC53" s="23">
        <f>IFERROR(VLOOKUP(N53,'[2]COMPRAS YUC'!$R$10:$AF$63,14,0),0)</f>
        <v>0</v>
      </c>
      <c r="AD53" s="268"/>
      <c r="AE53" s="79">
        <f t="shared" si="51"/>
        <v>0</v>
      </c>
      <c r="AF53" s="96">
        <f t="shared" si="52"/>
        <v>0</v>
      </c>
      <c r="AG53" s="228">
        <f t="shared" si="40"/>
        <v>0</v>
      </c>
      <c r="AH53" s="79">
        <f t="shared" si="41"/>
        <v>0</v>
      </c>
      <c r="AI53" s="96">
        <f t="shared" si="42"/>
        <v>0</v>
      </c>
      <c r="AJ53" s="228">
        <f>AH53+AI53</f>
        <v>0</v>
      </c>
      <c r="AK53" s="86">
        <f t="shared" si="53"/>
        <v>0</v>
      </c>
      <c r="AL53" s="96">
        <f t="shared" si="53"/>
        <v>0</v>
      </c>
      <c r="AM53" s="233">
        <f>AK53+AL53</f>
        <v>0</v>
      </c>
      <c r="AN53" s="79">
        <f t="shared" si="54"/>
        <v>0</v>
      </c>
      <c r="AO53" s="96">
        <f t="shared" si="55"/>
        <v>0</v>
      </c>
      <c r="AP53" s="228">
        <f>AN53+AO53</f>
        <v>0</v>
      </c>
      <c r="AQ53" s="53">
        <v>1</v>
      </c>
      <c r="AV53" s="53">
        <v>0</v>
      </c>
      <c r="AZ53" s="53">
        <f>SUM(L53:Q53)</f>
        <v>0</v>
      </c>
    </row>
    <row r="54" spans="1:52" s="70" customFormat="1" ht="16" customHeight="1" x14ac:dyDescent="0.3">
      <c r="A54" s="53">
        <f>_xlfn.XLOOKUP(B54,'UC MINI 2026 MINI NEXT'!$B$7:$B$63,'UC MINI 2026 MINI NEXT'!$A$7:$A$63)</f>
        <v>9</v>
      </c>
      <c r="B54" s="179">
        <v>100393</v>
      </c>
      <c r="C54" s="381" t="s">
        <v>75</v>
      </c>
      <c r="D54" s="51">
        <v>20839</v>
      </c>
      <c r="E54" s="309" t="s">
        <v>201</v>
      </c>
      <c r="F54" s="199">
        <f>IFERROR(VLOOKUP(B54,'[2]COMPRAS UC'!$R$11:$AF$66,3,0),0)</f>
        <v>0</v>
      </c>
      <c r="G54" s="23">
        <f>IFERROR(VLOOKUP(B54,'[2]COMPRAS YUC'!$R$10:$AF$63,3,0),0)</f>
        <v>0</v>
      </c>
      <c r="H54" s="87">
        <f>IFERROR(VLOOKUP(B54,'[2]COMPRAS UC'!$R$11:$AF$66,4,0),0)</f>
        <v>0</v>
      </c>
      <c r="I54" s="23">
        <f>IFERROR(VLOOKUP(B54,'[2]COMPRAS YUC'!$R$10:$AF$63,4,0),0)</f>
        <v>0</v>
      </c>
      <c r="J54" s="87">
        <f>IFERROR(VLOOKUP(B54,'[2]COMPRAS UC'!$R$11:$AF$66,5,0),0)</f>
        <v>0</v>
      </c>
      <c r="K54" s="23">
        <f>IFERROR(VLOOKUP(B54,'[2]COMPRAS YUC'!$R$10:$AF$63,5,0),0)</f>
        <v>0</v>
      </c>
      <c r="L54" s="87">
        <f>IFERROR(VLOOKUP(B54,'[2]COMPRAS UC'!$R$11:$AF$66,6,0),0)</f>
        <v>0</v>
      </c>
      <c r="M54" s="23">
        <f>IFERROR(VLOOKUP(B54,'[2]COMPRAS YUC'!$R$10:$AF$63,6,0),0)</f>
        <v>0</v>
      </c>
      <c r="N54" s="87">
        <f>IFERROR(VLOOKUP(B54,'[2]COMPRAS UC'!$R$11:$AF$66,7,0),0)</f>
        <v>0</v>
      </c>
      <c r="O54" s="23">
        <f>IFERROR(VLOOKUP(B54,'[2]COMPRAS YUC'!$R$10:$AF$63,7,0),0)</f>
        <v>0</v>
      </c>
      <c r="P54" s="87">
        <f>IFERROR(VLOOKUP(B54,'[2]COMPRAS UC'!$R$11:$AF$66,8,0),0)</f>
        <v>0</v>
      </c>
      <c r="Q54" s="23">
        <f>IFERROR(VLOOKUP(B54,'[2]COMPRAS YUC'!$R$10:$AF$63,8,0),0)</f>
        <v>0</v>
      </c>
      <c r="R54" s="87">
        <f>IFERROR(VLOOKUP(D54,'[2]COMPRAS UC'!$R$11:$AF$66,9,0),0)</f>
        <v>0</v>
      </c>
      <c r="S54" s="23">
        <f>IFERROR(VLOOKUP(D54,'[2]COMPRAS YUC'!$R$10:$AF$63,9,0),0)</f>
        <v>0</v>
      </c>
      <c r="T54" s="87">
        <f>IFERROR(VLOOKUP(F54,'[2]COMPRAS UC'!$R$11:$AF$66,10,0),0)</f>
        <v>0</v>
      </c>
      <c r="U54" s="23">
        <f>IFERROR(VLOOKUP(F54,'[2]COMPRAS YUC'!$R$10:$AF$63,10,0),0)</f>
        <v>0</v>
      </c>
      <c r="V54" s="87">
        <f>IFERROR(VLOOKUP(H54,'[2]COMPRAS UC'!$R$11:$AF$66,11,0),0)</f>
        <v>0</v>
      </c>
      <c r="W54" s="23">
        <f>IFERROR(VLOOKUP(H54,'[2]COMPRAS YUC'!$R$10:$AF$63,11,0),0)</f>
        <v>0</v>
      </c>
      <c r="X54" s="87">
        <f>IFERROR(VLOOKUP(J54,'[2]COMPRAS UC'!$R$11:$AF$66,12,0),0)</f>
        <v>0</v>
      </c>
      <c r="Y54" s="23">
        <f>IFERROR(VLOOKUP(J54,'[2]COMPRAS YUC'!$R$10:$AF$63,12,0),0)</f>
        <v>0</v>
      </c>
      <c r="Z54" s="87">
        <f>IFERROR(VLOOKUP(L54,'[2]COMPRAS UC'!$R$11:$AF$66,13,0),0)</f>
        <v>0</v>
      </c>
      <c r="AA54" s="23">
        <f>IFERROR(VLOOKUP(L54,'[2]COMPRAS YUC'!$R$10:$AF$63,13,0),0)</f>
        <v>0</v>
      </c>
      <c r="AB54" s="87">
        <f>IFERROR(VLOOKUP(N54,'[2]COMPRAS UC'!$R$11:$AF$66,14,0),0)</f>
        <v>0</v>
      </c>
      <c r="AC54" s="23">
        <f>IFERROR(VLOOKUP(N54,'[2]COMPRAS YUC'!$R$10:$AF$63,14,0),0)</f>
        <v>0</v>
      </c>
      <c r="AD54" s="268"/>
      <c r="AE54" s="79">
        <f t="shared" si="51"/>
        <v>0</v>
      </c>
      <c r="AF54" s="96">
        <f t="shared" si="52"/>
        <v>0</v>
      </c>
      <c r="AG54" s="228">
        <f t="shared" si="40"/>
        <v>0</v>
      </c>
      <c r="AH54" s="79">
        <f t="shared" si="41"/>
        <v>0</v>
      </c>
      <c r="AI54" s="96">
        <f t="shared" si="42"/>
        <v>0</v>
      </c>
      <c r="AJ54" s="228">
        <f>AH54+AI54</f>
        <v>0</v>
      </c>
      <c r="AK54" s="86">
        <f t="shared" si="53"/>
        <v>0</v>
      </c>
      <c r="AL54" s="96">
        <f t="shared" si="53"/>
        <v>0</v>
      </c>
      <c r="AM54" s="233">
        <f>AK54+AL54</f>
        <v>0</v>
      </c>
      <c r="AN54" s="79">
        <f t="shared" si="54"/>
        <v>0</v>
      </c>
      <c r="AO54" s="96">
        <f t="shared" si="55"/>
        <v>0</v>
      </c>
      <c r="AP54" s="228">
        <f>AN54+AO54</f>
        <v>0</v>
      </c>
      <c r="AQ54" s="53">
        <v>1</v>
      </c>
      <c r="AZ54" s="53">
        <f>SUM(L54:Q54)</f>
        <v>0</v>
      </c>
    </row>
    <row r="55" spans="1:52" s="53" customFormat="1" ht="16" customHeight="1" x14ac:dyDescent="0.3">
      <c r="A55" s="53">
        <f>_xlfn.XLOOKUP(B55,'UC MINI 2026 MINI NEXT'!$B$7:$B$63,'UC MINI 2026 MINI NEXT'!$A$7:$A$63)</f>
        <v>9</v>
      </c>
      <c r="B55" s="179">
        <v>100586</v>
      </c>
      <c r="C55" s="381" t="s">
        <v>67</v>
      </c>
      <c r="D55" s="51">
        <v>34945</v>
      </c>
      <c r="E55" s="309" t="s">
        <v>98</v>
      </c>
      <c r="F55" s="199">
        <f>IFERROR(VLOOKUP(B55,'[2]COMPRAS UC'!$R$11:$AF$66,3,0),0)</f>
        <v>0</v>
      </c>
      <c r="G55" s="23">
        <f>IFERROR(VLOOKUP(B55,'[2]COMPRAS YUC'!$R$10:$AF$63,3,0),0)</f>
        <v>0</v>
      </c>
      <c r="H55" s="87">
        <f>IFERROR(VLOOKUP(B55,'[2]COMPRAS UC'!$R$11:$AF$66,4,0),0)</f>
        <v>1</v>
      </c>
      <c r="I55" s="23">
        <f>IFERROR(VLOOKUP(B55,'[2]COMPRAS YUC'!$R$10:$AF$63,4,0),0)</f>
        <v>0</v>
      </c>
      <c r="J55" s="87">
        <f>IFERROR(VLOOKUP(B55,'[2]COMPRAS UC'!$R$11:$AF$66,5,0),0)</f>
        <v>1</v>
      </c>
      <c r="K55" s="23">
        <f>IFERROR(VLOOKUP(B55,'[2]COMPRAS YUC'!$R$10:$AF$63,5,0),0)</f>
        <v>5</v>
      </c>
      <c r="L55" s="87">
        <f>IFERROR(VLOOKUP(B55,'[2]COMPRAS UC'!$R$11:$AF$66,6,0),0)</f>
        <v>5</v>
      </c>
      <c r="M55" s="23">
        <f>IFERROR(VLOOKUP(B55,'[2]COMPRAS YUC'!$R$10:$AF$63,6,0),0)</f>
        <v>0</v>
      </c>
      <c r="N55" s="87">
        <f>IFERROR(VLOOKUP(B55,'[2]COMPRAS UC'!$R$11:$AF$66,7,0),0)</f>
        <v>3</v>
      </c>
      <c r="O55" s="23">
        <f>IFERROR(VLOOKUP(B55,'[2]COMPRAS YUC'!$R$10:$AF$63,7,0),0)</f>
        <v>0</v>
      </c>
      <c r="P55" s="87">
        <f>IFERROR(VLOOKUP(B55,'[2]COMPRAS UC'!$R$11:$AF$66,8,0),0)</f>
        <v>2</v>
      </c>
      <c r="Q55" s="23">
        <f>IFERROR(VLOOKUP(B55,'[2]COMPRAS YUC'!$R$10:$AF$63,8,0),0)</f>
        <v>0</v>
      </c>
      <c r="R55" s="87">
        <f>IFERROR(VLOOKUP(D55,'[2]COMPRAS UC'!$R$11:$AF$66,9,0),0)</f>
        <v>0</v>
      </c>
      <c r="S55" s="23">
        <f>IFERROR(VLOOKUP(D55,'[2]COMPRAS YUC'!$R$10:$AF$63,9,0),0)</f>
        <v>0</v>
      </c>
      <c r="T55" s="87">
        <f>IFERROR(VLOOKUP(F55,'[2]COMPRAS UC'!$R$11:$AF$66,10,0),0)</f>
        <v>0</v>
      </c>
      <c r="U55" s="23">
        <f>IFERROR(VLOOKUP(F55,'[2]COMPRAS YUC'!$R$10:$AF$63,10,0),0)</f>
        <v>0</v>
      </c>
      <c r="V55" s="87">
        <f>IFERROR(VLOOKUP(H55,'[2]COMPRAS UC'!$R$11:$AF$66,11,0),0)</f>
        <v>0</v>
      </c>
      <c r="W55" s="23">
        <f>IFERROR(VLOOKUP(H55,'[2]COMPRAS YUC'!$R$10:$AF$63,11,0),0)</f>
        <v>0</v>
      </c>
      <c r="X55" s="87">
        <f>IFERROR(VLOOKUP(J55,'[2]COMPRAS UC'!$R$11:$AF$66,12,0),0)</f>
        <v>0</v>
      </c>
      <c r="Y55" s="23">
        <f>IFERROR(VLOOKUP(J55,'[2]COMPRAS YUC'!$R$10:$AF$63,12,0),0)</f>
        <v>0</v>
      </c>
      <c r="Z55" s="87">
        <f>IFERROR(VLOOKUP(L55,'[2]COMPRAS UC'!$R$11:$AF$66,13,0),0)</f>
        <v>0</v>
      </c>
      <c r="AA55" s="23">
        <f>IFERROR(VLOOKUP(L55,'[2]COMPRAS YUC'!$R$10:$AF$63,13,0),0)</f>
        <v>0</v>
      </c>
      <c r="AB55" s="87">
        <f>IFERROR(VLOOKUP(N55,'[2]COMPRAS UC'!$R$11:$AF$66,14,0),0)</f>
        <v>0</v>
      </c>
      <c r="AC55" s="23">
        <f>IFERROR(VLOOKUP(N55,'[2]COMPRAS YUC'!$R$10:$AF$63,14,0),0)</f>
        <v>0</v>
      </c>
      <c r="AD55" s="268"/>
      <c r="AE55" s="79">
        <f t="shared" si="51"/>
        <v>12</v>
      </c>
      <c r="AF55" s="96">
        <f t="shared" si="52"/>
        <v>5</v>
      </c>
      <c r="AG55" s="228">
        <f t="shared" si="40"/>
        <v>17</v>
      </c>
      <c r="AH55" s="79">
        <f t="shared" si="41"/>
        <v>12</v>
      </c>
      <c r="AI55" s="96">
        <f t="shared" si="42"/>
        <v>5</v>
      </c>
      <c r="AJ55" s="228">
        <f>AH55+AI55</f>
        <v>17</v>
      </c>
      <c r="AK55" s="86">
        <f t="shared" si="53"/>
        <v>0</v>
      </c>
      <c r="AL55" s="96">
        <f t="shared" si="53"/>
        <v>0</v>
      </c>
      <c r="AM55" s="233">
        <f>AK55+AL55</f>
        <v>0</v>
      </c>
      <c r="AN55" s="79">
        <f t="shared" si="54"/>
        <v>12</v>
      </c>
      <c r="AO55" s="96">
        <f t="shared" si="55"/>
        <v>5</v>
      </c>
      <c r="AP55" s="228">
        <f>AN55+AO55</f>
        <v>17</v>
      </c>
      <c r="AQ55" s="53">
        <v>1</v>
      </c>
      <c r="AZ55" s="53">
        <f>SUM(L55:Q55)</f>
        <v>10</v>
      </c>
    </row>
    <row r="56" spans="1:52" s="53" customFormat="1" ht="16" customHeight="1" thickBot="1" x14ac:dyDescent="0.35">
      <c r="A56" s="53">
        <f>_xlfn.XLOOKUP(B56,'UC MINI 2026 MINI NEXT'!$B$7:$B$63,'UC MINI 2026 MINI NEXT'!$A$7:$A$63)</f>
        <v>9</v>
      </c>
      <c r="B56" s="179">
        <v>100813</v>
      </c>
      <c r="C56" s="381" t="s">
        <v>68</v>
      </c>
      <c r="D56" s="51">
        <v>34945</v>
      </c>
      <c r="E56" s="309" t="s">
        <v>98</v>
      </c>
      <c r="F56" s="199">
        <f>IFERROR(VLOOKUP(B56,'[2]COMPRAS UC'!$R$11:$AF$66,3,0),0)</f>
        <v>0</v>
      </c>
      <c r="G56" s="23">
        <f>IFERROR(VLOOKUP(B56,'[2]COMPRAS YUC'!$R$10:$AF$63,3,0),0)</f>
        <v>0</v>
      </c>
      <c r="H56" s="87">
        <f>IFERROR(VLOOKUP(B56,'[2]COMPRAS UC'!$R$11:$AF$66,4,0),0)</f>
        <v>0</v>
      </c>
      <c r="I56" s="23">
        <f>IFERROR(VLOOKUP(B56,'[2]COMPRAS YUC'!$R$10:$AF$63,4,0),0)</f>
        <v>0</v>
      </c>
      <c r="J56" s="87">
        <f>IFERROR(VLOOKUP(B56,'[2]COMPRAS UC'!$R$11:$AF$66,5,0),0)</f>
        <v>0</v>
      </c>
      <c r="K56" s="23">
        <f>IFERROR(VLOOKUP(B56,'[2]COMPRAS YUC'!$R$10:$AF$63,5,0),0)</f>
        <v>8</v>
      </c>
      <c r="L56" s="87">
        <f>IFERROR(VLOOKUP(B56,'[2]COMPRAS UC'!$R$11:$AF$66,6,0),0)</f>
        <v>0</v>
      </c>
      <c r="M56" s="23">
        <f>IFERROR(VLOOKUP(B56,'[2]COMPRAS YUC'!$R$10:$AF$63,6,0),0)</f>
        <v>0</v>
      </c>
      <c r="N56" s="87">
        <f>IFERROR(VLOOKUP(B56,'[2]COMPRAS UC'!$R$11:$AF$66,7,0),0)</f>
        <v>0</v>
      </c>
      <c r="O56" s="23">
        <f>IFERROR(VLOOKUP(B56,'[2]COMPRAS YUC'!$R$10:$AF$63,7,0),0)</f>
        <v>0</v>
      </c>
      <c r="P56" s="87">
        <f>IFERROR(VLOOKUP(B56,'[2]COMPRAS UC'!$R$11:$AF$66,8,0),0)</f>
        <v>0</v>
      </c>
      <c r="Q56" s="23">
        <f>IFERROR(VLOOKUP(B56,'[2]COMPRAS YUC'!$R$10:$AF$63,8,0),0)</f>
        <v>0</v>
      </c>
      <c r="R56" s="87">
        <f>IFERROR(VLOOKUP(D56,'[2]COMPRAS UC'!$R$11:$AF$66,9,0),0)</f>
        <v>0</v>
      </c>
      <c r="S56" s="23">
        <f>IFERROR(VLOOKUP(D56,'[2]COMPRAS YUC'!$R$10:$AF$63,9,0),0)</f>
        <v>0</v>
      </c>
      <c r="T56" s="87">
        <f>IFERROR(VLOOKUP(F56,'[2]COMPRAS UC'!$R$11:$AF$66,10,0),0)</f>
        <v>0</v>
      </c>
      <c r="U56" s="23">
        <f>IFERROR(VLOOKUP(F56,'[2]COMPRAS YUC'!$R$10:$AF$63,10,0),0)</f>
        <v>0</v>
      </c>
      <c r="V56" s="87">
        <f>IFERROR(VLOOKUP(H56,'[2]COMPRAS UC'!$R$11:$AF$66,11,0),0)</f>
        <v>0</v>
      </c>
      <c r="W56" s="23">
        <f>IFERROR(VLOOKUP(H56,'[2]COMPRAS YUC'!$R$10:$AF$63,11,0),0)</f>
        <v>0</v>
      </c>
      <c r="X56" s="87">
        <f>IFERROR(VLOOKUP(J56,'[2]COMPRAS UC'!$R$11:$AF$66,12,0),0)</f>
        <v>0</v>
      </c>
      <c r="Y56" s="23">
        <f>IFERROR(VLOOKUP(J56,'[2]COMPRAS YUC'!$R$10:$AF$63,12,0),0)</f>
        <v>0</v>
      </c>
      <c r="Z56" s="87">
        <f>IFERROR(VLOOKUP(L56,'[2]COMPRAS UC'!$R$11:$AF$66,13,0),0)</f>
        <v>0</v>
      </c>
      <c r="AA56" s="23">
        <f>IFERROR(VLOOKUP(L56,'[2]COMPRAS YUC'!$R$10:$AF$63,13,0),0)</f>
        <v>0</v>
      </c>
      <c r="AB56" s="87">
        <f>IFERROR(VLOOKUP(N56,'[2]COMPRAS UC'!$R$11:$AF$66,14,0),0)</f>
        <v>0</v>
      </c>
      <c r="AC56" s="23">
        <f>IFERROR(VLOOKUP(N56,'[2]COMPRAS YUC'!$R$10:$AF$63,14,0),0)</f>
        <v>0</v>
      </c>
      <c r="AD56" s="268"/>
      <c r="AE56" s="79">
        <f t="shared" si="51"/>
        <v>0</v>
      </c>
      <c r="AF56" s="96">
        <f t="shared" si="52"/>
        <v>8</v>
      </c>
      <c r="AG56" s="228">
        <f t="shared" si="40"/>
        <v>8</v>
      </c>
      <c r="AH56" s="79">
        <f t="shared" si="41"/>
        <v>0</v>
      </c>
      <c r="AI56" s="96">
        <f t="shared" si="42"/>
        <v>8</v>
      </c>
      <c r="AJ56" s="228">
        <f>AH56+AI56</f>
        <v>8</v>
      </c>
      <c r="AK56" s="86">
        <f t="shared" si="53"/>
        <v>0</v>
      </c>
      <c r="AL56" s="96">
        <f t="shared" si="53"/>
        <v>0</v>
      </c>
      <c r="AM56" s="233">
        <f>AK56+AL56</f>
        <v>0</v>
      </c>
      <c r="AN56" s="79">
        <f t="shared" si="54"/>
        <v>0</v>
      </c>
      <c r="AO56" s="96">
        <f t="shared" si="55"/>
        <v>8</v>
      </c>
      <c r="AP56" s="228">
        <f>AN56+AO56</f>
        <v>8</v>
      </c>
      <c r="AQ56" s="53">
        <v>1</v>
      </c>
      <c r="AZ56" s="53">
        <f>SUM(L56:Q56)</f>
        <v>0</v>
      </c>
    </row>
    <row r="57" spans="1:52" s="53" customFormat="1" ht="16" customHeight="1" thickBot="1" x14ac:dyDescent="0.35">
      <c r="A57" s="53" t="e">
        <f>_xlfn.XLOOKUP(B57,'UC MINI 2026 MINI NEXT'!$B$7:$B$63,'UC MINI 2026 MINI NEXT'!$A$7:$A$63)</f>
        <v>#N/A</v>
      </c>
      <c r="B57" s="180" t="s">
        <v>271</v>
      </c>
      <c r="C57" s="62"/>
      <c r="D57" s="80"/>
      <c r="E57" s="265"/>
      <c r="F57" s="63">
        <f t="shared" ref="F57:AC57" si="56">SUM(F52:F56)</f>
        <v>0</v>
      </c>
      <c r="G57" s="264">
        <f t="shared" si="56"/>
        <v>1</v>
      </c>
      <c r="H57" s="63">
        <f t="shared" si="56"/>
        <v>2</v>
      </c>
      <c r="I57" s="264">
        <f t="shared" si="56"/>
        <v>3</v>
      </c>
      <c r="J57" s="63">
        <f t="shared" si="56"/>
        <v>3</v>
      </c>
      <c r="K57" s="264">
        <f t="shared" si="56"/>
        <v>14</v>
      </c>
      <c r="L57" s="63">
        <f t="shared" si="56"/>
        <v>6</v>
      </c>
      <c r="M57" s="264">
        <f t="shared" si="56"/>
        <v>0</v>
      </c>
      <c r="N57" s="63">
        <f t="shared" si="56"/>
        <v>3</v>
      </c>
      <c r="O57" s="264">
        <f t="shared" si="56"/>
        <v>1</v>
      </c>
      <c r="P57" s="63">
        <f t="shared" si="56"/>
        <v>5</v>
      </c>
      <c r="Q57" s="264">
        <f t="shared" si="56"/>
        <v>2</v>
      </c>
      <c r="R57" s="63">
        <f t="shared" si="56"/>
        <v>0</v>
      </c>
      <c r="S57" s="264">
        <f t="shared" si="56"/>
        <v>0</v>
      </c>
      <c r="T57" s="63">
        <f t="shared" si="56"/>
        <v>0</v>
      </c>
      <c r="U57" s="264">
        <f t="shared" si="56"/>
        <v>0</v>
      </c>
      <c r="V57" s="63">
        <f t="shared" si="56"/>
        <v>0</v>
      </c>
      <c r="W57" s="264">
        <f t="shared" si="56"/>
        <v>0</v>
      </c>
      <c r="X57" s="63">
        <f t="shared" si="56"/>
        <v>0</v>
      </c>
      <c r="Y57" s="264">
        <f t="shared" si="56"/>
        <v>0</v>
      </c>
      <c r="Z57" s="63">
        <f t="shared" si="56"/>
        <v>0</v>
      </c>
      <c r="AA57" s="264">
        <f t="shared" si="56"/>
        <v>0</v>
      </c>
      <c r="AB57" s="63">
        <f t="shared" si="56"/>
        <v>0</v>
      </c>
      <c r="AC57" s="264">
        <f t="shared" si="56"/>
        <v>0</v>
      </c>
      <c r="AD57" s="271"/>
      <c r="AE57" s="94">
        <f t="shared" si="51"/>
        <v>19</v>
      </c>
      <c r="AF57" s="256">
        <f t="shared" si="52"/>
        <v>21</v>
      </c>
      <c r="AG57" s="432">
        <f t="shared" si="40"/>
        <v>40</v>
      </c>
      <c r="AH57" s="94">
        <f t="shared" si="41"/>
        <v>19</v>
      </c>
      <c r="AI57" s="256">
        <f t="shared" si="42"/>
        <v>21</v>
      </c>
      <c r="AJ57" s="432">
        <f>SUM(AJ52:AJ56)</f>
        <v>40</v>
      </c>
      <c r="AK57" s="65">
        <f ca="1">SUM(AK37:AK64)</f>
        <v>0</v>
      </c>
      <c r="AL57" s="99">
        <f ca="1">SUM(AL37:AL64)</f>
        <v>0</v>
      </c>
      <c r="AM57" s="236">
        <f ca="1">SUM(AM37:AM64)</f>
        <v>0</v>
      </c>
      <c r="AN57" s="94">
        <f t="shared" si="54"/>
        <v>19</v>
      </c>
      <c r="AO57" s="256">
        <f t="shared" si="55"/>
        <v>21</v>
      </c>
      <c r="AP57" s="432">
        <f>SUM(AP52:AP56)</f>
        <v>40</v>
      </c>
      <c r="AQ57" s="53">
        <v>0</v>
      </c>
    </row>
    <row r="58" spans="1:52" s="53" customFormat="1" ht="16" customHeight="1" x14ac:dyDescent="0.3">
      <c r="A58" s="53">
        <f>_xlfn.XLOOKUP(B58,'UC MINI 2026 MINI NEXT'!$B$7:$B$63,'UC MINI 2026 MINI NEXT'!$A$7:$A$63)</f>
        <v>10</v>
      </c>
      <c r="B58" s="179">
        <v>100344</v>
      </c>
      <c r="C58" s="381" t="s">
        <v>25</v>
      </c>
      <c r="D58" s="51">
        <v>9144</v>
      </c>
      <c r="E58" s="309" t="s">
        <v>203</v>
      </c>
      <c r="F58" s="199">
        <f>IFERROR(VLOOKUP(B58,'[2]COMPRAS UC'!$R$11:$AF$66,3,0),0)</f>
        <v>0</v>
      </c>
      <c r="G58" s="23">
        <f>IFERROR(VLOOKUP(B58,'[2]COMPRAS YUC'!$R$10:$AF$63,3,0),0)</f>
        <v>0</v>
      </c>
      <c r="H58" s="87">
        <f>IFERROR(VLOOKUP(B58,'[2]COMPRAS UC'!$R$11:$AF$66,4,0),0)</f>
        <v>0</v>
      </c>
      <c r="I58" s="23">
        <f>IFERROR(VLOOKUP(B58,'[2]COMPRAS YUC'!$R$10:$AF$63,4,0),0)</f>
        <v>0</v>
      </c>
      <c r="J58" s="87">
        <f>IFERROR(VLOOKUP(B58,'[2]COMPRAS UC'!$R$11:$AF$66,5,0),0)</f>
        <v>0</v>
      </c>
      <c r="K58" s="23">
        <f>IFERROR(VLOOKUP(B58,'[2]COMPRAS YUC'!$R$10:$AF$63,5,0),0)</f>
        <v>0</v>
      </c>
      <c r="L58" s="87">
        <f>IFERROR(VLOOKUP(B58,'[2]COMPRAS UC'!$R$11:$AF$66,6,0),0)</f>
        <v>0</v>
      </c>
      <c r="M58" s="23">
        <f>IFERROR(VLOOKUP(B58,'[2]COMPRAS YUC'!$R$10:$AF$63,6,0),0)</f>
        <v>0</v>
      </c>
      <c r="N58" s="87">
        <f>IFERROR(VLOOKUP(B58,'[2]COMPRAS UC'!$R$11:$AF$66,7,0),0)</f>
        <v>0</v>
      </c>
      <c r="O58" s="23">
        <f>IFERROR(VLOOKUP(B58,'[2]COMPRAS YUC'!$R$10:$AF$63,7,0),0)</f>
        <v>0</v>
      </c>
      <c r="P58" s="87">
        <f>IFERROR(VLOOKUP(B58,'[2]COMPRAS UC'!$R$11:$AF$66,8,0),0)</f>
        <v>1</v>
      </c>
      <c r="Q58" s="23">
        <f>IFERROR(VLOOKUP(B58,'[2]COMPRAS YUC'!$R$10:$AF$63,8,0),0)</f>
        <v>0</v>
      </c>
      <c r="R58" s="87">
        <f>IFERROR(VLOOKUP(D58,'[2]COMPRAS UC'!$R$11:$AF$66,9,0),0)</f>
        <v>0</v>
      </c>
      <c r="S58" s="23">
        <f>IFERROR(VLOOKUP(D58,'[2]COMPRAS YUC'!$R$10:$AF$63,9,0),0)</f>
        <v>0</v>
      </c>
      <c r="T58" s="87">
        <f>IFERROR(VLOOKUP(F58,'[2]COMPRAS UC'!$R$11:$AF$66,10,0),0)</f>
        <v>0</v>
      </c>
      <c r="U58" s="23">
        <f>IFERROR(VLOOKUP(F58,'[2]COMPRAS YUC'!$R$10:$AF$63,10,0),0)</f>
        <v>0</v>
      </c>
      <c r="V58" s="87">
        <f>IFERROR(VLOOKUP(H58,'[2]COMPRAS UC'!$R$11:$AF$66,11,0),0)</f>
        <v>0</v>
      </c>
      <c r="W58" s="23">
        <f>IFERROR(VLOOKUP(H58,'[2]COMPRAS YUC'!$R$10:$AF$63,11,0),0)</f>
        <v>0</v>
      </c>
      <c r="X58" s="87">
        <f>IFERROR(VLOOKUP(J58,'[2]COMPRAS UC'!$R$11:$AF$66,12,0),0)</f>
        <v>0</v>
      </c>
      <c r="Y58" s="23">
        <f>IFERROR(VLOOKUP(J58,'[2]COMPRAS YUC'!$R$10:$AF$63,12,0),0)</f>
        <v>0</v>
      </c>
      <c r="Z58" s="87">
        <f>IFERROR(VLOOKUP(L58,'[2]COMPRAS UC'!$R$11:$AF$66,13,0),0)</f>
        <v>0</v>
      </c>
      <c r="AA58" s="23">
        <f>IFERROR(VLOOKUP(L58,'[2]COMPRAS YUC'!$R$10:$AF$63,13,0),0)</f>
        <v>0</v>
      </c>
      <c r="AB58" s="87">
        <f>IFERROR(VLOOKUP(N58,'[2]COMPRAS UC'!$R$11:$AF$66,14,0),0)</f>
        <v>0</v>
      </c>
      <c r="AC58" s="23">
        <f>IFERROR(VLOOKUP(N58,'[2]COMPRAS YUC'!$R$10:$AF$63,14,0),0)</f>
        <v>0</v>
      </c>
      <c r="AD58" s="272"/>
      <c r="AE58" s="266">
        <f t="shared" si="51"/>
        <v>1</v>
      </c>
      <c r="AF58" s="98">
        <f t="shared" si="52"/>
        <v>0</v>
      </c>
      <c r="AG58" s="231">
        <f t="shared" ref="AG58:AG64" si="57">IFERROR(AE58+AF58,0)</f>
        <v>1</v>
      </c>
      <c r="AH58" s="266">
        <f t="shared" ref="AH58:AH63" si="58">IFERROR(SUM(F58+H58+J58+L58+N58+P58+R58+T58+V58+X58+Z58+AB58),0)</f>
        <v>1</v>
      </c>
      <c r="AI58" s="98">
        <f t="shared" ref="AI58:AI64" si="59">IFERROR(SUM(G58,I58,K58,M58,O58,Q58,S58,U58,W58,Y58,AA58,AC58),0)</f>
        <v>0</v>
      </c>
      <c r="AJ58" s="231">
        <f t="shared" ref="AJ58:AJ63" si="60">AH58+AI58</f>
        <v>1</v>
      </c>
      <c r="AK58" s="68">
        <f t="shared" ref="AK58:AL63" si="61">IF($AK$5="Q1",F58+H58+J58,
IF($AK$5="Q2",L58+N58++P58,
IF($AK$5="Q3",R58+T58+V58,
IF($AK$5="Q4",X58+Z58+AB58,0))))</f>
        <v>0</v>
      </c>
      <c r="AL58" s="98">
        <f t="shared" si="61"/>
        <v>0</v>
      </c>
      <c r="AM58" s="237">
        <f t="shared" ref="AM58:AM63" si="62">AK58+AL58</f>
        <v>0</v>
      </c>
      <c r="AN58" s="266">
        <f t="shared" si="54"/>
        <v>1</v>
      </c>
      <c r="AO58" s="98">
        <f t="shared" si="55"/>
        <v>0</v>
      </c>
      <c r="AP58" s="231">
        <f t="shared" ref="AP58:AP63" si="63">AN58+AO58</f>
        <v>1</v>
      </c>
      <c r="AQ58" s="53">
        <v>1</v>
      </c>
      <c r="AZ58" s="53">
        <f t="shared" ref="AZ58:AZ63" si="64">SUM(L58:Q58)</f>
        <v>1</v>
      </c>
    </row>
    <row r="59" spans="1:52" s="53" customFormat="1" ht="16" customHeight="1" x14ac:dyDescent="0.3">
      <c r="A59" s="53">
        <f>_xlfn.XLOOKUP(B59,'UC MINI 2026 MINI NEXT'!$B$7:$B$63,'UC MINI 2026 MINI NEXT'!$A$7:$A$63)</f>
        <v>10</v>
      </c>
      <c r="B59" s="179">
        <v>100422</v>
      </c>
      <c r="C59" s="381" t="s">
        <v>20</v>
      </c>
      <c r="D59" s="51">
        <v>9144</v>
      </c>
      <c r="E59" s="309" t="s">
        <v>203</v>
      </c>
      <c r="F59" s="199">
        <f>IFERROR(VLOOKUP(B59,'[2]COMPRAS UC'!$R$11:$AF$66,3,0),0)</f>
        <v>0</v>
      </c>
      <c r="G59" s="23">
        <f>IFERROR(VLOOKUP(B59,'[2]COMPRAS YUC'!$R$10:$AF$63,3,0),0)</f>
        <v>0</v>
      </c>
      <c r="H59" s="87">
        <f>IFERROR(VLOOKUP(B59,'[2]COMPRAS UC'!$R$11:$AF$66,4,0),0)</f>
        <v>0</v>
      </c>
      <c r="I59" s="23">
        <f>IFERROR(VLOOKUP(B59,'[2]COMPRAS YUC'!$R$10:$AF$63,4,0),0)</f>
        <v>0</v>
      </c>
      <c r="J59" s="87">
        <f>IFERROR(VLOOKUP(B59,'[2]COMPRAS UC'!$R$11:$AF$66,5,0),0)</f>
        <v>1</v>
      </c>
      <c r="K59" s="23">
        <f>IFERROR(VLOOKUP(B59,'[2]COMPRAS YUC'!$R$10:$AF$63,5,0),0)</f>
        <v>0</v>
      </c>
      <c r="L59" s="87">
        <f>IFERROR(VLOOKUP(B59,'[2]COMPRAS UC'!$R$11:$AF$66,6,0),0)</f>
        <v>0</v>
      </c>
      <c r="M59" s="23">
        <f>IFERROR(VLOOKUP(B59,'[2]COMPRAS YUC'!$R$10:$AF$63,6,0),0)</f>
        <v>0</v>
      </c>
      <c r="N59" s="87">
        <f>IFERROR(VLOOKUP(B59,'[2]COMPRAS UC'!$R$11:$AF$66,7,0),0)</f>
        <v>0</v>
      </c>
      <c r="O59" s="23">
        <f>IFERROR(VLOOKUP(B59,'[2]COMPRAS YUC'!$R$10:$AF$63,7,0),0)</f>
        <v>0</v>
      </c>
      <c r="P59" s="87">
        <f>IFERROR(VLOOKUP(B59,'[2]COMPRAS UC'!$R$11:$AF$66,8,0),0)</f>
        <v>0</v>
      </c>
      <c r="Q59" s="23">
        <f>IFERROR(VLOOKUP(B59,'[2]COMPRAS YUC'!$R$10:$AF$63,8,0),0)</f>
        <v>0</v>
      </c>
      <c r="R59" s="87">
        <f>IFERROR(VLOOKUP(D59,'[2]COMPRAS UC'!$R$11:$AF$66,9,0),0)</f>
        <v>0</v>
      </c>
      <c r="S59" s="23">
        <f>IFERROR(VLOOKUP(D59,'[2]COMPRAS YUC'!$R$10:$AF$63,9,0),0)</f>
        <v>0</v>
      </c>
      <c r="T59" s="87">
        <f>IFERROR(VLOOKUP(F59,'[2]COMPRAS UC'!$R$11:$AF$66,10,0),0)</f>
        <v>0</v>
      </c>
      <c r="U59" s="23">
        <f>IFERROR(VLOOKUP(F59,'[2]COMPRAS YUC'!$R$10:$AF$63,10,0),0)</f>
        <v>0</v>
      </c>
      <c r="V59" s="87">
        <f>IFERROR(VLOOKUP(H59,'[2]COMPRAS UC'!$R$11:$AF$66,11,0),0)</f>
        <v>0</v>
      </c>
      <c r="W59" s="23">
        <f>IFERROR(VLOOKUP(H59,'[2]COMPRAS YUC'!$R$10:$AF$63,11,0),0)</f>
        <v>0</v>
      </c>
      <c r="X59" s="87">
        <f>IFERROR(VLOOKUP(J59,'[2]COMPRAS UC'!$R$11:$AF$66,12,0),0)</f>
        <v>0</v>
      </c>
      <c r="Y59" s="23">
        <f>IFERROR(VLOOKUP(J59,'[2]COMPRAS YUC'!$R$10:$AF$63,12,0),0)</f>
        <v>0</v>
      </c>
      <c r="Z59" s="87">
        <f>IFERROR(VLOOKUP(L59,'[2]COMPRAS UC'!$R$11:$AF$66,13,0),0)</f>
        <v>0</v>
      </c>
      <c r="AA59" s="23">
        <f>IFERROR(VLOOKUP(L59,'[2]COMPRAS YUC'!$R$10:$AF$63,13,0),0)</f>
        <v>0</v>
      </c>
      <c r="AB59" s="87">
        <f>IFERROR(VLOOKUP(N59,'[2]COMPRAS UC'!$R$11:$AF$66,14,0),0)</f>
        <v>0</v>
      </c>
      <c r="AC59" s="23">
        <f>IFERROR(VLOOKUP(N59,'[2]COMPRAS YUC'!$R$10:$AF$63,14,0),0)</f>
        <v>0</v>
      </c>
      <c r="AD59" s="268"/>
      <c r="AE59" s="79">
        <f t="shared" si="51"/>
        <v>1</v>
      </c>
      <c r="AF59" s="96">
        <f t="shared" si="52"/>
        <v>0</v>
      </c>
      <c r="AG59" s="228">
        <f t="shared" si="57"/>
        <v>1</v>
      </c>
      <c r="AH59" s="79">
        <f t="shared" si="58"/>
        <v>1</v>
      </c>
      <c r="AI59" s="96">
        <f t="shared" si="59"/>
        <v>0</v>
      </c>
      <c r="AJ59" s="228">
        <f t="shared" si="60"/>
        <v>1</v>
      </c>
      <c r="AK59" s="86">
        <f t="shared" si="61"/>
        <v>0</v>
      </c>
      <c r="AL59" s="96">
        <f t="shared" si="61"/>
        <v>0</v>
      </c>
      <c r="AM59" s="233">
        <f t="shared" si="62"/>
        <v>0</v>
      </c>
      <c r="AN59" s="79">
        <f t="shared" si="54"/>
        <v>1</v>
      </c>
      <c r="AO59" s="96">
        <f t="shared" si="55"/>
        <v>0</v>
      </c>
      <c r="AP59" s="228">
        <f t="shared" si="63"/>
        <v>1</v>
      </c>
      <c r="AQ59" s="53">
        <v>1</v>
      </c>
      <c r="AZ59" s="53">
        <f t="shared" si="64"/>
        <v>0</v>
      </c>
    </row>
    <row r="60" spans="1:52" s="53" customFormat="1" ht="16" customHeight="1" x14ac:dyDescent="0.3">
      <c r="A60" s="53">
        <f>_xlfn.XLOOKUP(B60,'UC MINI 2026 MINI NEXT'!$B$7:$B$63,'UC MINI 2026 MINI NEXT'!$A$7:$A$63)</f>
        <v>10</v>
      </c>
      <c r="B60" s="179">
        <v>100549</v>
      </c>
      <c r="C60" s="381" t="s">
        <v>66</v>
      </c>
      <c r="D60" s="51">
        <v>9144</v>
      </c>
      <c r="E60" s="309" t="s">
        <v>203</v>
      </c>
      <c r="F60" s="199">
        <f>IFERROR(VLOOKUP(B60,'[2]COMPRAS UC'!$R$11:$AF$66,3,0),0)</f>
        <v>0</v>
      </c>
      <c r="G60" s="23">
        <f>IFERROR(VLOOKUP(B60,'[2]COMPRAS YUC'!$R$10:$AF$63,3,0),0)</f>
        <v>0</v>
      </c>
      <c r="H60" s="87">
        <f>IFERROR(VLOOKUP(B60,'[2]COMPRAS UC'!$R$11:$AF$66,4,0),0)</f>
        <v>0</v>
      </c>
      <c r="I60" s="23">
        <f>IFERROR(VLOOKUP(B60,'[2]COMPRAS YUC'!$R$10:$AF$63,4,0),0)</f>
        <v>0</v>
      </c>
      <c r="J60" s="87">
        <f>IFERROR(VLOOKUP(B60,'[2]COMPRAS UC'!$R$11:$AF$66,5,0),0)</f>
        <v>0</v>
      </c>
      <c r="K60" s="23">
        <f>IFERROR(VLOOKUP(B60,'[2]COMPRAS YUC'!$R$10:$AF$63,5,0),0)</f>
        <v>0</v>
      </c>
      <c r="L60" s="87">
        <f>IFERROR(VLOOKUP(B60,'[2]COMPRAS UC'!$R$11:$AF$66,6,0),0)</f>
        <v>0</v>
      </c>
      <c r="M60" s="23">
        <f>IFERROR(VLOOKUP(B60,'[2]COMPRAS YUC'!$R$10:$AF$63,6,0),0)</f>
        <v>0</v>
      </c>
      <c r="N60" s="87">
        <f>IFERROR(VLOOKUP(B60,'[2]COMPRAS UC'!$R$11:$AF$66,7,0),0)</f>
        <v>0</v>
      </c>
      <c r="O60" s="23">
        <f>IFERROR(VLOOKUP(B60,'[2]COMPRAS YUC'!$R$10:$AF$63,7,0),0)</f>
        <v>0</v>
      </c>
      <c r="P60" s="87">
        <f>IFERROR(VLOOKUP(B60,'[2]COMPRAS UC'!$R$11:$AF$66,8,0),0)</f>
        <v>0</v>
      </c>
      <c r="Q60" s="23">
        <f>IFERROR(VLOOKUP(B60,'[2]COMPRAS YUC'!$R$10:$AF$63,8,0),0)</f>
        <v>0</v>
      </c>
      <c r="R60" s="87">
        <f>IFERROR(VLOOKUP(D60,'[2]COMPRAS UC'!$R$11:$AF$66,9,0),0)</f>
        <v>0</v>
      </c>
      <c r="S60" s="23">
        <f>IFERROR(VLOOKUP(D60,'[2]COMPRAS YUC'!$R$10:$AF$63,9,0),0)</f>
        <v>0</v>
      </c>
      <c r="T60" s="87">
        <f>IFERROR(VLOOKUP(F60,'[2]COMPRAS UC'!$R$11:$AF$66,10,0),0)</f>
        <v>0</v>
      </c>
      <c r="U60" s="23">
        <f>IFERROR(VLOOKUP(F60,'[2]COMPRAS YUC'!$R$10:$AF$63,10,0),0)</f>
        <v>0</v>
      </c>
      <c r="V60" s="87">
        <f>IFERROR(VLOOKUP(H60,'[2]COMPRAS UC'!$R$11:$AF$66,11,0),0)</f>
        <v>0</v>
      </c>
      <c r="W60" s="23">
        <f>IFERROR(VLOOKUP(H60,'[2]COMPRAS YUC'!$R$10:$AF$63,11,0),0)</f>
        <v>0</v>
      </c>
      <c r="X60" s="87">
        <f>IFERROR(VLOOKUP(J60,'[2]COMPRAS UC'!$R$11:$AF$66,12,0),0)</f>
        <v>0</v>
      </c>
      <c r="Y60" s="23">
        <f>IFERROR(VLOOKUP(J60,'[2]COMPRAS YUC'!$R$10:$AF$63,12,0),0)</f>
        <v>0</v>
      </c>
      <c r="Z60" s="87">
        <f>IFERROR(VLOOKUP(L60,'[2]COMPRAS UC'!$R$11:$AF$66,13,0),0)</f>
        <v>0</v>
      </c>
      <c r="AA60" s="23">
        <f>IFERROR(VLOOKUP(L60,'[2]COMPRAS YUC'!$R$10:$AF$63,13,0),0)</f>
        <v>0</v>
      </c>
      <c r="AB60" s="87">
        <f>IFERROR(VLOOKUP(N60,'[2]COMPRAS UC'!$R$11:$AF$66,14,0),0)</f>
        <v>0</v>
      </c>
      <c r="AC60" s="23">
        <f>IFERROR(VLOOKUP(N60,'[2]COMPRAS YUC'!$R$10:$AF$63,14,0),0)</f>
        <v>0</v>
      </c>
      <c r="AD60" s="268"/>
      <c r="AE60" s="79">
        <f t="shared" si="51"/>
        <v>0</v>
      </c>
      <c r="AF60" s="96">
        <f t="shared" si="52"/>
        <v>0</v>
      </c>
      <c r="AG60" s="228">
        <f t="shared" si="57"/>
        <v>0</v>
      </c>
      <c r="AH60" s="79">
        <f t="shared" si="58"/>
        <v>0</v>
      </c>
      <c r="AI60" s="96">
        <f t="shared" si="59"/>
        <v>0</v>
      </c>
      <c r="AJ60" s="228">
        <f t="shared" si="60"/>
        <v>0</v>
      </c>
      <c r="AK60" s="86">
        <f t="shared" si="61"/>
        <v>0</v>
      </c>
      <c r="AL60" s="96">
        <f t="shared" si="61"/>
        <v>0</v>
      </c>
      <c r="AM60" s="233">
        <f t="shared" si="62"/>
        <v>0</v>
      </c>
      <c r="AN60" s="79">
        <f t="shared" si="54"/>
        <v>0</v>
      </c>
      <c r="AO60" s="96">
        <f t="shared" si="55"/>
        <v>0</v>
      </c>
      <c r="AP60" s="228">
        <f t="shared" si="63"/>
        <v>0</v>
      </c>
      <c r="AQ60" s="53">
        <v>1</v>
      </c>
      <c r="AZ60" s="53">
        <f t="shared" si="64"/>
        <v>0</v>
      </c>
    </row>
    <row r="61" spans="1:52" s="53" customFormat="1" ht="16" customHeight="1" x14ac:dyDescent="0.3">
      <c r="A61" s="53">
        <f>_xlfn.XLOOKUP(B61,'UC MINI 2026 MINI NEXT'!$B$7:$B$63,'UC MINI 2026 MINI NEXT'!$A$7:$A$63)</f>
        <v>10</v>
      </c>
      <c r="B61" s="179">
        <v>100589</v>
      </c>
      <c r="C61" s="381" t="s">
        <v>17</v>
      </c>
      <c r="D61" s="51">
        <v>9144</v>
      </c>
      <c r="E61" s="309" t="s">
        <v>203</v>
      </c>
      <c r="F61" s="199">
        <f>IFERROR(VLOOKUP(B61,'[2]COMPRAS UC'!$R$11:$AF$66,3,0),0)</f>
        <v>0</v>
      </c>
      <c r="G61" s="23">
        <f>IFERROR(VLOOKUP(B61,'[2]COMPRAS YUC'!$R$10:$AF$63,3,0),0)</f>
        <v>0</v>
      </c>
      <c r="H61" s="87">
        <f>IFERROR(VLOOKUP(B61,'[2]COMPRAS UC'!$R$11:$AF$66,4,0),0)</f>
        <v>0</v>
      </c>
      <c r="I61" s="23">
        <f>IFERROR(VLOOKUP(B61,'[2]COMPRAS YUC'!$R$10:$AF$63,4,0),0)</f>
        <v>0</v>
      </c>
      <c r="J61" s="87">
        <f>IFERROR(VLOOKUP(B61,'[2]COMPRAS UC'!$R$11:$AF$66,5,0),0)</f>
        <v>0</v>
      </c>
      <c r="K61" s="23">
        <f>IFERROR(VLOOKUP(B61,'[2]COMPRAS YUC'!$R$10:$AF$63,5,0),0)</f>
        <v>0</v>
      </c>
      <c r="L61" s="87">
        <f>IFERROR(VLOOKUP(B61,'[2]COMPRAS UC'!$R$11:$AF$66,6,0),0)</f>
        <v>0</v>
      </c>
      <c r="M61" s="23">
        <f>IFERROR(VLOOKUP(B61,'[2]COMPRAS YUC'!$R$10:$AF$63,6,0),0)</f>
        <v>0</v>
      </c>
      <c r="N61" s="87">
        <f>IFERROR(VLOOKUP(B61,'[2]COMPRAS UC'!$R$11:$AF$66,7,0),0)</f>
        <v>0</v>
      </c>
      <c r="O61" s="23">
        <f>IFERROR(VLOOKUP(B61,'[2]COMPRAS YUC'!$R$10:$AF$63,7,0),0)</f>
        <v>0</v>
      </c>
      <c r="P61" s="87">
        <f>IFERROR(VLOOKUP(B61,'[2]COMPRAS UC'!$R$11:$AF$66,8,0),0)</f>
        <v>0</v>
      </c>
      <c r="Q61" s="23">
        <f>IFERROR(VLOOKUP(B61,'[2]COMPRAS YUC'!$R$10:$AF$63,8,0),0)</f>
        <v>0</v>
      </c>
      <c r="R61" s="87">
        <f>IFERROR(VLOOKUP(D61,'[2]COMPRAS UC'!$R$11:$AF$66,9,0),0)</f>
        <v>0</v>
      </c>
      <c r="S61" s="23">
        <f>IFERROR(VLOOKUP(D61,'[2]COMPRAS YUC'!$R$10:$AF$63,9,0),0)</f>
        <v>0</v>
      </c>
      <c r="T61" s="87">
        <f>IFERROR(VLOOKUP(F61,'[2]COMPRAS UC'!$R$11:$AF$66,10,0),0)</f>
        <v>0</v>
      </c>
      <c r="U61" s="23">
        <f>IFERROR(VLOOKUP(F61,'[2]COMPRAS YUC'!$R$10:$AF$63,10,0),0)</f>
        <v>0</v>
      </c>
      <c r="V61" s="87">
        <f>IFERROR(VLOOKUP(H61,'[2]COMPRAS UC'!$R$11:$AF$66,11,0),0)</f>
        <v>0</v>
      </c>
      <c r="W61" s="23">
        <f>IFERROR(VLOOKUP(H61,'[2]COMPRAS YUC'!$R$10:$AF$63,11,0),0)</f>
        <v>0</v>
      </c>
      <c r="X61" s="87">
        <f>IFERROR(VLOOKUP(J61,'[2]COMPRAS UC'!$R$11:$AF$66,12,0),0)</f>
        <v>0</v>
      </c>
      <c r="Y61" s="23">
        <f>IFERROR(VLOOKUP(J61,'[2]COMPRAS YUC'!$R$10:$AF$63,12,0),0)</f>
        <v>0</v>
      </c>
      <c r="Z61" s="87">
        <f>IFERROR(VLOOKUP(L61,'[2]COMPRAS UC'!$R$11:$AF$66,13,0),0)</f>
        <v>0</v>
      </c>
      <c r="AA61" s="23">
        <f>IFERROR(VLOOKUP(L61,'[2]COMPRAS YUC'!$R$10:$AF$63,13,0),0)</f>
        <v>0</v>
      </c>
      <c r="AB61" s="87">
        <f>IFERROR(VLOOKUP(N61,'[2]COMPRAS UC'!$R$11:$AF$66,14,0),0)</f>
        <v>0</v>
      </c>
      <c r="AC61" s="23">
        <f>IFERROR(VLOOKUP(N61,'[2]COMPRAS YUC'!$R$10:$AF$63,14,0),0)</f>
        <v>0</v>
      </c>
      <c r="AD61" s="268"/>
      <c r="AE61" s="79">
        <f t="shared" si="51"/>
        <v>0</v>
      </c>
      <c r="AF61" s="96">
        <f t="shared" si="52"/>
        <v>0</v>
      </c>
      <c r="AG61" s="228">
        <f t="shared" si="57"/>
        <v>0</v>
      </c>
      <c r="AH61" s="79">
        <f t="shared" si="58"/>
        <v>0</v>
      </c>
      <c r="AI61" s="96">
        <f t="shared" si="59"/>
        <v>0</v>
      </c>
      <c r="AJ61" s="228">
        <f t="shared" si="60"/>
        <v>0</v>
      </c>
      <c r="AK61" s="86">
        <f t="shared" si="61"/>
        <v>0</v>
      </c>
      <c r="AL61" s="96">
        <f t="shared" si="61"/>
        <v>0</v>
      </c>
      <c r="AM61" s="233">
        <f t="shared" si="62"/>
        <v>0</v>
      </c>
      <c r="AN61" s="79">
        <f t="shared" si="54"/>
        <v>0</v>
      </c>
      <c r="AO61" s="96">
        <f t="shared" si="55"/>
        <v>0</v>
      </c>
      <c r="AP61" s="228">
        <f t="shared" si="63"/>
        <v>0</v>
      </c>
      <c r="AQ61" s="53">
        <v>1</v>
      </c>
      <c r="AZ61" s="53">
        <f t="shared" si="64"/>
        <v>0</v>
      </c>
    </row>
    <row r="62" spans="1:52" s="53" customFormat="1" ht="16" customHeight="1" x14ac:dyDescent="0.3">
      <c r="A62" s="53">
        <f>_xlfn.XLOOKUP(B62,'UC MINI 2026 MINI NEXT'!$B$7:$B$63,'UC MINI 2026 MINI NEXT'!$A$7:$A$63)</f>
        <v>10</v>
      </c>
      <c r="B62" s="179">
        <v>100819</v>
      </c>
      <c r="C62" s="381" t="s">
        <v>74</v>
      </c>
      <c r="D62" s="51">
        <v>9144</v>
      </c>
      <c r="E62" s="309" t="s">
        <v>203</v>
      </c>
      <c r="F62" s="199">
        <f>IFERROR(VLOOKUP(B62,'[2]COMPRAS UC'!$R$11:$AF$66,3,0),0)</f>
        <v>9</v>
      </c>
      <c r="G62" s="23">
        <f>IFERROR(VLOOKUP(B62,'[2]COMPRAS YUC'!$R$10:$AF$63,3,0),0)</f>
        <v>5</v>
      </c>
      <c r="H62" s="87">
        <f>IFERROR(VLOOKUP(B62,'[2]COMPRAS UC'!$R$11:$AF$66,4,0),0)</f>
        <v>5</v>
      </c>
      <c r="I62" s="23">
        <f>IFERROR(VLOOKUP(B62,'[2]COMPRAS YUC'!$R$10:$AF$63,4,0),0)</f>
        <v>0</v>
      </c>
      <c r="J62" s="87">
        <f>IFERROR(VLOOKUP(B62,'[2]COMPRAS UC'!$R$11:$AF$66,5,0),0)</f>
        <v>22</v>
      </c>
      <c r="K62" s="23">
        <f>IFERROR(VLOOKUP(B62,'[2]COMPRAS YUC'!$R$10:$AF$63,5,0),0)</f>
        <v>0</v>
      </c>
      <c r="L62" s="87">
        <f>IFERROR(VLOOKUP(B62,'[2]COMPRAS UC'!$R$11:$AF$66,6,0),0)</f>
        <v>16</v>
      </c>
      <c r="M62" s="23">
        <f>IFERROR(VLOOKUP(B62,'[2]COMPRAS YUC'!$R$10:$AF$63,6,0),0)</f>
        <v>3</v>
      </c>
      <c r="N62" s="87">
        <f>IFERROR(VLOOKUP(B62,'[2]COMPRAS UC'!$R$11:$AF$66,7,0),0)</f>
        <v>16</v>
      </c>
      <c r="O62" s="23">
        <f>IFERROR(VLOOKUP(B62,'[2]COMPRAS YUC'!$R$10:$AF$63,7,0),0)</f>
        <v>0</v>
      </c>
      <c r="P62" s="87">
        <f>IFERROR(VLOOKUP(B62,'[2]COMPRAS UC'!$R$11:$AF$66,8,0),0)</f>
        <v>14</v>
      </c>
      <c r="Q62" s="23">
        <f>IFERROR(VLOOKUP(B62,'[2]COMPRAS YUC'!$R$10:$AF$63,8,0),0)</f>
        <v>0</v>
      </c>
      <c r="R62" s="87">
        <f>IFERROR(VLOOKUP(D62,'[2]COMPRAS UC'!$R$11:$AF$66,9,0),0)</f>
        <v>0</v>
      </c>
      <c r="S62" s="23">
        <f>IFERROR(VLOOKUP(D62,'[2]COMPRAS YUC'!$R$10:$AF$63,9,0),0)</f>
        <v>0</v>
      </c>
      <c r="T62" s="87">
        <f>IFERROR(VLOOKUP(F62,'[2]COMPRAS UC'!$R$11:$AF$66,10,0),0)</f>
        <v>0</v>
      </c>
      <c r="U62" s="23">
        <f>IFERROR(VLOOKUP(F62,'[2]COMPRAS YUC'!$R$10:$AF$63,10,0),0)</f>
        <v>0</v>
      </c>
      <c r="V62" s="87">
        <f>IFERROR(VLOOKUP(H62,'[2]COMPRAS UC'!$R$11:$AF$66,11,0),0)</f>
        <v>0</v>
      </c>
      <c r="W62" s="23">
        <f>IFERROR(VLOOKUP(H62,'[2]COMPRAS YUC'!$R$10:$AF$63,11,0),0)</f>
        <v>0</v>
      </c>
      <c r="X62" s="87">
        <f>IFERROR(VLOOKUP(J62,'[2]COMPRAS UC'!$R$11:$AF$66,12,0),0)</f>
        <v>0</v>
      </c>
      <c r="Y62" s="23">
        <f>IFERROR(VLOOKUP(J62,'[2]COMPRAS YUC'!$R$10:$AF$63,12,0),0)</f>
        <v>0</v>
      </c>
      <c r="Z62" s="87">
        <f>IFERROR(VLOOKUP(L62,'[2]COMPRAS UC'!$R$11:$AF$66,13,0),0)</f>
        <v>0</v>
      </c>
      <c r="AA62" s="23">
        <f>IFERROR(VLOOKUP(L62,'[2]COMPRAS YUC'!$R$10:$AF$63,13,0),0)</f>
        <v>0</v>
      </c>
      <c r="AB62" s="87">
        <f>IFERROR(VLOOKUP(N62,'[2]COMPRAS UC'!$R$11:$AF$66,14,0),0)</f>
        <v>0</v>
      </c>
      <c r="AC62" s="23">
        <f>IFERROR(VLOOKUP(N62,'[2]COMPRAS YUC'!$R$10:$AF$63,14,0),0)</f>
        <v>0</v>
      </c>
      <c r="AD62" s="268"/>
      <c r="AE62" s="79">
        <f t="shared" si="51"/>
        <v>82</v>
      </c>
      <c r="AF62" s="96">
        <f t="shared" si="52"/>
        <v>8</v>
      </c>
      <c r="AG62" s="228">
        <f t="shared" si="57"/>
        <v>90</v>
      </c>
      <c r="AH62" s="79">
        <f t="shared" si="58"/>
        <v>82</v>
      </c>
      <c r="AI62" s="96">
        <f t="shared" si="59"/>
        <v>8</v>
      </c>
      <c r="AJ62" s="228">
        <f t="shared" si="60"/>
        <v>90</v>
      </c>
      <c r="AK62" s="86">
        <f t="shared" si="61"/>
        <v>0</v>
      </c>
      <c r="AL62" s="96">
        <f t="shared" si="61"/>
        <v>0</v>
      </c>
      <c r="AM62" s="233">
        <f t="shared" si="62"/>
        <v>0</v>
      </c>
      <c r="AN62" s="79">
        <f t="shared" si="54"/>
        <v>82</v>
      </c>
      <c r="AO62" s="96">
        <f t="shared" si="55"/>
        <v>8</v>
      </c>
      <c r="AP62" s="228">
        <f t="shared" si="63"/>
        <v>90</v>
      </c>
      <c r="AQ62" s="53">
        <v>1</v>
      </c>
      <c r="AZ62" s="53">
        <f t="shared" si="64"/>
        <v>49</v>
      </c>
    </row>
    <row r="63" spans="1:52" s="53" customFormat="1" ht="16" customHeight="1" thickBot="1" x14ac:dyDescent="0.35">
      <c r="A63" s="53">
        <f>_xlfn.XLOOKUP(B63,'UC MINI 2026 MINI NEXT'!$B$7:$B$63,'UC MINI 2026 MINI NEXT'!$A$7:$A$63)</f>
        <v>10</v>
      </c>
      <c r="B63" s="179">
        <v>100881</v>
      </c>
      <c r="C63" s="381" t="s">
        <v>163</v>
      </c>
      <c r="D63" s="51">
        <v>52622</v>
      </c>
      <c r="E63" s="309" t="s">
        <v>164</v>
      </c>
      <c r="F63" s="199">
        <f>IFERROR(VLOOKUP(B63,'[2]COMPRAS UC'!$R$11:$AF$66,3,0),0)</f>
        <v>0</v>
      </c>
      <c r="G63" s="23">
        <f>IFERROR(VLOOKUP(B63,'[2]COMPRAS YUC'!$R$10:$AF$63,3,0),0)</f>
        <v>0</v>
      </c>
      <c r="H63" s="87">
        <f>IFERROR(VLOOKUP(B63,'[2]COMPRAS UC'!$R$11:$AF$66,4,0),0)</f>
        <v>0</v>
      </c>
      <c r="I63" s="23">
        <f>IFERROR(VLOOKUP(B63,'[2]COMPRAS YUC'!$R$10:$AF$63,4,0),0)</f>
        <v>5</v>
      </c>
      <c r="J63" s="87">
        <f>IFERROR(VLOOKUP(B63,'[2]COMPRAS UC'!$R$11:$AF$66,5,0),0)</f>
        <v>0</v>
      </c>
      <c r="K63" s="23">
        <f>IFERROR(VLOOKUP(B63,'[2]COMPRAS YUC'!$R$10:$AF$63,5,0),0)</f>
        <v>1</v>
      </c>
      <c r="L63" s="87">
        <f>IFERROR(VLOOKUP(B63,'[2]COMPRAS UC'!$R$11:$AF$66,6,0),0)</f>
        <v>0</v>
      </c>
      <c r="M63" s="23">
        <f>IFERROR(VLOOKUP(B63,'[2]COMPRAS YUC'!$R$10:$AF$63,6,0),0)</f>
        <v>2</v>
      </c>
      <c r="N63" s="87">
        <f>IFERROR(VLOOKUP(B63,'[2]COMPRAS UC'!$R$11:$AF$66,7,0),0)</f>
        <v>0</v>
      </c>
      <c r="O63" s="23">
        <f>IFERROR(VLOOKUP(B63,'[2]COMPRAS YUC'!$R$10:$AF$63,7,0),0)</f>
        <v>0</v>
      </c>
      <c r="P63" s="87">
        <f>IFERROR(VLOOKUP(B63,'[2]COMPRAS UC'!$R$11:$AF$66,8,0),0)</f>
        <v>2</v>
      </c>
      <c r="Q63" s="23">
        <f>IFERROR(VLOOKUP(B63,'[2]COMPRAS YUC'!$R$10:$AF$63,8,0),0)</f>
        <v>0</v>
      </c>
      <c r="R63" s="87">
        <f>IFERROR(VLOOKUP(D63,'[2]COMPRAS UC'!$R$11:$AF$66,9,0),0)</f>
        <v>0</v>
      </c>
      <c r="S63" s="23">
        <f>IFERROR(VLOOKUP(D63,'[2]COMPRAS YUC'!$R$10:$AF$63,9,0),0)</f>
        <v>0</v>
      </c>
      <c r="T63" s="87">
        <f>IFERROR(VLOOKUP(F63,'[2]COMPRAS UC'!$R$11:$AF$66,10,0),0)</f>
        <v>0</v>
      </c>
      <c r="U63" s="23">
        <f>IFERROR(VLOOKUP(F63,'[2]COMPRAS YUC'!$R$10:$AF$63,10,0),0)</f>
        <v>0</v>
      </c>
      <c r="V63" s="87">
        <f>IFERROR(VLOOKUP(H63,'[2]COMPRAS UC'!$R$11:$AF$66,11,0),0)</f>
        <v>0</v>
      </c>
      <c r="W63" s="23">
        <f>IFERROR(VLOOKUP(H63,'[2]COMPRAS YUC'!$R$10:$AF$63,11,0),0)</f>
        <v>0</v>
      </c>
      <c r="X63" s="87">
        <f>IFERROR(VLOOKUP(J63,'[2]COMPRAS UC'!$R$11:$AF$66,12,0),0)</f>
        <v>0</v>
      </c>
      <c r="Y63" s="23">
        <f>IFERROR(VLOOKUP(J63,'[2]COMPRAS YUC'!$R$10:$AF$63,12,0),0)</f>
        <v>0</v>
      </c>
      <c r="Z63" s="87">
        <f>IFERROR(VLOOKUP(L63,'[2]COMPRAS UC'!$R$11:$AF$66,13,0),0)</f>
        <v>0</v>
      </c>
      <c r="AA63" s="23">
        <f>IFERROR(VLOOKUP(L63,'[2]COMPRAS YUC'!$R$10:$AF$63,13,0),0)</f>
        <v>0</v>
      </c>
      <c r="AB63" s="87">
        <f>IFERROR(VLOOKUP(N63,'[2]COMPRAS UC'!$R$11:$AF$66,14,0),0)</f>
        <v>0</v>
      </c>
      <c r="AC63" s="23">
        <f>IFERROR(VLOOKUP(N63,'[2]COMPRAS YUC'!$R$10:$AF$63,14,0),0)</f>
        <v>0</v>
      </c>
      <c r="AD63" s="268"/>
      <c r="AE63" s="79">
        <f t="shared" si="51"/>
        <v>2</v>
      </c>
      <c r="AF63" s="96">
        <f t="shared" si="52"/>
        <v>8</v>
      </c>
      <c r="AG63" s="228">
        <f t="shared" si="57"/>
        <v>10</v>
      </c>
      <c r="AH63" s="79">
        <f t="shared" si="58"/>
        <v>2</v>
      </c>
      <c r="AI63" s="96">
        <f t="shared" si="59"/>
        <v>8</v>
      </c>
      <c r="AJ63" s="228">
        <f t="shared" si="60"/>
        <v>10</v>
      </c>
      <c r="AK63" s="86">
        <f t="shared" si="61"/>
        <v>0</v>
      </c>
      <c r="AL63" s="96">
        <f t="shared" si="61"/>
        <v>0</v>
      </c>
      <c r="AM63" s="233">
        <f t="shared" si="62"/>
        <v>0</v>
      </c>
      <c r="AN63" s="79">
        <f t="shared" si="54"/>
        <v>2</v>
      </c>
      <c r="AO63" s="96">
        <f t="shared" si="55"/>
        <v>8</v>
      </c>
      <c r="AP63" s="228">
        <f t="shared" si="63"/>
        <v>10</v>
      </c>
      <c r="AQ63" s="53">
        <v>1</v>
      </c>
      <c r="AZ63" s="53">
        <f t="shared" si="64"/>
        <v>4</v>
      </c>
    </row>
    <row r="64" spans="1:52" s="53" customFormat="1" ht="16" customHeight="1" thickBot="1" x14ac:dyDescent="0.35">
      <c r="A64" s="53" t="e">
        <f>_xlfn.XLOOKUP(B64,'UC MINI 2026 MINI NEXT'!$B$7:$B$63,'UC MINI 2026 MINI NEXT'!$A$7:$A$63)</f>
        <v>#N/A</v>
      </c>
      <c r="B64" s="180" t="s">
        <v>272</v>
      </c>
      <c r="C64" s="62"/>
      <c r="D64" s="62"/>
      <c r="E64" s="61"/>
      <c r="F64" s="259">
        <f t="shared" ref="F64:AC64" si="65">SUM(F58:F63)</f>
        <v>9</v>
      </c>
      <c r="G64" s="259">
        <f t="shared" si="65"/>
        <v>5</v>
      </c>
      <c r="H64" s="259">
        <f t="shared" si="65"/>
        <v>5</v>
      </c>
      <c r="I64" s="259">
        <f t="shared" si="65"/>
        <v>5</v>
      </c>
      <c r="J64" s="259">
        <f t="shared" si="65"/>
        <v>23</v>
      </c>
      <c r="K64" s="259">
        <f t="shared" si="65"/>
        <v>1</v>
      </c>
      <c r="L64" s="259">
        <f t="shared" si="65"/>
        <v>16</v>
      </c>
      <c r="M64" s="259">
        <f t="shared" si="65"/>
        <v>5</v>
      </c>
      <c r="N64" s="259">
        <f t="shared" si="65"/>
        <v>16</v>
      </c>
      <c r="O64" s="259">
        <f t="shared" si="65"/>
        <v>0</v>
      </c>
      <c r="P64" s="259">
        <f t="shared" si="65"/>
        <v>17</v>
      </c>
      <c r="Q64" s="259">
        <f t="shared" si="65"/>
        <v>0</v>
      </c>
      <c r="R64" s="259">
        <f t="shared" si="65"/>
        <v>0</v>
      </c>
      <c r="S64" s="259">
        <f t="shared" si="65"/>
        <v>0</v>
      </c>
      <c r="T64" s="259">
        <f t="shared" si="65"/>
        <v>0</v>
      </c>
      <c r="U64" s="259">
        <f t="shared" si="65"/>
        <v>0</v>
      </c>
      <c r="V64" s="259">
        <f t="shared" si="65"/>
        <v>0</v>
      </c>
      <c r="W64" s="259">
        <f t="shared" si="65"/>
        <v>0</v>
      </c>
      <c r="X64" s="259">
        <f t="shared" si="65"/>
        <v>0</v>
      </c>
      <c r="Y64" s="259">
        <f t="shared" si="65"/>
        <v>0</v>
      </c>
      <c r="Z64" s="259">
        <f t="shared" si="65"/>
        <v>0</v>
      </c>
      <c r="AA64" s="259">
        <f t="shared" si="65"/>
        <v>0</v>
      </c>
      <c r="AB64" s="259">
        <f t="shared" si="65"/>
        <v>0</v>
      </c>
      <c r="AC64" s="259">
        <f t="shared" si="65"/>
        <v>0</v>
      </c>
      <c r="AD64" s="271"/>
      <c r="AE64" s="94">
        <f t="shared" si="51"/>
        <v>86</v>
      </c>
      <c r="AF64" s="425">
        <f t="shared" si="52"/>
        <v>16</v>
      </c>
      <c r="AG64" s="432">
        <f t="shared" si="57"/>
        <v>102</v>
      </c>
      <c r="AH64" s="94">
        <f>IFERROR(SUM(F64+H64+J64+L64+N64+P64+R64+T64+V64+X64+Z64+AB64),0)</f>
        <v>86</v>
      </c>
      <c r="AI64" s="256">
        <f t="shared" si="59"/>
        <v>16</v>
      </c>
      <c r="AJ64" s="432">
        <f>SUM(AJ58:AJ63)</f>
        <v>102</v>
      </c>
      <c r="AK64" s="65">
        <f ca="1">SUM(AK30:AK63)</f>
        <v>0</v>
      </c>
      <c r="AL64" s="99">
        <f ca="1">SUM(AL30:AL63)</f>
        <v>0</v>
      </c>
      <c r="AM64" s="236">
        <f ca="1">SUM(AM30:AM63)</f>
        <v>0</v>
      </c>
      <c r="AN64" s="94">
        <f t="shared" si="54"/>
        <v>86</v>
      </c>
      <c r="AO64" s="425">
        <f t="shared" si="55"/>
        <v>16</v>
      </c>
      <c r="AP64" s="432">
        <f>SUM(AP58:AP63)</f>
        <v>102</v>
      </c>
      <c r="AQ64" s="53">
        <v>0</v>
      </c>
    </row>
    <row r="65" spans="1:42" s="53" customFormat="1" ht="16" customHeight="1" thickBot="1" x14ac:dyDescent="0.35">
      <c r="B65" s="179">
        <v>12345</v>
      </c>
      <c r="C65" s="381" t="s">
        <v>278</v>
      </c>
      <c r="D65" s="51">
        <v>12345</v>
      </c>
      <c r="E65" s="309" t="s">
        <v>278</v>
      </c>
      <c r="F65" s="614">
        <f>IFERROR(VLOOKUP(1,'[2]COMPRAS UC'!$R$76:$AF$89,2,0),0)</f>
        <v>5</v>
      </c>
      <c r="G65" s="23">
        <f>IFERROR(VLOOKUP(1,'[2]COMPRAS YUC'!$R$71:$AF$86,2,0),0)</f>
        <v>0</v>
      </c>
      <c r="H65" s="613">
        <f>IFERROR(VLOOKUP(2,'[2]COMPRAS UC'!$R$76:$AF$89,2,0),0)</f>
        <v>6</v>
      </c>
      <c r="I65" s="23">
        <f>IFERROR(VLOOKUP(2,'[2]COMPRAS YUC'!$R$71:$AF$86,2,0),0)</f>
        <v>1</v>
      </c>
      <c r="J65" s="613">
        <f>IFERROR(VLOOKUP(3,'[2]COMPRAS UC'!$R$76:$AF$89,2,0),0)</f>
        <v>2</v>
      </c>
      <c r="K65" s="23">
        <f>IFERROR(VLOOKUP(3,'[2]COMPRAS YUC'!$R$71:$AF$86,2,0),0)</f>
        <v>0</v>
      </c>
      <c r="L65" s="613">
        <f>IFERROR(VLOOKUP(4,'[2]COMPRAS UC'!$R$76:$AF$89,2,0),0)</f>
        <v>4</v>
      </c>
      <c r="M65" s="23">
        <f>IFERROR(VLOOKUP(4,'[2]COMPRAS YUC'!$R$71:$AF$86,2,0),0)</f>
        <v>1</v>
      </c>
      <c r="N65" s="613">
        <f>IFERROR(VLOOKUP(5,'[2]COMPRAS UC'!$R$76:$AF$89,2,0),0)</f>
        <v>8</v>
      </c>
      <c r="O65" s="23">
        <f>IFERROR(VLOOKUP(5,'[2]COMPRAS YUC'!$R$71:$AF$86,2,0),0)</f>
        <v>1</v>
      </c>
      <c r="P65" s="613">
        <f>IFERROR(VLOOKUP(6,'[2]COMPRAS UC'!$R$76:$AF$89,2,0),0)</f>
        <v>16</v>
      </c>
      <c r="Q65" s="23">
        <f>IFERROR(VLOOKUP(6,'[2]COMPRAS YUC'!$R$71:$AF$86,2,0),0)</f>
        <v>0</v>
      </c>
      <c r="R65" s="613">
        <f>IFERROR(VLOOKUP(7,'[2]COMPRAS UC'!$R$76:$AF$89,2,0),0)</f>
        <v>0</v>
      </c>
      <c r="S65" s="23">
        <f>IFERROR(VLOOKUP(7,'[2]COMPRAS YUC'!$R$71:$AF$86,2,0),0)</f>
        <v>0</v>
      </c>
      <c r="T65" s="613">
        <f>IFERROR(VLOOKUP(8,'[2]COMPRAS UC'!$R$76:$AF$89,2,0),0)</f>
        <v>0</v>
      </c>
      <c r="U65" s="23">
        <f>IFERROR(VLOOKUP(8,'[2]COMPRAS YUC'!$R$71:$AF$86,2,0),0)</f>
        <v>0</v>
      </c>
      <c r="V65" s="613">
        <f>IFERROR(VLOOKUP(9,'[2]COMPRAS UC'!$R$76:$AF$89,2,0),0)</f>
        <v>0</v>
      </c>
      <c r="W65" s="23">
        <f>IFERROR(VLOOKUP(9,'[2]COMPRAS YUC'!$R$71:$AF$86,2,0),0)</f>
        <v>0</v>
      </c>
      <c r="X65" s="613">
        <f>IFERROR(VLOOKUP(10,'[2]COMPRAS UC'!$R$76:$AF$89,2,0),0)</f>
        <v>0</v>
      </c>
      <c r="Y65" s="23">
        <f>IFERROR(VLOOKUP(10,'[2]COMPRAS YUC'!$R$71:$AF$86,2,0),0)</f>
        <v>0</v>
      </c>
      <c r="Z65" s="613">
        <f>IFERROR(VLOOKUP(11,'[2]COMPRAS UC'!$R$76:$AF$89,2,0),0)</f>
        <v>0</v>
      </c>
      <c r="AA65" s="23">
        <f>IFERROR(VLOOKUP(11,'[2]COMPRAS YUC'!$R$71:$AF$86,2,0),0)</f>
        <v>0</v>
      </c>
      <c r="AB65" s="613">
        <f>IFERROR(VLOOKUP(12,'[2]COMPRAS UC'!$R$76:$AF$89,2,0),0)</f>
        <v>0</v>
      </c>
      <c r="AC65" s="23">
        <f>IFERROR(VLOOKUP(12,'[2]COMPRAS YUC'!$R$71:$AF$86,2,0),0)</f>
        <v>0</v>
      </c>
      <c r="AD65" s="268"/>
      <c r="AE65" s="79">
        <f>IFERROR(IF($AD$4="ENERO",F65,IF($AD$4="FEBRERO",F65+H65,IF($AD$4="MARZO",F65+H65+J65,IF($AD$4="ABRIL",F65+H65+J65+L65,IF($AD$4="MAYO",F65+H65+J65+L65+N65,IF($AD$4="JUNIO",F65+H65+J65+L65+N65+P65,IF($AD$4="JULIO",F65+H65+J65+L65+N65+P65+R65,IF($AD$4="AGOSTO",F65+H65+J65+L65+N65+P65+R65+T65,IF($AD$4="SEPTIEMBRE",F65+H65+J65+L65+N65+P65+R65+T65+V65,IF($AD$4="OCTUBRE",F65+H65+J65+L65+N65+P65+R65+T65+V65+X65,IF($AD$4="NOVIEMBRE",F65+H65+J65+L65+N65+P65+R65+T65+V65+X65+Z65,IF($AD$4="DICIEMBRE",F65+H65+J65+L65+N65+P65+R65+T65+V65+X65+Z65+AB65,"")))))))))))),0)</f>
        <v>41</v>
      </c>
      <c r="AF65" s="96">
        <f>IFERROR(IF($AD$4="ENERO",G65,IF($AD$4="FEBRERO",G65+I65,IF($AD$4="MARZO",G65+I65+K65,IF($AD$4="ABRIL",G65+I65+K65+M65,IF($AD$4="MAYO",G65+I65+K65+M65+O65,IF($AD$4="JUNIO",G65+I65+K65+M65+O65+Q65,IF($AD$4="JULIO",G65+I65+K65+M65+O65+Q65+S65,IF($AD$4="AGOSTO",G65+I65+K65+M65+O65+Q65+S65+U65,IF($AD$4="SEPTIEMBRE",G65+I65+K65+M65+O65+Q65+S65+U65+W65,IF($AD$4="OCTUBRE",G65+I65+K65+M65+O65+Q65+S65+U65+W65+Y65,IF($AD$4="NOVIEMBRE",G65+I65+K65+M65+O65+Q65+S65+U65+W65+Y65+AA65,IF($AD$4="DICIEMBRE",G65+I65+K65+M65+O65+Q65+S65+U65+W65+Y65+AA65+AC65,"")))))))))))),0)</f>
        <v>3</v>
      </c>
      <c r="AG65" s="228">
        <f>IFERROR(AE65+AF65,0)</f>
        <v>44</v>
      </c>
      <c r="AH65" s="79">
        <f>IFERROR(SUM(F65+H65+J65+L65+N65+P65+R65+T65+V65+X65+Z65+AB65),0)</f>
        <v>41</v>
      </c>
      <c r="AI65" s="96">
        <f>IFERROR(SUM(G65,I65,K65,M65,O65,Q65,S65,U65,W65,Y65,AA65,AC65),0)</f>
        <v>3</v>
      </c>
      <c r="AJ65" s="228">
        <f>AH65+AI65</f>
        <v>44</v>
      </c>
      <c r="AK65" s="86"/>
      <c r="AL65" s="96"/>
      <c r="AM65" s="233"/>
      <c r="AN65" s="79">
        <f>IFERROR(IF($AN$5="S 1",F65+H65+J65+L65+N65+P65,
IF($AN$5="S 2",R65+T65+V65+X65+Z65+AB65,0)),0)</f>
        <v>41</v>
      </c>
      <c r="AO65" s="96">
        <f>IFERROR(IF($AN$5="S 1",G65+I65+K65+M65+O65+Q65,
IF($AN$5="S 2",S65+U65+W65+Y65+AA65+AC65,0)),0)</f>
        <v>3</v>
      </c>
      <c r="AP65" s="228">
        <f>AN65+AO65</f>
        <v>44</v>
      </c>
    </row>
    <row r="66" spans="1:42" s="53" customFormat="1" ht="16" customHeight="1" thickBot="1" x14ac:dyDescent="0.35">
      <c r="A66" s="50"/>
      <c r="B66" s="71" t="s">
        <v>27</v>
      </c>
      <c r="C66" s="72"/>
      <c r="D66" s="72"/>
      <c r="E66" s="72"/>
      <c r="F66" s="555">
        <f t="shared" ref="F66:AC66" si="66">F65+F64+F57+F51+F45+F42+F36+F30+F23+F17+F11</f>
        <v>45</v>
      </c>
      <c r="G66" s="426">
        <f t="shared" si="66"/>
        <v>49</v>
      </c>
      <c r="H66" s="426">
        <f t="shared" si="66"/>
        <v>62</v>
      </c>
      <c r="I66" s="426">
        <f t="shared" si="66"/>
        <v>43</v>
      </c>
      <c r="J66" s="426">
        <f t="shared" si="66"/>
        <v>78</v>
      </c>
      <c r="K66" s="426">
        <f t="shared" si="66"/>
        <v>43</v>
      </c>
      <c r="L66" s="426">
        <f t="shared" si="66"/>
        <v>74</v>
      </c>
      <c r="M66" s="426">
        <f t="shared" si="66"/>
        <v>46</v>
      </c>
      <c r="N66" s="426">
        <f t="shared" si="66"/>
        <v>86</v>
      </c>
      <c r="O66" s="426">
        <f t="shared" si="66"/>
        <v>12</v>
      </c>
      <c r="P66" s="426">
        <f>P11+P17+P23+P30+P36+P42+P45+P51+P57+P64</f>
        <v>78</v>
      </c>
      <c r="Q66" s="426">
        <f t="shared" si="66"/>
        <v>12</v>
      </c>
      <c r="R66" s="426">
        <f t="shared" si="66"/>
        <v>0</v>
      </c>
      <c r="S66" s="426">
        <f t="shared" si="66"/>
        <v>0</v>
      </c>
      <c r="T66" s="426">
        <f t="shared" si="66"/>
        <v>0</v>
      </c>
      <c r="U66" s="426">
        <f t="shared" si="66"/>
        <v>0</v>
      </c>
      <c r="V66" s="426">
        <f t="shared" si="66"/>
        <v>0</v>
      </c>
      <c r="W66" s="426">
        <f t="shared" si="66"/>
        <v>0</v>
      </c>
      <c r="X66" s="426">
        <f t="shared" si="66"/>
        <v>0</v>
      </c>
      <c r="Y66" s="426">
        <f t="shared" si="66"/>
        <v>0</v>
      </c>
      <c r="Z66" s="426">
        <f t="shared" si="66"/>
        <v>0</v>
      </c>
      <c r="AA66" s="426">
        <f t="shared" si="66"/>
        <v>0</v>
      </c>
      <c r="AB66" s="426">
        <f t="shared" si="66"/>
        <v>0</v>
      </c>
      <c r="AC66" s="427">
        <f t="shared" si="66"/>
        <v>0</v>
      </c>
      <c r="AD66" s="273"/>
      <c r="AE66" s="95">
        <f t="shared" ref="AE66:AJ66" si="67">AE65+AE64+AE57+AE51+AE45+AE42+AE36+AE30+AE23+AE17+AE11</f>
        <v>439</v>
      </c>
      <c r="AF66" s="95">
        <f t="shared" si="67"/>
        <v>205</v>
      </c>
      <c r="AG66" s="551">
        <f t="shared" si="67"/>
        <v>644</v>
      </c>
      <c r="AH66" s="95">
        <f t="shared" si="67"/>
        <v>439</v>
      </c>
      <c r="AI66" s="95">
        <f t="shared" si="67"/>
        <v>205</v>
      </c>
      <c r="AJ66" s="551">
        <f t="shared" si="67"/>
        <v>642</v>
      </c>
      <c r="AK66" s="73">
        <f ca="1">#REF!+#REF!+#REF!+AK57+AK42+AK23</f>
        <v>0</v>
      </c>
      <c r="AL66" s="100">
        <f ca="1">#REF!+#REF!+#REF!+AL57+AL42+AL23</f>
        <v>0</v>
      </c>
      <c r="AM66" s="232">
        <f ca="1">#REF!+#REF!+#REF!+AM57+AM42+AM23</f>
        <v>0</v>
      </c>
      <c r="AN66" s="95">
        <f>AN65+AN64+AN57+AN51+AN45+AN42+AN36+AN30+AN23+AN17+AN11</f>
        <v>439</v>
      </c>
      <c r="AO66" s="95">
        <f>AO65+AO64+AO57+AO51+AO45+AO42+AO36+AO30+AO23+AO17+AO11</f>
        <v>205</v>
      </c>
      <c r="AP66" s="551">
        <f>AP65+AP64+AP57+AP51+AP45+AP42+AP36+AP30+AP23+AP17+AP11</f>
        <v>642</v>
      </c>
    </row>
    <row r="67" spans="1:42" s="53" customFormat="1" ht="16" customHeight="1" x14ac:dyDescent="0.35">
      <c r="A67" s="50"/>
      <c r="B67" s="74"/>
      <c r="C67" s="552"/>
      <c r="D67" s="553"/>
      <c r="E67" s="554"/>
      <c r="G67" s="75"/>
    </row>
    <row r="68" spans="1:42" s="53" customFormat="1" x14ac:dyDescent="0.3">
      <c r="B68" s="74"/>
      <c r="D68" s="44"/>
      <c r="F68" s="44"/>
      <c r="G68" s="76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2"/>
      <c r="S68" s="44"/>
      <c r="T68" s="2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77"/>
      <c r="AF68" s="77"/>
      <c r="AG68" s="44"/>
      <c r="AH68" s="44"/>
      <c r="AI68" s="44"/>
      <c r="AJ68" s="44"/>
      <c r="AK68" s="44"/>
      <c r="AL68" s="44"/>
      <c r="AM68" s="44"/>
      <c r="AN68" s="44"/>
      <c r="AO68" s="44"/>
      <c r="AP68" s="44"/>
    </row>
    <row r="69" spans="1:42" x14ac:dyDescent="0.3">
      <c r="D69" s="146"/>
      <c r="AE69" s="77"/>
      <c r="AF69" s="77"/>
    </row>
    <row r="70" spans="1:42" x14ac:dyDescent="0.3">
      <c r="D70" s="146"/>
    </row>
    <row r="71" spans="1:42" ht="13.5" thickBot="1" x14ac:dyDescent="0.35">
      <c r="D71" s="146"/>
    </row>
    <row r="72" spans="1:42" ht="14.5" x14ac:dyDescent="0.35">
      <c r="D72" s="146"/>
      <c r="F72" s="618" t="s">
        <v>262</v>
      </c>
      <c r="G72" s="619"/>
      <c r="H72" s="620"/>
      <c r="I72" s="174"/>
      <c r="J72" s="174"/>
      <c r="K72" s="174"/>
      <c r="L72" s="174"/>
      <c r="M72" s="174"/>
      <c r="N72" s="356"/>
      <c r="O72" s="356"/>
      <c r="P72" s="356"/>
      <c r="Q72" s="356"/>
      <c r="R72" s="356"/>
      <c r="S72" s="357"/>
    </row>
    <row r="73" spans="1:42" ht="14.5" customHeight="1" thickBot="1" x14ac:dyDescent="0.4">
      <c r="F73" s="621"/>
      <c r="G73" s="622"/>
      <c r="H73" s="623"/>
      <c r="I73"/>
      <c r="J73"/>
      <c r="K73"/>
      <c r="L73"/>
      <c r="M73"/>
      <c r="N73" s="2"/>
      <c r="O73" s="2"/>
      <c r="P73" s="2"/>
      <c r="Q73" s="2"/>
      <c r="R73" s="2"/>
      <c r="S73" s="358"/>
    </row>
    <row r="74" spans="1:42" ht="14.5" x14ac:dyDescent="0.35">
      <c r="F74" s="359"/>
      <c r="G74"/>
      <c r="H74"/>
      <c r="I74"/>
      <c r="J74"/>
      <c r="K74"/>
      <c r="L74"/>
      <c r="M74" t="s">
        <v>261</v>
      </c>
      <c r="N74" s="2"/>
      <c r="O74" s="2"/>
      <c r="P74" s="2"/>
      <c r="Q74" s="2"/>
      <c r="R74" s="2"/>
      <c r="S74" s="358"/>
    </row>
    <row r="75" spans="1:42" ht="14.5" x14ac:dyDescent="0.35">
      <c r="F75" s="359" t="s">
        <v>175</v>
      </c>
      <c r="G75" t="str">
        <f>M74</f>
        <v>Actual acumulado 2026 &amp; 2025.xlsx</v>
      </c>
      <c r="H75"/>
      <c r="I75"/>
      <c r="J75"/>
      <c r="K75"/>
      <c r="L75"/>
      <c r="N75" s="2"/>
      <c r="O75" s="2"/>
      <c r="P75" s="2"/>
      <c r="Q75" s="2"/>
      <c r="R75" s="2"/>
      <c r="S75" s="358"/>
    </row>
    <row r="76" spans="1:42" ht="14.5" x14ac:dyDescent="0.35">
      <c r="F76" s="359" t="s">
        <v>176</v>
      </c>
      <c r="G76" t="s">
        <v>183</v>
      </c>
      <c r="H76"/>
      <c r="I76"/>
      <c r="J76"/>
      <c r="K76"/>
      <c r="L76"/>
      <c r="M76" s="360" t="str">
        <f>HYPERLINK("C:\Users\qte8511\Desktop\Pruebas Javier\Actual acumulado 2026 &amp; 2025.xlsx", "Fichero YUC/UC")</f>
        <v>Fichero YUC/UC</v>
      </c>
      <c r="N76" s="2"/>
      <c r="O76" s="2"/>
      <c r="P76" s="2"/>
      <c r="Q76" s="2"/>
      <c r="R76" s="2"/>
      <c r="S76" s="358"/>
    </row>
    <row r="77" spans="1:42" ht="14.5" x14ac:dyDescent="0.35">
      <c r="F77" s="361" t="s">
        <v>184</v>
      </c>
      <c r="G77" s="354" t="s">
        <v>185</v>
      </c>
      <c r="H77"/>
      <c r="I77"/>
      <c r="J77"/>
      <c r="K77"/>
      <c r="L77"/>
      <c r="M77"/>
      <c r="N77" s="2"/>
      <c r="O77" s="2"/>
      <c r="P77" s="2"/>
      <c r="Q77" s="2"/>
      <c r="R77" s="2"/>
      <c r="S77" s="358"/>
    </row>
    <row r="78" spans="1:42" ht="14.5" x14ac:dyDescent="0.35">
      <c r="F78" s="361"/>
      <c r="G78" s="354"/>
      <c r="H78"/>
      <c r="I78"/>
      <c r="J78"/>
      <c r="K78"/>
      <c r="L78" s="376"/>
      <c r="M78"/>
      <c r="N78" s="2"/>
      <c r="O78" s="2" t="s">
        <v>160</v>
      </c>
      <c r="P78" s="2" t="s">
        <v>194</v>
      </c>
      <c r="Q78" s="2"/>
      <c r="R78" s="2"/>
      <c r="S78" s="358"/>
    </row>
    <row r="79" spans="1:42" ht="14.5" x14ac:dyDescent="0.35">
      <c r="F79" s="359"/>
      <c r="G79" t="str">
        <f>CONCATENATE("'[", G75, "]", G76, "'", G77)</f>
        <v>'[Actual acumulado 2026 &amp; 2025.xlsx]Tabla YUC_UC'!$V$12:$Z$80</v>
      </c>
      <c r="H79"/>
      <c r="I79"/>
      <c r="J79"/>
      <c r="K79"/>
      <c r="L79"/>
      <c r="M79"/>
      <c r="N79" s="2"/>
      <c r="O79" s="2" t="s">
        <v>159</v>
      </c>
      <c r="P79" s="2" t="s">
        <v>193</v>
      </c>
      <c r="Q79" s="2"/>
      <c r="R79" s="2"/>
      <c r="S79" s="358"/>
    </row>
    <row r="80" spans="1:42" ht="15" thickBot="1" x14ac:dyDescent="0.4">
      <c r="F80" s="362"/>
      <c r="G80" s="365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4"/>
    </row>
    <row r="88" spans="2:7" x14ac:dyDescent="0.3">
      <c r="G88" s="44"/>
    </row>
    <row r="89" spans="2:7" x14ac:dyDescent="0.3">
      <c r="B89" s="44"/>
      <c r="D89" s="76"/>
      <c r="G89" s="44"/>
    </row>
    <row r="90" spans="2:7" x14ac:dyDescent="0.3">
      <c r="B90" s="44"/>
      <c r="G90" s="44"/>
    </row>
    <row r="91" spans="2:7" x14ac:dyDescent="0.3">
      <c r="B91" s="44"/>
      <c r="G91" s="44"/>
    </row>
    <row r="92" spans="2:7" x14ac:dyDescent="0.3">
      <c r="B92" s="44"/>
      <c r="G92" s="44"/>
    </row>
    <row r="93" spans="2:7" x14ac:dyDescent="0.3">
      <c r="B93" s="44"/>
      <c r="G93" s="44"/>
    </row>
    <row r="94" spans="2:7" x14ac:dyDescent="0.3">
      <c r="B94" s="44"/>
      <c r="G94" s="44"/>
    </row>
    <row r="95" spans="2:7" x14ac:dyDescent="0.3">
      <c r="B95" s="44"/>
      <c r="G95" s="44"/>
    </row>
    <row r="96" spans="2:7" x14ac:dyDescent="0.3">
      <c r="B96" s="44"/>
      <c r="G96" s="44"/>
    </row>
    <row r="97" s="44" customFormat="1" x14ac:dyDescent="0.3"/>
    <row r="98" s="44" customFormat="1" x14ac:dyDescent="0.3"/>
    <row r="99" s="44" customFormat="1" x14ac:dyDescent="0.3"/>
    <row r="100" s="44" customFormat="1" x14ac:dyDescent="0.3"/>
    <row r="101" s="44" customFormat="1" x14ac:dyDescent="0.3"/>
    <row r="102" s="44" customFormat="1" x14ac:dyDescent="0.3"/>
    <row r="103" s="44" customFormat="1" x14ac:dyDescent="0.3"/>
    <row r="104" s="44" customFormat="1" x14ac:dyDescent="0.3"/>
    <row r="105" s="44" customFormat="1" x14ac:dyDescent="0.3"/>
    <row r="106" s="44" customFormat="1" x14ac:dyDescent="0.3"/>
    <row r="107" s="44" customFormat="1" x14ac:dyDescent="0.3"/>
    <row r="108" s="44" customFormat="1" x14ac:dyDescent="0.3"/>
    <row r="109" s="44" customFormat="1" x14ac:dyDescent="0.3"/>
    <row r="110" s="44" customFormat="1" x14ac:dyDescent="0.3"/>
    <row r="111" s="44" customFormat="1" x14ac:dyDescent="0.3"/>
    <row r="112" s="44" customFormat="1" x14ac:dyDescent="0.3"/>
    <row r="113" s="44" customFormat="1" x14ac:dyDescent="0.3"/>
    <row r="114" s="44" customFormat="1" x14ac:dyDescent="0.3"/>
    <row r="115" s="44" customFormat="1" x14ac:dyDescent="0.3"/>
    <row r="116" s="44" customFormat="1" x14ac:dyDescent="0.3"/>
    <row r="117" s="44" customFormat="1" x14ac:dyDescent="0.3"/>
    <row r="118" s="44" customFormat="1" x14ac:dyDescent="0.3"/>
    <row r="119" s="44" customFormat="1" x14ac:dyDescent="0.3"/>
    <row r="120" s="44" customFormat="1" x14ac:dyDescent="0.3"/>
    <row r="121" s="44" customFormat="1" x14ac:dyDescent="0.3"/>
    <row r="122" s="44" customFormat="1" x14ac:dyDescent="0.3"/>
    <row r="123" s="44" customFormat="1" x14ac:dyDescent="0.3"/>
    <row r="124" s="44" customFormat="1" x14ac:dyDescent="0.3"/>
    <row r="125" s="44" customFormat="1" x14ac:dyDescent="0.3"/>
    <row r="126" s="44" customFormat="1" x14ac:dyDescent="0.3"/>
    <row r="127" s="44" customFormat="1" x14ac:dyDescent="0.3"/>
    <row r="128" s="44" customFormat="1" x14ac:dyDescent="0.3"/>
    <row r="129" s="44" customFormat="1" x14ac:dyDescent="0.3"/>
    <row r="130" s="44" customFormat="1" x14ac:dyDescent="0.3"/>
    <row r="131" s="44" customFormat="1" x14ac:dyDescent="0.3"/>
    <row r="132" s="44" customFormat="1" x14ac:dyDescent="0.3"/>
    <row r="133" s="44" customFormat="1" x14ac:dyDescent="0.3"/>
    <row r="134" s="44" customFormat="1" x14ac:dyDescent="0.3"/>
    <row r="135" s="44" customFormat="1" x14ac:dyDescent="0.3"/>
    <row r="136" s="44" customFormat="1" x14ac:dyDescent="0.3"/>
    <row r="137" s="44" customFormat="1" x14ac:dyDescent="0.3"/>
    <row r="138" s="44" customFormat="1" x14ac:dyDescent="0.3"/>
    <row r="139" s="44" customFormat="1" x14ac:dyDescent="0.3"/>
    <row r="140" s="44" customFormat="1" x14ac:dyDescent="0.3"/>
    <row r="141" s="44" customFormat="1" x14ac:dyDescent="0.3"/>
    <row r="142" s="44" customFormat="1" x14ac:dyDescent="0.3"/>
    <row r="143" s="44" customFormat="1" x14ac:dyDescent="0.3"/>
    <row r="144" s="44" customFormat="1" x14ac:dyDescent="0.3"/>
    <row r="145" spans="2:7" x14ac:dyDescent="0.3">
      <c r="B145" s="44"/>
      <c r="G145" s="44"/>
    </row>
    <row r="146" spans="2:7" x14ac:dyDescent="0.3">
      <c r="B146" s="44"/>
      <c r="G146" s="44"/>
    </row>
    <row r="147" spans="2:7" x14ac:dyDescent="0.3">
      <c r="B147" s="44"/>
      <c r="G147" s="44"/>
    </row>
    <row r="148" spans="2:7" x14ac:dyDescent="0.3">
      <c r="B148" s="44"/>
      <c r="G148" s="44"/>
    </row>
    <row r="149" spans="2:7" x14ac:dyDescent="0.3">
      <c r="B149" s="44"/>
      <c r="G149" s="44"/>
    </row>
    <row r="150" spans="2:7" x14ac:dyDescent="0.3">
      <c r="B150" s="44"/>
      <c r="D150" s="76"/>
      <c r="G150" s="44"/>
    </row>
    <row r="151" spans="2:7" x14ac:dyDescent="0.3">
      <c r="B151" s="44"/>
      <c r="D151" s="76"/>
    </row>
  </sheetData>
  <autoFilter ref="A6:AN67" xr:uid="{00000000-0001-0000-0700-000000000000}">
    <filterColumn colId="3" showButton="0"/>
  </autoFilter>
  <mergeCells count="22">
    <mergeCell ref="B3:AM3"/>
    <mergeCell ref="B5:B6"/>
    <mergeCell ref="C5:C6"/>
    <mergeCell ref="D5:E6"/>
    <mergeCell ref="F5:G5"/>
    <mergeCell ref="H5:I5"/>
    <mergeCell ref="J5:K5"/>
    <mergeCell ref="L5:M5"/>
    <mergeCell ref="N5:O5"/>
    <mergeCell ref="P5:Q5"/>
    <mergeCell ref="AD5:AG5"/>
    <mergeCell ref="AH5:AJ5"/>
    <mergeCell ref="AK5:AM5"/>
    <mergeCell ref="AT5:AV5"/>
    <mergeCell ref="AN5:AP5"/>
    <mergeCell ref="F72:H73"/>
    <mergeCell ref="R5:S5"/>
    <mergeCell ref="T5:U5"/>
    <mergeCell ref="V5:W5"/>
    <mergeCell ref="X5:Y5"/>
    <mergeCell ref="Z5:AA5"/>
    <mergeCell ref="AB5:AC5"/>
  </mergeCells>
  <conditionalFormatting sqref="B3">
    <cfRule type="duplicateValues" dxfId="130" priority="7"/>
  </conditionalFormatting>
  <conditionalFormatting sqref="B5">
    <cfRule type="duplicateValues" dxfId="129" priority="8"/>
  </conditionalFormatting>
  <conditionalFormatting sqref="F5 H5 J5 L5 N5 P5 R5 T5 V5 X5 Z5 AB5">
    <cfRule type="expression" dxfId="128" priority="31">
      <formula>IF($AD$4="DICIEMBRE","VERDADERO")</formula>
    </cfRule>
  </conditionalFormatting>
  <conditionalFormatting sqref="F5 H5 J5 L5 N5 P5 R5 T5 V5 X5 Z5">
    <cfRule type="expression" dxfId="127" priority="20">
      <formula>IF($AD$4="NOVIEMBRE","VERDADERO")</formula>
    </cfRule>
  </conditionalFormatting>
  <conditionalFormatting sqref="F5 H5 J5 L5 N5 P5 R5 T5 V5 X5">
    <cfRule type="expression" dxfId="126" priority="19">
      <formula>IF($AD$4="OCTUBRE","VERDADERO")</formula>
    </cfRule>
  </conditionalFormatting>
  <conditionalFormatting sqref="F5 H5 J5 L5 N5 P5 R5 T5 V5">
    <cfRule type="expression" dxfId="125" priority="18">
      <formula>IF($AD$4="SEPTIEMBRE","VERDADERO")</formula>
    </cfRule>
  </conditionalFormatting>
  <conditionalFormatting sqref="F5 H5 J5 L5 N5 P5 R5 T5">
    <cfRule type="expression" dxfId="124" priority="17">
      <formula>IF($AD$4="AGOSTO","VERDADERO")</formula>
    </cfRule>
  </conditionalFormatting>
  <conditionalFormatting sqref="F5 H5 J5 L5 N5 P5 R5">
    <cfRule type="expression" dxfId="123" priority="16">
      <formula>IF($AD$4="JULIO","VERDADERO")</formula>
    </cfRule>
  </conditionalFormatting>
  <conditionalFormatting sqref="F5 H5 J5 L5 N5 P5">
    <cfRule type="expression" dxfId="122" priority="15">
      <formula>IF($AD$4="JUNIO","VERDADERO")</formula>
    </cfRule>
  </conditionalFormatting>
  <conditionalFormatting sqref="F5 H5 J5 L5 N5">
    <cfRule type="expression" dxfId="121" priority="14">
      <formula>IF($AD$4="MAYO","VERDADERO")</formula>
    </cfRule>
  </conditionalFormatting>
  <conditionalFormatting sqref="F5 H5 J5 L5">
    <cfRule type="expression" dxfId="120" priority="13">
      <formula>IF($AD$4="ABRIL","VERDADERO")</formula>
    </cfRule>
  </conditionalFormatting>
  <conditionalFormatting sqref="F5 H5 J5">
    <cfRule type="expression" dxfId="119" priority="12">
      <formula>IF($AD$4="MARZO","VERDADERO")</formula>
    </cfRule>
  </conditionalFormatting>
  <conditionalFormatting sqref="F5 H5">
    <cfRule type="expression" dxfId="118" priority="11">
      <formula>IF($AD$4="FEBRERO","VERDADERO")</formula>
    </cfRule>
  </conditionalFormatting>
  <conditionalFormatting sqref="F5">
    <cfRule type="expression" dxfId="117" priority="9">
      <formula>IF($AD$4="ENERO","VERDADERO")</formula>
    </cfRule>
  </conditionalFormatting>
  <conditionalFormatting sqref="F2:G2">
    <cfRule type="expression" dxfId="116" priority="10">
      <formula>IF($AD$4="ENERO","VERDADERO")</formula>
    </cfRule>
  </conditionalFormatting>
  <conditionalFormatting sqref="F2:AC2">
    <cfRule type="expression" dxfId="115" priority="21">
      <formula>IF($AD$4="FEBRERO","VERDADERO")</formula>
    </cfRule>
    <cfRule type="expression" dxfId="114" priority="22">
      <formula>IF($AD$4="MARZO","VERDADERO")</formula>
    </cfRule>
    <cfRule type="expression" dxfId="113" priority="23">
      <formula>IF($AD$4="ABRIL","VERDADERO")</formula>
    </cfRule>
    <cfRule type="expression" dxfId="112" priority="24">
      <formula>IF($AD$4="MAYO","VERDADERO")</formula>
    </cfRule>
    <cfRule type="expression" dxfId="111" priority="25">
      <formula>IF($AD$4="JUNIO","VERDADERO")</formula>
    </cfRule>
    <cfRule type="expression" dxfId="110" priority="26">
      <formula>IF($AD$4="JULIO","VERDADERO")</formula>
    </cfRule>
    <cfRule type="expression" dxfId="109" priority="27">
      <formula>IF($AD$4="AGOSTO","VERDADERO")</formula>
    </cfRule>
    <cfRule type="expression" dxfId="108" priority="28">
      <formula>IF($AD$4="SEPTIEMBRE","VERDADERO")</formula>
    </cfRule>
    <cfRule type="expression" dxfId="107" priority="29">
      <formula>IF($AD$4="OCTUBRE","VERDADERO")</formula>
    </cfRule>
    <cfRule type="expression" dxfId="106" priority="30">
      <formula>IF($AD$4="NOVIEMBRE","VERDADERO")</formula>
    </cfRule>
    <cfRule type="expression" dxfId="105" priority="32">
      <formula>IF($AD$4="DICIEMBRE","VERDADERO")</formula>
    </cfRule>
  </conditionalFormatting>
  <conditionalFormatting sqref="AM7:AM10 AJ7:AJ10 AP7:AP10 AG7:AG10 AM12:AM16 AJ12:AJ16 AP12:AP16 AG12:AG16 AM18:AM22 AJ18:AJ22 AP18:AP22 AG18:AG22 AM37:AM41 AJ37:AJ41 AP37:AP41 AG37:AG41 AM43:AM44 AJ43:AJ44 AP43:AP44 AG43:AG44 AM46:AM50 AM52:AM56 AJ52:AJ56 AP52:AP56 AG52:AG56 AM58:AM63 AJ58:AJ63 AP58:AP63 AG58:AG63 AM31:AM35 AJ31:AJ35 AP31:AP35 AG31:AG35 AM65 AG46:AG50 AJ46:AJ50 AP46:AP50 AP65 AJ65 AG65 AM24:AM29 AJ24:AJ29 AP24:AP29 AG24:AG29">
    <cfRule type="cellIs" dxfId="104" priority="3" operator="equal">
      <formula>"N.D."</formula>
    </cfRule>
    <cfRule type="cellIs" dxfId="103" priority="4" operator="lessThan">
      <formula>0.7</formula>
    </cfRule>
    <cfRule type="cellIs" dxfId="102" priority="5" operator="between">
      <formula>0.7</formula>
      <formula>0.99</formula>
    </cfRule>
    <cfRule type="cellIs" dxfId="101" priority="6" operator="greaterThanOrEqual">
      <formula>1</formula>
    </cfRule>
  </conditionalFormatting>
  <conditionalFormatting sqref="H72:J80 N72:P80">
    <cfRule type="cellIs" dxfId="100" priority="2" operator="greaterThan">
      <formula>1</formula>
    </cfRule>
  </conditionalFormatting>
  <conditionalFormatting sqref="B66">
    <cfRule type="duplicateValues" dxfId="99" priority="1"/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E1323B4-2530-4C4A-82A2-89061B7BA855}">
          <x14:formula1>
            <xm:f>MAESTRO!$H$3:$H$14</xm:f>
          </x14:formula1>
          <xm:sqref>AD4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6F35-3D58-4620-B03F-365EF7CFBD42}">
  <sheetPr codeName="Hoja16">
    <tabColor theme="9" tint="0.39997558519241921"/>
    <pageSetUpPr fitToPage="1"/>
  </sheetPr>
  <dimension ref="A1:BS86"/>
  <sheetViews>
    <sheetView topLeftCell="R3" workbookViewId="0">
      <selection activeCell="AL27" sqref="AL27"/>
    </sheetView>
  </sheetViews>
  <sheetFormatPr baseColWidth="10" defaultColWidth="11.453125" defaultRowHeight="13" x14ac:dyDescent="0.3"/>
  <cols>
    <col min="1" max="1" width="10.1796875" style="44" customWidth="1"/>
    <col min="2" max="2" width="10.54296875" style="78" customWidth="1"/>
    <col min="3" max="3" width="24.81640625" style="44" customWidth="1"/>
    <col min="4" max="4" width="2.1796875" style="44" customWidth="1"/>
    <col min="5" max="5" width="24" style="44" customWidth="1"/>
    <col min="6" max="6" width="6.81640625" style="44" customWidth="1"/>
    <col min="7" max="8" width="6.54296875" style="76" customWidth="1"/>
    <col min="9" max="41" width="6.54296875" style="44" customWidth="1"/>
    <col min="42" max="42" width="12" style="44" customWidth="1"/>
    <col min="43" max="47" width="10.1796875" style="44" customWidth="1"/>
    <col min="48" max="50" width="10.1796875" style="44" hidden="1" customWidth="1"/>
    <col min="51" max="51" width="11.453125" style="44" hidden="1" customWidth="1"/>
    <col min="52" max="54" width="0" style="44" hidden="1" customWidth="1"/>
    <col min="55" max="65" width="11.453125" style="44"/>
    <col min="66" max="66" width="14.1796875" style="44" customWidth="1"/>
    <col min="67" max="16384" width="11.453125" style="44"/>
  </cols>
  <sheetData>
    <row r="1" spans="1:71" hidden="1" x14ac:dyDescent="0.3">
      <c r="E1" s="117" t="s">
        <v>109</v>
      </c>
      <c r="F1" s="2" t="s">
        <v>0</v>
      </c>
      <c r="G1" s="2" t="s">
        <v>0</v>
      </c>
      <c r="H1" s="2"/>
      <c r="I1" s="2" t="s">
        <v>1</v>
      </c>
      <c r="J1" s="2" t="s">
        <v>1</v>
      </c>
      <c r="K1" s="2"/>
      <c r="L1" s="2" t="s">
        <v>2</v>
      </c>
      <c r="M1" s="2" t="s">
        <v>2</v>
      </c>
      <c r="N1" s="2"/>
      <c r="O1" s="2" t="s">
        <v>3</v>
      </c>
      <c r="P1" s="2" t="s">
        <v>3</v>
      </c>
      <c r="Q1" s="2"/>
      <c r="R1" s="2" t="s">
        <v>4</v>
      </c>
      <c r="S1" s="2" t="s">
        <v>4</v>
      </c>
      <c r="T1" s="2"/>
      <c r="U1" s="2" t="s">
        <v>5</v>
      </c>
      <c r="V1" s="2" t="s">
        <v>5</v>
      </c>
      <c r="W1" s="2"/>
      <c r="X1" s="2" t="s">
        <v>6</v>
      </c>
      <c r="Y1" s="2" t="s">
        <v>6</v>
      </c>
      <c r="Z1" s="2"/>
      <c r="AA1" s="2" t="s">
        <v>7</v>
      </c>
      <c r="AB1" s="2" t="s">
        <v>7</v>
      </c>
      <c r="AC1" s="2"/>
      <c r="AD1" s="2" t="s">
        <v>101</v>
      </c>
      <c r="AE1" s="2" t="s">
        <v>101</v>
      </c>
      <c r="AF1" s="2"/>
      <c r="AG1" s="2" t="s">
        <v>102</v>
      </c>
      <c r="AH1" s="2" t="s">
        <v>102</v>
      </c>
      <c r="AI1" s="2"/>
      <c r="AJ1" s="2" t="s">
        <v>103</v>
      </c>
      <c r="AK1" s="2" t="s">
        <v>103</v>
      </c>
      <c r="AL1" s="2"/>
      <c r="AM1" s="2" t="s">
        <v>104</v>
      </c>
      <c r="AN1" s="2" t="s">
        <v>104</v>
      </c>
      <c r="AO1" s="2"/>
    </row>
    <row r="2" spans="1:71" hidden="1" x14ac:dyDescent="0.3">
      <c r="E2" s="117" t="s">
        <v>108</v>
      </c>
      <c r="F2" s="140" t="str">
        <f>$AP$4</f>
        <v>JUNIO</v>
      </c>
      <c r="G2" s="140" t="str">
        <f>$AP$4</f>
        <v>JUNIO</v>
      </c>
      <c r="H2" s="140"/>
      <c r="I2" s="140" t="str">
        <f>IF($AP$4="ENERO",0,$AP$4)</f>
        <v>JUNIO</v>
      </c>
      <c r="J2" s="140" t="str">
        <f>IF($AP$4="ENERO",0,$AP$4)</f>
        <v>JUNIO</v>
      </c>
      <c r="K2" s="140"/>
      <c r="L2" s="140" t="str">
        <f>IF(OR($AP$4="ENERO",$AP$4="FEBRERO"),0,$AP$4)</f>
        <v>JUNIO</v>
      </c>
      <c r="M2" s="140" t="str">
        <f>IF(OR($AP$4="ENERO",$AP$4="FEBRERO"),0,$AP$4)</f>
        <v>JUNIO</v>
      </c>
      <c r="N2" s="140"/>
      <c r="O2" s="140" t="str">
        <f>IF(OR($AP$4="ENERO",$AP$4="FEBRERO",$AP$4="MARZO"),0,$AP$4)</f>
        <v>JUNIO</v>
      </c>
      <c r="P2" s="140" t="str">
        <f>IF(OR($AP$4="ENERO",$AP$4="FEBRERO",$AP$4="MARZO"),0,$AP$4)</f>
        <v>JUNIO</v>
      </c>
      <c r="Q2" s="140"/>
      <c r="R2" s="140" t="str">
        <f>IF(OR($AP$4="ENERO",$AP$4="FEBRERO",$AP$4="MARZO",$AP$4="ABRIL"),0,$AP$4)</f>
        <v>JUNIO</v>
      </c>
      <c r="S2" s="140" t="str">
        <f>IF(OR($AP$4="ENERO",$AP$4="FEBRERO",$AP$4="MARZO",$AP$4="ABRIL"),0,$AP$4)</f>
        <v>JUNIO</v>
      </c>
      <c r="T2" s="140"/>
      <c r="U2" s="140" t="str">
        <f>IF(OR($AP$4="ENERO",$AP$4="FEBRERO",$AP$4="MARZO",$AP$4="ABRIL",$AP$4="MAYO"),0,$AP$4)</f>
        <v>JUNIO</v>
      </c>
      <c r="V2" s="140" t="str">
        <f>IF(OR($AP$4="ENERO",$AP$4="FEBRERO",$AP$4="MARZO",$AP$4="ABRIL",$AP$4="MAYO"),0,$AP$4)</f>
        <v>JUNIO</v>
      </c>
      <c r="W2" s="140"/>
      <c r="X2" s="140">
        <f>IF(OR($AP$4="ENERO",$AP$4="FEBRERO",$AP$4="MARZO",$AP$4="ABRIL",$AP$4="MAYO",$AP$4="JUNIO"),0,$AP$4)</f>
        <v>0</v>
      </c>
      <c r="Y2" s="140">
        <f>IF(OR($AP$4="ENERO",$AP$4="FEBRERO",$AP$4="MARZO",$AP$4="ABRIL",$AP$4="MAYO",$AP$4="JUNIO"),0,$AP$4)</f>
        <v>0</v>
      </c>
      <c r="Z2" s="140"/>
      <c r="AA2" s="140">
        <f>IF(OR($AP$4="ENERO",$AP$4="FEBRERO",$AP$4="MARZO",$AP$4="ABRIL",$AP$4="MAYO",$AP$4="JUNIO",$AP$4="JULIO"),0,$AP$4)</f>
        <v>0</v>
      </c>
      <c r="AB2" s="140">
        <f>IF(OR($AP$4="ENERO",$AP$4="FEBRERO",$AP$4="MARZO",$AP$4="ABRIL",$AP$4="MAYO",$AP$4="JUNIO",$AP$4="JULIO"),0,$AP$4)</f>
        <v>0</v>
      </c>
      <c r="AC2" s="140"/>
      <c r="AD2" s="140">
        <f>IF(OR($AP$4="ENERO",$AP$4="FEBRERO",$AP$4="MARZO",$AP$4="ABRIL",$AP$4="MAYO",$AP$4="JUNIO",$AP$4="JULIO",$AP$4="AGOSTO"),0,$AP$4)</f>
        <v>0</v>
      </c>
      <c r="AE2" s="140">
        <f>IF(OR($AP$4="ENERO",$AP$4="FEBRERO",$AP$4="MARZO",$AP$4="ABRIL",$AP$4="MAYO",$AP$4="JUNIO",$AP$4="JULIO",$AP$4="AGOSTO"),0,$AP$4)</f>
        <v>0</v>
      </c>
      <c r="AF2" s="140"/>
      <c r="AG2" s="140">
        <f>IF(OR($AP$4="ENERO",$AP$4="FEBRERO",$AP$4="MARZO",$AP$4="ABRIL",$AP$4="MAYO",$AP$4="JUNIO",$AP$4="JULIO",$AP$4="AGOSTO",$AP$4="SEPTIEMBRE"),0,$AP$4)</f>
        <v>0</v>
      </c>
      <c r="AH2" s="140">
        <f>IF(OR($AP$4="ENERO",$AP$4="FEBRERO",$AP$4="MARZO",$AP$4="ABRIL",$AP$4="MAYO",$AP$4="JUNIO",$AP$4="JULIO",$AP$4="AGOSTO",$AP$4="SEPTIEMBRE"),0,$AP$4)</f>
        <v>0</v>
      </c>
      <c r="AI2" s="140"/>
      <c r="AJ2" s="140">
        <f>IF(OR($AP$4="ENERO",$AP$4="FEBRERO",$AP$4="MARZO",$AP$4="ABRIL",$AP$4="MAYO",$AP$4="JUNIO",$AP$4="JULIO",$AP$4="AGOSTO",$AP$4="SEPTIEMBRE",$AP$4="OCTUBRE"),0,$AP$4)</f>
        <v>0</v>
      </c>
      <c r="AK2" s="140">
        <f>IF(OR($AP$4="ENERO",$AP$4="FEBRERO",$AP$4="MARZO",$AP$4="ABRIL",$AP$4="MAYO",$AP$4="JUNIO",$AP$4="JULIO",$AP$4="AGOSTO",$AP$4="SEPTIEMBRE",$AP$4="OCTUBRE"),0,$AP$4)</f>
        <v>0</v>
      </c>
      <c r="AL2" s="140"/>
      <c r="AM2" s="140">
        <f>IF(OR($AP$4="ENERO",$AP$4="FEBRERO",$AP$4="MARZO",$AP$4="ABRIL",$AP$4="MAYO",$AP$4="JUNIO",$AP$4="JULIO",$AP$4="AGOSTO",$AP$4="SEPTIEMBRE",$AP$4="OCTUBRE",$AP$4="NOVIEMBRE"),0,$AP$4)</f>
        <v>0</v>
      </c>
      <c r="AN2" s="140">
        <f>IF(OR($AP$4="ENERO",$AP$4="FEBRERO",$AP$4="MARZO",$AP$4="ABRIL",$AP$4="MAYO",$AP$4="JUNIO",$AP$4="JULIO",$AP$4="AGOSTO",$AP$4="SEPTIEMBRE",$AP$4="OCTUBRE",$AP$4="NOVIEMBRE"),0,$AP$4)</f>
        <v>0</v>
      </c>
      <c r="AO2" s="140"/>
    </row>
    <row r="3" spans="1:71" s="42" customFormat="1" ht="18.5" thickBot="1" x14ac:dyDescent="0.35">
      <c r="A3" s="141"/>
      <c r="B3" s="747" t="s">
        <v>259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  <c r="AA3" s="747"/>
      <c r="AB3" s="747"/>
      <c r="AC3" s="747"/>
      <c r="AD3" s="747"/>
      <c r="AE3" s="747"/>
      <c r="AF3" s="747"/>
      <c r="AG3" s="747"/>
      <c r="AH3" s="747"/>
      <c r="AI3" s="747"/>
      <c r="AJ3" s="747"/>
      <c r="AK3" s="747"/>
      <c r="AL3" s="747"/>
      <c r="AM3" s="747"/>
      <c r="AN3" s="747"/>
      <c r="AO3" s="747"/>
      <c r="AP3" s="747"/>
      <c r="AQ3" s="747"/>
      <c r="AR3" s="747"/>
      <c r="AS3" s="747"/>
      <c r="AT3" s="747"/>
      <c r="AU3" s="747"/>
      <c r="AV3" s="747"/>
      <c r="AW3" s="747"/>
      <c r="AX3" s="747"/>
      <c r="AY3" s="747"/>
      <c r="AZ3" s="747"/>
      <c r="BA3" s="747"/>
      <c r="BB3" s="747"/>
      <c r="BC3" s="747"/>
      <c r="BD3" s="747"/>
      <c r="BE3" s="747"/>
    </row>
    <row r="4" spans="1:71" ht="13.5" thickBot="1" x14ac:dyDescent="0.35">
      <c r="F4" s="142">
        <v>5</v>
      </c>
      <c r="G4" s="142">
        <v>3</v>
      </c>
      <c r="H4" s="142"/>
      <c r="I4" s="142">
        <f>F4+2</f>
        <v>7</v>
      </c>
      <c r="J4" s="142">
        <v>8</v>
      </c>
      <c r="K4" s="142"/>
      <c r="L4" s="142">
        <f>I4+2</f>
        <v>9</v>
      </c>
      <c r="M4" s="142">
        <v>13</v>
      </c>
      <c r="N4" s="142"/>
      <c r="O4" s="142">
        <f>L4+2</f>
        <v>11</v>
      </c>
      <c r="P4" s="142">
        <f>O4+1</f>
        <v>12</v>
      </c>
      <c r="Q4" s="142"/>
      <c r="R4" s="142">
        <f>O4+2</f>
        <v>13</v>
      </c>
      <c r="S4" s="142">
        <f>R4+1</f>
        <v>14</v>
      </c>
      <c r="T4" s="142"/>
      <c r="U4" s="142">
        <f>R4+2</f>
        <v>15</v>
      </c>
      <c r="V4" s="142">
        <f>U4+1</f>
        <v>16</v>
      </c>
      <c r="W4" s="142"/>
      <c r="X4" s="142">
        <f>U4+2</f>
        <v>17</v>
      </c>
      <c r="Y4" s="142">
        <f>X4+1</f>
        <v>18</v>
      </c>
      <c r="Z4" s="142"/>
      <c r="AA4" s="142">
        <f>X4+2</f>
        <v>19</v>
      </c>
      <c r="AB4" s="142">
        <f>AA4+1</f>
        <v>20</v>
      </c>
      <c r="AC4" s="142"/>
      <c r="AD4" s="142">
        <f>AA4+2</f>
        <v>21</v>
      </c>
      <c r="AE4" s="142">
        <f>AD4+1</f>
        <v>22</v>
      </c>
      <c r="AF4" s="142"/>
      <c r="AG4" s="142">
        <f>AD4+2</f>
        <v>23</v>
      </c>
      <c r="AH4" s="142">
        <f>AG4+1</f>
        <v>24</v>
      </c>
      <c r="AI4" s="142"/>
      <c r="AJ4" s="142">
        <f>AG4+2</f>
        <v>25</v>
      </c>
      <c r="AK4" s="142">
        <f>AJ4+1</f>
        <v>26</v>
      </c>
      <c r="AL4" s="142"/>
      <c r="AM4" s="142">
        <f>AJ4+2</f>
        <v>27</v>
      </c>
      <c r="AN4" s="142">
        <f>AM4+1</f>
        <v>28</v>
      </c>
      <c r="AO4" s="142"/>
      <c r="AP4" s="82" t="s">
        <v>5</v>
      </c>
    </row>
    <row r="5" spans="1:71" ht="15" customHeight="1" thickBot="1" x14ac:dyDescent="0.35">
      <c r="B5" s="632" t="s">
        <v>35</v>
      </c>
      <c r="C5" s="630" t="s">
        <v>36</v>
      </c>
      <c r="E5" s="748" t="s">
        <v>76</v>
      </c>
      <c r="F5" s="745" t="s">
        <v>0</v>
      </c>
      <c r="G5" s="744"/>
      <c r="H5" s="744"/>
      <c r="I5" s="745" t="s">
        <v>1</v>
      </c>
      <c r="J5" s="744"/>
      <c r="K5" s="746"/>
      <c r="L5" s="745" t="s">
        <v>2</v>
      </c>
      <c r="M5" s="744"/>
      <c r="N5" s="746"/>
      <c r="O5" s="745" t="s">
        <v>3</v>
      </c>
      <c r="P5" s="744"/>
      <c r="Q5" s="746"/>
      <c r="R5" s="745" t="s">
        <v>4</v>
      </c>
      <c r="S5" s="744"/>
      <c r="T5" s="746"/>
      <c r="U5" s="745" t="s">
        <v>5</v>
      </c>
      <c r="V5" s="744"/>
      <c r="W5" s="746"/>
      <c r="X5" s="745" t="s">
        <v>6</v>
      </c>
      <c r="Y5" s="744"/>
      <c r="Z5" s="746"/>
      <c r="AA5" s="745" t="s">
        <v>7</v>
      </c>
      <c r="AB5" s="744"/>
      <c r="AC5" s="746"/>
      <c r="AD5" s="745" t="s">
        <v>29</v>
      </c>
      <c r="AE5" s="744"/>
      <c r="AF5" s="746"/>
      <c r="AG5" s="745" t="s">
        <v>30</v>
      </c>
      <c r="AH5" s="744"/>
      <c r="AI5" s="746"/>
      <c r="AJ5" s="745" t="s">
        <v>31</v>
      </c>
      <c r="AK5" s="744"/>
      <c r="AL5" s="746"/>
      <c r="AM5" s="745" t="s">
        <v>32</v>
      </c>
      <c r="AN5" s="744"/>
      <c r="AO5" s="744"/>
      <c r="AP5" s="741" t="s">
        <v>33</v>
      </c>
      <c r="AQ5" s="742"/>
      <c r="AR5" s="743"/>
      <c r="AS5" s="741" t="s">
        <v>34</v>
      </c>
      <c r="AT5" s="742"/>
      <c r="AU5" s="742"/>
      <c r="AV5" s="741" t="s">
        <v>70</v>
      </c>
      <c r="AW5" s="742"/>
      <c r="AX5" s="742"/>
      <c r="AY5" s="742"/>
      <c r="AZ5" s="742"/>
      <c r="BA5" s="742"/>
      <c r="BB5" s="743"/>
      <c r="BC5" s="741" t="s">
        <v>171</v>
      </c>
      <c r="BD5" s="742"/>
      <c r="BE5" s="743"/>
      <c r="BF5" s="741" t="s">
        <v>172</v>
      </c>
      <c r="BG5" s="742"/>
      <c r="BH5" s="743"/>
    </row>
    <row r="6" spans="1:71" s="74" customFormat="1" ht="44.5" customHeight="1" thickBot="1" x14ac:dyDescent="0.4">
      <c r="B6" s="634"/>
      <c r="C6" s="631"/>
      <c r="D6" s="322"/>
      <c r="E6" s="749"/>
      <c r="F6" s="318" t="s">
        <v>293</v>
      </c>
      <c r="G6" s="319" t="s">
        <v>294</v>
      </c>
      <c r="H6" s="591" t="s">
        <v>295</v>
      </c>
      <c r="I6" s="318" t="s">
        <v>293</v>
      </c>
      <c r="J6" s="319" t="s">
        <v>294</v>
      </c>
      <c r="K6" s="591" t="s">
        <v>295</v>
      </c>
      <c r="L6" s="318" t="s">
        <v>293</v>
      </c>
      <c r="M6" s="319" t="s">
        <v>294</v>
      </c>
      <c r="N6" s="591" t="s">
        <v>295</v>
      </c>
      <c r="O6" s="318" t="s">
        <v>293</v>
      </c>
      <c r="P6" s="319" t="s">
        <v>294</v>
      </c>
      <c r="Q6" s="591" t="s">
        <v>295</v>
      </c>
      <c r="R6" s="318" t="s">
        <v>293</v>
      </c>
      <c r="S6" s="319" t="s">
        <v>294</v>
      </c>
      <c r="T6" s="591" t="s">
        <v>295</v>
      </c>
      <c r="U6" s="318" t="s">
        <v>293</v>
      </c>
      <c r="V6" s="319" t="s">
        <v>294</v>
      </c>
      <c r="W6" s="591" t="s">
        <v>295</v>
      </c>
      <c r="X6" s="318" t="s">
        <v>293</v>
      </c>
      <c r="Y6" s="319" t="s">
        <v>294</v>
      </c>
      <c r="Z6" s="591" t="s">
        <v>295</v>
      </c>
      <c r="AA6" s="318" t="s">
        <v>293</v>
      </c>
      <c r="AB6" s="319" t="s">
        <v>294</v>
      </c>
      <c r="AC6" s="591" t="s">
        <v>295</v>
      </c>
      <c r="AD6" s="318" t="s">
        <v>293</v>
      </c>
      <c r="AE6" s="319" t="s">
        <v>294</v>
      </c>
      <c r="AF6" s="591" t="s">
        <v>295</v>
      </c>
      <c r="AG6" s="318" t="s">
        <v>293</v>
      </c>
      <c r="AH6" s="319" t="s">
        <v>294</v>
      </c>
      <c r="AI6" s="591" t="s">
        <v>295</v>
      </c>
      <c r="AJ6" s="318" t="s">
        <v>293</v>
      </c>
      <c r="AK6" s="319" t="s">
        <v>294</v>
      </c>
      <c r="AL6" s="591" t="s">
        <v>295</v>
      </c>
      <c r="AM6" s="318" t="s">
        <v>293</v>
      </c>
      <c r="AN6" s="319" t="s">
        <v>294</v>
      </c>
      <c r="AO6" s="591" t="s">
        <v>295</v>
      </c>
      <c r="AP6" s="318" t="s">
        <v>293</v>
      </c>
      <c r="AQ6" s="319" t="s">
        <v>294</v>
      </c>
      <c r="AR6" s="591" t="s">
        <v>295</v>
      </c>
      <c r="AS6" s="318" t="s">
        <v>293</v>
      </c>
      <c r="AT6" s="319" t="s">
        <v>294</v>
      </c>
      <c r="AU6" s="591" t="s">
        <v>295</v>
      </c>
      <c r="AV6" s="328" t="s">
        <v>168</v>
      </c>
      <c r="AW6" s="329" t="s">
        <v>37</v>
      </c>
      <c r="AX6" s="330" t="s">
        <v>38</v>
      </c>
      <c r="AY6" s="331" t="s">
        <v>133</v>
      </c>
      <c r="AZ6" s="331" t="s">
        <v>134</v>
      </c>
      <c r="BA6" s="387" t="s">
        <v>173</v>
      </c>
      <c r="BB6" s="332" t="s">
        <v>169</v>
      </c>
      <c r="BC6" s="318" t="s">
        <v>293</v>
      </c>
      <c r="BD6" s="319" t="s">
        <v>294</v>
      </c>
      <c r="BE6" s="591" t="s">
        <v>295</v>
      </c>
      <c r="BF6" s="318" t="s">
        <v>293</v>
      </c>
      <c r="BG6" s="319" t="s">
        <v>294</v>
      </c>
      <c r="BH6" s="591" t="s">
        <v>295</v>
      </c>
    </row>
    <row r="7" spans="1:71" s="53" customFormat="1" ht="16" customHeight="1" thickBot="1" x14ac:dyDescent="0.35">
      <c r="A7" s="53">
        <f>_xlfn.XLOOKUP(B7,'WHOLESALE MINI 2026'!$B$7:$B$63,'WHOLESALE MINI 2026'!$A$7:$A$63)</f>
        <v>1</v>
      </c>
      <c r="B7" s="8">
        <v>100323</v>
      </c>
      <c r="C7" s="369" t="s">
        <v>165</v>
      </c>
      <c r="D7" s="146"/>
      <c r="E7" s="309" t="s">
        <v>274</v>
      </c>
      <c r="F7" s="54">
        <v>26</v>
      </c>
      <c r="G7" s="86">
        <f>SUMIF('UC MINI 2026'!$B$5:$B$71,'UC MINI 2026 MINI NEXT'!$B7,'UC MINI 2026'!$G$5:$G$71)</f>
        <v>9</v>
      </c>
      <c r="H7" s="243">
        <f t="shared" ref="H7:H23" si="0">IFERROR(G7/F7,0)</f>
        <v>0.34615384615384615</v>
      </c>
      <c r="I7" s="54">
        <v>49</v>
      </c>
      <c r="J7" s="86">
        <f>SUMIF('UC MINI 2026'!$B$5:$B$61,'UC MINI 2026 MINI NEXT'!$B7,'UC MINI 2026'!$I$5:$I$61)</f>
        <v>6</v>
      </c>
      <c r="K7" s="243">
        <f t="shared" ref="K7:K23" si="1">IFERROR(J7/I7,0)</f>
        <v>0.12244897959183673</v>
      </c>
      <c r="L7" s="54">
        <v>49</v>
      </c>
      <c r="M7" s="86">
        <f>SUMIF('UC MINI 2026'!$B$5:$B$61,'UC MINI 2026 MINI NEXT'!$B7,'UC MINI 2026'!$K$5:$K$61)</f>
        <v>14</v>
      </c>
      <c r="N7" s="297">
        <f t="shared" ref="N7:N23" si="2">IFERROR(M7/L7,0)</f>
        <v>0.2857142857142857</v>
      </c>
      <c r="O7" s="54">
        <f>VLOOKUP(B7,'[5]% Penetración Mdo ABR26'!$B$7:$G$59,6,0)-F7-I7-L7</f>
        <v>38</v>
      </c>
      <c r="P7" s="86">
        <f>SUMIF('UC MINI 2026'!$B$5:$B$61,'UC MINI 2026 MINI NEXT'!$B7,'UC MINI 2026'!$M$5:$M$61)</f>
        <v>12</v>
      </c>
      <c r="Q7" s="243">
        <f t="shared" ref="Q7:Q23" si="3">IFERROR(P7/O7,0)</f>
        <v>0.31578947368421051</v>
      </c>
      <c r="R7" s="21">
        <f>VLOOKUP(B7,'[6]% Penetración Mdo MAY26'!$B$7:$G$65,6,0)-F7-I7-L7-O7</f>
        <v>39</v>
      </c>
      <c r="S7" s="86">
        <f>SUMIF('UC MINI 2026'!$B$5:$B$61,'UC MINI 2026 MINI NEXT'!$B7,'UC MINI 2026'!$O$5:$O$61)</f>
        <v>8</v>
      </c>
      <c r="T7" s="297">
        <f t="shared" ref="T7:T23" si="4">IFERROR(S7/R7,0)</f>
        <v>0.20512820512820512</v>
      </c>
      <c r="U7" s="606">
        <f>VLOOKUP(B7,'[7]% Penetración Mdo JUN26'!$B$7:$J$59,6,0)-F7-I7-L7-O7-R7</f>
        <v>35</v>
      </c>
      <c r="V7" s="86">
        <f>SUMIF('UC MINI 2026'!$B$5:$B$61,'UC MINI 2026 MINI NEXT'!$B7,'UC MINI 2026'!$Q$5:$Q$61)</f>
        <v>14</v>
      </c>
      <c r="W7" s="243">
        <f t="shared" ref="W7:W23" si="5">IFERROR(V7/U7,0)</f>
        <v>0.4</v>
      </c>
      <c r="X7" s="54"/>
      <c r="Y7" s="86">
        <f>SUMIF('UC MINI 2026'!$B$5:$B$61,'UC MINI 2026 MINI NEXT'!$B7,'UC MINI 2026'!$S$5:$S$61)</f>
        <v>0</v>
      </c>
      <c r="Z7" s="297">
        <f>IFERROR(Y7/X7,0)</f>
        <v>0</v>
      </c>
      <c r="AA7" s="54"/>
      <c r="AB7" s="86">
        <f>SUMIF('UC MINI 2026'!$B$5:$B$61,'UC MINI 2026 MINI NEXT'!$B7,'UC MINI 2026'!$U$5:$U$61)</f>
        <v>0</v>
      </c>
      <c r="AC7" s="243">
        <f>IFERROR(AB7/AA7,0)</f>
        <v>0</v>
      </c>
      <c r="AD7" s="54"/>
      <c r="AE7" s="86">
        <f>SUMIF('UC MINI 2026'!$B$5:$B$61,'UC MINI 2026 MINI NEXT'!$B7,'UC MINI 2026'!$W$5:$W$61)</f>
        <v>0</v>
      </c>
      <c r="AF7" s="297">
        <f>IFERROR(AE7/AD7,0)</f>
        <v>0</v>
      </c>
      <c r="AG7" s="54"/>
      <c r="AH7" s="86">
        <f>SUMIF('UC MINI 2026'!$B$5:$B$61,'UC MINI 2026 MINI NEXT'!$B7,'UC MINI 2026'!$Y$5:$Y$61)</f>
        <v>0</v>
      </c>
      <c r="AI7" s="243">
        <f>IFERROR(AH7/AG7,0)</f>
        <v>0</v>
      </c>
      <c r="AJ7" s="54"/>
      <c r="AK7" s="86">
        <f>SUMIF('UC MINI 2026'!$B$5:$B$61,'UC MINI 2026 MINI NEXT'!$B7,'UC MINI 2026'!$AA$5:$AA$61)</f>
        <v>0</v>
      </c>
      <c r="AL7" s="297">
        <f>IFERROR(AK7/AJ7,0)</f>
        <v>0</v>
      </c>
      <c r="AM7" s="54"/>
      <c r="AN7" s="86">
        <f>SUMIF('UC MINI 2026'!$B$5:$B$61,'UC MINI 2026 MINI NEXT'!$B7,'UC MINI 2026'!$AC$5:$AC$61)</f>
        <v>0</v>
      </c>
      <c r="AO7" s="243">
        <f t="shared" ref="AO7:AO23" si="6">IFERROR(AN7/AM7,0)</f>
        <v>0</v>
      </c>
      <c r="AP7" s="54">
        <f t="shared" ref="AP7:AQ10" si="7">IFERROR(IF($AP$4="ENERO",F7,IF($AP$4="FEBRERO",F7+I7,IF($AP$4="MARZO",F7+I7+L7,IF($AP$4="ABRIL",F7+I7+L7+O7,IF($AP$4="MAYO",F7+I7+L7+O7+R7,IF($AP$4="JUNIO",F7+I7+L7+O7+R7+U7,IF($AP$4="JULIO",F7+I7+L7+O7+R7+U7+X7,IF($AP$4="AGOSTO",F7+I7+L7+O7+R7+U7+X7+AA7,IF($AP$4="SEPTIEMBRE",F7+I7+L7+O7+R7+U7+X7+AA7+AD7,IF($AP$4="OCTUBRE",F7+I7+L7+O7+R7+U7+X7+AA7+AD7+AG7,IF($AP$4="NOVIEMBRE",F7+I7+L7+O7+R7+U7+X7+AA7+AD7+AG7+AJ7,IF($AP$4="DICIEMBRE",F7+I7+L7+O7+R7+U7+X7+AA7+AD7+AG7+AJ7+AM7,"")))))))))))),0)</f>
        <v>236</v>
      </c>
      <c r="AQ7" s="86">
        <f t="shared" si="7"/>
        <v>63</v>
      </c>
      <c r="AR7" s="149">
        <f t="shared" ref="AR7:AR23" si="8">IFERROR((AQ7/AP7),0)</f>
        <v>0.26694915254237289</v>
      </c>
      <c r="AS7" s="54">
        <f>IFERROR(F7+I7+L7+O7+R7+U7++X7+AA7+AD7+AG7+AJ7+AM7,0)</f>
        <v>236</v>
      </c>
      <c r="AT7" s="86">
        <f>IFERROR(G7+J7+M7+P7+S7+V7++Y7+AB7+AE7+AH7+AK7+AN7,0)</f>
        <v>63</v>
      </c>
      <c r="AU7" s="149">
        <f>IFERROR((AT7/AS7),0)</f>
        <v>0.26694915254237289</v>
      </c>
      <c r="AV7" s="54">
        <f t="shared" ref="AV7:AW10" si="9">IF($AV$5="Q1",F7+I7+L7,
IF($AV$5="Q2",O7+R7++U7,
IF($AV$5="Q3",X7+AA7+AD7,
IF($AV$5="Q4",AG7+AJ7+AM7,0))))</f>
        <v>124</v>
      </c>
      <c r="AW7" s="86">
        <f t="shared" si="9"/>
        <v>29</v>
      </c>
      <c r="AX7" s="109">
        <f t="shared" ref="AX7:AX23" si="10">IFERROR((AW7/AV7),0)</f>
        <v>0.23387096774193547</v>
      </c>
      <c r="AY7" s="86">
        <f>IFERROR(IF($AV$5="Q1",#REF!+#REF!+#REF!,
IF($AV$5="Q2",#REF!+#REF!++#REF!,
IF($AV$5="Q3",#REF!+#REF!+#REF!,
IF($AV$5="Q4",#REF!+#REF!+#REF!,0)))),0)</f>
        <v>0</v>
      </c>
      <c r="AZ7" s="297">
        <f>IF(AW7=0,"N.D.",AY7/AW7)</f>
        <v>0</v>
      </c>
      <c r="BA7" s="348">
        <f>IFERROR(IF($AV$5="Q1",#REF!+#REF!+#REF!,
IF($AV$5="Q2",#REF!+#REF!+#REF!,
IF($AV$5="Q3",#REF!+#REF!+#REF!,
IF($AV$5="Q4",#REF!+#REF!+#REF!,0)))),0)</f>
        <v>0</v>
      </c>
      <c r="BB7" s="150">
        <f t="shared" ref="BB7:BB23" si="11">IFERROR((BA7/AV7),0)</f>
        <v>0</v>
      </c>
      <c r="BC7" s="54">
        <f t="shared" ref="BC7:BD10" si="12">IFERROR(IF($BC$5="S 1",F7+I7+L7+O7+R7+U7,
IF($BC$5="S 2",X7+AA7+AD7+AG7+AJ7+AM7,0)),0)</f>
        <v>236</v>
      </c>
      <c r="BD7" s="86">
        <f t="shared" si="12"/>
        <v>63</v>
      </c>
      <c r="BE7" s="150">
        <f t="shared" ref="BE7:BE23" si="13">IFERROR((BD7/BC7),0)</f>
        <v>0.26694915254237289</v>
      </c>
      <c r="BF7" s="54">
        <f t="shared" ref="BF7:BG10" si="14">IFERROR(IF($BF$5="S 1",F7+I7+L7+O7+R7+U7,
IF($BF$5="S 2",X7+AA7+AD7+AG7+AJ7+AM7,0)),0)</f>
        <v>0</v>
      </c>
      <c r="BG7" s="79">
        <f t="shared" si="14"/>
        <v>0</v>
      </c>
      <c r="BH7" s="150">
        <f t="shared" ref="BH7:BH23" si="15">IFERROR((BG7/BF7),0)</f>
        <v>0</v>
      </c>
      <c r="BI7" s="53">
        <v>1</v>
      </c>
    </row>
    <row r="8" spans="1:71" s="53" customFormat="1" ht="16" customHeight="1" thickBot="1" x14ac:dyDescent="0.4">
      <c r="A8" s="53">
        <f>_xlfn.XLOOKUP(B8,'WHOLESALE MINI 2026'!$B$7:$B$63,'WHOLESALE MINI 2026'!$A$7:$A$63)</f>
        <v>1</v>
      </c>
      <c r="B8" s="8">
        <v>100873</v>
      </c>
      <c r="C8" s="369" t="s">
        <v>166</v>
      </c>
      <c r="D8" s="146"/>
      <c r="E8" s="309" t="s">
        <v>156</v>
      </c>
      <c r="F8" s="54">
        <v>38</v>
      </c>
      <c r="G8" s="86">
        <f>SUMIF('UC MINI 2026'!$B$5:$B$71,'UC MINI 2026 MINI NEXT'!$B8,'UC MINI 2026'!$G$5:$G$71)</f>
        <v>15</v>
      </c>
      <c r="H8" s="243">
        <f t="shared" si="0"/>
        <v>0.39473684210526316</v>
      </c>
      <c r="I8" s="54">
        <v>34</v>
      </c>
      <c r="J8" s="86">
        <f>SUMIF('UC MINI 2026'!$B$5:$B$61,'UC MINI 2026 MINI NEXT'!$B8,'UC MINI 2026'!$I$5:$I$61)</f>
        <v>16</v>
      </c>
      <c r="K8" s="243">
        <f t="shared" si="1"/>
        <v>0.47058823529411764</v>
      </c>
      <c r="L8" s="54">
        <v>26</v>
      </c>
      <c r="M8" s="86">
        <f>SUMIF('UC MINI 2026'!$B$5:$B$61,'UC MINI 2026 MINI NEXT'!$B8,'UC MINI 2026'!$K$5:$K$61)</f>
        <v>14</v>
      </c>
      <c r="N8" s="297">
        <f t="shared" si="2"/>
        <v>0.53846153846153844</v>
      </c>
      <c r="O8" s="54">
        <f>VLOOKUP(B8,'[5]% Penetración Mdo ABR26'!$B$7:$G$59,6,0)-F8-I8-L8</f>
        <v>49</v>
      </c>
      <c r="P8" s="86">
        <f>SUMIF('UC MINI 2026'!$B$5:$B$61,'UC MINI 2026 MINI NEXT'!$B8,'UC MINI 2026'!$M$5:$M$61)</f>
        <v>17</v>
      </c>
      <c r="Q8" s="243">
        <f t="shared" si="3"/>
        <v>0.34693877551020408</v>
      </c>
      <c r="R8" s="21">
        <f>VLOOKUP(B8,'[6]% Penetración Mdo MAY26'!$B$7:$G$65,6,0)-F8-I8-L8-O8</f>
        <v>32</v>
      </c>
      <c r="S8" s="86">
        <f>SUMIF('UC MINI 2026'!$B$5:$B$61,'UC MINI 2026 MINI NEXT'!$B8,'UC MINI 2026'!$O$5:$O$61)</f>
        <v>22</v>
      </c>
      <c r="T8" s="297">
        <f t="shared" si="4"/>
        <v>0.6875</v>
      </c>
      <c r="U8" s="606">
        <f>VLOOKUP(B8,'[7]% Penetración Mdo JUN26'!$B$7:$J$59,6,0)-F8-I8-L8-O8-R8</f>
        <v>18</v>
      </c>
      <c r="V8" s="86">
        <f>SUMIF('UC MINI 2026'!$B$5:$B$61,'UC MINI 2026 MINI NEXT'!$B8,'UC MINI 2026'!$Q$5:$Q$61)</f>
        <v>23</v>
      </c>
      <c r="W8" s="243">
        <f t="shared" si="5"/>
        <v>1.2777777777777777</v>
      </c>
      <c r="X8" s="54"/>
      <c r="Y8" s="86">
        <f>SUMIF('UC MINI 2026'!$B$5:$B$61,'UC MINI 2026 MINI NEXT'!$B8,'UC MINI 2026'!$S$5:$S$61)</f>
        <v>0</v>
      </c>
      <c r="Z8" s="297">
        <f>IFERROR(Y8/X8,0)</f>
        <v>0</v>
      </c>
      <c r="AA8" s="54"/>
      <c r="AB8" s="86">
        <f>SUMIF('UC MINI 2026'!$B$5:$B$61,'UC MINI 2026 MINI NEXT'!$B8,'UC MINI 2026'!$U$5:$U$61)</f>
        <v>0</v>
      </c>
      <c r="AC8" s="243">
        <f>IFERROR(AB8/AA8,0)</f>
        <v>0</v>
      </c>
      <c r="AD8" s="54"/>
      <c r="AE8" s="86">
        <f>SUMIF('UC MINI 2026'!$B$5:$B$61,'UC MINI 2026 MINI NEXT'!$B8,'UC MINI 2026'!$W$5:$W$61)</f>
        <v>0</v>
      </c>
      <c r="AF8" s="297">
        <f>IFERROR(AE8/AD8,0)</f>
        <v>0</v>
      </c>
      <c r="AG8" s="54"/>
      <c r="AH8" s="86">
        <f>SUMIF('UC MINI 2026'!$B$5:$B$61,'UC MINI 2026 MINI NEXT'!$B8,'UC MINI 2026'!$Y$5:$Y$61)</f>
        <v>0</v>
      </c>
      <c r="AI8" s="243">
        <f>IFERROR(AH8/AG8,0)</f>
        <v>0</v>
      </c>
      <c r="AJ8" s="54"/>
      <c r="AK8" s="86">
        <f>SUMIF('UC MINI 2026'!$B$5:$B$61,'UC MINI 2026 MINI NEXT'!$B8,'UC MINI 2026'!$AA$5:$AA$61)</f>
        <v>0</v>
      </c>
      <c r="AL8" s="297">
        <f>IFERROR(AK8/AJ8,0)</f>
        <v>0</v>
      </c>
      <c r="AM8" s="54"/>
      <c r="AN8" s="86">
        <f>SUMIF('UC MINI 2026'!$B$5:$B$61,'UC MINI 2026 MINI NEXT'!$B8,'UC MINI 2026'!$AC$5:$AC$61)</f>
        <v>0</v>
      </c>
      <c r="AO8" s="243">
        <f t="shared" si="6"/>
        <v>0</v>
      </c>
      <c r="AP8" s="54">
        <f t="shared" si="7"/>
        <v>197</v>
      </c>
      <c r="AQ8" s="59">
        <f t="shared" si="7"/>
        <v>107</v>
      </c>
      <c r="AR8" s="152">
        <f t="shared" si="8"/>
        <v>0.54314720812182737</v>
      </c>
      <c r="AS8" s="54">
        <f>IFERROR(F8+I8+L8+O8+R8+U8++X8+AA8+AD8+AG8+AJ8+AM8,0)</f>
        <v>197</v>
      </c>
      <c r="AT8" s="59">
        <f t="shared" ref="AT8:AT63" si="16">IFERROR(G8+J8+M8+P8+S8+V8++Y8+AB8+AE8+AH8+AK8+AN8,0)</f>
        <v>107</v>
      </c>
      <c r="AU8" s="152">
        <f>IFERROR((AT8/AS8),0)</f>
        <v>0.54314720812182737</v>
      </c>
      <c r="AV8" s="58">
        <f t="shared" si="9"/>
        <v>98</v>
      </c>
      <c r="AW8" s="59">
        <f t="shared" si="9"/>
        <v>45</v>
      </c>
      <c r="AX8" s="112">
        <f t="shared" si="10"/>
        <v>0.45918367346938777</v>
      </c>
      <c r="AY8" s="59">
        <f>IFERROR(IF($AV$5="Q1",#REF!+#REF!+#REF!,
IF($AV$5="Q2",#REF!+#REF!++#REF!,
IF($AV$5="Q3",#REF!+#REF!+#REF!,
IF($AV$5="Q4",#REF!+#REF!+#REF!,0)))),0)</f>
        <v>0</v>
      </c>
      <c r="AZ8" s="297">
        <f>IF(AW8=0,"N.D.",AY8/AW8)</f>
        <v>0</v>
      </c>
      <c r="BA8" s="347">
        <f>IFERROR(IF($AV$5="Q1",#REF!+#REF!+#REF!,
IF($AV$5="Q2",#REF!+#REF!+#REF!,
IF($AV$5="Q3",#REF!+#REF!+#REF!,
IF($AV$5="Q4",#REF!+#REF!+#REF!,0)))),0)</f>
        <v>0</v>
      </c>
      <c r="BB8" s="153">
        <f t="shared" si="11"/>
        <v>0</v>
      </c>
      <c r="BC8" s="54">
        <f t="shared" si="12"/>
        <v>197</v>
      </c>
      <c r="BD8" s="59">
        <f t="shared" si="12"/>
        <v>107</v>
      </c>
      <c r="BE8" s="153">
        <f t="shared" si="13"/>
        <v>0.54314720812182737</v>
      </c>
      <c r="BF8" s="54">
        <f t="shared" si="14"/>
        <v>0</v>
      </c>
      <c r="BG8" s="252">
        <f t="shared" si="14"/>
        <v>0</v>
      </c>
      <c r="BH8" s="153">
        <f t="shared" si="15"/>
        <v>0</v>
      </c>
      <c r="BI8" s="53">
        <v>1</v>
      </c>
      <c r="BL8" s="755" t="s">
        <v>225</v>
      </c>
      <c r="BM8" s="756"/>
      <c r="BN8" s="756"/>
      <c r="BO8" s="756"/>
      <c r="BP8" s="757"/>
      <c r="BQ8"/>
      <c r="BR8"/>
      <c r="BS8" s="4"/>
    </row>
    <row r="9" spans="1:71" s="53" customFormat="1" ht="16" customHeight="1" thickBot="1" x14ac:dyDescent="0.35">
      <c r="A9" s="53">
        <f>_xlfn.XLOOKUP(B9,'WHOLESALE MINI 2026'!$B$7:$B$63,'WHOLESALE MINI 2026'!$A$7:$A$63)</f>
        <v>1</v>
      </c>
      <c r="B9" s="8">
        <v>100389</v>
      </c>
      <c r="C9" s="369" t="s">
        <v>40</v>
      </c>
      <c r="D9" s="146"/>
      <c r="E9" s="309" t="s">
        <v>275</v>
      </c>
      <c r="F9" s="54">
        <v>9</v>
      </c>
      <c r="G9" s="86">
        <f>SUMIF('UC MINI 2026'!$B$5:$B$71,'UC MINI 2026 MINI NEXT'!$B9,'UC MINI 2026'!$G$5:$G$71)</f>
        <v>3</v>
      </c>
      <c r="H9" s="243">
        <f t="shared" si="0"/>
        <v>0.33333333333333331</v>
      </c>
      <c r="I9" s="54">
        <v>19</v>
      </c>
      <c r="J9" s="86">
        <f>SUMIF('UC MINI 2026'!$B$5:$B$61,'UC MINI 2026 MINI NEXT'!$B9,'UC MINI 2026'!$I$5:$I$61)</f>
        <v>6</v>
      </c>
      <c r="K9" s="243">
        <f t="shared" si="1"/>
        <v>0.31578947368421051</v>
      </c>
      <c r="L9" s="54">
        <v>14</v>
      </c>
      <c r="M9" s="86">
        <f>SUMIF('UC MINI 2026'!$B$5:$B$61,'UC MINI 2026 MINI NEXT'!$B9,'UC MINI 2026'!$K$5:$K$61)</f>
        <v>8</v>
      </c>
      <c r="N9" s="297">
        <f t="shared" si="2"/>
        <v>0.5714285714285714</v>
      </c>
      <c r="O9" s="54">
        <f>VLOOKUP(B9,'[5]% Penetración Mdo ABR26'!$B$7:$G$59,6,0)-F9-I9-L9</f>
        <v>7</v>
      </c>
      <c r="P9" s="86">
        <f>SUMIF('UC MINI 2026'!$B$5:$B$61,'UC MINI 2026 MINI NEXT'!$B9,'UC MINI 2026'!$M$5:$M$61)</f>
        <v>4</v>
      </c>
      <c r="Q9" s="243">
        <f t="shared" si="3"/>
        <v>0.5714285714285714</v>
      </c>
      <c r="R9" s="21">
        <f>VLOOKUP(B9,'[6]% Penetración Mdo MAY26'!$B$7:$G$65,6,0)-F9-I9-L9-O9</f>
        <v>12</v>
      </c>
      <c r="S9" s="86">
        <f>SUMIF('UC MINI 2026'!$B$5:$B$61,'UC MINI 2026 MINI NEXT'!$B9,'UC MINI 2026'!$O$5:$O$61)</f>
        <v>4</v>
      </c>
      <c r="T9" s="297">
        <f t="shared" si="4"/>
        <v>0.33333333333333331</v>
      </c>
      <c r="U9" s="606">
        <f>VLOOKUP(B9,'[7]% Penetración Mdo JUN26'!$B$7:$J$59,6,0)-F9-I9-L9-O9-R9</f>
        <v>12</v>
      </c>
      <c r="V9" s="86">
        <f>SUMIF('UC MINI 2026'!$B$5:$B$61,'UC MINI 2026 MINI NEXT'!$B9,'UC MINI 2026'!$Q$5:$Q$61)</f>
        <v>3</v>
      </c>
      <c r="W9" s="243">
        <f t="shared" si="5"/>
        <v>0.25</v>
      </c>
      <c r="X9" s="54"/>
      <c r="Y9" s="86">
        <f>SUMIF('UC MINI 2026'!$B$5:$B$61,'UC MINI 2026 MINI NEXT'!$B9,'UC MINI 2026'!$S$5:$S$61)</f>
        <v>0</v>
      </c>
      <c r="Z9" s="297">
        <f>IFERROR(Y9/X9,0)</f>
        <v>0</v>
      </c>
      <c r="AA9" s="54"/>
      <c r="AB9" s="86">
        <f>SUMIF('UC MINI 2026'!$B$5:$B$61,'UC MINI 2026 MINI NEXT'!$B9,'UC MINI 2026'!$U$5:$U$61)</f>
        <v>0</v>
      </c>
      <c r="AC9" s="243">
        <f>IFERROR(AB9/AA9,0)</f>
        <v>0</v>
      </c>
      <c r="AD9" s="54"/>
      <c r="AE9" s="86">
        <f>SUMIF('UC MINI 2026'!$B$5:$B$61,'UC MINI 2026 MINI NEXT'!$B9,'UC MINI 2026'!$W$5:$W$61)</f>
        <v>0</v>
      </c>
      <c r="AF9" s="297">
        <f>IFERROR(AE9/AD9,0)</f>
        <v>0</v>
      </c>
      <c r="AG9" s="54"/>
      <c r="AH9" s="86">
        <f>SUMIF('UC MINI 2026'!$B$5:$B$61,'UC MINI 2026 MINI NEXT'!$B9,'UC MINI 2026'!$Y$5:$Y$61)</f>
        <v>0</v>
      </c>
      <c r="AI9" s="243">
        <f>IFERROR(AH9/AG9,0)</f>
        <v>0</v>
      </c>
      <c r="AJ9" s="54"/>
      <c r="AK9" s="86">
        <f>SUMIF('UC MINI 2026'!$B$5:$B$61,'UC MINI 2026 MINI NEXT'!$B9,'UC MINI 2026'!$AA$5:$AA$61)</f>
        <v>0</v>
      </c>
      <c r="AL9" s="297">
        <f>IFERROR(AK9/AJ9,0)</f>
        <v>0</v>
      </c>
      <c r="AM9" s="54"/>
      <c r="AN9" s="86">
        <f>SUMIF('UC MINI 2026'!$B$5:$B$61,'UC MINI 2026 MINI NEXT'!$B9,'UC MINI 2026'!$AC$5:$AC$61)</f>
        <v>0</v>
      </c>
      <c r="AO9" s="243">
        <f t="shared" si="6"/>
        <v>0</v>
      </c>
      <c r="AP9" s="54">
        <f t="shared" si="7"/>
        <v>73</v>
      </c>
      <c r="AQ9" s="86">
        <f t="shared" si="7"/>
        <v>28</v>
      </c>
      <c r="AR9" s="149">
        <f t="shared" si="8"/>
        <v>0.38356164383561642</v>
      </c>
      <c r="AS9" s="54">
        <f>IFERROR(F9+I9+L9+O9+R9+U9++X9+AA9+AD9+AG9+AJ9+AM9,0)</f>
        <v>73</v>
      </c>
      <c r="AT9" s="86">
        <f t="shared" si="16"/>
        <v>28</v>
      </c>
      <c r="AU9" s="149">
        <f>IFERROR((AT9/AS9),0)</f>
        <v>0.38356164383561642</v>
      </c>
      <c r="AV9" s="54">
        <f t="shared" si="9"/>
        <v>42</v>
      </c>
      <c r="AW9" s="86">
        <f t="shared" si="9"/>
        <v>17</v>
      </c>
      <c r="AX9" s="109">
        <f t="shared" si="10"/>
        <v>0.40476190476190477</v>
      </c>
      <c r="AY9" s="86">
        <f>IFERROR(IF($AV$5="Q1",#REF!+#REF!+#REF!,
IF($AV$5="Q2",#REF!+#REF!++#REF!,
IF($AV$5="Q3",#REF!+#REF!+#REF!,
IF($AV$5="Q4",#REF!+#REF!+#REF!,0)))),0)</f>
        <v>0</v>
      </c>
      <c r="AZ9" s="297">
        <f>IF(AW9=0,"N.D.",AY9/AW9)</f>
        <v>0</v>
      </c>
      <c r="BA9" s="348">
        <f>IFERROR(IF($AV$5="Q1",#REF!+#REF!+#REF!,
IF($AV$5="Q2",#REF!+#REF!+#REF!,
IF($AV$5="Q3",#REF!+#REF!+#REF!,
IF($AV$5="Q4",#REF!+#REF!+#REF!,0)))),0)</f>
        <v>0</v>
      </c>
      <c r="BB9" s="150">
        <f t="shared" si="11"/>
        <v>0</v>
      </c>
      <c r="BC9" s="54">
        <f t="shared" si="12"/>
        <v>73</v>
      </c>
      <c r="BD9" s="86">
        <f t="shared" si="12"/>
        <v>28</v>
      </c>
      <c r="BE9" s="150">
        <f t="shared" si="13"/>
        <v>0.38356164383561642</v>
      </c>
      <c r="BF9" s="54">
        <f t="shared" si="14"/>
        <v>0</v>
      </c>
      <c r="BG9" s="79">
        <f t="shared" si="14"/>
        <v>0</v>
      </c>
      <c r="BH9" s="150">
        <f t="shared" si="15"/>
        <v>0</v>
      </c>
      <c r="BI9" s="53">
        <v>1</v>
      </c>
      <c r="BL9" s="758"/>
      <c r="BM9" s="759"/>
      <c r="BN9" s="759"/>
      <c r="BO9" s="759"/>
      <c r="BP9" s="760"/>
      <c r="BQ9" s="585" t="s">
        <v>293</v>
      </c>
      <c r="BR9" s="585" t="s">
        <v>294</v>
      </c>
      <c r="BS9" s="4"/>
    </row>
    <row r="10" spans="1:71" s="53" customFormat="1" ht="16" customHeight="1" thickBot="1" x14ac:dyDescent="0.4">
      <c r="A10" s="53">
        <f>_xlfn.XLOOKUP(B10,'WHOLESALE MINI 2026'!$B$7:$B$63,'WHOLESALE MINI 2026'!$A$7:$A$63)</f>
        <v>1</v>
      </c>
      <c r="B10" s="8">
        <v>100738</v>
      </c>
      <c r="C10" s="369" t="s">
        <v>42</v>
      </c>
      <c r="D10" s="163"/>
      <c r="E10" s="309" t="s">
        <v>89</v>
      </c>
      <c r="F10" s="54">
        <v>16</v>
      </c>
      <c r="G10" s="86">
        <f>SUMIF('UC MINI 2026'!$B$5:$B$71,'UC MINI 2026 MINI NEXT'!$B10,'UC MINI 2026'!$G$5:$G$71)</f>
        <v>3</v>
      </c>
      <c r="H10" s="382">
        <f t="shared" si="0"/>
        <v>0.1875</v>
      </c>
      <c r="I10" s="54">
        <v>8</v>
      </c>
      <c r="J10" s="86">
        <f>SUMIF('UC MINI 2026'!$B$5:$B$61,'UC MINI 2026 MINI NEXT'!$B10,'UC MINI 2026'!$I$5:$I$61)</f>
        <v>2</v>
      </c>
      <c r="K10" s="382">
        <f t="shared" si="1"/>
        <v>0.25</v>
      </c>
      <c r="L10" s="54">
        <v>15</v>
      </c>
      <c r="M10" s="86">
        <f>SUMIF('UC MINI 2026'!$B$5:$B$61,'UC MINI 2026 MINI NEXT'!$B10,'UC MINI 2026'!$K$5:$K$61)</f>
        <v>7</v>
      </c>
      <c r="N10" s="299">
        <f t="shared" si="2"/>
        <v>0.46666666666666667</v>
      </c>
      <c r="O10" s="54">
        <f>VLOOKUP(B10,'[5]% Penetración Mdo ABR26'!$B$7:$G$59,6,0)-F10-I10-L10</f>
        <v>26</v>
      </c>
      <c r="P10" s="86">
        <f>SUMIF('UC MINI 2026'!$B$5:$B$61,'UC MINI 2026 MINI NEXT'!$B10,'UC MINI 2026'!$M$5:$M$61)</f>
        <v>1</v>
      </c>
      <c r="Q10" s="382">
        <f t="shared" si="3"/>
        <v>3.8461538461538464E-2</v>
      </c>
      <c r="R10" s="21">
        <f>VLOOKUP(B10,'[6]% Penetración Mdo MAY26'!$B$7:$G$65,6,0)-F10-I10-L10-O10</f>
        <v>20</v>
      </c>
      <c r="S10" s="86">
        <f>SUMIF('UC MINI 2026'!$B$5:$B$61,'UC MINI 2026 MINI NEXT'!$B10,'UC MINI 2026'!$O$5:$O$61)</f>
        <v>3</v>
      </c>
      <c r="T10" s="299">
        <f t="shared" si="4"/>
        <v>0.15</v>
      </c>
      <c r="U10" s="606">
        <f>VLOOKUP(B10,'[7]% Penetración Mdo JUN26'!$B$7:$J$59,6,0)-F10-I10-L10-O10-R10</f>
        <v>18</v>
      </c>
      <c r="V10" s="86">
        <f>SUMIF('UC MINI 2026'!$B$5:$B$61,'UC MINI 2026 MINI NEXT'!$B10,'UC MINI 2026'!$Q$5:$Q$61)</f>
        <v>11</v>
      </c>
      <c r="W10" s="382">
        <f t="shared" si="5"/>
        <v>0.61111111111111116</v>
      </c>
      <c r="X10" s="54"/>
      <c r="Y10" s="86">
        <f>SUMIF('UC MINI 2026'!$B$5:$B$61,'UC MINI 2026 MINI NEXT'!$B10,'UC MINI 2026'!$S$5:$S$61)</f>
        <v>0</v>
      </c>
      <c r="Z10" s="297">
        <f>IFERROR(Y10/X10,0)</f>
        <v>0</v>
      </c>
      <c r="AA10" s="54"/>
      <c r="AB10" s="86">
        <f>SUMIF('UC MINI 2026'!$B$5:$B$61,'UC MINI 2026 MINI NEXT'!$B10,'UC MINI 2026'!$U$5:$U$61)</f>
        <v>0</v>
      </c>
      <c r="AC10" s="243">
        <f>IFERROR(AB10/AA10,0)</f>
        <v>0</v>
      </c>
      <c r="AD10" s="54"/>
      <c r="AE10" s="86">
        <f>SUMIF('UC MINI 2026'!$B$5:$B$61,'UC MINI 2026 MINI NEXT'!$B10,'UC MINI 2026'!$W$5:$W$61)</f>
        <v>0</v>
      </c>
      <c r="AF10" s="297">
        <f>IFERROR(AE10/AD10,0)</f>
        <v>0</v>
      </c>
      <c r="AG10" s="54"/>
      <c r="AH10" s="86">
        <f>SUMIF('UC MINI 2026'!$B$5:$B$61,'UC MINI 2026 MINI NEXT'!$B10,'UC MINI 2026'!$Y$5:$Y$61)</f>
        <v>0</v>
      </c>
      <c r="AI10" s="243">
        <f>IFERROR(AH10/AG10,0)</f>
        <v>0</v>
      </c>
      <c r="AJ10" s="54"/>
      <c r="AK10" s="86">
        <f>SUMIF('UC MINI 2026'!$B$5:$B$61,'UC MINI 2026 MINI NEXT'!$B10,'UC MINI 2026'!$AA$5:$AA$61)</f>
        <v>0</v>
      </c>
      <c r="AL10" s="297">
        <f>IFERROR(AK10/AJ10,0)</f>
        <v>0</v>
      </c>
      <c r="AM10" s="54"/>
      <c r="AN10" s="86">
        <f>SUMIF('UC MINI 2026'!$B$5:$B$61,'UC MINI 2026 MINI NEXT'!$B10,'UC MINI 2026'!$AC$5:$AC$61)</f>
        <v>0</v>
      </c>
      <c r="AO10" s="382">
        <f t="shared" si="6"/>
        <v>0</v>
      </c>
      <c r="AP10" s="54">
        <f t="shared" si="7"/>
        <v>103</v>
      </c>
      <c r="AQ10" s="86">
        <f t="shared" si="7"/>
        <v>27</v>
      </c>
      <c r="AR10" s="152">
        <f t="shared" si="8"/>
        <v>0.26213592233009708</v>
      </c>
      <c r="AS10" s="54">
        <f>IFERROR(F10+I10+L10+O10+R10+U10++X10+AA10+AD10+AG10+AJ10+AM10,0)</f>
        <v>103</v>
      </c>
      <c r="AT10" s="86">
        <f t="shared" si="16"/>
        <v>27</v>
      </c>
      <c r="AU10" s="152">
        <f>IFERROR((AT10/AS10),0)</f>
        <v>0.26213592233009708</v>
      </c>
      <c r="AV10" s="58">
        <f t="shared" si="9"/>
        <v>39</v>
      </c>
      <c r="AW10" s="59">
        <f t="shared" si="9"/>
        <v>12</v>
      </c>
      <c r="AX10" s="112">
        <f t="shared" si="10"/>
        <v>0.30769230769230771</v>
      </c>
      <c r="AY10" s="86">
        <f>IFERROR(IF($AV$5="Q1",#REF!+#REF!+#REF!,
IF($AV$5="Q2",#REF!+#REF!++#REF!,
IF($AV$5="Q3",#REF!+#REF!+#REF!,
IF($AV$5="Q4",#REF!+#REF!+#REF!,0)))),0)</f>
        <v>0</v>
      </c>
      <c r="AZ10" s="297">
        <f>IF(AW10=0,"N.D.",AY10/AW10)</f>
        <v>0</v>
      </c>
      <c r="BA10" s="348">
        <f>IFERROR(IF($AV$5="Q1",#REF!+#REF!+#REF!,
IF($AV$5="Q2",#REF!+#REF!+#REF!,
IF($AV$5="Q3",#REF!+#REF!+#REF!,
IF($AV$5="Q4",#REF!+#REF!+#REF!,0)))),0)</f>
        <v>0</v>
      </c>
      <c r="BB10" s="153">
        <f t="shared" si="11"/>
        <v>0</v>
      </c>
      <c r="BC10" s="54">
        <f t="shared" si="12"/>
        <v>103</v>
      </c>
      <c r="BD10" s="86">
        <f t="shared" si="12"/>
        <v>27</v>
      </c>
      <c r="BE10" s="153">
        <f t="shared" si="13"/>
        <v>0.26213592233009708</v>
      </c>
      <c r="BF10" s="54">
        <f t="shared" si="14"/>
        <v>0</v>
      </c>
      <c r="BG10" s="79">
        <f t="shared" si="14"/>
        <v>0</v>
      </c>
      <c r="BH10" s="153">
        <f t="shared" si="15"/>
        <v>0</v>
      </c>
      <c r="BI10" s="53">
        <v>1</v>
      </c>
      <c r="BL10" s="592">
        <v>1</v>
      </c>
      <c r="BM10" s="593" cm="1">
        <f t="array" ref="BM10">LARGE(_xlfn._xlws.FILTER(AR$7:AR$65, NOT(ISNUMBER(SEARCH("Total Distrito", B$7:B$65)))),ROW(J1))</f>
        <v>1</v>
      </c>
      <c r="BN10" s="594" t="str">
        <f t="shared" ref="BN10:BN19" si="17">IFERROR(INDEX(C$7:C$65, MATCH(BM10, AR$7:AR$65, 0)), "")</f>
        <v>MÓVIL BEGAR</v>
      </c>
      <c r="BO10" s="595">
        <f t="shared" ref="BO10:BO19" si="18">IFERROR(VLOOKUP(BN10,$C$7:$AQ$71,40,0),0)</f>
        <v>24</v>
      </c>
      <c r="BP10" s="596">
        <f t="shared" ref="BP10:BP19" si="19">IFERROR(VLOOKUP(BN10,$C$7:$AQ$71,41,0),0)</f>
        <v>24</v>
      </c>
      <c r="BQ10" s="603">
        <f>SUM(BO10:BO29)</f>
        <v>698</v>
      </c>
      <c r="BR10" s="604">
        <f>SUM(BP10:BP29)</f>
        <v>599</v>
      </c>
      <c r="BS10" s="4"/>
    </row>
    <row r="11" spans="1:71" s="53" customFormat="1" ht="16" customHeight="1" thickBot="1" x14ac:dyDescent="0.4">
      <c r="A11" s="53">
        <f>_xlfn.XLOOKUP(B11,'WHOLESALE MINI 2026'!$B$7:$B$63,'WHOLESALE MINI 2026'!$A$7:$A$63)</f>
        <v>0</v>
      </c>
      <c r="B11" s="61" t="s">
        <v>264</v>
      </c>
      <c r="C11" s="62"/>
      <c r="D11" s="154"/>
      <c r="E11" s="80"/>
      <c r="F11" s="155">
        <f>SUM(F7:F10)</f>
        <v>89</v>
      </c>
      <c r="G11" s="155">
        <f>SUM(G7:G10)</f>
        <v>30</v>
      </c>
      <c r="H11" s="301">
        <f t="shared" si="0"/>
        <v>0.33707865168539325</v>
      </c>
      <c r="I11" s="155">
        <f>SUM(I7:I10)</f>
        <v>110</v>
      </c>
      <c r="J11" s="155">
        <f>SUM(J7:J10)</f>
        <v>30</v>
      </c>
      <c r="K11" s="301">
        <f t="shared" si="1"/>
        <v>0.27272727272727271</v>
      </c>
      <c r="L11" s="155">
        <f>SUM(L7:L10)</f>
        <v>104</v>
      </c>
      <c r="M11" s="155">
        <f>SUM(M7:M10)</f>
        <v>43</v>
      </c>
      <c r="N11" s="301">
        <f t="shared" si="2"/>
        <v>0.41346153846153844</v>
      </c>
      <c r="O11" s="155">
        <f>SUM(O7:O10)</f>
        <v>120</v>
      </c>
      <c r="P11" s="155">
        <f>SUM(P7:P10)</f>
        <v>34</v>
      </c>
      <c r="Q11" s="301">
        <f t="shared" si="3"/>
        <v>0.28333333333333333</v>
      </c>
      <c r="R11" s="155">
        <f>SUM(R7:R10)</f>
        <v>103</v>
      </c>
      <c r="S11" s="155">
        <f>SUM(S7:S10)</f>
        <v>37</v>
      </c>
      <c r="T11" s="301">
        <f t="shared" si="4"/>
        <v>0.35922330097087379</v>
      </c>
      <c r="U11" s="155">
        <f>SUM(U7:U10)</f>
        <v>83</v>
      </c>
      <c r="V11" s="155">
        <f>SUM(V7:V10)</f>
        <v>51</v>
      </c>
      <c r="W11" s="301">
        <f t="shared" si="5"/>
        <v>0.61445783132530118</v>
      </c>
      <c r="X11" s="155">
        <f>SUM(X7:X10)</f>
        <v>0</v>
      </c>
      <c r="Y11" s="155">
        <f>SUM(Y7:Y10)</f>
        <v>0</v>
      </c>
      <c r="Z11" s="301">
        <f t="shared" ref="Z11:Z16" si="20">IFERROR(Y11/X11,0)</f>
        <v>0</v>
      </c>
      <c r="AA11" s="155">
        <f>SUM(AA7:AA10)</f>
        <v>0</v>
      </c>
      <c r="AB11" s="155">
        <f>SUM(AB7:AB10)</f>
        <v>0</v>
      </c>
      <c r="AC11" s="301">
        <f t="shared" ref="AC11:AC16" si="21">IFERROR(AB11/AA11,0)</f>
        <v>0</v>
      </c>
      <c r="AD11" s="155">
        <f>SUM(AD7:AD10)</f>
        <v>0</v>
      </c>
      <c r="AE11" s="155">
        <f>SUM(AE7:AE10)</f>
        <v>0</v>
      </c>
      <c r="AF11" s="301">
        <f t="shared" ref="AF11:AF16" si="22">IFERROR(AE11/AD11,0)</f>
        <v>0</v>
      </c>
      <c r="AG11" s="155">
        <f>SUM(AG7:AG10)</f>
        <v>0</v>
      </c>
      <c r="AH11" s="155">
        <f>SUM(AH7:AH10)</f>
        <v>0</v>
      </c>
      <c r="AI11" s="301">
        <f t="shared" ref="AI11:AI16" si="23">IFERROR(AH11/AG11,0)</f>
        <v>0</v>
      </c>
      <c r="AJ11" s="155">
        <f>SUM(AJ7:AJ10)</f>
        <v>0</v>
      </c>
      <c r="AK11" s="155">
        <f>SUM(AK7:AK10)</f>
        <v>0</v>
      </c>
      <c r="AL11" s="301">
        <f t="shared" ref="AL11:AL16" si="24">IFERROR(AK11/AJ11,0)</f>
        <v>0</v>
      </c>
      <c r="AM11" s="155">
        <f>SUM(AM7:AM10)</f>
        <v>0</v>
      </c>
      <c r="AN11" s="155">
        <f>SUM(AN7:AN10)</f>
        <v>0</v>
      </c>
      <c r="AO11" s="301">
        <f t="shared" si="6"/>
        <v>0</v>
      </c>
      <c r="AP11" s="63">
        <f>SUM(AP7:AP10)</f>
        <v>609</v>
      </c>
      <c r="AQ11" s="63">
        <f>SUM(AQ7:AQ10)</f>
        <v>225</v>
      </c>
      <c r="AR11" s="320">
        <f t="shared" si="8"/>
        <v>0.36945812807881773</v>
      </c>
      <c r="AS11" s="63">
        <f>SUM(AS7:AS10)</f>
        <v>609</v>
      </c>
      <c r="AT11" s="63">
        <f>SUM(AT7:AT10)</f>
        <v>225</v>
      </c>
      <c r="AU11" s="320">
        <f t="shared" ref="AU11:AU65" si="25">IFERROR((AT11/AS11),0)</f>
        <v>0.36945812807881773</v>
      </c>
      <c r="AV11" s="63">
        <f>SUM(AV2:AV10)</f>
        <v>303</v>
      </c>
      <c r="AW11" s="65">
        <f>SUM(AW2:AW10)</f>
        <v>103</v>
      </c>
      <c r="AX11" s="157">
        <f t="shared" si="10"/>
        <v>0.33993399339933994</v>
      </c>
      <c r="AY11" s="65">
        <f>SUM(AY2:AY10)</f>
        <v>0</v>
      </c>
      <c r="AZ11" s="321">
        <f>IFERROR(AY11/AW11,0)</f>
        <v>0</v>
      </c>
      <c r="BA11" s="349" t="e">
        <f>IF($AV$5="Q1",#REF!+#REF!+#REF!,
IF($AV$5="Q2",#REF!+#REF!+#REF!,
IF($AV$5="Q3",#REF!+#REF!+#REF!,
IF($AV$5="Q4",#REF!+#REF!+#REF!,0))))</f>
        <v>#REF!</v>
      </c>
      <c r="BB11" s="333">
        <f t="shared" si="11"/>
        <v>0</v>
      </c>
      <c r="BC11" s="63">
        <f>IF($BC$5="S 1",F11+I11+L11+O11+R11+U11,
IF($BC$5="S 2",X11+AA11+AD11+AG11+AJ11+AM11,0))</f>
        <v>609</v>
      </c>
      <c r="BD11" s="65">
        <f>IF($BC$5="S 1",G11+J11+M11+P11+S11+V11,
IF($BC$5="S 2",Y11+AB11+AE11+AH11+AK11+AN11,0))</f>
        <v>225</v>
      </c>
      <c r="BE11" s="333">
        <f t="shared" si="13"/>
        <v>0.36945812807881773</v>
      </c>
      <c r="BF11" s="63">
        <f>SUM(BF7:BF10)</f>
        <v>0</v>
      </c>
      <c r="BG11" s="63">
        <f>SUM(BG7:BG10)</f>
        <v>0</v>
      </c>
      <c r="BH11" s="333">
        <f t="shared" si="15"/>
        <v>0</v>
      </c>
      <c r="BI11" s="53">
        <v>0</v>
      </c>
      <c r="BL11" s="597">
        <v>2</v>
      </c>
      <c r="BM11" s="593" cm="1">
        <f t="array" ref="BM11">LARGE(_xlfn._xlws.FILTER(AR$7:AR$65, NOT(ISNUMBER(SEARCH("Total Distrito", B$7:B$65)))),ROW(J2))</f>
        <v>0.98095238095238091</v>
      </c>
      <c r="BN11" s="594" t="str">
        <f t="shared" si="17"/>
        <v>OLIVA MOTOR GIRONA</v>
      </c>
      <c r="BO11" s="595">
        <f t="shared" si="18"/>
        <v>105</v>
      </c>
      <c r="BP11" s="596">
        <f t="shared" si="19"/>
        <v>103</v>
      </c>
      <c r="BQ11"/>
      <c r="BR11"/>
      <c r="BS11" s="4"/>
    </row>
    <row r="12" spans="1:71" s="53" customFormat="1" ht="16" customHeight="1" x14ac:dyDescent="0.35">
      <c r="A12" s="53">
        <f>_xlfn.XLOOKUP(B12,'WHOLESALE MINI 2026'!$B$7:$B$63,'WHOLESALE MINI 2026'!$A$7:$A$63)</f>
        <v>2</v>
      </c>
      <c r="B12" s="8">
        <v>100213</v>
      </c>
      <c r="C12" s="369" t="s">
        <v>15</v>
      </c>
      <c r="D12" s="146"/>
      <c r="E12" s="309" t="s">
        <v>276</v>
      </c>
      <c r="F12" s="54">
        <v>78</v>
      </c>
      <c r="G12" s="86">
        <f>SUMIF('UC MINI 2026'!$B$5:$B$71,'UC MINI 2026 MINI NEXT'!$B12,'UC MINI 2026'!$G$5:$G$71)</f>
        <v>23</v>
      </c>
      <c r="H12" s="243">
        <f t="shared" si="0"/>
        <v>0.29487179487179488</v>
      </c>
      <c r="I12" s="54">
        <v>27</v>
      </c>
      <c r="J12" s="86">
        <f>SUMIF('UC MINI 2026'!$B$5:$B$61,'UC MINI 2026 MINI NEXT'!$B12,'UC MINI 2026'!$I$5:$I$61)</f>
        <v>17</v>
      </c>
      <c r="K12" s="243">
        <f t="shared" si="1"/>
        <v>0.62962962962962965</v>
      </c>
      <c r="L12" s="54">
        <v>56</v>
      </c>
      <c r="M12" s="86">
        <f>SUMIF('UC MINI 2026'!$B$5:$B$61,'UC MINI 2026 MINI NEXT'!$B12,'UC MINI 2026'!$K$5:$K$61)</f>
        <v>16</v>
      </c>
      <c r="N12" s="297">
        <f t="shared" si="2"/>
        <v>0.2857142857142857</v>
      </c>
      <c r="O12" s="54">
        <f>VLOOKUP(B12,'[5]% Penetración Mdo ABR26'!$B$7:$G$59,6,0)-F12-I12-L12</f>
        <v>24</v>
      </c>
      <c r="P12" s="86">
        <f>SUMIF('UC MINI 2026'!$B$5:$B$61,'UC MINI 2026 MINI NEXT'!$B12,'UC MINI 2026'!$M$5:$M$61)</f>
        <v>14</v>
      </c>
      <c r="Q12" s="243">
        <f t="shared" si="3"/>
        <v>0.58333333333333337</v>
      </c>
      <c r="R12" s="21">
        <f>VLOOKUP(B12,'[6]% Penetración Mdo MAY26'!$B$7:$G$65,6,0)-F12-I12-L12-O12</f>
        <v>18</v>
      </c>
      <c r="S12" s="86">
        <f>SUMIF('UC MINI 2026'!$B$5:$B$61,'UC MINI 2026 MINI NEXT'!$B12,'UC MINI 2026'!$O$5:$O$61)</f>
        <v>22</v>
      </c>
      <c r="T12" s="297">
        <f t="shared" si="4"/>
        <v>1.2222222222222223</v>
      </c>
      <c r="U12" s="606">
        <f>VLOOKUP(B12,'[7]% Penetración Mdo JUN26'!$B$7:$J$59,6,0)-F12-I12-L12-O12-R12</f>
        <v>29</v>
      </c>
      <c r="V12" s="86">
        <f>SUMIF('UC MINI 2026'!$B$5:$B$61,'UC MINI 2026 MINI NEXT'!$B12,'UC MINI 2026'!$Q$5:$Q$61)</f>
        <v>32</v>
      </c>
      <c r="W12" s="243">
        <f t="shared" si="5"/>
        <v>1.103448275862069</v>
      </c>
      <c r="X12" s="54"/>
      <c r="Y12" s="86">
        <f>SUMIF('UC MINI 2026'!$B$5:$B$61,'UC MINI 2026 MINI NEXT'!$B12,'UC MINI 2026'!$S$5:$S$61)</f>
        <v>0</v>
      </c>
      <c r="Z12" s="297">
        <f t="shared" si="20"/>
        <v>0</v>
      </c>
      <c r="AA12" s="54"/>
      <c r="AB12" s="86">
        <f>SUMIF('UC MINI 2026'!$B$5:$B$61,'UC MINI 2026 MINI NEXT'!$B12,'UC MINI 2026'!$U$5:$U$61)</f>
        <v>0</v>
      </c>
      <c r="AC12" s="243">
        <f t="shared" si="21"/>
        <v>0</v>
      </c>
      <c r="AD12" s="54"/>
      <c r="AE12" s="86">
        <f>SUMIF('UC MINI 2026'!$B$5:$B$61,'UC MINI 2026 MINI NEXT'!$B12,'UC MINI 2026'!$W$5:$W$61)</f>
        <v>0</v>
      </c>
      <c r="AF12" s="297">
        <f t="shared" si="22"/>
        <v>0</v>
      </c>
      <c r="AG12" s="54"/>
      <c r="AH12" s="86">
        <f>SUMIF('UC MINI 2026'!$B$5:$B$61,'UC MINI 2026 MINI NEXT'!$B12,'UC MINI 2026'!$Y$5:$Y$61)</f>
        <v>0</v>
      </c>
      <c r="AI12" s="243">
        <f t="shared" si="23"/>
        <v>0</v>
      </c>
      <c r="AJ12" s="54"/>
      <c r="AK12" s="86">
        <f>SUMIF('UC MINI 2026'!$B$5:$B$61,'UC MINI 2026 MINI NEXT'!$B12,'UC MINI 2026'!$AA$5:$AA$61)</f>
        <v>0</v>
      </c>
      <c r="AL12" s="297">
        <f t="shared" si="24"/>
        <v>0</v>
      </c>
      <c r="AM12" s="54"/>
      <c r="AN12" s="86">
        <f>SUMIF('UC MINI 2026'!$B$5:$B$61,'UC MINI 2026 MINI NEXT'!$B12,'UC MINI 2026'!$AC$5:$AC$61)</f>
        <v>0</v>
      </c>
      <c r="AO12" s="243">
        <f t="shared" si="6"/>
        <v>0</v>
      </c>
      <c r="AP12" s="67">
        <f t="shared" ref="AP12:AQ16" si="26">IFERROR(IF($AP$4="ENERO",F12,IF($AP$4="FEBRERO",F12+I12,IF($AP$4="MARZO",F12+I12+L12,IF($AP$4="ABRIL",F12+I12+L12+O12,IF($AP$4="MAYO",F12+I12+L12+O12+R12,IF($AP$4="JUNIO",F12+I12+L12+O12+R12+U12,IF($AP$4="JULIO",F12+I12+L12+O12+R12+U12+X12,IF($AP$4="AGOSTO",F12+I12+L12+O12+R12+U12+X12+AA12,IF($AP$4="SEPTIEMBRE",F12+I12+L12+O12+R12+U12+X12+AA12+AD12,IF($AP$4="OCTUBRE",F12+I12+L12+O12+R12+U12+X12+AA12+AD12+AG12,IF($AP$4="NOVIEMBRE",F12+I12+L12+O12+R12+U12+X12+AA12+AD12+AG12+AJ12,IF($AP$4="DICIEMBRE",F12+I12+L12+O12+R12+U12+X12+AA12+AD12+AG12+AJ12+AM12,"")))))))))))),0)</f>
        <v>232</v>
      </c>
      <c r="AQ12" s="68">
        <f t="shared" si="26"/>
        <v>124</v>
      </c>
      <c r="AR12" s="149">
        <f t="shared" si="8"/>
        <v>0.53448275862068961</v>
      </c>
      <c r="AS12" s="67">
        <f>IFERROR(F12+I12+L12+O12+R12+U12++X12+AA12+AD12+AG12+AJ12+AM12,0)</f>
        <v>232</v>
      </c>
      <c r="AT12" s="86">
        <f t="shared" si="16"/>
        <v>124</v>
      </c>
      <c r="AU12" s="149">
        <f t="shared" si="25"/>
        <v>0.53448275862068961</v>
      </c>
      <c r="AV12" s="54">
        <f t="shared" ref="AV12:AW21" si="27">IF($AV$5="Q1",F12+I12+L12,
IF($AV$5="Q2",O12+R12++U12,
IF($AV$5="Q3",X12+AA12+AD12,
IF($AV$5="Q4",AG12+AJ12+AM12,0))))</f>
        <v>161</v>
      </c>
      <c r="AW12" s="86">
        <f t="shared" si="27"/>
        <v>56</v>
      </c>
      <c r="AX12" s="109">
        <f t="shared" si="10"/>
        <v>0.34782608695652173</v>
      </c>
      <c r="AY12" s="68">
        <f>IFERROR(IF($AV$5="Q1",#REF!+#REF!+#REF!,
IF($AV$5="Q2",#REF!+#REF!++#REF!,
IF($AV$5="Q3",#REF!+#REF!+#REF!,
IF($AV$5="Q4",#REF!+#REF!+#REF!,0)))),0)</f>
        <v>0</v>
      </c>
      <c r="AZ12" s="297">
        <f>IF(AW12=0,"N.D.",AY12/AW12)</f>
        <v>0</v>
      </c>
      <c r="BA12" s="350">
        <f>IFERROR(IF($AV$5="Q1",#REF!+#REF!+#REF!,
IF($AV$5="Q2",#REF!+#REF!+#REF!,
IF($AV$5="Q3",#REF!+#REF!+#REF!,
IF($AV$5="Q4",#REF!+#REF!+#REF!,0)))),0)</f>
        <v>0</v>
      </c>
      <c r="BB12" s="150">
        <f t="shared" si="11"/>
        <v>0</v>
      </c>
      <c r="BC12" s="67">
        <f t="shared" ref="BC12:BD16" si="28">IFERROR(IF($BC$5="S 1",F12+I12+L12+O12+R12+U12,
IF($BC$5="S 2",X12+AA12+AD12+AG12+AJ12+AM12,0)),0)</f>
        <v>232</v>
      </c>
      <c r="BD12" s="68">
        <f t="shared" si="28"/>
        <v>124</v>
      </c>
      <c r="BE12" s="150">
        <f t="shared" si="13"/>
        <v>0.53448275862068961</v>
      </c>
      <c r="BF12" s="67">
        <f t="shared" ref="BF12:BG16" si="29">IFERROR(IF($BF$5="S 1",F12+I12+L12+O12+R12+U12,
IF($BF$5="S 2",X12+AA12+AD12+AG12+AJ12+AM12,0)),0)</f>
        <v>0</v>
      </c>
      <c r="BG12" s="266">
        <f t="shared" si="29"/>
        <v>0</v>
      </c>
      <c r="BH12" s="150">
        <f t="shared" si="15"/>
        <v>0</v>
      </c>
      <c r="BI12" s="53">
        <v>1</v>
      </c>
      <c r="BL12" s="597">
        <v>3</v>
      </c>
      <c r="BM12" s="593" cm="1">
        <f t="array" ref="BM12">LARGE(_xlfn._xlws.FILTER(AR$7:AR$65, NOT(ISNUMBER(SEARCH("Total Distrito", B$7:B$65)))),ROW(J3))</f>
        <v>0.9726027397260274</v>
      </c>
      <c r="BN12" s="594" t="str">
        <f t="shared" si="17"/>
        <v>OLIVA MOTOR</v>
      </c>
      <c r="BO12" s="595">
        <f t="shared" si="18"/>
        <v>73</v>
      </c>
      <c r="BP12" s="596">
        <f t="shared" si="19"/>
        <v>71</v>
      </c>
      <c r="BQ12"/>
      <c r="BR12"/>
      <c r="BS12" s="4"/>
    </row>
    <row r="13" spans="1:71" s="53" customFormat="1" ht="16" customHeight="1" x14ac:dyDescent="0.35">
      <c r="A13" s="53">
        <f>_xlfn.XLOOKUP(B13,'WHOLESALE MINI 2026'!$B$7:$B$63,'WHOLESALE MINI 2026'!$A$7:$A$63)</f>
        <v>2</v>
      </c>
      <c r="B13" s="8">
        <v>100319</v>
      </c>
      <c r="C13" s="369" t="s">
        <v>16</v>
      </c>
      <c r="D13" s="146"/>
      <c r="E13" s="309" t="s">
        <v>276</v>
      </c>
      <c r="F13" s="54">
        <v>24</v>
      </c>
      <c r="G13" s="86">
        <f>SUMIF('UC MINI 2026'!$B$5:$B$71,'UC MINI 2026 MINI NEXT'!$B13,'UC MINI 2026'!$G$5:$G$71)</f>
        <v>7</v>
      </c>
      <c r="H13" s="243">
        <f t="shared" si="0"/>
        <v>0.29166666666666669</v>
      </c>
      <c r="I13" s="54">
        <v>26</v>
      </c>
      <c r="J13" s="86">
        <f>SUMIF('UC MINI 2026'!$B$5:$B$61,'UC MINI 2026 MINI NEXT'!$B13,'UC MINI 2026'!$I$5:$I$61)</f>
        <v>8</v>
      </c>
      <c r="K13" s="243">
        <f t="shared" si="1"/>
        <v>0.30769230769230771</v>
      </c>
      <c r="L13" s="54">
        <v>10</v>
      </c>
      <c r="M13" s="86">
        <f>SUMIF('UC MINI 2026'!$B$5:$B$61,'UC MINI 2026 MINI NEXT'!$B13,'UC MINI 2026'!$K$5:$K$61)</f>
        <v>19</v>
      </c>
      <c r="N13" s="297">
        <f t="shared" si="2"/>
        <v>1.9</v>
      </c>
      <c r="O13" s="54">
        <f>VLOOKUP(B13,'[5]% Penetración Mdo ABR26'!$B$7:$G$59,6,0)-F13-I13-L13</f>
        <v>18</v>
      </c>
      <c r="P13" s="86">
        <f>SUMIF('UC MINI 2026'!$B$5:$B$61,'UC MINI 2026 MINI NEXT'!$B13,'UC MINI 2026'!$M$5:$M$61)</f>
        <v>21</v>
      </c>
      <c r="Q13" s="243">
        <f t="shared" si="3"/>
        <v>1.1666666666666667</v>
      </c>
      <c r="R13" s="21">
        <f>VLOOKUP(B13,'[6]% Penetración Mdo MAY26'!$B$7:$G$65,6,0)-F13-I13-L13-O13</f>
        <v>24</v>
      </c>
      <c r="S13" s="86">
        <f>SUMIF('UC MINI 2026'!$B$5:$B$61,'UC MINI 2026 MINI NEXT'!$B13,'UC MINI 2026'!$O$5:$O$61)</f>
        <v>10</v>
      </c>
      <c r="T13" s="297">
        <f t="shared" si="4"/>
        <v>0.41666666666666669</v>
      </c>
      <c r="U13" s="606">
        <f>VLOOKUP(B13,'[7]% Penetración Mdo JUN26'!$B$7:$J$59,6,0)-F13-I13-L13-O13-R13</f>
        <v>11</v>
      </c>
      <c r="V13" s="86">
        <f>SUMIF('UC MINI 2026'!$B$5:$B$61,'UC MINI 2026 MINI NEXT'!$B13,'UC MINI 2026'!$Q$5:$Q$61)</f>
        <v>19</v>
      </c>
      <c r="W13" s="243">
        <f t="shared" si="5"/>
        <v>1.7272727272727273</v>
      </c>
      <c r="X13" s="54"/>
      <c r="Y13" s="86">
        <f>SUMIF('UC MINI 2026'!$B$5:$B$61,'UC MINI 2026 MINI NEXT'!$B13,'UC MINI 2026'!$S$5:$S$61)</f>
        <v>0</v>
      </c>
      <c r="Z13" s="297">
        <f t="shared" si="20"/>
        <v>0</v>
      </c>
      <c r="AA13" s="54"/>
      <c r="AB13" s="86">
        <f>SUMIF('UC MINI 2026'!$B$5:$B$61,'UC MINI 2026 MINI NEXT'!$B13,'UC MINI 2026'!$U$5:$U$61)</f>
        <v>0</v>
      </c>
      <c r="AC13" s="243">
        <f t="shared" si="21"/>
        <v>0</v>
      </c>
      <c r="AD13" s="54"/>
      <c r="AE13" s="86">
        <f>SUMIF('UC MINI 2026'!$B$5:$B$61,'UC MINI 2026 MINI NEXT'!$B13,'UC MINI 2026'!$W$5:$W$61)</f>
        <v>0</v>
      </c>
      <c r="AF13" s="297">
        <f t="shared" si="22"/>
        <v>0</v>
      </c>
      <c r="AG13" s="54"/>
      <c r="AH13" s="86">
        <f>SUMIF('UC MINI 2026'!$B$5:$B$61,'UC MINI 2026 MINI NEXT'!$B13,'UC MINI 2026'!$Y$5:$Y$61)</f>
        <v>0</v>
      </c>
      <c r="AI13" s="243">
        <f t="shared" si="23"/>
        <v>0</v>
      </c>
      <c r="AJ13" s="54"/>
      <c r="AK13" s="86">
        <f>SUMIF('UC MINI 2026'!$B$5:$B$61,'UC MINI 2026 MINI NEXT'!$B13,'UC MINI 2026'!$AA$5:$AA$61)</f>
        <v>0</v>
      </c>
      <c r="AL13" s="297">
        <f t="shared" si="24"/>
        <v>0</v>
      </c>
      <c r="AM13" s="54"/>
      <c r="AN13" s="86">
        <f>SUMIF('UC MINI 2026'!$B$5:$B$61,'UC MINI 2026 MINI NEXT'!$B13,'UC MINI 2026'!$AC$5:$AC$61)</f>
        <v>0</v>
      </c>
      <c r="AO13" s="243">
        <f t="shared" si="6"/>
        <v>0</v>
      </c>
      <c r="AP13" s="67">
        <f t="shared" si="26"/>
        <v>113</v>
      </c>
      <c r="AQ13" s="68">
        <f t="shared" si="26"/>
        <v>84</v>
      </c>
      <c r="AR13" s="149">
        <f t="shared" si="8"/>
        <v>0.74336283185840712</v>
      </c>
      <c r="AS13" s="67">
        <f t="shared" ref="AS13:AS21" si="30">IFERROR(F13+I13+L13+O13+R13+U13++X13+AA13+AD13+AG13+AJ13+AM13,0)</f>
        <v>113</v>
      </c>
      <c r="AT13" s="86">
        <f t="shared" si="16"/>
        <v>84</v>
      </c>
      <c r="AU13" s="149">
        <f t="shared" si="25"/>
        <v>0.74336283185840712</v>
      </c>
      <c r="AV13" s="54">
        <f t="shared" si="27"/>
        <v>60</v>
      </c>
      <c r="AW13" s="86">
        <f t="shared" si="27"/>
        <v>34</v>
      </c>
      <c r="AX13" s="109">
        <f t="shared" si="10"/>
        <v>0.56666666666666665</v>
      </c>
      <c r="AY13" s="68">
        <f>IFERROR(IF($AV$5="Q1",#REF!+#REF!+#REF!,
IF($AV$5="Q2",#REF!+#REF!++#REF!,
IF($AV$5="Q3",#REF!+#REF!+#REF!,
IF($AV$5="Q4",#REF!+#REF!+#REF!,0)))),0)</f>
        <v>0</v>
      </c>
      <c r="AZ13" s="297">
        <f t="shared" ref="AZ13:AZ21" si="31">IF(AW13=0,"N.D.",AY13/AW13)</f>
        <v>0</v>
      </c>
      <c r="BA13" s="350">
        <f>IFERROR(IF($AV$5="Q1",#REF!+#REF!+#REF!,
IF($AV$5="Q2",#REF!+#REF!+#REF!,
IF($AV$5="Q3",#REF!+#REF!+#REF!,
IF($AV$5="Q4",#REF!+#REF!+#REF!,0)))),0)</f>
        <v>0</v>
      </c>
      <c r="BB13" s="150">
        <f t="shared" si="11"/>
        <v>0</v>
      </c>
      <c r="BC13" s="67">
        <f t="shared" si="28"/>
        <v>113</v>
      </c>
      <c r="BD13" s="68">
        <f t="shared" si="28"/>
        <v>84</v>
      </c>
      <c r="BE13" s="150">
        <f t="shared" si="13"/>
        <v>0.74336283185840712</v>
      </c>
      <c r="BF13" s="67">
        <f t="shared" si="29"/>
        <v>0</v>
      </c>
      <c r="BG13" s="266">
        <f t="shared" si="29"/>
        <v>0</v>
      </c>
      <c r="BH13" s="150">
        <f t="shared" si="15"/>
        <v>0</v>
      </c>
      <c r="BI13" s="53">
        <v>1</v>
      </c>
      <c r="BL13" s="597">
        <v>4</v>
      </c>
      <c r="BM13" s="593" cm="1">
        <f t="array" ref="BM13">LARGE(_xlfn._xlws.FILTER(AR$7:AR$65, NOT(ISNUMBER(SEARCH("Total Distrito", B$7:B$65)))),ROW(J4))</f>
        <v>0.86440677966101698</v>
      </c>
      <c r="BN13" s="594" t="str">
        <f t="shared" si="17"/>
        <v>BARCELONA PREMIUM</v>
      </c>
      <c r="BO13" s="595">
        <f t="shared" si="18"/>
        <v>177</v>
      </c>
      <c r="BP13" s="596">
        <f t="shared" si="19"/>
        <v>153</v>
      </c>
      <c r="BQ13"/>
      <c r="BR13"/>
      <c r="BS13" s="4"/>
    </row>
    <row r="14" spans="1:71" s="53" customFormat="1" ht="16" customHeight="1" x14ac:dyDescent="0.35">
      <c r="A14" s="53">
        <f>_xlfn.XLOOKUP(B14,'WHOLESALE MINI 2026'!$B$7:$B$63,'WHOLESALE MINI 2026'!$A$7:$A$63)</f>
        <v>2</v>
      </c>
      <c r="B14" s="8">
        <v>100349</v>
      </c>
      <c r="C14" s="369" t="s">
        <v>10</v>
      </c>
      <c r="D14" s="146"/>
      <c r="E14" s="309" t="s">
        <v>276</v>
      </c>
      <c r="F14" s="54">
        <v>23</v>
      </c>
      <c r="G14" s="86">
        <f>SUMIF('UC MINI 2026'!$B$5:$B$71,'UC MINI 2026 MINI NEXT'!$B14,'UC MINI 2026'!$G$5:$G$71)</f>
        <v>11</v>
      </c>
      <c r="H14" s="243">
        <f t="shared" si="0"/>
        <v>0.47826086956521741</v>
      </c>
      <c r="I14" s="54">
        <v>24</v>
      </c>
      <c r="J14" s="86">
        <f>SUMIF('UC MINI 2026'!$B$5:$B$61,'UC MINI 2026 MINI NEXT'!$B14,'UC MINI 2026'!$I$5:$I$61)</f>
        <v>8</v>
      </c>
      <c r="K14" s="243">
        <f t="shared" si="1"/>
        <v>0.33333333333333331</v>
      </c>
      <c r="L14" s="54">
        <v>14</v>
      </c>
      <c r="M14" s="86">
        <f>SUMIF('UC MINI 2026'!$B$5:$B$61,'UC MINI 2026 MINI NEXT'!$B14,'UC MINI 2026'!$K$5:$K$61)</f>
        <v>14</v>
      </c>
      <c r="N14" s="297">
        <f t="shared" si="2"/>
        <v>1</v>
      </c>
      <c r="O14" s="54">
        <f>VLOOKUP(B14,'[5]% Penetración Mdo ABR26'!$B$7:$G$59,6,0)-F14-I14-L14</f>
        <v>14</v>
      </c>
      <c r="P14" s="86">
        <f>SUMIF('UC MINI 2026'!$B$5:$B$61,'UC MINI 2026 MINI NEXT'!$B14,'UC MINI 2026'!$M$5:$M$61)</f>
        <v>14</v>
      </c>
      <c r="Q14" s="243">
        <f t="shared" si="3"/>
        <v>1</v>
      </c>
      <c r="R14" s="21">
        <f>VLOOKUP(B14,'[6]% Penetración Mdo MAY26'!$B$7:$G$65,6,0)-F14-I14-L14-O14</f>
        <v>30</v>
      </c>
      <c r="S14" s="86">
        <f>SUMIF('UC MINI 2026'!$B$5:$B$61,'UC MINI 2026 MINI NEXT'!$B14,'UC MINI 2026'!$O$5:$O$61)</f>
        <v>17</v>
      </c>
      <c r="T14" s="297">
        <f t="shared" si="4"/>
        <v>0.56666666666666665</v>
      </c>
      <c r="U14" s="606">
        <f>VLOOKUP(B14,'[7]% Penetración Mdo JUN26'!$B$7:$J$59,6,0)-F14-I14-L14-O14-R14</f>
        <v>33</v>
      </c>
      <c r="V14" s="86">
        <f>SUMIF('UC MINI 2026'!$B$5:$B$61,'UC MINI 2026 MINI NEXT'!$B14,'UC MINI 2026'!$Q$5:$Q$61)</f>
        <v>19</v>
      </c>
      <c r="W14" s="243">
        <f t="shared" si="5"/>
        <v>0.5757575757575758</v>
      </c>
      <c r="X14" s="54"/>
      <c r="Y14" s="86">
        <f>SUMIF('UC MINI 2026'!$B$5:$B$61,'UC MINI 2026 MINI NEXT'!$B14,'UC MINI 2026'!$S$5:$S$61)</f>
        <v>0</v>
      </c>
      <c r="Z14" s="297">
        <f t="shared" si="20"/>
        <v>0</v>
      </c>
      <c r="AA14" s="54"/>
      <c r="AB14" s="86">
        <f>SUMIF('UC MINI 2026'!$B$5:$B$61,'UC MINI 2026 MINI NEXT'!$B14,'UC MINI 2026'!$U$5:$U$61)</f>
        <v>0</v>
      </c>
      <c r="AC14" s="243">
        <f t="shared" si="21"/>
        <v>0</v>
      </c>
      <c r="AD14" s="54"/>
      <c r="AE14" s="86">
        <f>SUMIF('UC MINI 2026'!$B$5:$B$61,'UC MINI 2026 MINI NEXT'!$B14,'UC MINI 2026'!$W$5:$W$61)</f>
        <v>0</v>
      </c>
      <c r="AF14" s="297">
        <f t="shared" si="22"/>
        <v>0</v>
      </c>
      <c r="AG14" s="54"/>
      <c r="AH14" s="86">
        <f>SUMIF('UC MINI 2026'!$B$5:$B$61,'UC MINI 2026 MINI NEXT'!$B14,'UC MINI 2026'!$Y$5:$Y$61)</f>
        <v>0</v>
      </c>
      <c r="AI14" s="243">
        <f t="shared" si="23"/>
        <v>0</v>
      </c>
      <c r="AJ14" s="54"/>
      <c r="AK14" s="86">
        <f>SUMIF('UC MINI 2026'!$B$5:$B$61,'UC MINI 2026 MINI NEXT'!$B14,'UC MINI 2026'!$AA$5:$AA$61)</f>
        <v>0</v>
      </c>
      <c r="AL14" s="297">
        <f t="shared" si="24"/>
        <v>0</v>
      </c>
      <c r="AM14" s="54"/>
      <c r="AN14" s="86">
        <f>SUMIF('UC MINI 2026'!$B$5:$B$61,'UC MINI 2026 MINI NEXT'!$B14,'UC MINI 2026'!$AC$5:$AC$61)</f>
        <v>0</v>
      </c>
      <c r="AO14" s="243">
        <f t="shared" si="6"/>
        <v>0</v>
      </c>
      <c r="AP14" s="54">
        <f t="shared" si="26"/>
        <v>138</v>
      </c>
      <c r="AQ14" s="86">
        <f t="shared" si="26"/>
        <v>83</v>
      </c>
      <c r="AR14" s="149">
        <f t="shared" si="8"/>
        <v>0.60144927536231885</v>
      </c>
      <c r="AS14" s="54">
        <f>IFERROR(F14+I14+L14+O14+R14+U14++X14+AA14+AD14+AG14+AJ14+AM14,0)</f>
        <v>138</v>
      </c>
      <c r="AT14" s="86">
        <f t="shared" si="16"/>
        <v>83</v>
      </c>
      <c r="AU14" s="149">
        <f>IFERROR((AT14/AS14),0)</f>
        <v>0.60144927536231885</v>
      </c>
      <c r="AV14" s="54">
        <f t="shared" si="27"/>
        <v>61</v>
      </c>
      <c r="AW14" s="86">
        <f t="shared" si="27"/>
        <v>33</v>
      </c>
      <c r="AX14" s="109">
        <f t="shared" si="10"/>
        <v>0.54098360655737709</v>
      </c>
      <c r="AY14" s="86">
        <f>IFERROR(IF($AV$5="Q1",#REF!+#REF!+#REF!,
IF($AV$5="Q2",#REF!+#REF!++#REF!,
IF($AV$5="Q3",#REF!+#REF!+#REF!,
IF($AV$5="Q4",#REF!+#REF!+#REF!,0)))),0)</f>
        <v>0</v>
      </c>
      <c r="AZ14" s="297">
        <f>IF(AW14=0,"N.D.",AY14/AW14)</f>
        <v>0</v>
      </c>
      <c r="BA14" s="348">
        <f>IFERROR(IF($AV$5="Q1",#REF!+#REF!+#REF!,
IF($AV$5="Q2",#REF!+#REF!+#REF!,
IF($AV$5="Q3",#REF!+#REF!+#REF!,
IF($AV$5="Q4",#REF!+#REF!+#REF!,0)))),0)</f>
        <v>0</v>
      </c>
      <c r="BB14" s="150">
        <f t="shared" si="11"/>
        <v>0</v>
      </c>
      <c r="BC14" s="54">
        <f t="shared" si="28"/>
        <v>138</v>
      </c>
      <c r="BD14" s="86">
        <f t="shared" si="28"/>
        <v>83</v>
      </c>
      <c r="BE14" s="150">
        <f t="shared" si="13"/>
        <v>0.60144927536231885</v>
      </c>
      <c r="BF14" s="54">
        <f t="shared" si="29"/>
        <v>0</v>
      </c>
      <c r="BG14" s="79">
        <f t="shared" si="29"/>
        <v>0</v>
      </c>
      <c r="BH14" s="150">
        <f t="shared" si="15"/>
        <v>0</v>
      </c>
      <c r="BI14" s="53">
        <v>1</v>
      </c>
      <c r="BL14" s="597">
        <v>5</v>
      </c>
      <c r="BM14" s="593" cm="1">
        <f t="array" ref="BM14">LARGE(_xlfn._xlws.FILTER(AR$7:AR$65, NOT(ISNUMBER(SEARCH("Total Distrito", B$7:B$65)))),ROW(J5))</f>
        <v>0.82926829268292679</v>
      </c>
      <c r="BN14" s="594" t="str">
        <f t="shared" si="17"/>
        <v>AUGUSTA ARAGÓN</v>
      </c>
      <c r="BO14" s="595">
        <f t="shared" si="18"/>
        <v>41</v>
      </c>
      <c r="BP14" s="596">
        <f t="shared" si="19"/>
        <v>34</v>
      </c>
      <c r="BQ14"/>
      <c r="BR14"/>
      <c r="BS14" s="4"/>
    </row>
    <row r="15" spans="1:71" s="53" customFormat="1" ht="16" customHeight="1" x14ac:dyDescent="0.35">
      <c r="A15" s="53">
        <f>_xlfn.XLOOKUP(B15,'WHOLESALE MINI 2026'!$B$7:$B$63,'WHOLESALE MINI 2026'!$A$7:$A$63)</f>
        <v>2</v>
      </c>
      <c r="B15" s="8">
        <v>100917</v>
      </c>
      <c r="C15" s="369" t="s">
        <v>263</v>
      </c>
      <c r="D15" s="146"/>
      <c r="E15" s="309" t="s">
        <v>276</v>
      </c>
      <c r="F15" s="54">
        <v>12</v>
      </c>
      <c r="G15" s="86">
        <f>SUMIF('UC MINI 2026'!$B$5:$B$71,'UC MINI 2026 MINI NEXT'!$B15,'UC MINI 2026'!$G$5:$G$71)</f>
        <v>1</v>
      </c>
      <c r="H15" s="243">
        <f t="shared" si="0"/>
        <v>8.3333333333333329E-2</v>
      </c>
      <c r="I15" s="54">
        <v>18</v>
      </c>
      <c r="J15" s="86">
        <f>SUMIF('UC MINI 2026'!$B$5:$B$61,'UC MINI 2026 MINI NEXT'!$B15,'UC MINI 2026'!$I$5:$I$61)</f>
        <v>1</v>
      </c>
      <c r="K15" s="243">
        <f t="shared" si="1"/>
        <v>5.5555555555555552E-2</v>
      </c>
      <c r="L15" s="54">
        <v>24</v>
      </c>
      <c r="M15" s="86">
        <f>SUMIF('UC MINI 2026'!$B$5:$B$61,'UC MINI 2026 MINI NEXT'!$B15,'UC MINI 2026'!$K$5:$K$61)</f>
        <v>0</v>
      </c>
      <c r="N15" s="297">
        <f t="shared" si="2"/>
        <v>0</v>
      </c>
      <c r="O15" s="54">
        <f>VLOOKUP(B15,'[5]% Penetración Mdo ABR26'!$B$7:$G$59,6,0)-F15-I15-L15</f>
        <v>27</v>
      </c>
      <c r="P15" s="86">
        <f>SUMIF('UC MINI 2026'!$B$5:$B$61,'UC MINI 2026 MINI NEXT'!$B15,'UC MINI 2026'!$M$5:$M$61)</f>
        <v>10</v>
      </c>
      <c r="Q15" s="243">
        <f t="shared" si="3"/>
        <v>0.37037037037037035</v>
      </c>
      <c r="R15" s="21">
        <f>VLOOKUP(B15,'[6]% Penetración Mdo MAY26'!$B$7:$G$65,6,0)-F15-I15-L15-O15</f>
        <v>14</v>
      </c>
      <c r="S15" s="86">
        <f>SUMIF('UC MINI 2026'!$B$5:$B$61,'UC MINI 2026 MINI NEXT'!$B15,'UC MINI 2026'!$O$5:$O$61)</f>
        <v>5</v>
      </c>
      <c r="T15" s="297">
        <f t="shared" si="4"/>
        <v>0.35714285714285715</v>
      </c>
      <c r="U15" s="606">
        <f>VLOOKUP(B15,'[7]% Penetración Mdo JUN26'!$B$7:$J$59,6,0)-F15-I15-L15-O15-R15</f>
        <v>24</v>
      </c>
      <c r="V15" s="86">
        <f>SUMIF('UC MINI 2026'!$B$5:$B$61,'UC MINI 2026 MINI NEXT'!$B15,'UC MINI 2026'!$Q$5:$Q$61)</f>
        <v>2</v>
      </c>
      <c r="W15" s="243">
        <f t="shared" si="5"/>
        <v>8.3333333333333329E-2</v>
      </c>
      <c r="X15" s="54"/>
      <c r="Y15" s="86">
        <f>SUMIF('UC MINI 2026'!$B$5:$B$61,'UC MINI 2026 MINI NEXT'!$B15,'UC MINI 2026'!$S$5:$S$61)</f>
        <v>0</v>
      </c>
      <c r="Z15" s="297">
        <f t="shared" si="20"/>
        <v>0</v>
      </c>
      <c r="AA15" s="54"/>
      <c r="AB15" s="86">
        <f>SUMIF('UC MINI 2026'!$B$5:$B$61,'UC MINI 2026 MINI NEXT'!$B15,'UC MINI 2026'!$U$5:$U$61)</f>
        <v>0</v>
      </c>
      <c r="AC15" s="243">
        <f t="shared" si="21"/>
        <v>0</v>
      </c>
      <c r="AD15" s="54"/>
      <c r="AE15" s="86">
        <f>SUMIF('UC MINI 2026'!$B$5:$B$61,'UC MINI 2026 MINI NEXT'!$B15,'UC MINI 2026'!$W$5:$W$61)</f>
        <v>0</v>
      </c>
      <c r="AF15" s="297">
        <f t="shared" si="22"/>
        <v>0</v>
      </c>
      <c r="AG15" s="54"/>
      <c r="AH15" s="86">
        <f>SUMIF('UC MINI 2026'!$B$5:$B$61,'UC MINI 2026 MINI NEXT'!$B15,'UC MINI 2026'!$Y$5:$Y$61)</f>
        <v>0</v>
      </c>
      <c r="AI15" s="243">
        <f t="shared" si="23"/>
        <v>0</v>
      </c>
      <c r="AJ15" s="54"/>
      <c r="AK15" s="86">
        <f>SUMIF('UC MINI 2026'!$B$5:$B$61,'UC MINI 2026 MINI NEXT'!$B15,'UC MINI 2026'!$AA$5:$AA$61)</f>
        <v>0</v>
      </c>
      <c r="AL15" s="297">
        <f t="shared" si="24"/>
        <v>0</v>
      </c>
      <c r="AM15" s="54"/>
      <c r="AN15" s="86">
        <f>SUMIF('UC MINI 2026'!$B$5:$B$61,'UC MINI 2026 MINI NEXT'!$B15,'UC MINI 2026'!$AC$5:$AC$61)</f>
        <v>0</v>
      </c>
      <c r="AO15" s="243">
        <f t="shared" si="6"/>
        <v>0</v>
      </c>
      <c r="AP15" s="54">
        <f t="shared" si="26"/>
        <v>119</v>
      </c>
      <c r="AQ15" s="86">
        <f t="shared" si="26"/>
        <v>19</v>
      </c>
      <c r="AR15" s="149">
        <f t="shared" si="8"/>
        <v>0.15966386554621848</v>
      </c>
      <c r="AS15" s="54">
        <f>IFERROR(F15+I15+L15+O15+R15+U15++X15+AA15+AD15+AG15+AJ15+AM15,0)</f>
        <v>119</v>
      </c>
      <c r="AT15" s="86">
        <f t="shared" si="16"/>
        <v>19</v>
      </c>
      <c r="AU15" s="149">
        <f>IFERROR((AT15/AS15),0)</f>
        <v>0.15966386554621848</v>
      </c>
      <c r="AV15" s="54">
        <f t="shared" si="27"/>
        <v>54</v>
      </c>
      <c r="AW15" s="86">
        <f t="shared" si="27"/>
        <v>2</v>
      </c>
      <c r="AX15" s="109">
        <f t="shared" si="10"/>
        <v>3.7037037037037035E-2</v>
      </c>
      <c r="AY15" s="86">
        <f>IFERROR(IF($AV$5="Q1",#REF!+#REF!+#REF!,
IF($AV$5="Q2",#REF!+#REF!++#REF!,
IF($AV$5="Q3",#REF!+#REF!+#REF!,
IF($AV$5="Q4",#REF!+#REF!+#REF!,0)))),0)</f>
        <v>0</v>
      </c>
      <c r="AZ15" s="297">
        <f>IF(AW15=0,"N.D.",AY15/AW15)</f>
        <v>0</v>
      </c>
      <c r="BA15" s="348">
        <f>IFERROR(IF($AV$5="Q1",#REF!+#REF!+#REF!,
IF($AV$5="Q2",#REF!+#REF!+#REF!,
IF($AV$5="Q3",#REF!+#REF!+#REF!,
IF($AV$5="Q4",#REF!+#REF!+#REF!,0)))),0)</f>
        <v>0</v>
      </c>
      <c r="BB15" s="150">
        <f t="shared" si="11"/>
        <v>0</v>
      </c>
      <c r="BC15" s="54">
        <f t="shared" si="28"/>
        <v>119</v>
      </c>
      <c r="BD15" s="86">
        <f t="shared" si="28"/>
        <v>19</v>
      </c>
      <c r="BE15" s="150">
        <f t="shared" si="13"/>
        <v>0.15966386554621848</v>
      </c>
      <c r="BF15" s="54">
        <f t="shared" si="29"/>
        <v>0</v>
      </c>
      <c r="BG15" s="79">
        <f t="shared" si="29"/>
        <v>0</v>
      </c>
      <c r="BH15" s="150">
        <f t="shared" si="15"/>
        <v>0</v>
      </c>
      <c r="BI15" s="53">
        <v>1</v>
      </c>
      <c r="BL15" s="597">
        <v>6</v>
      </c>
      <c r="BM15" s="593" cm="1">
        <f t="array" ref="BM15">LARGE(_xlfn._xlws.FILTER(AR$7:AR$65, NOT(ISNUMBER(SEARCH("Total Distrito", B$7:B$65)))),ROW(J6))</f>
        <v>0.82608695652173914</v>
      </c>
      <c r="BN15" s="594" t="str">
        <f t="shared" si="17"/>
        <v>CARTEYA MOTOR</v>
      </c>
      <c r="BO15" s="595">
        <f t="shared" si="18"/>
        <v>23</v>
      </c>
      <c r="BP15" s="596">
        <f t="shared" si="19"/>
        <v>19</v>
      </c>
      <c r="BQ15"/>
      <c r="BR15" s="579"/>
      <c r="BS15" s="4"/>
    </row>
    <row r="16" spans="1:71" s="53" customFormat="1" ht="16" customHeight="1" thickBot="1" x14ac:dyDescent="0.4">
      <c r="A16" s="53">
        <f>_xlfn.XLOOKUP(B16,'WHOLESALE MINI 2026'!$B$7:$B$63,'WHOLESALE MINI 2026'!$A$7:$A$63)</f>
        <v>2</v>
      </c>
      <c r="B16" s="8">
        <v>100726</v>
      </c>
      <c r="C16" s="369" t="s">
        <v>19</v>
      </c>
      <c r="D16" s="163"/>
      <c r="E16" s="309" t="s">
        <v>88</v>
      </c>
      <c r="F16" s="54">
        <v>12</v>
      </c>
      <c r="G16" s="86">
        <f>SUMIF('UC MINI 2026'!$B$5:$B$71,'UC MINI 2026 MINI NEXT'!$B16,'UC MINI 2026'!$G$5:$G$71)</f>
        <v>2</v>
      </c>
      <c r="H16" s="382">
        <f t="shared" si="0"/>
        <v>0.16666666666666666</v>
      </c>
      <c r="I16" s="54">
        <v>8</v>
      </c>
      <c r="J16" s="86">
        <f>SUMIF('UC MINI 2026'!$B$5:$B$61,'UC MINI 2026 MINI NEXT'!$B16,'UC MINI 2026'!$I$5:$I$61)</f>
        <v>5</v>
      </c>
      <c r="K16" s="382">
        <f t="shared" si="1"/>
        <v>0.625</v>
      </c>
      <c r="L16" s="54">
        <v>4</v>
      </c>
      <c r="M16" s="86">
        <f>SUMIF('UC MINI 2026'!$B$5:$B$61,'UC MINI 2026 MINI NEXT'!$B16,'UC MINI 2026'!$K$5:$K$61)</f>
        <v>5</v>
      </c>
      <c r="N16" s="299">
        <f t="shared" si="2"/>
        <v>1.25</v>
      </c>
      <c r="O16" s="54">
        <f>VLOOKUP(B16,'[5]% Penetración Mdo ABR26'!$B$7:$G$59,6,0)-F16-I16-L16</f>
        <v>8</v>
      </c>
      <c r="P16" s="86">
        <f>SUMIF('UC MINI 2026'!$B$5:$B$61,'UC MINI 2026 MINI NEXT'!$B16,'UC MINI 2026'!$M$5:$M$61)</f>
        <v>6</v>
      </c>
      <c r="Q16" s="382">
        <f t="shared" si="3"/>
        <v>0.75</v>
      </c>
      <c r="R16" s="21">
        <f>VLOOKUP(B16,'[6]% Penetración Mdo MAY26'!$B$7:$G$65,6,0)-F16-I16-L16-O16</f>
        <v>12</v>
      </c>
      <c r="S16" s="86">
        <f>SUMIF('UC MINI 2026'!$B$5:$B$61,'UC MINI 2026 MINI NEXT'!$B16,'UC MINI 2026'!$O$5:$O$61)</f>
        <v>2</v>
      </c>
      <c r="T16" s="299">
        <f t="shared" si="4"/>
        <v>0.16666666666666666</v>
      </c>
      <c r="U16" s="606">
        <f>VLOOKUP(B16,'[7]% Penetración Mdo JUN26'!$B$7:$J$59,6,0)-F16-I16-L16-O16-R16</f>
        <v>12</v>
      </c>
      <c r="V16" s="86">
        <f>SUMIF('UC MINI 2026'!$B$5:$B$61,'UC MINI 2026 MINI NEXT'!$B16,'UC MINI 2026'!$Q$5:$Q$61)</f>
        <v>11</v>
      </c>
      <c r="W16" s="382">
        <f t="shared" si="5"/>
        <v>0.91666666666666663</v>
      </c>
      <c r="X16" s="54"/>
      <c r="Y16" s="86">
        <f>SUMIF('UC MINI 2026'!$B$5:$B$61,'UC MINI 2026 MINI NEXT'!$B16,'UC MINI 2026'!$S$5:$S$61)</f>
        <v>0</v>
      </c>
      <c r="Z16" s="297">
        <f t="shared" si="20"/>
        <v>0</v>
      </c>
      <c r="AA16" s="54"/>
      <c r="AB16" s="86">
        <f>SUMIF('UC MINI 2026'!$B$5:$B$61,'UC MINI 2026 MINI NEXT'!$B16,'UC MINI 2026'!$U$5:$U$61)</f>
        <v>0</v>
      </c>
      <c r="AC16" s="243">
        <f t="shared" si="21"/>
        <v>0</v>
      </c>
      <c r="AD16" s="54"/>
      <c r="AE16" s="86">
        <f>SUMIF('UC MINI 2026'!$B$5:$B$61,'UC MINI 2026 MINI NEXT'!$B16,'UC MINI 2026'!$W$5:$W$61)</f>
        <v>0</v>
      </c>
      <c r="AF16" s="297">
        <f t="shared" si="22"/>
        <v>0</v>
      </c>
      <c r="AG16" s="54"/>
      <c r="AH16" s="86">
        <f>SUMIF('UC MINI 2026'!$B$5:$B$61,'UC MINI 2026 MINI NEXT'!$B16,'UC MINI 2026'!$Y$5:$Y$61)</f>
        <v>0</v>
      </c>
      <c r="AI16" s="243">
        <f t="shared" si="23"/>
        <v>0</v>
      </c>
      <c r="AJ16" s="54"/>
      <c r="AK16" s="86">
        <f>SUMIF('UC MINI 2026'!$B$5:$B$61,'UC MINI 2026 MINI NEXT'!$B16,'UC MINI 2026'!$AA$5:$AA$61)</f>
        <v>0</v>
      </c>
      <c r="AL16" s="297">
        <f t="shared" si="24"/>
        <v>0</v>
      </c>
      <c r="AM16" s="54"/>
      <c r="AN16" s="86">
        <f>SUMIF('UC MINI 2026'!$B$5:$B$61,'UC MINI 2026 MINI NEXT'!$B16,'UC MINI 2026'!$AC$5:$AC$61)</f>
        <v>0</v>
      </c>
      <c r="AO16" s="382">
        <f t="shared" si="6"/>
        <v>0</v>
      </c>
      <c r="AP16" s="54">
        <f t="shared" si="26"/>
        <v>56</v>
      </c>
      <c r="AQ16" s="86">
        <f t="shared" si="26"/>
        <v>31</v>
      </c>
      <c r="AR16" s="152">
        <f t="shared" si="8"/>
        <v>0.5535714285714286</v>
      </c>
      <c r="AS16" s="54">
        <f>IFERROR(F16+I16+L16+O16+R16+U16++X16+AA16+AD16+AG16+AJ16+AM16,0)</f>
        <v>56</v>
      </c>
      <c r="AT16" s="86">
        <f t="shared" si="16"/>
        <v>31</v>
      </c>
      <c r="AU16" s="152">
        <f>IFERROR((AT16/AS16),0)</f>
        <v>0.5535714285714286</v>
      </c>
      <c r="AV16" s="58">
        <f t="shared" si="27"/>
        <v>24</v>
      </c>
      <c r="AW16" s="59">
        <f t="shared" si="27"/>
        <v>12</v>
      </c>
      <c r="AX16" s="112">
        <f t="shared" si="10"/>
        <v>0.5</v>
      </c>
      <c r="AY16" s="86">
        <f>IFERROR(IF($AV$5="Q1",#REF!+#REF!+#REF!,
IF($AV$5="Q2",#REF!+#REF!++#REF!,
IF($AV$5="Q3",#REF!+#REF!+#REF!,
IF($AV$5="Q4",#REF!+#REF!+#REF!,0)))),0)</f>
        <v>0</v>
      </c>
      <c r="AZ16" s="297">
        <f>IF(AW16=0,"N.D.",AY16/AW16)</f>
        <v>0</v>
      </c>
      <c r="BA16" s="348">
        <f>IFERROR(IF($AV$5="Q1",#REF!+#REF!+#REF!,
IF($AV$5="Q2",#REF!+#REF!+#REF!,
IF($AV$5="Q3",#REF!+#REF!+#REF!,
IF($AV$5="Q4",#REF!+#REF!+#REF!,0)))),0)</f>
        <v>0</v>
      </c>
      <c r="BB16" s="153">
        <f t="shared" si="11"/>
        <v>0</v>
      </c>
      <c r="BC16" s="54">
        <f t="shared" si="28"/>
        <v>56</v>
      </c>
      <c r="BD16" s="86">
        <f t="shared" si="28"/>
        <v>31</v>
      </c>
      <c r="BE16" s="153">
        <f t="shared" si="13"/>
        <v>0.5535714285714286</v>
      </c>
      <c r="BF16" s="54">
        <f t="shared" si="29"/>
        <v>0</v>
      </c>
      <c r="BG16" s="79">
        <f t="shared" si="29"/>
        <v>0</v>
      </c>
      <c r="BH16" s="153">
        <f t="shared" si="15"/>
        <v>0</v>
      </c>
      <c r="BI16" s="53">
        <v>1</v>
      </c>
      <c r="BL16" s="597">
        <v>7</v>
      </c>
      <c r="BM16" s="593" cm="1">
        <f t="array" ref="BM16">LARGE(_xlfn._xlws.FILTER(AR$7:AR$65, NOT(ISNUMBER(SEARCH("Total Distrito", B$7:B$65)))),ROW(J7))</f>
        <v>0.80952380952380953</v>
      </c>
      <c r="BN16" s="594" t="str">
        <f t="shared" si="17"/>
        <v>TRIOCAR</v>
      </c>
      <c r="BO16" s="595">
        <f t="shared" si="18"/>
        <v>42</v>
      </c>
      <c r="BP16" s="596">
        <f t="shared" si="19"/>
        <v>34</v>
      </c>
      <c r="BQ16"/>
      <c r="BR16" s="579"/>
      <c r="BS16" s="4"/>
    </row>
    <row r="17" spans="1:71" s="53" customFormat="1" ht="16" customHeight="1" thickBot="1" x14ac:dyDescent="0.4">
      <c r="A17" s="53">
        <f>_xlfn.XLOOKUP(B17,'WHOLESALE MINI 2026'!$B$7:$B$63,'WHOLESALE MINI 2026'!$A$7:$A$63)</f>
        <v>0</v>
      </c>
      <c r="B17" s="61" t="s">
        <v>265</v>
      </c>
      <c r="C17" s="62"/>
      <c r="D17" s="154"/>
      <c r="E17" s="80"/>
      <c r="F17" s="155">
        <f>SUM(F12:F16)</f>
        <v>149</v>
      </c>
      <c r="G17" s="155">
        <f>SUM(G12:G16)</f>
        <v>44</v>
      </c>
      <c r="H17" s="301">
        <f t="shared" si="0"/>
        <v>0.29530201342281881</v>
      </c>
      <c r="I17" s="155">
        <f>SUM(I12:I16)</f>
        <v>103</v>
      </c>
      <c r="J17" s="155">
        <f>SUM(J12:J16)</f>
        <v>39</v>
      </c>
      <c r="K17" s="301">
        <f t="shared" si="1"/>
        <v>0.37864077669902912</v>
      </c>
      <c r="L17" s="155">
        <f>SUM(L12:L16)</f>
        <v>108</v>
      </c>
      <c r="M17" s="155">
        <f>SUM(M12:M16)</f>
        <v>54</v>
      </c>
      <c r="N17" s="301">
        <f t="shared" si="2"/>
        <v>0.5</v>
      </c>
      <c r="O17" s="155">
        <f>SUM(O12:O16)</f>
        <v>91</v>
      </c>
      <c r="P17" s="155">
        <f>SUM(P12:P16)</f>
        <v>65</v>
      </c>
      <c r="Q17" s="301">
        <f t="shared" si="3"/>
        <v>0.7142857142857143</v>
      </c>
      <c r="R17" s="155">
        <f>SUM(R12:R16)</f>
        <v>98</v>
      </c>
      <c r="S17" s="155">
        <f>SUM(S12:S16)</f>
        <v>56</v>
      </c>
      <c r="T17" s="301">
        <f t="shared" si="4"/>
        <v>0.5714285714285714</v>
      </c>
      <c r="U17" s="155">
        <f>SUM(U12:U16)</f>
        <v>109</v>
      </c>
      <c r="V17" s="155">
        <f>SUM(V12:V16)</f>
        <v>83</v>
      </c>
      <c r="W17" s="301">
        <f t="shared" si="5"/>
        <v>0.76146788990825687</v>
      </c>
      <c r="X17" s="155">
        <f>SUM(X12:X16)</f>
        <v>0</v>
      </c>
      <c r="Y17" s="155">
        <f>SUM(Y12:Y16)</f>
        <v>0</v>
      </c>
      <c r="Z17" s="301">
        <f t="shared" ref="Z17:Z22" si="32">IFERROR(Y17/X17,0)</f>
        <v>0</v>
      </c>
      <c r="AA17" s="155">
        <f>SUM(AA12:AA16)</f>
        <v>0</v>
      </c>
      <c r="AB17" s="155">
        <f>SUM(AB12:AB16)</f>
        <v>0</v>
      </c>
      <c r="AC17" s="301">
        <f t="shared" ref="AC17:AC22" si="33">IFERROR(AB17/AA17,0)</f>
        <v>0</v>
      </c>
      <c r="AD17" s="155">
        <f>SUM(AD12:AD16)</f>
        <v>0</v>
      </c>
      <c r="AE17" s="155">
        <f>SUM(AE12:AE16)</f>
        <v>0</v>
      </c>
      <c r="AF17" s="301">
        <f t="shared" ref="AF17:AF22" si="34">IFERROR(AE17/AD17,0)</f>
        <v>0</v>
      </c>
      <c r="AG17" s="155">
        <f>SUM(AG12:AG16)</f>
        <v>0</v>
      </c>
      <c r="AH17" s="155">
        <f>SUM(AH12:AH16)</f>
        <v>0</v>
      </c>
      <c r="AI17" s="301">
        <f t="shared" ref="AI17:AI22" si="35">IFERROR(AH17/AG17,0)</f>
        <v>0</v>
      </c>
      <c r="AJ17" s="155">
        <f>SUM(AJ12:AJ16)</f>
        <v>0</v>
      </c>
      <c r="AK17" s="155">
        <f>SUM(AK12:AK16)</f>
        <v>0</v>
      </c>
      <c r="AL17" s="301">
        <f t="shared" ref="AL17:AL22" si="36">IFERROR(AK17/AJ17,0)</f>
        <v>0</v>
      </c>
      <c r="AM17" s="155">
        <f>SUM(AM12:AM16)</f>
        <v>0</v>
      </c>
      <c r="AN17" s="155">
        <f>SUM(AN12:AN16)</f>
        <v>0</v>
      </c>
      <c r="AO17" s="301">
        <f t="shared" si="6"/>
        <v>0</v>
      </c>
      <c r="AP17" s="63">
        <f>SUM(AP12:AP16)</f>
        <v>658</v>
      </c>
      <c r="AQ17" s="63">
        <f>SUM(AQ12:AQ16)</f>
        <v>341</v>
      </c>
      <c r="AR17" s="320">
        <f t="shared" si="8"/>
        <v>0.51823708206686925</v>
      </c>
      <c r="AS17" s="63">
        <f>SUM(AS12:AS16)</f>
        <v>658</v>
      </c>
      <c r="AT17" s="63">
        <f>SUM(AT12:AT16)</f>
        <v>341</v>
      </c>
      <c r="AU17" s="320">
        <f>IFERROR((AT17/AS17),0)</f>
        <v>0.51823708206686925</v>
      </c>
      <c r="AV17" s="63">
        <f>SUM(AV8:AV16)</f>
        <v>842</v>
      </c>
      <c r="AW17" s="65">
        <f>SUM(AW8:AW16)</f>
        <v>314</v>
      </c>
      <c r="AX17" s="157">
        <f t="shared" si="10"/>
        <v>0.37292161520190026</v>
      </c>
      <c r="AY17" s="65">
        <f>SUM(AY8:AY16)</f>
        <v>0</v>
      </c>
      <c r="AZ17" s="321">
        <f>IFERROR(AY17/AW17,0)</f>
        <v>0</v>
      </c>
      <c r="BA17" s="349" t="e">
        <f>IF($AV$5="Q1",#REF!+#REF!+#REF!,
IF($AV$5="Q2",#REF!+#REF!+#REF!,
IF($AV$5="Q3",#REF!+#REF!+#REF!,
IF($AV$5="Q4",#REF!+#REF!+#REF!,0))))</f>
        <v>#REF!</v>
      </c>
      <c r="BB17" s="333">
        <f t="shared" si="11"/>
        <v>0</v>
      </c>
      <c r="BC17" s="63">
        <f>IF($BC$5="S 1",F17+I17+L17+O17+R17+U17,
IF($BC$5="S 2",X17+AA17+AD17+AG17+AJ17+AM17,0))</f>
        <v>658</v>
      </c>
      <c r="BD17" s="65">
        <f>IF($BC$5="S 1",G17+J17+M17+P17+S17+V17,
IF($BC$5="S 2",Y17+AB17+AE17+AH17+AK17+AN17,0))</f>
        <v>341</v>
      </c>
      <c r="BE17" s="333">
        <f t="shared" si="13"/>
        <v>0.51823708206686925</v>
      </c>
      <c r="BF17" s="63">
        <f>SUM(BF12:BF16)</f>
        <v>0</v>
      </c>
      <c r="BG17" s="63">
        <f>SUM(BG12:BG16)</f>
        <v>0</v>
      </c>
      <c r="BH17" s="333">
        <f t="shared" si="15"/>
        <v>0</v>
      </c>
      <c r="BI17" s="53">
        <v>0</v>
      </c>
      <c r="BL17" s="597">
        <v>8</v>
      </c>
      <c r="BM17" s="593" cm="1">
        <f t="array" ref="BM17">LARGE(_xlfn._xlws.FILTER(AR$7:AR$65, NOT(ISNUMBER(SEARCH("Total Distrito", B$7:B$65)))),ROW(J8))</f>
        <v>0.77966101694915257</v>
      </c>
      <c r="BN17" s="594" t="str">
        <f t="shared" si="17"/>
        <v>AUTOMOTOR COSTA</v>
      </c>
      <c r="BO17" s="595">
        <f t="shared" si="18"/>
        <v>59</v>
      </c>
      <c r="BP17" s="596">
        <f t="shared" si="19"/>
        <v>46</v>
      </c>
      <c r="BQ17"/>
      <c r="BR17" s="579"/>
      <c r="BS17" s="4"/>
    </row>
    <row r="18" spans="1:71" s="53" customFormat="1" ht="16" customHeight="1" x14ac:dyDescent="0.35">
      <c r="A18" s="53">
        <f>_xlfn.XLOOKUP(B18,'WHOLESALE MINI 2026'!$B$7:$B$63,'WHOLESALE MINI 2026'!$A$7:$A$63)</f>
        <v>3</v>
      </c>
      <c r="B18" s="8">
        <v>100307</v>
      </c>
      <c r="C18" s="369" t="s">
        <v>39</v>
      </c>
      <c r="D18" s="146"/>
      <c r="E18" s="309" t="s">
        <v>83</v>
      </c>
      <c r="F18" s="54">
        <f>VLOOKUP(B18,'[4]% Penetración Mdo ENE26'!$B$7:$G$59,6,0)</f>
        <v>3</v>
      </c>
      <c r="G18" s="86">
        <f>SUMIF('UC MINI 2026'!$B$5:$B$71,'UC MINI 2026 MINI NEXT'!$B18,'UC MINI 2026'!$G$5:$G$71)</f>
        <v>0</v>
      </c>
      <c r="H18" s="243">
        <f t="shared" si="0"/>
        <v>0</v>
      </c>
      <c r="I18" s="54">
        <v>1</v>
      </c>
      <c r="J18" s="86">
        <f>SUMIF('UC MINI 2026'!$B$5:$B$61,'UC MINI 2026 MINI NEXT'!$B18,'UC MINI 2026'!$I$5:$I$61)</f>
        <v>0</v>
      </c>
      <c r="K18" s="243">
        <f t="shared" si="1"/>
        <v>0</v>
      </c>
      <c r="L18" s="54">
        <v>2</v>
      </c>
      <c r="M18" s="86">
        <f>SUMIF('UC MINI 2026'!$B$5:$B$61,'UC MINI 2026 MINI NEXT'!$B18,'UC MINI 2026'!$K$5:$K$61)</f>
        <v>0</v>
      </c>
      <c r="N18" s="297">
        <f t="shared" si="2"/>
        <v>0</v>
      </c>
      <c r="O18" s="54">
        <f>VLOOKUP(B18,'[5]% Penetración Mdo ABR26'!$B$7:$G$59,6,0)-F18-I18-L18</f>
        <v>4</v>
      </c>
      <c r="P18" s="86">
        <f>SUMIF('UC MINI 2026'!$B$5:$B$61,'UC MINI 2026 MINI NEXT'!$B18,'UC MINI 2026'!$M$5:$M$61)</f>
        <v>1</v>
      </c>
      <c r="Q18" s="243">
        <f t="shared" si="3"/>
        <v>0.25</v>
      </c>
      <c r="R18" s="21">
        <f>VLOOKUP(B18,'[6]% Penetración Mdo MAY26'!$B$7:$G$65,6,0)-F18-I18-L18-O18</f>
        <v>1</v>
      </c>
      <c r="S18" s="86">
        <f>SUMIF('UC MINI 2026'!$B$5:$B$61,'UC MINI 2026 MINI NEXT'!$B18,'UC MINI 2026'!$O$5:$O$61)</f>
        <v>0</v>
      </c>
      <c r="T18" s="297">
        <f t="shared" si="4"/>
        <v>0</v>
      </c>
      <c r="U18" s="606">
        <f>VLOOKUP(B18,'[7]% Penetración Mdo JUN26'!$B$7:$J$59,6,0)-F18-I18-L18-O18-R18</f>
        <v>6</v>
      </c>
      <c r="V18" s="86">
        <f>SUMIF('UC MINI 2026'!$B$5:$B$61,'UC MINI 2026 MINI NEXT'!$B18,'UC MINI 2026'!$Q$5:$Q$61)</f>
        <v>0</v>
      </c>
      <c r="W18" s="243">
        <f t="shared" si="5"/>
        <v>0</v>
      </c>
      <c r="X18" s="54"/>
      <c r="Y18" s="86">
        <f>SUMIF('UC MINI 2026'!$B$5:$B$61,'UC MINI 2026 MINI NEXT'!$B18,'UC MINI 2026'!$S$5:$S$61)</f>
        <v>0</v>
      </c>
      <c r="Z18" s="297">
        <f t="shared" si="32"/>
        <v>0</v>
      </c>
      <c r="AA18" s="54"/>
      <c r="AB18" s="86">
        <f>SUMIF('UC MINI 2026'!$B$5:$B$61,'UC MINI 2026 MINI NEXT'!$B18,'UC MINI 2026'!$U$5:$U$61)</f>
        <v>0</v>
      </c>
      <c r="AC18" s="243">
        <f t="shared" si="33"/>
        <v>0</v>
      </c>
      <c r="AD18" s="54"/>
      <c r="AE18" s="86">
        <f>SUMIF('UC MINI 2026'!$B$5:$B$61,'UC MINI 2026 MINI NEXT'!$B18,'UC MINI 2026'!$W$5:$W$61)</f>
        <v>0</v>
      </c>
      <c r="AF18" s="297">
        <f t="shared" si="34"/>
        <v>0</v>
      </c>
      <c r="AG18" s="54"/>
      <c r="AH18" s="86">
        <f>SUMIF('UC MINI 2026'!$B$5:$B$61,'UC MINI 2026 MINI NEXT'!$B18,'UC MINI 2026'!$Y$5:$Y$61)</f>
        <v>0</v>
      </c>
      <c r="AI18" s="243">
        <f t="shared" si="35"/>
        <v>0</v>
      </c>
      <c r="AJ18" s="54"/>
      <c r="AK18" s="86">
        <f>SUMIF('UC MINI 2026'!$B$5:$B$61,'UC MINI 2026 MINI NEXT'!$B18,'UC MINI 2026'!$AA$5:$AA$61)</f>
        <v>0</v>
      </c>
      <c r="AL18" s="297">
        <f t="shared" si="36"/>
        <v>0</v>
      </c>
      <c r="AM18" s="54"/>
      <c r="AN18" s="86">
        <f>SUMIF('UC MINI 2026'!$B$5:$B$61,'UC MINI 2026 MINI NEXT'!$B18,'UC MINI 2026'!$AC$5:$AC$61)</f>
        <v>0</v>
      </c>
      <c r="AO18" s="243">
        <f t="shared" si="6"/>
        <v>0</v>
      </c>
      <c r="AP18" s="67">
        <f t="shared" ref="AP18:AQ22" si="37">IFERROR(IF($AP$4="ENERO",F18,IF($AP$4="FEBRERO",F18+I18,IF($AP$4="MARZO",F18+I18+L18,IF($AP$4="ABRIL",F18+I18+L18+O18,IF($AP$4="MAYO",F18+I18+L18+O18+R18,IF($AP$4="JUNIO",F18+I18+L18+O18+R18+U18,IF($AP$4="JULIO",F18+I18+L18+O18+R18+U18+X18,IF($AP$4="AGOSTO",F18+I18+L18+O18+R18+U18+X18+AA18,IF($AP$4="SEPTIEMBRE",F18+I18+L18+O18+R18+U18+X18+AA18+AD18,IF($AP$4="OCTUBRE",F18+I18+L18+O18+R18+U18+X18+AA18+AD18+AG18,IF($AP$4="NOVIEMBRE",F18+I18+L18+O18+R18+U18+X18+AA18+AD18+AG18+AJ18,IF($AP$4="DICIEMBRE",F18+I18+L18+O18+R18+U18+X18+AA18+AD18+AG18+AJ18+AM18,"")))))))))))),0)</f>
        <v>17</v>
      </c>
      <c r="AQ18" s="68">
        <f t="shared" si="37"/>
        <v>1</v>
      </c>
      <c r="AR18" s="149">
        <f t="shared" si="8"/>
        <v>5.8823529411764705E-2</v>
      </c>
      <c r="AS18" s="67">
        <f>IFERROR(F18+I18+L18+O18+R18+U18++X18+AA18+AD18+AG18+AJ18+AM18,0)</f>
        <v>17</v>
      </c>
      <c r="AT18" s="86">
        <f t="shared" si="16"/>
        <v>1</v>
      </c>
      <c r="AU18" s="149">
        <f>IFERROR((AT18/AS18),0)</f>
        <v>5.8823529411764705E-2</v>
      </c>
      <c r="AV18" s="54">
        <f>IF($AV$5="Q1",F18+I18+L18,
IF($AV$5="Q2",O18+R18++U18,
IF($AV$5="Q3",X18+AA18+AD18,
IF($AV$5="Q4",AG18+AJ18+AM18,0))))</f>
        <v>6</v>
      </c>
      <c r="AW18" s="86">
        <f>IF($AV$5="Q1",G18+J18+M18,
IF($AV$5="Q2",P18+S18++V18,
IF($AV$5="Q3",Y18+AB18+AE18,
IF($AV$5="Q4",AH18+AK18+AN18,0))))</f>
        <v>0</v>
      </c>
      <c r="AX18" s="109">
        <f t="shared" si="10"/>
        <v>0</v>
      </c>
      <c r="AY18" s="68">
        <f>IFERROR(IF($AV$5="Q1",#REF!+#REF!+#REF!,
IF($AV$5="Q2",#REF!+#REF!++#REF!,
IF($AV$5="Q3",#REF!+#REF!+#REF!,
IF($AV$5="Q4",#REF!+#REF!+#REF!,0)))),0)</f>
        <v>0</v>
      </c>
      <c r="AZ18" s="297" t="str">
        <f>IF(AW18=0,"N.D.",AY18/AW18)</f>
        <v>N.D.</v>
      </c>
      <c r="BA18" s="350">
        <f>IFERROR(IF($AV$5="Q1",#REF!+#REF!+#REF!,
IF($AV$5="Q2",#REF!+#REF!+#REF!,
IF($AV$5="Q3",#REF!+#REF!+#REF!,
IF($AV$5="Q4",#REF!+#REF!+#REF!,0)))),0)</f>
        <v>0</v>
      </c>
      <c r="BB18" s="150">
        <f t="shared" si="11"/>
        <v>0</v>
      </c>
      <c r="BC18" s="67">
        <f t="shared" ref="BC18:BD22" si="38">IFERROR(IF($BC$5="S 1",F18+I18+L18+O18+R18+U18,
IF($BC$5="S 2",X18+AA18+AD18+AG18+AJ18+AM18,0)),0)</f>
        <v>17</v>
      </c>
      <c r="BD18" s="68">
        <f t="shared" si="38"/>
        <v>1</v>
      </c>
      <c r="BE18" s="150">
        <f t="shared" si="13"/>
        <v>5.8823529411764705E-2</v>
      </c>
      <c r="BF18" s="67">
        <f t="shared" ref="BF18:BG22" si="39">IFERROR(IF($BF$5="S 1",F18+I18+L18+O18+R18+U18,
IF($BF$5="S 2",X18+AA18+AD18+AG18+AJ18+AM18,0)),0)</f>
        <v>0</v>
      </c>
      <c r="BG18" s="266">
        <f t="shared" si="39"/>
        <v>0</v>
      </c>
      <c r="BH18" s="150">
        <f t="shared" si="15"/>
        <v>0</v>
      </c>
      <c r="BI18" s="53">
        <v>1</v>
      </c>
      <c r="BL18" s="597">
        <v>9</v>
      </c>
      <c r="BM18" s="593" cm="1">
        <f t="array" ref="BM18">LARGE(_xlfn._xlws.FILTER(AR$7:AR$65, NOT(ISNUMBER(SEARCH("Total Distrito", B$7:B$65)))),ROW(J9))</f>
        <v>0.75609756097560976</v>
      </c>
      <c r="BN18" s="594" t="str">
        <f t="shared" si="17"/>
        <v>BURGOCAR</v>
      </c>
      <c r="BO18" s="595">
        <f t="shared" si="18"/>
        <v>41</v>
      </c>
      <c r="BP18" s="596">
        <f t="shared" si="19"/>
        <v>31</v>
      </c>
      <c r="BQ18"/>
      <c r="BR18" s="579"/>
      <c r="BS18" s="4"/>
    </row>
    <row r="19" spans="1:71" s="53" customFormat="1" ht="16" customHeight="1" x14ac:dyDescent="0.35">
      <c r="A19" s="53">
        <f>_xlfn.XLOOKUP(B19,'WHOLESALE MINI 2026'!$B$7:$B$63,'WHOLESALE MINI 2026'!$A$7:$A$63)</f>
        <v>3</v>
      </c>
      <c r="B19" s="8">
        <v>100380</v>
      </c>
      <c r="C19" s="369" t="s">
        <v>11</v>
      </c>
      <c r="D19" s="146"/>
      <c r="E19" s="309" t="s">
        <v>78</v>
      </c>
      <c r="F19" s="54">
        <f>VLOOKUP(B19,'[4]% Penetración Mdo ENE26'!$B$7:$G$59,6,0)</f>
        <v>3</v>
      </c>
      <c r="G19" s="86">
        <f>SUMIF('UC MINI 2026'!$B$5:$B$71,'UC MINI 2026 MINI NEXT'!$B19,'UC MINI 2026'!$G$5:$G$71)</f>
        <v>2</v>
      </c>
      <c r="H19" s="243">
        <f t="shared" si="0"/>
        <v>0.66666666666666663</v>
      </c>
      <c r="I19" s="54">
        <v>3</v>
      </c>
      <c r="J19" s="86">
        <f>SUMIF('UC MINI 2026'!$B$5:$B$61,'UC MINI 2026 MINI NEXT'!$B19,'UC MINI 2026'!$I$5:$I$61)</f>
        <v>3</v>
      </c>
      <c r="K19" s="243">
        <f t="shared" si="1"/>
        <v>1</v>
      </c>
      <c r="L19" s="54">
        <v>3</v>
      </c>
      <c r="M19" s="86">
        <f>SUMIF('UC MINI 2026'!$B$5:$B$61,'UC MINI 2026 MINI NEXT'!$B19,'UC MINI 2026'!$K$5:$K$61)</f>
        <v>1</v>
      </c>
      <c r="N19" s="297">
        <f t="shared" si="2"/>
        <v>0.33333333333333331</v>
      </c>
      <c r="O19" s="54">
        <f>VLOOKUP(B19,'[5]% Penetración Mdo ABR26'!$B$7:$G$59,6,0)-F19-I19-L19</f>
        <v>7</v>
      </c>
      <c r="P19" s="86">
        <f>SUMIF('UC MINI 2026'!$B$5:$B$61,'UC MINI 2026 MINI NEXT'!$B19,'UC MINI 2026'!$M$5:$M$61)</f>
        <v>3</v>
      </c>
      <c r="Q19" s="243">
        <f t="shared" si="3"/>
        <v>0.42857142857142855</v>
      </c>
      <c r="R19" s="21">
        <f>VLOOKUP(B19,'[6]% Penetración Mdo MAY26'!$B$7:$G$65,6,0)-F19-I19-L19-O19</f>
        <v>2</v>
      </c>
      <c r="S19" s="86">
        <f>SUMIF('UC MINI 2026'!$B$5:$B$61,'UC MINI 2026 MINI NEXT'!$B19,'UC MINI 2026'!$O$5:$O$61)</f>
        <v>2</v>
      </c>
      <c r="T19" s="297">
        <f t="shared" si="4"/>
        <v>1</v>
      </c>
      <c r="U19" s="606">
        <f>VLOOKUP(B19,'[7]% Penetración Mdo JUN26'!$B$7:$J$59,6,0)-F19-I19-L19-O19-R19</f>
        <v>4</v>
      </c>
      <c r="V19" s="86">
        <f>SUMIF('UC MINI 2026'!$B$5:$B$61,'UC MINI 2026 MINI NEXT'!$B19,'UC MINI 2026'!$Q$5:$Q$61)</f>
        <v>1</v>
      </c>
      <c r="W19" s="243">
        <f t="shared" si="5"/>
        <v>0.25</v>
      </c>
      <c r="X19" s="54"/>
      <c r="Y19" s="86">
        <f>SUMIF('UC MINI 2026'!$B$5:$B$61,'UC MINI 2026 MINI NEXT'!$B19,'UC MINI 2026'!$S$5:$S$61)</f>
        <v>0</v>
      </c>
      <c r="Z19" s="297">
        <f t="shared" si="32"/>
        <v>0</v>
      </c>
      <c r="AA19" s="54"/>
      <c r="AB19" s="86">
        <f>SUMIF('UC MINI 2026'!$B$5:$B$61,'UC MINI 2026 MINI NEXT'!$B19,'UC MINI 2026'!$U$5:$U$61)</f>
        <v>0</v>
      </c>
      <c r="AC19" s="243">
        <f t="shared" si="33"/>
        <v>0</v>
      </c>
      <c r="AD19" s="54"/>
      <c r="AE19" s="86">
        <f>SUMIF('UC MINI 2026'!$B$5:$B$61,'UC MINI 2026 MINI NEXT'!$B19,'UC MINI 2026'!$W$5:$W$61)</f>
        <v>0</v>
      </c>
      <c r="AF19" s="297">
        <f t="shared" si="34"/>
        <v>0</v>
      </c>
      <c r="AG19" s="54"/>
      <c r="AH19" s="86">
        <f>SUMIF('UC MINI 2026'!$B$5:$B$61,'UC MINI 2026 MINI NEXT'!$B19,'UC MINI 2026'!$Y$5:$Y$61)</f>
        <v>0</v>
      </c>
      <c r="AI19" s="243">
        <f t="shared" si="35"/>
        <v>0</v>
      </c>
      <c r="AJ19" s="54"/>
      <c r="AK19" s="86">
        <f>SUMIF('UC MINI 2026'!$B$5:$B$61,'UC MINI 2026 MINI NEXT'!$B19,'UC MINI 2026'!$AA$5:$AA$61)</f>
        <v>0</v>
      </c>
      <c r="AL19" s="297">
        <f t="shared" si="36"/>
        <v>0</v>
      </c>
      <c r="AM19" s="54"/>
      <c r="AN19" s="86">
        <f>SUMIF('UC MINI 2026'!$B$5:$B$61,'UC MINI 2026 MINI NEXT'!$B19,'UC MINI 2026'!$AC$5:$AC$61)</f>
        <v>0</v>
      </c>
      <c r="AO19" s="243">
        <f t="shared" si="6"/>
        <v>0</v>
      </c>
      <c r="AP19" s="54">
        <f t="shared" si="37"/>
        <v>22</v>
      </c>
      <c r="AQ19" s="59">
        <f t="shared" si="37"/>
        <v>12</v>
      </c>
      <c r="AR19" s="152">
        <f t="shared" si="8"/>
        <v>0.54545454545454541</v>
      </c>
      <c r="AS19" s="54">
        <f t="shared" si="30"/>
        <v>22</v>
      </c>
      <c r="AT19" s="86">
        <f t="shared" si="16"/>
        <v>12</v>
      </c>
      <c r="AU19" s="152">
        <f t="shared" si="25"/>
        <v>0.54545454545454541</v>
      </c>
      <c r="AV19" s="58">
        <f t="shared" si="27"/>
        <v>9</v>
      </c>
      <c r="AW19" s="59">
        <f t="shared" si="27"/>
        <v>6</v>
      </c>
      <c r="AX19" s="112">
        <f t="shared" si="10"/>
        <v>0.66666666666666663</v>
      </c>
      <c r="AY19" s="59">
        <f>IFERROR(IF($AV$5="Q1",#REF!+#REF!+#REF!,
IF($AV$5="Q2",#REF!+#REF!++#REF!,
IF($AV$5="Q3",#REF!+#REF!+#REF!,
IF($AV$5="Q4",#REF!+#REF!+#REF!,0)))),0)</f>
        <v>0</v>
      </c>
      <c r="AZ19" s="297">
        <f t="shared" si="31"/>
        <v>0</v>
      </c>
      <c r="BA19" s="347">
        <f>IFERROR(IF($AV$5="Q1",#REF!+#REF!+#REF!,
IF($AV$5="Q2",#REF!+#REF!+#REF!,
IF($AV$5="Q3",#REF!+#REF!+#REF!,
IF($AV$5="Q4",#REF!+#REF!+#REF!,0)))),0)</f>
        <v>0</v>
      </c>
      <c r="BB19" s="153">
        <f t="shared" si="11"/>
        <v>0</v>
      </c>
      <c r="BC19" s="54">
        <f t="shared" si="38"/>
        <v>22</v>
      </c>
      <c r="BD19" s="59">
        <f t="shared" si="38"/>
        <v>12</v>
      </c>
      <c r="BE19" s="153">
        <f t="shared" si="13"/>
        <v>0.54545454545454541</v>
      </c>
      <c r="BF19" s="54">
        <f t="shared" si="39"/>
        <v>0</v>
      </c>
      <c r="BG19" s="252">
        <f t="shared" si="39"/>
        <v>0</v>
      </c>
      <c r="BH19" s="153">
        <f t="shared" si="15"/>
        <v>0</v>
      </c>
      <c r="BI19" s="53">
        <v>1</v>
      </c>
      <c r="BL19" s="597">
        <v>10</v>
      </c>
      <c r="BM19" s="593" cm="1">
        <f t="array" ref="BM19">LARGE(_xlfn._xlws.FILTER(AR$7:AR$65, NOT(ISNUMBER(SEARCH("Total Distrito", B$7:B$65)))),ROW(J10))</f>
        <v>0.74336283185840712</v>
      </c>
      <c r="BN19" s="594" t="str">
        <f t="shared" si="17"/>
        <v>VEHINTER</v>
      </c>
      <c r="BO19" s="595">
        <f t="shared" si="18"/>
        <v>113</v>
      </c>
      <c r="BP19" s="596">
        <f t="shared" si="19"/>
        <v>84</v>
      </c>
      <c r="BQ19"/>
      <c r="BR19" s="579"/>
      <c r="BS19" s="4"/>
    </row>
    <row r="20" spans="1:71" s="53" customFormat="1" ht="16" customHeight="1" x14ac:dyDescent="0.35">
      <c r="A20" s="53">
        <f>_xlfn.XLOOKUP(B20,'WHOLESALE MINI 2026'!$B$7:$B$63,'WHOLESALE MINI 2026'!$A$7:$A$63)</f>
        <v>3</v>
      </c>
      <c r="B20" s="8">
        <v>100418</v>
      </c>
      <c r="C20" s="369" t="s">
        <v>13</v>
      </c>
      <c r="D20" s="146"/>
      <c r="E20" s="309" t="s">
        <v>83</v>
      </c>
      <c r="F20" s="54">
        <f>VLOOKUP(B20,'[4]% Penetración Mdo ENE26'!$B$7:$G$59,6,0)</f>
        <v>2</v>
      </c>
      <c r="G20" s="86">
        <f>SUMIF('UC MINI 2026'!$B$5:$B$71,'UC MINI 2026 MINI NEXT'!$B20,'UC MINI 2026'!$G$5:$G$71)</f>
        <v>0</v>
      </c>
      <c r="H20" s="243">
        <f t="shared" si="0"/>
        <v>0</v>
      </c>
      <c r="I20" s="54">
        <v>3</v>
      </c>
      <c r="J20" s="86">
        <f>SUMIF('UC MINI 2026'!$B$5:$B$61,'UC MINI 2026 MINI NEXT'!$B20,'UC MINI 2026'!$I$5:$I$61)</f>
        <v>5</v>
      </c>
      <c r="K20" s="243">
        <f t="shared" si="1"/>
        <v>1.6666666666666667</v>
      </c>
      <c r="L20" s="54">
        <v>4</v>
      </c>
      <c r="M20" s="86">
        <f>SUMIF('UC MINI 2026'!$B$5:$B$61,'UC MINI 2026 MINI NEXT'!$B20,'UC MINI 2026'!$K$5:$K$61)</f>
        <v>2</v>
      </c>
      <c r="N20" s="297">
        <f t="shared" si="2"/>
        <v>0.5</v>
      </c>
      <c r="O20" s="54">
        <f>VLOOKUP(B20,'[5]% Penetración Mdo ABR26'!$B$7:$G$59,6,0)-F20-I20-L20</f>
        <v>8</v>
      </c>
      <c r="P20" s="86">
        <f>SUMIF('UC MINI 2026'!$B$5:$B$61,'UC MINI 2026 MINI NEXT'!$B20,'UC MINI 2026'!$M$5:$M$61)</f>
        <v>4</v>
      </c>
      <c r="Q20" s="243">
        <f t="shared" si="3"/>
        <v>0.5</v>
      </c>
      <c r="R20" s="21">
        <f>VLOOKUP(B20,'[6]% Penetración Mdo MAY26'!$B$7:$G$65,6,0)-F20-I20-L20-O20</f>
        <v>5</v>
      </c>
      <c r="S20" s="86">
        <f>SUMIF('UC MINI 2026'!$B$5:$B$61,'UC MINI 2026 MINI NEXT'!$B20,'UC MINI 2026'!$O$5:$O$61)</f>
        <v>2</v>
      </c>
      <c r="T20" s="297">
        <f t="shared" si="4"/>
        <v>0.4</v>
      </c>
      <c r="U20" s="606">
        <f>VLOOKUP(B20,'[7]% Penetración Mdo JUN26'!$B$7:$J$59,6,0)-F20-I20-L20-O20-R20</f>
        <v>6</v>
      </c>
      <c r="V20" s="86">
        <f>SUMIF('UC MINI 2026'!$B$5:$B$61,'UC MINI 2026 MINI NEXT'!$B20,'UC MINI 2026'!$Q$5:$Q$61)</f>
        <v>1</v>
      </c>
      <c r="W20" s="243">
        <f t="shared" si="5"/>
        <v>0.16666666666666666</v>
      </c>
      <c r="X20" s="54"/>
      <c r="Y20" s="86">
        <f>SUMIF('UC MINI 2026'!$B$5:$B$61,'UC MINI 2026 MINI NEXT'!$B20,'UC MINI 2026'!$S$5:$S$61)</f>
        <v>0</v>
      </c>
      <c r="Z20" s="297">
        <f t="shared" si="32"/>
        <v>0</v>
      </c>
      <c r="AA20" s="54"/>
      <c r="AB20" s="86">
        <f>SUMIF('UC MINI 2026'!$B$5:$B$61,'UC MINI 2026 MINI NEXT'!$B20,'UC MINI 2026'!$U$5:$U$61)</f>
        <v>0</v>
      </c>
      <c r="AC20" s="243">
        <f t="shared" si="33"/>
        <v>0</v>
      </c>
      <c r="AD20" s="54"/>
      <c r="AE20" s="86">
        <f>SUMIF('UC MINI 2026'!$B$5:$B$61,'UC MINI 2026 MINI NEXT'!$B20,'UC MINI 2026'!$W$5:$W$61)</f>
        <v>0</v>
      </c>
      <c r="AF20" s="297">
        <f t="shared" si="34"/>
        <v>0</v>
      </c>
      <c r="AG20" s="54"/>
      <c r="AH20" s="86">
        <f>SUMIF('UC MINI 2026'!$B$5:$B$61,'UC MINI 2026 MINI NEXT'!$B20,'UC MINI 2026'!$Y$5:$Y$61)</f>
        <v>0</v>
      </c>
      <c r="AI20" s="243">
        <f t="shared" si="35"/>
        <v>0</v>
      </c>
      <c r="AJ20" s="54"/>
      <c r="AK20" s="86">
        <f>SUMIF('UC MINI 2026'!$B$5:$B$61,'UC MINI 2026 MINI NEXT'!$B20,'UC MINI 2026'!$AA$5:$AA$61)</f>
        <v>0</v>
      </c>
      <c r="AL20" s="297">
        <f t="shared" si="36"/>
        <v>0</v>
      </c>
      <c r="AM20" s="54"/>
      <c r="AN20" s="86">
        <f>SUMIF('UC MINI 2026'!$B$5:$B$61,'UC MINI 2026 MINI NEXT'!$B20,'UC MINI 2026'!$AC$5:$AC$61)</f>
        <v>0</v>
      </c>
      <c r="AO20" s="243">
        <f t="shared" si="6"/>
        <v>0</v>
      </c>
      <c r="AP20" s="54">
        <f t="shared" si="37"/>
        <v>28</v>
      </c>
      <c r="AQ20" s="86">
        <f t="shared" si="37"/>
        <v>14</v>
      </c>
      <c r="AR20" s="149">
        <f t="shared" si="8"/>
        <v>0.5</v>
      </c>
      <c r="AS20" s="54">
        <f t="shared" si="30"/>
        <v>28</v>
      </c>
      <c r="AT20" s="86">
        <f t="shared" si="16"/>
        <v>14</v>
      </c>
      <c r="AU20" s="149">
        <f t="shared" si="25"/>
        <v>0.5</v>
      </c>
      <c r="AV20" s="54">
        <f t="shared" si="27"/>
        <v>9</v>
      </c>
      <c r="AW20" s="86">
        <f t="shared" si="27"/>
        <v>7</v>
      </c>
      <c r="AX20" s="109">
        <f t="shared" si="10"/>
        <v>0.77777777777777779</v>
      </c>
      <c r="AY20" s="86">
        <f>IFERROR(IF($AV$5="Q1",#REF!+#REF!+#REF!,
IF($AV$5="Q2",#REF!+#REF!++#REF!,
IF($AV$5="Q3",#REF!+#REF!+#REF!,
IF($AV$5="Q4",#REF!+#REF!+#REF!,0)))),0)</f>
        <v>0</v>
      </c>
      <c r="AZ20" s="297">
        <f t="shared" si="31"/>
        <v>0</v>
      </c>
      <c r="BA20" s="348">
        <f>IFERROR(IF($AV$5="Q1",#REF!+#REF!+#REF!,
IF($AV$5="Q2",#REF!+#REF!+#REF!,
IF($AV$5="Q3",#REF!+#REF!+#REF!,
IF($AV$5="Q4",#REF!+#REF!+#REF!,0)))),0)</f>
        <v>0</v>
      </c>
      <c r="BB20" s="150">
        <f t="shared" si="11"/>
        <v>0</v>
      </c>
      <c r="BC20" s="54">
        <f t="shared" si="38"/>
        <v>28</v>
      </c>
      <c r="BD20" s="86">
        <f t="shared" si="38"/>
        <v>14</v>
      </c>
      <c r="BE20" s="150">
        <f t="shared" si="13"/>
        <v>0.5</v>
      </c>
      <c r="BF20" s="54">
        <f t="shared" si="39"/>
        <v>0</v>
      </c>
      <c r="BG20" s="79">
        <f t="shared" si="39"/>
        <v>0</v>
      </c>
      <c r="BH20" s="150">
        <f t="shared" si="15"/>
        <v>0</v>
      </c>
      <c r="BI20" s="53">
        <v>1</v>
      </c>
      <c r="BL20" s="597">
        <v>11</v>
      </c>
      <c r="BM20" s="593"/>
      <c r="BN20" s="594"/>
      <c r="BO20" s="595"/>
      <c r="BP20" s="596"/>
      <c r="BQ20"/>
      <c r="BR20" s="579"/>
      <c r="BS20" s="4"/>
    </row>
    <row r="21" spans="1:71" s="53" customFormat="1" ht="16" customHeight="1" x14ac:dyDescent="0.35">
      <c r="A21" s="53">
        <f>_xlfn.XLOOKUP(B21,'WHOLESALE MINI 2026'!$B$7:$B$63,'WHOLESALE MINI 2026'!$A$7:$A$63)</f>
        <v>3</v>
      </c>
      <c r="B21" s="8">
        <v>100730</v>
      </c>
      <c r="C21" s="369" t="s">
        <v>41</v>
      </c>
      <c r="D21" s="146"/>
      <c r="E21" s="309" t="s">
        <v>78</v>
      </c>
      <c r="F21" s="54">
        <f>VLOOKUP(B21,'[4]% Penetración Mdo ENE26'!$B$7:$G$59,6,0)</f>
        <v>4</v>
      </c>
      <c r="G21" s="86">
        <f>SUMIF('UC MINI 2026'!$B$5:$B$71,'UC MINI 2026 MINI NEXT'!$B21,'UC MINI 2026'!$G$5:$G$71)</f>
        <v>2</v>
      </c>
      <c r="H21" s="243">
        <f t="shared" si="0"/>
        <v>0.5</v>
      </c>
      <c r="I21" s="54">
        <v>8</v>
      </c>
      <c r="J21" s="86">
        <f>SUMIF('UC MINI 2026'!$B$5:$B$61,'UC MINI 2026 MINI NEXT'!$B21,'UC MINI 2026'!$I$5:$I$61)</f>
        <v>0</v>
      </c>
      <c r="K21" s="243">
        <f t="shared" si="1"/>
        <v>0</v>
      </c>
      <c r="L21" s="54">
        <v>11</v>
      </c>
      <c r="M21" s="86">
        <f>SUMIF('UC MINI 2026'!$B$5:$B$61,'UC MINI 2026 MINI NEXT'!$B21,'UC MINI 2026'!$K$5:$K$61)</f>
        <v>5</v>
      </c>
      <c r="N21" s="297">
        <f t="shared" si="2"/>
        <v>0.45454545454545453</v>
      </c>
      <c r="O21" s="54">
        <f>VLOOKUP(B21,'[5]% Penetración Mdo ABR26'!$B$7:$G$59,6,0)-F21-I21-L21</f>
        <v>8</v>
      </c>
      <c r="P21" s="86">
        <f>SUMIF('UC MINI 2026'!$B$5:$B$61,'UC MINI 2026 MINI NEXT'!$B21,'UC MINI 2026'!$M$5:$M$61)</f>
        <v>3</v>
      </c>
      <c r="Q21" s="243">
        <f t="shared" si="3"/>
        <v>0.375</v>
      </c>
      <c r="R21" s="21">
        <f>VLOOKUP(B21,'[6]% Penetración Mdo MAY26'!$B$7:$G$65,6,0)-F21-I21-L21-O21</f>
        <v>8</v>
      </c>
      <c r="S21" s="86">
        <f>SUMIF('UC MINI 2026'!$B$5:$B$61,'UC MINI 2026 MINI NEXT'!$B21,'UC MINI 2026'!$O$5:$O$61)</f>
        <v>3</v>
      </c>
      <c r="T21" s="297">
        <f t="shared" si="4"/>
        <v>0.375</v>
      </c>
      <c r="U21" s="606">
        <f>VLOOKUP(B21,'[7]% Penetración Mdo JUN26'!$B$7:$J$59,6,0)-F21-I21-L21-O21-R21</f>
        <v>8</v>
      </c>
      <c r="V21" s="86">
        <f>SUMIF('UC MINI 2026'!$B$5:$B$61,'UC MINI 2026 MINI NEXT'!$B21,'UC MINI 2026'!$Q$5:$Q$61)</f>
        <v>6</v>
      </c>
      <c r="W21" s="243">
        <f t="shared" si="5"/>
        <v>0.75</v>
      </c>
      <c r="X21" s="54"/>
      <c r="Y21" s="86">
        <f>SUMIF('UC MINI 2026'!$B$5:$B$61,'UC MINI 2026 MINI NEXT'!$B21,'UC MINI 2026'!$S$5:$S$61)</f>
        <v>0</v>
      </c>
      <c r="Z21" s="297">
        <f t="shared" si="32"/>
        <v>0</v>
      </c>
      <c r="AA21" s="54"/>
      <c r="AB21" s="86">
        <f>SUMIF('UC MINI 2026'!$B$5:$B$61,'UC MINI 2026 MINI NEXT'!$B21,'UC MINI 2026'!$U$5:$U$61)</f>
        <v>0</v>
      </c>
      <c r="AC21" s="243">
        <f t="shared" si="33"/>
        <v>0</v>
      </c>
      <c r="AD21" s="54"/>
      <c r="AE21" s="86">
        <f>SUMIF('UC MINI 2026'!$B$5:$B$61,'UC MINI 2026 MINI NEXT'!$B21,'UC MINI 2026'!$W$5:$W$61)</f>
        <v>0</v>
      </c>
      <c r="AF21" s="297">
        <f t="shared" si="34"/>
        <v>0</v>
      </c>
      <c r="AG21" s="54"/>
      <c r="AH21" s="86">
        <f>SUMIF('UC MINI 2026'!$B$5:$B$61,'UC MINI 2026 MINI NEXT'!$B21,'UC MINI 2026'!$Y$5:$Y$61)</f>
        <v>0</v>
      </c>
      <c r="AI21" s="243">
        <f t="shared" si="35"/>
        <v>0</v>
      </c>
      <c r="AJ21" s="54"/>
      <c r="AK21" s="86">
        <f>SUMIF('UC MINI 2026'!$B$5:$B$61,'UC MINI 2026 MINI NEXT'!$B21,'UC MINI 2026'!$AA$5:$AA$61)</f>
        <v>0</v>
      </c>
      <c r="AL21" s="297">
        <f t="shared" si="36"/>
        <v>0</v>
      </c>
      <c r="AM21" s="54"/>
      <c r="AN21" s="86">
        <f>SUMIF('UC MINI 2026'!$B$5:$B$61,'UC MINI 2026 MINI NEXT'!$B21,'UC MINI 2026'!$AC$5:$AC$61)</f>
        <v>0</v>
      </c>
      <c r="AO21" s="243">
        <f t="shared" si="6"/>
        <v>0</v>
      </c>
      <c r="AP21" s="54">
        <f t="shared" si="37"/>
        <v>47</v>
      </c>
      <c r="AQ21" s="86">
        <f t="shared" si="37"/>
        <v>19</v>
      </c>
      <c r="AR21" s="149">
        <f t="shared" si="8"/>
        <v>0.40425531914893614</v>
      </c>
      <c r="AS21" s="54">
        <f t="shared" si="30"/>
        <v>47</v>
      </c>
      <c r="AT21" s="86">
        <f t="shared" si="16"/>
        <v>19</v>
      </c>
      <c r="AU21" s="149">
        <f t="shared" si="25"/>
        <v>0.40425531914893614</v>
      </c>
      <c r="AV21" s="54">
        <f t="shared" si="27"/>
        <v>23</v>
      </c>
      <c r="AW21" s="86">
        <f t="shared" si="27"/>
        <v>7</v>
      </c>
      <c r="AX21" s="109">
        <f t="shared" si="10"/>
        <v>0.30434782608695654</v>
      </c>
      <c r="AY21" s="86">
        <f>IFERROR(IF($AV$5="Q1",#REF!+#REF!+#REF!,
IF($AV$5="Q2",#REF!+#REF!++#REF!,
IF($AV$5="Q3",#REF!+#REF!+#REF!,
IF($AV$5="Q4",#REF!+#REF!+#REF!,0)))),0)</f>
        <v>0</v>
      </c>
      <c r="AZ21" s="297">
        <f t="shared" si="31"/>
        <v>0</v>
      </c>
      <c r="BA21" s="348">
        <f>IFERROR(IF($AV$5="Q1",#REF!+#REF!+#REF!,
IF($AV$5="Q2",#REF!+#REF!+#REF!,
IF($AV$5="Q3",#REF!+#REF!+#REF!,
IF($AV$5="Q4",#REF!+#REF!+#REF!,0)))),0)</f>
        <v>0</v>
      </c>
      <c r="BB21" s="150">
        <f t="shared" si="11"/>
        <v>0</v>
      </c>
      <c r="BC21" s="54">
        <f t="shared" si="38"/>
        <v>47</v>
      </c>
      <c r="BD21" s="86">
        <f t="shared" si="38"/>
        <v>19</v>
      </c>
      <c r="BE21" s="150">
        <f t="shared" si="13"/>
        <v>0.40425531914893614</v>
      </c>
      <c r="BF21" s="54">
        <f t="shared" si="39"/>
        <v>0</v>
      </c>
      <c r="BG21" s="79">
        <f t="shared" si="39"/>
        <v>0</v>
      </c>
      <c r="BH21" s="150">
        <f t="shared" si="15"/>
        <v>0</v>
      </c>
      <c r="BI21" s="53">
        <v>1</v>
      </c>
      <c r="BL21" s="597">
        <v>12</v>
      </c>
      <c r="BM21" s="593"/>
      <c r="BN21" s="594"/>
      <c r="BO21" s="595"/>
      <c r="BP21" s="596"/>
      <c r="BQ21"/>
      <c r="BR21" s="579"/>
      <c r="BS21" s="4"/>
    </row>
    <row r="22" spans="1:71" s="53" customFormat="1" ht="16" customHeight="1" thickBot="1" x14ac:dyDescent="0.4">
      <c r="A22" s="53">
        <f>_xlfn.XLOOKUP(B22,'WHOLESALE MINI 2026'!$B$7:$B$63,'WHOLESALE MINI 2026'!$A$7:$A$63)</f>
        <v>3</v>
      </c>
      <c r="B22" s="8">
        <v>100764</v>
      </c>
      <c r="C22" s="369" t="s">
        <v>26</v>
      </c>
      <c r="D22" s="146"/>
      <c r="E22" s="309" t="s">
        <v>277</v>
      </c>
      <c r="F22" s="54">
        <f>VLOOKUP(B22,'[4]% Penetración Mdo ENE26'!$B$7:$G$59,6,0)</f>
        <v>4</v>
      </c>
      <c r="G22" s="86">
        <f>SUMIF('UC MINI 2026'!$B$5:$B$71,'UC MINI 2026 MINI NEXT'!$B22,'UC MINI 2026'!$G$5:$G$71)</f>
        <v>1</v>
      </c>
      <c r="H22" s="433">
        <f t="shared" si="0"/>
        <v>0.25</v>
      </c>
      <c r="I22" s="54">
        <v>7</v>
      </c>
      <c r="J22" s="86">
        <f>SUMIF('UC MINI 2026'!$B$5:$B$61,'UC MINI 2026 MINI NEXT'!$B22,'UC MINI 2026'!$I$5:$I$61)</f>
        <v>1</v>
      </c>
      <c r="K22" s="433">
        <f t="shared" si="1"/>
        <v>0.14285714285714285</v>
      </c>
      <c r="L22" s="54">
        <v>2</v>
      </c>
      <c r="M22" s="86">
        <f>SUMIF('UC MINI 2026'!$B$5:$B$61,'UC MINI 2026 MINI NEXT'!$B22,'UC MINI 2026'!$K$5:$K$61)</f>
        <v>4</v>
      </c>
      <c r="N22" s="298">
        <f t="shared" si="2"/>
        <v>2</v>
      </c>
      <c r="O22" s="54">
        <f>VLOOKUP(B22,'[5]% Penetración Mdo ABR26'!$B$7:$G$59,6,0)-F22-I22-L22</f>
        <v>8</v>
      </c>
      <c r="P22" s="86">
        <f>SUMIF('UC MINI 2026'!$B$5:$B$61,'UC MINI 2026 MINI NEXT'!$B22,'UC MINI 2026'!$M$5:$M$61)</f>
        <v>1</v>
      </c>
      <c r="Q22" s="433">
        <f t="shared" si="3"/>
        <v>0.125</v>
      </c>
      <c r="R22" s="21">
        <f>VLOOKUP(B22,'[6]% Penetración Mdo MAY26'!$B$7:$G$65,6,0)-F22-I22-L22-O22</f>
        <v>3</v>
      </c>
      <c r="S22" s="86">
        <f>SUMIF('UC MINI 2026'!$B$5:$B$61,'UC MINI 2026 MINI NEXT'!$B22,'UC MINI 2026'!$O$5:$O$61)</f>
        <v>1</v>
      </c>
      <c r="T22" s="298">
        <f t="shared" si="4"/>
        <v>0.33333333333333331</v>
      </c>
      <c r="U22" s="606">
        <f>VLOOKUP(B22,'[7]% Penetración Mdo JUN26'!$B$7:$J$59,6,0)-F22-I22-L22-O22-R22</f>
        <v>5</v>
      </c>
      <c r="V22" s="86">
        <f>SUMIF('UC MINI 2026'!$B$5:$B$61,'UC MINI 2026 MINI NEXT'!$B22,'UC MINI 2026'!$Q$5:$Q$61)</f>
        <v>1</v>
      </c>
      <c r="W22" s="433">
        <f t="shared" si="5"/>
        <v>0.2</v>
      </c>
      <c r="X22" s="54"/>
      <c r="Y22" s="86">
        <f>SUMIF('UC MINI 2026'!$B$5:$B$61,'UC MINI 2026 MINI NEXT'!$B22,'UC MINI 2026'!$S$5:$S$61)</f>
        <v>0</v>
      </c>
      <c r="Z22" s="297">
        <f t="shared" si="32"/>
        <v>0</v>
      </c>
      <c r="AA22" s="54"/>
      <c r="AB22" s="86">
        <f>SUMIF('UC MINI 2026'!$B$5:$B$61,'UC MINI 2026 MINI NEXT'!$B22,'UC MINI 2026'!$U$5:$U$61)</f>
        <v>0</v>
      </c>
      <c r="AC22" s="243">
        <f t="shared" si="33"/>
        <v>0</v>
      </c>
      <c r="AD22" s="54"/>
      <c r="AE22" s="86">
        <f>SUMIF('UC MINI 2026'!$B$5:$B$61,'UC MINI 2026 MINI NEXT'!$B22,'UC MINI 2026'!$W$5:$W$61)</f>
        <v>0</v>
      </c>
      <c r="AF22" s="297">
        <f t="shared" si="34"/>
        <v>0</v>
      </c>
      <c r="AG22" s="54"/>
      <c r="AH22" s="86">
        <f>SUMIF('UC MINI 2026'!$B$5:$B$61,'UC MINI 2026 MINI NEXT'!$B22,'UC MINI 2026'!$Y$5:$Y$61)</f>
        <v>0</v>
      </c>
      <c r="AI22" s="243">
        <f t="shared" si="35"/>
        <v>0</v>
      </c>
      <c r="AJ22" s="54"/>
      <c r="AK22" s="86">
        <f>SUMIF('UC MINI 2026'!$B$5:$B$61,'UC MINI 2026 MINI NEXT'!$B22,'UC MINI 2026'!$AA$5:$AA$61)</f>
        <v>0</v>
      </c>
      <c r="AL22" s="297">
        <f t="shared" si="36"/>
        <v>0</v>
      </c>
      <c r="AM22" s="54"/>
      <c r="AN22" s="86">
        <f>SUMIF('UC MINI 2026'!$B$5:$B$61,'UC MINI 2026 MINI NEXT'!$B22,'UC MINI 2026'!$AC$5:$AC$61)</f>
        <v>0</v>
      </c>
      <c r="AO22" s="433">
        <f t="shared" si="6"/>
        <v>0</v>
      </c>
      <c r="AP22" s="67">
        <f t="shared" si="37"/>
        <v>29</v>
      </c>
      <c r="AQ22" s="68">
        <f t="shared" si="37"/>
        <v>9</v>
      </c>
      <c r="AR22" s="152">
        <f t="shared" si="8"/>
        <v>0.31034482758620691</v>
      </c>
      <c r="AS22" s="67">
        <f>IFERROR(F22+I22+L22+O22+R22+U22++X22+AA22+AD22+AG22+AJ22+AM22,0)</f>
        <v>29</v>
      </c>
      <c r="AT22" s="86">
        <f t="shared" si="16"/>
        <v>9</v>
      </c>
      <c r="AU22" s="152">
        <f>IFERROR((AT22/AS22),0)</f>
        <v>0.31034482758620691</v>
      </c>
      <c r="AV22" s="58">
        <f>IF($AV$5="Q1",F22+I22+L22,
IF($AV$5="Q2",O22+R22++U22,
IF($AV$5="Q3",X22+AA22+AD22,
IF($AV$5="Q4",AG22+AJ22+AM22,0))))</f>
        <v>13</v>
      </c>
      <c r="AW22" s="59">
        <f>IF($AV$5="Q1",G22+J22+M22,
IF($AV$5="Q2",P22+S22++V22,
IF($AV$5="Q3",Y22+AB22+AE22,
IF($AV$5="Q4",AH22+AK22+AN22,0))))</f>
        <v>6</v>
      </c>
      <c r="AX22" s="112">
        <f t="shared" si="10"/>
        <v>0.46153846153846156</v>
      </c>
      <c r="AY22" s="68">
        <f>IFERROR(IF($AV$5="Q1",#REF!+#REF!+#REF!,
IF($AV$5="Q2",#REF!+#REF!++#REF!,
IF($AV$5="Q3",#REF!+#REF!+#REF!,
IF($AV$5="Q4",#REF!+#REF!+#REF!,0)))),0)</f>
        <v>0</v>
      </c>
      <c r="AZ22" s="297">
        <f>IF(AW22=0,"N.D.",AY22/AW22)</f>
        <v>0</v>
      </c>
      <c r="BA22" s="350">
        <f>IFERROR(IF($AV$5="Q1",#REF!+#REF!+#REF!,
IF($AV$5="Q2",#REF!+#REF!+#REF!,
IF($AV$5="Q3",#REF!+#REF!+#REF!,
IF($AV$5="Q4",#REF!+#REF!+#REF!,0)))),0)</f>
        <v>0</v>
      </c>
      <c r="BB22" s="153">
        <f t="shared" si="11"/>
        <v>0</v>
      </c>
      <c r="BC22" s="67">
        <f t="shared" si="38"/>
        <v>29</v>
      </c>
      <c r="BD22" s="68">
        <f t="shared" si="38"/>
        <v>9</v>
      </c>
      <c r="BE22" s="153">
        <f t="shared" si="13"/>
        <v>0.31034482758620691</v>
      </c>
      <c r="BF22" s="67">
        <f t="shared" si="39"/>
        <v>0</v>
      </c>
      <c r="BG22" s="266">
        <f t="shared" si="39"/>
        <v>0</v>
      </c>
      <c r="BH22" s="153">
        <f t="shared" si="15"/>
        <v>0</v>
      </c>
      <c r="BI22" s="53">
        <v>1</v>
      </c>
      <c r="BL22" s="597">
        <v>13</v>
      </c>
      <c r="BM22" s="593"/>
      <c r="BN22" s="594"/>
      <c r="BO22" s="595"/>
      <c r="BP22" s="596"/>
      <c r="BQ22"/>
      <c r="BR22" s="579"/>
      <c r="BS22" s="4"/>
    </row>
    <row r="23" spans="1:71" s="53" customFormat="1" ht="16" customHeight="1" thickBot="1" x14ac:dyDescent="0.4">
      <c r="A23" s="53">
        <f>_xlfn.XLOOKUP(B23,'WHOLESALE MINI 2026'!$B$7:$B$63,'WHOLESALE MINI 2026'!$A$7:$A$63)</f>
        <v>0</v>
      </c>
      <c r="B23" s="61" t="s">
        <v>273</v>
      </c>
      <c r="C23" s="62"/>
      <c r="D23" s="154"/>
      <c r="E23" s="80"/>
      <c r="F23" s="155">
        <f>SUM(F18:F22)</f>
        <v>16</v>
      </c>
      <c r="G23" s="155">
        <f>SUM(G18:G22)</f>
        <v>5</v>
      </c>
      <c r="H23" s="301">
        <f t="shared" si="0"/>
        <v>0.3125</v>
      </c>
      <c r="I23" s="155">
        <f>SUM(I18:I22)</f>
        <v>22</v>
      </c>
      <c r="J23" s="155">
        <f>SUM(J18:J22)</f>
        <v>9</v>
      </c>
      <c r="K23" s="301">
        <f t="shared" si="1"/>
        <v>0.40909090909090912</v>
      </c>
      <c r="L23" s="155">
        <f>SUM(L18:L22)</f>
        <v>22</v>
      </c>
      <c r="M23" s="155">
        <f>SUM(M18:M22)</f>
        <v>12</v>
      </c>
      <c r="N23" s="301">
        <f t="shared" si="2"/>
        <v>0.54545454545454541</v>
      </c>
      <c r="O23" s="155">
        <f>SUM(O18:O22)</f>
        <v>35</v>
      </c>
      <c r="P23" s="155">
        <f>SUM(P18:P22)</f>
        <v>12</v>
      </c>
      <c r="Q23" s="301">
        <f t="shared" si="3"/>
        <v>0.34285714285714286</v>
      </c>
      <c r="R23" s="155">
        <f>SUM(R18:R22)</f>
        <v>19</v>
      </c>
      <c r="S23" s="155">
        <f>SUM(S18:S22)</f>
        <v>8</v>
      </c>
      <c r="T23" s="301">
        <f t="shared" si="4"/>
        <v>0.42105263157894735</v>
      </c>
      <c r="U23" s="155">
        <f>SUM(U18:U22)</f>
        <v>29</v>
      </c>
      <c r="V23" s="155">
        <f>SUM(V18:V22)</f>
        <v>9</v>
      </c>
      <c r="W23" s="301">
        <f t="shared" si="5"/>
        <v>0.31034482758620691</v>
      </c>
      <c r="X23" s="155">
        <f>SUM(X18:X22)</f>
        <v>0</v>
      </c>
      <c r="Y23" s="155">
        <f>SUM(Y18:Y22)</f>
        <v>0</v>
      </c>
      <c r="Z23" s="301">
        <f t="shared" ref="Z23:Z29" si="40">IFERROR(Y23/X23,0)</f>
        <v>0</v>
      </c>
      <c r="AA23" s="155">
        <f>SUM(AA18:AA22)</f>
        <v>0</v>
      </c>
      <c r="AB23" s="155">
        <f>SUM(AB18:AB22)</f>
        <v>0</v>
      </c>
      <c r="AC23" s="301">
        <f t="shared" ref="AC23:AC29" si="41">IFERROR(AB23/AA23,0)</f>
        <v>0</v>
      </c>
      <c r="AD23" s="155">
        <f>SUM(AD18:AD22)</f>
        <v>0</v>
      </c>
      <c r="AE23" s="155">
        <f>SUM(AE18:AE22)</f>
        <v>0</v>
      </c>
      <c r="AF23" s="301">
        <f t="shared" ref="AF23:AF29" si="42">IFERROR(AE23/AD23,0)</f>
        <v>0</v>
      </c>
      <c r="AG23" s="155">
        <f>SUM(AG18:AG22)</f>
        <v>0</v>
      </c>
      <c r="AH23" s="155">
        <f>SUM(AH18:AH22)</f>
        <v>0</v>
      </c>
      <c r="AI23" s="301">
        <f t="shared" ref="AI23:AI29" si="43">IFERROR(AH23/AG23,0)</f>
        <v>0</v>
      </c>
      <c r="AJ23" s="155">
        <f>SUM(AJ18:AJ22)</f>
        <v>0</v>
      </c>
      <c r="AK23" s="155">
        <f>SUM(AK18:AK22)</f>
        <v>0</v>
      </c>
      <c r="AL23" s="301">
        <f t="shared" ref="AL23:AL29" si="44">IFERROR(AK23/AJ23,0)</f>
        <v>0</v>
      </c>
      <c r="AM23" s="155">
        <f>SUM(AM18:AM22)</f>
        <v>0</v>
      </c>
      <c r="AN23" s="155">
        <f>SUM(AN18:AN22)</f>
        <v>0</v>
      </c>
      <c r="AO23" s="301">
        <f t="shared" si="6"/>
        <v>0</v>
      </c>
      <c r="AP23" s="63">
        <f>SUM(AP18:AP22)</f>
        <v>143</v>
      </c>
      <c r="AQ23" s="63">
        <f>SUM(AQ18:AQ22)</f>
        <v>55</v>
      </c>
      <c r="AR23" s="320">
        <f t="shared" si="8"/>
        <v>0.38461538461538464</v>
      </c>
      <c r="AS23" s="63">
        <f>SUM(AS18:AS22)</f>
        <v>143</v>
      </c>
      <c r="AT23" s="63">
        <f>SUM(AT18:AT22)</f>
        <v>55</v>
      </c>
      <c r="AU23" s="320">
        <f t="shared" si="25"/>
        <v>0.38461538461538464</v>
      </c>
      <c r="AV23" s="63">
        <f>SUM(AV12:AV21)</f>
        <v>1249</v>
      </c>
      <c r="AW23" s="65">
        <f>SUM(AW12:AW21)</f>
        <v>471</v>
      </c>
      <c r="AX23" s="157">
        <f t="shared" si="10"/>
        <v>0.37710168134507605</v>
      </c>
      <c r="AY23" s="65">
        <f>SUM(AY12:AY21)</f>
        <v>0</v>
      </c>
      <c r="AZ23" s="321">
        <f>IFERROR(AY23/AW23,0)</f>
        <v>0</v>
      </c>
      <c r="BA23" s="349" t="e">
        <f>IF($AV$5="Q1",#REF!+#REF!+#REF!,
IF($AV$5="Q2",#REF!+#REF!+#REF!,
IF($AV$5="Q3",#REF!+#REF!+#REF!,
IF($AV$5="Q4",#REF!+#REF!+#REF!,0))))</f>
        <v>#REF!</v>
      </c>
      <c r="BB23" s="333">
        <f t="shared" si="11"/>
        <v>0</v>
      </c>
      <c r="BC23" s="63">
        <f>IF($BC$5="S 1",F23+I23+L23+O23+R23+U23,
IF($BC$5="S 2",X23+AA23+AD23+AG23+AJ23+AM23,0))</f>
        <v>143</v>
      </c>
      <c r="BD23" s="65">
        <f>IF($BC$5="S 1",G23+J23+M23+P23+S23+V23,
IF($BC$5="S 2",Y23+AB23+AE23+AH23+AK23+AN23,0))</f>
        <v>55</v>
      </c>
      <c r="BE23" s="333">
        <f t="shared" si="13"/>
        <v>0.38461538461538464</v>
      </c>
      <c r="BF23" s="63">
        <f>SUM(BF18:BF22)</f>
        <v>0</v>
      </c>
      <c r="BG23" s="63">
        <f>SUM(BG18:BG22)</f>
        <v>0</v>
      </c>
      <c r="BH23" s="333">
        <f t="shared" si="15"/>
        <v>0</v>
      </c>
      <c r="BI23" s="53">
        <v>0</v>
      </c>
      <c r="BL23" s="597">
        <v>14</v>
      </c>
      <c r="BM23" s="593"/>
      <c r="BN23" s="594"/>
      <c r="BO23" s="595"/>
      <c r="BP23" s="596"/>
      <c r="BQ23"/>
      <c r="BR23" s="579"/>
      <c r="BS23" s="4"/>
    </row>
    <row r="24" spans="1:71" s="53" customFormat="1" ht="16" customHeight="1" x14ac:dyDescent="0.35">
      <c r="A24" s="53">
        <f>_xlfn.XLOOKUP(B24,'WHOLESALE MINI 2026'!$B$7:$B$63,'WHOLESALE MINI 2026'!$A$7:$A$63)</f>
        <v>4</v>
      </c>
      <c r="B24" s="8">
        <v>100120</v>
      </c>
      <c r="C24" s="369" t="s">
        <v>44</v>
      </c>
      <c r="D24" s="146"/>
      <c r="E24" s="379" t="s">
        <v>80</v>
      </c>
      <c r="F24" s="253"/>
      <c r="G24" s="86">
        <f>SUMIF('UC MINI 2026'!$B$5:$B$71,'UC MINI 2026 MINI NEXT'!$B24,'UC MINI 2026'!$G$5:$G$71)</f>
        <v>0</v>
      </c>
      <c r="H24" s="243">
        <f t="shared" ref="H24:H29" si="45">IFERROR(G24/F24,0)</f>
        <v>0</v>
      </c>
      <c r="I24" s="253"/>
      <c r="J24" s="86">
        <f>SUMIF('UC MINI 2026'!$B$5:$B$61,'UC MINI 2026 MINI NEXT'!$B24,'UC MINI 2026'!$I$5:$I$61)</f>
        <v>0</v>
      </c>
      <c r="K24" s="243">
        <f t="shared" ref="K24:K29" si="46">IFERROR(J24/I24,0)</f>
        <v>0</v>
      </c>
      <c r="L24" s="253"/>
      <c r="M24" s="86">
        <f>SUMIF('UC MINI 2026'!$B$5:$B$61,'UC MINI 2026 MINI NEXT'!$B24,'UC MINI 2026'!$K$5:$K$61)</f>
        <v>0</v>
      </c>
      <c r="N24" s="297">
        <f t="shared" ref="N24:N29" si="47">IFERROR(M24/L24,0)</f>
        <v>0</v>
      </c>
      <c r="O24" s="253"/>
      <c r="P24" s="86">
        <f>SUMIF('UC MINI 2026'!$B$5:$B$61,'UC MINI 2026 MINI NEXT'!$B24,'UC MINI 2026'!$M$5:$M$61)</f>
        <v>1</v>
      </c>
      <c r="Q24" s="243">
        <f t="shared" ref="Q24:Q29" si="48">IFERROR(P24/O24,0)</f>
        <v>0</v>
      </c>
      <c r="R24" s="183"/>
      <c r="S24" s="86">
        <f>SUMIF('UC MINI 2026'!$B$5:$B$61,'UC MINI 2026 MINI NEXT'!$B24,'UC MINI 2026'!$O$5:$O$61)</f>
        <v>0</v>
      </c>
      <c r="T24" s="297">
        <f t="shared" ref="T24:T29" si="49">IFERROR(S24/R24,0)</f>
        <v>0</v>
      </c>
      <c r="U24" s="606">
        <f>VLOOKUP(B24,'[7]% Penetración Mdo JUN26'!$B$7:$J$59,6,0)-F24-I24-L24-O24-R24</f>
        <v>11</v>
      </c>
      <c r="V24" s="86">
        <f>SUMIF('UC MINI 2026'!$B$5:$B$61,'UC MINI 2026 MINI NEXT'!$B24,'UC MINI 2026'!$Q$5:$Q$61)</f>
        <v>0</v>
      </c>
      <c r="W24" s="243">
        <f t="shared" ref="W24:W29" si="50">IFERROR(V24/U24,0)</f>
        <v>0</v>
      </c>
      <c r="X24" s="253"/>
      <c r="Y24" s="86">
        <f>SUMIF('UC MINI 2026'!$B$5:$B$61,'UC MINI 2026 MINI NEXT'!$B24,'UC MINI 2026'!$S$5:$S$61)</f>
        <v>0</v>
      </c>
      <c r="Z24" s="297">
        <f t="shared" si="40"/>
        <v>0</v>
      </c>
      <c r="AA24" s="54"/>
      <c r="AB24" s="86">
        <f>SUMIF('UC MINI 2026'!$B$5:$B$61,'UC MINI 2026 MINI NEXT'!$B24,'UC MINI 2026'!$U$5:$U$61)</f>
        <v>0</v>
      </c>
      <c r="AC24" s="243">
        <f t="shared" si="41"/>
        <v>0</v>
      </c>
      <c r="AD24" s="54"/>
      <c r="AE24" s="86">
        <f>SUMIF('UC MINI 2026'!$B$5:$B$61,'UC MINI 2026 MINI NEXT'!$B24,'UC MINI 2026'!$W$5:$W$61)</f>
        <v>0</v>
      </c>
      <c r="AF24" s="297">
        <f t="shared" si="42"/>
        <v>0</v>
      </c>
      <c r="AG24" s="54"/>
      <c r="AH24" s="86">
        <f>SUMIF('UC MINI 2026'!$B$5:$B$61,'UC MINI 2026 MINI NEXT'!$B24,'UC MINI 2026'!$Y$5:$Y$61)</f>
        <v>0</v>
      </c>
      <c r="AI24" s="243">
        <f t="shared" si="43"/>
        <v>0</v>
      </c>
      <c r="AJ24" s="54"/>
      <c r="AK24" s="86">
        <f>SUMIF('UC MINI 2026'!$B$5:$B$61,'UC MINI 2026 MINI NEXT'!$B24,'UC MINI 2026'!$AA$5:$AA$61)</f>
        <v>0</v>
      </c>
      <c r="AL24" s="297">
        <f t="shared" si="44"/>
        <v>0</v>
      </c>
      <c r="AM24" s="54"/>
      <c r="AN24" s="86">
        <f>SUMIF('UC MINI 2026'!$B$5:$B$61,'UC MINI 2026 MINI NEXT'!$B24,'UC MINI 2026'!$AC$5:$AC$61)</f>
        <v>0</v>
      </c>
      <c r="AO24" s="243">
        <f t="shared" ref="AO24:AO29" si="51">IFERROR(AN24/AM24,0)</f>
        <v>0</v>
      </c>
      <c r="AP24" s="67">
        <f>IFERROR(IF($AP$4="ENERO",F24,IF($AP$4="FEBRERO",F24+I24,IF($AP$4="MARZO",F24+I24+L24,IF($AP$4="ABRIL",F24+I24+L24+O24,IF($AP$4="MAYO",F24+I24+L24+O24+R24,IF($AP$4="JUNIO",F24+I24+L24+O24+R24+U24,IF($AP$4="JULIO",F24+I24+L24+O24+R24+U24+X24,IF($AP$4="AGOSTO",F24+I24+L24+O24+R24+U24+X24+AA24,IF($AP$4="SEPTIEMBRE",F24+I24+L24+O24+R24+U24+X24+AA24+AD24,IF($AP$4="OCTUBRE",F24+I24+L24+O24+R24+U24+X24+AA24+AD24+AG24,IF($AP$4="NOVIEMBRE",F24+I24+L24+O24+R24+U24+X24+AA24+AD24+AG24+AJ24,IF($AP$4="DICIEMBRE",F24+I24+L24+O24+R24+U24+X24+AA24+AD24+AG24+AJ24+AM24,"")))))))))))),0)</f>
        <v>11</v>
      </c>
      <c r="AQ24" s="68">
        <f>IFERROR(IF($AP$4="ENERO",G24,IF($AP$4="FEBRERO",G24+J24,IF($AP$4="MARZO",G24+J24+M24,IF($AP$4="ABRIL",G24+J24+M24+P24,IF($AP$4="MAYO",G24+J24+M24+P24+S24,IF($AP$4="JUNIO",G24+J24+M24+P24+S24+V24,IF($AP$4="JULIO",G24+J24+M24+P24+S24+V24+Y24,IF($AP$4="AGOSTO",G24+J24+M24+P24+S24+V24+Y24+AB24,IF($AP$4="SEPTIEMBRE",G24+J24+M24+P24+S24+V24+Y24+AB24+AE24,IF($AP$4="OCTUBRE",G24+J24+M24+P24+S24+V24+Y24+AB24+AE24+AH24,IF($AP$4="NOVIEMBRE",G24+J24+M24+P24+S24+V24+Y24+AB24+AE24+AH24+AK24,IF($AP$4="DICIEMBRE",G24+J24+M24+P24+S24+V24+Y24+AB24+AE24+AH24+AK24+AN24,"")))))))))))),0)</f>
        <v>1</v>
      </c>
      <c r="AR24" s="149">
        <f t="shared" ref="AR24:AR29" si="52">IFERROR((AQ24/AP24),0)</f>
        <v>9.0909090909090912E-2</v>
      </c>
      <c r="AS24" s="67">
        <f t="shared" ref="AS24:AS29" si="53">IFERROR(F24+I24+L24+O24+R24+U24++X24+AA24+AD24+AG24+AJ24+AM24,0)</f>
        <v>11</v>
      </c>
      <c r="AT24" s="86">
        <f>IFERROR(G24+J24+M24+P24+S24+V24++Y24+AB24+AE24+AH24+AK24+AN24,0)</f>
        <v>1</v>
      </c>
      <c r="AU24" s="149">
        <f t="shared" ref="AU24:AU29" si="54">IFERROR((AT24/AS24),0)</f>
        <v>9.0909090909090912E-2</v>
      </c>
      <c r="AV24" s="190"/>
      <c r="AW24" s="191"/>
      <c r="AX24" s="543"/>
      <c r="AY24" s="191"/>
      <c r="AZ24" s="544"/>
      <c r="BA24" s="545"/>
      <c r="BB24" s="542"/>
      <c r="BC24" s="67">
        <f>IFERROR(IF($BC$5="S 1",F24+I24+L24+O24+R24+U24,
IF($BC$5="S 2",X24+AA24+AD24+AG24+AJ24+AM24,0)),0)</f>
        <v>11</v>
      </c>
      <c r="BD24" s="68">
        <f>IFERROR(IF($BC$5="S 1",G24+J24+M24+P24+S24+V24,
IF($BC$5="S 2",Y24+AB24+AE24+AH24+AK24+AN24,0)),0)</f>
        <v>1</v>
      </c>
      <c r="BE24" s="150">
        <f t="shared" ref="BE24:BE29" si="55">IFERROR((BD24/BC24),0)</f>
        <v>9.0909090909090912E-2</v>
      </c>
      <c r="BF24" s="67">
        <f>IFERROR(IF($BF$5="S 1",F24+I24+L24+O24+R24+U24,
IF($BF$5="S 2",X24+AA24+AD24+AG24+AJ24+AM24,0)),0)</f>
        <v>0</v>
      </c>
      <c r="BG24" s="266">
        <f>IFERROR(IF($BF$5="S 1",G24+J24+M24+P24+S24+V24,
IF($BF$5="S 2",Y24+AB24+AE24+AH24+AK24+AN24,0)),0)</f>
        <v>0</v>
      </c>
      <c r="BH24" s="150">
        <f t="shared" ref="BH24:BH29" si="56">IFERROR((BG24/BF24),0)</f>
        <v>0</v>
      </c>
      <c r="BL24" s="597"/>
      <c r="BM24" s="593"/>
      <c r="BN24" s="594"/>
      <c r="BO24" s="595"/>
      <c r="BP24" s="596"/>
      <c r="BQ24"/>
      <c r="BR24" s="579"/>
      <c r="BS24" s="4"/>
    </row>
    <row r="25" spans="1:71" s="53" customFormat="1" ht="16" customHeight="1" x14ac:dyDescent="0.35">
      <c r="A25" s="53">
        <f>_xlfn.XLOOKUP(B25,'WHOLESALE MINI 2026'!$B$7:$B$63,'WHOLESALE MINI 2026'!$A$7:$A$63)</f>
        <v>4</v>
      </c>
      <c r="B25" s="8">
        <v>100146</v>
      </c>
      <c r="C25" s="369" t="s">
        <v>18</v>
      </c>
      <c r="D25" s="146"/>
      <c r="E25" s="379" t="s">
        <v>81</v>
      </c>
      <c r="F25" s="54">
        <v>2</v>
      </c>
      <c r="G25" s="86">
        <f>SUMIF('UC MINI 2026'!$B$5:$B$71,'UC MINI 2026 MINI NEXT'!$B25,'UC MINI 2026'!$G$5:$G$71)</f>
        <v>0</v>
      </c>
      <c r="H25" s="243">
        <f t="shared" si="45"/>
        <v>0</v>
      </c>
      <c r="I25" s="54">
        <v>1</v>
      </c>
      <c r="J25" s="86">
        <f>SUMIF('UC MINI 2026'!$B$5:$B$61,'UC MINI 2026 MINI NEXT'!$B25,'UC MINI 2026'!$I$5:$I$61)</f>
        <v>1</v>
      </c>
      <c r="K25" s="243">
        <f t="shared" si="46"/>
        <v>1</v>
      </c>
      <c r="L25" s="54">
        <v>3</v>
      </c>
      <c r="M25" s="86">
        <f>SUMIF('UC MINI 2026'!$B$5:$B$61,'UC MINI 2026 MINI NEXT'!$B25,'UC MINI 2026'!$K$5:$K$61)</f>
        <v>0</v>
      </c>
      <c r="N25" s="297">
        <f t="shared" si="47"/>
        <v>0</v>
      </c>
      <c r="O25" s="54">
        <f>VLOOKUP(B25,'[5]% Penetración Mdo ABR26'!$B$7:$G$59,6,0)-F25-I25-L25</f>
        <v>1</v>
      </c>
      <c r="P25" s="86">
        <f>SUMIF('UC MINI 2026'!$B$5:$B$61,'UC MINI 2026 MINI NEXT'!$B25,'UC MINI 2026'!$M$5:$M$61)</f>
        <v>1</v>
      </c>
      <c r="Q25" s="243">
        <f t="shared" si="48"/>
        <v>1</v>
      </c>
      <c r="R25" s="21">
        <f>VLOOKUP(B25,'[6]% Penetración Mdo MAY26'!$B$7:$G$65,6,0)-F25-I25-L25-O25</f>
        <v>2</v>
      </c>
      <c r="S25" s="86">
        <f>SUMIF('UC MINI 2026'!$B$5:$B$61,'UC MINI 2026 MINI NEXT'!$B25,'UC MINI 2026'!$O$5:$O$61)</f>
        <v>0</v>
      </c>
      <c r="T25" s="297">
        <f t="shared" si="49"/>
        <v>0</v>
      </c>
      <c r="U25" s="606">
        <f>VLOOKUP(B25,'[7]% Penetración Mdo JUN26'!$B$7:$J$59,6,0)-F25-I25-L25-O25-R25</f>
        <v>3</v>
      </c>
      <c r="V25" s="86">
        <f>SUMIF('UC MINI 2026'!$B$5:$B$61,'UC MINI 2026 MINI NEXT'!$B25,'UC MINI 2026'!$Q$5:$Q$61)</f>
        <v>0</v>
      </c>
      <c r="W25" s="243">
        <f t="shared" si="50"/>
        <v>0</v>
      </c>
      <c r="X25" s="54"/>
      <c r="Y25" s="86">
        <f>SUMIF('UC MINI 2026'!$B$5:$B$61,'UC MINI 2026 MINI NEXT'!$B25,'UC MINI 2026'!$S$5:$S$61)</f>
        <v>0</v>
      </c>
      <c r="Z25" s="297">
        <f t="shared" si="40"/>
        <v>0</v>
      </c>
      <c r="AA25" s="54"/>
      <c r="AB25" s="86">
        <f>SUMIF('UC MINI 2026'!$B$5:$B$61,'UC MINI 2026 MINI NEXT'!$B25,'UC MINI 2026'!$U$5:$U$61)</f>
        <v>0</v>
      </c>
      <c r="AC25" s="243">
        <f t="shared" si="41"/>
        <v>0</v>
      </c>
      <c r="AD25" s="54"/>
      <c r="AE25" s="86">
        <f>SUMIF('UC MINI 2026'!$B$5:$B$61,'UC MINI 2026 MINI NEXT'!$B25,'UC MINI 2026'!$W$5:$W$61)</f>
        <v>0</v>
      </c>
      <c r="AF25" s="297">
        <f t="shared" si="42"/>
        <v>0</v>
      </c>
      <c r="AG25" s="54"/>
      <c r="AH25" s="86">
        <f>SUMIF('UC MINI 2026'!$B$5:$B$61,'UC MINI 2026 MINI NEXT'!$B25,'UC MINI 2026'!$Y$5:$Y$61)</f>
        <v>0</v>
      </c>
      <c r="AI25" s="243">
        <f t="shared" si="43"/>
        <v>0</v>
      </c>
      <c r="AJ25" s="54"/>
      <c r="AK25" s="86">
        <f>SUMIF('UC MINI 2026'!$B$5:$B$61,'UC MINI 2026 MINI NEXT'!$B25,'UC MINI 2026'!$AA$5:$AA$61)</f>
        <v>0</v>
      </c>
      <c r="AL25" s="297">
        <f t="shared" si="44"/>
        <v>0</v>
      </c>
      <c r="AM25" s="54"/>
      <c r="AN25" s="86">
        <f>SUMIF('UC MINI 2026'!$B$5:$B$61,'UC MINI 2026 MINI NEXT'!$B25,'UC MINI 2026'!$AC$5:$AC$61)</f>
        <v>0</v>
      </c>
      <c r="AO25" s="243">
        <f t="shared" si="51"/>
        <v>0</v>
      </c>
      <c r="AP25" s="67">
        <f t="shared" ref="AP25:AQ29" si="57">IFERROR(IF($AP$4="ENERO",F25,IF($AP$4="FEBRERO",F25+I25,IF($AP$4="MARZO",F25+I25+L25,IF($AP$4="ABRIL",F25+I25+L25+O25,IF($AP$4="MAYO",F25+I25+L25+O25+R25,IF($AP$4="JUNIO",F25+I25+L25+O25+R25+U25,IF($AP$4="JULIO",F25+I25+L25+O25+R25+U25+X25,IF($AP$4="AGOSTO",F25+I25+L25+O25+R25+U25+X25+AA25,IF($AP$4="SEPTIEMBRE",F25+I25+L25+O25+R25+U25+X25+AA25+AD25,IF($AP$4="OCTUBRE",F25+I25+L25+O25+R25+U25+X25+AA25+AD25+AG25,IF($AP$4="NOVIEMBRE",F25+I25+L25+O25+R25+U25+X25+AA25+AD25+AG25+AJ25,IF($AP$4="DICIEMBRE",F25+I25+L25+O25+R25+U25+X25+AA25+AD25+AG25+AJ25+AM25,"")))))))))))),0)</f>
        <v>12</v>
      </c>
      <c r="AQ25" s="68">
        <f t="shared" si="57"/>
        <v>2</v>
      </c>
      <c r="AR25" s="149">
        <f t="shared" si="52"/>
        <v>0.16666666666666666</v>
      </c>
      <c r="AS25" s="67">
        <f t="shared" si="53"/>
        <v>12</v>
      </c>
      <c r="AT25" s="86">
        <f t="shared" si="16"/>
        <v>2</v>
      </c>
      <c r="AU25" s="149">
        <f t="shared" si="54"/>
        <v>0.16666666666666666</v>
      </c>
      <c r="AV25" s="54">
        <f t="shared" ref="AV25:AW29" si="58">IF($AV$5="Q1",F25+I25+L25,
IF($AV$5="Q2",O25+R25++U25,
IF($AV$5="Q3",X25+AA25+AD25,
IF($AV$5="Q4",AG25+AJ25+AM25,0))))</f>
        <v>6</v>
      </c>
      <c r="AW25" s="86">
        <f t="shared" si="58"/>
        <v>1</v>
      </c>
      <c r="AX25" s="109">
        <f t="shared" ref="AX25:AX37" si="59">IFERROR((AW25/AV25),0)</f>
        <v>0.16666666666666666</v>
      </c>
      <c r="AY25" s="68">
        <f>IFERROR(IF($AV$5="Q1",#REF!+#REF!+#REF!,
IF($AV$5="Q2",#REF!+#REF!++#REF!,
IF($AV$5="Q3",#REF!+#REF!+#REF!,
IF($AV$5="Q4",#REF!+#REF!+#REF!,0)))),0)</f>
        <v>0</v>
      </c>
      <c r="AZ25" s="297">
        <f>IF(AW25=0,"N.D.",AY25/AW25)</f>
        <v>0</v>
      </c>
      <c r="BA25" s="350">
        <f>IFERROR(IF($AV$5="Q1",#REF!+#REF!+#REF!,
IF($AV$5="Q2",#REF!+#REF!+#REF!,
IF($AV$5="Q3",#REF!+#REF!+#REF!,
IF($AV$5="Q4",#REF!+#REF!+#REF!,0)))),0)</f>
        <v>0</v>
      </c>
      <c r="BB25" s="150">
        <f t="shared" ref="BB25:BB37" si="60">IFERROR((BA25/AV25),0)</f>
        <v>0</v>
      </c>
      <c r="BC25" s="67">
        <f t="shared" ref="BC25:BD29" si="61">IFERROR(IF($BC$5="S 1",F25+I25+L25+O25+R25+U25,
IF($BC$5="S 2",X25+AA25+AD25+AG25+AJ25+AM25,0)),0)</f>
        <v>12</v>
      </c>
      <c r="BD25" s="68">
        <f t="shared" si="61"/>
        <v>2</v>
      </c>
      <c r="BE25" s="150">
        <f t="shared" si="55"/>
        <v>0.16666666666666666</v>
      </c>
      <c r="BF25" s="67">
        <f t="shared" ref="BF25:BG29" si="62">IFERROR(IF($BF$5="S 1",F25+I25+L25+O25+R25+U25,
IF($BF$5="S 2",X25+AA25+AD25+AG25+AJ25+AM25,0)),0)</f>
        <v>0</v>
      </c>
      <c r="BG25" s="266">
        <f t="shared" si="62"/>
        <v>0</v>
      </c>
      <c r="BH25" s="150">
        <f t="shared" si="56"/>
        <v>0</v>
      </c>
      <c r="BI25" s="53">
        <v>1</v>
      </c>
      <c r="BL25" s="597">
        <v>15</v>
      </c>
      <c r="BM25" s="593"/>
      <c r="BN25" s="594"/>
      <c r="BO25" s="595"/>
      <c r="BP25" s="596"/>
      <c r="BQ25"/>
      <c r="BR25" s="579"/>
      <c r="BS25" s="4"/>
    </row>
    <row r="26" spans="1:71" s="53" customFormat="1" ht="16" customHeight="1" x14ac:dyDescent="0.35">
      <c r="A26" s="53">
        <f>_xlfn.XLOOKUP(B26,'WHOLESALE MINI 2026'!$B$7:$B$63,'WHOLESALE MINI 2026'!$A$7:$A$63)</f>
        <v>4</v>
      </c>
      <c r="B26" s="8">
        <v>100155</v>
      </c>
      <c r="C26" s="369" t="s">
        <v>243</v>
      </c>
      <c r="D26" s="146"/>
      <c r="E26" s="379" t="s">
        <v>82</v>
      </c>
      <c r="F26" s="54">
        <v>0</v>
      </c>
      <c r="G26" s="86">
        <f>SUMIF('UC MINI 2026'!$B$5:$B$71,'UC MINI 2026 MINI NEXT'!$B26,'UC MINI 2026'!$G$5:$G$71)</f>
        <v>3</v>
      </c>
      <c r="H26" s="243">
        <f t="shared" si="45"/>
        <v>0</v>
      </c>
      <c r="I26" s="54">
        <v>7</v>
      </c>
      <c r="J26" s="86">
        <f>SUMIF('UC MINI 2026'!$B$5:$B$61,'UC MINI 2026 MINI NEXT'!$B26,'UC MINI 2026'!$I$5:$I$61)</f>
        <v>3</v>
      </c>
      <c r="K26" s="243">
        <f t="shared" si="46"/>
        <v>0.42857142857142855</v>
      </c>
      <c r="L26" s="54">
        <v>7</v>
      </c>
      <c r="M26" s="86">
        <f>SUMIF('UC MINI 2026'!$B$5:$B$61,'UC MINI 2026 MINI NEXT'!$B26,'UC MINI 2026'!$K$5:$K$61)</f>
        <v>1</v>
      </c>
      <c r="N26" s="297">
        <f t="shared" si="47"/>
        <v>0.14285714285714285</v>
      </c>
      <c r="O26" s="54">
        <f>VLOOKUP(B26,'[5]% Penetración Mdo ABR26'!$B$7:$G$59,6,0)-F26-I26-L26</f>
        <v>4</v>
      </c>
      <c r="P26" s="86">
        <f>SUMIF('UC MINI 2026'!$B$5:$B$61,'UC MINI 2026 MINI NEXT'!$B26,'UC MINI 2026'!$M$5:$M$61)</f>
        <v>1</v>
      </c>
      <c r="Q26" s="243">
        <f t="shared" si="48"/>
        <v>0.25</v>
      </c>
      <c r="R26" s="21">
        <f>VLOOKUP(B26,'[6]% Penetración Mdo MAY26'!$B$7:$G$65,6,0)-F26-I26-L26-O26</f>
        <v>10</v>
      </c>
      <c r="S26" s="86">
        <f>SUMIF('UC MINI 2026'!$B$5:$B$61,'UC MINI 2026 MINI NEXT'!$B26,'UC MINI 2026'!$O$5:$O$61)</f>
        <v>3</v>
      </c>
      <c r="T26" s="297">
        <f t="shared" si="49"/>
        <v>0.3</v>
      </c>
      <c r="U26" s="606">
        <f>VLOOKUP(B26,'[7]% Penetración Mdo JUN26'!$B$7:$J$59,6,0)-F26-I26-L26-O26-R26</f>
        <v>11</v>
      </c>
      <c r="V26" s="86">
        <f>SUMIF('UC MINI 2026'!$B$5:$B$61,'UC MINI 2026 MINI NEXT'!$B26,'UC MINI 2026'!$Q$5:$Q$61)</f>
        <v>2</v>
      </c>
      <c r="W26" s="243">
        <f t="shared" si="50"/>
        <v>0.18181818181818182</v>
      </c>
      <c r="X26" s="54"/>
      <c r="Y26" s="86">
        <f>SUMIF('UC MINI 2026'!$B$5:$B$61,'UC MINI 2026 MINI NEXT'!$B26,'UC MINI 2026'!$S$5:$S$61)</f>
        <v>0</v>
      </c>
      <c r="Z26" s="297">
        <f t="shared" si="40"/>
        <v>0</v>
      </c>
      <c r="AA26" s="54"/>
      <c r="AB26" s="86">
        <f>SUMIF('UC MINI 2026'!$B$5:$B$61,'UC MINI 2026 MINI NEXT'!$B26,'UC MINI 2026'!$U$5:$U$61)</f>
        <v>0</v>
      </c>
      <c r="AC26" s="243">
        <f t="shared" si="41"/>
        <v>0</v>
      </c>
      <c r="AD26" s="54"/>
      <c r="AE26" s="86">
        <f>SUMIF('UC MINI 2026'!$B$5:$B$61,'UC MINI 2026 MINI NEXT'!$B26,'UC MINI 2026'!$W$5:$W$61)</f>
        <v>0</v>
      </c>
      <c r="AF26" s="297">
        <f t="shared" si="42"/>
        <v>0</v>
      </c>
      <c r="AG26" s="54"/>
      <c r="AH26" s="86">
        <f>SUMIF('UC MINI 2026'!$B$5:$B$61,'UC MINI 2026 MINI NEXT'!$B26,'UC MINI 2026'!$Y$5:$Y$61)</f>
        <v>0</v>
      </c>
      <c r="AI26" s="243">
        <f t="shared" si="43"/>
        <v>0</v>
      </c>
      <c r="AJ26" s="54"/>
      <c r="AK26" s="86">
        <f>SUMIF('UC MINI 2026'!$B$5:$B$61,'UC MINI 2026 MINI NEXT'!$B26,'UC MINI 2026'!$AA$5:$AA$61)</f>
        <v>0</v>
      </c>
      <c r="AL26" s="297">
        <f t="shared" si="44"/>
        <v>0</v>
      </c>
      <c r="AM26" s="54"/>
      <c r="AN26" s="86">
        <f>SUMIF('UC MINI 2026'!$B$5:$B$61,'UC MINI 2026 MINI NEXT'!$B26,'UC MINI 2026'!$AC$5:$AC$61)</f>
        <v>0</v>
      </c>
      <c r="AO26" s="243">
        <f t="shared" si="51"/>
        <v>0</v>
      </c>
      <c r="AP26" s="67">
        <f t="shared" si="57"/>
        <v>39</v>
      </c>
      <c r="AQ26" s="68">
        <f t="shared" si="57"/>
        <v>13</v>
      </c>
      <c r="AR26" s="149">
        <f t="shared" si="52"/>
        <v>0.33333333333333331</v>
      </c>
      <c r="AS26" s="67">
        <f t="shared" si="53"/>
        <v>39</v>
      </c>
      <c r="AT26" s="86">
        <f t="shared" si="16"/>
        <v>13</v>
      </c>
      <c r="AU26" s="149">
        <f t="shared" si="54"/>
        <v>0.33333333333333331</v>
      </c>
      <c r="AV26" s="54">
        <f t="shared" si="58"/>
        <v>14</v>
      </c>
      <c r="AW26" s="86">
        <f t="shared" si="58"/>
        <v>7</v>
      </c>
      <c r="AX26" s="109">
        <f t="shared" si="59"/>
        <v>0.5</v>
      </c>
      <c r="AY26" s="68">
        <f>IFERROR(IF($AV$5="Q1",#REF!+#REF!+#REF!,
IF($AV$5="Q2",#REF!+#REF!++#REF!,
IF($AV$5="Q3",#REF!+#REF!+#REF!,
IF($AV$5="Q4",#REF!+#REF!+#REF!,0)))),0)</f>
        <v>0</v>
      </c>
      <c r="AZ26" s="297">
        <f>IF(AW26=0,"N.D.",AY26/AW26)</f>
        <v>0</v>
      </c>
      <c r="BA26" s="350">
        <f>IFERROR(IF($AV$5="Q1",#REF!+#REF!+#REF!,
IF($AV$5="Q2",#REF!+#REF!+#REF!,
IF($AV$5="Q3",#REF!+#REF!+#REF!,
IF($AV$5="Q4",#REF!+#REF!+#REF!,0)))),0)</f>
        <v>0</v>
      </c>
      <c r="BB26" s="150">
        <f t="shared" si="60"/>
        <v>0</v>
      </c>
      <c r="BC26" s="67">
        <f t="shared" si="61"/>
        <v>39</v>
      </c>
      <c r="BD26" s="68">
        <f t="shared" si="61"/>
        <v>13</v>
      </c>
      <c r="BE26" s="150">
        <f t="shared" si="55"/>
        <v>0.33333333333333331</v>
      </c>
      <c r="BF26" s="67">
        <f t="shared" si="62"/>
        <v>0</v>
      </c>
      <c r="BG26" s="266">
        <f t="shared" si="62"/>
        <v>0</v>
      </c>
      <c r="BH26" s="150">
        <f t="shared" si="56"/>
        <v>0</v>
      </c>
      <c r="BI26" s="53">
        <v>1</v>
      </c>
      <c r="BL26" s="597">
        <v>16</v>
      </c>
      <c r="BM26" s="593"/>
      <c r="BN26" s="594"/>
      <c r="BO26" s="595"/>
      <c r="BP26" s="596"/>
      <c r="BQ26"/>
      <c r="BR26" s="579"/>
      <c r="BS26" s="4"/>
    </row>
    <row r="27" spans="1:71" s="53" customFormat="1" ht="16" customHeight="1" x14ac:dyDescent="0.35">
      <c r="A27" s="53">
        <f>_xlfn.XLOOKUP(B27,'WHOLESALE MINI 2026'!$B$7:$B$63,'WHOLESALE MINI 2026'!$A$7:$A$63)</f>
        <v>4</v>
      </c>
      <c r="B27" s="8">
        <v>100304</v>
      </c>
      <c r="C27" s="369" t="s">
        <v>45</v>
      </c>
      <c r="D27" s="146"/>
      <c r="E27" s="379" t="s">
        <v>81</v>
      </c>
      <c r="F27" s="54">
        <v>6</v>
      </c>
      <c r="G27" s="86">
        <f>SUMIF('UC MINI 2026'!$B$5:$B$71,'UC MINI 2026 MINI NEXT'!$B27,'UC MINI 2026'!$G$5:$G$71)</f>
        <v>8</v>
      </c>
      <c r="H27" s="243">
        <f t="shared" si="45"/>
        <v>1.3333333333333333</v>
      </c>
      <c r="I27" s="54">
        <v>5</v>
      </c>
      <c r="J27" s="86">
        <f>SUMIF('UC MINI 2026'!$B$5:$B$61,'UC MINI 2026 MINI NEXT'!$B27,'UC MINI 2026'!$I$5:$I$61)</f>
        <v>2</v>
      </c>
      <c r="K27" s="243">
        <f t="shared" si="46"/>
        <v>0.4</v>
      </c>
      <c r="L27" s="54">
        <v>14</v>
      </c>
      <c r="M27" s="86">
        <f>SUMIF('UC MINI 2026'!$B$5:$B$61,'UC MINI 2026 MINI NEXT'!$B27,'UC MINI 2026'!$K$5:$K$61)</f>
        <v>6</v>
      </c>
      <c r="N27" s="297">
        <f t="shared" si="47"/>
        <v>0.42857142857142855</v>
      </c>
      <c r="O27" s="54">
        <f>VLOOKUP(B27,'[5]% Penetración Mdo ABR26'!$B$7:$G$59,6,0)-F27-I27-L27</f>
        <v>10</v>
      </c>
      <c r="P27" s="86">
        <f>SUMIF('UC MINI 2026'!$B$5:$B$61,'UC MINI 2026 MINI NEXT'!$B27,'UC MINI 2026'!$M$5:$M$61)</f>
        <v>8</v>
      </c>
      <c r="Q27" s="243">
        <f t="shared" si="48"/>
        <v>0.8</v>
      </c>
      <c r="R27" s="21">
        <f>VLOOKUP(B27,'[6]% Penetración Mdo MAY26'!$B$7:$G$65,6,0)-F27-I27-L27-O27</f>
        <v>13</v>
      </c>
      <c r="S27" s="86">
        <f>SUMIF('UC MINI 2026'!$B$5:$B$61,'UC MINI 2026 MINI NEXT'!$B27,'UC MINI 2026'!$O$5:$O$61)</f>
        <v>10</v>
      </c>
      <c r="T27" s="297">
        <f t="shared" si="49"/>
        <v>0.76923076923076927</v>
      </c>
      <c r="U27" s="606">
        <f>VLOOKUP(B27,'[7]% Penetración Mdo JUN26'!$B$7:$J$59,6,0)-F27-I27-L27-O27-R27</f>
        <v>16</v>
      </c>
      <c r="V27" s="86">
        <f>SUMIF('UC MINI 2026'!$B$5:$B$61,'UC MINI 2026 MINI NEXT'!$B27,'UC MINI 2026'!$Q$5:$Q$61)</f>
        <v>6</v>
      </c>
      <c r="W27" s="243">
        <f t="shared" si="50"/>
        <v>0.375</v>
      </c>
      <c r="X27" s="54"/>
      <c r="Y27" s="86">
        <f>SUMIF('UC MINI 2026'!$B$5:$B$61,'UC MINI 2026 MINI NEXT'!$B27,'UC MINI 2026'!$S$5:$S$61)</f>
        <v>0</v>
      </c>
      <c r="Z27" s="297">
        <f t="shared" si="40"/>
        <v>0</v>
      </c>
      <c r="AA27" s="54"/>
      <c r="AB27" s="86">
        <f>SUMIF('UC MINI 2026'!$B$5:$B$61,'UC MINI 2026 MINI NEXT'!$B27,'UC MINI 2026'!$U$5:$U$61)</f>
        <v>0</v>
      </c>
      <c r="AC27" s="243">
        <f t="shared" si="41"/>
        <v>0</v>
      </c>
      <c r="AD27" s="54"/>
      <c r="AE27" s="86">
        <f>SUMIF('UC MINI 2026'!$B$5:$B$61,'UC MINI 2026 MINI NEXT'!$B27,'UC MINI 2026'!$W$5:$W$61)</f>
        <v>0</v>
      </c>
      <c r="AF27" s="297">
        <f t="shared" si="42"/>
        <v>0</v>
      </c>
      <c r="AG27" s="54"/>
      <c r="AH27" s="86">
        <f>SUMIF('UC MINI 2026'!$B$5:$B$61,'UC MINI 2026 MINI NEXT'!$B27,'UC MINI 2026'!$Y$5:$Y$61)</f>
        <v>0</v>
      </c>
      <c r="AI27" s="243">
        <f t="shared" si="43"/>
        <v>0</v>
      </c>
      <c r="AJ27" s="54"/>
      <c r="AK27" s="86">
        <f>SUMIF('UC MINI 2026'!$B$5:$B$61,'UC MINI 2026 MINI NEXT'!$B27,'UC MINI 2026'!$AA$5:$AA$61)</f>
        <v>0</v>
      </c>
      <c r="AL27" s="297">
        <f t="shared" si="44"/>
        <v>0</v>
      </c>
      <c r="AM27" s="54"/>
      <c r="AN27" s="86">
        <f>SUMIF('UC MINI 2026'!$B$5:$B$61,'UC MINI 2026 MINI NEXT'!$B27,'UC MINI 2026'!$AC$5:$AC$61)</f>
        <v>0</v>
      </c>
      <c r="AO27" s="243">
        <f t="shared" si="51"/>
        <v>0</v>
      </c>
      <c r="AP27" s="67">
        <f t="shared" si="57"/>
        <v>64</v>
      </c>
      <c r="AQ27" s="68">
        <f t="shared" si="57"/>
        <v>40</v>
      </c>
      <c r="AR27" s="149">
        <f t="shared" si="52"/>
        <v>0.625</v>
      </c>
      <c r="AS27" s="67">
        <f t="shared" si="53"/>
        <v>64</v>
      </c>
      <c r="AT27" s="86">
        <f t="shared" si="16"/>
        <v>40</v>
      </c>
      <c r="AU27" s="149">
        <f t="shared" si="54"/>
        <v>0.625</v>
      </c>
      <c r="AV27" s="54">
        <f t="shared" si="58"/>
        <v>25</v>
      </c>
      <c r="AW27" s="86">
        <f t="shared" si="58"/>
        <v>16</v>
      </c>
      <c r="AX27" s="109">
        <f t="shared" si="59"/>
        <v>0.64</v>
      </c>
      <c r="AY27" s="68">
        <f>IFERROR(IF($AV$5="Q1",#REF!+#REF!+#REF!,
IF($AV$5="Q2",#REF!+#REF!++#REF!,
IF($AV$5="Q3",#REF!+#REF!+#REF!,
IF($AV$5="Q4",#REF!+#REF!+#REF!,0)))),0)</f>
        <v>0</v>
      </c>
      <c r="AZ27" s="297">
        <f>IF(AW27=0,"N.D.",AY27/AW27)</f>
        <v>0</v>
      </c>
      <c r="BA27" s="350">
        <f>IFERROR(IF($AV$5="Q1",#REF!+#REF!+#REF!,
IF($AV$5="Q2",#REF!+#REF!+#REF!,
IF($AV$5="Q3",#REF!+#REF!+#REF!,
IF($AV$5="Q4",#REF!+#REF!+#REF!,0)))),0)</f>
        <v>0</v>
      </c>
      <c r="BB27" s="150">
        <f t="shared" si="60"/>
        <v>0</v>
      </c>
      <c r="BC27" s="67">
        <f t="shared" si="61"/>
        <v>64</v>
      </c>
      <c r="BD27" s="68">
        <f t="shared" si="61"/>
        <v>40</v>
      </c>
      <c r="BE27" s="150">
        <f t="shared" si="55"/>
        <v>0.625</v>
      </c>
      <c r="BF27" s="67">
        <f t="shared" si="62"/>
        <v>0</v>
      </c>
      <c r="BG27" s="266">
        <f t="shared" si="62"/>
        <v>0</v>
      </c>
      <c r="BH27" s="150">
        <f t="shared" si="56"/>
        <v>0</v>
      </c>
      <c r="BI27" s="53">
        <v>1</v>
      </c>
      <c r="BL27" s="597">
        <v>17</v>
      </c>
      <c r="BM27" s="593"/>
      <c r="BN27" s="594"/>
      <c r="BO27" s="595"/>
      <c r="BP27" s="596"/>
      <c r="BQ27"/>
      <c r="BR27"/>
      <c r="BS27" s="4"/>
    </row>
    <row r="28" spans="1:71" s="53" customFormat="1" ht="16" customHeight="1" x14ac:dyDescent="0.35">
      <c r="A28" s="53">
        <f>_xlfn.XLOOKUP(B28,'WHOLESALE MINI 2026'!$B$7:$B$63,'WHOLESALE MINI 2026'!$A$7:$A$63)</f>
        <v>4</v>
      </c>
      <c r="B28" s="8">
        <v>100346</v>
      </c>
      <c r="C28" s="369" t="s">
        <v>46</v>
      </c>
      <c r="D28" s="146"/>
      <c r="E28" s="379" t="s">
        <v>81</v>
      </c>
      <c r="F28" s="54">
        <v>2</v>
      </c>
      <c r="G28" s="86">
        <f>SUMIF('UC MINI 2026'!$B$5:$B$71,'UC MINI 2026 MINI NEXT'!$B28,'UC MINI 2026'!$G$5:$G$71)</f>
        <v>0</v>
      </c>
      <c r="H28" s="243">
        <f t="shared" si="45"/>
        <v>0</v>
      </c>
      <c r="I28" s="54">
        <v>3</v>
      </c>
      <c r="J28" s="86">
        <f>SUMIF('UC MINI 2026'!$B$5:$B$61,'UC MINI 2026 MINI NEXT'!$B28,'UC MINI 2026'!$I$5:$I$61)</f>
        <v>2</v>
      </c>
      <c r="K28" s="243">
        <f t="shared" si="46"/>
        <v>0.66666666666666663</v>
      </c>
      <c r="L28" s="54">
        <v>1</v>
      </c>
      <c r="M28" s="86">
        <f>SUMIF('UC MINI 2026'!$B$5:$B$61,'UC MINI 2026 MINI NEXT'!$B28,'UC MINI 2026'!$K$5:$K$61)</f>
        <v>1</v>
      </c>
      <c r="N28" s="297">
        <f t="shared" si="47"/>
        <v>1</v>
      </c>
      <c r="O28" s="54">
        <f>VLOOKUP(B28,'[5]% Penetración Mdo ABR26'!$B$7:$G$59,6,0)-F28-I28-L28</f>
        <v>4</v>
      </c>
      <c r="P28" s="86">
        <f>SUMIF('UC MINI 2026'!$B$5:$B$61,'UC MINI 2026 MINI NEXT'!$B28,'UC MINI 2026'!$M$5:$M$61)</f>
        <v>2</v>
      </c>
      <c r="Q28" s="243">
        <f t="shared" si="48"/>
        <v>0.5</v>
      </c>
      <c r="R28" s="21">
        <f>VLOOKUP(B28,'[6]% Penetración Mdo MAY26'!$B$7:$G$65,6,0)-F28-I28-L28-O28</f>
        <v>1</v>
      </c>
      <c r="S28" s="86">
        <f>SUMIF('UC MINI 2026'!$B$5:$B$61,'UC MINI 2026 MINI NEXT'!$B28,'UC MINI 2026'!$O$5:$O$61)</f>
        <v>2</v>
      </c>
      <c r="T28" s="297">
        <f t="shared" si="49"/>
        <v>2</v>
      </c>
      <c r="U28" s="606">
        <f>VLOOKUP(B28,'[7]% Penetración Mdo JUN26'!$B$7:$J$59,6,0)-F28-I28-L28-O28-R28</f>
        <v>2</v>
      </c>
      <c r="V28" s="86">
        <f>SUMIF('UC MINI 2026'!$B$5:$B$61,'UC MINI 2026 MINI NEXT'!$B28,'UC MINI 2026'!$Q$5:$Q$61)</f>
        <v>1</v>
      </c>
      <c r="W28" s="243">
        <f t="shared" si="50"/>
        <v>0.5</v>
      </c>
      <c r="X28" s="54"/>
      <c r="Y28" s="86">
        <f>SUMIF('UC MINI 2026'!$B$5:$B$61,'UC MINI 2026 MINI NEXT'!$B28,'UC MINI 2026'!$S$5:$S$61)</f>
        <v>0</v>
      </c>
      <c r="Z28" s="297">
        <f t="shared" si="40"/>
        <v>0</v>
      </c>
      <c r="AA28" s="54"/>
      <c r="AB28" s="86">
        <f>SUMIF('UC MINI 2026'!$B$5:$B$61,'UC MINI 2026 MINI NEXT'!$B28,'UC MINI 2026'!$U$5:$U$61)</f>
        <v>0</v>
      </c>
      <c r="AC28" s="243">
        <f t="shared" si="41"/>
        <v>0</v>
      </c>
      <c r="AD28" s="54"/>
      <c r="AE28" s="86">
        <f>SUMIF('UC MINI 2026'!$B$5:$B$61,'UC MINI 2026 MINI NEXT'!$B28,'UC MINI 2026'!$W$5:$W$61)</f>
        <v>0</v>
      </c>
      <c r="AF28" s="297">
        <f t="shared" si="42"/>
        <v>0</v>
      </c>
      <c r="AG28" s="54"/>
      <c r="AH28" s="86">
        <f>SUMIF('UC MINI 2026'!$B$5:$B$61,'UC MINI 2026 MINI NEXT'!$B28,'UC MINI 2026'!$Y$5:$Y$61)</f>
        <v>0</v>
      </c>
      <c r="AI28" s="243">
        <f t="shared" si="43"/>
        <v>0</v>
      </c>
      <c r="AJ28" s="54"/>
      <c r="AK28" s="86">
        <f>SUMIF('UC MINI 2026'!$B$5:$B$61,'UC MINI 2026 MINI NEXT'!$B28,'UC MINI 2026'!$AA$5:$AA$61)</f>
        <v>0</v>
      </c>
      <c r="AL28" s="297">
        <f t="shared" si="44"/>
        <v>0</v>
      </c>
      <c r="AM28" s="54"/>
      <c r="AN28" s="86">
        <f>SUMIF('UC MINI 2026'!$B$5:$B$61,'UC MINI 2026 MINI NEXT'!$B28,'UC MINI 2026'!$AC$5:$AC$61)</f>
        <v>0</v>
      </c>
      <c r="AO28" s="243">
        <f t="shared" si="51"/>
        <v>0</v>
      </c>
      <c r="AP28" s="67">
        <f t="shared" si="57"/>
        <v>13</v>
      </c>
      <c r="AQ28" s="68">
        <f t="shared" si="57"/>
        <v>8</v>
      </c>
      <c r="AR28" s="149">
        <f t="shared" si="52"/>
        <v>0.61538461538461542</v>
      </c>
      <c r="AS28" s="67">
        <f t="shared" si="53"/>
        <v>13</v>
      </c>
      <c r="AT28" s="86">
        <f t="shared" si="16"/>
        <v>8</v>
      </c>
      <c r="AU28" s="149">
        <f t="shared" si="54"/>
        <v>0.61538461538461542</v>
      </c>
      <c r="AV28" s="54">
        <f t="shared" si="58"/>
        <v>6</v>
      </c>
      <c r="AW28" s="86">
        <f t="shared" si="58"/>
        <v>3</v>
      </c>
      <c r="AX28" s="109">
        <f t="shared" si="59"/>
        <v>0.5</v>
      </c>
      <c r="AY28" s="68">
        <f>IFERROR(IF($AV$5="Q1",#REF!+#REF!+#REF!,
IF($AV$5="Q2",#REF!+#REF!++#REF!,
IF($AV$5="Q3",#REF!+#REF!+#REF!,
IF($AV$5="Q4",#REF!+#REF!+#REF!,0)))),0)</f>
        <v>0</v>
      </c>
      <c r="AZ28" s="297">
        <f>IF(AW28=0,"N.D.",AY28/AW28)</f>
        <v>0</v>
      </c>
      <c r="BA28" s="350">
        <f>IFERROR(IF($AV$5="Q1",#REF!+#REF!+#REF!,
IF($AV$5="Q2",#REF!+#REF!+#REF!,
IF($AV$5="Q3",#REF!+#REF!+#REF!,
IF($AV$5="Q4",#REF!+#REF!+#REF!,0)))),0)</f>
        <v>0</v>
      </c>
      <c r="BB28" s="150">
        <f t="shared" si="60"/>
        <v>0</v>
      </c>
      <c r="BC28" s="67">
        <f t="shared" si="61"/>
        <v>13</v>
      </c>
      <c r="BD28" s="68">
        <f t="shared" si="61"/>
        <v>8</v>
      </c>
      <c r="BE28" s="150">
        <f t="shared" si="55"/>
        <v>0.61538461538461542</v>
      </c>
      <c r="BF28" s="67">
        <f t="shared" si="62"/>
        <v>0</v>
      </c>
      <c r="BG28" s="266">
        <f t="shared" si="62"/>
        <v>0</v>
      </c>
      <c r="BH28" s="150">
        <f t="shared" si="56"/>
        <v>0</v>
      </c>
      <c r="BI28" s="53">
        <v>1</v>
      </c>
      <c r="BL28" s="597">
        <v>18</v>
      </c>
      <c r="BM28" s="593"/>
      <c r="BN28" s="594"/>
      <c r="BO28" s="595"/>
      <c r="BP28" s="596"/>
      <c r="BQ28"/>
      <c r="BR28"/>
      <c r="BS28" s="4"/>
    </row>
    <row r="29" spans="1:71" s="53" customFormat="1" ht="16" customHeight="1" thickBot="1" x14ac:dyDescent="0.4">
      <c r="A29" s="53">
        <f>_xlfn.XLOOKUP(B29,'WHOLESALE MINI 2026'!$B$7:$B$63,'WHOLESALE MINI 2026'!$A$7:$A$63)</f>
        <v>4</v>
      </c>
      <c r="B29" s="8">
        <v>100571</v>
      </c>
      <c r="C29" s="369" t="s">
        <v>48</v>
      </c>
      <c r="D29" s="146"/>
      <c r="E29" s="379" t="s">
        <v>82</v>
      </c>
      <c r="F29" s="54">
        <v>3</v>
      </c>
      <c r="G29" s="86">
        <f>SUMIF('UC MINI 2026'!$B$5:$B$71,'UC MINI 2026 MINI NEXT'!$B29,'UC MINI 2026'!$G$5:$G$71)</f>
        <v>0</v>
      </c>
      <c r="H29" s="382">
        <f t="shared" si="45"/>
        <v>0</v>
      </c>
      <c r="I29" s="54">
        <v>1</v>
      </c>
      <c r="J29" s="86">
        <f>SUMIF('UC MINI 2026'!$B$5:$B$61,'UC MINI 2026 MINI NEXT'!$B29,'UC MINI 2026'!$I$5:$I$61)</f>
        <v>3</v>
      </c>
      <c r="K29" s="382">
        <f t="shared" si="46"/>
        <v>3</v>
      </c>
      <c r="L29" s="54">
        <v>1</v>
      </c>
      <c r="M29" s="86">
        <f>SUMIF('UC MINI 2026'!$B$5:$B$61,'UC MINI 2026 MINI NEXT'!$B29,'UC MINI 2026'!$K$5:$K$61)</f>
        <v>0</v>
      </c>
      <c r="N29" s="299">
        <f t="shared" si="47"/>
        <v>0</v>
      </c>
      <c r="O29" s="54">
        <f>VLOOKUP(B29,'[5]% Penetración Mdo ABR26'!$B$7:$G$59,6,0)-F29-I29-L29</f>
        <v>0</v>
      </c>
      <c r="P29" s="86">
        <f>SUMIF('UC MINI 2026'!$B$5:$B$61,'UC MINI 2026 MINI NEXT'!$B29,'UC MINI 2026'!$M$5:$M$61)</f>
        <v>2</v>
      </c>
      <c r="Q29" s="382">
        <f t="shared" si="48"/>
        <v>0</v>
      </c>
      <c r="R29" s="21">
        <f>VLOOKUP(B29,'[6]% Penetración Mdo MAY26'!$B$7:$G$65,6,0)-F29-I29-L29-O29</f>
        <v>1</v>
      </c>
      <c r="S29" s="86">
        <f>SUMIF('UC MINI 2026'!$B$5:$B$61,'UC MINI 2026 MINI NEXT'!$B29,'UC MINI 2026'!$O$5:$O$61)</f>
        <v>1</v>
      </c>
      <c r="T29" s="299">
        <f t="shared" si="49"/>
        <v>1</v>
      </c>
      <c r="U29" s="606">
        <f>VLOOKUP(B29,'[7]% Penetración Mdo JUN26'!$B$7:$J$59,6,0)-F29-I29-L29-O29-R29</f>
        <v>6</v>
      </c>
      <c r="V29" s="86">
        <f>SUMIF('UC MINI 2026'!$B$5:$B$61,'UC MINI 2026 MINI NEXT'!$B29,'UC MINI 2026'!$Q$5:$Q$61)</f>
        <v>1</v>
      </c>
      <c r="W29" s="382">
        <f t="shared" si="50"/>
        <v>0.16666666666666666</v>
      </c>
      <c r="X29" s="54"/>
      <c r="Y29" s="86">
        <f>SUMIF('UC MINI 2026'!$B$5:$B$61,'UC MINI 2026 MINI NEXT'!$B29,'UC MINI 2026'!$S$5:$S$61)</f>
        <v>0</v>
      </c>
      <c r="Z29" s="297">
        <f t="shared" si="40"/>
        <v>0</v>
      </c>
      <c r="AA29" s="54"/>
      <c r="AB29" s="86">
        <f>SUMIF('UC MINI 2026'!$B$5:$B$61,'UC MINI 2026 MINI NEXT'!$B29,'UC MINI 2026'!$U$5:$U$61)</f>
        <v>0</v>
      </c>
      <c r="AC29" s="243">
        <f t="shared" si="41"/>
        <v>0</v>
      </c>
      <c r="AD29" s="54"/>
      <c r="AE29" s="86">
        <f>SUMIF('UC MINI 2026'!$B$5:$B$61,'UC MINI 2026 MINI NEXT'!$B29,'UC MINI 2026'!$W$5:$W$61)</f>
        <v>0</v>
      </c>
      <c r="AF29" s="297">
        <f t="shared" si="42"/>
        <v>0</v>
      </c>
      <c r="AG29" s="54"/>
      <c r="AH29" s="86">
        <f>SUMIF('UC MINI 2026'!$B$5:$B$61,'UC MINI 2026 MINI NEXT'!$B29,'UC MINI 2026'!$Y$5:$Y$61)</f>
        <v>0</v>
      </c>
      <c r="AI29" s="243">
        <f t="shared" si="43"/>
        <v>0</v>
      </c>
      <c r="AJ29" s="54"/>
      <c r="AK29" s="86">
        <f>SUMIF('UC MINI 2026'!$B$5:$B$61,'UC MINI 2026 MINI NEXT'!$B29,'UC MINI 2026'!$AA$5:$AA$61)</f>
        <v>0</v>
      </c>
      <c r="AL29" s="297">
        <f t="shared" si="44"/>
        <v>0</v>
      </c>
      <c r="AM29" s="54"/>
      <c r="AN29" s="86">
        <f>SUMIF('UC MINI 2026'!$B$5:$B$61,'UC MINI 2026 MINI NEXT'!$B29,'UC MINI 2026'!$AC$5:$AC$61)</f>
        <v>0</v>
      </c>
      <c r="AO29" s="382">
        <f t="shared" si="51"/>
        <v>0</v>
      </c>
      <c r="AP29" s="67">
        <f t="shared" si="57"/>
        <v>12</v>
      </c>
      <c r="AQ29" s="68">
        <f t="shared" si="57"/>
        <v>7</v>
      </c>
      <c r="AR29" s="152">
        <f t="shared" si="52"/>
        <v>0.58333333333333337</v>
      </c>
      <c r="AS29" s="67">
        <f t="shared" si="53"/>
        <v>12</v>
      </c>
      <c r="AT29" s="86">
        <f t="shared" si="16"/>
        <v>7</v>
      </c>
      <c r="AU29" s="152">
        <f t="shared" si="54"/>
        <v>0.58333333333333337</v>
      </c>
      <c r="AV29" s="58">
        <f t="shared" si="58"/>
        <v>5</v>
      </c>
      <c r="AW29" s="59">
        <f t="shared" si="58"/>
        <v>3</v>
      </c>
      <c r="AX29" s="112">
        <f t="shared" si="59"/>
        <v>0.6</v>
      </c>
      <c r="AY29" s="68">
        <f>IFERROR(IF($AV$5="Q1",#REF!+#REF!+#REF!,
IF($AV$5="Q2",#REF!+#REF!++#REF!,
IF($AV$5="Q3",#REF!+#REF!+#REF!,
IF($AV$5="Q4",#REF!+#REF!+#REF!,0)))),0)</f>
        <v>0</v>
      </c>
      <c r="AZ29" s="297">
        <f>IF(AW29=0,"N.D.",AY29/AW29)</f>
        <v>0</v>
      </c>
      <c r="BA29" s="350">
        <f>IFERROR(IF($AV$5="Q1",#REF!+#REF!+#REF!,
IF($AV$5="Q2",#REF!+#REF!+#REF!,
IF($AV$5="Q3",#REF!+#REF!+#REF!,
IF($AV$5="Q4",#REF!+#REF!+#REF!,0)))),0)</f>
        <v>0</v>
      </c>
      <c r="BB29" s="153">
        <f t="shared" si="60"/>
        <v>0</v>
      </c>
      <c r="BC29" s="67">
        <f t="shared" si="61"/>
        <v>12</v>
      </c>
      <c r="BD29" s="68">
        <f t="shared" si="61"/>
        <v>7</v>
      </c>
      <c r="BE29" s="153">
        <f t="shared" si="55"/>
        <v>0.58333333333333337</v>
      </c>
      <c r="BF29" s="67">
        <f t="shared" si="62"/>
        <v>0</v>
      </c>
      <c r="BG29" s="266">
        <f t="shared" si="62"/>
        <v>0</v>
      </c>
      <c r="BH29" s="153">
        <f t="shared" si="56"/>
        <v>0</v>
      </c>
      <c r="BI29" s="53">
        <v>1</v>
      </c>
      <c r="BL29" s="598">
        <v>19</v>
      </c>
      <c r="BM29" s="599"/>
      <c r="BN29" s="600"/>
      <c r="BO29" s="601"/>
      <c r="BP29" s="602"/>
      <c r="BQ29"/>
      <c r="BR29"/>
      <c r="BS29" s="4"/>
    </row>
    <row r="30" spans="1:71" s="53" customFormat="1" ht="16" customHeight="1" thickBot="1" x14ac:dyDescent="0.4">
      <c r="A30" s="53">
        <f>_xlfn.XLOOKUP(B30,'WHOLESALE MINI 2026'!$B$7:$B$63,'WHOLESALE MINI 2026'!$A$7:$A$63)</f>
        <v>0</v>
      </c>
      <c r="B30" s="61" t="s">
        <v>266</v>
      </c>
      <c r="C30" s="62"/>
      <c r="D30" s="154"/>
      <c r="E30" s="80"/>
      <c r="F30" s="155">
        <f>SUM(F24:F29)</f>
        <v>13</v>
      </c>
      <c r="G30" s="155">
        <f>SUM(G24:G29)</f>
        <v>11</v>
      </c>
      <c r="H30" s="301">
        <f t="shared" ref="H30:H50" si="63">IFERROR(G30/F30,0)</f>
        <v>0.84615384615384615</v>
      </c>
      <c r="I30" s="155">
        <f>SUM(I24:I29)</f>
        <v>17</v>
      </c>
      <c r="J30" s="155">
        <f>SUM(J24:J29)</f>
        <v>11</v>
      </c>
      <c r="K30" s="301">
        <f t="shared" ref="K30:K50" si="64">IFERROR(J30/I30,0)</f>
        <v>0.6470588235294118</v>
      </c>
      <c r="L30" s="155">
        <f>SUM(L24:L29)</f>
        <v>26</v>
      </c>
      <c r="M30" s="155">
        <f>SUM(M24:M29)</f>
        <v>8</v>
      </c>
      <c r="N30" s="301">
        <f t="shared" ref="N30:N50" si="65">IFERROR(M30/L30,0)</f>
        <v>0.30769230769230771</v>
      </c>
      <c r="O30" s="155">
        <f>SUM(O24:O29)</f>
        <v>19</v>
      </c>
      <c r="P30" s="155">
        <f>SUM(P24:P29)</f>
        <v>15</v>
      </c>
      <c r="Q30" s="301">
        <f t="shared" ref="Q30:Q50" si="66">IFERROR(P30/O30,0)</f>
        <v>0.78947368421052633</v>
      </c>
      <c r="R30" s="155">
        <f>SUM(R24:R29)</f>
        <v>27</v>
      </c>
      <c r="S30" s="155">
        <f>SUM(S24:S29)</f>
        <v>16</v>
      </c>
      <c r="T30" s="301">
        <f t="shared" ref="T30:T50" si="67">IFERROR(S30/R30,0)</f>
        <v>0.59259259259259256</v>
      </c>
      <c r="U30" s="155">
        <f>SUM(U24:U29)</f>
        <v>49</v>
      </c>
      <c r="V30" s="155">
        <f>SUM(V24:V29)</f>
        <v>10</v>
      </c>
      <c r="W30" s="301">
        <f t="shared" ref="W30:W37" si="68">IFERROR(V30/U30,0)</f>
        <v>0.20408163265306123</v>
      </c>
      <c r="X30" s="155">
        <f>SUM(X24:X29)</f>
        <v>0</v>
      </c>
      <c r="Y30" s="155">
        <f>SUM(Y24:Y29)</f>
        <v>0</v>
      </c>
      <c r="Z30" s="301">
        <f t="shared" ref="Z30:Z35" si="69">IFERROR(Y30/X30,0)</f>
        <v>0</v>
      </c>
      <c r="AA30" s="155">
        <f>SUM(AA24:AA29)</f>
        <v>0</v>
      </c>
      <c r="AB30" s="155">
        <f>SUM(AB24:AB29)</f>
        <v>0</v>
      </c>
      <c r="AC30" s="301">
        <f t="shared" ref="AC30:AC35" si="70">IFERROR(AB30/AA30,0)</f>
        <v>0</v>
      </c>
      <c r="AD30" s="155">
        <f>SUM(AD24:AD29)</f>
        <v>0</v>
      </c>
      <c r="AE30" s="155">
        <f>SUM(AE24:AE29)</f>
        <v>0</v>
      </c>
      <c r="AF30" s="301">
        <f t="shared" ref="AF30:AF35" si="71">IFERROR(AE30/AD30,0)</f>
        <v>0</v>
      </c>
      <c r="AG30" s="155">
        <f>SUM(AG24:AG29)</f>
        <v>0</v>
      </c>
      <c r="AH30" s="155">
        <f>SUM(AH24:AH29)</f>
        <v>0</v>
      </c>
      <c r="AI30" s="301">
        <f t="shared" ref="AI30:AI35" si="72">IFERROR(AH30/AG30,0)</f>
        <v>0</v>
      </c>
      <c r="AJ30" s="155">
        <f>SUM(AJ24:AJ29)</f>
        <v>0</v>
      </c>
      <c r="AK30" s="155">
        <f>SUM(AK24:AK29)</f>
        <v>0</v>
      </c>
      <c r="AL30" s="301">
        <f t="shared" ref="AL30:AL35" si="73">IFERROR(AK30/AJ30,0)</f>
        <v>0</v>
      </c>
      <c r="AM30" s="155">
        <f>SUM(AM24:AM29)</f>
        <v>0</v>
      </c>
      <c r="AN30" s="155">
        <f>SUM(AN24:AN29)</f>
        <v>0</v>
      </c>
      <c r="AO30" s="301">
        <f t="shared" ref="AO30:AO37" si="74">IFERROR(AN30/AM30,0)</f>
        <v>0</v>
      </c>
      <c r="AP30" s="63">
        <f>SUM(AP24:AP29)</f>
        <v>151</v>
      </c>
      <c r="AQ30" s="63">
        <f>SUM(AQ24:AQ29)</f>
        <v>71</v>
      </c>
      <c r="AR30" s="320">
        <f t="shared" ref="AR30:AR37" si="75">IFERROR((AQ30/AP30),0)</f>
        <v>0.47019867549668876</v>
      </c>
      <c r="AS30" s="63">
        <f>SUM(AS24:AS29)</f>
        <v>151</v>
      </c>
      <c r="AT30" s="63">
        <f>SUM(AT24:AT29)</f>
        <v>71</v>
      </c>
      <c r="AU30" s="320">
        <f>IFERROR((AT30/AS30),0)</f>
        <v>0.47019867549668876</v>
      </c>
      <c r="AV30" s="63">
        <f>SUM(AV18:AV28)</f>
        <v>1360</v>
      </c>
      <c r="AW30" s="65">
        <f>SUM(AW18:AW28)</f>
        <v>524</v>
      </c>
      <c r="AX30" s="157">
        <f t="shared" si="59"/>
        <v>0.38529411764705884</v>
      </c>
      <c r="AY30" s="65">
        <f>SUM(AY18:AY28)</f>
        <v>0</v>
      </c>
      <c r="AZ30" s="321">
        <f>IFERROR(AY30/AW30,0)</f>
        <v>0</v>
      </c>
      <c r="BA30" s="349" t="e">
        <f>IF($AV$5="Q1",#REF!+#REF!+#REF!,
IF($AV$5="Q2",#REF!+#REF!+#REF!,
IF($AV$5="Q3",#REF!+#REF!+#REF!,
IF($AV$5="Q4",#REF!+#REF!+#REF!,0))))</f>
        <v>#REF!</v>
      </c>
      <c r="BB30" s="333">
        <f t="shared" si="60"/>
        <v>0</v>
      </c>
      <c r="BC30" s="63">
        <f>IF($BC$5="S 1",F30+I30+L30+O30+R30+U30,
IF($BC$5="S 2",X30+AA30+AD30+AG30+AJ30+AM30,0))</f>
        <v>151</v>
      </c>
      <c r="BD30" s="65">
        <f>IF($BC$5="S 1",G30+J30+M30+P30+S30+V30,
IF($BC$5="S 2",Y30+AB30+AE30+AH30+AK30+AN30,0))</f>
        <v>71</v>
      </c>
      <c r="BE30" s="333">
        <f t="shared" ref="BE30:BE37" si="76">IFERROR((BD30/BC30),0)</f>
        <v>0.47019867549668876</v>
      </c>
      <c r="BF30" s="63">
        <f>SUM(BF24:BF29)</f>
        <v>0</v>
      </c>
      <c r="BG30" s="63">
        <f>SUM(BG24:BG29)</f>
        <v>0</v>
      </c>
      <c r="BH30" s="333">
        <f t="shared" ref="BH30:BH37" si="77">IFERROR((BG30/BF30),0)</f>
        <v>0</v>
      </c>
      <c r="BI30" s="53">
        <v>0</v>
      </c>
      <c r="BL30"/>
      <c r="BM30" s="566"/>
      <c r="BN30" s="566"/>
      <c r="BO30" s="566"/>
      <c r="BP30" s="566"/>
      <c r="BQ30"/>
      <c r="BR30"/>
      <c r="BS30" s="4"/>
    </row>
    <row r="31" spans="1:71" s="53" customFormat="1" ht="16" customHeight="1" thickBot="1" x14ac:dyDescent="0.4">
      <c r="A31" s="53">
        <f>_xlfn.XLOOKUP(B31,'WHOLESALE MINI 2026'!$B$7:$B$63,'WHOLESALE MINI 2026'!$A$7:$A$63)</f>
        <v>5</v>
      </c>
      <c r="B31" s="8">
        <v>100015</v>
      </c>
      <c r="C31" s="369" t="s">
        <v>51</v>
      </c>
      <c r="D31" s="146"/>
      <c r="E31" s="379" t="s">
        <v>79</v>
      </c>
      <c r="F31" s="54">
        <v>8</v>
      </c>
      <c r="G31" s="86">
        <f>SUMIF('UC MINI 2026'!$B$5:$B$71,'UC MINI 2026 MINI NEXT'!$B31,'UC MINI 2026'!$G$5:$G$71)</f>
        <v>3</v>
      </c>
      <c r="H31" s="243">
        <f t="shared" si="63"/>
        <v>0.375</v>
      </c>
      <c r="I31" s="54">
        <v>3</v>
      </c>
      <c r="J31" s="86">
        <f>SUMIF('UC MINI 2026'!$B$5:$B$61,'UC MINI 2026 MINI NEXT'!$B31,'UC MINI 2026'!$I$5:$I$61)</f>
        <v>3</v>
      </c>
      <c r="K31" s="243">
        <f t="shared" si="64"/>
        <v>1</v>
      </c>
      <c r="L31" s="54">
        <v>3</v>
      </c>
      <c r="M31" s="86">
        <f>SUMIF('UC MINI 2026'!$B$5:$B$61,'UC MINI 2026 MINI NEXT'!$B31,'UC MINI 2026'!$K$5:$K$61)</f>
        <v>1</v>
      </c>
      <c r="N31" s="297">
        <f t="shared" si="65"/>
        <v>0.33333333333333331</v>
      </c>
      <c r="O31" s="54">
        <f>VLOOKUP(B31,'[5]% Penetración Mdo ABR26'!$B$7:$G$59,6,0)-F31-I31-L31</f>
        <v>6</v>
      </c>
      <c r="P31" s="86">
        <f>SUMIF('UC MINI 2026'!$B$5:$B$61,'UC MINI 2026 MINI NEXT'!$B31,'UC MINI 2026'!$M$5:$M$61)</f>
        <v>2</v>
      </c>
      <c r="Q31" s="243">
        <f t="shared" si="66"/>
        <v>0.33333333333333331</v>
      </c>
      <c r="R31" s="21">
        <f>VLOOKUP(B31,'[6]% Penetración Mdo MAY26'!$B$7:$G$65,6,0)-F31-I31-L31-O31</f>
        <v>6</v>
      </c>
      <c r="S31" s="86">
        <f>SUMIF('UC MINI 2026'!$B$5:$B$61,'UC MINI 2026 MINI NEXT'!$B31,'UC MINI 2026'!$O$5:$O$61)</f>
        <v>1</v>
      </c>
      <c r="T31" s="297">
        <f t="shared" si="67"/>
        <v>0.16666666666666666</v>
      </c>
      <c r="U31" s="606">
        <f>VLOOKUP(B31,'[7]% Penetración Mdo JUN26'!$B$7:$J$59,6,0)-F31-I31-L31-O31-R31</f>
        <v>5</v>
      </c>
      <c r="V31" s="86">
        <f>SUMIF('UC MINI 2026'!$B$5:$B$61,'UC MINI 2026 MINI NEXT'!$B31,'UC MINI 2026'!$Q$5:$Q$61)</f>
        <v>7</v>
      </c>
      <c r="W31" s="243">
        <f t="shared" si="68"/>
        <v>1.4</v>
      </c>
      <c r="X31" s="54"/>
      <c r="Y31" s="86">
        <f>SUMIF('UC MINI 2026'!$B$5:$B$61,'UC MINI 2026 MINI NEXT'!$B31,'UC MINI 2026'!$S$5:$S$61)</f>
        <v>0</v>
      </c>
      <c r="Z31" s="297">
        <f t="shared" si="69"/>
        <v>0</v>
      </c>
      <c r="AA31" s="54"/>
      <c r="AB31" s="86">
        <f>SUMIF('UC MINI 2026'!$B$5:$B$61,'UC MINI 2026 MINI NEXT'!$B31,'UC MINI 2026'!$U$5:$U$61)</f>
        <v>0</v>
      </c>
      <c r="AC31" s="243">
        <f t="shared" si="70"/>
        <v>0</v>
      </c>
      <c r="AD31" s="54"/>
      <c r="AE31" s="86">
        <f>SUMIF('UC MINI 2026'!$B$5:$B$61,'UC MINI 2026 MINI NEXT'!$B31,'UC MINI 2026'!$W$5:$W$61)</f>
        <v>0</v>
      </c>
      <c r="AF31" s="297">
        <f t="shared" si="71"/>
        <v>0</v>
      </c>
      <c r="AG31" s="54"/>
      <c r="AH31" s="86">
        <f>SUMIF('UC MINI 2026'!$B$5:$B$61,'UC MINI 2026 MINI NEXT'!$B31,'UC MINI 2026'!$Y$5:$Y$61)</f>
        <v>0</v>
      </c>
      <c r="AI31" s="243">
        <f t="shared" si="72"/>
        <v>0</v>
      </c>
      <c r="AJ31" s="54"/>
      <c r="AK31" s="86">
        <f>SUMIF('UC MINI 2026'!$B$5:$B$61,'UC MINI 2026 MINI NEXT'!$B31,'UC MINI 2026'!$AA$5:$AA$61)</f>
        <v>0</v>
      </c>
      <c r="AL31" s="297">
        <f t="shared" si="73"/>
        <v>0</v>
      </c>
      <c r="AM31" s="54"/>
      <c r="AN31" s="86">
        <f>SUMIF('UC MINI 2026'!$B$5:$B$61,'UC MINI 2026 MINI NEXT'!$B31,'UC MINI 2026'!$AC$5:$AC$61)</f>
        <v>0</v>
      </c>
      <c r="AO31" s="243">
        <f t="shared" si="74"/>
        <v>0</v>
      </c>
      <c r="AP31" s="67">
        <f>IFERROR(IF($AP$4="ENERO",F31,IF($AP$4="FEBRERO",F31+I31,IF($AP$4="MARZO",F31+I31+L31,IF($AP$4="ABRIL",F31+I31+L31+O31,IF($AP$4="MAYO",F31+I31+L31+O31+R31,IF($AP$4="JUNIO",F31+I31+L31+O31+R31+U31,IF($AP$4="JULIO",F31+I31+L31+O31+R31+U31+X31,IF($AP$4="AGOSTO",F31+I31+L31+O31+R31+U31+X31+AA31,IF($AP$4="SEPTIEMBRE",F31+I31+L31+O31+R31+U31+X31+AA31+AD31,IF($AP$4="OCTUBRE",F31+I31+L31+O31+R31+U31+X31+AA31+AD31+AG31,IF($AP$4="NOVIEMBRE",F31+I31+L31+O31+R31+U31+X31+AA31+AD31+AG31+AJ31,IF($AP$4="DICIEMBRE",F31+I31+L31+O31+R31+U31+X31+AA31+AD31+AG31+AJ31+AM31,"")))))))))))),0)</f>
        <v>31</v>
      </c>
      <c r="AQ31" s="68">
        <f>IFERROR(IF($AP$4="ENERO",G31,IF($AP$4="FEBRERO",G31+J31,IF($AP$4="MARZO",G31+J31+M31,IF($AP$4="ABRIL",G31+J31+M31+P31,IF($AP$4="MAYO",G31+J31+M31+P31+S31,IF($AP$4="JUNIO",G31+J31+M31+P31+S31+V31,IF($AP$4="JULIO",G31+J31+M31+P31+S31+V31+Y31,IF($AP$4="AGOSTO",G31+J31+M31+P31+S31+V31+Y31+AB31,IF($AP$4="SEPTIEMBRE",G31+J31+M31+P31+S31+V31+Y31+AB31+AE31,IF($AP$4="OCTUBRE",G31+J31+M31+P31+S31+V31+Y31+AB31+AE31+AH31,IF($AP$4="NOVIEMBRE",G31+J31+M31+P31+S31+V31+Y31+AB31+AE31+AH31+AK31,IF($AP$4="DICIEMBRE",G31+J31+M31+P31+S31+V31+Y31+AB31+AE31+AH31+AK31+AN31,"")))))))))))),0)</f>
        <v>17</v>
      </c>
      <c r="AR31" s="149">
        <f t="shared" si="75"/>
        <v>0.54838709677419351</v>
      </c>
      <c r="AS31" s="67">
        <f>IFERROR(F31+I31+L31+O31+R31+U31++X31+AA31+AD31+AG31+AJ31+AM31,0)</f>
        <v>31</v>
      </c>
      <c r="AT31" s="86">
        <f t="shared" si="16"/>
        <v>17</v>
      </c>
      <c r="AU31" s="149">
        <f>IFERROR((AT31/AS31),0)</f>
        <v>0.54838709677419351</v>
      </c>
      <c r="AV31" s="54">
        <f>IF($AV$5="Q1",F31+I31+L31,
IF($AV$5="Q2",O31+R31++U31,
IF($AV$5="Q3",X31+AA31+AD31,
IF($AV$5="Q4",AG31+AJ31+AM31,0))))</f>
        <v>14</v>
      </c>
      <c r="AW31" s="86">
        <f>IF($AV$5="Q1",G31+J31+M31,
IF($AV$5="Q2",P31+S31++V31,
IF($AV$5="Q3",Y31+AB31+AE31,
IF($AV$5="Q4",AH31+AK31+AN31,0))))</f>
        <v>7</v>
      </c>
      <c r="AX31" s="109">
        <f t="shared" si="59"/>
        <v>0.5</v>
      </c>
      <c r="AY31" s="68">
        <f>IFERROR(IF($AV$5="Q1",#REF!+#REF!+#REF!,
IF($AV$5="Q2",#REF!+#REF!++#REF!,
IF($AV$5="Q3",#REF!+#REF!+#REF!,
IF($AV$5="Q4",#REF!+#REF!+#REF!,0)))),0)</f>
        <v>0</v>
      </c>
      <c r="AZ31" s="297">
        <f>IF(AW31=0,"N.D.",AY31/AW31)</f>
        <v>0</v>
      </c>
      <c r="BA31" s="350">
        <f>IFERROR(IF($AV$5="Q1",#REF!+#REF!+#REF!,
IF($AV$5="Q2",#REF!+#REF!+#REF!,
IF($AV$5="Q3",#REF!+#REF!+#REF!,
IF($AV$5="Q4",#REF!+#REF!+#REF!,0)))),0)</f>
        <v>0</v>
      </c>
      <c r="BB31" s="150">
        <f t="shared" si="60"/>
        <v>0</v>
      </c>
      <c r="BC31" s="67">
        <f>IFERROR(IF($BC$5="S 1",F31+I31+L31+O31+R31+U31,
IF($BC$5="S 2",X31+AA31+AD31+AG31+AJ31+AM31,0)),0)</f>
        <v>31</v>
      </c>
      <c r="BD31" s="68">
        <f>IFERROR(IF($BC$5="S 1",G31+J31+M31+P31+S31+V31,
IF($BC$5="S 2",Y31+AB31+AE31+AH31+AK31+AN31,0)),0)</f>
        <v>17</v>
      </c>
      <c r="BE31" s="150">
        <f t="shared" si="76"/>
        <v>0.54838709677419351</v>
      </c>
      <c r="BF31" s="67">
        <f>IFERROR(IF($BF$5="S 1",F31+I31+L31+O31+R31+U31,
IF($BF$5="S 2",X31+AA31+AD31+AG31+AJ31+AM31,0)),0)</f>
        <v>0</v>
      </c>
      <c r="BG31" s="266">
        <f>IFERROR(IF($BF$5="S 1",G31+J31+M31+P31+S31+V31,
IF($BF$5="S 2",Y31+AB31+AE31+AH31+AK31+AN31,0)),0)</f>
        <v>0</v>
      </c>
      <c r="BH31" s="150">
        <f t="shared" si="77"/>
        <v>0</v>
      </c>
      <c r="BI31" s="53">
        <v>1</v>
      </c>
      <c r="BL31"/>
      <c r="BM31"/>
      <c r="BN31"/>
      <c r="BO31" s="566"/>
      <c r="BP31" s="566"/>
      <c r="BQ31" s="585" t="s">
        <v>293</v>
      </c>
      <c r="BR31" s="585" t="s">
        <v>294</v>
      </c>
      <c r="BS31" s="585" t="s">
        <v>295</v>
      </c>
    </row>
    <row r="32" spans="1:71" s="53" customFormat="1" ht="16" customHeight="1" thickBot="1" x14ac:dyDescent="0.35">
      <c r="A32" s="53">
        <f>_xlfn.XLOOKUP(B32,'WHOLESALE MINI 2026'!$B$7:$B$63,'WHOLESALE MINI 2026'!$A$7:$A$63)</f>
        <v>5</v>
      </c>
      <c r="B32" s="8">
        <v>100190</v>
      </c>
      <c r="C32" s="369" t="s">
        <v>52</v>
      </c>
      <c r="D32" s="146"/>
      <c r="E32" s="379" t="s">
        <v>79</v>
      </c>
      <c r="F32" s="54">
        <v>7</v>
      </c>
      <c r="G32" s="86">
        <f>SUMIF('UC MINI 2026'!$B$5:$B$71,'UC MINI 2026 MINI NEXT'!$B32,'UC MINI 2026'!$G$5:$G$71)</f>
        <v>5</v>
      </c>
      <c r="H32" s="243">
        <f t="shared" si="63"/>
        <v>0.7142857142857143</v>
      </c>
      <c r="I32" s="54">
        <v>9</v>
      </c>
      <c r="J32" s="86">
        <f>SUMIF('UC MINI 2026'!$B$5:$B$61,'UC MINI 2026 MINI NEXT'!$B32,'UC MINI 2026'!$I$5:$I$61)</f>
        <v>5</v>
      </c>
      <c r="K32" s="243">
        <f t="shared" si="64"/>
        <v>0.55555555555555558</v>
      </c>
      <c r="L32" s="54">
        <v>7</v>
      </c>
      <c r="M32" s="86">
        <f>SUMIF('UC MINI 2026'!$B$5:$B$61,'UC MINI 2026 MINI NEXT'!$B32,'UC MINI 2026'!$K$5:$K$61)</f>
        <v>4</v>
      </c>
      <c r="N32" s="297">
        <f t="shared" si="65"/>
        <v>0.5714285714285714</v>
      </c>
      <c r="O32" s="54">
        <f>VLOOKUP(B32,'[5]% Penetración Mdo ABR26'!$B$7:$G$59,6,0)-F32-I32-L32</f>
        <v>2</v>
      </c>
      <c r="P32" s="86">
        <f>SUMIF('UC MINI 2026'!$B$5:$B$61,'UC MINI 2026 MINI NEXT'!$B32,'UC MINI 2026'!$M$5:$M$61)</f>
        <v>3</v>
      </c>
      <c r="Q32" s="243">
        <f t="shared" si="66"/>
        <v>1.5</v>
      </c>
      <c r="R32" s="21">
        <f>VLOOKUP(B32,'[6]% Penetración Mdo MAY26'!$B$7:$G$65,6,0)-F32-I32-L32-O32</f>
        <v>6</v>
      </c>
      <c r="S32" s="86">
        <f>SUMIF('UC MINI 2026'!$B$5:$B$61,'UC MINI 2026 MINI NEXT'!$B32,'UC MINI 2026'!$O$5:$O$61)</f>
        <v>8</v>
      </c>
      <c r="T32" s="297">
        <f t="shared" si="67"/>
        <v>1.3333333333333333</v>
      </c>
      <c r="U32" s="606">
        <f>VLOOKUP(B32,'[7]% Penetración Mdo JUN26'!$B$7:$J$59,6,0)-F32-I32-L32-O32-R32</f>
        <v>10</v>
      </c>
      <c r="V32" s="86">
        <f>SUMIF('UC MINI 2026'!$B$5:$B$61,'UC MINI 2026 MINI NEXT'!$B32,'UC MINI 2026'!$Q$5:$Q$61)</f>
        <v>6</v>
      </c>
      <c r="W32" s="243">
        <f t="shared" si="68"/>
        <v>0.6</v>
      </c>
      <c r="X32" s="54"/>
      <c r="Y32" s="86">
        <f>SUMIF('UC MINI 2026'!$B$5:$B$61,'UC MINI 2026 MINI NEXT'!$B32,'UC MINI 2026'!$S$5:$S$61)</f>
        <v>0</v>
      </c>
      <c r="Z32" s="297">
        <f t="shared" si="69"/>
        <v>0</v>
      </c>
      <c r="AA32" s="54"/>
      <c r="AB32" s="86">
        <f>SUMIF('UC MINI 2026'!$B$5:$B$61,'UC MINI 2026 MINI NEXT'!$B32,'UC MINI 2026'!$U$5:$U$61)</f>
        <v>0</v>
      </c>
      <c r="AC32" s="243">
        <f t="shared" si="70"/>
        <v>0</v>
      </c>
      <c r="AD32" s="54"/>
      <c r="AE32" s="86">
        <f>SUMIF('UC MINI 2026'!$B$5:$B$61,'UC MINI 2026 MINI NEXT'!$B32,'UC MINI 2026'!$W$5:$W$61)</f>
        <v>0</v>
      </c>
      <c r="AF32" s="297">
        <f t="shared" si="71"/>
        <v>0</v>
      </c>
      <c r="AG32" s="54"/>
      <c r="AH32" s="86">
        <f>SUMIF('UC MINI 2026'!$B$5:$B$61,'UC MINI 2026 MINI NEXT'!$B32,'UC MINI 2026'!$Y$5:$Y$61)</f>
        <v>0</v>
      </c>
      <c r="AI32" s="243">
        <f t="shared" si="72"/>
        <v>0</v>
      </c>
      <c r="AJ32" s="54"/>
      <c r="AK32" s="86">
        <f>SUMIF('UC MINI 2026'!$B$5:$B$61,'UC MINI 2026 MINI NEXT'!$B32,'UC MINI 2026'!$AA$5:$AA$61)</f>
        <v>0</v>
      </c>
      <c r="AL32" s="297">
        <f t="shared" si="73"/>
        <v>0</v>
      </c>
      <c r="AM32" s="54"/>
      <c r="AN32" s="86">
        <f>SUMIF('UC MINI 2026'!$B$5:$B$61,'UC MINI 2026 MINI NEXT'!$B32,'UC MINI 2026'!$AC$5:$AC$61)</f>
        <v>0</v>
      </c>
      <c r="AO32" s="243">
        <f t="shared" si="74"/>
        <v>0</v>
      </c>
      <c r="AP32" s="67">
        <f>IFERROR(IF($AP$4="ENERO",F32,IF($AP$4="FEBRERO",F32+I32,IF($AP$4="MARZO",F32+I32+L32,IF($AP$4="ABRIL",F32+I32+L32+O32,IF($AP$4="MAYO",F32+I32+L32+O32+R32,IF($AP$4="JUNIO",F32+I32+L32+O32+R32+U32,IF($AP$4="JULIO",F32+I32+L32+O32+R32+U32+X32,IF($AP$4="AGOSTO",F32+I32+L32+O32+R32+U32+X32+AA32,IF($AP$4="SEPTIEMBRE",F32+I32+L32+O32+R32+U32+X32+AA32+AD32,IF($AP$4="OCTUBRE",F32+I32+L32+O32+R32+U32+X32+AA32+AD32+AG32,IF($AP$4="NOVIEMBRE",F32+I32+L32+O32+R32+U32+X32+AA32+AD32+AG32+AJ32,IF($AP$4="DICIEMBRE",F32+I32+L32+O32+R32+U32+X32+AA32+AD32+AG32+AJ32+AM32,"")))))))))))),0)</f>
        <v>41</v>
      </c>
      <c r="AQ32" s="68">
        <f>IFERROR(IF($AP$4="ENERO",G32,IF($AP$4="FEBRERO",G32+J32,IF($AP$4="MARZO",G32+J32+M32,IF($AP$4="ABRIL",G32+J32+M32+P32,IF($AP$4="MAYO",G32+J32+M32+P32+S32,IF($AP$4="JUNIO",G32+J32+M32+P32+S32+V32,IF($AP$4="JULIO",G32+J32+M32+P32+S32+V32+Y32,IF($AP$4="AGOSTO",G32+J32+M32+P32+S32+V32+Y32+AB32,IF($AP$4="SEPTIEMBRE",G32+J32+M32+P32+S32+V32+Y32+AB32+AE32,IF($AP$4="OCTUBRE",G32+J32+M32+P32+S32+V32+Y32+AB32+AE32+AH32,IF($AP$4="NOVIEMBRE",G32+J32+M32+P32+S32+V32+Y32+AB32+AE32+AH32+AK32,IF($AP$4="DICIEMBRE",G32+J32+M32+P32+S32+V32+Y32+AB32+AE32+AH32+AK32+AN32,"")))))))))))),0)</f>
        <v>31</v>
      </c>
      <c r="AR32" s="149">
        <f t="shared" si="75"/>
        <v>0.75609756097560976</v>
      </c>
      <c r="AS32" s="67">
        <f>IFERROR(F32+I32+L32+O32+R32+U32++X32+AA32+AD32+AG32+AJ32+AM32,0)</f>
        <v>41</v>
      </c>
      <c r="AT32" s="86">
        <f t="shared" si="16"/>
        <v>31</v>
      </c>
      <c r="AU32" s="149">
        <f>IFERROR((AT32/AS32),0)</f>
        <v>0.75609756097560976</v>
      </c>
      <c r="AV32" s="54">
        <f>IF($AV$5="Q1",F32+I32+L32,
IF($AV$5="Q2",O32+R32++U32,
IF($AV$5="Q3",X32+AA32+AD32,
IF($AV$5="Q4",AG32+AJ32+AM32,0))))</f>
        <v>23</v>
      </c>
      <c r="AW32" s="86">
        <f>IF($AV$5="Q1",G32+J32+M32,
IF($AV$5="Q2",P32+S32++V32,
IF($AV$5="Q3",Y32+AB32+AE32,
IF($AV$5="Q4",AH32+AK32+AN32,0))))</f>
        <v>14</v>
      </c>
      <c r="AX32" s="109">
        <f t="shared" si="59"/>
        <v>0.60869565217391308</v>
      </c>
      <c r="AY32" s="68">
        <f>IFERROR(IF($AV$5="Q1",#REF!+#REF!+#REF!,
IF($AV$5="Q2",#REF!+#REF!++#REF!,
IF($AV$5="Q3",#REF!+#REF!+#REF!,
IF($AV$5="Q4",#REF!+#REF!+#REF!,0)))),0)</f>
        <v>0</v>
      </c>
      <c r="AZ32" s="297">
        <f>IF(AW32=0,"N.D.",AY32/AW32)</f>
        <v>0</v>
      </c>
      <c r="BA32" s="350">
        <f>IFERROR(IF($AV$5="Q1",#REF!+#REF!+#REF!,
IF($AV$5="Q2",#REF!+#REF!+#REF!,
IF($AV$5="Q3",#REF!+#REF!+#REF!,
IF($AV$5="Q4",#REF!+#REF!+#REF!,0)))),0)</f>
        <v>0</v>
      </c>
      <c r="BB32" s="150">
        <f t="shared" si="60"/>
        <v>0</v>
      </c>
      <c r="BC32" s="67">
        <f>IFERROR(IF($BC$5="S 1",F32+I32+L32+O32+R32+U32,
IF($BC$5="S 2",X32+AA32+AD32+AG32+AJ32+AM32,0)),0)</f>
        <v>41</v>
      </c>
      <c r="BD32" s="68">
        <f>IFERROR(IF($BC$5="S 1",G32+J32+M32+P32+S32+V32,
IF($BC$5="S 2",Y32+AB32+AE32+AH32+AK32+AN32,0)),0)</f>
        <v>31</v>
      </c>
      <c r="BE32" s="150">
        <f t="shared" si="76"/>
        <v>0.75609756097560976</v>
      </c>
      <c r="BF32" s="67">
        <f>IFERROR(IF($BF$5="S 1",F32+I32+L32+O32+R32+U32,
IF($BF$5="S 2",X32+AA32+AD32+AG32+AJ32+AM32,0)),0)</f>
        <v>0</v>
      </c>
      <c r="BG32" s="266">
        <f>IFERROR(IF($BF$5="S 1",G32+J32+M32+P32+S32+V32,
IF($BF$5="S 2",Y32+AB32+AE32+AH32+AK32+AN32,0)),0)</f>
        <v>0</v>
      </c>
      <c r="BH32" s="150">
        <f t="shared" si="77"/>
        <v>0</v>
      </c>
      <c r="BI32" s="53">
        <v>1</v>
      </c>
      <c r="BL32" s="722" t="s">
        <v>246</v>
      </c>
      <c r="BM32" s="723"/>
      <c r="BN32" s="723"/>
      <c r="BO32" s="723"/>
      <c r="BP32" s="724"/>
      <c r="BQ32" s="588">
        <f>BQ10</f>
        <v>698</v>
      </c>
      <c r="BR32" s="588">
        <f>BR10</f>
        <v>599</v>
      </c>
      <c r="BS32" s="589">
        <f>BR32/BQ32</f>
        <v>0.8581661891117478</v>
      </c>
    </row>
    <row r="33" spans="1:61" s="53" customFormat="1" ht="16" customHeight="1" x14ac:dyDescent="0.3">
      <c r="A33" s="53">
        <f>_xlfn.XLOOKUP(B33,'WHOLESALE MINI 2026'!$B$7:$B$63,'WHOLESALE MINI 2026'!$A$7:$A$63)</f>
        <v>5</v>
      </c>
      <c r="B33" s="8">
        <v>100379</v>
      </c>
      <c r="C33" s="369" t="s">
        <v>9</v>
      </c>
      <c r="D33" s="146"/>
      <c r="E33" s="379" t="s">
        <v>79</v>
      </c>
      <c r="F33" s="54">
        <v>4</v>
      </c>
      <c r="G33" s="86">
        <f>SUMIF('UC MINI 2026'!$B$5:$B$71,'UC MINI 2026 MINI NEXT'!$B33,'UC MINI 2026'!$G$5:$G$71)</f>
        <v>2</v>
      </c>
      <c r="H33" s="243">
        <f t="shared" si="63"/>
        <v>0.5</v>
      </c>
      <c r="I33" s="54">
        <v>12</v>
      </c>
      <c r="J33" s="86">
        <f>SUMIF('UC MINI 2026'!$B$5:$B$61,'UC MINI 2026 MINI NEXT'!$B33,'UC MINI 2026'!$I$5:$I$61)</f>
        <v>10</v>
      </c>
      <c r="K33" s="243">
        <f t="shared" si="64"/>
        <v>0.83333333333333337</v>
      </c>
      <c r="L33" s="54">
        <v>5</v>
      </c>
      <c r="M33" s="86">
        <f>SUMIF('UC MINI 2026'!$B$5:$B$61,'UC MINI 2026 MINI NEXT'!$B33,'UC MINI 2026'!$K$5:$K$61)</f>
        <v>8</v>
      </c>
      <c r="N33" s="297">
        <f t="shared" si="65"/>
        <v>1.6</v>
      </c>
      <c r="O33" s="54">
        <f>VLOOKUP(B33,'[5]% Penetración Mdo ABR26'!$B$7:$G$59,6,0)-F33-I33-L33</f>
        <v>1</v>
      </c>
      <c r="P33" s="86">
        <f>SUMIF('UC MINI 2026'!$B$5:$B$61,'UC MINI 2026 MINI NEXT'!$B33,'UC MINI 2026'!$M$5:$M$61)</f>
        <v>5</v>
      </c>
      <c r="Q33" s="243">
        <f t="shared" si="66"/>
        <v>5</v>
      </c>
      <c r="R33" s="21">
        <f>VLOOKUP(B33,'[6]% Penetración Mdo MAY26'!$B$7:$G$65,6,0)-F33-I33-L33-O33</f>
        <v>9</v>
      </c>
      <c r="S33" s="86">
        <f>SUMIF('UC MINI 2026'!$B$5:$B$61,'UC MINI 2026 MINI NEXT'!$B33,'UC MINI 2026'!$O$5:$O$61)</f>
        <v>4</v>
      </c>
      <c r="T33" s="297">
        <f t="shared" si="67"/>
        <v>0.44444444444444442</v>
      </c>
      <c r="U33" s="606">
        <f>VLOOKUP(B33,'[7]% Penetración Mdo JUN26'!$B$7:$J$59,6,0)-F33-I33-L33-O33-R33</f>
        <v>11</v>
      </c>
      <c r="V33" s="86">
        <f>SUMIF('UC MINI 2026'!$B$5:$B$61,'UC MINI 2026 MINI NEXT'!$B33,'UC MINI 2026'!$Q$5:$Q$61)</f>
        <v>5</v>
      </c>
      <c r="W33" s="243">
        <f t="shared" si="68"/>
        <v>0.45454545454545453</v>
      </c>
      <c r="X33" s="54"/>
      <c r="Y33" s="86">
        <f>SUMIF('UC MINI 2026'!$B$5:$B$61,'UC MINI 2026 MINI NEXT'!$B33,'UC MINI 2026'!$S$5:$S$61)</f>
        <v>0</v>
      </c>
      <c r="Z33" s="297">
        <f t="shared" si="69"/>
        <v>0</v>
      </c>
      <c r="AA33" s="54"/>
      <c r="AB33" s="86">
        <f>SUMIF('UC MINI 2026'!$B$5:$B$61,'UC MINI 2026 MINI NEXT'!$B33,'UC MINI 2026'!$U$5:$U$61)</f>
        <v>0</v>
      </c>
      <c r="AC33" s="243">
        <f t="shared" si="70"/>
        <v>0</v>
      </c>
      <c r="AD33" s="54"/>
      <c r="AE33" s="86">
        <f>SUMIF('UC MINI 2026'!$B$5:$B$61,'UC MINI 2026 MINI NEXT'!$B33,'UC MINI 2026'!$W$5:$W$61)</f>
        <v>0</v>
      </c>
      <c r="AF33" s="297">
        <f t="shared" si="71"/>
        <v>0</v>
      </c>
      <c r="AG33" s="54"/>
      <c r="AH33" s="86">
        <f>SUMIF('UC MINI 2026'!$B$5:$B$61,'UC MINI 2026 MINI NEXT'!$B33,'UC MINI 2026'!$Y$5:$Y$61)</f>
        <v>0</v>
      </c>
      <c r="AI33" s="243">
        <f t="shared" si="72"/>
        <v>0</v>
      </c>
      <c r="AJ33" s="54"/>
      <c r="AK33" s="86">
        <f>SUMIF('UC MINI 2026'!$B$5:$B$61,'UC MINI 2026 MINI NEXT'!$B33,'UC MINI 2026'!$AA$5:$AA$61)</f>
        <v>0</v>
      </c>
      <c r="AL33" s="297">
        <f t="shared" si="73"/>
        <v>0</v>
      </c>
      <c r="AM33" s="54"/>
      <c r="AN33" s="86">
        <f>SUMIF('UC MINI 2026'!$B$5:$B$61,'UC MINI 2026 MINI NEXT'!$B33,'UC MINI 2026'!$AC$5:$AC$61)</f>
        <v>0</v>
      </c>
      <c r="AO33" s="243">
        <f t="shared" si="74"/>
        <v>0</v>
      </c>
      <c r="AP33" s="67">
        <f t="shared" ref="AP33:AQ35" si="78">IFERROR(IF($AP$4="ENERO",F33,IF($AP$4="FEBRERO",F33+I33,IF($AP$4="MARZO",F33+I33+L33,IF($AP$4="ABRIL",F33+I33+L33+O33,IF($AP$4="MAYO",F33+I33+L33+O33+R33,IF($AP$4="JUNIO",F33+I33+L33+O33+R33+U33,IF($AP$4="JULIO",F33+I33+L33+O33+R33+U33+X33,IF($AP$4="AGOSTO",F33+I33+L33+O33+R33+U33+X33+AA33,IF($AP$4="SEPTIEMBRE",F33+I33+L33+O33+R33+U33+X33+AA33+AD33,IF($AP$4="OCTUBRE",F33+I33+L33+O33+R33+U33+X33+AA33+AD33+AG33,IF($AP$4="NOVIEMBRE",F33+I33+L33+O33+R33+U33+X33+AA33+AD33+AG33+AJ33,IF($AP$4="DICIEMBRE",F33+I33+L33+O33+R33+U33+X33+AA33+AD33+AG33+AJ33+AM33,"")))))))))))),0)</f>
        <v>42</v>
      </c>
      <c r="AQ33" s="68">
        <f t="shared" si="78"/>
        <v>34</v>
      </c>
      <c r="AR33" s="149">
        <f t="shared" si="75"/>
        <v>0.80952380952380953</v>
      </c>
      <c r="AS33" s="67">
        <f>IFERROR(F33+I33+L33+O33+R33+U33++X33+AA33+AD33+AG33+AJ33+AM33,0)</f>
        <v>42</v>
      </c>
      <c r="AT33" s="86">
        <f t="shared" si="16"/>
        <v>34</v>
      </c>
      <c r="AU33" s="149">
        <f t="shared" si="25"/>
        <v>0.80952380952380953</v>
      </c>
      <c r="AV33" s="54">
        <f t="shared" ref="AV33:AW35" si="79">IF($AV$5="Q1",F33+I33+L33,
IF($AV$5="Q2",O33+R33++U33,
IF($AV$5="Q3",X33+AA33+AD33,
IF($AV$5="Q4",AG33+AJ33+AM33,0))))</f>
        <v>21</v>
      </c>
      <c r="AW33" s="86">
        <f t="shared" si="79"/>
        <v>20</v>
      </c>
      <c r="AX33" s="109">
        <f t="shared" si="59"/>
        <v>0.95238095238095233</v>
      </c>
      <c r="AY33" s="68">
        <f>IFERROR(IF($AV$5="Q1",#REF!+#REF!+#REF!,
IF($AV$5="Q2",#REF!+#REF!++#REF!,
IF($AV$5="Q3",#REF!+#REF!+#REF!,
IF($AV$5="Q4",#REF!+#REF!+#REF!,0)))),0)</f>
        <v>0</v>
      </c>
      <c r="AZ33" s="297">
        <f>IF(AW33=0,"N.D.",AY33/AW33)</f>
        <v>0</v>
      </c>
      <c r="BA33" s="350">
        <f>IFERROR(IF($AV$5="Q1",#REF!+#REF!+#REF!,
IF($AV$5="Q2",#REF!+#REF!+#REF!,
IF($AV$5="Q3",#REF!+#REF!+#REF!,
IF($AV$5="Q4",#REF!+#REF!+#REF!,0)))),0)</f>
        <v>0</v>
      </c>
      <c r="BB33" s="150">
        <f t="shared" si="60"/>
        <v>0</v>
      </c>
      <c r="BC33" s="67">
        <f t="shared" ref="BC33:BD35" si="80">IFERROR(IF($BC$5="S 1",F33+I33+L33+O33+R33+U33,
IF($BC$5="S 2",X33+AA33+AD33+AG33+AJ33+AM33,0)),0)</f>
        <v>42</v>
      </c>
      <c r="BD33" s="68">
        <f t="shared" si="80"/>
        <v>34</v>
      </c>
      <c r="BE33" s="150">
        <f t="shared" si="76"/>
        <v>0.80952380952380953</v>
      </c>
      <c r="BF33" s="67">
        <f t="shared" ref="BF33:BG35" si="81">IFERROR(IF($BF$5="S 1",F33+I33+L33+O33+R33+U33,
IF($BF$5="S 2",X33+AA33+AD33+AG33+AJ33+AM33,0)),0)</f>
        <v>0</v>
      </c>
      <c r="BG33" s="266">
        <f t="shared" si="81"/>
        <v>0</v>
      </c>
      <c r="BH33" s="150">
        <f t="shared" si="77"/>
        <v>0</v>
      </c>
      <c r="BI33" s="53">
        <v>1</v>
      </c>
    </row>
    <row r="34" spans="1:61" s="53" customFormat="1" ht="16" customHeight="1" x14ac:dyDescent="0.3">
      <c r="A34" s="53">
        <f>_xlfn.XLOOKUP(B34,'WHOLESALE MINI 2026'!$B$7:$B$63,'WHOLESALE MINI 2026'!$A$7:$A$63)</f>
        <v>5</v>
      </c>
      <c r="B34" s="8">
        <v>100410</v>
      </c>
      <c r="C34" s="369" t="s">
        <v>22</v>
      </c>
      <c r="D34" s="146"/>
      <c r="E34" s="379" t="s">
        <v>79</v>
      </c>
      <c r="F34" s="54">
        <v>8</v>
      </c>
      <c r="G34" s="86">
        <f>SUMIF('UC MINI 2026'!$B$5:$B$71,'UC MINI 2026 MINI NEXT'!$B34,'UC MINI 2026'!$G$5:$G$71)</f>
        <v>8</v>
      </c>
      <c r="H34" s="243">
        <f t="shared" si="63"/>
        <v>1</v>
      </c>
      <c r="I34" s="54">
        <v>12</v>
      </c>
      <c r="J34" s="86">
        <f>SUMIF('UC MINI 2026'!$B$5:$B$61,'UC MINI 2026 MINI NEXT'!$B34,'UC MINI 2026'!$I$5:$I$61)</f>
        <v>5</v>
      </c>
      <c r="K34" s="243">
        <f t="shared" si="64"/>
        <v>0.41666666666666669</v>
      </c>
      <c r="L34" s="54">
        <v>20</v>
      </c>
      <c r="M34" s="86">
        <f>SUMIF('UC MINI 2026'!$B$5:$B$61,'UC MINI 2026 MINI NEXT'!$B34,'UC MINI 2026'!$K$5:$K$61)</f>
        <v>9</v>
      </c>
      <c r="N34" s="297">
        <f t="shared" si="65"/>
        <v>0.45</v>
      </c>
      <c r="O34" s="54">
        <f>VLOOKUP(B34,'[5]% Penetración Mdo ABR26'!$B$7:$G$59,6,0)-F34-I34-L34</f>
        <v>13</v>
      </c>
      <c r="P34" s="86">
        <f>SUMIF('UC MINI 2026'!$B$5:$B$61,'UC MINI 2026 MINI NEXT'!$B34,'UC MINI 2026'!$M$5:$M$61)</f>
        <v>4</v>
      </c>
      <c r="Q34" s="243">
        <f t="shared" si="66"/>
        <v>0.30769230769230771</v>
      </c>
      <c r="R34" s="21">
        <f>VLOOKUP(B34,'[6]% Penetración Mdo MAY26'!$B$7:$G$65,6,0)-F34-I34-L34-O34</f>
        <v>7</v>
      </c>
      <c r="S34" s="86">
        <f>SUMIF('UC MINI 2026'!$B$5:$B$61,'UC MINI 2026 MINI NEXT'!$B34,'UC MINI 2026'!$O$5:$O$61)</f>
        <v>6</v>
      </c>
      <c r="T34" s="297">
        <f t="shared" si="67"/>
        <v>0.8571428571428571</v>
      </c>
      <c r="U34" s="606">
        <f>VLOOKUP(B34,'[7]% Penetración Mdo JUN26'!$B$7:$J$59,6,0)-F34-I34-L34-O34-R34</f>
        <v>22</v>
      </c>
      <c r="V34" s="86">
        <f>SUMIF('UC MINI 2026'!$B$5:$B$61,'UC MINI 2026 MINI NEXT'!$B34,'UC MINI 2026'!$Q$5:$Q$61)</f>
        <v>13</v>
      </c>
      <c r="W34" s="243">
        <f t="shared" si="68"/>
        <v>0.59090909090909094</v>
      </c>
      <c r="X34" s="54"/>
      <c r="Y34" s="86">
        <f>SUMIF('UC MINI 2026'!$B$5:$B$61,'UC MINI 2026 MINI NEXT'!$B34,'UC MINI 2026'!$S$5:$S$61)</f>
        <v>0</v>
      </c>
      <c r="Z34" s="297">
        <f t="shared" si="69"/>
        <v>0</v>
      </c>
      <c r="AA34" s="54"/>
      <c r="AB34" s="86">
        <f>SUMIF('UC MINI 2026'!$B$5:$B$61,'UC MINI 2026 MINI NEXT'!$B34,'UC MINI 2026'!$U$5:$U$61)</f>
        <v>0</v>
      </c>
      <c r="AC34" s="243">
        <f t="shared" si="70"/>
        <v>0</v>
      </c>
      <c r="AD34" s="54"/>
      <c r="AE34" s="86">
        <f>SUMIF('UC MINI 2026'!$B$5:$B$61,'UC MINI 2026 MINI NEXT'!$B34,'UC MINI 2026'!$W$5:$W$61)</f>
        <v>0</v>
      </c>
      <c r="AF34" s="297">
        <f t="shared" si="71"/>
        <v>0</v>
      </c>
      <c r="AG34" s="54"/>
      <c r="AH34" s="86">
        <f>SUMIF('UC MINI 2026'!$B$5:$B$61,'UC MINI 2026 MINI NEXT'!$B34,'UC MINI 2026'!$Y$5:$Y$61)</f>
        <v>0</v>
      </c>
      <c r="AI34" s="243">
        <f t="shared" si="72"/>
        <v>0</v>
      </c>
      <c r="AJ34" s="54"/>
      <c r="AK34" s="86">
        <f>SUMIF('UC MINI 2026'!$B$5:$B$61,'UC MINI 2026 MINI NEXT'!$B34,'UC MINI 2026'!$AA$5:$AA$61)</f>
        <v>0</v>
      </c>
      <c r="AL34" s="297">
        <f t="shared" si="73"/>
        <v>0</v>
      </c>
      <c r="AM34" s="54"/>
      <c r="AN34" s="86">
        <f>SUMIF('UC MINI 2026'!$B$5:$B$61,'UC MINI 2026 MINI NEXT'!$B34,'UC MINI 2026'!$AC$5:$AC$61)</f>
        <v>0</v>
      </c>
      <c r="AO34" s="243">
        <f t="shared" si="74"/>
        <v>0</v>
      </c>
      <c r="AP34" s="67">
        <f t="shared" si="78"/>
        <v>82</v>
      </c>
      <c r="AQ34" s="68">
        <f t="shared" si="78"/>
        <v>45</v>
      </c>
      <c r="AR34" s="149">
        <f t="shared" si="75"/>
        <v>0.54878048780487809</v>
      </c>
      <c r="AS34" s="67">
        <f>IFERROR(F34+I34+L34+O34+R34+U34++X34+AA34+AD34+AG34+AJ34+AM34,0)</f>
        <v>82</v>
      </c>
      <c r="AT34" s="86">
        <f t="shared" si="16"/>
        <v>45</v>
      </c>
      <c r="AU34" s="149">
        <f t="shared" si="25"/>
        <v>0.54878048780487809</v>
      </c>
      <c r="AV34" s="54">
        <f t="shared" si="79"/>
        <v>40</v>
      </c>
      <c r="AW34" s="86">
        <f t="shared" si="79"/>
        <v>22</v>
      </c>
      <c r="AX34" s="109">
        <f t="shared" si="59"/>
        <v>0.55000000000000004</v>
      </c>
      <c r="AY34" s="68">
        <f>IFERROR(IF($AV$5="Q1",#REF!+#REF!+#REF!,
IF($AV$5="Q2",#REF!+#REF!++#REF!,
IF($AV$5="Q3",#REF!+#REF!+#REF!,
IF($AV$5="Q4",#REF!+#REF!+#REF!,0)))),0)</f>
        <v>0</v>
      </c>
      <c r="AZ34" s="297">
        <f>IF(AW34=0,"N.D.",AY34/AW34)</f>
        <v>0</v>
      </c>
      <c r="BA34" s="350">
        <f>IFERROR(IF($AV$5="Q1",#REF!+#REF!+#REF!,
IF($AV$5="Q2",#REF!+#REF!+#REF!,
IF($AV$5="Q3",#REF!+#REF!+#REF!,
IF($AV$5="Q4",#REF!+#REF!+#REF!,0)))),0)</f>
        <v>0</v>
      </c>
      <c r="BB34" s="150">
        <f t="shared" si="60"/>
        <v>0</v>
      </c>
      <c r="BC34" s="67">
        <f t="shared" si="80"/>
        <v>82</v>
      </c>
      <c r="BD34" s="68">
        <f t="shared" si="80"/>
        <v>45</v>
      </c>
      <c r="BE34" s="150">
        <f t="shared" si="76"/>
        <v>0.54878048780487809</v>
      </c>
      <c r="BF34" s="67">
        <f t="shared" si="81"/>
        <v>0</v>
      </c>
      <c r="BG34" s="266">
        <f t="shared" si="81"/>
        <v>0</v>
      </c>
      <c r="BH34" s="150">
        <f t="shared" si="77"/>
        <v>0</v>
      </c>
      <c r="BI34" s="53">
        <v>1</v>
      </c>
    </row>
    <row r="35" spans="1:61" s="53" customFormat="1" ht="16" customHeight="1" thickBot="1" x14ac:dyDescent="0.35">
      <c r="A35" s="53">
        <f>_xlfn.XLOOKUP(B35,'WHOLESALE MINI 2026'!$B$7:$B$63,'WHOLESALE MINI 2026'!$A$7:$A$63)</f>
        <v>5</v>
      </c>
      <c r="B35" s="8">
        <v>100739</v>
      </c>
      <c r="C35" s="369" t="s">
        <v>49</v>
      </c>
      <c r="D35" s="146"/>
      <c r="E35" s="379" t="s">
        <v>79</v>
      </c>
      <c r="F35" s="54">
        <v>1</v>
      </c>
      <c r="G35" s="86">
        <f>SUMIF('UC MINI 2026'!$B$5:$B$71,'UC MINI 2026 MINI NEXT'!$B35,'UC MINI 2026'!$G$5:$G$71)</f>
        <v>1</v>
      </c>
      <c r="H35" s="433">
        <f t="shared" si="63"/>
        <v>1</v>
      </c>
      <c r="I35" s="54">
        <v>5</v>
      </c>
      <c r="J35" s="86">
        <f>SUMIF('UC MINI 2026'!$B$5:$B$61,'UC MINI 2026 MINI NEXT'!$B35,'UC MINI 2026'!$I$5:$I$61)</f>
        <v>2</v>
      </c>
      <c r="K35" s="433">
        <f t="shared" si="64"/>
        <v>0.4</v>
      </c>
      <c r="L35" s="54">
        <v>4</v>
      </c>
      <c r="M35" s="86">
        <f>SUMIF('UC MINI 2026'!$B$5:$B$61,'UC MINI 2026 MINI NEXT'!$B35,'UC MINI 2026'!$K$5:$K$61)</f>
        <v>3</v>
      </c>
      <c r="N35" s="298">
        <f t="shared" si="65"/>
        <v>0.75</v>
      </c>
      <c r="O35" s="54">
        <f>VLOOKUP(B35,'[5]% Penetración Mdo ABR26'!$B$7:$G$59,6,0)-F35-I35-L35</f>
        <v>4</v>
      </c>
      <c r="P35" s="86">
        <f>SUMIF('UC MINI 2026'!$B$5:$B$61,'UC MINI 2026 MINI NEXT'!$B35,'UC MINI 2026'!$M$5:$M$61)</f>
        <v>2</v>
      </c>
      <c r="Q35" s="433">
        <f t="shared" si="66"/>
        <v>0.5</v>
      </c>
      <c r="R35" s="21">
        <f>VLOOKUP(B35,'[6]% Penetración Mdo MAY26'!$B$7:$G$65,6,0)-F35-I35-L35-O35</f>
        <v>4</v>
      </c>
      <c r="S35" s="86">
        <f>SUMIF('UC MINI 2026'!$B$5:$B$61,'UC MINI 2026 MINI NEXT'!$B35,'UC MINI 2026'!$O$5:$O$61)</f>
        <v>4</v>
      </c>
      <c r="T35" s="298">
        <f t="shared" si="67"/>
        <v>1</v>
      </c>
      <c r="U35" s="606">
        <f>VLOOKUP(B35,'[7]% Penetración Mdo JUN26'!$B$7:$J$59,6,0)-F35-I35-L35-O35-R35</f>
        <v>7</v>
      </c>
      <c r="V35" s="86">
        <f>SUMIF('UC MINI 2026'!$B$5:$B$61,'UC MINI 2026 MINI NEXT'!$B35,'UC MINI 2026'!$Q$5:$Q$61)</f>
        <v>6</v>
      </c>
      <c r="W35" s="433">
        <f t="shared" si="68"/>
        <v>0.8571428571428571</v>
      </c>
      <c r="X35" s="54"/>
      <c r="Y35" s="86">
        <f>SUMIF('UC MINI 2026'!$B$5:$B$61,'UC MINI 2026 MINI NEXT'!$B35,'UC MINI 2026'!$S$5:$S$61)</f>
        <v>0</v>
      </c>
      <c r="Z35" s="297">
        <f t="shared" si="69"/>
        <v>0</v>
      </c>
      <c r="AA35" s="54"/>
      <c r="AB35" s="86">
        <f>SUMIF('UC MINI 2026'!$B$5:$B$61,'UC MINI 2026 MINI NEXT'!$B35,'UC MINI 2026'!$U$5:$U$61)</f>
        <v>0</v>
      </c>
      <c r="AC35" s="243">
        <f t="shared" si="70"/>
        <v>0</v>
      </c>
      <c r="AD35" s="54"/>
      <c r="AE35" s="86">
        <f>SUMIF('UC MINI 2026'!$B$5:$B$61,'UC MINI 2026 MINI NEXT'!$B35,'UC MINI 2026'!$W$5:$W$61)</f>
        <v>0</v>
      </c>
      <c r="AF35" s="297">
        <f t="shared" si="71"/>
        <v>0</v>
      </c>
      <c r="AG35" s="54"/>
      <c r="AH35" s="86">
        <f>SUMIF('UC MINI 2026'!$B$5:$B$61,'UC MINI 2026 MINI NEXT'!$B35,'UC MINI 2026'!$Y$5:$Y$61)</f>
        <v>0</v>
      </c>
      <c r="AI35" s="243">
        <f t="shared" si="72"/>
        <v>0</v>
      </c>
      <c r="AJ35" s="54"/>
      <c r="AK35" s="86">
        <f>SUMIF('UC MINI 2026'!$B$5:$B$61,'UC MINI 2026 MINI NEXT'!$B35,'UC MINI 2026'!$AA$5:$AA$61)</f>
        <v>0</v>
      </c>
      <c r="AL35" s="297">
        <f t="shared" si="73"/>
        <v>0</v>
      </c>
      <c r="AM35" s="54"/>
      <c r="AN35" s="86">
        <f>SUMIF('UC MINI 2026'!$B$5:$B$61,'UC MINI 2026 MINI NEXT'!$B35,'UC MINI 2026'!$AC$5:$AC$61)</f>
        <v>0</v>
      </c>
      <c r="AO35" s="433">
        <f t="shared" si="74"/>
        <v>0</v>
      </c>
      <c r="AP35" s="67">
        <f t="shared" si="78"/>
        <v>25</v>
      </c>
      <c r="AQ35" s="68">
        <f t="shared" si="78"/>
        <v>18</v>
      </c>
      <c r="AR35" s="152">
        <f t="shared" si="75"/>
        <v>0.72</v>
      </c>
      <c r="AS35" s="67">
        <f>IFERROR(F35+I35+L35+O35+R35+U35++X35+AA35+AD35+AG35+AJ35+AM35,0)</f>
        <v>25</v>
      </c>
      <c r="AT35" s="86">
        <f t="shared" si="16"/>
        <v>18</v>
      </c>
      <c r="AU35" s="152">
        <f t="shared" si="25"/>
        <v>0.72</v>
      </c>
      <c r="AV35" s="58">
        <f t="shared" si="79"/>
        <v>10</v>
      </c>
      <c r="AW35" s="59">
        <f t="shared" si="79"/>
        <v>6</v>
      </c>
      <c r="AX35" s="112">
        <f t="shared" si="59"/>
        <v>0.6</v>
      </c>
      <c r="AY35" s="68">
        <f>IFERROR(IF($AV$5="Q1",#REF!+#REF!+#REF!,
IF($AV$5="Q2",#REF!+#REF!++#REF!,
IF($AV$5="Q3",#REF!+#REF!+#REF!,
IF($AV$5="Q4",#REF!+#REF!+#REF!,0)))),0)</f>
        <v>0</v>
      </c>
      <c r="AZ35" s="297">
        <f>IF(AW35=0,"N.D.",AY35/AW35)</f>
        <v>0</v>
      </c>
      <c r="BA35" s="350">
        <f>IFERROR(IF($AV$5="Q1",#REF!+#REF!+#REF!,
IF($AV$5="Q2",#REF!+#REF!+#REF!,
IF($AV$5="Q3",#REF!+#REF!+#REF!,
IF($AV$5="Q4",#REF!+#REF!+#REF!,0)))),0)</f>
        <v>0</v>
      </c>
      <c r="BB35" s="153">
        <f t="shared" si="60"/>
        <v>0</v>
      </c>
      <c r="BC35" s="67">
        <f t="shared" si="80"/>
        <v>25</v>
      </c>
      <c r="BD35" s="68">
        <f t="shared" si="80"/>
        <v>18</v>
      </c>
      <c r="BE35" s="153">
        <f t="shared" si="76"/>
        <v>0.72</v>
      </c>
      <c r="BF35" s="67">
        <f t="shared" si="81"/>
        <v>0</v>
      </c>
      <c r="BG35" s="266">
        <f t="shared" si="81"/>
        <v>0</v>
      </c>
      <c r="BH35" s="153">
        <f t="shared" si="77"/>
        <v>0</v>
      </c>
      <c r="BI35" s="53">
        <v>1</v>
      </c>
    </row>
    <row r="36" spans="1:61" s="53" customFormat="1" ht="16" customHeight="1" thickBot="1" x14ac:dyDescent="0.35">
      <c r="A36" s="53" t="e">
        <f>_xlfn.XLOOKUP(B36,'WHOLESALE MINI 2026'!$B$7:$B$63,'WHOLESALE MINI 2026'!$A$7:$A$63)</f>
        <v>#N/A</v>
      </c>
      <c r="B36" s="61" t="s">
        <v>43</v>
      </c>
      <c r="C36" s="62"/>
      <c r="D36" s="146"/>
      <c r="E36" s="80"/>
      <c r="F36" s="155">
        <f>SUM(F31:F35)</f>
        <v>28</v>
      </c>
      <c r="G36" s="155">
        <f>SUM(G31:G35)</f>
        <v>19</v>
      </c>
      <c r="H36" s="301">
        <f t="shared" si="63"/>
        <v>0.6785714285714286</v>
      </c>
      <c r="I36" s="155">
        <f>SUM(I31:I35)</f>
        <v>41</v>
      </c>
      <c r="J36" s="155">
        <f>SUM(J31:J35)</f>
        <v>25</v>
      </c>
      <c r="K36" s="301">
        <f t="shared" si="64"/>
        <v>0.6097560975609756</v>
      </c>
      <c r="L36" s="155">
        <f>SUM(L31:L35)</f>
        <v>39</v>
      </c>
      <c r="M36" s="155">
        <f>SUM(M31:M35)</f>
        <v>25</v>
      </c>
      <c r="N36" s="301">
        <f t="shared" si="65"/>
        <v>0.64102564102564108</v>
      </c>
      <c r="O36" s="155">
        <f>SUM(O31:O35)</f>
        <v>26</v>
      </c>
      <c r="P36" s="155">
        <f>SUM(P31:P35)</f>
        <v>16</v>
      </c>
      <c r="Q36" s="301">
        <f t="shared" si="66"/>
        <v>0.61538461538461542</v>
      </c>
      <c r="R36" s="155">
        <f>SUM(R31:R35)</f>
        <v>32</v>
      </c>
      <c r="S36" s="155">
        <f>SUM(S31:S35)</f>
        <v>23</v>
      </c>
      <c r="T36" s="301">
        <f t="shared" si="67"/>
        <v>0.71875</v>
      </c>
      <c r="U36" s="155">
        <f>SUM(U31:U35)</f>
        <v>55</v>
      </c>
      <c r="V36" s="155">
        <f>SUM(V31:V35)</f>
        <v>37</v>
      </c>
      <c r="W36" s="301">
        <f t="shared" si="68"/>
        <v>0.67272727272727273</v>
      </c>
      <c r="X36" s="155">
        <f>SUM(X31:X35)</f>
        <v>0</v>
      </c>
      <c r="Y36" s="155">
        <f>SUM(Y31:Y35)</f>
        <v>0</v>
      </c>
      <c r="Z36" s="301">
        <f t="shared" ref="Z36:Z65" si="82">IFERROR(Y36/X36,0)</f>
        <v>0</v>
      </c>
      <c r="AA36" s="155">
        <f>SUM(AA31:AA35)</f>
        <v>0</v>
      </c>
      <c r="AB36" s="155">
        <f>SUM(AB31:AB35)</f>
        <v>0</v>
      </c>
      <c r="AC36" s="301">
        <f t="shared" ref="AC36:AC65" si="83">IFERROR(AB36/AA36,0)</f>
        <v>0</v>
      </c>
      <c r="AD36" s="155">
        <f>SUM(AD31:AD35)</f>
        <v>0</v>
      </c>
      <c r="AE36" s="155">
        <f>SUM(AE31:AE35)</f>
        <v>0</v>
      </c>
      <c r="AF36" s="301">
        <f t="shared" ref="AF36:AF65" si="84">IFERROR(AE36/AD36,0)</f>
        <v>0</v>
      </c>
      <c r="AG36" s="155">
        <f>SUM(AG31:AG35)</f>
        <v>0</v>
      </c>
      <c r="AH36" s="155">
        <f>SUM(AH31:AH35)</f>
        <v>0</v>
      </c>
      <c r="AI36" s="301">
        <f t="shared" ref="AI36:AI65" si="85">IFERROR(AH36/AG36,0)</f>
        <v>0</v>
      </c>
      <c r="AJ36" s="155">
        <f>SUM(AJ31:AJ35)</f>
        <v>0</v>
      </c>
      <c r="AK36" s="155">
        <f>SUM(AK31:AK35)</f>
        <v>0</v>
      </c>
      <c r="AL36" s="301">
        <f t="shared" ref="AL36:AL65" si="86">IFERROR(AK36/AJ36,0)</f>
        <v>0</v>
      </c>
      <c r="AM36" s="155">
        <f>SUM(AM31:AM35)</f>
        <v>0</v>
      </c>
      <c r="AN36" s="155">
        <f>SUM(AN31:AN35)</f>
        <v>0</v>
      </c>
      <c r="AO36" s="301">
        <f t="shared" si="74"/>
        <v>0</v>
      </c>
      <c r="AP36" s="63">
        <f>SUM(AP31:AP35)</f>
        <v>221</v>
      </c>
      <c r="AQ36" s="63">
        <f>SUM(AQ31:AQ35)</f>
        <v>145</v>
      </c>
      <c r="AR36" s="320">
        <f t="shared" si="75"/>
        <v>0.65610859728506787</v>
      </c>
      <c r="AS36" s="63">
        <f>SUM(AS31:AS35)</f>
        <v>221</v>
      </c>
      <c r="AT36" s="63">
        <f>SUM(AT31:AT35)</f>
        <v>145</v>
      </c>
      <c r="AU36" s="320">
        <f t="shared" si="25"/>
        <v>0.65610859728506787</v>
      </c>
      <c r="AV36" s="63">
        <f>SUM(AV30:AV35)</f>
        <v>1468</v>
      </c>
      <c r="AW36" s="65">
        <f>SUM(AW30:AW35)</f>
        <v>593</v>
      </c>
      <c r="AX36" s="157">
        <f t="shared" si="59"/>
        <v>0.40395095367847411</v>
      </c>
      <c r="AY36" s="65">
        <f>SUM(AY30:AY35)</f>
        <v>0</v>
      </c>
      <c r="AZ36" s="321">
        <f>IFERROR(AY36/AW36,0)</f>
        <v>0</v>
      </c>
      <c r="BA36" s="349" t="e">
        <f>IF($AV$5="Q1",#REF!+#REF!+#REF!,
IF($AV$5="Q2",#REF!+#REF!+#REF!,
IF($AV$5="Q3",#REF!+#REF!+#REF!,
IF($AV$5="Q4",#REF!+#REF!+#REF!,0))))</f>
        <v>#REF!</v>
      </c>
      <c r="BB36" s="333">
        <f t="shared" si="60"/>
        <v>0</v>
      </c>
      <c r="BC36" s="63">
        <f>IF($BC$5="S 1",F36+I36+L36+O36+R36+U36,
IF($BC$5="S 2",X36+AA36+AD36+AG36+AJ36+AM36,0))</f>
        <v>221</v>
      </c>
      <c r="BD36" s="65">
        <f>IF($BC$5="S 1",G36+J36+M36+P36+S36+V36,
IF($BC$5="S 2",Y36+AB36+AE36+AH36+AK36+AN36,0))</f>
        <v>145</v>
      </c>
      <c r="BE36" s="333">
        <f t="shared" si="76"/>
        <v>0.65610859728506787</v>
      </c>
      <c r="BF36" s="63">
        <f>SUM(BF31:BF35)</f>
        <v>0</v>
      </c>
      <c r="BG36" s="63">
        <f>SUM(BG31:BG35)</f>
        <v>0</v>
      </c>
      <c r="BH36" s="333">
        <f t="shared" si="77"/>
        <v>0</v>
      </c>
      <c r="BI36" s="53">
        <v>0</v>
      </c>
    </row>
    <row r="37" spans="1:61" s="53" customFormat="1" ht="16" customHeight="1" x14ac:dyDescent="0.3">
      <c r="A37" s="53">
        <f>_xlfn.XLOOKUP(B37,'WHOLESALE MINI 2026'!$B$7:$B$63,'WHOLESALE MINI 2026'!$A$7:$A$63)</f>
        <v>6</v>
      </c>
      <c r="B37" s="8">
        <v>100348</v>
      </c>
      <c r="C37" s="369" t="s">
        <v>56</v>
      </c>
      <c r="D37" s="146"/>
      <c r="E37" s="309" t="s">
        <v>105</v>
      </c>
      <c r="F37" s="54">
        <v>9</v>
      </c>
      <c r="G37" s="86">
        <f>SUMIF('UC MINI 2026'!$B$5:$B$71,'UC MINI 2026 MINI NEXT'!$B37,'UC MINI 2026'!$G$5:$G$71)</f>
        <v>6</v>
      </c>
      <c r="H37" s="243">
        <f t="shared" si="63"/>
        <v>0.66666666666666663</v>
      </c>
      <c r="I37" s="54">
        <v>3</v>
      </c>
      <c r="J37" s="86">
        <f>SUMIF('UC MINI 2026'!$B$5:$B$61,'UC MINI 2026 MINI NEXT'!$B37,'UC MINI 2026'!$I$5:$I$61)</f>
        <v>4</v>
      </c>
      <c r="K37" s="243">
        <f t="shared" si="64"/>
        <v>1.3333333333333333</v>
      </c>
      <c r="L37" s="54">
        <v>8</v>
      </c>
      <c r="M37" s="86">
        <f>SUMIF('UC MINI 2026'!$B$5:$B$61,'UC MINI 2026 MINI NEXT'!$B37,'UC MINI 2026'!$K$5:$K$61)</f>
        <v>6</v>
      </c>
      <c r="N37" s="297">
        <f t="shared" si="65"/>
        <v>0.75</v>
      </c>
      <c r="O37" s="54">
        <f>VLOOKUP(B37,'[5]% Penetración Mdo ABR26'!$B$7:$G$59,6,0)-F37-I37-L37</f>
        <v>4</v>
      </c>
      <c r="P37" s="86">
        <f>SUMIF('UC MINI 2026'!$B$5:$B$61,'UC MINI 2026 MINI NEXT'!$B37,'UC MINI 2026'!$M$5:$M$61)</f>
        <v>5</v>
      </c>
      <c r="Q37" s="243">
        <f t="shared" si="66"/>
        <v>1.25</v>
      </c>
      <c r="R37" s="21">
        <f>VLOOKUP(B37,'[6]% Penetración Mdo MAY26'!$B$7:$G$65,6,0)-F37-I37-L37-O37</f>
        <v>6</v>
      </c>
      <c r="S37" s="86">
        <f>SUMIF('UC MINI 2026'!$B$5:$B$61,'UC MINI 2026 MINI NEXT'!$B37,'UC MINI 2026'!$O$5:$O$61)</f>
        <v>7</v>
      </c>
      <c r="T37" s="297">
        <f t="shared" si="67"/>
        <v>1.1666666666666667</v>
      </c>
      <c r="U37" s="606">
        <f>VLOOKUP(B37,'[7]% Penetración Mdo JUN26'!$B$7:$J$59,6,0)-F37-I37-L37-O37-R37</f>
        <v>11</v>
      </c>
      <c r="V37" s="86">
        <f>SUMIF('UC MINI 2026'!$B$5:$B$61,'UC MINI 2026 MINI NEXT'!$B37,'UC MINI 2026'!$Q$5:$Q$61)</f>
        <v>6</v>
      </c>
      <c r="W37" s="243">
        <f t="shared" si="68"/>
        <v>0.54545454545454541</v>
      </c>
      <c r="X37" s="54"/>
      <c r="Y37" s="86">
        <f>SUMIF('UC MINI 2026'!$B$5:$B$61,'UC MINI 2026 MINI NEXT'!$B37,'UC MINI 2026'!$S$5:$S$61)</f>
        <v>0</v>
      </c>
      <c r="Z37" s="297">
        <f t="shared" si="82"/>
        <v>0</v>
      </c>
      <c r="AA37" s="54"/>
      <c r="AB37" s="86">
        <f>SUMIF('UC MINI 2026'!$B$5:$B$61,'UC MINI 2026 MINI NEXT'!$B37,'UC MINI 2026'!$U$5:$U$61)</f>
        <v>0</v>
      </c>
      <c r="AC37" s="243">
        <f t="shared" si="83"/>
        <v>0</v>
      </c>
      <c r="AD37" s="54"/>
      <c r="AE37" s="86">
        <f>SUMIF('UC MINI 2026'!$B$5:$B$61,'UC MINI 2026 MINI NEXT'!$B37,'UC MINI 2026'!$W$5:$W$61)</f>
        <v>0</v>
      </c>
      <c r="AF37" s="297">
        <f t="shared" si="84"/>
        <v>0</v>
      </c>
      <c r="AG37" s="54"/>
      <c r="AH37" s="86">
        <f>SUMIF('UC MINI 2026'!$B$5:$B$61,'UC MINI 2026 MINI NEXT'!$B37,'UC MINI 2026'!$Y$5:$Y$61)</f>
        <v>0</v>
      </c>
      <c r="AI37" s="243">
        <f t="shared" si="85"/>
        <v>0</v>
      </c>
      <c r="AJ37" s="54"/>
      <c r="AK37" s="86">
        <f>SUMIF('UC MINI 2026'!$B$5:$B$61,'UC MINI 2026 MINI NEXT'!$B37,'UC MINI 2026'!$AA$5:$AA$61)</f>
        <v>0</v>
      </c>
      <c r="AL37" s="297">
        <f t="shared" si="86"/>
        <v>0</v>
      </c>
      <c r="AM37" s="54"/>
      <c r="AN37" s="86">
        <f>SUMIF('UC MINI 2026'!$B$5:$B$61,'UC MINI 2026 MINI NEXT'!$B37,'UC MINI 2026'!$AC$5:$AC$61)</f>
        <v>0</v>
      </c>
      <c r="AO37" s="243">
        <f t="shared" si="74"/>
        <v>0</v>
      </c>
      <c r="AP37" s="54">
        <f t="shared" ref="AP37:AQ41" si="87">IFERROR(IF($AP$4="ENERO",F37,IF($AP$4="FEBRERO",F37+I37,IF($AP$4="MARZO",F37+I37+L37,IF($AP$4="ABRIL",F37+I37+L37+O37,IF($AP$4="MAYO",F37+I37+L37+O37+R37,IF($AP$4="JUNIO",F37+I37+L37+O37+R37+U37,IF($AP$4="JULIO",F37+I37+L37+O37+R37+U37+X37,IF($AP$4="AGOSTO",F37+I37+L37+O37+R37+U37+X37+AA37,IF($AP$4="SEPTIEMBRE",F37+I37+L37+O37+R37+U37+X37+AA37+AD37,IF($AP$4="OCTUBRE",F37+I37+L37+O37+R37+U37+X37+AA37+AD37+AG37,IF($AP$4="NOVIEMBRE",F37+I37+L37+O37+R37+U37+X37+AA37+AD37+AG37+AJ37,IF($AP$4="DICIEMBRE",F37+I37+L37+O37+R37+U37+X37+AA37+AD37+AG37+AJ37+AM37,"")))))))))))),0)</f>
        <v>41</v>
      </c>
      <c r="AQ37" s="86">
        <f t="shared" si="87"/>
        <v>34</v>
      </c>
      <c r="AR37" s="149">
        <f t="shared" si="75"/>
        <v>0.82926829268292679</v>
      </c>
      <c r="AS37" s="54">
        <f>IFERROR(F37+I37+L37+O37+R37+U37++X37+AA37+AD37+AG37+AJ37+AM37,0)</f>
        <v>41</v>
      </c>
      <c r="AT37" s="86">
        <f t="shared" si="16"/>
        <v>34</v>
      </c>
      <c r="AU37" s="149">
        <f t="shared" si="25"/>
        <v>0.82926829268292679</v>
      </c>
      <c r="AV37" s="54">
        <f t="shared" ref="AV37:AW41" si="88">IF($AV$5="Q1",F37+I37+L37,
IF($AV$5="Q2",O37+R37++U37,
IF($AV$5="Q3",X37+AA37+AD37,
IF($AV$5="Q4",AG37+AJ37+AM37,0))))</f>
        <v>20</v>
      </c>
      <c r="AW37" s="86">
        <f t="shared" si="88"/>
        <v>16</v>
      </c>
      <c r="AX37" s="109">
        <f t="shared" si="59"/>
        <v>0.8</v>
      </c>
      <c r="AY37" s="86">
        <f>IFERROR(IF($AV$5="Q1",#REF!+#REF!+#REF!,
IF($AV$5="Q2",#REF!+#REF!++#REF!,
IF($AV$5="Q3",#REF!+#REF!+#REF!,
IF($AV$5="Q4",#REF!+#REF!+#REF!,0)))),0)</f>
        <v>0</v>
      </c>
      <c r="AZ37" s="297">
        <f>IF(AW37=0,"N.D.",AY37/AW37)</f>
        <v>0</v>
      </c>
      <c r="BA37" s="348">
        <f>IFERROR(IF($AV$5="Q1",#REF!+#REF!+#REF!,
IF($AV$5="Q2",#REF!+#REF!+#REF!,
IF($AV$5="Q3",#REF!+#REF!+#REF!,
IF($AV$5="Q4",#REF!+#REF!+#REF!,0)))),0)</f>
        <v>0</v>
      </c>
      <c r="BB37" s="150">
        <f t="shared" si="60"/>
        <v>0</v>
      </c>
      <c r="BC37" s="54">
        <f t="shared" ref="BC37:BD41" si="89">IFERROR(IF($BC$5="S 1",F37+I37+L37+O37+R37+U37,
IF($BC$5="S 2",X37+AA37+AD37+AG37+AJ37+AM37,0)),0)</f>
        <v>41</v>
      </c>
      <c r="BD37" s="86">
        <f t="shared" si="89"/>
        <v>34</v>
      </c>
      <c r="BE37" s="150">
        <f t="shared" si="76"/>
        <v>0.82926829268292679</v>
      </c>
      <c r="BF37" s="54">
        <f t="shared" ref="BF37:BG41" si="90">IFERROR(IF($BF$5="S 1",F37+I37+L37+O37+R37+U37,
IF($BF$5="S 2",X37+AA37+AD37+AG37+AJ37+AM37,0)),0)</f>
        <v>0</v>
      </c>
      <c r="BG37" s="79">
        <f t="shared" si="90"/>
        <v>0</v>
      </c>
      <c r="BH37" s="150">
        <f t="shared" si="77"/>
        <v>0</v>
      </c>
      <c r="BI37" s="53">
        <v>1</v>
      </c>
    </row>
    <row r="38" spans="1:61" s="53" customFormat="1" ht="16" customHeight="1" x14ac:dyDescent="0.3">
      <c r="A38" s="53">
        <f>_xlfn.XLOOKUP(B38,'WHOLESALE MINI 2026'!$B$7:$B$63,'WHOLESALE MINI 2026'!$A$7:$A$63)</f>
        <v>6</v>
      </c>
      <c r="B38" s="8">
        <v>100585</v>
      </c>
      <c r="C38" s="369" t="s">
        <v>58</v>
      </c>
      <c r="D38" s="146"/>
      <c r="E38" s="309" t="s">
        <v>87</v>
      </c>
      <c r="F38" s="54"/>
      <c r="G38" s="86">
        <f>SUMIF('UC MINI 2026'!$B$5:$B$71,'UC MINI 2026 MINI NEXT'!$B38,'UC MINI 2026'!$G$5:$G$71)</f>
        <v>0</v>
      </c>
      <c r="H38" s="243">
        <f t="shared" si="63"/>
        <v>0</v>
      </c>
      <c r="I38" s="54"/>
      <c r="J38" s="86">
        <f>SUMIF('UC MINI 2026'!$B$5:$B$61,'UC MINI 2026 MINI NEXT'!$B38,'UC MINI 2026'!$I$5:$I$61)</f>
        <v>0</v>
      </c>
      <c r="K38" s="243">
        <f t="shared" si="64"/>
        <v>0</v>
      </c>
      <c r="L38" s="54"/>
      <c r="M38" s="86">
        <f>SUMIF('UC MINI 2026'!$B$5:$B$61,'UC MINI 2026 MINI NEXT'!$B38,'UC MINI 2026'!$K$5:$K$61)</f>
        <v>0</v>
      </c>
      <c r="N38" s="297">
        <f t="shared" si="65"/>
        <v>0</v>
      </c>
      <c r="O38" s="54"/>
      <c r="P38" s="86">
        <f>SUMIF('UC MINI 2026'!$B$5:$B$61,'UC MINI 2026 MINI NEXT'!$B38,'UC MINI 2026'!$M$5:$M$61)</f>
        <v>0</v>
      </c>
      <c r="Q38" s="243">
        <f t="shared" si="66"/>
        <v>0</v>
      </c>
      <c r="R38" s="21"/>
      <c r="S38" s="86">
        <f>SUMIF('UC MINI 2026'!$B$5:$B$61,'UC MINI 2026 MINI NEXT'!$B38,'UC MINI 2026'!$O$5:$O$61)</f>
        <v>0</v>
      </c>
      <c r="T38" s="297">
        <f t="shared" si="67"/>
        <v>0</v>
      </c>
      <c r="U38" s="606">
        <f>VLOOKUP(B38,'[7]% Penetración Mdo JUN26'!$B$7:$J$59,6,0)-F38-I38-L38-O38-R38</f>
        <v>7</v>
      </c>
      <c r="V38" s="86">
        <f>SUMIF('UC MINI 2026'!$B$5:$B$61,'UC MINI 2026 MINI NEXT'!$B38,'UC MINI 2026'!$Q$5:$Q$61)</f>
        <v>0</v>
      </c>
      <c r="W38" s="243"/>
      <c r="X38" s="54"/>
      <c r="Y38" s="86">
        <f>SUMIF('UC MINI 2026'!$B$5:$B$61,'UC MINI 2026 MINI NEXT'!$B38,'UC MINI 2026'!$S$5:$S$61)</f>
        <v>0</v>
      </c>
      <c r="Z38" s="297">
        <f t="shared" si="82"/>
        <v>0</v>
      </c>
      <c r="AA38" s="54"/>
      <c r="AB38" s="86">
        <f>SUMIF('UC MINI 2026'!$B$5:$B$61,'UC MINI 2026 MINI NEXT'!$B38,'UC MINI 2026'!$U$5:$U$61)</f>
        <v>0</v>
      </c>
      <c r="AC38" s="243">
        <f t="shared" si="83"/>
        <v>0</v>
      </c>
      <c r="AD38" s="54"/>
      <c r="AE38" s="86">
        <f>SUMIF('UC MINI 2026'!$B$5:$B$61,'UC MINI 2026 MINI NEXT'!$B38,'UC MINI 2026'!$W$5:$W$61)</f>
        <v>0</v>
      </c>
      <c r="AF38" s="297">
        <f t="shared" si="84"/>
        <v>0</v>
      </c>
      <c r="AG38" s="54"/>
      <c r="AH38" s="86">
        <f>SUMIF('UC MINI 2026'!$B$5:$B$61,'UC MINI 2026 MINI NEXT'!$B38,'UC MINI 2026'!$Y$5:$Y$61)</f>
        <v>0</v>
      </c>
      <c r="AI38" s="243">
        <f t="shared" si="85"/>
        <v>0</v>
      </c>
      <c r="AJ38" s="54"/>
      <c r="AK38" s="86">
        <f>SUMIF('UC MINI 2026'!$B$5:$B$61,'UC MINI 2026 MINI NEXT'!$B38,'UC MINI 2026'!$AA$5:$AA$61)</f>
        <v>0</v>
      </c>
      <c r="AL38" s="297">
        <f t="shared" si="86"/>
        <v>0</v>
      </c>
      <c r="AM38" s="54"/>
      <c r="AN38" s="86">
        <f>SUMIF('UC MINI 2026'!$B$5:$B$61,'UC MINI 2026 MINI NEXT'!$B38,'UC MINI 2026'!$AC$5:$AC$61)</f>
        <v>0</v>
      </c>
      <c r="AO38" s="243"/>
      <c r="AP38" s="67"/>
      <c r="AQ38" s="68"/>
      <c r="AR38" s="149"/>
      <c r="AS38" s="67"/>
      <c r="AT38" s="86"/>
      <c r="AU38" s="149"/>
      <c r="AV38" s="54"/>
      <c r="AW38" s="86"/>
      <c r="AX38" s="109"/>
      <c r="AY38" s="68"/>
      <c r="AZ38" s="297"/>
      <c r="BA38" s="350"/>
      <c r="BB38" s="150"/>
      <c r="BC38" s="67"/>
      <c r="BD38" s="68"/>
      <c r="BE38" s="150"/>
      <c r="BF38" s="67"/>
      <c r="BG38" s="266"/>
      <c r="BH38" s="150"/>
    </row>
    <row r="39" spans="1:61" s="53" customFormat="1" ht="16" customHeight="1" x14ac:dyDescent="0.3">
      <c r="A39" s="53">
        <f>_xlfn.XLOOKUP(B39,'WHOLESALE MINI 2026'!$B$7:$B$63,'WHOLESALE MINI 2026'!$A$7:$A$63)</f>
        <v>6</v>
      </c>
      <c r="B39" s="8">
        <v>100727</v>
      </c>
      <c r="C39" s="369" t="s">
        <v>21</v>
      </c>
      <c r="D39" s="146"/>
      <c r="E39" s="309" t="s">
        <v>93</v>
      </c>
      <c r="F39" s="54">
        <v>5</v>
      </c>
      <c r="G39" s="86">
        <f>SUMIF('UC MINI 2026'!$B$5:$B$71,'UC MINI 2026 MINI NEXT'!$B39,'UC MINI 2026'!$G$5:$G$71)</f>
        <v>3</v>
      </c>
      <c r="H39" s="243">
        <f t="shared" si="63"/>
        <v>0.6</v>
      </c>
      <c r="I39" s="54">
        <v>10</v>
      </c>
      <c r="J39" s="86">
        <f>SUMIF('UC MINI 2026'!$B$5:$B$61,'UC MINI 2026 MINI NEXT'!$B39,'UC MINI 2026'!$I$5:$I$61)</f>
        <v>5</v>
      </c>
      <c r="K39" s="243">
        <f t="shared" si="64"/>
        <v>0.5</v>
      </c>
      <c r="L39" s="54">
        <v>6</v>
      </c>
      <c r="M39" s="86">
        <f>SUMIF('UC MINI 2026'!$B$5:$B$61,'UC MINI 2026 MINI NEXT'!$B39,'UC MINI 2026'!$K$5:$K$61)</f>
        <v>1</v>
      </c>
      <c r="N39" s="297">
        <f t="shared" si="65"/>
        <v>0.16666666666666666</v>
      </c>
      <c r="O39" s="54">
        <f>VLOOKUP(B39,'[5]% Penetración Mdo ABR26'!$B$7:$G$59,6,0)-F39-I39-L39</f>
        <v>1</v>
      </c>
      <c r="P39" s="86">
        <f>SUMIF('UC MINI 2026'!$B$5:$B$61,'UC MINI 2026 MINI NEXT'!$B39,'UC MINI 2026'!$M$5:$M$61)</f>
        <v>2</v>
      </c>
      <c r="Q39" s="243">
        <f t="shared" si="66"/>
        <v>2</v>
      </c>
      <c r="R39" s="21">
        <f>VLOOKUP(B39,'[6]% Penetración Mdo MAY26'!$B$7:$G$65,6,0)-F39-I39-L39-O39</f>
        <v>5</v>
      </c>
      <c r="S39" s="86">
        <f>SUMIF('UC MINI 2026'!$B$5:$B$61,'UC MINI 2026 MINI NEXT'!$B39,'UC MINI 2026'!$O$5:$O$61)</f>
        <v>3</v>
      </c>
      <c r="T39" s="297">
        <f t="shared" si="67"/>
        <v>0.6</v>
      </c>
      <c r="U39" s="606">
        <f>VLOOKUP(B39,'[7]% Penetración Mdo JUN26'!$B$7:$J$59,6,0)-F39-I39-L39-O39-R39</f>
        <v>4</v>
      </c>
      <c r="V39" s="86">
        <f>SUMIF('UC MINI 2026'!$B$5:$B$61,'UC MINI 2026 MINI NEXT'!$B39,'UC MINI 2026'!$Q$5:$Q$61)</f>
        <v>1</v>
      </c>
      <c r="W39" s="243">
        <f t="shared" ref="W39:W50" si="91">IFERROR(V39/U39,0)</f>
        <v>0.25</v>
      </c>
      <c r="X39" s="54"/>
      <c r="Y39" s="86">
        <f>SUMIF('UC MINI 2026'!$B$5:$B$61,'UC MINI 2026 MINI NEXT'!$B39,'UC MINI 2026'!$S$5:$S$61)</f>
        <v>0</v>
      </c>
      <c r="Z39" s="297">
        <f t="shared" si="82"/>
        <v>0</v>
      </c>
      <c r="AA39" s="54"/>
      <c r="AB39" s="86">
        <f>SUMIF('UC MINI 2026'!$B$5:$B$61,'UC MINI 2026 MINI NEXT'!$B39,'UC MINI 2026'!$U$5:$U$61)</f>
        <v>0</v>
      </c>
      <c r="AC39" s="243">
        <f t="shared" si="83"/>
        <v>0</v>
      </c>
      <c r="AD39" s="54"/>
      <c r="AE39" s="86">
        <f>SUMIF('UC MINI 2026'!$B$5:$B$61,'UC MINI 2026 MINI NEXT'!$B39,'UC MINI 2026'!$W$5:$W$61)</f>
        <v>0</v>
      </c>
      <c r="AF39" s="297">
        <f t="shared" si="84"/>
        <v>0</v>
      </c>
      <c r="AG39" s="54"/>
      <c r="AH39" s="86">
        <f>SUMIF('UC MINI 2026'!$B$5:$B$61,'UC MINI 2026 MINI NEXT'!$B39,'UC MINI 2026'!$Y$5:$Y$61)</f>
        <v>0</v>
      </c>
      <c r="AI39" s="243">
        <f t="shared" si="85"/>
        <v>0</v>
      </c>
      <c r="AJ39" s="54"/>
      <c r="AK39" s="86">
        <f>SUMIF('UC MINI 2026'!$B$5:$B$61,'UC MINI 2026 MINI NEXT'!$B39,'UC MINI 2026'!$AA$5:$AA$61)</f>
        <v>0</v>
      </c>
      <c r="AL39" s="297">
        <f t="shared" si="86"/>
        <v>0</v>
      </c>
      <c r="AM39" s="54"/>
      <c r="AN39" s="86">
        <f>SUMIF('UC MINI 2026'!$B$5:$B$61,'UC MINI 2026 MINI NEXT'!$B39,'UC MINI 2026'!$AC$5:$AC$61)</f>
        <v>0</v>
      </c>
      <c r="AO39" s="243">
        <f t="shared" ref="AO39:AO50" si="92">IFERROR(AN39/AM39,0)</f>
        <v>0</v>
      </c>
      <c r="AP39" s="67">
        <f t="shared" si="87"/>
        <v>31</v>
      </c>
      <c r="AQ39" s="68">
        <f t="shared" si="87"/>
        <v>15</v>
      </c>
      <c r="AR39" s="149">
        <f t="shared" ref="AR39:AR50" si="93">IFERROR((AQ39/AP39),0)</f>
        <v>0.4838709677419355</v>
      </c>
      <c r="AS39" s="67">
        <f>IFERROR(F39+I39+L39+O39+R39+U39++X39+AA39+AD39+AG39+AJ39+AM39,0)</f>
        <v>31</v>
      </c>
      <c r="AT39" s="86">
        <f t="shared" si="16"/>
        <v>15</v>
      </c>
      <c r="AU39" s="149">
        <f t="shared" si="25"/>
        <v>0.4838709677419355</v>
      </c>
      <c r="AV39" s="54">
        <f t="shared" si="88"/>
        <v>21</v>
      </c>
      <c r="AW39" s="86">
        <f t="shared" si="88"/>
        <v>9</v>
      </c>
      <c r="AX39" s="109">
        <f t="shared" ref="AX39:AX49" si="94">IFERROR((AW39/AV39),0)</f>
        <v>0.42857142857142855</v>
      </c>
      <c r="AY39" s="68">
        <f>IFERROR(IF($AV$5="Q1",#REF!+#REF!+#REF!,
IF($AV$5="Q2",#REF!+#REF!++#REF!,
IF($AV$5="Q3",#REF!+#REF!+#REF!,
IF($AV$5="Q4",#REF!+#REF!+#REF!,0)))),0)</f>
        <v>0</v>
      </c>
      <c r="AZ39" s="297">
        <f>IF(AW39=0,"N.D.",AY39/AW39)</f>
        <v>0</v>
      </c>
      <c r="BA39" s="350">
        <f>IFERROR(IF($AV$5="Q1",#REF!+#REF!+#REF!,
IF($AV$5="Q2",#REF!+#REF!+#REF!,
IF($AV$5="Q3",#REF!+#REF!+#REF!,
IF($AV$5="Q4",#REF!+#REF!+#REF!,0)))),0)</f>
        <v>0</v>
      </c>
      <c r="BB39" s="150">
        <f t="shared" ref="BB39:BB49" si="95">IFERROR((BA39/AV39),0)</f>
        <v>0</v>
      </c>
      <c r="BC39" s="67">
        <f t="shared" si="89"/>
        <v>31</v>
      </c>
      <c r="BD39" s="68">
        <f t="shared" si="89"/>
        <v>15</v>
      </c>
      <c r="BE39" s="150">
        <f t="shared" ref="BE39:BE50" si="96">IFERROR((BD39/BC39),0)</f>
        <v>0.4838709677419355</v>
      </c>
      <c r="BF39" s="67">
        <f t="shared" si="90"/>
        <v>0</v>
      </c>
      <c r="BG39" s="266">
        <f t="shared" si="90"/>
        <v>0</v>
      </c>
      <c r="BH39" s="150">
        <f t="shared" ref="BH39:BH50" si="97">IFERROR((BG39/BF39),0)</f>
        <v>0</v>
      </c>
      <c r="BI39" s="53">
        <v>1</v>
      </c>
    </row>
    <row r="40" spans="1:61" s="53" customFormat="1" ht="16" customHeight="1" x14ac:dyDescent="0.3">
      <c r="A40" s="53">
        <f>_xlfn.XLOOKUP(B40,'WHOLESALE MINI 2026'!$B$7:$B$63,'WHOLESALE MINI 2026'!$A$7:$A$63)</f>
        <v>6</v>
      </c>
      <c r="B40" s="8">
        <v>100728</v>
      </c>
      <c r="C40" s="369" t="s">
        <v>24</v>
      </c>
      <c r="D40" s="146"/>
      <c r="E40" s="309" t="s">
        <v>94</v>
      </c>
      <c r="F40" s="54">
        <v>9</v>
      </c>
      <c r="G40" s="86">
        <f>SUMIF('UC MINI 2026'!$B$5:$B$71,'UC MINI 2026 MINI NEXT'!$B40,'UC MINI 2026'!$G$5:$G$71)</f>
        <v>5</v>
      </c>
      <c r="H40" s="243">
        <f t="shared" si="63"/>
        <v>0.55555555555555558</v>
      </c>
      <c r="I40" s="54">
        <v>6</v>
      </c>
      <c r="J40" s="86">
        <f>SUMIF('UC MINI 2026'!$B$5:$B$61,'UC MINI 2026 MINI NEXT'!$B40,'UC MINI 2026'!$I$5:$I$61)</f>
        <v>16</v>
      </c>
      <c r="K40" s="243">
        <f t="shared" si="64"/>
        <v>2.6666666666666665</v>
      </c>
      <c r="L40" s="54">
        <v>22</v>
      </c>
      <c r="M40" s="86">
        <f>SUMIF('UC MINI 2026'!$B$5:$B$61,'UC MINI 2026 MINI NEXT'!$B40,'UC MINI 2026'!$K$5:$K$61)</f>
        <v>1</v>
      </c>
      <c r="N40" s="297">
        <f t="shared" si="65"/>
        <v>4.5454545454545456E-2</v>
      </c>
      <c r="O40" s="54">
        <f>VLOOKUP(B40,'[5]% Penetración Mdo ABR26'!$B$7:$G$59,6,0)-F40-I40-L40</f>
        <v>10</v>
      </c>
      <c r="P40" s="86">
        <f>SUMIF('UC MINI 2026'!$B$5:$B$61,'UC MINI 2026 MINI NEXT'!$B40,'UC MINI 2026'!$M$5:$M$61)</f>
        <v>10</v>
      </c>
      <c r="Q40" s="243">
        <f t="shared" si="66"/>
        <v>1</v>
      </c>
      <c r="R40" s="21">
        <f>VLOOKUP(B40,'[6]% Penetración Mdo MAY26'!$B$7:$G$65,6,0)-F40-I40-L40-O40</f>
        <v>7</v>
      </c>
      <c r="S40" s="86">
        <f>SUMIF('UC MINI 2026'!$B$5:$B$61,'UC MINI 2026 MINI NEXT'!$B40,'UC MINI 2026'!$O$5:$O$61)</f>
        <v>13</v>
      </c>
      <c r="T40" s="297">
        <f t="shared" si="67"/>
        <v>1.8571428571428572</v>
      </c>
      <c r="U40" s="606">
        <f>VLOOKUP(B40,'[7]% Penetración Mdo JUN26'!$B$7:$J$59,6,0)-F40-I40-L40-O40-R40</f>
        <v>19</v>
      </c>
      <c r="V40" s="86">
        <f>SUMIF('UC MINI 2026'!$B$5:$B$61,'UC MINI 2026 MINI NEXT'!$B40,'UC MINI 2026'!$Q$5:$Q$61)</f>
        <v>26</v>
      </c>
      <c r="W40" s="243">
        <f t="shared" si="91"/>
        <v>1.368421052631579</v>
      </c>
      <c r="X40" s="54"/>
      <c r="Y40" s="86">
        <f>SUMIF('UC MINI 2026'!$B$5:$B$61,'UC MINI 2026 MINI NEXT'!$B40,'UC MINI 2026'!$S$5:$S$61)</f>
        <v>0</v>
      </c>
      <c r="Z40" s="297">
        <f t="shared" si="82"/>
        <v>0</v>
      </c>
      <c r="AA40" s="54"/>
      <c r="AB40" s="86">
        <f>SUMIF('UC MINI 2026'!$B$5:$B$61,'UC MINI 2026 MINI NEXT'!$B40,'UC MINI 2026'!$U$5:$U$61)</f>
        <v>0</v>
      </c>
      <c r="AC40" s="243">
        <f t="shared" si="83"/>
        <v>0</v>
      </c>
      <c r="AD40" s="54"/>
      <c r="AE40" s="86">
        <f>SUMIF('UC MINI 2026'!$B$5:$B$61,'UC MINI 2026 MINI NEXT'!$B40,'UC MINI 2026'!$W$5:$W$61)</f>
        <v>0</v>
      </c>
      <c r="AF40" s="297">
        <f t="shared" si="84"/>
        <v>0</v>
      </c>
      <c r="AG40" s="54"/>
      <c r="AH40" s="86">
        <f>SUMIF('UC MINI 2026'!$B$5:$B$61,'UC MINI 2026 MINI NEXT'!$B40,'UC MINI 2026'!$Y$5:$Y$61)</f>
        <v>0</v>
      </c>
      <c r="AI40" s="243">
        <f t="shared" si="85"/>
        <v>0</v>
      </c>
      <c r="AJ40" s="54"/>
      <c r="AK40" s="86">
        <f>SUMIF('UC MINI 2026'!$B$5:$B$61,'UC MINI 2026 MINI NEXT'!$B40,'UC MINI 2026'!$AA$5:$AA$61)</f>
        <v>0</v>
      </c>
      <c r="AL40" s="297">
        <f t="shared" si="86"/>
        <v>0</v>
      </c>
      <c r="AM40" s="54"/>
      <c r="AN40" s="86">
        <f>SUMIF('UC MINI 2026'!$B$5:$B$61,'UC MINI 2026 MINI NEXT'!$B40,'UC MINI 2026'!$AC$5:$AC$61)</f>
        <v>0</v>
      </c>
      <c r="AO40" s="243">
        <f t="shared" si="92"/>
        <v>0</v>
      </c>
      <c r="AP40" s="67">
        <f t="shared" si="87"/>
        <v>73</v>
      </c>
      <c r="AQ40" s="68">
        <f t="shared" si="87"/>
        <v>71</v>
      </c>
      <c r="AR40" s="149">
        <f t="shared" si="93"/>
        <v>0.9726027397260274</v>
      </c>
      <c r="AS40" s="67">
        <f>IFERROR(F40+I40+L40+O40+R40+U40++X40+AA40+AD40+AG40+AJ40+AM40,0)</f>
        <v>73</v>
      </c>
      <c r="AT40" s="86">
        <f t="shared" si="16"/>
        <v>71</v>
      </c>
      <c r="AU40" s="149">
        <f t="shared" si="25"/>
        <v>0.9726027397260274</v>
      </c>
      <c r="AV40" s="54">
        <f t="shared" si="88"/>
        <v>37</v>
      </c>
      <c r="AW40" s="86">
        <f t="shared" si="88"/>
        <v>22</v>
      </c>
      <c r="AX40" s="109">
        <f t="shared" si="94"/>
        <v>0.59459459459459463</v>
      </c>
      <c r="AY40" s="68">
        <f>IFERROR(IF($AV$5="Q1",#REF!+#REF!+#REF!,
IF($AV$5="Q2",#REF!+#REF!++#REF!,
IF($AV$5="Q3",#REF!+#REF!+#REF!,
IF($AV$5="Q4",#REF!+#REF!+#REF!,0)))),0)</f>
        <v>0</v>
      </c>
      <c r="AZ40" s="297">
        <f>IF(AW40=0,"N.D.",AY40/AW40)</f>
        <v>0</v>
      </c>
      <c r="BA40" s="350">
        <f>IFERROR(IF($AV$5="Q1",#REF!+#REF!+#REF!,
IF($AV$5="Q2",#REF!+#REF!+#REF!,
IF($AV$5="Q3",#REF!+#REF!+#REF!,
IF($AV$5="Q4",#REF!+#REF!+#REF!,0)))),0)</f>
        <v>0</v>
      </c>
      <c r="BB40" s="150">
        <f t="shared" si="95"/>
        <v>0</v>
      </c>
      <c r="BC40" s="67">
        <f t="shared" si="89"/>
        <v>73</v>
      </c>
      <c r="BD40" s="68">
        <f t="shared" si="89"/>
        <v>71</v>
      </c>
      <c r="BE40" s="150">
        <f t="shared" si="96"/>
        <v>0.9726027397260274</v>
      </c>
      <c r="BF40" s="67">
        <f t="shared" si="90"/>
        <v>0</v>
      </c>
      <c r="BG40" s="266">
        <f t="shared" si="90"/>
        <v>0</v>
      </c>
      <c r="BH40" s="150">
        <f t="shared" si="97"/>
        <v>0</v>
      </c>
      <c r="BI40" s="53">
        <v>1</v>
      </c>
    </row>
    <row r="41" spans="1:61" s="53" customFormat="1" ht="16" customHeight="1" thickBot="1" x14ac:dyDescent="0.35">
      <c r="A41" s="53">
        <f>_xlfn.XLOOKUP(B41,'WHOLESALE MINI 2026'!$B$7:$B$63,'WHOLESALE MINI 2026'!$A$7:$A$63)</f>
        <v>6</v>
      </c>
      <c r="B41" s="8">
        <v>100817</v>
      </c>
      <c r="C41" s="369" t="s">
        <v>69</v>
      </c>
      <c r="D41" s="146"/>
      <c r="E41" s="309" t="s">
        <v>94</v>
      </c>
      <c r="F41" s="54">
        <v>18</v>
      </c>
      <c r="G41" s="86">
        <f>SUMIF('UC MINI 2026'!$B$5:$B$71,'UC MINI 2026 MINI NEXT'!$B41,'UC MINI 2026'!$G$5:$G$71)</f>
        <v>16</v>
      </c>
      <c r="H41" s="243">
        <f t="shared" si="63"/>
        <v>0.88888888888888884</v>
      </c>
      <c r="I41" s="54">
        <v>22</v>
      </c>
      <c r="J41" s="86">
        <f>SUMIF('UC MINI 2026'!$B$5:$B$61,'UC MINI 2026 MINI NEXT'!$B41,'UC MINI 2026'!$I$5:$I$61)</f>
        <v>7</v>
      </c>
      <c r="K41" s="243">
        <f t="shared" si="64"/>
        <v>0.31818181818181818</v>
      </c>
      <c r="L41" s="54">
        <v>8</v>
      </c>
      <c r="M41" s="86">
        <f>SUMIF('UC MINI 2026'!$B$5:$B$61,'UC MINI 2026 MINI NEXT'!$B41,'UC MINI 2026'!$K$5:$K$61)</f>
        <v>24</v>
      </c>
      <c r="N41" s="297">
        <f t="shared" si="65"/>
        <v>3</v>
      </c>
      <c r="O41" s="54">
        <f>VLOOKUP(B41,'[5]% Penetración Mdo ABR26'!$B$7:$G$59,6,0)-F41-I41-L41</f>
        <v>17</v>
      </c>
      <c r="P41" s="86">
        <f>SUMIF('UC MINI 2026'!$B$5:$B$61,'UC MINI 2026 MINI NEXT'!$B41,'UC MINI 2026'!$M$5:$M$61)</f>
        <v>16</v>
      </c>
      <c r="Q41" s="243">
        <f t="shared" si="66"/>
        <v>0.94117647058823528</v>
      </c>
      <c r="R41" s="21">
        <f>VLOOKUP(B41,'[6]% Penetración Mdo MAY26'!$B$7:$G$65,6,0)-F41-I41-L41-O41</f>
        <v>20</v>
      </c>
      <c r="S41" s="86">
        <f>SUMIF('UC MINI 2026'!$B$5:$B$61,'UC MINI 2026 MINI NEXT'!$B41,'UC MINI 2026'!$O$5:$O$61)</f>
        <v>20</v>
      </c>
      <c r="T41" s="297">
        <f t="shared" si="67"/>
        <v>1</v>
      </c>
      <c r="U41" s="606">
        <f>VLOOKUP(B41,'[7]% Penetración Mdo JUN26'!$B$7:$J$59,6,0)-F41-I41-L41-O41-R41</f>
        <v>20</v>
      </c>
      <c r="V41" s="86">
        <f>SUMIF('UC MINI 2026'!$B$5:$B$61,'UC MINI 2026 MINI NEXT'!$B41,'UC MINI 2026'!$Q$5:$Q$61)</f>
        <v>20</v>
      </c>
      <c r="W41" s="243">
        <f t="shared" si="91"/>
        <v>1</v>
      </c>
      <c r="X41" s="54"/>
      <c r="Y41" s="86">
        <f>SUMIF('UC MINI 2026'!$B$5:$B$61,'UC MINI 2026 MINI NEXT'!$B41,'UC MINI 2026'!$S$5:$S$61)</f>
        <v>0</v>
      </c>
      <c r="Z41" s="297">
        <f t="shared" si="82"/>
        <v>0</v>
      </c>
      <c r="AA41" s="54"/>
      <c r="AB41" s="86">
        <f>SUMIF('UC MINI 2026'!$B$5:$B$61,'UC MINI 2026 MINI NEXT'!$B41,'UC MINI 2026'!$U$5:$U$61)</f>
        <v>0</v>
      </c>
      <c r="AC41" s="243">
        <f t="shared" si="83"/>
        <v>0</v>
      </c>
      <c r="AD41" s="54"/>
      <c r="AE41" s="86">
        <f>SUMIF('UC MINI 2026'!$B$5:$B$61,'UC MINI 2026 MINI NEXT'!$B41,'UC MINI 2026'!$W$5:$W$61)</f>
        <v>0</v>
      </c>
      <c r="AF41" s="297">
        <f t="shared" si="84"/>
        <v>0</v>
      </c>
      <c r="AG41" s="54"/>
      <c r="AH41" s="86">
        <f>SUMIF('UC MINI 2026'!$B$5:$B$61,'UC MINI 2026 MINI NEXT'!$B41,'UC MINI 2026'!$Y$5:$Y$61)</f>
        <v>0</v>
      </c>
      <c r="AI41" s="243">
        <f t="shared" si="85"/>
        <v>0</v>
      </c>
      <c r="AJ41" s="54"/>
      <c r="AK41" s="86">
        <f>SUMIF('UC MINI 2026'!$B$5:$B$61,'UC MINI 2026 MINI NEXT'!$B41,'UC MINI 2026'!$AA$5:$AA$61)</f>
        <v>0</v>
      </c>
      <c r="AL41" s="297">
        <f t="shared" si="86"/>
        <v>0</v>
      </c>
      <c r="AM41" s="54"/>
      <c r="AN41" s="86">
        <f>SUMIF('UC MINI 2026'!$B$5:$B$61,'UC MINI 2026 MINI NEXT'!$B41,'UC MINI 2026'!$AC$5:$AC$61)</f>
        <v>0</v>
      </c>
      <c r="AO41" s="243">
        <f t="shared" si="92"/>
        <v>0</v>
      </c>
      <c r="AP41" s="67">
        <f t="shared" si="87"/>
        <v>105</v>
      </c>
      <c r="AQ41" s="68">
        <f t="shared" si="87"/>
        <v>103</v>
      </c>
      <c r="AR41" s="149">
        <f t="shared" si="93"/>
        <v>0.98095238095238091</v>
      </c>
      <c r="AS41" s="67">
        <f>IFERROR(F41+I41+L41+O41+R41+U41++X41+AA41+AD41+AG41+AJ41+AM41,0)</f>
        <v>105</v>
      </c>
      <c r="AT41" s="86">
        <f t="shared" si="16"/>
        <v>103</v>
      </c>
      <c r="AU41" s="149">
        <f t="shared" si="25"/>
        <v>0.98095238095238091</v>
      </c>
      <c r="AV41" s="54">
        <f t="shared" si="88"/>
        <v>48</v>
      </c>
      <c r="AW41" s="86">
        <f t="shared" si="88"/>
        <v>47</v>
      </c>
      <c r="AX41" s="109">
        <f t="shared" si="94"/>
        <v>0.97916666666666663</v>
      </c>
      <c r="AY41" s="68">
        <f>IFERROR(IF($AV$5="Q1",#REF!+#REF!+#REF!,
IF($AV$5="Q2",#REF!+#REF!++#REF!,
IF($AV$5="Q3",#REF!+#REF!+#REF!,
IF($AV$5="Q4",#REF!+#REF!+#REF!,0)))),0)</f>
        <v>0</v>
      </c>
      <c r="AZ41" s="297">
        <f>IF(AW41=0,"N.D.",AY41/AW41)</f>
        <v>0</v>
      </c>
      <c r="BA41" s="350">
        <f>IFERROR(IF($AV$5="Q1",#REF!+#REF!+#REF!,
IF($AV$5="Q2",#REF!+#REF!+#REF!,
IF($AV$5="Q3",#REF!+#REF!+#REF!,
IF($AV$5="Q4",#REF!+#REF!+#REF!,0)))),0)</f>
        <v>0</v>
      </c>
      <c r="BB41" s="150">
        <f t="shared" si="95"/>
        <v>0</v>
      </c>
      <c r="BC41" s="67">
        <f t="shared" si="89"/>
        <v>105</v>
      </c>
      <c r="BD41" s="68">
        <f t="shared" si="89"/>
        <v>103</v>
      </c>
      <c r="BE41" s="150">
        <f t="shared" si="96"/>
        <v>0.98095238095238091</v>
      </c>
      <c r="BF41" s="67">
        <f t="shared" si="90"/>
        <v>0</v>
      </c>
      <c r="BG41" s="266">
        <f t="shared" si="90"/>
        <v>0</v>
      </c>
      <c r="BH41" s="150">
        <f t="shared" si="97"/>
        <v>0</v>
      </c>
      <c r="BI41" s="53">
        <v>1</v>
      </c>
    </row>
    <row r="42" spans="1:61" s="53" customFormat="1" ht="16" customHeight="1" thickBot="1" x14ac:dyDescent="0.35">
      <c r="A42" s="53" t="e">
        <f>_xlfn.XLOOKUP(B42,'WHOLESALE MINI 2026'!$B$7:$B$63,'WHOLESALE MINI 2026'!$A$7:$A$63)</f>
        <v>#N/A</v>
      </c>
      <c r="B42" s="61" t="s">
        <v>91</v>
      </c>
      <c r="C42" s="62"/>
      <c r="D42" s="146"/>
      <c r="E42" s="80"/>
      <c r="F42" s="63">
        <f>SUM(F37:F41)</f>
        <v>41</v>
      </c>
      <c r="G42" s="63">
        <f>SUM(G37:G41)</f>
        <v>30</v>
      </c>
      <c r="H42" s="301">
        <f t="shared" si="63"/>
        <v>0.73170731707317072</v>
      </c>
      <c r="I42" s="63">
        <f>SUM(I37:I41)</f>
        <v>41</v>
      </c>
      <c r="J42" s="63">
        <f>SUM(J37:J41)</f>
        <v>32</v>
      </c>
      <c r="K42" s="301">
        <f t="shared" si="64"/>
        <v>0.78048780487804881</v>
      </c>
      <c r="L42" s="63">
        <f>SUM(L37:L41)</f>
        <v>44</v>
      </c>
      <c r="M42" s="63">
        <f>SUM(M37:M41)</f>
        <v>32</v>
      </c>
      <c r="N42" s="301">
        <f t="shared" si="65"/>
        <v>0.72727272727272729</v>
      </c>
      <c r="O42" s="63">
        <f>SUM(O37:O41)</f>
        <v>32</v>
      </c>
      <c r="P42" s="63">
        <f>SUM(P37:P41)</f>
        <v>33</v>
      </c>
      <c r="Q42" s="301">
        <f t="shared" si="66"/>
        <v>1.03125</v>
      </c>
      <c r="R42" s="63">
        <f>SUM(R37:R41)</f>
        <v>38</v>
      </c>
      <c r="S42" s="63">
        <f>SUM(S37:S41)</f>
        <v>43</v>
      </c>
      <c r="T42" s="301">
        <f t="shared" si="67"/>
        <v>1.131578947368421</v>
      </c>
      <c r="U42" s="63">
        <f>SUM(U37:U41)</f>
        <v>61</v>
      </c>
      <c r="V42" s="63">
        <f>SUM(V37:V41)</f>
        <v>53</v>
      </c>
      <c r="W42" s="301">
        <f t="shared" si="91"/>
        <v>0.86885245901639341</v>
      </c>
      <c r="X42" s="63">
        <f>SUM(X37:X41)</f>
        <v>0</v>
      </c>
      <c r="Y42" s="63">
        <f>SUM(Y37:Y41)</f>
        <v>0</v>
      </c>
      <c r="Z42" s="301">
        <f t="shared" si="82"/>
        <v>0</v>
      </c>
      <c r="AA42" s="63">
        <f>SUM(AA37:AA41)</f>
        <v>0</v>
      </c>
      <c r="AB42" s="63">
        <f>SUM(AB37:AB41)</f>
        <v>0</v>
      </c>
      <c r="AC42" s="301">
        <f t="shared" si="83"/>
        <v>0</v>
      </c>
      <c r="AD42" s="63">
        <f>SUM(AD37:AD41)</f>
        <v>0</v>
      </c>
      <c r="AE42" s="63">
        <f>SUM(AE37:AE41)</f>
        <v>0</v>
      </c>
      <c r="AF42" s="301">
        <f t="shared" si="84"/>
        <v>0</v>
      </c>
      <c r="AG42" s="63">
        <f>SUM(AG37:AG41)</f>
        <v>0</v>
      </c>
      <c r="AH42" s="63">
        <f>SUM(AH37:AH41)</f>
        <v>0</v>
      </c>
      <c r="AI42" s="301">
        <f t="shared" si="85"/>
        <v>0</v>
      </c>
      <c r="AJ42" s="63">
        <f>SUM(AJ37:AJ41)</f>
        <v>0</v>
      </c>
      <c r="AK42" s="63">
        <f>SUM(AK37:AK41)</f>
        <v>0</v>
      </c>
      <c r="AL42" s="301">
        <f t="shared" si="86"/>
        <v>0</v>
      </c>
      <c r="AM42" s="63">
        <f>SUM(AM37:AM41)</f>
        <v>0</v>
      </c>
      <c r="AN42" s="63">
        <f>SUM(AN37:AN41)</f>
        <v>0</v>
      </c>
      <c r="AO42" s="301">
        <f t="shared" si="92"/>
        <v>0</v>
      </c>
      <c r="AP42" s="63">
        <f>SUM(AP37:AP41)</f>
        <v>250</v>
      </c>
      <c r="AQ42" s="63">
        <f>SUM(AQ37:AQ41)</f>
        <v>223</v>
      </c>
      <c r="AR42" s="320">
        <f t="shared" si="93"/>
        <v>0.89200000000000002</v>
      </c>
      <c r="AS42" s="63">
        <f>SUM(AS37:AS41)</f>
        <v>250</v>
      </c>
      <c r="AT42" s="63">
        <f>SUM(AT37:AT41)</f>
        <v>223</v>
      </c>
      <c r="AU42" s="320">
        <f t="shared" si="25"/>
        <v>0.89200000000000002</v>
      </c>
      <c r="AV42" s="63">
        <f>SUM(AV37:AV41)</f>
        <v>126</v>
      </c>
      <c r="AW42" s="65">
        <f>SUM(AW37:AW41)</f>
        <v>94</v>
      </c>
      <c r="AX42" s="157">
        <f t="shared" si="94"/>
        <v>0.74603174603174605</v>
      </c>
      <c r="AY42" s="65">
        <f>SUM(AY37:AY41)</f>
        <v>0</v>
      </c>
      <c r="AZ42" s="321">
        <f>IFERROR(AY42/AW42,0)</f>
        <v>0</v>
      </c>
      <c r="BA42" s="349" t="e">
        <f>IF($AV$5="Q1",#REF!+#REF!+#REF!,
IF($AV$5="Q2",#REF!+#REF!+#REF!,
IF($AV$5="Q3",#REF!+#REF!+#REF!,
IF($AV$5="Q4",#REF!+#REF!+#REF!,0))))</f>
        <v>#REF!</v>
      </c>
      <c r="BB42" s="333">
        <f t="shared" si="95"/>
        <v>0</v>
      </c>
      <c r="BC42" s="63">
        <f>IF($BC$5="S 1",F42+I42+L42+O42+R42+U42,
IF($BC$5="S 2",X42+AA42+AD42+AG42+AJ42+AM42,0))</f>
        <v>257</v>
      </c>
      <c r="BD42" s="65">
        <f>IF($BC$5="S 1",G42+J42+M42+P42+S42+V42,
IF($BC$5="S 2",Y42+AB42+AE42+AH42+AK42+AN42,0))</f>
        <v>223</v>
      </c>
      <c r="BE42" s="333">
        <f t="shared" si="96"/>
        <v>0.86770428015564205</v>
      </c>
      <c r="BF42" s="63">
        <f>SUM(BF37:BF41)</f>
        <v>0</v>
      </c>
      <c r="BG42" s="63">
        <f>SUM(BG37:BG41)</f>
        <v>0</v>
      </c>
      <c r="BH42" s="333">
        <f t="shared" si="97"/>
        <v>0</v>
      </c>
      <c r="BI42" s="53">
        <v>0</v>
      </c>
    </row>
    <row r="43" spans="1:61" s="53" customFormat="1" ht="16" customHeight="1" x14ac:dyDescent="0.3">
      <c r="A43" s="53">
        <f>_xlfn.XLOOKUP(B43,'WHOLESALE MINI 2026'!$B$7:$B$63,'WHOLESALE MINI 2026'!$A$7:$A$63)</f>
        <v>7</v>
      </c>
      <c r="B43" s="8">
        <v>100909</v>
      </c>
      <c r="C43" s="369" t="s">
        <v>255</v>
      </c>
      <c r="D43" s="146"/>
      <c r="E43" s="309" t="s">
        <v>254</v>
      </c>
      <c r="F43" s="54">
        <v>18</v>
      </c>
      <c r="G43" s="86">
        <f>SUMIF('UC MINI 2026'!$B$5:$B$71,'UC MINI 2026 MINI NEXT'!$B43,'UC MINI 2026'!$G$5:$G$71)</f>
        <v>6</v>
      </c>
      <c r="H43" s="242">
        <f t="shared" si="63"/>
        <v>0.33333333333333331</v>
      </c>
      <c r="I43" s="54">
        <v>16</v>
      </c>
      <c r="J43" s="86">
        <f>SUMIF('UC MINI 2026'!$B$5:$B$61,'UC MINI 2026 MINI NEXT'!$B43,'UC MINI 2026'!$I$5:$I$61)</f>
        <v>5</v>
      </c>
      <c r="K43" s="242">
        <f t="shared" si="64"/>
        <v>0.3125</v>
      </c>
      <c r="L43" s="54">
        <v>29</v>
      </c>
      <c r="M43" s="86">
        <f>SUMIF('UC MINI 2026'!$B$5:$B$61,'UC MINI 2026 MINI NEXT'!$B43,'UC MINI 2026'!$K$5:$K$61)</f>
        <v>7</v>
      </c>
      <c r="N43" s="296">
        <f t="shared" si="65"/>
        <v>0.2413793103448276</v>
      </c>
      <c r="O43" s="54">
        <f>VLOOKUP(B43,'[5]% Penetración Mdo ABR26'!$B$7:$G$59,6,0)-F43-I43-L43</f>
        <v>22</v>
      </c>
      <c r="P43" s="86">
        <f>SUMIF('UC MINI 2026'!$B$5:$B$61,'UC MINI 2026 MINI NEXT'!$B43,'UC MINI 2026'!$M$5:$M$61)</f>
        <v>13</v>
      </c>
      <c r="Q43" s="242">
        <f t="shared" si="66"/>
        <v>0.59090909090909094</v>
      </c>
      <c r="R43" s="21">
        <f>VLOOKUP(B43,'[6]% Penetración Mdo MAY26'!$B$7:$G$65,6,0)-F43-I43-L43-O43</f>
        <v>30</v>
      </c>
      <c r="S43" s="86">
        <f>SUMIF('UC MINI 2026'!$B$5:$B$61,'UC MINI 2026 MINI NEXT'!$B43,'UC MINI 2026'!$O$5:$O$61)</f>
        <v>12</v>
      </c>
      <c r="T43" s="296">
        <f t="shared" si="67"/>
        <v>0.4</v>
      </c>
      <c r="U43" s="606">
        <f>VLOOKUP(B43,'[7]% Penetración Mdo JUN26'!$B$7:$J$59,6,0)-F43-I43-L43-O43-R43</f>
        <v>32</v>
      </c>
      <c r="V43" s="86">
        <f>SUMIF('UC MINI 2026'!$B$5:$B$61,'UC MINI 2026 MINI NEXT'!$B43,'UC MINI 2026'!$Q$5:$Q$61)</f>
        <v>12</v>
      </c>
      <c r="W43" s="242">
        <f t="shared" si="91"/>
        <v>0.375</v>
      </c>
      <c r="X43" s="54"/>
      <c r="Y43" s="86">
        <f>SUMIF('UC MINI 2026'!$B$5:$B$61,'UC MINI 2026 MINI NEXT'!$B43,'UC MINI 2026'!$S$5:$S$61)</f>
        <v>0</v>
      </c>
      <c r="Z43" s="297">
        <f t="shared" si="82"/>
        <v>0</v>
      </c>
      <c r="AA43" s="54"/>
      <c r="AB43" s="86">
        <f>SUMIF('UC MINI 2026'!$B$5:$B$61,'UC MINI 2026 MINI NEXT'!$B43,'UC MINI 2026'!$U$5:$U$61)</f>
        <v>0</v>
      </c>
      <c r="AC43" s="243">
        <f t="shared" si="83"/>
        <v>0</v>
      </c>
      <c r="AD43" s="54"/>
      <c r="AE43" s="86">
        <f>SUMIF('UC MINI 2026'!$B$5:$B$61,'UC MINI 2026 MINI NEXT'!$B43,'UC MINI 2026'!$W$5:$W$61)</f>
        <v>0</v>
      </c>
      <c r="AF43" s="297">
        <f t="shared" si="84"/>
        <v>0</v>
      </c>
      <c r="AG43" s="54"/>
      <c r="AH43" s="86">
        <f>SUMIF('UC MINI 2026'!$B$5:$B$61,'UC MINI 2026 MINI NEXT'!$B43,'UC MINI 2026'!$Y$5:$Y$61)</f>
        <v>0</v>
      </c>
      <c r="AI43" s="243">
        <f t="shared" si="85"/>
        <v>0</v>
      </c>
      <c r="AJ43" s="54"/>
      <c r="AK43" s="86">
        <f>SUMIF('UC MINI 2026'!$B$5:$B$61,'UC MINI 2026 MINI NEXT'!$B43,'UC MINI 2026'!$AA$5:$AA$61)</f>
        <v>0</v>
      </c>
      <c r="AL43" s="297">
        <f t="shared" si="86"/>
        <v>0</v>
      </c>
      <c r="AM43" s="54"/>
      <c r="AN43" s="86">
        <f>SUMIF('UC MINI 2026'!$B$5:$B$61,'UC MINI 2026 MINI NEXT'!$B43,'UC MINI 2026'!$AC$5:$AC$61)</f>
        <v>0</v>
      </c>
      <c r="AO43" s="242">
        <f t="shared" si="92"/>
        <v>0</v>
      </c>
      <c r="AP43" s="67">
        <f>IFERROR(IF($AP$4="ENERO",F43,IF($AP$4="FEBRERO",F43+I43,IF($AP$4="MARZO",F43+I43+L43,IF($AP$4="ABRIL",F43+I43+L43+O43,IF($AP$4="MAYO",F43+I43+L43+O43+R43,IF($AP$4="JUNIO",F43+I43+L43+O43+R43+U43,IF($AP$4="JULIO",F43+I43+L43+O43+R43+U43+X43,IF($AP$4="AGOSTO",F43+I43+L43+O43+R43+U43+X43+AA43,IF($AP$4="SEPTIEMBRE",F43+I43+L43+O43+R43+U43+X43+AA43+AD43,IF($AP$4="OCTUBRE",F43+I43+L43+O43+R43+U43+X43+AA43+AD43+AG43,IF($AP$4="NOVIEMBRE",F43+I43+L43+O43+R43+U43+X43+AA43+AD43+AG43+AJ43,IF($AP$4="DICIEMBRE",F43+I43+L43+O43+R43+U43+X43+AA43+AD43+AG43+AJ43+AM43,"")))))))))))),0)</f>
        <v>147</v>
      </c>
      <c r="AQ43" s="68">
        <f>IFERROR(IF($AP$4="ENERO",G43,IF($AP$4="FEBRERO",G43+J43,IF($AP$4="MARZO",G43+J43+M43,IF($AP$4="ABRIL",G43+J43+M43+P43,IF($AP$4="MAYO",G43+J43+M43+P43+S43,IF($AP$4="JUNIO",G43+J43+M43+P43+S43+V43,IF($AP$4="JULIO",G43+J43+M43+P43+S43+V43+Y43,IF($AP$4="AGOSTO",G43+J43+M43+P43+S43+V43+Y43+AB43,IF($AP$4="SEPTIEMBRE",G43+J43+M43+P43+S43+V43+Y43+AB43+AE43,IF($AP$4="OCTUBRE",G43+J43+M43+P43+S43+V43+Y43+AB43+AE43+AH43,IF($AP$4="NOVIEMBRE",G43+J43+M43+P43+S43+V43+Y43+AB43+AE43+AH43+AK43,IF($AP$4="DICIEMBRE",G43+J43+M43+P43+S43+V43+Y43+AB43+AE43+AH43+AK43+AN43,"")))))))))))),0)</f>
        <v>55</v>
      </c>
      <c r="AR43" s="161">
        <f t="shared" si="93"/>
        <v>0.37414965986394561</v>
      </c>
      <c r="AS43" s="67">
        <f>IFERROR(F43+I43+L43+O43+R43+U43++X43+AA43+AD43+AG43+AJ43+AM43,0)</f>
        <v>147</v>
      </c>
      <c r="AT43" s="86">
        <f t="shared" si="16"/>
        <v>55</v>
      </c>
      <c r="AU43" s="161">
        <f t="shared" si="25"/>
        <v>0.37414965986394561</v>
      </c>
      <c r="AV43" s="67">
        <f>IF($AV$5="Q1",F43+I43+L43,
IF($AV$5="Q2",O43+R43++U43,
IF($AV$5="Q3",X43+AA43+AD43,
IF($AV$5="Q4",AG43+AJ43+AM43,0))))</f>
        <v>63</v>
      </c>
      <c r="AW43" s="68">
        <f>IF($AV$5="Q1",G43+J43+M43,
IF($AV$5="Q2",P43+S43++V43,
IF($AV$5="Q3",Y43+AB43+AE43,
IF($AV$5="Q4",AH43+AK43+AN43,0))))</f>
        <v>18</v>
      </c>
      <c r="AX43" s="116">
        <f t="shared" si="94"/>
        <v>0.2857142857142857</v>
      </c>
      <c r="AY43" s="68">
        <f>IFERROR(IF($AV$5="Q1",#REF!+#REF!+#REF!,
IF($AV$5="Q2",#REF!+#REF!++#REF!,
IF($AV$5="Q3",#REF!+#REF!+#REF!,
IF($AV$5="Q4",#REF!+#REF!+#REF!,0)))),0)</f>
        <v>0</v>
      </c>
      <c r="AZ43" s="297">
        <f>IF(AW43=0,"N.D.",AY43/AW43)</f>
        <v>0</v>
      </c>
      <c r="BA43" s="350">
        <f>IFERROR(IF($AV$5="Q1",#REF!+#REF!+#REF!,
IF($AV$5="Q2",#REF!+#REF!+#REF!,
IF($AV$5="Q3",#REF!+#REF!+#REF!,
IF($AV$5="Q4",#REF!+#REF!+#REF!,0)))),0)</f>
        <v>0</v>
      </c>
      <c r="BB43" s="162">
        <f t="shared" si="95"/>
        <v>0</v>
      </c>
      <c r="BC43" s="67">
        <f>IFERROR(IF($BC$5="S 1",F43+I43+L43+O43+R43+U43,
IF($BC$5="S 2",X43+AA43+AD43+AG43+AJ43+AM43,0)),0)</f>
        <v>147</v>
      </c>
      <c r="BD43" s="68">
        <f>IFERROR(IF($BC$5="S 1",G43+J43+M43+P43+S43+V43,
IF($BC$5="S 2",Y43+AB43+AE43+AH43+AK43+AN43,0)),0)</f>
        <v>55</v>
      </c>
      <c r="BE43" s="162">
        <f t="shared" si="96"/>
        <v>0.37414965986394561</v>
      </c>
      <c r="BF43" s="67">
        <f>IFERROR(IF($BF$5="S 1",F43+I43+L43+O43+R43+U43,
IF($BF$5="S 2",X43+AA43+AD43+AG43+AJ43+AM43,0)),0)</f>
        <v>0</v>
      </c>
      <c r="BG43" s="266">
        <f>IFERROR(IF($BF$5="S 1",G43+J43+M43+P43+S43+V43,
IF($BF$5="S 2",Y43+AB43+AE43+AH43+AK43+AN43,0)),0)</f>
        <v>0</v>
      </c>
      <c r="BH43" s="162">
        <f t="shared" si="97"/>
        <v>0</v>
      </c>
      <c r="BI43" s="53">
        <v>1</v>
      </c>
    </row>
    <row r="44" spans="1:61" s="53" customFormat="1" ht="16" customHeight="1" thickBot="1" x14ac:dyDescent="0.35">
      <c r="A44" s="53">
        <f>_xlfn.XLOOKUP(B44,'WHOLESALE MINI 2026'!$B$7:$B$63,'WHOLESALE MINI 2026'!$A$7:$A$63)</f>
        <v>7</v>
      </c>
      <c r="B44" s="8">
        <v>100572</v>
      </c>
      <c r="C44" s="369" t="s">
        <v>55</v>
      </c>
      <c r="D44" s="146"/>
      <c r="E44" s="309" t="s">
        <v>274</v>
      </c>
      <c r="F44" s="54">
        <v>27</v>
      </c>
      <c r="G44" s="86">
        <f>SUMIF('UC MINI 2026'!$B$5:$B$71,'UC MINI 2026 MINI NEXT'!$B44,'UC MINI 2026'!$G$5:$G$71)</f>
        <v>19</v>
      </c>
      <c r="H44" s="243">
        <f t="shared" si="63"/>
        <v>0.70370370370370372</v>
      </c>
      <c r="I44" s="54">
        <v>34</v>
      </c>
      <c r="J44" s="86">
        <f>SUMIF('UC MINI 2026'!$B$5:$B$61,'UC MINI 2026 MINI NEXT'!$B44,'UC MINI 2026'!$I$5:$I$61)</f>
        <v>29</v>
      </c>
      <c r="K44" s="243">
        <f t="shared" si="64"/>
        <v>0.8529411764705882</v>
      </c>
      <c r="L44" s="54">
        <v>33</v>
      </c>
      <c r="M44" s="86">
        <f>SUMIF('UC MINI 2026'!$B$5:$B$61,'UC MINI 2026 MINI NEXT'!$B44,'UC MINI 2026'!$K$5:$K$61)</f>
        <v>27</v>
      </c>
      <c r="N44" s="297">
        <f t="shared" si="65"/>
        <v>0.81818181818181823</v>
      </c>
      <c r="O44" s="54">
        <f>VLOOKUP(B44,'[5]% Penetración Mdo ABR26'!$B$7:$G$59,6,0)-F44-I44-L44</f>
        <v>31</v>
      </c>
      <c r="P44" s="86">
        <f>SUMIF('UC MINI 2026'!$B$5:$B$61,'UC MINI 2026 MINI NEXT'!$B44,'UC MINI 2026'!$M$5:$M$61)</f>
        <v>24</v>
      </c>
      <c r="Q44" s="243">
        <f t="shared" si="66"/>
        <v>0.77419354838709675</v>
      </c>
      <c r="R44" s="21">
        <f>VLOOKUP(B44,'[6]% Penetración Mdo MAY26'!$B$7:$G$65,6,0)-F44-I44-L44-O44</f>
        <v>25</v>
      </c>
      <c r="S44" s="86">
        <f>SUMIF('UC MINI 2026'!$B$5:$B$61,'UC MINI 2026 MINI NEXT'!$B44,'UC MINI 2026'!$O$5:$O$61)</f>
        <v>22</v>
      </c>
      <c r="T44" s="297">
        <f t="shared" si="67"/>
        <v>0.88</v>
      </c>
      <c r="U44" s="606">
        <f>VLOOKUP(B44,'[7]% Penetración Mdo JUN26'!$B$7:$J$59,6,0)-F44-I44-L44-O44-R44</f>
        <v>27</v>
      </c>
      <c r="V44" s="86">
        <f>SUMIF('UC MINI 2026'!$B$5:$B$61,'UC MINI 2026 MINI NEXT'!$B44,'UC MINI 2026'!$Q$5:$Q$61)</f>
        <v>32</v>
      </c>
      <c r="W44" s="243">
        <f t="shared" si="91"/>
        <v>1.1851851851851851</v>
      </c>
      <c r="X44" s="54"/>
      <c r="Y44" s="86">
        <f>SUMIF('UC MINI 2026'!$B$5:$B$61,'UC MINI 2026 MINI NEXT'!$B44,'UC MINI 2026'!$S$5:$S$61)</f>
        <v>0</v>
      </c>
      <c r="Z44" s="297">
        <f t="shared" si="82"/>
        <v>0</v>
      </c>
      <c r="AA44" s="54"/>
      <c r="AB44" s="86">
        <f>SUMIF('UC MINI 2026'!$B$5:$B$61,'UC MINI 2026 MINI NEXT'!$B44,'UC MINI 2026'!$U$5:$U$61)</f>
        <v>0</v>
      </c>
      <c r="AC44" s="243">
        <f t="shared" si="83"/>
        <v>0</v>
      </c>
      <c r="AD44" s="54"/>
      <c r="AE44" s="86">
        <f>SUMIF('UC MINI 2026'!$B$5:$B$61,'UC MINI 2026 MINI NEXT'!$B44,'UC MINI 2026'!$W$5:$W$61)</f>
        <v>0</v>
      </c>
      <c r="AF44" s="297">
        <f t="shared" si="84"/>
        <v>0</v>
      </c>
      <c r="AG44" s="54"/>
      <c r="AH44" s="86">
        <f>SUMIF('UC MINI 2026'!$B$5:$B$61,'UC MINI 2026 MINI NEXT'!$B44,'UC MINI 2026'!$Y$5:$Y$61)</f>
        <v>0</v>
      </c>
      <c r="AI44" s="243">
        <f t="shared" si="85"/>
        <v>0</v>
      </c>
      <c r="AJ44" s="54"/>
      <c r="AK44" s="86">
        <f>SUMIF('UC MINI 2026'!$B$5:$B$61,'UC MINI 2026 MINI NEXT'!$B44,'UC MINI 2026'!$AA$5:$AA$61)</f>
        <v>0</v>
      </c>
      <c r="AL44" s="297">
        <f t="shared" si="86"/>
        <v>0</v>
      </c>
      <c r="AM44" s="54"/>
      <c r="AN44" s="86">
        <f>SUMIF('UC MINI 2026'!$B$5:$B$61,'UC MINI 2026 MINI NEXT'!$B44,'UC MINI 2026'!$AC$5:$AC$61)</f>
        <v>0</v>
      </c>
      <c r="AO44" s="243">
        <f t="shared" si="92"/>
        <v>0</v>
      </c>
      <c r="AP44" s="67">
        <f>IFERROR(IF($AP$4="ENERO",F44,IF($AP$4="FEBRERO",F44+I44,IF($AP$4="MARZO",F44+I44+L44,IF($AP$4="ABRIL",F44+I44+L44+O44,IF($AP$4="MAYO",F44+I44+L44+O44+R44,IF($AP$4="JUNIO",F44+I44+L44+O44+R44+U44,IF($AP$4="JULIO",F44+I44+L44+O44+R44+U44+X44,IF($AP$4="AGOSTO",F44+I44+L44+O44+R44+U44+X44+AA44,IF($AP$4="SEPTIEMBRE",F44+I44+L44+O44+R44+U44+X44+AA44+AD44,IF($AP$4="OCTUBRE",F44+I44+L44+O44+R44+U44+X44+AA44+AD44+AG44,IF($AP$4="NOVIEMBRE",F44+I44+L44+O44+R44+U44+X44+AA44+AD44+AG44+AJ44,IF($AP$4="DICIEMBRE",F44+I44+L44+O44+R44+U44+X44+AA44+AD44+AG44+AJ44+AM44,"")))))))))))),0)</f>
        <v>177</v>
      </c>
      <c r="AQ44" s="68">
        <f>IFERROR(IF($AP$4="ENERO",G44,IF($AP$4="FEBRERO",G44+J44,IF($AP$4="MARZO",G44+J44+M44,IF($AP$4="ABRIL",G44+J44+M44+P44,IF($AP$4="MAYO",G44+J44+M44+P44+S44,IF($AP$4="JUNIO",G44+J44+M44+P44+S44+V44,IF($AP$4="JULIO",G44+J44+M44+P44+S44+V44+Y44,IF($AP$4="AGOSTO",G44+J44+M44+P44+S44+V44+Y44+AB44,IF($AP$4="SEPTIEMBRE",G44+J44+M44+P44+S44+V44+Y44+AB44+AE44,IF($AP$4="OCTUBRE",G44+J44+M44+P44+S44+V44+Y44+AB44+AE44+AH44,IF($AP$4="NOVIEMBRE",G44+J44+M44+P44+S44+V44+Y44+AB44+AE44+AH44+AK44,IF($AP$4="DICIEMBRE",G44+J44+M44+P44+S44+V44+Y44+AB44+AE44+AH44+AK44+AN44,"")))))))))))),0)</f>
        <v>153</v>
      </c>
      <c r="AR44" s="149">
        <f t="shared" si="93"/>
        <v>0.86440677966101698</v>
      </c>
      <c r="AS44" s="67">
        <f>IFERROR(F44+I44+L44+O44+R44+U44++X44+AA44+AD44+AG44+AJ44+AM44,0)</f>
        <v>177</v>
      </c>
      <c r="AT44" s="86">
        <f t="shared" si="16"/>
        <v>153</v>
      </c>
      <c r="AU44" s="149">
        <f t="shared" si="25"/>
        <v>0.86440677966101698</v>
      </c>
      <c r="AV44" s="54">
        <f>IF($AV$5="Q1",F44+I44+L44,
IF($AV$5="Q2",O44+R44++U44,
IF($AV$5="Q3",X44+AA44+AD44,
IF($AV$5="Q4",AG44+AJ44+AM44,0))))</f>
        <v>94</v>
      </c>
      <c r="AW44" s="86">
        <f>IF($AV$5="Q1",G44+J44+M44,
IF($AV$5="Q2",P44+S44++V44,
IF($AV$5="Q3",Y44+AB44+AE44,
IF($AV$5="Q4",AH44+AK44+AN44,0))))</f>
        <v>75</v>
      </c>
      <c r="AX44" s="109">
        <f t="shared" si="94"/>
        <v>0.7978723404255319</v>
      </c>
      <c r="AY44" s="68">
        <f>IFERROR(IF($AV$5="Q1",#REF!+#REF!+#REF!,
IF($AV$5="Q2",#REF!+#REF!++#REF!,
IF($AV$5="Q3",#REF!+#REF!+#REF!,
IF($AV$5="Q4",#REF!+#REF!+#REF!,0)))),0)</f>
        <v>0</v>
      </c>
      <c r="AZ44" s="297">
        <f>IF(AW44=0,"N.D.",AY44/AW44)</f>
        <v>0</v>
      </c>
      <c r="BA44" s="350">
        <f>IFERROR(IF($AV$5="Q1",#REF!+#REF!+#REF!,
IF($AV$5="Q2",#REF!+#REF!+#REF!,
IF($AV$5="Q3",#REF!+#REF!+#REF!,
IF($AV$5="Q4",#REF!+#REF!+#REF!,0)))),0)</f>
        <v>0</v>
      </c>
      <c r="BB44" s="150">
        <f t="shared" si="95"/>
        <v>0</v>
      </c>
      <c r="BC44" s="67">
        <f>IFERROR(IF($BC$5="S 1",F44+I44+L44+O44+R44+U44,
IF($BC$5="S 2",X44+AA44+AD44+AG44+AJ44+AM44,0)),0)</f>
        <v>177</v>
      </c>
      <c r="BD44" s="68">
        <f>IFERROR(IF($BC$5="S 1",G44+J44+M44+P44+S44+V44,
IF($BC$5="S 2",Y44+AB44+AE44+AH44+AK44+AN44,0)),0)</f>
        <v>153</v>
      </c>
      <c r="BE44" s="150">
        <f t="shared" si="96"/>
        <v>0.86440677966101698</v>
      </c>
      <c r="BF44" s="67">
        <f>IFERROR(IF($BF$5="S 1",F44+I44+L44+O44+R44+U44,
IF($BF$5="S 2",X44+AA44+AD44+AG44+AJ44+AM44,0)),0)</f>
        <v>0</v>
      </c>
      <c r="BG44" s="266">
        <f>IFERROR(IF($BF$5="S 1",G44+J44+M44+P44+S44+V44,
IF($BF$5="S 2",Y44+AB44+AE44+AH44+AK44+AN44,0)),0)</f>
        <v>0</v>
      </c>
      <c r="BH44" s="150">
        <f t="shared" si="97"/>
        <v>0</v>
      </c>
      <c r="BI44" s="53">
        <v>1</v>
      </c>
    </row>
    <row r="45" spans="1:61" s="53" customFormat="1" ht="16" customHeight="1" thickBot="1" x14ac:dyDescent="0.35">
      <c r="A45" s="53">
        <f>_xlfn.XLOOKUP(B45,'WHOLESALE MINI 2026'!$B$7:$B$63,'WHOLESALE MINI 2026'!$A$7:$A$63)</f>
        <v>0</v>
      </c>
      <c r="B45" s="61" t="s">
        <v>269</v>
      </c>
      <c r="C45" s="62"/>
      <c r="D45" s="146"/>
      <c r="E45" s="80"/>
      <c r="F45" s="63">
        <f>SUM(F43:F44)</f>
        <v>45</v>
      </c>
      <c r="G45" s="63">
        <f>SUM(G43:G44)</f>
        <v>25</v>
      </c>
      <c r="H45" s="301">
        <f t="shared" si="63"/>
        <v>0.55555555555555558</v>
      </c>
      <c r="I45" s="63">
        <f>SUM(I43:I44)</f>
        <v>50</v>
      </c>
      <c r="J45" s="63">
        <f>SUM(J43:J44)</f>
        <v>34</v>
      </c>
      <c r="K45" s="301">
        <f t="shared" si="64"/>
        <v>0.68</v>
      </c>
      <c r="L45" s="63">
        <f>SUM(L43:L44)</f>
        <v>62</v>
      </c>
      <c r="M45" s="63">
        <f>SUM(M43:M44)</f>
        <v>34</v>
      </c>
      <c r="N45" s="301">
        <f t="shared" si="65"/>
        <v>0.54838709677419351</v>
      </c>
      <c r="O45" s="63">
        <f>SUM(O43:O44)</f>
        <v>53</v>
      </c>
      <c r="P45" s="63">
        <f>SUM(P43:P44)</f>
        <v>37</v>
      </c>
      <c r="Q45" s="301">
        <f t="shared" si="66"/>
        <v>0.69811320754716977</v>
      </c>
      <c r="R45" s="63">
        <f>SUM(R43:R44)</f>
        <v>55</v>
      </c>
      <c r="S45" s="63">
        <f>SUM(S43:S44)</f>
        <v>34</v>
      </c>
      <c r="T45" s="301">
        <f t="shared" si="67"/>
        <v>0.61818181818181817</v>
      </c>
      <c r="U45" s="63">
        <f>SUM(U43:U44)</f>
        <v>59</v>
      </c>
      <c r="V45" s="63">
        <f>SUM(V43:V44)</f>
        <v>44</v>
      </c>
      <c r="W45" s="301">
        <f t="shared" si="91"/>
        <v>0.74576271186440679</v>
      </c>
      <c r="X45" s="63">
        <f>SUM(X43:X44)</f>
        <v>0</v>
      </c>
      <c r="Y45" s="63">
        <f>SUM(Y43:Y44)</f>
        <v>0</v>
      </c>
      <c r="Z45" s="301">
        <f t="shared" si="82"/>
        <v>0</v>
      </c>
      <c r="AA45" s="63">
        <f>SUM(AA43:AA44)</f>
        <v>0</v>
      </c>
      <c r="AB45" s="63">
        <f>SUM(AB43:AB44)</f>
        <v>0</v>
      </c>
      <c r="AC45" s="301">
        <f t="shared" si="83"/>
        <v>0</v>
      </c>
      <c r="AD45" s="63">
        <f>SUM(AD43:AD44)</f>
        <v>0</v>
      </c>
      <c r="AE45" s="63">
        <f>SUM(AE43:AE44)</f>
        <v>0</v>
      </c>
      <c r="AF45" s="301">
        <f t="shared" si="84"/>
        <v>0</v>
      </c>
      <c r="AG45" s="63">
        <f>SUM(AG43:AG44)</f>
        <v>0</v>
      </c>
      <c r="AH45" s="63">
        <f>SUM(AH43:AH44)</f>
        <v>0</v>
      </c>
      <c r="AI45" s="301">
        <f t="shared" si="85"/>
        <v>0</v>
      </c>
      <c r="AJ45" s="63">
        <f>SUM(AJ43:AJ44)</f>
        <v>0</v>
      </c>
      <c r="AK45" s="63">
        <f>SUM(AK43:AK44)</f>
        <v>0</v>
      </c>
      <c r="AL45" s="301">
        <f t="shared" si="86"/>
        <v>0</v>
      </c>
      <c r="AM45" s="63">
        <f>SUM(AM43:AM44)</f>
        <v>0</v>
      </c>
      <c r="AN45" s="63">
        <f>SUM(AN43:AN44)</f>
        <v>0</v>
      </c>
      <c r="AO45" s="301">
        <f t="shared" si="92"/>
        <v>0</v>
      </c>
      <c r="AP45" s="63">
        <f>SUM(AP43:AP44)</f>
        <v>324</v>
      </c>
      <c r="AQ45" s="63">
        <f>SUM(AQ43:AQ44)</f>
        <v>208</v>
      </c>
      <c r="AR45" s="320">
        <f t="shared" si="93"/>
        <v>0.64197530864197527</v>
      </c>
      <c r="AS45" s="63">
        <f>SUM(AS43:AS44)</f>
        <v>324</v>
      </c>
      <c r="AT45" s="63">
        <f>SUM(AT43:AT44)</f>
        <v>208</v>
      </c>
      <c r="AU45" s="320">
        <f t="shared" si="25"/>
        <v>0.64197530864197527</v>
      </c>
      <c r="AV45" s="63">
        <f>SUM(AV37:AV44)</f>
        <v>409</v>
      </c>
      <c r="AW45" s="65">
        <f>SUM(AW37:AW44)</f>
        <v>281</v>
      </c>
      <c r="AX45" s="157">
        <f t="shared" si="94"/>
        <v>0.68704156479217604</v>
      </c>
      <c r="AY45" s="65">
        <f>SUM(AY37:AY44)</f>
        <v>0</v>
      </c>
      <c r="AZ45" s="321">
        <f>IFERROR(AY45/AW45,0)</f>
        <v>0</v>
      </c>
      <c r="BA45" s="349" t="e">
        <f>IF($AV$5="Q1",#REF!+#REF!+#REF!,
IF($AV$5="Q2",#REF!+#REF!+#REF!,
IF($AV$5="Q3",#REF!+#REF!+#REF!,
IF($AV$5="Q4",#REF!+#REF!+#REF!,0))))</f>
        <v>#REF!</v>
      </c>
      <c r="BB45" s="333">
        <f t="shared" si="95"/>
        <v>0</v>
      </c>
      <c r="BC45" s="63">
        <f>IF($BC$5="S 1",F45+I45+L45+O45+R45+U45,
IF($BC$5="S 2",X45+AA45+AD45+AG45+AJ45+AM45,0))</f>
        <v>324</v>
      </c>
      <c r="BD45" s="65">
        <f>IF($BC$5="S 1",G45+J45+M45+P45+S45+V45,
IF($BC$5="S 2",Y45+AB45+AE45+AH45+AK45+AN45,0))</f>
        <v>208</v>
      </c>
      <c r="BE45" s="333">
        <f t="shared" si="96"/>
        <v>0.64197530864197527</v>
      </c>
      <c r="BF45" s="63">
        <f>SUM(BF43:BF44)</f>
        <v>0</v>
      </c>
      <c r="BG45" s="63">
        <f>SUM(BG43:BG44)</f>
        <v>0</v>
      </c>
      <c r="BH45" s="333">
        <f t="shared" si="97"/>
        <v>0</v>
      </c>
      <c r="BI45" s="53">
        <v>0</v>
      </c>
    </row>
    <row r="46" spans="1:61" s="53" customFormat="1" ht="16" customHeight="1" x14ac:dyDescent="0.3">
      <c r="A46" s="53">
        <f>_xlfn.XLOOKUP(B46,'WHOLESALE MINI 2026'!$B$7:$B$63,'WHOLESALE MINI 2026'!$A$7:$A$63)</f>
        <v>8</v>
      </c>
      <c r="B46" s="8">
        <v>100002</v>
      </c>
      <c r="C46" s="369" t="s">
        <v>61</v>
      </c>
      <c r="D46" s="146"/>
      <c r="E46" s="379" t="s">
        <v>96</v>
      </c>
      <c r="F46" s="54">
        <v>12</v>
      </c>
      <c r="G46" s="86">
        <f>SUMIF('UC MINI 2026'!$B$5:$B$71,'UC MINI 2026 MINI NEXT'!$B46,'UC MINI 2026'!$G$5:$G$71)</f>
        <v>7</v>
      </c>
      <c r="H46" s="242">
        <f t="shared" si="63"/>
        <v>0.58333333333333337</v>
      </c>
      <c r="I46" s="54">
        <v>13</v>
      </c>
      <c r="J46" s="86">
        <f>SUMIF('UC MINI 2026'!$B$5:$B$61,'UC MINI 2026 MINI NEXT'!$B46,'UC MINI 2026'!$I$5:$I$61)</f>
        <v>12</v>
      </c>
      <c r="K46" s="242">
        <f t="shared" si="64"/>
        <v>0.92307692307692313</v>
      </c>
      <c r="L46" s="54">
        <v>21</v>
      </c>
      <c r="M46" s="86">
        <f>SUMIF('UC MINI 2026'!$B$5:$B$61,'UC MINI 2026 MINI NEXT'!$B46,'UC MINI 2026'!$K$5:$K$61)</f>
        <v>13</v>
      </c>
      <c r="N46" s="296">
        <f t="shared" si="65"/>
        <v>0.61904761904761907</v>
      </c>
      <c r="O46" s="54">
        <f>VLOOKUP(B46,'[5]% Penetración Mdo ABR26'!$B$7:$G$59,6,0)-F46-I46-L46</f>
        <v>17</v>
      </c>
      <c r="P46" s="86">
        <f>SUMIF('UC MINI 2026'!$B$5:$B$61,'UC MINI 2026 MINI NEXT'!$B46,'UC MINI 2026'!$M$5:$M$61)</f>
        <v>7</v>
      </c>
      <c r="Q46" s="242">
        <f t="shared" si="66"/>
        <v>0.41176470588235292</v>
      </c>
      <c r="R46" s="21">
        <f>VLOOKUP(B46,'[6]% Penetración Mdo MAY26'!$B$7:$G$65,6,0)-F46-I46-L46-O46</f>
        <v>17</v>
      </c>
      <c r="S46" s="86">
        <f>SUMIF('UC MINI 2026'!$B$5:$B$61,'UC MINI 2026 MINI NEXT'!$B46,'UC MINI 2026'!$O$5:$O$61)</f>
        <v>5</v>
      </c>
      <c r="T46" s="296">
        <f t="shared" si="67"/>
        <v>0.29411764705882354</v>
      </c>
      <c r="U46" s="606">
        <f>VLOOKUP(B46,'[7]% Penetración Mdo JUN26'!$B$7:$J$59,6,0)-F46-I46-L46-O46-R46</f>
        <v>10</v>
      </c>
      <c r="V46" s="86">
        <f>SUMIF('UC MINI 2026'!$B$5:$B$61,'UC MINI 2026 MINI NEXT'!$B46,'UC MINI 2026'!$Q$5:$Q$61)</f>
        <v>8</v>
      </c>
      <c r="W46" s="242">
        <f t="shared" si="91"/>
        <v>0.8</v>
      </c>
      <c r="X46" s="54"/>
      <c r="Y46" s="86">
        <f>SUMIF('UC MINI 2026'!$B$5:$B$61,'UC MINI 2026 MINI NEXT'!$B46,'UC MINI 2026'!$S$5:$S$61)</f>
        <v>0</v>
      </c>
      <c r="Z46" s="297">
        <f t="shared" si="82"/>
        <v>0</v>
      </c>
      <c r="AA46" s="54"/>
      <c r="AB46" s="86">
        <f>SUMIF('UC MINI 2026'!$B$5:$B$61,'UC MINI 2026 MINI NEXT'!$B46,'UC MINI 2026'!$U$5:$U$61)</f>
        <v>0</v>
      </c>
      <c r="AC46" s="243">
        <f t="shared" si="83"/>
        <v>0</v>
      </c>
      <c r="AD46" s="54"/>
      <c r="AE46" s="86">
        <f>SUMIF('UC MINI 2026'!$B$5:$B$61,'UC MINI 2026 MINI NEXT'!$B46,'UC MINI 2026'!$W$5:$W$61)</f>
        <v>0</v>
      </c>
      <c r="AF46" s="297">
        <f t="shared" si="84"/>
        <v>0</v>
      </c>
      <c r="AG46" s="54"/>
      <c r="AH46" s="86">
        <f>SUMIF('UC MINI 2026'!$B$5:$B$61,'UC MINI 2026 MINI NEXT'!$B46,'UC MINI 2026'!$Y$5:$Y$61)</f>
        <v>0</v>
      </c>
      <c r="AI46" s="243">
        <f t="shared" si="85"/>
        <v>0</v>
      </c>
      <c r="AJ46" s="54"/>
      <c r="AK46" s="86">
        <f>SUMIF('UC MINI 2026'!$B$5:$B$61,'UC MINI 2026 MINI NEXT'!$B46,'UC MINI 2026'!$AA$5:$AA$61)</f>
        <v>0</v>
      </c>
      <c r="AL46" s="297">
        <f t="shared" si="86"/>
        <v>0</v>
      </c>
      <c r="AM46" s="54"/>
      <c r="AN46" s="86">
        <f>SUMIF('UC MINI 2026'!$B$5:$B$61,'UC MINI 2026 MINI NEXT'!$B46,'UC MINI 2026'!$AC$5:$AC$61)</f>
        <v>0</v>
      </c>
      <c r="AO46" s="242">
        <f t="shared" si="92"/>
        <v>0</v>
      </c>
      <c r="AP46" s="67">
        <f t="shared" ref="AP46:AQ50" si="98">IFERROR(IF($AP$4="ENERO",F46,IF($AP$4="FEBRERO",F46+I46,IF($AP$4="MARZO",F46+I46+L46,IF($AP$4="ABRIL",F46+I46+L46+O46,IF($AP$4="MAYO",F46+I46+L46+O46+R46,IF($AP$4="JUNIO",F46+I46+L46+O46+R46+U46,IF($AP$4="JULIO",F46+I46+L46+O46+R46+U46+X46,IF($AP$4="AGOSTO",F46+I46+L46+O46+R46+U46+X46+AA46,IF($AP$4="SEPTIEMBRE",F46+I46+L46+O46+R46+U46+X46+AA46+AD46,IF($AP$4="OCTUBRE",F46+I46+L46+O46+R46+U46+X46+AA46+AD46+AG46,IF($AP$4="NOVIEMBRE",F46+I46+L46+O46+R46+U46+X46+AA46+AD46+AG46+AJ46,IF($AP$4="DICIEMBRE",F46+I46+L46+O46+R46+U46+X46+AA46+AD46+AG46+AJ46+AM46,"")))))))))))),0)</f>
        <v>90</v>
      </c>
      <c r="AQ46" s="68">
        <f t="shared" si="98"/>
        <v>52</v>
      </c>
      <c r="AR46" s="161">
        <f t="shared" si="93"/>
        <v>0.57777777777777772</v>
      </c>
      <c r="AS46" s="67">
        <f>IFERROR(F46+I46+L46+O46+R46+U46++X46+AA46+AD46+AG46+AJ46+AM46,0)</f>
        <v>90</v>
      </c>
      <c r="AT46" s="86">
        <f t="shared" si="16"/>
        <v>52</v>
      </c>
      <c r="AU46" s="161">
        <f>IFERROR((AT46/AS46),0)</f>
        <v>0.57777777777777772</v>
      </c>
      <c r="AV46" s="67">
        <f t="shared" ref="AV46:AW49" si="99">IF($AV$5="Q1",F46+I46+L46,
IF($AV$5="Q2",O46+R46++U46,
IF($AV$5="Q3",X46+AA46+AD46,
IF($AV$5="Q4",AG46+AJ46+AM46,0))))</f>
        <v>46</v>
      </c>
      <c r="AW46" s="68">
        <f t="shared" si="99"/>
        <v>32</v>
      </c>
      <c r="AX46" s="116">
        <f t="shared" si="94"/>
        <v>0.69565217391304346</v>
      </c>
      <c r="AY46" s="68">
        <f>IFERROR(IF($AV$5="Q1",#REF!+#REF!+#REF!,
IF($AV$5="Q2",#REF!+#REF!++#REF!,
IF($AV$5="Q3",#REF!+#REF!+#REF!,
IF($AV$5="Q4",#REF!+#REF!+#REF!,0)))),0)</f>
        <v>0</v>
      </c>
      <c r="AZ46" s="297">
        <f>IF(AW46=0,"N.D.",AY46/AW46)</f>
        <v>0</v>
      </c>
      <c r="BA46" s="350">
        <f>IFERROR(IF($AV$5="Q1",#REF!+#REF!+#REF!,
IF($AV$5="Q2",#REF!+#REF!+#REF!,
IF($AV$5="Q3",#REF!+#REF!+#REF!,
IF($AV$5="Q4",#REF!+#REF!+#REF!,0)))),0)</f>
        <v>0</v>
      </c>
      <c r="BB46" s="162">
        <f t="shared" si="95"/>
        <v>0</v>
      </c>
      <c r="BC46" s="67">
        <f t="shared" ref="BC46:BD50" si="100">IFERROR(IF($BC$5="S 1",F46+I46+L46+O46+R46+U46,
IF($BC$5="S 2",X46+AA46+AD46+AG46+AJ46+AM46,0)),0)</f>
        <v>90</v>
      </c>
      <c r="BD46" s="68">
        <f t="shared" si="100"/>
        <v>52</v>
      </c>
      <c r="BE46" s="162">
        <f t="shared" si="96"/>
        <v>0.57777777777777772</v>
      </c>
      <c r="BF46" s="67">
        <f t="shared" ref="BF46:BG50" si="101">IFERROR(IF($BF$5="S 1",F46+I46+L46+O46+R46+U46,
IF($BF$5="S 2",X46+AA46+AD46+AG46+AJ46+AM46,0)),0)</f>
        <v>0</v>
      </c>
      <c r="BG46" s="266">
        <f t="shared" si="101"/>
        <v>0</v>
      </c>
      <c r="BH46" s="162">
        <f t="shared" si="97"/>
        <v>0</v>
      </c>
      <c r="BI46" s="53">
        <v>1</v>
      </c>
    </row>
    <row r="47" spans="1:61" s="53" customFormat="1" ht="16" customHeight="1" x14ac:dyDescent="0.3">
      <c r="A47" s="53">
        <f>_xlfn.XLOOKUP(B47,'WHOLESALE MINI 2026'!$B$7:$B$63,'WHOLESALE MINI 2026'!$A$7:$A$63)</f>
        <v>8</v>
      </c>
      <c r="B47" s="8">
        <v>100062</v>
      </c>
      <c r="C47" s="369" t="s">
        <v>62</v>
      </c>
      <c r="D47" s="146"/>
      <c r="E47" s="379" t="s">
        <v>97</v>
      </c>
      <c r="F47" s="54">
        <v>22</v>
      </c>
      <c r="G47" s="86">
        <f>SUMIF('UC MINI 2026'!$B$5:$B$71,'UC MINI 2026 MINI NEXT'!$B47,'UC MINI 2026'!$G$5:$G$71)</f>
        <v>5</v>
      </c>
      <c r="H47" s="243">
        <f t="shared" si="63"/>
        <v>0.22727272727272727</v>
      </c>
      <c r="I47" s="54">
        <v>27</v>
      </c>
      <c r="J47" s="86">
        <f>SUMIF('UC MINI 2026'!$B$5:$B$61,'UC MINI 2026 MINI NEXT'!$B47,'UC MINI 2026'!$I$5:$I$61)</f>
        <v>15</v>
      </c>
      <c r="K47" s="243">
        <f t="shared" si="64"/>
        <v>0.55555555555555558</v>
      </c>
      <c r="L47" s="54">
        <v>27</v>
      </c>
      <c r="M47" s="86">
        <f>SUMIF('UC MINI 2026'!$B$5:$B$61,'UC MINI 2026 MINI NEXT'!$B47,'UC MINI 2026'!$K$5:$K$61)</f>
        <v>11</v>
      </c>
      <c r="N47" s="297">
        <f t="shared" si="65"/>
        <v>0.40740740740740738</v>
      </c>
      <c r="O47" s="54">
        <f>VLOOKUP(B47,'[5]% Penetración Mdo ABR26'!$B$7:$G$59,6,0)-F47-I47-L47</f>
        <v>26</v>
      </c>
      <c r="P47" s="86">
        <f>SUMIF('UC MINI 2026'!$B$5:$B$61,'UC MINI 2026 MINI NEXT'!$B47,'UC MINI 2026'!$M$5:$M$61)</f>
        <v>11</v>
      </c>
      <c r="Q47" s="243">
        <f t="shared" si="66"/>
        <v>0.42307692307692307</v>
      </c>
      <c r="R47" s="21">
        <f>VLOOKUP(B47,'[6]% Penetración Mdo MAY26'!$B$7:$G$65,6,0)-F47-I47-L47-O47</f>
        <v>41</v>
      </c>
      <c r="S47" s="86">
        <f>SUMIF('UC MINI 2026'!$B$5:$B$61,'UC MINI 2026 MINI NEXT'!$B47,'UC MINI 2026'!$O$5:$O$61)</f>
        <v>20</v>
      </c>
      <c r="T47" s="297">
        <f t="shared" si="67"/>
        <v>0.48780487804878048</v>
      </c>
      <c r="U47" s="606">
        <f>VLOOKUP(B47,'[7]% Penetración Mdo JUN26'!$B$7:$J$59,6,0)-F47-I47-L47-O47-R47</f>
        <v>29</v>
      </c>
      <c r="V47" s="86">
        <f>SUMIF('UC MINI 2026'!$B$5:$B$61,'UC MINI 2026 MINI NEXT'!$B47,'UC MINI 2026'!$Q$5:$Q$61)</f>
        <v>16</v>
      </c>
      <c r="W47" s="243">
        <f t="shared" si="91"/>
        <v>0.55172413793103448</v>
      </c>
      <c r="X47" s="54"/>
      <c r="Y47" s="86">
        <f>SUMIF('UC MINI 2026'!$B$5:$B$61,'UC MINI 2026 MINI NEXT'!$B47,'UC MINI 2026'!$S$5:$S$61)</f>
        <v>0</v>
      </c>
      <c r="Z47" s="297">
        <f t="shared" si="82"/>
        <v>0</v>
      </c>
      <c r="AA47" s="54"/>
      <c r="AB47" s="86">
        <f>SUMIF('UC MINI 2026'!$B$5:$B$61,'UC MINI 2026 MINI NEXT'!$B47,'UC MINI 2026'!$U$5:$U$61)</f>
        <v>0</v>
      </c>
      <c r="AC47" s="243">
        <f t="shared" si="83"/>
        <v>0</v>
      </c>
      <c r="AD47" s="54"/>
      <c r="AE47" s="86">
        <f>SUMIF('UC MINI 2026'!$B$5:$B$61,'UC MINI 2026 MINI NEXT'!$B47,'UC MINI 2026'!$W$5:$W$61)</f>
        <v>0</v>
      </c>
      <c r="AF47" s="297">
        <f t="shared" si="84"/>
        <v>0</v>
      </c>
      <c r="AG47" s="54"/>
      <c r="AH47" s="86">
        <f>SUMIF('UC MINI 2026'!$B$5:$B$61,'UC MINI 2026 MINI NEXT'!$B47,'UC MINI 2026'!$Y$5:$Y$61)</f>
        <v>0</v>
      </c>
      <c r="AI47" s="243">
        <f t="shared" si="85"/>
        <v>0</v>
      </c>
      <c r="AJ47" s="54"/>
      <c r="AK47" s="86">
        <f>SUMIF('UC MINI 2026'!$B$5:$B$61,'UC MINI 2026 MINI NEXT'!$B47,'UC MINI 2026'!$AA$5:$AA$61)</f>
        <v>0</v>
      </c>
      <c r="AL47" s="297">
        <f t="shared" si="86"/>
        <v>0</v>
      </c>
      <c r="AM47" s="54"/>
      <c r="AN47" s="86">
        <f>SUMIF('UC MINI 2026'!$B$5:$B$61,'UC MINI 2026 MINI NEXT'!$B47,'UC MINI 2026'!$AC$5:$AC$61)</f>
        <v>0</v>
      </c>
      <c r="AO47" s="243">
        <f t="shared" si="92"/>
        <v>0</v>
      </c>
      <c r="AP47" s="67">
        <f t="shared" si="98"/>
        <v>172</v>
      </c>
      <c r="AQ47" s="68">
        <f t="shared" si="98"/>
        <v>78</v>
      </c>
      <c r="AR47" s="149">
        <f t="shared" si="93"/>
        <v>0.45348837209302323</v>
      </c>
      <c r="AS47" s="67">
        <f>IFERROR(F47+I47+L47+O47+R47+U47++X47+AA47+AD47+AG47+AJ47+AM47,0)</f>
        <v>172</v>
      </c>
      <c r="AT47" s="86">
        <f t="shared" si="16"/>
        <v>78</v>
      </c>
      <c r="AU47" s="149">
        <f>IFERROR((AT47/AS47),0)</f>
        <v>0.45348837209302323</v>
      </c>
      <c r="AV47" s="54">
        <f t="shared" si="99"/>
        <v>76</v>
      </c>
      <c r="AW47" s="86">
        <f t="shared" si="99"/>
        <v>31</v>
      </c>
      <c r="AX47" s="109">
        <f t="shared" si="94"/>
        <v>0.40789473684210525</v>
      </c>
      <c r="AY47" s="68">
        <f>IFERROR(IF($AV$5="Q1",#REF!+#REF!+#REF!,
IF($AV$5="Q2",#REF!+#REF!++#REF!,
IF($AV$5="Q3",#REF!+#REF!+#REF!,
IF($AV$5="Q4",#REF!+#REF!+#REF!,0)))),0)</f>
        <v>0</v>
      </c>
      <c r="AZ47" s="297">
        <f>IF(AW47=0,"N.D.",AY47/AW47)</f>
        <v>0</v>
      </c>
      <c r="BA47" s="350">
        <f>IFERROR(IF($AV$5="Q1",#REF!+#REF!+#REF!,
IF($AV$5="Q2",#REF!+#REF!+#REF!,
IF($AV$5="Q3",#REF!+#REF!+#REF!,
IF($AV$5="Q4",#REF!+#REF!+#REF!,0)))),0)</f>
        <v>0</v>
      </c>
      <c r="BB47" s="150">
        <f t="shared" si="95"/>
        <v>0</v>
      </c>
      <c r="BC47" s="67">
        <f t="shared" si="100"/>
        <v>172</v>
      </c>
      <c r="BD47" s="68">
        <f t="shared" si="100"/>
        <v>78</v>
      </c>
      <c r="BE47" s="150">
        <f t="shared" si="96"/>
        <v>0.45348837209302323</v>
      </c>
      <c r="BF47" s="67">
        <f t="shared" si="101"/>
        <v>0</v>
      </c>
      <c r="BG47" s="266">
        <f t="shared" si="101"/>
        <v>0</v>
      </c>
      <c r="BH47" s="150">
        <f t="shared" si="97"/>
        <v>0</v>
      </c>
      <c r="BI47" s="53">
        <v>1</v>
      </c>
    </row>
    <row r="48" spans="1:61" s="53" customFormat="1" ht="16" customHeight="1" x14ac:dyDescent="0.3">
      <c r="A48" s="53">
        <f>_xlfn.XLOOKUP(B48,'WHOLESALE MINI 2026'!$B$7:$B$63,'WHOLESALE MINI 2026'!$A$7:$A$63)</f>
        <v>8</v>
      </c>
      <c r="B48" s="8">
        <v>100206</v>
      </c>
      <c r="C48" s="369" t="s">
        <v>63</v>
      </c>
      <c r="D48" s="146"/>
      <c r="E48" s="379" t="s">
        <v>97</v>
      </c>
      <c r="F48" s="54">
        <v>14</v>
      </c>
      <c r="G48" s="86">
        <f>SUMIF('UC MINI 2026'!$B$5:$B$71,'UC MINI 2026 MINI NEXT'!$B48,'UC MINI 2026'!$G$5:$G$71)</f>
        <v>7</v>
      </c>
      <c r="H48" s="243">
        <f t="shared" si="63"/>
        <v>0.5</v>
      </c>
      <c r="I48" s="54">
        <v>23</v>
      </c>
      <c r="J48" s="86">
        <f>SUMIF('UC MINI 2026'!$B$5:$B$61,'UC MINI 2026 MINI NEXT'!$B48,'UC MINI 2026'!$I$5:$I$61)</f>
        <v>7</v>
      </c>
      <c r="K48" s="243">
        <f t="shared" si="64"/>
        <v>0.30434782608695654</v>
      </c>
      <c r="L48" s="54">
        <v>16</v>
      </c>
      <c r="M48" s="86">
        <f>SUMIF('UC MINI 2026'!$B$5:$B$61,'UC MINI 2026 MINI NEXT'!$B48,'UC MINI 2026'!$K$5:$K$61)</f>
        <v>7</v>
      </c>
      <c r="N48" s="297">
        <f t="shared" si="65"/>
        <v>0.4375</v>
      </c>
      <c r="O48" s="54">
        <f>VLOOKUP(B48,'[5]% Penetración Mdo ABR26'!$B$7:$G$59,6,0)-F48-I48-L48</f>
        <v>17</v>
      </c>
      <c r="P48" s="86">
        <f>SUMIF('UC MINI 2026'!$B$5:$B$61,'UC MINI 2026 MINI NEXT'!$B48,'UC MINI 2026'!$M$5:$M$61)</f>
        <v>2</v>
      </c>
      <c r="Q48" s="243">
        <f t="shared" si="66"/>
        <v>0.11764705882352941</v>
      </c>
      <c r="R48" s="21">
        <f>VLOOKUP(B48,'[6]% Penetración Mdo MAY26'!$B$7:$G$65,6,0)-F48-I48-L48-O48</f>
        <v>11</v>
      </c>
      <c r="S48" s="86">
        <f>SUMIF('UC MINI 2026'!$B$5:$B$61,'UC MINI 2026 MINI NEXT'!$B48,'UC MINI 2026'!$O$5:$O$61)</f>
        <v>11</v>
      </c>
      <c r="T48" s="297">
        <f t="shared" si="67"/>
        <v>1</v>
      </c>
      <c r="U48" s="606">
        <f>VLOOKUP(B48,'[7]% Penetración Mdo JUN26'!$B$7:$J$59,6,0)-F48-I48-L48-O48-R48</f>
        <v>4</v>
      </c>
      <c r="V48" s="86">
        <f>SUMIF('UC MINI 2026'!$B$5:$B$61,'UC MINI 2026 MINI NEXT'!$B48,'UC MINI 2026'!$Q$5:$Q$61)</f>
        <v>19</v>
      </c>
      <c r="W48" s="243">
        <f t="shared" si="91"/>
        <v>4.75</v>
      </c>
      <c r="X48" s="54"/>
      <c r="Y48" s="86">
        <f>SUMIF('UC MINI 2026'!$B$5:$B$61,'UC MINI 2026 MINI NEXT'!$B48,'UC MINI 2026'!$S$5:$S$61)</f>
        <v>0</v>
      </c>
      <c r="Z48" s="297">
        <f t="shared" si="82"/>
        <v>0</v>
      </c>
      <c r="AA48" s="54"/>
      <c r="AB48" s="86">
        <f>SUMIF('UC MINI 2026'!$B$5:$B$61,'UC MINI 2026 MINI NEXT'!$B48,'UC MINI 2026'!$U$5:$U$61)</f>
        <v>0</v>
      </c>
      <c r="AC48" s="243">
        <f t="shared" si="83"/>
        <v>0</v>
      </c>
      <c r="AD48" s="54"/>
      <c r="AE48" s="86">
        <f>SUMIF('UC MINI 2026'!$B$5:$B$61,'UC MINI 2026 MINI NEXT'!$B48,'UC MINI 2026'!$W$5:$W$61)</f>
        <v>0</v>
      </c>
      <c r="AF48" s="297">
        <f t="shared" si="84"/>
        <v>0</v>
      </c>
      <c r="AG48" s="54"/>
      <c r="AH48" s="86">
        <f>SUMIF('UC MINI 2026'!$B$5:$B$61,'UC MINI 2026 MINI NEXT'!$B48,'UC MINI 2026'!$Y$5:$Y$61)</f>
        <v>0</v>
      </c>
      <c r="AI48" s="243">
        <f t="shared" si="85"/>
        <v>0</v>
      </c>
      <c r="AJ48" s="54"/>
      <c r="AK48" s="86">
        <f>SUMIF('UC MINI 2026'!$B$5:$B$61,'UC MINI 2026 MINI NEXT'!$B48,'UC MINI 2026'!$AA$5:$AA$61)</f>
        <v>0</v>
      </c>
      <c r="AL48" s="297">
        <f t="shared" si="86"/>
        <v>0</v>
      </c>
      <c r="AM48" s="54"/>
      <c r="AN48" s="86">
        <f>SUMIF('UC MINI 2026'!$B$5:$B$61,'UC MINI 2026 MINI NEXT'!$B48,'UC MINI 2026'!$AC$5:$AC$61)</f>
        <v>0</v>
      </c>
      <c r="AO48" s="243">
        <f t="shared" si="92"/>
        <v>0</v>
      </c>
      <c r="AP48" s="67">
        <f t="shared" si="98"/>
        <v>85</v>
      </c>
      <c r="AQ48" s="68">
        <f t="shared" si="98"/>
        <v>53</v>
      </c>
      <c r="AR48" s="149">
        <f t="shared" si="93"/>
        <v>0.62352941176470589</v>
      </c>
      <c r="AS48" s="67">
        <f>IFERROR(F48+I48+L48+O48+R48+U48++X48+AA48+AD48+AG48+AJ48+AM48,0)</f>
        <v>85</v>
      </c>
      <c r="AT48" s="86">
        <f t="shared" si="16"/>
        <v>53</v>
      </c>
      <c r="AU48" s="149">
        <f>IFERROR((AT48/AS48),0)</f>
        <v>0.62352941176470589</v>
      </c>
      <c r="AV48" s="54">
        <f t="shared" si="99"/>
        <v>53</v>
      </c>
      <c r="AW48" s="86">
        <f t="shared" si="99"/>
        <v>21</v>
      </c>
      <c r="AX48" s="109">
        <f t="shared" si="94"/>
        <v>0.39622641509433965</v>
      </c>
      <c r="AY48" s="68">
        <f>IFERROR(IF($AV$5="Q1",#REF!+#REF!+#REF!,
IF($AV$5="Q2",#REF!+#REF!++#REF!,
IF($AV$5="Q3",#REF!+#REF!+#REF!,
IF($AV$5="Q4",#REF!+#REF!+#REF!,0)))),0)</f>
        <v>0</v>
      </c>
      <c r="AZ48" s="297">
        <f>IF(AW48=0,"N.D.",AY48/AW48)</f>
        <v>0</v>
      </c>
      <c r="BA48" s="350">
        <f>IFERROR(IF($AV$5="Q1",#REF!+#REF!+#REF!,
IF($AV$5="Q2",#REF!+#REF!+#REF!,
IF($AV$5="Q3",#REF!+#REF!+#REF!,
IF($AV$5="Q4",#REF!+#REF!+#REF!,0)))),0)</f>
        <v>0</v>
      </c>
      <c r="BB48" s="150">
        <f t="shared" si="95"/>
        <v>0</v>
      </c>
      <c r="BC48" s="67">
        <f t="shared" si="100"/>
        <v>85</v>
      </c>
      <c r="BD48" s="68">
        <f t="shared" si="100"/>
        <v>53</v>
      </c>
      <c r="BE48" s="150">
        <f t="shared" si="96"/>
        <v>0.62352941176470589</v>
      </c>
      <c r="BF48" s="67">
        <f t="shared" si="101"/>
        <v>0</v>
      </c>
      <c r="BG48" s="266">
        <f t="shared" si="101"/>
        <v>0</v>
      </c>
      <c r="BH48" s="150">
        <f t="shared" si="97"/>
        <v>0</v>
      </c>
      <c r="BI48" s="53">
        <v>1</v>
      </c>
    </row>
    <row r="49" spans="1:61" s="53" customFormat="1" ht="16" customHeight="1" x14ac:dyDescent="0.3">
      <c r="A49" s="53">
        <f>_xlfn.XLOOKUP(B49,'WHOLESALE MINI 2026'!$B$7:$B$63,'WHOLESALE MINI 2026'!$A$7:$A$63)</f>
        <v>8</v>
      </c>
      <c r="B49" s="9">
        <v>100394</v>
      </c>
      <c r="C49" s="374" t="s">
        <v>64</v>
      </c>
      <c r="D49" s="146"/>
      <c r="E49" s="379" t="s">
        <v>96</v>
      </c>
      <c r="F49" s="54">
        <v>2</v>
      </c>
      <c r="G49" s="86">
        <f>SUMIF('UC MINI 2026'!$B$5:$B$71,'UC MINI 2026 MINI NEXT'!$B49,'UC MINI 2026'!$G$5:$G$71)</f>
        <v>2</v>
      </c>
      <c r="H49" s="243">
        <f t="shared" si="63"/>
        <v>1</v>
      </c>
      <c r="I49" s="54">
        <v>10</v>
      </c>
      <c r="J49" s="86">
        <f>SUMIF('UC MINI 2026'!$B$5:$B$61,'UC MINI 2026 MINI NEXT'!$B49,'UC MINI 2026'!$I$5:$I$61)</f>
        <v>0</v>
      </c>
      <c r="K49" s="243">
        <f t="shared" si="64"/>
        <v>0</v>
      </c>
      <c r="L49" s="54">
        <v>7</v>
      </c>
      <c r="M49" s="86">
        <f>SUMIF('UC MINI 2026'!$B$5:$B$61,'UC MINI 2026 MINI NEXT'!$B49,'UC MINI 2026'!$K$5:$K$61)</f>
        <v>4</v>
      </c>
      <c r="N49" s="297">
        <f t="shared" si="65"/>
        <v>0.5714285714285714</v>
      </c>
      <c r="O49" s="54">
        <f>VLOOKUP(B49,'[5]% Penetración Mdo ABR26'!$B$7:$G$59,6,0)-F49-I49-L49</f>
        <v>4</v>
      </c>
      <c r="P49" s="86">
        <f>SUMIF('UC MINI 2026'!$B$5:$B$61,'UC MINI 2026 MINI NEXT'!$B49,'UC MINI 2026'!$M$5:$M$61)</f>
        <v>3</v>
      </c>
      <c r="Q49" s="243">
        <f t="shared" si="66"/>
        <v>0.75</v>
      </c>
      <c r="R49" s="21">
        <f>VLOOKUP(B49,'[6]% Penetración Mdo MAY26'!$B$7:$G$65,6,0)-F49-I49-L49-O49</f>
        <v>4</v>
      </c>
      <c r="S49" s="86">
        <f>SUMIF('UC MINI 2026'!$B$5:$B$61,'UC MINI 2026 MINI NEXT'!$B49,'UC MINI 2026'!$O$5:$O$61)</f>
        <v>1</v>
      </c>
      <c r="T49" s="297">
        <f t="shared" si="67"/>
        <v>0.25</v>
      </c>
      <c r="U49" s="606">
        <f>VLOOKUP(B49,'[7]% Penetración Mdo JUN26'!$B$7:$J$59,6,0)-F49-I49-L49-O49-R49</f>
        <v>2</v>
      </c>
      <c r="V49" s="86">
        <f>SUMIF('UC MINI 2026'!$B$5:$B$61,'UC MINI 2026 MINI NEXT'!$B49,'UC MINI 2026'!$Q$5:$Q$61)</f>
        <v>1</v>
      </c>
      <c r="W49" s="243">
        <f t="shared" si="91"/>
        <v>0.5</v>
      </c>
      <c r="X49" s="54"/>
      <c r="Y49" s="86">
        <f>SUMIF('UC MINI 2026'!$B$5:$B$61,'UC MINI 2026 MINI NEXT'!$B49,'UC MINI 2026'!$S$5:$S$61)</f>
        <v>0</v>
      </c>
      <c r="Z49" s="297">
        <f t="shared" si="82"/>
        <v>0</v>
      </c>
      <c r="AA49" s="54"/>
      <c r="AB49" s="86">
        <f>SUMIF('UC MINI 2026'!$B$5:$B$61,'UC MINI 2026 MINI NEXT'!$B49,'UC MINI 2026'!$U$5:$U$61)</f>
        <v>0</v>
      </c>
      <c r="AC49" s="243">
        <f t="shared" si="83"/>
        <v>0</v>
      </c>
      <c r="AD49" s="54"/>
      <c r="AE49" s="86">
        <f>SUMIF('UC MINI 2026'!$B$5:$B$61,'UC MINI 2026 MINI NEXT'!$B49,'UC MINI 2026'!$W$5:$W$61)</f>
        <v>0</v>
      </c>
      <c r="AF49" s="297">
        <f t="shared" si="84"/>
        <v>0</v>
      </c>
      <c r="AG49" s="54"/>
      <c r="AH49" s="86">
        <f>SUMIF('UC MINI 2026'!$B$5:$B$61,'UC MINI 2026 MINI NEXT'!$B49,'UC MINI 2026'!$Y$5:$Y$61)</f>
        <v>0</v>
      </c>
      <c r="AI49" s="243">
        <f t="shared" si="85"/>
        <v>0</v>
      </c>
      <c r="AJ49" s="54"/>
      <c r="AK49" s="86">
        <f>SUMIF('UC MINI 2026'!$B$5:$B$61,'UC MINI 2026 MINI NEXT'!$B49,'UC MINI 2026'!$AA$5:$AA$61)</f>
        <v>0</v>
      </c>
      <c r="AL49" s="297">
        <f t="shared" si="86"/>
        <v>0</v>
      </c>
      <c r="AM49" s="54"/>
      <c r="AN49" s="86">
        <f>SUMIF('UC MINI 2026'!$B$5:$B$61,'UC MINI 2026 MINI NEXT'!$B49,'UC MINI 2026'!$AC$5:$AC$61)</f>
        <v>0</v>
      </c>
      <c r="AO49" s="243">
        <f t="shared" si="92"/>
        <v>0</v>
      </c>
      <c r="AP49" s="67">
        <f t="shared" si="98"/>
        <v>29</v>
      </c>
      <c r="AQ49" s="68">
        <f t="shared" si="98"/>
        <v>11</v>
      </c>
      <c r="AR49" s="149">
        <f t="shared" si="93"/>
        <v>0.37931034482758619</v>
      </c>
      <c r="AS49" s="67">
        <f>IFERROR(F49+I49+L49+O49+R49+U49++X49+AA49+AD49+AG49+AJ49+AM49,0)</f>
        <v>29</v>
      </c>
      <c r="AT49" s="86">
        <f t="shared" si="16"/>
        <v>11</v>
      </c>
      <c r="AU49" s="149">
        <f>IFERROR((AT49/AS49),0)</f>
        <v>0.37931034482758619</v>
      </c>
      <c r="AV49" s="54">
        <f t="shared" si="99"/>
        <v>19</v>
      </c>
      <c r="AW49" s="86">
        <f t="shared" si="99"/>
        <v>6</v>
      </c>
      <c r="AX49" s="109">
        <f t="shared" si="94"/>
        <v>0.31578947368421051</v>
      </c>
      <c r="AY49" s="68">
        <f>IFERROR(IF($AV$5="Q1",#REF!+#REF!+#REF!,
IF($AV$5="Q2",#REF!+#REF!++#REF!,
IF($AV$5="Q3",#REF!+#REF!+#REF!,
IF($AV$5="Q4",#REF!+#REF!+#REF!,0)))),0)</f>
        <v>0</v>
      </c>
      <c r="AZ49" s="297">
        <f>IF(AW49=0,"N.D.",AY49/AW49)</f>
        <v>0</v>
      </c>
      <c r="BA49" s="350">
        <f>IFERROR(IF($AV$5="Q1",#REF!+#REF!+#REF!,
IF($AV$5="Q2",#REF!+#REF!+#REF!,
IF($AV$5="Q3",#REF!+#REF!+#REF!,
IF($AV$5="Q4",#REF!+#REF!+#REF!,0)))),0)</f>
        <v>0</v>
      </c>
      <c r="BB49" s="150">
        <f t="shared" si="95"/>
        <v>0</v>
      </c>
      <c r="BC49" s="67">
        <f t="shared" si="100"/>
        <v>29</v>
      </c>
      <c r="BD49" s="68">
        <f t="shared" si="100"/>
        <v>11</v>
      </c>
      <c r="BE49" s="150">
        <f t="shared" si="96"/>
        <v>0.37931034482758619</v>
      </c>
      <c r="BF49" s="67">
        <f t="shared" si="101"/>
        <v>0</v>
      </c>
      <c r="BG49" s="266">
        <f t="shared" si="101"/>
        <v>0</v>
      </c>
      <c r="BH49" s="150">
        <f t="shared" si="97"/>
        <v>0</v>
      </c>
      <c r="BI49" s="53">
        <v>1</v>
      </c>
    </row>
    <row r="50" spans="1:61" s="53" customFormat="1" ht="16" customHeight="1" thickBot="1" x14ac:dyDescent="0.35">
      <c r="B50" s="8">
        <v>100468</v>
      </c>
      <c r="C50" s="369" t="s">
        <v>65</v>
      </c>
      <c r="D50" s="146"/>
      <c r="E50" s="540" t="s">
        <v>97</v>
      </c>
      <c r="F50" s="54">
        <v>2</v>
      </c>
      <c r="G50" s="86">
        <f>SUMIF('UC MINI 2026'!$B$5:$B$71,'UC MINI 2026 MINI NEXT'!$B50,'UC MINI 2026'!$G$5:$G$71)</f>
        <v>2</v>
      </c>
      <c r="H50" s="243">
        <f t="shared" si="63"/>
        <v>1</v>
      </c>
      <c r="I50" s="54">
        <v>6</v>
      </c>
      <c r="J50" s="86">
        <f>SUMIF('UC MINI 2026'!$B$5:$B$61,'UC MINI 2026 MINI NEXT'!$B50,'UC MINI 2026'!$I$5:$I$61)</f>
        <v>1</v>
      </c>
      <c r="K50" s="243">
        <f t="shared" si="64"/>
        <v>0.16666666666666666</v>
      </c>
      <c r="L50" s="54">
        <v>6</v>
      </c>
      <c r="M50" s="86">
        <f>SUMIF('UC MINI 2026'!$B$5:$B$61,'UC MINI 2026 MINI NEXT'!$B50,'UC MINI 2026'!$K$5:$K$61)</f>
        <v>1</v>
      </c>
      <c r="N50" s="297">
        <f t="shared" si="65"/>
        <v>0.16666666666666666</v>
      </c>
      <c r="O50" s="54">
        <f>VLOOKUP(B50,'[5]% Penetración Mdo ABR26'!$B$7:$G$59,6,0)-F50-I50-L50</f>
        <v>3</v>
      </c>
      <c r="P50" s="86">
        <f>SUMIF('UC MINI 2026'!$B$5:$B$61,'UC MINI 2026 MINI NEXT'!$B50,'UC MINI 2026'!$M$5:$M$61)</f>
        <v>2</v>
      </c>
      <c r="Q50" s="243">
        <f t="shared" si="66"/>
        <v>0.66666666666666663</v>
      </c>
      <c r="R50" s="21">
        <f>VLOOKUP(B50,'[6]% Penetración Mdo MAY26'!$B$7:$G$65,6,0)-F50-I50-L50-O50</f>
        <v>7</v>
      </c>
      <c r="S50" s="86">
        <f>SUMIF('UC MINI 2026'!$B$5:$B$61,'UC MINI 2026 MINI NEXT'!$B50,'UC MINI 2026'!$O$5:$O$61)</f>
        <v>8</v>
      </c>
      <c r="T50" s="297">
        <f t="shared" si="67"/>
        <v>1.1428571428571428</v>
      </c>
      <c r="U50" s="606">
        <f>VLOOKUP(B50,'[7]% Penetración Mdo JUN26'!$B$7:$J$59,6,0)-F50-I50-L50-O50-R50</f>
        <v>0</v>
      </c>
      <c r="V50" s="86">
        <f>SUMIF('UC MINI 2026'!$B$5:$B$61,'UC MINI 2026 MINI NEXT'!$B50,'UC MINI 2026'!$Q$5:$Q$61)</f>
        <v>10</v>
      </c>
      <c r="W50" s="243">
        <f t="shared" si="91"/>
        <v>0</v>
      </c>
      <c r="X50" s="54"/>
      <c r="Y50" s="86">
        <f>SUMIF('UC MINI 2026'!$B$5:$B$61,'UC MINI 2026 MINI NEXT'!$B50,'UC MINI 2026'!$S$5:$S$61)</f>
        <v>0</v>
      </c>
      <c r="Z50" s="297">
        <f t="shared" si="82"/>
        <v>0</v>
      </c>
      <c r="AA50" s="54"/>
      <c r="AB50" s="86">
        <f>SUMIF('UC MINI 2026'!$B$5:$B$61,'UC MINI 2026 MINI NEXT'!$B50,'UC MINI 2026'!$U$5:$U$61)</f>
        <v>0</v>
      </c>
      <c r="AC50" s="243">
        <f t="shared" si="83"/>
        <v>0</v>
      </c>
      <c r="AD50" s="54"/>
      <c r="AE50" s="86">
        <f>SUMIF('UC MINI 2026'!$B$5:$B$61,'UC MINI 2026 MINI NEXT'!$B50,'UC MINI 2026'!$W$5:$W$61)</f>
        <v>0</v>
      </c>
      <c r="AF50" s="297">
        <f t="shared" si="84"/>
        <v>0</v>
      </c>
      <c r="AG50" s="54"/>
      <c r="AH50" s="86">
        <f>SUMIF('UC MINI 2026'!$B$5:$B$61,'UC MINI 2026 MINI NEXT'!$B50,'UC MINI 2026'!$Y$5:$Y$61)</f>
        <v>0</v>
      </c>
      <c r="AI50" s="243">
        <f t="shared" si="85"/>
        <v>0</v>
      </c>
      <c r="AJ50" s="54"/>
      <c r="AK50" s="86">
        <f>SUMIF('UC MINI 2026'!$B$5:$B$61,'UC MINI 2026 MINI NEXT'!$B50,'UC MINI 2026'!$AA$5:$AA$61)</f>
        <v>0</v>
      </c>
      <c r="AL50" s="297">
        <f t="shared" si="86"/>
        <v>0</v>
      </c>
      <c r="AM50" s="54"/>
      <c r="AN50" s="86">
        <f>SUMIF('UC MINI 2026'!$B$5:$B$61,'UC MINI 2026 MINI NEXT'!$B50,'UC MINI 2026'!$AC$5:$AC$61)</f>
        <v>0</v>
      </c>
      <c r="AO50" s="243">
        <f t="shared" si="92"/>
        <v>0</v>
      </c>
      <c r="AP50" s="67">
        <f t="shared" si="98"/>
        <v>24</v>
      </c>
      <c r="AQ50" s="68">
        <f t="shared" si="98"/>
        <v>24</v>
      </c>
      <c r="AR50" s="149">
        <f t="shared" si="93"/>
        <v>1</v>
      </c>
      <c r="AS50" s="67">
        <f>IFERROR(F50+I50+L50+O50+R50+U50++X50+AA50+AD50+AG50+AJ50+AM50,0)</f>
        <v>24</v>
      </c>
      <c r="AT50" s="86">
        <f t="shared" si="16"/>
        <v>24</v>
      </c>
      <c r="AU50" s="149">
        <f>IFERROR((AT50/AS50),0)</f>
        <v>1</v>
      </c>
      <c r="AV50" s="190"/>
      <c r="AW50" s="191"/>
      <c r="AX50" s="543"/>
      <c r="AY50" s="191"/>
      <c r="AZ50" s="544"/>
      <c r="BA50" s="545"/>
      <c r="BB50" s="542"/>
      <c r="BC50" s="67">
        <f t="shared" si="100"/>
        <v>24</v>
      </c>
      <c r="BD50" s="68">
        <f t="shared" si="100"/>
        <v>24</v>
      </c>
      <c r="BE50" s="150">
        <f t="shared" si="96"/>
        <v>1</v>
      </c>
      <c r="BF50" s="67">
        <f t="shared" si="101"/>
        <v>0</v>
      </c>
      <c r="BG50" s="266">
        <f t="shared" si="101"/>
        <v>0</v>
      </c>
      <c r="BH50" s="150">
        <f t="shared" si="97"/>
        <v>0</v>
      </c>
    </row>
    <row r="51" spans="1:61" s="53" customFormat="1" ht="16" customHeight="1" thickBot="1" x14ac:dyDescent="0.35">
      <c r="A51" s="53" t="e">
        <f>_xlfn.XLOOKUP(B51,'WHOLESALE MINI 2026'!$B$7:$B$63,'WHOLESALE MINI 2026'!$A$7:$A$63)</f>
        <v>#N/A</v>
      </c>
      <c r="B51" s="61" t="s">
        <v>270</v>
      </c>
      <c r="C51" s="62"/>
      <c r="D51" s="146"/>
      <c r="E51" s="80"/>
      <c r="F51" s="63">
        <f>SUM(F46:F50)</f>
        <v>52</v>
      </c>
      <c r="G51" s="63">
        <f>SUM(G46:G50)</f>
        <v>23</v>
      </c>
      <c r="H51" s="301">
        <f t="shared" ref="H51:H57" si="102">IFERROR(G51/F51,0)</f>
        <v>0.44230769230769229</v>
      </c>
      <c r="I51" s="63">
        <f>SUM(I46:I50)</f>
        <v>79</v>
      </c>
      <c r="J51" s="63">
        <f>SUM(J46:J50)</f>
        <v>35</v>
      </c>
      <c r="K51" s="301">
        <f t="shared" ref="K51:K57" si="103">IFERROR(J51/I51,0)</f>
        <v>0.44303797468354428</v>
      </c>
      <c r="L51" s="63">
        <f>SUM(L46:L50)</f>
        <v>77</v>
      </c>
      <c r="M51" s="63">
        <f>SUM(M46:M50)</f>
        <v>36</v>
      </c>
      <c r="N51" s="301">
        <f t="shared" ref="N51:N57" si="104">IFERROR(M51/L51,0)</f>
        <v>0.46753246753246752</v>
      </c>
      <c r="O51" s="63">
        <f>SUM(O46:O50)</f>
        <v>67</v>
      </c>
      <c r="P51" s="63">
        <f>SUM(P46:P50)</f>
        <v>25</v>
      </c>
      <c r="Q51" s="301">
        <f t="shared" ref="Q51:Q57" si="105">IFERROR(P51/O51,0)</f>
        <v>0.37313432835820898</v>
      </c>
      <c r="R51" s="63">
        <f>SUM(R46:R50)</f>
        <v>80</v>
      </c>
      <c r="S51" s="63">
        <f>SUM(S46:S50)</f>
        <v>45</v>
      </c>
      <c r="T51" s="301">
        <f t="shared" ref="T51:T57" si="106">IFERROR(S51/R51,0)</f>
        <v>0.5625</v>
      </c>
      <c r="U51" s="63">
        <f>SUM(U46:U50)</f>
        <v>45</v>
      </c>
      <c r="V51" s="63">
        <f>SUM(V46:V50)</f>
        <v>54</v>
      </c>
      <c r="W51" s="301">
        <f t="shared" ref="W51:W57" si="107">IFERROR(V51/U51,0)</f>
        <v>1.2</v>
      </c>
      <c r="X51" s="63">
        <f>SUM(X46:X50)</f>
        <v>0</v>
      </c>
      <c r="Y51" s="63">
        <f>SUM(Y46:Y50)</f>
        <v>0</v>
      </c>
      <c r="Z51" s="301">
        <f t="shared" ref="Z51:Z63" si="108">IFERROR(Y51/X51,0)</f>
        <v>0</v>
      </c>
      <c r="AA51" s="63">
        <f>SUM(AA46:AA50)</f>
        <v>0</v>
      </c>
      <c r="AB51" s="63">
        <f>SUM(AB46:AB50)</f>
        <v>0</v>
      </c>
      <c r="AC51" s="301">
        <f t="shared" ref="AC51:AC63" si="109">IFERROR(AB51/AA51,0)</f>
        <v>0</v>
      </c>
      <c r="AD51" s="63">
        <f>SUM(AD46:AD50)</f>
        <v>0</v>
      </c>
      <c r="AE51" s="63">
        <f>SUM(AE46:AE50)</f>
        <v>0</v>
      </c>
      <c r="AF51" s="301">
        <f t="shared" ref="AF51:AF63" si="110">IFERROR(AE51/AD51,0)</f>
        <v>0</v>
      </c>
      <c r="AG51" s="63">
        <f>SUM(AG46:AG50)</f>
        <v>0</v>
      </c>
      <c r="AH51" s="63">
        <f>SUM(AH46:AH50)</f>
        <v>0</v>
      </c>
      <c r="AI51" s="301">
        <f t="shared" ref="AI51:AI63" si="111">IFERROR(AH51/AG51,0)</f>
        <v>0</v>
      </c>
      <c r="AJ51" s="63">
        <f>SUM(AJ46:AJ50)</f>
        <v>0</v>
      </c>
      <c r="AK51" s="63">
        <f>SUM(AK46:AK50)</f>
        <v>0</v>
      </c>
      <c r="AL51" s="301">
        <f t="shared" ref="AL51:AL63" si="112">IFERROR(AK51/AJ51,0)</f>
        <v>0</v>
      </c>
      <c r="AM51" s="63">
        <f>SUM(AM46:AM50)</f>
        <v>0</v>
      </c>
      <c r="AN51" s="63">
        <f>SUM(AN46:AN50)</f>
        <v>0</v>
      </c>
      <c r="AO51" s="301">
        <f t="shared" ref="AO51:AO57" si="113">IFERROR(AN51/AM51,0)</f>
        <v>0</v>
      </c>
      <c r="AP51" s="63">
        <f>SUM(AP46:AP50)</f>
        <v>400</v>
      </c>
      <c r="AQ51" s="63">
        <f>SUM(AQ46:AQ50)</f>
        <v>218</v>
      </c>
      <c r="AR51" s="320">
        <f t="shared" ref="AR51:AR57" si="114">IFERROR((AQ51/AP51),0)</f>
        <v>0.54500000000000004</v>
      </c>
      <c r="AS51" s="63">
        <f>SUM(AS46:AS50)</f>
        <v>400</v>
      </c>
      <c r="AT51" s="63">
        <f>SUM(AT46:AT50)</f>
        <v>218</v>
      </c>
      <c r="AU51" s="320">
        <f t="shared" ref="AU51:AU57" si="115">IFERROR((AT51/AS51),0)</f>
        <v>0.54500000000000004</v>
      </c>
      <c r="AV51" s="63">
        <f>SUM(AV40:AV49)</f>
        <v>971</v>
      </c>
      <c r="AW51" s="65">
        <f>SUM(AW40:AW49)</f>
        <v>627</v>
      </c>
      <c r="AX51" s="157">
        <f t="shared" ref="AX51:AX57" si="116">IFERROR((AW51/AV51),0)</f>
        <v>0.6457260556127703</v>
      </c>
      <c r="AY51" s="65">
        <f>SUM(AY40:AY49)</f>
        <v>0</v>
      </c>
      <c r="AZ51" s="321">
        <f>IFERROR(AY51/AW51,0)</f>
        <v>0</v>
      </c>
      <c r="BA51" s="349" t="e">
        <f>IF($AV$5="Q1",#REF!+#REF!+#REF!,
IF($AV$5="Q2",#REF!+#REF!+#REF!,
IF($AV$5="Q3",#REF!+#REF!+#REF!,
IF($AV$5="Q4",#REF!+#REF!+#REF!,0))))</f>
        <v>#REF!</v>
      </c>
      <c r="BB51" s="333">
        <f t="shared" ref="BB51:BB57" si="117">IFERROR((BA51/AV51),0)</f>
        <v>0</v>
      </c>
      <c r="BC51" s="63">
        <f>IF($BC$5="S 1",F51+I51+L51+O51+R51+U51,
IF($BC$5="S 2",X51+AA51+AD51+AG51+AJ51+AM51,0))</f>
        <v>400</v>
      </c>
      <c r="BD51" s="65">
        <f>IF($BC$5="S 1",G51+J51+M51+P51+S51+V51,
IF($BC$5="S 2",Y51+AB51+AE51+AH51+AK51+AN51,0))</f>
        <v>218</v>
      </c>
      <c r="BE51" s="333">
        <f t="shared" ref="BE51:BE57" si="118">IFERROR((BD51/BC51),0)</f>
        <v>0.54500000000000004</v>
      </c>
      <c r="BF51" s="63">
        <f>SUM(BF46:BF49)</f>
        <v>0</v>
      </c>
      <c r="BG51" s="63">
        <f>SUM(BG46:BG49)</f>
        <v>0</v>
      </c>
      <c r="BH51" s="333">
        <f t="shared" ref="BH51:BH57" si="119">IFERROR((BG51/BF51),0)</f>
        <v>0</v>
      </c>
      <c r="BI51" s="53">
        <v>0</v>
      </c>
    </row>
    <row r="52" spans="1:61" s="53" customFormat="1" ht="16" customHeight="1" x14ac:dyDescent="0.3">
      <c r="A52" s="53">
        <f>_xlfn.XLOOKUP(B52,'WHOLESALE MINI 2026'!$B$7:$B$63,'WHOLESALE MINI 2026'!$A$7:$A$63)</f>
        <v>9</v>
      </c>
      <c r="B52" s="8">
        <v>100734</v>
      </c>
      <c r="C52" s="369" t="s">
        <v>59</v>
      </c>
      <c r="D52" s="146"/>
      <c r="E52" s="379" t="s">
        <v>95</v>
      </c>
      <c r="F52" s="54">
        <v>59</v>
      </c>
      <c r="G52" s="86">
        <f>SUMIF('UC MINI 2026'!$B$5:$B$71,'UC MINI 2026 MINI NEXT'!$B52,'UC MINI 2026'!$G$5:$G$71)</f>
        <v>15</v>
      </c>
      <c r="H52" s="243">
        <f t="shared" si="102"/>
        <v>0.25423728813559321</v>
      </c>
      <c r="I52" s="54">
        <v>49</v>
      </c>
      <c r="J52" s="86">
        <f>SUMIF('UC MINI 2026'!$B$5:$B$61,'UC MINI 2026 MINI NEXT'!$B52,'UC MINI 2026'!$I$5:$I$61)</f>
        <v>8</v>
      </c>
      <c r="K52" s="243">
        <f t="shared" si="103"/>
        <v>0.16326530612244897</v>
      </c>
      <c r="L52" s="54">
        <v>44</v>
      </c>
      <c r="M52" s="86">
        <f>SUMIF('UC MINI 2026'!$B$5:$B$61,'UC MINI 2026 MINI NEXT'!$B52,'UC MINI 2026'!$K$5:$K$61)</f>
        <v>31</v>
      </c>
      <c r="N52" s="297">
        <f t="shared" si="104"/>
        <v>0.70454545454545459</v>
      </c>
      <c r="O52" s="54">
        <f>VLOOKUP(B52,'[5]% Penetración Mdo ABR26'!$B$7:$G$59,6,0)-F52-I52-L52</f>
        <v>49</v>
      </c>
      <c r="P52" s="86">
        <f>SUMIF('UC MINI 2026'!$B$5:$B$61,'UC MINI 2026 MINI NEXT'!$B52,'UC MINI 2026'!$M$5:$M$61)</f>
        <v>28</v>
      </c>
      <c r="Q52" s="243">
        <f t="shared" si="105"/>
        <v>0.5714285714285714</v>
      </c>
      <c r="R52" s="21">
        <f>VLOOKUP(B52,'[6]% Penetración Mdo MAY26'!$B$7:$G$65,6,0)-F52-I52-L52-O52</f>
        <v>49</v>
      </c>
      <c r="S52" s="86">
        <f>SUMIF('UC MINI 2026'!$B$5:$B$61,'UC MINI 2026 MINI NEXT'!$B52,'UC MINI 2026'!$O$5:$O$61)</f>
        <v>27</v>
      </c>
      <c r="T52" s="297">
        <f t="shared" si="106"/>
        <v>0.55102040816326525</v>
      </c>
      <c r="U52" s="606">
        <f>VLOOKUP(B52,'[7]% Penetración Mdo JUN26'!$B$7:$J$59,6,0)-F52-I52-L52-O52-R52</f>
        <v>56</v>
      </c>
      <c r="V52" s="86">
        <f>SUMIF('UC MINI 2026'!$B$5:$B$61,'UC MINI 2026 MINI NEXT'!$B52,'UC MINI 2026'!$Q$5:$Q$61)</f>
        <v>16</v>
      </c>
      <c r="W52" s="243">
        <f t="shared" si="107"/>
        <v>0.2857142857142857</v>
      </c>
      <c r="X52" s="54"/>
      <c r="Y52" s="86">
        <f>SUMIF('UC MINI 2026'!$B$5:$B$61,'UC MINI 2026 MINI NEXT'!$B52,'UC MINI 2026'!$S$5:$S$61)</f>
        <v>0</v>
      </c>
      <c r="Z52" s="297">
        <f t="shared" si="108"/>
        <v>0</v>
      </c>
      <c r="AA52" s="54"/>
      <c r="AB52" s="86">
        <f>SUMIF('UC MINI 2026'!$B$5:$B$61,'UC MINI 2026 MINI NEXT'!$B52,'UC MINI 2026'!$U$5:$U$61)</f>
        <v>0</v>
      </c>
      <c r="AC52" s="243">
        <f t="shared" si="109"/>
        <v>0</v>
      </c>
      <c r="AD52" s="54"/>
      <c r="AE52" s="86">
        <f>SUMIF('UC MINI 2026'!$B$5:$B$61,'UC MINI 2026 MINI NEXT'!$B52,'UC MINI 2026'!$W$5:$W$61)</f>
        <v>0</v>
      </c>
      <c r="AF52" s="297">
        <f t="shared" si="110"/>
        <v>0</v>
      </c>
      <c r="AG52" s="54"/>
      <c r="AH52" s="86">
        <f>SUMIF('UC MINI 2026'!$B$5:$B$61,'UC MINI 2026 MINI NEXT'!$B52,'UC MINI 2026'!$Y$5:$Y$61)</f>
        <v>0</v>
      </c>
      <c r="AI52" s="243">
        <f t="shared" si="111"/>
        <v>0</v>
      </c>
      <c r="AJ52" s="54"/>
      <c r="AK52" s="86">
        <f>SUMIF('UC MINI 2026'!$B$5:$B$61,'UC MINI 2026 MINI NEXT'!$B52,'UC MINI 2026'!$AA$5:$AA$61)</f>
        <v>0</v>
      </c>
      <c r="AL52" s="297">
        <f t="shared" si="112"/>
        <v>0</v>
      </c>
      <c r="AM52" s="54"/>
      <c r="AN52" s="86">
        <f>SUMIF('UC MINI 2026'!$B$5:$B$61,'UC MINI 2026 MINI NEXT'!$B52,'UC MINI 2026'!$AC$5:$AC$61)</f>
        <v>0</v>
      </c>
      <c r="AO52" s="243">
        <f t="shared" si="113"/>
        <v>0</v>
      </c>
      <c r="AP52" s="67">
        <f t="shared" ref="AP52:AQ56" si="120">IFERROR(IF($AP$4="ENERO",F52,IF($AP$4="FEBRERO",F52+I52,IF($AP$4="MARZO",F52+I52+L52,IF($AP$4="ABRIL",F52+I52+L52+O52,IF($AP$4="MAYO",F52+I52+L52+O52+R52,IF($AP$4="JUNIO",F52+I52+L52+O52+R52+U52,IF($AP$4="JULIO",F52+I52+L52+O52+R52+U52+X52,IF($AP$4="AGOSTO",F52+I52+L52+O52+R52+U52+X52+AA52,IF($AP$4="SEPTIEMBRE",F52+I52+L52+O52+R52+U52+X52+AA52+AD52,IF($AP$4="OCTUBRE",F52+I52+L52+O52+R52+U52+X52+AA52+AD52+AG52,IF($AP$4="NOVIEMBRE",F52+I52+L52+O52+R52+U52+X52+AA52+AD52+AG52+AJ52,IF($AP$4="DICIEMBRE",F52+I52+L52+O52+R52+U52+X52+AA52+AD52+AG52+AJ52+AM52,"")))))))))))),0)</f>
        <v>306</v>
      </c>
      <c r="AQ52" s="68">
        <f t="shared" si="120"/>
        <v>125</v>
      </c>
      <c r="AR52" s="149">
        <f t="shared" si="114"/>
        <v>0.40849673202614378</v>
      </c>
      <c r="AS52" s="67">
        <f>IFERROR(F52+I52+L52+O52+R52+U52++X52+AA52+AD52+AG52+AJ52+AM52,0)</f>
        <v>306</v>
      </c>
      <c r="AT52" s="86">
        <f t="shared" si="16"/>
        <v>125</v>
      </c>
      <c r="AU52" s="149">
        <f t="shared" si="115"/>
        <v>0.40849673202614378</v>
      </c>
      <c r="AV52" s="54">
        <f t="shared" ref="AV52:AW56" si="121">IF($AV$5="Q1",F52+I52+L52,
IF($AV$5="Q2",O52+R52++U52,
IF($AV$5="Q3",X52+AA52+AD52,
IF($AV$5="Q4",AG52+AJ52+AM52,0))))</f>
        <v>152</v>
      </c>
      <c r="AW52" s="86">
        <f t="shared" si="121"/>
        <v>54</v>
      </c>
      <c r="AX52" s="109">
        <f t="shared" si="116"/>
        <v>0.35526315789473684</v>
      </c>
      <c r="AY52" s="68">
        <f>IFERROR(IF($AV$5="Q1",#REF!+#REF!+#REF!,
IF($AV$5="Q2",#REF!+#REF!++#REF!,
IF($AV$5="Q3",#REF!+#REF!+#REF!,
IF($AV$5="Q4",#REF!+#REF!+#REF!,0)))),0)</f>
        <v>0</v>
      </c>
      <c r="AZ52" s="297">
        <f>IF(AW52=0,"N.D.",AY52/AW52)</f>
        <v>0</v>
      </c>
      <c r="BA52" s="350">
        <f>IFERROR(IF($AV$5="Q1",#REF!+#REF!+#REF!,
IF($AV$5="Q2",#REF!+#REF!+#REF!,
IF($AV$5="Q3",#REF!+#REF!+#REF!,
IF($AV$5="Q4",#REF!+#REF!+#REF!,0)))),0)</f>
        <v>0</v>
      </c>
      <c r="BB52" s="150">
        <f t="shared" si="117"/>
        <v>0</v>
      </c>
      <c r="BC52" s="67">
        <f t="shared" ref="BC52:BD56" si="122">IFERROR(IF($BC$5="S 1",F52+I52+L52+O52+R52+U52,
IF($BC$5="S 2",X52+AA52+AD52+AG52+AJ52+AM52,0)),0)</f>
        <v>306</v>
      </c>
      <c r="BD52" s="68">
        <f t="shared" si="122"/>
        <v>125</v>
      </c>
      <c r="BE52" s="150">
        <f t="shared" si="118"/>
        <v>0.40849673202614378</v>
      </c>
      <c r="BF52" s="67">
        <f t="shared" ref="BF52:BG56" si="123">IFERROR(IF($BF$5="S 1",F52+I52+L52+O52+R52+U52,
IF($BF$5="S 2",X52+AA52+AD52+AG52+AJ52+AM52,0)),0)</f>
        <v>0</v>
      </c>
      <c r="BG52" s="266">
        <f t="shared" si="123"/>
        <v>0</v>
      </c>
      <c r="BH52" s="150">
        <f t="shared" si="119"/>
        <v>0</v>
      </c>
      <c r="BI52" s="53">
        <v>1</v>
      </c>
    </row>
    <row r="53" spans="1:61" s="53" customFormat="1" ht="16" customHeight="1" x14ac:dyDescent="0.3">
      <c r="A53" s="53">
        <f>_xlfn.XLOOKUP(B53,'WHOLESALE MINI 2026'!$B$7:$B$63,'WHOLESALE MINI 2026'!$A$7:$A$63)</f>
        <v>9</v>
      </c>
      <c r="B53" s="8">
        <v>100311</v>
      </c>
      <c r="C53" s="369" t="s">
        <v>12</v>
      </c>
      <c r="D53" s="146"/>
      <c r="E53" s="379" t="s">
        <v>201</v>
      </c>
      <c r="F53" s="54">
        <v>16</v>
      </c>
      <c r="G53" s="86">
        <f>SUMIF('UC MINI 2026'!$B$5:$B$71,'UC MINI 2026 MINI NEXT'!$B53,'UC MINI 2026'!$G$5:$G$71)</f>
        <v>1</v>
      </c>
      <c r="H53" s="243">
        <f t="shared" si="102"/>
        <v>6.25E-2</v>
      </c>
      <c r="I53" s="54">
        <v>11</v>
      </c>
      <c r="J53" s="86">
        <f>SUMIF('UC MINI 2026'!$B$5:$B$61,'UC MINI 2026 MINI NEXT'!$B53,'UC MINI 2026'!$I$5:$I$61)</f>
        <v>3</v>
      </c>
      <c r="K53" s="243">
        <f t="shared" si="103"/>
        <v>0.27272727272727271</v>
      </c>
      <c r="L53" s="54">
        <v>20</v>
      </c>
      <c r="M53" s="86">
        <f>SUMIF('UC MINI 2026'!$B$5:$B$61,'UC MINI 2026 MINI NEXT'!$B53,'UC MINI 2026'!$K$5:$K$61)</f>
        <v>10</v>
      </c>
      <c r="N53" s="297">
        <f t="shared" si="104"/>
        <v>0.5</v>
      </c>
      <c r="O53" s="54">
        <f>VLOOKUP(B53,'[5]% Penetración Mdo ABR26'!$B$7:$G$59,6,0)-F53-I53-L53</f>
        <v>10</v>
      </c>
      <c r="P53" s="86">
        <f>SUMIF('UC MINI 2026'!$B$5:$B$61,'UC MINI 2026 MINI NEXT'!$B53,'UC MINI 2026'!$M$5:$M$61)</f>
        <v>9</v>
      </c>
      <c r="Q53" s="243">
        <f t="shared" si="105"/>
        <v>0.9</v>
      </c>
      <c r="R53" s="21">
        <f>VLOOKUP(B53,'[6]% Penetración Mdo MAY26'!$B$7:$G$65,6,0)-F53-I53-L53-O53</f>
        <v>16</v>
      </c>
      <c r="S53" s="86">
        <f>SUMIF('UC MINI 2026'!$B$5:$B$61,'UC MINI 2026 MINI NEXT'!$B53,'UC MINI 2026'!$O$5:$O$61)</f>
        <v>7</v>
      </c>
      <c r="T53" s="297">
        <f t="shared" si="106"/>
        <v>0.4375</v>
      </c>
      <c r="U53" s="606">
        <f>VLOOKUP(B53,'[7]% Penetración Mdo JUN26'!$B$7:$J$59,6,0)-F53-I53-L53-O53-R53</f>
        <v>14</v>
      </c>
      <c r="V53" s="86">
        <f>SUMIF('UC MINI 2026'!$B$5:$B$61,'UC MINI 2026 MINI NEXT'!$B53,'UC MINI 2026'!$Q$5:$Q$61)</f>
        <v>6</v>
      </c>
      <c r="W53" s="243">
        <f t="shared" si="107"/>
        <v>0.42857142857142855</v>
      </c>
      <c r="X53" s="54"/>
      <c r="Y53" s="86">
        <f>SUMIF('UC MINI 2026'!$B$5:$B$61,'UC MINI 2026 MINI NEXT'!$B53,'UC MINI 2026'!$S$5:$S$61)</f>
        <v>0</v>
      </c>
      <c r="Z53" s="297">
        <f t="shared" si="108"/>
        <v>0</v>
      </c>
      <c r="AA53" s="54"/>
      <c r="AB53" s="86">
        <f>SUMIF('UC MINI 2026'!$B$5:$B$61,'UC MINI 2026 MINI NEXT'!$B53,'UC MINI 2026'!$U$5:$U$61)</f>
        <v>0</v>
      </c>
      <c r="AC53" s="243">
        <f t="shared" si="109"/>
        <v>0</v>
      </c>
      <c r="AD53" s="54"/>
      <c r="AE53" s="86">
        <f>SUMIF('UC MINI 2026'!$B$5:$B$61,'UC MINI 2026 MINI NEXT'!$B53,'UC MINI 2026'!$W$5:$W$61)</f>
        <v>0</v>
      </c>
      <c r="AF53" s="297">
        <f t="shared" si="110"/>
        <v>0</v>
      </c>
      <c r="AG53" s="54"/>
      <c r="AH53" s="86">
        <f>SUMIF('UC MINI 2026'!$B$5:$B$61,'UC MINI 2026 MINI NEXT'!$B53,'UC MINI 2026'!$Y$5:$Y$61)</f>
        <v>0</v>
      </c>
      <c r="AI53" s="243">
        <f t="shared" si="111"/>
        <v>0</v>
      </c>
      <c r="AJ53" s="54"/>
      <c r="AK53" s="86">
        <f>SUMIF('UC MINI 2026'!$B$5:$B$61,'UC MINI 2026 MINI NEXT'!$B53,'UC MINI 2026'!$AA$5:$AA$61)</f>
        <v>0</v>
      </c>
      <c r="AL53" s="297">
        <f t="shared" si="112"/>
        <v>0</v>
      </c>
      <c r="AM53" s="54"/>
      <c r="AN53" s="86">
        <f>SUMIF('UC MINI 2026'!$B$5:$B$61,'UC MINI 2026 MINI NEXT'!$B53,'UC MINI 2026'!$AC$5:$AC$61)</f>
        <v>0</v>
      </c>
      <c r="AO53" s="243">
        <f t="shared" si="113"/>
        <v>0</v>
      </c>
      <c r="AP53" s="67">
        <f t="shared" si="120"/>
        <v>87</v>
      </c>
      <c r="AQ53" s="68">
        <f t="shared" si="120"/>
        <v>36</v>
      </c>
      <c r="AR53" s="149">
        <f t="shared" si="114"/>
        <v>0.41379310344827586</v>
      </c>
      <c r="AS53" s="67">
        <f>IFERROR(F53+I53+L53+O53+R53+U53++X53+AA53+AD53+AG53+AJ53+AM53,0)</f>
        <v>87</v>
      </c>
      <c r="AT53" s="86">
        <f t="shared" si="16"/>
        <v>36</v>
      </c>
      <c r="AU53" s="149">
        <f t="shared" si="115"/>
        <v>0.41379310344827586</v>
      </c>
      <c r="AV53" s="54">
        <f t="shared" si="121"/>
        <v>47</v>
      </c>
      <c r="AW53" s="86">
        <f t="shared" si="121"/>
        <v>14</v>
      </c>
      <c r="AX53" s="109">
        <f t="shared" si="116"/>
        <v>0.2978723404255319</v>
      </c>
      <c r="AY53" s="68">
        <f>IFERROR(IF($AV$5="Q1",#REF!+#REF!+#REF!,
IF($AV$5="Q2",#REF!+#REF!++#REF!,
IF($AV$5="Q3",#REF!+#REF!+#REF!,
IF($AV$5="Q4",#REF!+#REF!+#REF!,0)))),0)</f>
        <v>0</v>
      </c>
      <c r="AZ53" s="297">
        <f>IF(AW53=0,"N.D.",AY53/AW53)</f>
        <v>0</v>
      </c>
      <c r="BA53" s="350">
        <f>IFERROR(IF($AV$5="Q1",#REF!+#REF!+#REF!,
IF($AV$5="Q2",#REF!+#REF!+#REF!,
IF($AV$5="Q3",#REF!+#REF!+#REF!,
IF($AV$5="Q4",#REF!+#REF!+#REF!,0)))),0)</f>
        <v>0</v>
      </c>
      <c r="BB53" s="150">
        <f t="shared" si="117"/>
        <v>0</v>
      </c>
      <c r="BC53" s="67">
        <f t="shared" si="122"/>
        <v>87</v>
      </c>
      <c r="BD53" s="68">
        <f t="shared" si="122"/>
        <v>36</v>
      </c>
      <c r="BE53" s="150">
        <f t="shared" si="118"/>
        <v>0.41379310344827586</v>
      </c>
      <c r="BF53" s="67">
        <f t="shared" si="123"/>
        <v>0</v>
      </c>
      <c r="BG53" s="266">
        <f t="shared" si="123"/>
        <v>0</v>
      </c>
      <c r="BH53" s="150">
        <f t="shared" si="119"/>
        <v>0</v>
      </c>
      <c r="BI53" s="53">
        <v>1</v>
      </c>
    </row>
    <row r="54" spans="1:61" s="70" customFormat="1" ht="16" customHeight="1" x14ac:dyDescent="0.3">
      <c r="A54" s="53">
        <f>_xlfn.XLOOKUP(B54,'WHOLESALE MINI 2026'!$B$7:$B$63,'WHOLESALE MINI 2026'!$A$7:$A$63)</f>
        <v>9</v>
      </c>
      <c r="B54" s="13">
        <v>100393</v>
      </c>
      <c r="C54" s="374" t="s">
        <v>75</v>
      </c>
      <c r="D54" s="146"/>
      <c r="E54" s="379" t="s">
        <v>201</v>
      </c>
      <c r="F54" s="54">
        <v>15</v>
      </c>
      <c r="G54" s="86">
        <f>SUMIF('UC MINI 2026'!$B$5:$B$71,'UC MINI 2026 MINI NEXT'!$B54,'UC MINI 2026'!$G$5:$G$71)</f>
        <v>11</v>
      </c>
      <c r="H54" s="243">
        <f t="shared" si="102"/>
        <v>0.73333333333333328</v>
      </c>
      <c r="I54" s="54">
        <v>15</v>
      </c>
      <c r="J54" s="86">
        <f>SUMIF('UC MINI 2026'!$B$5:$B$61,'UC MINI 2026 MINI NEXT'!$B54,'UC MINI 2026'!$I$5:$I$61)</f>
        <v>5</v>
      </c>
      <c r="K54" s="243">
        <f t="shared" si="103"/>
        <v>0.33333333333333331</v>
      </c>
      <c r="L54" s="54">
        <v>10</v>
      </c>
      <c r="M54" s="86">
        <f>SUMIF('UC MINI 2026'!$B$5:$B$61,'UC MINI 2026 MINI NEXT'!$B54,'UC MINI 2026'!$K$5:$K$61)</f>
        <v>10</v>
      </c>
      <c r="N54" s="297">
        <f t="shared" si="104"/>
        <v>1</v>
      </c>
      <c r="O54" s="54">
        <f>VLOOKUP(B54,'[5]% Penetración Mdo ABR26'!$B$7:$G$59,6,0)-F54-I54-L54</f>
        <v>5</v>
      </c>
      <c r="P54" s="86">
        <f>SUMIF('UC MINI 2026'!$B$5:$B$61,'UC MINI 2026 MINI NEXT'!$B54,'UC MINI 2026'!$M$5:$M$61)</f>
        <v>5</v>
      </c>
      <c r="Q54" s="243">
        <f t="shared" si="105"/>
        <v>1</v>
      </c>
      <c r="R54" s="21">
        <f>VLOOKUP(B54,'[6]% Penetración Mdo MAY26'!$B$7:$G$65,6,0)-F54-I54-L54-O54</f>
        <v>21</v>
      </c>
      <c r="S54" s="86">
        <f>SUMIF('UC MINI 2026'!$B$5:$B$61,'UC MINI 2026 MINI NEXT'!$B54,'UC MINI 2026'!$O$5:$O$61)</f>
        <v>6</v>
      </c>
      <c r="T54" s="297">
        <f t="shared" si="106"/>
        <v>0.2857142857142857</v>
      </c>
      <c r="U54" s="606">
        <f>VLOOKUP(B54,'[7]% Penetración Mdo JUN26'!$B$7:$J$59,6,0)-F54-I54-L54-O54-R54</f>
        <v>16</v>
      </c>
      <c r="V54" s="86">
        <f>SUMIF('UC MINI 2026'!$B$5:$B$61,'UC MINI 2026 MINI NEXT'!$B54,'UC MINI 2026'!$Q$5:$Q$61)</f>
        <v>8</v>
      </c>
      <c r="W54" s="243">
        <f t="shared" si="107"/>
        <v>0.5</v>
      </c>
      <c r="X54" s="54"/>
      <c r="Y54" s="86">
        <f>SUMIF('UC MINI 2026'!$B$5:$B$61,'UC MINI 2026 MINI NEXT'!$B54,'UC MINI 2026'!$S$5:$S$61)</f>
        <v>0</v>
      </c>
      <c r="Z54" s="297">
        <f t="shared" si="108"/>
        <v>0</v>
      </c>
      <c r="AA54" s="54"/>
      <c r="AB54" s="86">
        <f>SUMIF('UC MINI 2026'!$B$5:$B$61,'UC MINI 2026 MINI NEXT'!$B54,'UC MINI 2026'!$U$5:$U$61)</f>
        <v>0</v>
      </c>
      <c r="AC54" s="243">
        <f t="shared" si="109"/>
        <v>0</v>
      </c>
      <c r="AD54" s="54"/>
      <c r="AE54" s="86">
        <f>SUMIF('UC MINI 2026'!$B$5:$B$61,'UC MINI 2026 MINI NEXT'!$B54,'UC MINI 2026'!$W$5:$W$61)</f>
        <v>0</v>
      </c>
      <c r="AF54" s="297">
        <f t="shared" si="110"/>
        <v>0</v>
      </c>
      <c r="AG54" s="54"/>
      <c r="AH54" s="86">
        <f>SUMIF('UC MINI 2026'!$B$5:$B$61,'UC MINI 2026 MINI NEXT'!$B54,'UC MINI 2026'!$Y$5:$Y$61)</f>
        <v>0</v>
      </c>
      <c r="AI54" s="243">
        <f t="shared" si="111"/>
        <v>0</v>
      </c>
      <c r="AJ54" s="54"/>
      <c r="AK54" s="86">
        <f>SUMIF('UC MINI 2026'!$B$5:$B$61,'UC MINI 2026 MINI NEXT'!$B54,'UC MINI 2026'!$AA$5:$AA$61)</f>
        <v>0</v>
      </c>
      <c r="AL54" s="297">
        <f t="shared" si="112"/>
        <v>0</v>
      </c>
      <c r="AM54" s="54"/>
      <c r="AN54" s="86">
        <f>SUMIF('UC MINI 2026'!$B$5:$B$61,'UC MINI 2026 MINI NEXT'!$B54,'UC MINI 2026'!$AC$5:$AC$61)</f>
        <v>0</v>
      </c>
      <c r="AO54" s="243">
        <f t="shared" si="113"/>
        <v>0</v>
      </c>
      <c r="AP54" s="67">
        <f t="shared" si="120"/>
        <v>82</v>
      </c>
      <c r="AQ54" s="68">
        <f t="shared" si="120"/>
        <v>45</v>
      </c>
      <c r="AR54" s="149">
        <f t="shared" si="114"/>
        <v>0.54878048780487809</v>
      </c>
      <c r="AS54" s="67">
        <f>IFERROR(F54+I54+L54+O54+R54+U54++X54+AA54+AD54+AG54+AJ54+AM54,0)</f>
        <v>82</v>
      </c>
      <c r="AT54" s="86">
        <f t="shared" si="16"/>
        <v>45</v>
      </c>
      <c r="AU54" s="149">
        <f t="shared" si="115"/>
        <v>0.54878048780487809</v>
      </c>
      <c r="AV54" s="54">
        <f t="shared" si="121"/>
        <v>40</v>
      </c>
      <c r="AW54" s="86">
        <f t="shared" si="121"/>
        <v>26</v>
      </c>
      <c r="AX54" s="109">
        <f t="shared" si="116"/>
        <v>0.65</v>
      </c>
      <c r="AY54" s="68">
        <f>IFERROR(IF($AV$5="Q1",#REF!+#REF!+#REF!,
IF($AV$5="Q2",#REF!+#REF!++#REF!,
IF($AV$5="Q3",#REF!+#REF!+#REF!,
IF($AV$5="Q4",#REF!+#REF!+#REF!,0)))),0)</f>
        <v>0</v>
      </c>
      <c r="AZ54" s="297">
        <f>IF(AW54=0,"N.D.",AY54/AW54)</f>
        <v>0</v>
      </c>
      <c r="BA54" s="350">
        <f>IFERROR(IF($AV$5="Q1",#REF!+#REF!+#REF!,
IF($AV$5="Q2",#REF!+#REF!+#REF!,
IF($AV$5="Q3",#REF!+#REF!+#REF!,
IF($AV$5="Q4",#REF!+#REF!+#REF!,0)))),0)</f>
        <v>0</v>
      </c>
      <c r="BB54" s="150">
        <f t="shared" si="117"/>
        <v>0</v>
      </c>
      <c r="BC54" s="67">
        <f t="shared" si="122"/>
        <v>82</v>
      </c>
      <c r="BD54" s="68">
        <f t="shared" si="122"/>
        <v>45</v>
      </c>
      <c r="BE54" s="150">
        <f t="shared" si="118"/>
        <v>0.54878048780487809</v>
      </c>
      <c r="BF54" s="67">
        <f t="shared" si="123"/>
        <v>0</v>
      </c>
      <c r="BG54" s="266">
        <f t="shared" si="123"/>
        <v>0</v>
      </c>
      <c r="BH54" s="150">
        <f t="shared" si="119"/>
        <v>0</v>
      </c>
      <c r="BI54" s="53">
        <v>1</v>
      </c>
    </row>
    <row r="55" spans="1:61" s="53" customFormat="1" ht="16" customHeight="1" x14ac:dyDescent="0.3">
      <c r="A55" s="53">
        <f>_xlfn.XLOOKUP(B55,'WHOLESALE MINI 2026'!$B$7:$B$63,'WHOLESALE MINI 2026'!$A$7:$A$63)</f>
        <v>9</v>
      </c>
      <c r="B55" s="8">
        <v>100586</v>
      </c>
      <c r="C55" s="369" t="s">
        <v>67</v>
      </c>
      <c r="D55" s="146"/>
      <c r="E55" s="379" t="s">
        <v>98</v>
      </c>
      <c r="F55" s="54">
        <v>27</v>
      </c>
      <c r="G55" s="86">
        <f>SUMIF('UC MINI 2026'!$B$5:$B$71,'UC MINI 2026 MINI NEXT'!$B55,'UC MINI 2026'!$G$5:$G$71)</f>
        <v>11</v>
      </c>
      <c r="H55" s="243">
        <f t="shared" si="102"/>
        <v>0.40740740740740738</v>
      </c>
      <c r="I55" s="54">
        <v>34</v>
      </c>
      <c r="J55" s="86">
        <f>SUMIF('UC MINI 2026'!$B$5:$B$61,'UC MINI 2026 MINI NEXT'!$B55,'UC MINI 2026'!$I$5:$I$61)</f>
        <v>14</v>
      </c>
      <c r="K55" s="243">
        <f t="shared" si="103"/>
        <v>0.41176470588235292</v>
      </c>
      <c r="L55" s="54">
        <v>67</v>
      </c>
      <c r="M55" s="86">
        <f>SUMIF('UC MINI 2026'!$B$5:$B$61,'UC MINI 2026 MINI NEXT'!$B55,'UC MINI 2026'!$K$5:$K$61)</f>
        <v>16</v>
      </c>
      <c r="N55" s="297">
        <f t="shared" si="104"/>
        <v>0.23880597014925373</v>
      </c>
      <c r="O55" s="54">
        <f>VLOOKUP(B55,'[5]% Penetración Mdo ABR26'!$B$7:$G$59,6,0)-F55-I55-L55</f>
        <v>53</v>
      </c>
      <c r="P55" s="86">
        <f>SUMIF('UC MINI 2026'!$B$5:$B$61,'UC MINI 2026 MINI NEXT'!$B55,'UC MINI 2026'!$M$5:$M$61)</f>
        <v>23</v>
      </c>
      <c r="Q55" s="243">
        <f t="shared" si="105"/>
        <v>0.43396226415094341</v>
      </c>
      <c r="R55" s="21">
        <f>VLOOKUP(B55,'[6]% Penetración Mdo MAY26'!$B$7:$G$65,6,0)-F55-I55-L55-O55</f>
        <v>50</v>
      </c>
      <c r="S55" s="86">
        <f>SUMIF('UC MINI 2026'!$B$5:$B$61,'UC MINI 2026 MINI NEXT'!$B55,'UC MINI 2026'!$O$5:$O$61)</f>
        <v>16</v>
      </c>
      <c r="T55" s="297">
        <f t="shared" si="106"/>
        <v>0.32</v>
      </c>
      <c r="U55" s="606">
        <f>VLOOKUP(B55,'[7]% Penetración Mdo JUN26'!$B$7:$J$59,6,0)-F55-I55-L55-O55-R55</f>
        <v>31</v>
      </c>
      <c r="V55" s="86">
        <f>SUMIF('UC MINI 2026'!$B$5:$B$61,'UC MINI 2026 MINI NEXT'!$B55,'UC MINI 2026'!$Q$5:$Q$61)</f>
        <v>21</v>
      </c>
      <c r="W55" s="243">
        <f t="shared" si="107"/>
        <v>0.67741935483870963</v>
      </c>
      <c r="X55" s="54"/>
      <c r="Y55" s="86">
        <f>SUMIF('UC MINI 2026'!$B$5:$B$61,'UC MINI 2026 MINI NEXT'!$B55,'UC MINI 2026'!$S$5:$S$61)</f>
        <v>0</v>
      </c>
      <c r="Z55" s="297">
        <f t="shared" si="108"/>
        <v>0</v>
      </c>
      <c r="AA55" s="54"/>
      <c r="AB55" s="86">
        <f>SUMIF('UC MINI 2026'!$B$5:$B$61,'UC MINI 2026 MINI NEXT'!$B55,'UC MINI 2026'!$U$5:$U$61)</f>
        <v>0</v>
      </c>
      <c r="AC55" s="243">
        <f t="shared" si="109"/>
        <v>0</v>
      </c>
      <c r="AD55" s="54"/>
      <c r="AE55" s="86">
        <f>SUMIF('UC MINI 2026'!$B$5:$B$61,'UC MINI 2026 MINI NEXT'!$B55,'UC MINI 2026'!$W$5:$W$61)</f>
        <v>0</v>
      </c>
      <c r="AF55" s="297">
        <f t="shared" si="110"/>
        <v>0</v>
      </c>
      <c r="AG55" s="54"/>
      <c r="AH55" s="86">
        <f>SUMIF('UC MINI 2026'!$B$5:$B$61,'UC MINI 2026 MINI NEXT'!$B55,'UC MINI 2026'!$Y$5:$Y$61)</f>
        <v>0</v>
      </c>
      <c r="AI55" s="243">
        <f t="shared" si="111"/>
        <v>0</v>
      </c>
      <c r="AJ55" s="54"/>
      <c r="AK55" s="86">
        <f>SUMIF('UC MINI 2026'!$B$5:$B$61,'UC MINI 2026 MINI NEXT'!$B55,'UC MINI 2026'!$AA$5:$AA$61)</f>
        <v>0</v>
      </c>
      <c r="AL55" s="297">
        <f t="shared" si="112"/>
        <v>0</v>
      </c>
      <c r="AM55" s="54"/>
      <c r="AN55" s="86">
        <f>SUMIF('UC MINI 2026'!$B$5:$B$61,'UC MINI 2026 MINI NEXT'!$B55,'UC MINI 2026'!$AC$5:$AC$61)</f>
        <v>0</v>
      </c>
      <c r="AO55" s="243">
        <f t="shared" si="113"/>
        <v>0</v>
      </c>
      <c r="AP55" s="67">
        <f t="shared" si="120"/>
        <v>262</v>
      </c>
      <c r="AQ55" s="68">
        <f t="shared" si="120"/>
        <v>101</v>
      </c>
      <c r="AR55" s="149">
        <f t="shared" si="114"/>
        <v>0.38549618320610685</v>
      </c>
      <c r="AS55" s="67">
        <f>IFERROR(F55+I55+L55+O55+R55+U55++X55+AA55+AD55+AG55+AJ55+AM55,0)</f>
        <v>262</v>
      </c>
      <c r="AT55" s="86">
        <f t="shared" si="16"/>
        <v>101</v>
      </c>
      <c r="AU55" s="149">
        <f t="shared" si="115"/>
        <v>0.38549618320610685</v>
      </c>
      <c r="AV55" s="54">
        <f t="shared" si="121"/>
        <v>128</v>
      </c>
      <c r="AW55" s="86">
        <f t="shared" si="121"/>
        <v>41</v>
      </c>
      <c r="AX55" s="109">
        <f t="shared" si="116"/>
        <v>0.3203125</v>
      </c>
      <c r="AY55" s="68">
        <f>IFERROR(IF($AV$5="Q1",#REF!+#REF!+#REF!,
IF($AV$5="Q2",#REF!+#REF!++#REF!,
IF($AV$5="Q3",#REF!+#REF!+#REF!,
IF($AV$5="Q4",#REF!+#REF!+#REF!,0)))),0)</f>
        <v>0</v>
      </c>
      <c r="AZ55" s="297">
        <f>IF(AW55=0,"N.D.",AY55/AW55)</f>
        <v>0</v>
      </c>
      <c r="BA55" s="350">
        <f>IFERROR(IF($AV$5="Q1",#REF!+#REF!+#REF!,
IF($AV$5="Q2",#REF!+#REF!+#REF!,
IF($AV$5="Q3",#REF!+#REF!+#REF!,
IF($AV$5="Q4",#REF!+#REF!+#REF!,0)))),0)</f>
        <v>0</v>
      </c>
      <c r="BB55" s="150">
        <f t="shared" si="117"/>
        <v>0</v>
      </c>
      <c r="BC55" s="67">
        <f t="shared" si="122"/>
        <v>262</v>
      </c>
      <c r="BD55" s="68">
        <f t="shared" si="122"/>
        <v>101</v>
      </c>
      <c r="BE55" s="150">
        <f t="shared" si="118"/>
        <v>0.38549618320610685</v>
      </c>
      <c r="BF55" s="67">
        <f t="shared" si="123"/>
        <v>0</v>
      </c>
      <c r="BG55" s="266">
        <f t="shared" si="123"/>
        <v>0</v>
      </c>
      <c r="BH55" s="150">
        <f t="shared" si="119"/>
        <v>0</v>
      </c>
      <c r="BI55" s="53">
        <v>1</v>
      </c>
    </row>
    <row r="56" spans="1:61" s="53" customFormat="1" ht="16" customHeight="1" thickBot="1" x14ac:dyDescent="0.35">
      <c r="A56" s="53">
        <f>_xlfn.XLOOKUP(B56,'WHOLESALE MINI 2026'!$B$7:$B$63,'WHOLESALE MINI 2026'!$A$7:$A$63)</f>
        <v>9</v>
      </c>
      <c r="B56" s="36">
        <v>100813</v>
      </c>
      <c r="C56" s="375" t="s">
        <v>68</v>
      </c>
      <c r="D56" s="51"/>
      <c r="E56" s="379" t="s">
        <v>98</v>
      </c>
      <c r="F56" s="54">
        <v>2</v>
      </c>
      <c r="G56" s="86">
        <f>SUMIF('UC MINI 2026'!$B$5:$B$71,'UC MINI 2026 MINI NEXT'!$B56,'UC MINI 2026'!$G$5:$G$71)</f>
        <v>5</v>
      </c>
      <c r="H56" s="243">
        <f t="shared" si="102"/>
        <v>2.5</v>
      </c>
      <c r="I56" s="54">
        <v>9</v>
      </c>
      <c r="J56" s="86">
        <f>SUMIF('UC MINI 2026'!$B$5:$B$61,'UC MINI 2026 MINI NEXT'!$B56,'UC MINI 2026'!$I$5:$I$61)</f>
        <v>6</v>
      </c>
      <c r="K56" s="243">
        <f t="shared" si="103"/>
        <v>0.66666666666666663</v>
      </c>
      <c r="L56" s="54">
        <v>7</v>
      </c>
      <c r="M56" s="86">
        <f>SUMIF('UC MINI 2026'!$B$5:$B$61,'UC MINI 2026 MINI NEXT'!$B56,'UC MINI 2026'!$K$5:$K$61)</f>
        <v>9</v>
      </c>
      <c r="N56" s="297">
        <f t="shared" si="104"/>
        <v>1.2857142857142858</v>
      </c>
      <c r="O56" s="54">
        <f>VLOOKUP(B56,'[5]% Penetración Mdo ABR26'!$B$7:$G$59,6,0)-F56-I56-L56</f>
        <v>11</v>
      </c>
      <c r="P56" s="86">
        <f>SUMIF('UC MINI 2026'!$B$5:$B$61,'UC MINI 2026 MINI NEXT'!$B56,'UC MINI 2026'!$M$5:$M$61)</f>
        <v>6</v>
      </c>
      <c r="Q56" s="243">
        <f t="shared" si="105"/>
        <v>0.54545454545454541</v>
      </c>
      <c r="R56" s="21">
        <f>VLOOKUP(B56,'[6]% Penetración Mdo MAY26'!$B$7:$G$65,6,0)-F56-I56-L56-O56</f>
        <v>10</v>
      </c>
      <c r="S56" s="86">
        <f>SUMIF('UC MINI 2026'!$B$5:$B$61,'UC MINI 2026 MINI NEXT'!$B56,'UC MINI 2026'!$O$5:$O$61)</f>
        <v>12</v>
      </c>
      <c r="T56" s="297">
        <f t="shared" si="106"/>
        <v>1.2</v>
      </c>
      <c r="U56" s="606">
        <f>VLOOKUP(B56,'[7]% Penetración Mdo JUN26'!$B$7:$J$59,6,0)-F56-I56-L56-O56-R56</f>
        <v>20</v>
      </c>
      <c r="V56" s="86">
        <f>SUMIF('UC MINI 2026'!$B$5:$B$61,'UC MINI 2026 MINI NEXT'!$B56,'UC MINI 2026'!$Q$5:$Q$61)</f>
        <v>8</v>
      </c>
      <c r="W56" s="243">
        <f t="shared" si="107"/>
        <v>0.4</v>
      </c>
      <c r="X56" s="54"/>
      <c r="Y56" s="86">
        <f>SUMIF('UC MINI 2026'!$B$5:$B$61,'UC MINI 2026 MINI NEXT'!$B56,'UC MINI 2026'!$S$5:$S$61)</f>
        <v>0</v>
      </c>
      <c r="Z56" s="297">
        <f t="shared" si="108"/>
        <v>0</v>
      </c>
      <c r="AA56" s="54"/>
      <c r="AB56" s="86">
        <f>SUMIF('UC MINI 2026'!$B$5:$B$61,'UC MINI 2026 MINI NEXT'!$B56,'UC MINI 2026'!$U$5:$U$61)</f>
        <v>0</v>
      </c>
      <c r="AC56" s="243">
        <f t="shared" si="109"/>
        <v>0</v>
      </c>
      <c r="AD56" s="54"/>
      <c r="AE56" s="86">
        <f>SUMIF('UC MINI 2026'!$B$5:$B$61,'UC MINI 2026 MINI NEXT'!$B56,'UC MINI 2026'!$W$5:$W$61)</f>
        <v>0</v>
      </c>
      <c r="AF56" s="297">
        <f t="shared" si="110"/>
        <v>0</v>
      </c>
      <c r="AG56" s="54"/>
      <c r="AH56" s="86">
        <f>SUMIF('UC MINI 2026'!$B$5:$B$61,'UC MINI 2026 MINI NEXT'!$B56,'UC MINI 2026'!$Y$5:$Y$61)</f>
        <v>0</v>
      </c>
      <c r="AI56" s="243">
        <f t="shared" si="111"/>
        <v>0</v>
      </c>
      <c r="AJ56" s="54"/>
      <c r="AK56" s="86">
        <f>SUMIF('UC MINI 2026'!$B$5:$B$61,'UC MINI 2026 MINI NEXT'!$B56,'UC MINI 2026'!$AA$5:$AA$61)</f>
        <v>0</v>
      </c>
      <c r="AL56" s="297">
        <f t="shared" si="112"/>
        <v>0</v>
      </c>
      <c r="AM56" s="54"/>
      <c r="AN56" s="86">
        <f>SUMIF('UC MINI 2026'!$B$5:$B$61,'UC MINI 2026 MINI NEXT'!$B56,'UC MINI 2026'!$AC$5:$AC$61)</f>
        <v>0</v>
      </c>
      <c r="AO56" s="243">
        <f t="shared" si="113"/>
        <v>0</v>
      </c>
      <c r="AP56" s="67">
        <f t="shared" si="120"/>
        <v>59</v>
      </c>
      <c r="AQ56" s="68">
        <f t="shared" si="120"/>
        <v>46</v>
      </c>
      <c r="AR56" s="149">
        <f t="shared" si="114"/>
        <v>0.77966101694915257</v>
      </c>
      <c r="AS56" s="67">
        <f>IFERROR(F56+I56+L56+O56+R56+U56++X56+AA56+AD56+AG56+AJ56+AM56,0)</f>
        <v>59</v>
      </c>
      <c r="AT56" s="86">
        <f t="shared" si="16"/>
        <v>46</v>
      </c>
      <c r="AU56" s="149">
        <f t="shared" si="115"/>
        <v>0.77966101694915257</v>
      </c>
      <c r="AV56" s="54">
        <f t="shared" si="121"/>
        <v>18</v>
      </c>
      <c r="AW56" s="86">
        <f t="shared" si="121"/>
        <v>20</v>
      </c>
      <c r="AX56" s="109">
        <f t="shared" si="116"/>
        <v>1.1111111111111112</v>
      </c>
      <c r="AY56" s="68">
        <f>IFERROR(IF($AV$5="Q1",#REF!+#REF!+#REF!,
IF($AV$5="Q2",#REF!+#REF!++#REF!,
IF($AV$5="Q3",#REF!+#REF!+#REF!,
IF($AV$5="Q4",#REF!+#REF!+#REF!,0)))),0)</f>
        <v>0</v>
      </c>
      <c r="AZ56" s="297">
        <f>IF(AW56=0,"N.D.",AY56/AW56)</f>
        <v>0</v>
      </c>
      <c r="BA56" s="350">
        <f>IFERROR(IF($AV$5="Q1",#REF!+#REF!+#REF!,
IF($AV$5="Q2",#REF!+#REF!+#REF!,
IF($AV$5="Q3",#REF!+#REF!+#REF!,
IF($AV$5="Q4",#REF!+#REF!+#REF!,0)))),0)</f>
        <v>0</v>
      </c>
      <c r="BB56" s="150">
        <f t="shared" si="117"/>
        <v>0</v>
      </c>
      <c r="BC56" s="67">
        <f t="shared" si="122"/>
        <v>59</v>
      </c>
      <c r="BD56" s="68">
        <f t="shared" si="122"/>
        <v>46</v>
      </c>
      <c r="BE56" s="150">
        <f t="shared" si="118"/>
        <v>0.77966101694915257</v>
      </c>
      <c r="BF56" s="67">
        <f t="shared" si="123"/>
        <v>0</v>
      </c>
      <c r="BG56" s="266">
        <f t="shared" si="123"/>
        <v>0</v>
      </c>
      <c r="BH56" s="150">
        <f t="shared" si="119"/>
        <v>0</v>
      </c>
      <c r="BI56" s="53">
        <v>1</v>
      </c>
    </row>
    <row r="57" spans="1:61" s="53" customFormat="1" ht="16" customHeight="1" thickBot="1" x14ac:dyDescent="0.35">
      <c r="A57" s="53" t="e">
        <f>_xlfn.XLOOKUP(B57,'WHOLESALE MINI 2026'!$B$7:$B$63,'WHOLESALE MINI 2026'!$A$7:$A$63)</f>
        <v>#N/A</v>
      </c>
      <c r="B57" s="61" t="s">
        <v>50</v>
      </c>
      <c r="C57" s="62"/>
      <c r="D57" s="146"/>
      <c r="E57" s="80"/>
      <c r="F57" s="63">
        <f>SUM(F52:F56)</f>
        <v>119</v>
      </c>
      <c r="G57" s="63">
        <f>SUM(G52:G56)</f>
        <v>43</v>
      </c>
      <c r="H57" s="301">
        <f t="shared" si="102"/>
        <v>0.36134453781512604</v>
      </c>
      <c r="I57" s="63">
        <f>SUM(I52:I56)</f>
        <v>118</v>
      </c>
      <c r="J57" s="63">
        <f>SUM(J52:J56)</f>
        <v>36</v>
      </c>
      <c r="K57" s="301">
        <f t="shared" si="103"/>
        <v>0.30508474576271188</v>
      </c>
      <c r="L57" s="63">
        <f>SUM(L52:L56)</f>
        <v>148</v>
      </c>
      <c r="M57" s="63">
        <f>SUM(M52:M56)</f>
        <v>76</v>
      </c>
      <c r="N57" s="301">
        <f t="shared" si="104"/>
        <v>0.51351351351351349</v>
      </c>
      <c r="O57" s="63">
        <f>SUM(O52:O56)</f>
        <v>128</v>
      </c>
      <c r="P57" s="63">
        <f>SUM(P52:P56)</f>
        <v>71</v>
      </c>
      <c r="Q57" s="301">
        <f t="shared" si="105"/>
        <v>0.5546875</v>
      </c>
      <c r="R57" s="63">
        <f>SUM(R52:R56)</f>
        <v>146</v>
      </c>
      <c r="S57" s="63">
        <f>SUM(S52:S56)</f>
        <v>68</v>
      </c>
      <c r="T57" s="301">
        <f t="shared" si="106"/>
        <v>0.46575342465753422</v>
      </c>
      <c r="U57" s="63">
        <f>SUM(U52:U56)</f>
        <v>137</v>
      </c>
      <c r="V57" s="63">
        <f>SUM(V52:V56)</f>
        <v>59</v>
      </c>
      <c r="W57" s="301">
        <f t="shared" si="107"/>
        <v>0.43065693430656932</v>
      </c>
      <c r="X57" s="63">
        <f>SUM(X52:X56)</f>
        <v>0</v>
      </c>
      <c r="Y57" s="63">
        <f>SUM(Y52:Y56)</f>
        <v>0</v>
      </c>
      <c r="Z57" s="301">
        <f t="shared" si="108"/>
        <v>0</v>
      </c>
      <c r="AA57" s="63">
        <f>SUM(AA52:AA56)</f>
        <v>0</v>
      </c>
      <c r="AB57" s="63">
        <f>SUM(AB52:AB56)</f>
        <v>0</v>
      </c>
      <c r="AC57" s="301">
        <f t="shared" si="109"/>
        <v>0</v>
      </c>
      <c r="AD57" s="63">
        <f>SUM(AD52:AD56)</f>
        <v>0</v>
      </c>
      <c r="AE57" s="63">
        <f>SUM(AE52:AE56)</f>
        <v>0</v>
      </c>
      <c r="AF57" s="301">
        <f t="shared" si="110"/>
        <v>0</v>
      </c>
      <c r="AG57" s="63">
        <f>SUM(AG52:AG56)</f>
        <v>0</v>
      </c>
      <c r="AH57" s="63">
        <f>SUM(AH52:AH56)</f>
        <v>0</v>
      </c>
      <c r="AI57" s="301">
        <f t="shared" si="111"/>
        <v>0</v>
      </c>
      <c r="AJ57" s="63">
        <f>SUM(AJ52:AJ56)</f>
        <v>0</v>
      </c>
      <c r="AK57" s="63">
        <f>SUM(AK52:AK56)</f>
        <v>0</v>
      </c>
      <c r="AL57" s="301">
        <f t="shared" si="112"/>
        <v>0</v>
      </c>
      <c r="AM57" s="63">
        <f>SUM(AM52:AM56)</f>
        <v>0</v>
      </c>
      <c r="AN57" s="63">
        <f>SUM(AN52:AN56)</f>
        <v>0</v>
      </c>
      <c r="AO57" s="301">
        <f t="shared" si="113"/>
        <v>0</v>
      </c>
      <c r="AP57" s="63">
        <f>SUM(AP52:AP56)</f>
        <v>796</v>
      </c>
      <c r="AQ57" s="63">
        <f>SUM(AQ52:AQ56)</f>
        <v>353</v>
      </c>
      <c r="AR57" s="320">
        <f t="shared" si="114"/>
        <v>0.44346733668341709</v>
      </c>
      <c r="AS57" s="63">
        <f>SUM(AS52:AS56)</f>
        <v>796</v>
      </c>
      <c r="AT57" s="63">
        <f>SUM(AT52:AT56)</f>
        <v>353</v>
      </c>
      <c r="AU57" s="320">
        <f t="shared" si="115"/>
        <v>0.44346733668341709</v>
      </c>
      <c r="AV57" s="63">
        <f>SUM(AV43:AV52)</f>
        <v>1883</v>
      </c>
      <c r="AW57" s="65">
        <f>SUM(AW43:AW52)</f>
        <v>1145</v>
      </c>
      <c r="AX57" s="157">
        <f t="shared" si="116"/>
        <v>0.60807222517259696</v>
      </c>
      <c r="AY57" s="65">
        <f>SUM(AY43:AY52)</f>
        <v>0</v>
      </c>
      <c r="AZ57" s="321">
        <f>IFERROR(AY57/AW57,0)</f>
        <v>0</v>
      </c>
      <c r="BA57" s="349" t="e">
        <f>IF($AV$5="Q1",#REF!+#REF!+#REF!,
IF($AV$5="Q2",#REF!+#REF!+#REF!,
IF($AV$5="Q3",#REF!+#REF!+#REF!,
IF($AV$5="Q4",#REF!+#REF!+#REF!,0))))</f>
        <v>#REF!</v>
      </c>
      <c r="BB57" s="333">
        <f t="shared" si="117"/>
        <v>0</v>
      </c>
      <c r="BC57" s="63">
        <f>IF($BC$5="S 1",F57+I57+L57+O57+R57+U57,
IF($BC$5="S 2",X57+AA57+AD57+AG57+AJ57+AM57,0))</f>
        <v>796</v>
      </c>
      <c r="BD57" s="65">
        <f>IF($BC$5="S 1",G57+J57+M57+P57+S57+V57,
IF($BC$5="S 2",Y57+AB57+AE57+AH57+AK57+AN57,0))</f>
        <v>353</v>
      </c>
      <c r="BE57" s="333">
        <f t="shared" si="118"/>
        <v>0.44346733668341709</v>
      </c>
      <c r="BF57" s="63">
        <f>SUM(BF52:BF56)</f>
        <v>0</v>
      </c>
      <c r="BG57" s="63">
        <f>SUM(BG52:BG56)</f>
        <v>0</v>
      </c>
      <c r="BH57" s="333">
        <f t="shared" si="119"/>
        <v>0</v>
      </c>
      <c r="BI57" s="53">
        <v>0</v>
      </c>
    </row>
    <row r="58" spans="1:61" s="53" customFormat="1" ht="16" customHeight="1" x14ac:dyDescent="0.3">
      <c r="A58" s="53">
        <f>_xlfn.XLOOKUP(B58,'WHOLESALE MINI 2026'!$B$7:$B$63,'WHOLESALE MINI 2026'!$A$7:$A$63)</f>
        <v>10</v>
      </c>
      <c r="B58" s="8">
        <v>100344</v>
      </c>
      <c r="C58" s="369" t="s">
        <v>25</v>
      </c>
      <c r="D58" s="146"/>
      <c r="E58" s="379" t="s">
        <v>203</v>
      </c>
      <c r="F58" s="54">
        <v>13</v>
      </c>
      <c r="G58" s="86">
        <f>SUMIF('UC MINI 2026'!$B$5:$B$71,'UC MINI 2026 MINI NEXT'!$B58,'UC MINI 2026'!$G$5:$G$71)</f>
        <v>5</v>
      </c>
      <c r="H58" s="242">
        <f t="shared" ref="H58:H66" si="124">IFERROR(G58/F58,0)</f>
        <v>0.38461538461538464</v>
      </c>
      <c r="I58" s="54">
        <v>10</v>
      </c>
      <c r="J58" s="86">
        <f>SUMIF('UC MINI 2026'!$B$5:$B$61,'UC MINI 2026 MINI NEXT'!$B58,'UC MINI 2026'!$I$5:$I$61)</f>
        <v>12</v>
      </c>
      <c r="K58" s="242">
        <f t="shared" ref="K58:K66" si="125">IFERROR(J58/I58,0)</f>
        <v>1.2</v>
      </c>
      <c r="L58" s="54">
        <v>13</v>
      </c>
      <c r="M58" s="86">
        <f>SUMIF('UC MINI 2026'!$B$5:$B$61,'UC MINI 2026 MINI NEXT'!$B58,'UC MINI 2026'!$K$5:$K$61)</f>
        <v>7</v>
      </c>
      <c r="N58" s="296">
        <f t="shared" ref="N58:N66" si="126">IFERROR(M58/L58,0)</f>
        <v>0.53846153846153844</v>
      </c>
      <c r="O58" s="54">
        <f>VLOOKUP(B58,'[5]% Penetración Mdo ABR26'!$B$7:$G$59,6,0)-F58-I58-L58</f>
        <v>15</v>
      </c>
      <c r="P58" s="86">
        <f>SUMIF('UC MINI 2026'!$B$5:$B$61,'UC MINI 2026 MINI NEXT'!$B58,'UC MINI 2026'!$M$5:$M$61)</f>
        <v>5</v>
      </c>
      <c r="Q58" s="242">
        <f t="shared" ref="Q58:Q66" si="127">IFERROR(P58/O58,0)</f>
        <v>0.33333333333333331</v>
      </c>
      <c r="R58" s="21">
        <f>VLOOKUP(B58,'[6]% Penetración Mdo MAY26'!$B$7:$G$65,6,0)-F58-I58-L58-O58</f>
        <v>15</v>
      </c>
      <c r="S58" s="86">
        <f>SUMIF('UC MINI 2026'!$B$5:$B$61,'UC MINI 2026 MINI NEXT'!$B58,'UC MINI 2026'!$O$5:$O$61)</f>
        <v>8</v>
      </c>
      <c r="T58" s="296">
        <f t="shared" ref="T58:T66" si="128">IFERROR(S58/R58,0)</f>
        <v>0.53333333333333333</v>
      </c>
      <c r="U58" s="606">
        <f>VLOOKUP(B58,'[7]% Penetración Mdo JUN26'!$B$7:$J$59,6,0)-F58-I58-L58-O58-R58</f>
        <v>19</v>
      </c>
      <c r="V58" s="86">
        <f>SUMIF('UC MINI 2026'!$B$5:$B$61,'UC MINI 2026 MINI NEXT'!$B58,'UC MINI 2026'!$Q$5:$Q$61)</f>
        <v>13</v>
      </c>
      <c r="W58" s="242">
        <f t="shared" ref="W58:W66" si="129">IFERROR(V58/U58,0)</f>
        <v>0.68421052631578949</v>
      </c>
      <c r="X58" s="54"/>
      <c r="Y58" s="86">
        <f>SUMIF('UC MINI 2026'!$B$5:$B$61,'UC MINI 2026 MINI NEXT'!$B58,'UC MINI 2026'!$S$5:$S$61)</f>
        <v>0</v>
      </c>
      <c r="Z58" s="297">
        <f t="shared" si="108"/>
        <v>0</v>
      </c>
      <c r="AA58" s="54"/>
      <c r="AB58" s="86">
        <f>SUMIF('UC MINI 2026'!$B$5:$B$61,'UC MINI 2026 MINI NEXT'!$B58,'UC MINI 2026'!$U$5:$U$61)</f>
        <v>0</v>
      </c>
      <c r="AC58" s="243">
        <f t="shared" si="109"/>
        <v>0</v>
      </c>
      <c r="AD58" s="54"/>
      <c r="AE58" s="86">
        <f>SUMIF('UC MINI 2026'!$B$5:$B$61,'UC MINI 2026 MINI NEXT'!$B58,'UC MINI 2026'!$W$5:$W$61)</f>
        <v>0</v>
      </c>
      <c r="AF58" s="297">
        <f t="shared" si="110"/>
        <v>0</v>
      </c>
      <c r="AG58" s="54"/>
      <c r="AH58" s="86">
        <f>SUMIF('UC MINI 2026'!$B$5:$B$61,'UC MINI 2026 MINI NEXT'!$B58,'UC MINI 2026'!$Y$5:$Y$61)</f>
        <v>0</v>
      </c>
      <c r="AI58" s="243">
        <f t="shared" si="111"/>
        <v>0</v>
      </c>
      <c r="AJ58" s="54"/>
      <c r="AK58" s="86">
        <f>SUMIF('UC MINI 2026'!$B$5:$B$61,'UC MINI 2026 MINI NEXT'!$B58,'UC MINI 2026'!$AA$5:$AA$61)</f>
        <v>0</v>
      </c>
      <c r="AL58" s="297">
        <f t="shared" si="112"/>
        <v>0</v>
      </c>
      <c r="AM58" s="54"/>
      <c r="AN58" s="86">
        <f>SUMIF('UC MINI 2026'!$B$5:$B$61,'UC MINI 2026 MINI NEXT'!$B58,'UC MINI 2026'!$AC$5:$AC$61)</f>
        <v>0</v>
      </c>
      <c r="AO58" s="242">
        <f t="shared" ref="AO58:AO66" si="130">IFERROR(AN58/AM58,0)</f>
        <v>0</v>
      </c>
      <c r="AP58" s="67">
        <f>IFERROR(IF($AP$4="ENERO",F58,IF($AP$4="FEBRERO",F58+I58,IF($AP$4="MARZO",F58+I58+L58,IF($AP$4="ABRIL",F58+I58+L58+O58,IF($AP$4="MAYO",F58+I58+L58+O58+R58,IF($AP$4="JUNIO",F58+I58+L58+O58+R58+U58,IF($AP$4="JULIO",F58+I58+L58+O58+R58+U58+X58,IF($AP$4="AGOSTO",F58+I58+L58+O58+R58+U58+X58+AA58,IF($AP$4="SEPTIEMBRE",F58+I58+L58+O58+R58+U58+X58+AA58+AD58,IF($AP$4="OCTUBRE",F58+I58+L58+O58+R58+U58+X58+AA58+AD58+AG58,IF($AP$4="NOVIEMBRE",F58+I58+L58+O58+R58+U58+X58+AA58+AD58+AG58+AJ58,IF($AP$4="DICIEMBRE",F58+I58+L58+O58+R58+U58+X58+AA58+AD58+AG58+AJ58+AM58,"")))))))))))),0)</f>
        <v>85</v>
      </c>
      <c r="AQ58" s="68">
        <f>IFERROR(IF($AP$4="ENERO",G58,IF($AP$4="FEBRERO",G58+J58,IF($AP$4="MARZO",G58+J58+M58,IF($AP$4="ABRIL",G58+J58+M58+P58,IF($AP$4="MAYO",G58+J58+M58+P58+S58,IF($AP$4="JUNIO",G58+J58+M58+P58+S58+V58,IF($AP$4="JULIO",G58+J58+M58+P58+S58+V58+Y58,IF($AP$4="AGOSTO",G58+J58+M58+P58+S58+V58+Y58+AB58,IF($AP$4="SEPTIEMBRE",G58+J58+M58+P58+S58+V58+Y58+AB58+AE58,IF($AP$4="OCTUBRE",G58+J58+M58+P58+S58+V58+Y58+AB58+AE58+AH58,IF($AP$4="NOVIEMBRE",G58+J58+M58+P58+S58+V58+Y58+AB58+AE58+AH58+AK58,IF($AP$4="DICIEMBRE",G58+J58+M58+P58+S58+V58+Y58+AB58+AE58+AH58+AK58+AN58,"")))))))))))),0)</f>
        <v>50</v>
      </c>
      <c r="AR58" s="161">
        <f t="shared" ref="AR58:AR65" si="131">IFERROR((AQ58/AP58),0)</f>
        <v>0.58823529411764708</v>
      </c>
      <c r="AS58" s="67">
        <f t="shared" ref="AS58:AS63" si="132">IFERROR(F58+I58+L58+O58+R58+U58++X58+AA58+AD58+AG58+AJ58+AM58,0)</f>
        <v>85</v>
      </c>
      <c r="AT58" s="86">
        <f t="shared" si="16"/>
        <v>50</v>
      </c>
      <c r="AU58" s="161">
        <f t="shared" si="25"/>
        <v>0.58823529411764708</v>
      </c>
      <c r="AV58" s="67">
        <f t="shared" ref="AV58:AW63" si="133">IF($AV$5="Q1",F58+I58+L58,
IF($AV$5="Q2",O58+R58++U58,
IF($AV$5="Q3",X58+AA58+AD58,
IF($AV$5="Q4",AG58+AJ58+AM58,0))))</f>
        <v>36</v>
      </c>
      <c r="AW58" s="68">
        <f t="shared" si="133"/>
        <v>24</v>
      </c>
      <c r="AX58" s="116">
        <f t="shared" ref="AX58:AX64" si="134">IFERROR((AW58/AV58),0)</f>
        <v>0.66666666666666663</v>
      </c>
      <c r="AY58" s="68">
        <f>IFERROR(IF($AV$5="Q1",#REF!+#REF!+#REF!,
IF($AV$5="Q2",#REF!+#REF!++#REF!,
IF($AV$5="Q3",#REF!+#REF!+#REF!,
IF($AV$5="Q4",#REF!+#REF!+#REF!,0)))),0)</f>
        <v>0</v>
      </c>
      <c r="AZ58" s="297">
        <f t="shared" ref="AZ58:AZ66" si="135">IF(AW58=0,"N.D.",AY58/AW58)</f>
        <v>0</v>
      </c>
      <c r="BA58" s="350">
        <f>IFERROR(IF($AV$5="Q1",#REF!+#REF!+#REF!,
IF($AV$5="Q2",#REF!+#REF!+#REF!,
IF($AV$5="Q3",#REF!+#REF!+#REF!,
IF($AV$5="Q4",#REF!+#REF!+#REF!,0)))),0)</f>
        <v>0</v>
      </c>
      <c r="BB58" s="162">
        <f t="shared" ref="BB58:BB64" si="136">IFERROR((BA58/AV58),0)</f>
        <v>0</v>
      </c>
      <c r="BC58" s="67">
        <f>IFERROR(IF($BC$5="S 1",F58+I58+L58+O58+R58+U58,
IF($BC$5="S 2",X58+AA58+AD58+AG58+AJ58+AM58,0)),0)</f>
        <v>85</v>
      </c>
      <c r="BD58" s="68">
        <f>IFERROR(IF($BC$5="S 1",G58+J58+M58+P58+S58+V58,
IF($BC$5="S 2",Y58+AB58+AE58+AH58+AK58+AN58,0)),0)</f>
        <v>50</v>
      </c>
      <c r="BE58" s="162">
        <f t="shared" ref="BE58:BE65" si="137">IFERROR((BD58/BC58),0)</f>
        <v>0.58823529411764708</v>
      </c>
      <c r="BF58" s="67">
        <f>IFERROR(IF($BF$5="S 1",F58+I58+L58+O58+R58+U58,
IF($BF$5="S 2",X58+AA58+AD58+AG58+AJ58+AM58,0)),0)</f>
        <v>0</v>
      </c>
      <c r="BG58" s="266">
        <f>IFERROR(IF($BF$5="S 1",G58+J58+M58+P58+S58+V58,
IF($BF$5="S 2",Y58+AB58+AE58+AH58+AK58+AN58,0)),0)</f>
        <v>0</v>
      </c>
      <c r="BH58" s="162">
        <f t="shared" ref="BH58:BH65" si="138">IFERROR((BG58/BF58),0)</f>
        <v>0</v>
      </c>
      <c r="BI58" s="53">
        <v>1</v>
      </c>
    </row>
    <row r="59" spans="1:61" s="53" customFormat="1" ht="16" customHeight="1" x14ac:dyDescent="0.3">
      <c r="A59" s="53">
        <f>_xlfn.XLOOKUP(B59,'WHOLESALE MINI 2026'!$B$7:$B$63,'WHOLESALE MINI 2026'!$A$7:$A$63)</f>
        <v>10</v>
      </c>
      <c r="B59" s="8">
        <v>100422</v>
      </c>
      <c r="C59" s="369" t="s">
        <v>20</v>
      </c>
      <c r="D59" s="146"/>
      <c r="E59" s="379" t="s">
        <v>203</v>
      </c>
      <c r="F59" s="54">
        <v>0</v>
      </c>
      <c r="G59" s="86">
        <f>SUMIF('UC MINI 2026'!$B$5:$B$71,'UC MINI 2026 MINI NEXT'!$B59,'UC MINI 2026'!$G$5:$G$71)</f>
        <v>6</v>
      </c>
      <c r="H59" s="243">
        <f t="shared" si="124"/>
        <v>0</v>
      </c>
      <c r="I59" s="54">
        <v>2</v>
      </c>
      <c r="J59" s="86">
        <f>SUMIF('UC MINI 2026'!$B$5:$B$61,'UC MINI 2026 MINI NEXT'!$B59,'UC MINI 2026'!$I$5:$I$61)</f>
        <v>2</v>
      </c>
      <c r="K59" s="243">
        <f t="shared" si="125"/>
        <v>1</v>
      </c>
      <c r="L59" s="54">
        <v>6</v>
      </c>
      <c r="M59" s="86">
        <f>SUMIF('UC MINI 2026'!$B$5:$B$61,'UC MINI 2026 MINI NEXT'!$B59,'UC MINI 2026'!$K$5:$K$61)</f>
        <v>1</v>
      </c>
      <c r="N59" s="297">
        <f t="shared" si="126"/>
        <v>0.16666666666666666</v>
      </c>
      <c r="O59" s="54">
        <f>VLOOKUP(B59,'[5]% Penetración Mdo ABR26'!$B$7:$G$59,6,0)-F59-I59-L59</f>
        <v>5</v>
      </c>
      <c r="P59" s="86">
        <f>SUMIF('UC MINI 2026'!$B$5:$B$61,'UC MINI 2026 MINI NEXT'!$B59,'UC MINI 2026'!$M$5:$M$61)</f>
        <v>2</v>
      </c>
      <c r="Q59" s="243">
        <f t="shared" si="127"/>
        <v>0.4</v>
      </c>
      <c r="R59" s="21">
        <f>VLOOKUP(B59,'[6]% Penetración Mdo MAY26'!$B$7:$G$65,6,0)-F59-I59-L59-O59</f>
        <v>4</v>
      </c>
      <c r="S59" s="86">
        <f>SUMIF('UC MINI 2026'!$B$5:$B$61,'UC MINI 2026 MINI NEXT'!$B59,'UC MINI 2026'!$O$5:$O$61)</f>
        <v>5</v>
      </c>
      <c r="T59" s="297">
        <f t="shared" si="128"/>
        <v>1.25</v>
      </c>
      <c r="U59" s="606">
        <f>VLOOKUP(B59,'[7]% Penetración Mdo JUN26'!$B$7:$J$59,6,0)-F59-I59-L59-O59-R59</f>
        <v>15</v>
      </c>
      <c r="V59" s="86">
        <f>SUMIF('UC MINI 2026'!$B$5:$B$61,'UC MINI 2026 MINI NEXT'!$B59,'UC MINI 2026'!$Q$5:$Q$61)</f>
        <v>5</v>
      </c>
      <c r="W59" s="243">
        <f t="shared" si="129"/>
        <v>0.33333333333333331</v>
      </c>
      <c r="X59" s="54"/>
      <c r="Y59" s="86">
        <f>SUMIF('UC MINI 2026'!$B$5:$B$61,'UC MINI 2026 MINI NEXT'!$B59,'UC MINI 2026'!$S$5:$S$61)</f>
        <v>0</v>
      </c>
      <c r="Z59" s="297">
        <f t="shared" si="108"/>
        <v>0</v>
      </c>
      <c r="AA59" s="54"/>
      <c r="AB59" s="86">
        <f>SUMIF('UC MINI 2026'!$B$5:$B$61,'UC MINI 2026 MINI NEXT'!$B59,'UC MINI 2026'!$U$5:$U$61)</f>
        <v>0</v>
      </c>
      <c r="AC59" s="243">
        <f t="shared" si="109"/>
        <v>0</v>
      </c>
      <c r="AD59" s="54"/>
      <c r="AE59" s="86">
        <f>SUMIF('UC MINI 2026'!$B$5:$B$61,'UC MINI 2026 MINI NEXT'!$B59,'UC MINI 2026'!$W$5:$W$61)</f>
        <v>0</v>
      </c>
      <c r="AF59" s="297">
        <f t="shared" si="110"/>
        <v>0</v>
      </c>
      <c r="AG59" s="54"/>
      <c r="AH59" s="86">
        <f>SUMIF('UC MINI 2026'!$B$5:$B$61,'UC MINI 2026 MINI NEXT'!$B59,'UC MINI 2026'!$Y$5:$Y$61)</f>
        <v>0</v>
      </c>
      <c r="AI59" s="243">
        <f t="shared" si="111"/>
        <v>0</v>
      </c>
      <c r="AJ59" s="54"/>
      <c r="AK59" s="86">
        <f>SUMIF('UC MINI 2026'!$B$5:$B$61,'UC MINI 2026 MINI NEXT'!$B59,'UC MINI 2026'!$AA$5:$AA$61)</f>
        <v>0</v>
      </c>
      <c r="AL59" s="297">
        <f t="shared" si="112"/>
        <v>0</v>
      </c>
      <c r="AM59" s="54"/>
      <c r="AN59" s="86">
        <f>SUMIF('UC MINI 2026'!$B$5:$B$61,'UC MINI 2026 MINI NEXT'!$B59,'UC MINI 2026'!$AC$5:$AC$61)</f>
        <v>0</v>
      </c>
      <c r="AO59" s="243">
        <f t="shared" si="130"/>
        <v>0</v>
      </c>
      <c r="AP59" s="67">
        <f t="shared" ref="AP59:AQ63" si="139">IFERROR(IF($AP$4="ENERO",F59,IF($AP$4="FEBRERO",F59+I59,IF($AP$4="MARZO",F59+I59+L59,IF($AP$4="ABRIL",F59+I59+L59+O59,IF($AP$4="MAYO",F59+I59+L59+O59+R59,IF($AP$4="JUNIO",F59+I59+L59+O59+R59+U59,IF($AP$4="JULIO",F59+I59+L59+O59+R59+U59+X59,IF($AP$4="AGOSTO",F59+I59+L59+O59+R59+U59+X59+AA59,IF($AP$4="SEPTIEMBRE",F59+I59+L59+O59+R59+U59+X59+AA59+AD59,IF($AP$4="OCTUBRE",F59+I59+L59+O59+R59+U59+X59+AA59+AD59+AG59,IF($AP$4="NOVIEMBRE",F59+I59+L59+O59+R59+U59+X59+AA59+AD59+AG59+AJ59,IF($AP$4="DICIEMBRE",F59+I59+L59+O59+R59+U59+X59+AA59+AD59+AG59+AJ59+AM59,"")))))))))))),0)</f>
        <v>32</v>
      </c>
      <c r="AQ59" s="68">
        <f t="shared" si="139"/>
        <v>21</v>
      </c>
      <c r="AR59" s="149">
        <f t="shared" si="131"/>
        <v>0.65625</v>
      </c>
      <c r="AS59" s="67">
        <f t="shared" si="132"/>
        <v>32</v>
      </c>
      <c r="AT59" s="86">
        <f t="shared" si="16"/>
        <v>21</v>
      </c>
      <c r="AU59" s="149">
        <f t="shared" si="25"/>
        <v>0.65625</v>
      </c>
      <c r="AV59" s="54">
        <f t="shared" si="133"/>
        <v>8</v>
      </c>
      <c r="AW59" s="86">
        <f t="shared" si="133"/>
        <v>9</v>
      </c>
      <c r="AX59" s="109">
        <f t="shared" si="134"/>
        <v>1.125</v>
      </c>
      <c r="AY59" s="68">
        <f>IFERROR(IF($AV$5="Q1",#REF!+#REF!+#REF!,
IF($AV$5="Q2",#REF!+#REF!++#REF!,
IF($AV$5="Q3",#REF!+#REF!+#REF!,
IF($AV$5="Q4",#REF!+#REF!+#REF!,0)))),0)</f>
        <v>0</v>
      </c>
      <c r="AZ59" s="297">
        <f t="shared" si="135"/>
        <v>0</v>
      </c>
      <c r="BA59" s="350">
        <f>IFERROR(IF($AV$5="Q1",#REF!+#REF!+#REF!,
IF($AV$5="Q2",#REF!+#REF!+#REF!,
IF($AV$5="Q3",#REF!+#REF!+#REF!,
IF($AV$5="Q4",#REF!+#REF!+#REF!,0)))),0)</f>
        <v>0</v>
      </c>
      <c r="BB59" s="150">
        <f t="shared" si="136"/>
        <v>0</v>
      </c>
      <c r="BC59" s="67">
        <f t="shared" ref="BC59:BD63" si="140">IFERROR(IF($BC$5="S 1",F59+I59+L59+O59+R59+U59,
IF($BC$5="S 2",X59+AA59+AD59+AG59+AJ59+AM59,0)),0)</f>
        <v>32</v>
      </c>
      <c r="BD59" s="68">
        <f t="shared" si="140"/>
        <v>21</v>
      </c>
      <c r="BE59" s="150">
        <f t="shared" si="137"/>
        <v>0.65625</v>
      </c>
      <c r="BF59" s="67">
        <f t="shared" ref="BF59:BG63" si="141">IFERROR(IF($BF$5="S 1",F59+I59+L59+O59+R59+U59,
IF($BF$5="S 2",X59+AA59+AD59+AG59+AJ59+AM59,0)),0)</f>
        <v>0</v>
      </c>
      <c r="BG59" s="266">
        <f t="shared" si="141"/>
        <v>0</v>
      </c>
      <c r="BH59" s="150">
        <f t="shared" si="138"/>
        <v>0</v>
      </c>
      <c r="BI59" s="53">
        <v>1</v>
      </c>
    </row>
    <row r="60" spans="1:61" s="53" customFormat="1" ht="16" customHeight="1" x14ac:dyDescent="0.3">
      <c r="A60" s="53">
        <f>_xlfn.XLOOKUP(B60,'WHOLESALE MINI 2026'!$B$7:$B$63,'WHOLESALE MINI 2026'!$A$7:$A$63)</f>
        <v>10</v>
      </c>
      <c r="B60" s="8">
        <v>100549</v>
      </c>
      <c r="C60" s="369" t="s">
        <v>66</v>
      </c>
      <c r="D60" s="146"/>
      <c r="E60" s="379" t="s">
        <v>203</v>
      </c>
      <c r="F60" s="54">
        <v>3</v>
      </c>
      <c r="G60" s="86">
        <f>SUMIF('UC MINI 2026'!$B$5:$B$71,'UC MINI 2026 MINI NEXT'!$B60,'UC MINI 2026'!$G$5:$G$71)</f>
        <v>3</v>
      </c>
      <c r="H60" s="243">
        <f t="shared" si="124"/>
        <v>1</v>
      </c>
      <c r="I60" s="54">
        <v>2</v>
      </c>
      <c r="J60" s="86">
        <f>SUMIF('UC MINI 2026'!$B$5:$B$61,'UC MINI 2026 MINI NEXT'!$B60,'UC MINI 2026'!$I$5:$I$61)</f>
        <v>1</v>
      </c>
      <c r="K60" s="243">
        <f t="shared" si="125"/>
        <v>0.5</v>
      </c>
      <c r="L60" s="54">
        <v>1</v>
      </c>
      <c r="M60" s="86">
        <f>SUMIF('UC MINI 2026'!$B$5:$B$61,'UC MINI 2026 MINI NEXT'!$B60,'UC MINI 2026'!$K$5:$K$61)</f>
        <v>1</v>
      </c>
      <c r="N60" s="297">
        <f t="shared" si="126"/>
        <v>1</v>
      </c>
      <c r="O60" s="54">
        <f>VLOOKUP(B60,'[5]% Penetración Mdo ABR26'!$B$7:$G$59,6,0)-F60-I60-L60</f>
        <v>5</v>
      </c>
      <c r="P60" s="86">
        <f>SUMIF('UC MINI 2026'!$B$5:$B$61,'UC MINI 2026 MINI NEXT'!$B60,'UC MINI 2026'!$M$5:$M$61)</f>
        <v>4</v>
      </c>
      <c r="Q60" s="243">
        <f t="shared" si="127"/>
        <v>0.8</v>
      </c>
      <c r="R60" s="21">
        <f>VLOOKUP(B60,'[6]% Penetración Mdo MAY26'!$B$7:$G$65,6,0)-F60-I60-L60-O60</f>
        <v>8</v>
      </c>
      <c r="S60" s="86">
        <f>SUMIF('UC MINI 2026'!$B$5:$B$61,'UC MINI 2026 MINI NEXT'!$B60,'UC MINI 2026'!$O$5:$O$61)</f>
        <v>5</v>
      </c>
      <c r="T60" s="297">
        <f t="shared" si="128"/>
        <v>0.625</v>
      </c>
      <c r="U60" s="606">
        <f>VLOOKUP(B60,'[7]% Penetración Mdo JUN26'!$B$7:$J$59,6,0)-F60-I60-L60-O60-R60</f>
        <v>4</v>
      </c>
      <c r="V60" s="86">
        <f>SUMIF('UC MINI 2026'!$B$5:$B$61,'UC MINI 2026 MINI NEXT'!$B60,'UC MINI 2026'!$Q$5:$Q$61)</f>
        <v>5</v>
      </c>
      <c r="W60" s="243">
        <f t="shared" si="129"/>
        <v>1.25</v>
      </c>
      <c r="X60" s="54"/>
      <c r="Y60" s="86">
        <f>SUMIF('UC MINI 2026'!$B$5:$B$61,'UC MINI 2026 MINI NEXT'!$B60,'UC MINI 2026'!$S$5:$S$61)</f>
        <v>0</v>
      </c>
      <c r="Z60" s="297">
        <f t="shared" si="108"/>
        <v>0</v>
      </c>
      <c r="AA60" s="54"/>
      <c r="AB60" s="86">
        <f>SUMIF('UC MINI 2026'!$B$5:$B$61,'UC MINI 2026 MINI NEXT'!$B60,'UC MINI 2026'!$U$5:$U$61)</f>
        <v>0</v>
      </c>
      <c r="AC60" s="243">
        <f t="shared" si="109"/>
        <v>0</v>
      </c>
      <c r="AD60" s="54"/>
      <c r="AE60" s="86">
        <f>SUMIF('UC MINI 2026'!$B$5:$B$61,'UC MINI 2026 MINI NEXT'!$B60,'UC MINI 2026'!$W$5:$W$61)</f>
        <v>0</v>
      </c>
      <c r="AF60" s="297">
        <f t="shared" si="110"/>
        <v>0</v>
      </c>
      <c r="AG60" s="54"/>
      <c r="AH60" s="86">
        <f>SUMIF('UC MINI 2026'!$B$5:$B$61,'UC MINI 2026 MINI NEXT'!$B60,'UC MINI 2026'!$Y$5:$Y$61)</f>
        <v>0</v>
      </c>
      <c r="AI60" s="243">
        <f t="shared" si="111"/>
        <v>0</v>
      </c>
      <c r="AJ60" s="54"/>
      <c r="AK60" s="86">
        <f>SUMIF('UC MINI 2026'!$B$5:$B$61,'UC MINI 2026 MINI NEXT'!$B60,'UC MINI 2026'!$AA$5:$AA$61)</f>
        <v>0</v>
      </c>
      <c r="AL60" s="297">
        <f t="shared" si="112"/>
        <v>0</v>
      </c>
      <c r="AM60" s="54"/>
      <c r="AN60" s="86">
        <f>SUMIF('UC MINI 2026'!$B$5:$B$61,'UC MINI 2026 MINI NEXT'!$B60,'UC MINI 2026'!$AC$5:$AC$61)</f>
        <v>0</v>
      </c>
      <c r="AO60" s="243">
        <f t="shared" si="130"/>
        <v>0</v>
      </c>
      <c r="AP60" s="67">
        <f t="shared" si="139"/>
        <v>23</v>
      </c>
      <c r="AQ60" s="68">
        <f t="shared" si="139"/>
        <v>19</v>
      </c>
      <c r="AR60" s="149">
        <f t="shared" si="131"/>
        <v>0.82608695652173914</v>
      </c>
      <c r="AS60" s="67">
        <f t="shared" si="132"/>
        <v>23</v>
      </c>
      <c r="AT60" s="86">
        <f t="shared" si="16"/>
        <v>19</v>
      </c>
      <c r="AU60" s="149">
        <f t="shared" si="25"/>
        <v>0.82608695652173914</v>
      </c>
      <c r="AV60" s="54">
        <f t="shared" si="133"/>
        <v>6</v>
      </c>
      <c r="AW60" s="86">
        <f t="shared" si="133"/>
        <v>5</v>
      </c>
      <c r="AX60" s="109">
        <f t="shared" si="134"/>
        <v>0.83333333333333337</v>
      </c>
      <c r="AY60" s="68">
        <f>IFERROR(IF($AV$5="Q1",#REF!+#REF!+#REF!,
IF($AV$5="Q2",#REF!+#REF!++#REF!,
IF($AV$5="Q3",#REF!+#REF!+#REF!,
IF($AV$5="Q4",#REF!+#REF!+#REF!,0)))),0)</f>
        <v>0</v>
      </c>
      <c r="AZ60" s="297">
        <f t="shared" si="135"/>
        <v>0</v>
      </c>
      <c r="BA60" s="350">
        <f>IFERROR(IF($AV$5="Q1",#REF!+#REF!+#REF!,
IF($AV$5="Q2",#REF!+#REF!+#REF!,
IF($AV$5="Q3",#REF!+#REF!+#REF!,
IF($AV$5="Q4",#REF!+#REF!+#REF!,0)))),0)</f>
        <v>0</v>
      </c>
      <c r="BB60" s="150">
        <f t="shared" si="136"/>
        <v>0</v>
      </c>
      <c r="BC60" s="67">
        <f t="shared" si="140"/>
        <v>23</v>
      </c>
      <c r="BD60" s="68">
        <f t="shared" si="140"/>
        <v>19</v>
      </c>
      <c r="BE60" s="150">
        <f t="shared" si="137"/>
        <v>0.82608695652173914</v>
      </c>
      <c r="BF60" s="67">
        <f t="shared" si="141"/>
        <v>0</v>
      </c>
      <c r="BG60" s="266">
        <f t="shared" si="141"/>
        <v>0</v>
      </c>
      <c r="BH60" s="150">
        <f t="shared" si="138"/>
        <v>0</v>
      </c>
      <c r="BI60" s="53">
        <v>1</v>
      </c>
    </row>
    <row r="61" spans="1:61" s="53" customFormat="1" ht="16" customHeight="1" x14ac:dyDescent="0.3">
      <c r="A61" s="53">
        <f>_xlfn.XLOOKUP(B61,'WHOLESALE MINI 2026'!$B$7:$B$63,'WHOLESALE MINI 2026'!$A$7:$A$63)</f>
        <v>10</v>
      </c>
      <c r="B61" s="8">
        <v>100589</v>
      </c>
      <c r="C61" s="369" t="s">
        <v>17</v>
      </c>
      <c r="D61" s="146"/>
      <c r="E61" s="379" t="s">
        <v>203</v>
      </c>
      <c r="F61" s="54">
        <v>1</v>
      </c>
      <c r="G61" s="86">
        <f>SUMIF('UC MINI 2026'!$B$5:$B$71,'UC MINI 2026 MINI NEXT'!$B61,'UC MINI 2026'!$G$5:$G$71)</f>
        <v>2</v>
      </c>
      <c r="H61" s="243">
        <f t="shared" si="124"/>
        <v>2</v>
      </c>
      <c r="I61" s="54">
        <v>9</v>
      </c>
      <c r="J61" s="86">
        <f>SUMIF('UC MINI 2026'!$B$5:$B$61,'UC MINI 2026 MINI NEXT'!$B61,'UC MINI 2026'!$I$5:$I$61)</f>
        <v>2</v>
      </c>
      <c r="K61" s="243">
        <f t="shared" si="125"/>
        <v>0.22222222222222221</v>
      </c>
      <c r="L61" s="54">
        <v>7</v>
      </c>
      <c r="M61" s="86">
        <f>SUMIF('UC MINI 2026'!$B$5:$B$61,'UC MINI 2026 MINI NEXT'!$B61,'UC MINI 2026'!$K$5:$K$61)</f>
        <v>6</v>
      </c>
      <c r="N61" s="297">
        <f t="shared" si="126"/>
        <v>0.8571428571428571</v>
      </c>
      <c r="O61" s="54">
        <f>VLOOKUP(B61,'[5]% Penetración Mdo ABR26'!$B$7:$G$59,6,0)-F61-I61-L61</f>
        <v>7</v>
      </c>
      <c r="P61" s="86">
        <f>SUMIF('UC MINI 2026'!$B$5:$B$61,'UC MINI 2026 MINI NEXT'!$B61,'UC MINI 2026'!$M$5:$M$61)</f>
        <v>0</v>
      </c>
      <c r="Q61" s="243">
        <f t="shared" si="127"/>
        <v>0</v>
      </c>
      <c r="R61" s="21">
        <f>VLOOKUP(B61,'[6]% Penetración Mdo MAY26'!$B$7:$G$65,6,0)-F61-I61-L61-O61</f>
        <v>2</v>
      </c>
      <c r="S61" s="86">
        <f>SUMIF('UC MINI 2026'!$B$5:$B$61,'UC MINI 2026 MINI NEXT'!$B61,'UC MINI 2026'!$O$5:$O$61)</f>
        <v>7</v>
      </c>
      <c r="T61" s="297">
        <f t="shared" si="128"/>
        <v>3.5</v>
      </c>
      <c r="U61" s="606">
        <f>VLOOKUP(B61,'[7]% Penetración Mdo JUN26'!$B$7:$J$59,6,0)-F61-I61-L61-O61-R61</f>
        <v>9</v>
      </c>
      <c r="V61" s="86">
        <f>SUMIF('UC MINI 2026'!$B$5:$B$61,'UC MINI 2026 MINI NEXT'!$B61,'UC MINI 2026'!$Q$5:$Q$61)</f>
        <v>5</v>
      </c>
      <c r="W61" s="243">
        <f t="shared" si="129"/>
        <v>0.55555555555555558</v>
      </c>
      <c r="X61" s="54"/>
      <c r="Y61" s="86">
        <f>SUMIF('UC MINI 2026'!$B$5:$B$61,'UC MINI 2026 MINI NEXT'!$B61,'UC MINI 2026'!$S$5:$S$61)</f>
        <v>0</v>
      </c>
      <c r="Z61" s="297">
        <f t="shared" si="108"/>
        <v>0</v>
      </c>
      <c r="AA61" s="54"/>
      <c r="AB61" s="86">
        <f>SUMIF('UC MINI 2026'!$B$5:$B$61,'UC MINI 2026 MINI NEXT'!$B61,'UC MINI 2026'!$U$5:$U$61)</f>
        <v>0</v>
      </c>
      <c r="AC61" s="243">
        <f t="shared" si="109"/>
        <v>0</v>
      </c>
      <c r="AD61" s="54"/>
      <c r="AE61" s="86">
        <f>SUMIF('UC MINI 2026'!$B$5:$B$61,'UC MINI 2026 MINI NEXT'!$B61,'UC MINI 2026'!$W$5:$W$61)</f>
        <v>0</v>
      </c>
      <c r="AF61" s="297">
        <f t="shared" si="110"/>
        <v>0</v>
      </c>
      <c r="AG61" s="54"/>
      <c r="AH61" s="86">
        <f>SUMIF('UC MINI 2026'!$B$5:$B$61,'UC MINI 2026 MINI NEXT'!$B61,'UC MINI 2026'!$Y$5:$Y$61)</f>
        <v>0</v>
      </c>
      <c r="AI61" s="243">
        <f t="shared" si="111"/>
        <v>0</v>
      </c>
      <c r="AJ61" s="54"/>
      <c r="AK61" s="86">
        <f>SUMIF('UC MINI 2026'!$B$5:$B$61,'UC MINI 2026 MINI NEXT'!$B61,'UC MINI 2026'!$AA$5:$AA$61)</f>
        <v>0</v>
      </c>
      <c r="AL61" s="297">
        <f t="shared" si="112"/>
        <v>0</v>
      </c>
      <c r="AM61" s="54"/>
      <c r="AN61" s="86">
        <f>SUMIF('UC MINI 2026'!$B$5:$B$61,'UC MINI 2026 MINI NEXT'!$B61,'UC MINI 2026'!$AC$5:$AC$61)</f>
        <v>0</v>
      </c>
      <c r="AO61" s="243">
        <f t="shared" si="130"/>
        <v>0</v>
      </c>
      <c r="AP61" s="67">
        <f t="shared" si="139"/>
        <v>35</v>
      </c>
      <c r="AQ61" s="68">
        <f t="shared" si="139"/>
        <v>22</v>
      </c>
      <c r="AR61" s="149">
        <f t="shared" si="131"/>
        <v>0.62857142857142856</v>
      </c>
      <c r="AS61" s="67">
        <f t="shared" si="132"/>
        <v>35</v>
      </c>
      <c r="AT61" s="86">
        <f t="shared" si="16"/>
        <v>22</v>
      </c>
      <c r="AU61" s="149">
        <f t="shared" si="25"/>
        <v>0.62857142857142856</v>
      </c>
      <c r="AV61" s="54">
        <f t="shared" si="133"/>
        <v>17</v>
      </c>
      <c r="AW61" s="86">
        <f t="shared" si="133"/>
        <v>10</v>
      </c>
      <c r="AX61" s="109">
        <f t="shared" si="134"/>
        <v>0.58823529411764708</v>
      </c>
      <c r="AY61" s="68">
        <f>IFERROR(IF($AV$5="Q1",#REF!+#REF!+#REF!,
IF($AV$5="Q2",#REF!+#REF!++#REF!,
IF($AV$5="Q3",#REF!+#REF!+#REF!,
IF($AV$5="Q4",#REF!+#REF!+#REF!,0)))),0)</f>
        <v>0</v>
      </c>
      <c r="AZ61" s="297">
        <f t="shared" si="135"/>
        <v>0</v>
      </c>
      <c r="BA61" s="350">
        <f>IFERROR(IF($AV$5="Q1",#REF!+#REF!+#REF!,
IF($AV$5="Q2",#REF!+#REF!+#REF!,
IF($AV$5="Q3",#REF!+#REF!+#REF!,
IF($AV$5="Q4",#REF!+#REF!+#REF!,0)))),0)</f>
        <v>0</v>
      </c>
      <c r="BB61" s="150">
        <f t="shared" si="136"/>
        <v>0</v>
      </c>
      <c r="BC61" s="67">
        <f t="shared" si="140"/>
        <v>35</v>
      </c>
      <c r="BD61" s="68">
        <f t="shared" si="140"/>
        <v>22</v>
      </c>
      <c r="BE61" s="150">
        <f t="shared" si="137"/>
        <v>0.62857142857142856</v>
      </c>
      <c r="BF61" s="67">
        <f t="shared" si="141"/>
        <v>0</v>
      </c>
      <c r="BG61" s="266">
        <f t="shared" si="141"/>
        <v>0</v>
      </c>
      <c r="BH61" s="150">
        <f t="shared" si="138"/>
        <v>0</v>
      </c>
      <c r="BI61" s="53">
        <v>1</v>
      </c>
    </row>
    <row r="62" spans="1:61" s="53" customFormat="1" ht="16" customHeight="1" x14ac:dyDescent="0.3">
      <c r="A62" s="53">
        <f>_xlfn.XLOOKUP(B62,'WHOLESALE MINI 2026'!$B$7:$B$63,'WHOLESALE MINI 2026'!$A$7:$A$63)</f>
        <v>10</v>
      </c>
      <c r="B62" s="8">
        <v>100819</v>
      </c>
      <c r="C62" s="369" t="s">
        <v>74</v>
      </c>
      <c r="D62" s="146"/>
      <c r="E62" s="379" t="s">
        <v>203</v>
      </c>
      <c r="F62" s="54">
        <v>1</v>
      </c>
      <c r="G62" s="86">
        <f>SUMIF('UC MINI 2026'!$B$5:$B$71,'UC MINI 2026 MINI NEXT'!$B62,'UC MINI 2026'!$G$5:$G$71)</f>
        <v>2</v>
      </c>
      <c r="H62" s="243">
        <f t="shared" si="124"/>
        <v>2</v>
      </c>
      <c r="I62" s="54">
        <v>5</v>
      </c>
      <c r="J62" s="86">
        <f>SUMIF('UC MINI 2026'!$B$5:$B$61,'UC MINI 2026 MINI NEXT'!$B62,'UC MINI 2026'!$I$5:$I$61)</f>
        <v>4</v>
      </c>
      <c r="K62" s="243">
        <f t="shared" si="125"/>
        <v>0.8</v>
      </c>
      <c r="L62" s="54">
        <v>9</v>
      </c>
      <c r="M62" s="86">
        <f>SUMIF('UC MINI 2026'!$B$5:$B$61,'UC MINI 2026 MINI NEXT'!$B62,'UC MINI 2026'!$K$5:$K$61)</f>
        <v>4</v>
      </c>
      <c r="N62" s="297">
        <f t="shared" si="126"/>
        <v>0.44444444444444442</v>
      </c>
      <c r="O62" s="54">
        <f>VLOOKUP(B62,'[5]% Penetración Mdo ABR26'!$B$7:$G$59,6,0)-F62-I62-L62</f>
        <v>4</v>
      </c>
      <c r="P62" s="86">
        <f>SUMIF('UC MINI 2026'!$B$5:$B$61,'UC MINI 2026 MINI NEXT'!$B62,'UC MINI 2026'!$M$5:$M$61)</f>
        <v>2</v>
      </c>
      <c r="Q62" s="243">
        <f t="shared" si="127"/>
        <v>0.5</v>
      </c>
      <c r="R62" s="21">
        <f>VLOOKUP(B62,'[6]% Penetración Mdo MAY26'!$B$7:$G$65,6,0)-F62-I62-L62-O62</f>
        <v>3</v>
      </c>
      <c r="S62" s="86">
        <f>SUMIF('UC MINI 2026'!$B$5:$B$61,'UC MINI 2026 MINI NEXT'!$B62,'UC MINI 2026'!$O$5:$O$61)</f>
        <v>4</v>
      </c>
      <c r="T62" s="297">
        <f t="shared" si="128"/>
        <v>1.3333333333333333</v>
      </c>
      <c r="U62" s="606">
        <f>VLOOKUP(B62,'[7]% Penetración Mdo JUN26'!$B$7:$J$59,6,0)-F62-I62-L62-O62-R62</f>
        <v>6</v>
      </c>
      <c r="V62" s="86">
        <f>SUMIF('UC MINI 2026'!$B$5:$B$61,'UC MINI 2026 MINI NEXT'!$B62,'UC MINI 2026'!$Q$5:$Q$61)</f>
        <v>0</v>
      </c>
      <c r="W62" s="243">
        <f t="shared" si="129"/>
        <v>0</v>
      </c>
      <c r="X62" s="54"/>
      <c r="Y62" s="86">
        <f>SUMIF('UC MINI 2026'!$B$5:$B$61,'UC MINI 2026 MINI NEXT'!$B62,'UC MINI 2026'!$S$5:$S$61)</f>
        <v>0</v>
      </c>
      <c r="Z62" s="297">
        <f t="shared" si="108"/>
        <v>0</v>
      </c>
      <c r="AA62" s="54"/>
      <c r="AB62" s="86">
        <f>SUMIF('UC MINI 2026'!$B$5:$B$61,'UC MINI 2026 MINI NEXT'!$B62,'UC MINI 2026'!$U$5:$U$61)</f>
        <v>0</v>
      </c>
      <c r="AC62" s="243">
        <f t="shared" si="109"/>
        <v>0</v>
      </c>
      <c r="AD62" s="54"/>
      <c r="AE62" s="86">
        <f>SUMIF('UC MINI 2026'!$B$5:$B$61,'UC MINI 2026 MINI NEXT'!$B62,'UC MINI 2026'!$W$5:$W$61)</f>
        <v>0</v>
      </c>
      <c r="AF62" s="297">
        <f t="shared" si="110"/>
        <v>0</v>
      </c>
      <c r="AG62" s="54"/>
      <c r="AH62" s="86">
        <f>SUMIF('UC MINI 2026'!$B$5:$B$61,'UC MINI 2026 MINI NEXT'!$B62,'UC MINI 2026'!$Y$5:$Y$61)</f>
        <v>0</v>
      </c>
      <c r="AI62" s="243">
        <f t="shared" si="111"/>
        <v>0</v>
      </c>
      <c r="AJ62" s="54"/>
      <c r="AK62" s="86">
        <f>SUMIF('UC MINI 2026'!$B$5:$B$61,'UC MINI 2026 MINI NEXT'!$B62,'UC MINI 2026'!$AA$5:$AA$61)</f>
        <v>0</v>
      </c>
      <c r="AL62" s="297">
        <f t="shared" si="112"/>
        <v>0</v>
      </c>
      <c r="AM62" s="54"/>
      <c r="AN62" s="86">
        <f>SUMIF('UC MINI 2026'!$B$5:$B$61,'UC MINI 2026 MINI NEXT'!$B62,'UC MINI 2026'!$AC$5:$AC$61)</f>
        <v>0</v>
      </c>
      <c r="AO62" s="243">
        <f t="shared" si="130"/>
        <v>0</v>
      </c>
      <c r="AP62" s="67">
        <f t="shared" si="139"/>
        <v>28</v>
      </c>
      <c r="AQ62" s="68">
        <f t="shared" si="139"/>
        <v>16</v>
      </c>
      <c r="AR62" s="149">
        <f t="shared" si="131"/>
        <v>0.5714285714285714</v>
      </c>
      <c r="AS62" s="67">
        <f t="shared" si="132"/>
        <v>28</v>
      </c>
      <c r="AT62" s="86">
        <f t="shared" si="16"/>
        <v>16</v>
      </c>
      <c r="AU62" s="149">
        <f t="shared" si="25"/>
        <v>0.5714285714285714</v>
      </c>
      <c r="AV62" s="54">
        <f t="shared" si="133"/>
        <v>15</v>
      </c>
      <c r="AW62" s="86">
        <f t="shared" si="133"/>
        <v>10</v>
      </c>
      <c r="AX62" s="109">
        <f t="shared" si="134"/>
        <v>0.66666666666666663</v>
      </c>
      <c r="AY62" s="68">
        <f>IFERROR(IF($AV$5="Q1",#REF!+#REF!+#REF!,
IF($AV$5="Q2",#REF!+#REF!++#REF!,
IF($AV$5="Q3",#REF!+#REF!+#REF!,
IF($AV$5="Q4",#REF!+#REF!+#REF!,0)))),0)</f>
        <v>0</v>
      </c>
      <c r="AZ62" s="297">
        <f t="shared" si="135"/>
        <v>0</v>
      </c>
      <c r="BA62" s="350">
        <f>IFERROR(IF($AV$5="Q1",#REF!+#REF!+#REF!,
IF($AV$5="Q2",#REF!+#REF!+#REF!,
IF($AV$5="Q3",#REF!+#REF!+#REF!,
IF($AV$5="Q4",#REF!+#REF!+#REF!,0)))),0)</f>
        <v>0</v>
      </c>
      <c r="BB62" s="150">
        <f t="shared" si="136"/>
        <v>0</v>
      </c>
      <c r="BC62" s="67">
        <f t="shared" si="140"/>
        <v>28</v>
      </c>
      <c r="BD62" s="68">
        <f t="shared" si="140"/>
        <v>16</v>
      </c>
      <c r="BE62" s="150">
        <f t="shared" si="137"/>
        <v>0.5714285714285714</v>
      </c>
      <c r="BF62" s="67">
        <f t="shared" si="141"/>
        <v>0</v>
      </c>
      <c r="BG62" s="266">
        <f t="shared" si="141"/>
        <v>0</v>
      </c>
      <c r="BH62" s="150">
        <f t="shared" si="138"/>
        <v>0</v>
      </c>
      <c r="BI62" s="53">
        <v>1</v>
      </c>
    </row>
    <row r="63" spans="1:61" s="53" customFormat="1" ht="16" customHeight="1" thickBot="1" x14ac:dyDescent="0.35">
      <c r="A63" s="53">
        <f>_xlfn.XLOOKUP(B63,'WHOLESALE MINI 2026'!$B$7:$B$63,'WHOLESALE MINI 2026'!$A$7:$A$63)</f>
        <v>10</v>
      </c>
      <c r="B63" s="36">
        <v>100881</v>
      </c>
      <c r="C63" s="375" t="s">
        <v>163</v>
      </c>
      <c r="D63" s="146"/>
      <c r="E63" s="379" t="s">
        <v>164</v>
      </c>
      <c r="F63" s="54">
        <v>10</v>
      </c>
      <c r="G63" s="86">
        <f>SUMIF('UC MINI 2026'!$B$5:$B$71,'UC MINI 2026 MINI NEXT'!$B63,'UC MINI 2026'!$G$5:$G$71)</f>
        <v>3</v>
      </c>
      <c r="H63" s="243">
        <f t="shared" si="124"/>
        <v>0.3</v>
      </c>
      <c r="I63" s="54">
        <v>15</v>
      </c>
      <c r="J63" s="86">
        <f>SUMIF('UC MINI 2026'!$B$5:$B$61,'UC MINI 2026 MINI NEXT'!$B63,'UC MINI 2026'!$I$5:$I$61)</f>
        <v>8</v>
      </c>
      <c r="K63" s="243">
        <f t="shared" si="125"/>
        <v>0.53333333333333333</v>
      </c>
      <c r="L63" s="54">
        <v>11</v>
      </c>
      <c r="M63" s="86">
        <f>SUMIF('UC MINI 2026'!$B$5:$B$61,'UC MINI 2026 MINI NEXT'!$B63,'UC MINI 2026'!$K$5:$K$61)</f>
        <v>5</v>
      </c>
      <c r="N63" s="297">
        <f t="shared" si="126"/>
        <v>0.45454545454545453</v>
      </c>
      <c r="O63" s="54">
        <f>VLOOKUP(B63,'[5]% Penetración Mdo ABR26'!$B$7:$G$59,6,0)-F63-I63-L63</f>
        <v>9</v>
      </c>
      <c r="P63" s="86">
        <f>SUMIF('UC MINI 2026'!$B$5:$B$61,'UC MINI 2026 MINI NEXT'!$B63,'UC MINI 2026'!$M$5:$M$61)</f>
        <v>10</v>
      </c>
      <c r="Q63" s="243">
        <f t="shared" si="127"/>
        <v>1.1111111111111112</v>
      </c>
      <c r="R63" s="21">
        <f>VLOOKUP(B63,'[6]% Penetración Mdo MAY26'!$B$7:$G$65,6,0)-F63-I63-L63-O63</f>
        <v>9</v>
      </c>
      <c r="S63" s="86">
        <f>SUMIF('UC MINI 2026'!$B$5:$B$61,'UC MINI 2026 MINI NEXT'!$B63,'UC MINI 2026'!$O$5:$O$61)</f>
        <v>4</v>
      </c>
      <c r="T63" s="297">
        <f t="shared" si="128"/>
        <v>0.44444444444444442</v>
      </c>
      <c r="U63" s="606">
        <f>VLOOKUP(B63,'[7]% Penetración Mdo JUN26'!$B$7:$J$59,6,0)-F63-I63-L63-O63-R63</f>
        <v>11</v>
      </c>
      <c r="V63" s="86">
        <f>SUMIF('UC MINI 2026'!$B$5:$B$61,'UC MINI 2026 MINI NEXT'!$B63,'UC MINI 2026'!$Q$5:$Q$61)</f>
        <v>9</v>
      </c>
      <c r="W63" s="243">
        <f t="shared" si="129"/>
        <v>0.81818181818181823</v>
      </c>
      <c r="X63" s="54"/>
      <c r="Y63" s="86">
        <f>SUMIF('UC MINI 2026'!$B$5:$B$61,'UC MINI 2026 MINI NEXT'!$B63,'UC MINI 2026'!$S$5:$S$61)</f>
        <v>0</v>
      </c>
      <c r="Z63" s="297">
        <f t="shared" si="108"/>
        <v>0</v>
      </c>
      <c r="AA63" s="54"/>
      <c r="AB63" s="86">
        <f>SUMIF('UC MINI 2026'!$B$5:$B$61,'UC MINI 2026 MINI NEXT'!$B63,'UC MINI 2026'!$U$5:$U$61)</f>
        <v>0</v>
      </c>
      <c r="AC63" s="243">
        <f t="shared" si="109"/>
        <v>0</v>
      </c>
      <c r="AD63" s="54"/>
      <c r="AE63" s="86">
        <f>SUMIF('UC MINI 2026'!$B$5:$B$61,'UC MINI 2026 MINI NEXT'!$B63,'UC MINI 2026'!$W$5:$W$61)</f>
        <v>0</v>
      </c>
      <c r="AF63" s="297">
        <f t="shared" si="110"/>
        <v>0</v>
      </c>
      <c r="AG63" s="54"/>
      <c r="AH63" s="86">
        <f>SUMIF('UC MINI 2026'!$B$5:$B$61,'UC MINI 2026 MINI NEXT'!$B63,'UC MINI 2026'!$Y$5:$Y$61)</f>
        <v>0</v>
      </c>
      <c r="AI63" s="243">
        <f t="shared" si="111"/>
        <v>0</v>
      </c>
      <c r="AJ63" s="54"/>
      <c r="AK63" s="86">
        <f>SUMIF('UC MINI 2026'!$B$5:$B$61,'UC MINI 2026 MINI NEXT'!$B63,'UC MINI 2026'!$AA$5:$AA$61)</f>
        <v>0</v>
      </c>
      <c r="AL63" s="297">
        <f t="shared" si="112"/>
        <v>0</v>
      </c>
      <c r="AM63" s="54"/>
      <c r="AN63" s="86">
        <f>SUMIF('UC MINI 2026'!$B$5:$B$61,'UC MINI 2026 MINI NEXT'!$B63,'UC MINI 2026'!$AC$5:$AC$61)</f>
        <v>0</v>
      </c>
      <c r="AO63" s="243">
        <f t="shared" si="130"/>
        <v>0</v>
      </c>
      <c r="AP63" s="67">
        <f t="shared" si="139"/>
        <v>65</v>
      </c>
      <c r="AQ63" s="68">
        <f t="shared" si="139"/>
        <v>39</v>
      </c>
      <c r="AR63" s="152">
        <f t="shared" si="131"/>
        <v>0.6</v>
      </c>
      <c r="AS63" s="67">
        <f t="shared" si="132"/>
        <v>65</v>
      </c>
      <c r="AT63" s="86">
        <f t="shared" si="16"/>
        <v>39</v>
      </c>
      <c r="AU63" s="152">
        <f t="shared" si="25"/>
        <v>0.6</v>
      </c>
      <c r="AV63" s="58">
        <f t="shared" si="133"/>
        <v>36</v>
      </c>
      <c r="AW63" s="59">
        <f t="shared" si="133"/>
        <v>16</v>
      </c>
      <c r="AX63" s="112">
        <f t="shared" si="134"/>
        <v>0.44444444444444442</v>
      </c>
      <c r="AY63" s="68">
        <f>IFERROR(IF($AV$5="Q1",#REF!+#REF!+#REF!,
IF($AV$5="Q2",#REF!+#REF!++#REF!,
IF($AV$5="Q3",#REF!+#REF!+#REF!,
IF($AV$5="Q4",#REF!+#REF!+#REF!,0)))),0)</f>
        <v>0</v>
      </c>
      <c r="AZ63" s="299">
        <f t="shared" si="135"/>
        <v>0</v>
      </c>
      <c r="BA63" s="350">
        <f>IFERROR(IF($AV$5="Q1",#REF!+#REF!+#REF!,
IF($AV$5="Q2",#REF!+#REF!+#REF!,
IF($AV$5="Q3",#REF!+#REF!+#REF!,
IF($AV$5="Q4",#REF!+#REF!+#REF!,0)))),0)</f>
        <v>0</v>
      </c>
      <c r="BB63" s="153">
        <f t="shared" si="136"/>
        <v>0</v>
      </c>
      <c r="BC63" s="67">
        <f t="shared" si="140"/>
        <v>65</v>
      </c>
      <c r="BD63" s="68">
        <f t="shared" si="140"/>
        <v>39</v>
      </c>
      <c r="BE63" s="153">
        <f t="shared" si="137"/>
        <v>0.6</v>
      </c>
      <c r="BF63" s="67">
        <f t="shared" si="141"/>
        <v>0</v>
      </c>
      <c r="BG63" s="266">
        <f t="shared" si="141"/>
        <v>0</v>
      </c>
      <c r="BH63" s="153">
        <f t="shared" si="138"/>
        <v>0</v>
      </c>
      <c r="BI63" s="53">
        <v>1</v>
      </c>
    </row>
    <row r="64" spans="1:61" s="53" customFormat="1" ht="16" customHeight="1" thickBot="1" x14ac:dyDescent="0.35">
      <c r="A64" s="50"/>
      <c r="B64" s="61" t="s">
        <v>99</v>
      </c>
      <c r="C64" s="62"/>
      <c r="D64" s="146"/>
      <c r="E64" s="62"/>
      <c r="F64" s="63">
        <f>SUM(F58:F63)</f>
        <v>28</v>
      </c>
      <c r="G64" s="63">
        <f>SUM(G58:G63)</f>
        <v>21</v>
      </c>
      <c r="H64" s="301">
        <f t="shared" si="124"/>
        <v>0.75</v>
      </c>
      <c r="I64" s="63">
        <f>SUM(I58:I63)</f>
        <v>43</v>
      </c>
      <c r="J64" s="63">
        <f>SUM(J58:J63)</f>
        <v>29</v>
      </c>
      <c r="K64" s="301">
        <f t="shared" si="125"/>
        <v>0.67441860465116277</v>
      </c>
      <c r="L64" s="63">
        <f>SUM(L58:L63)</f>
        <v>47</v>
      </c>
      <c r="M64" s="63">
        <f>SUM(M58:M63)</f>
        <v>24</v>
      </c>
      <c r="N64" s="301">
        <f t="shared" si="126"/>
        <v>0.51063829787234039</v>
      </c>
      <c r="O64" s="63">
        <f>SUM(O58:O63)</f>
        <v>45</v>
      </c>
      <c r="P64" s="63">
        <f>SUM(P58:P63)</f>
        <v>23</v>
      </c>
      <c r="Q64" s="301">
        <f t="shared" si="127"/>
        <v>0.51111111111111107</v>
      </c>
      <c r="R64" s="63">
        <f>SUM(R58:R63)</f>
        <v>41</v>
      </c>
      <c r="S64" s="63">
        <f>SUM(S58:S63)</f>
        <v>33</v>
      </c>
      <c r="T64" s="301">
        <f t="shared" si="128"/>
        <v>0.80487804878048785</v>
      </c>
      <c r="U64" s="63">
        <f>SUM(U58:U63)</f>
        <v>64</v>
      </c>
      <c r="V64" s="63">
        <f>SUM(V58:V63)</f>
        <v>37</v>
      </c>
      <c r="W64" s="301">
        <f t="shared" si="129"/>
        <v>0.578125</v>
      </c>
      <c r="X64" s="63">
        <f>SUM(X58:X63)</f>
        <v>0</v>
      </c>
      <c r="Y64" s="63">
        <f>SUM(Y58:Y63)</f>
        <v>0</v>
      </c>
      <c r="Z64" s="301">
        <f t="shared" si="82"/>
        <v>0</v>
      </c>
      <c r="AA64" s="63">
        <f>SUM(AA58:AA63)</f>
        <v>0</v>
      </c>
      <c r="AB64" s="63">
        <f>SUM(AB58:AB63)</f>
        <v>0</v>
      </c>
      <c r="AC64" s="301">
        <f t="shared" si="83"/>
        <v>0</v>
      </c>
      <c r="AD64" s="63">
        <f>SUM(AD58:AD63)</f>
        <v>0</v>
      </c>
      <c r="AE64" s="63">
        <f>SUM(AE58:AE63)</f>
        <v>0</v>
      </c>
      <c r="AF64" s="301">
        <f t="shared" si="84"/>
        <v>0</v>
      </c>
      <c r="AG64" s="63">
        <f>SUM(AG58:AG63)</f>
        <v>0</v>
      </c>
      <c r="AH64" s="63">
        <f>SUM(AH58:AH63)</f>
        <v>0</v>
      </c>
      <c r="AI64" s="301">
        <f t="shared" si="85"/>
        <v>0</v>
      </c>
      <c r="AJ64" s="63">
        <f>SUM(AJ58:AJ63)</f>
        <v>0</v>
      </c>
      <c r="AK64" s="63">
        <f>SUM(AK58:AK63)</f>
        <v>0</v>
      </c>
      <c r="AL64" s="301">
        <f t="shared" si="86"/>
        <v>0</v>
      </c>
      <c r="AM64" s="63">
        <f>SUM(AM58:AM63)</f>
        <v>0</v>
      </c>
      <c r="AN64" s="63">
        <f>SUM(AN58:AN63)</f>
        <v>0</v>
      </c>
      <c r="AO64" s="301">
        <f t="shared" si="130"/>
        <v>0</v>
      </c>
      <c r="AP64" s="63">
        <f>SUM(AP58:AP63)</f>
        <v>268</v>
      </c>
      <c r="AQ64" s="63">
        <f>SUM(AQ58:AQ63)</f>
        <v>167</v>
      </c>
      <c r="AR64" s="320">
        <f t="shared" si="131"/>
        <v>0.62313432835820892</v>
      </c>
      <c r="AS64" s="63">
        <f>SUM(AS58:AS63)</f>
        <v>268</v>
      </c>
      <c r="AT64" s="63">
        <f>SUM(AT58:AT63)</f>
        <v>167</v>
      </c>
      <c r="AU64" s="320">
        <f t="shared" si="25"/>
        <v>0.62313432835820892</v>
      </c>
      <c r="AV64" s="63">
        <f>SUM(AV58:AV63)</f>
        <v>118</v>
      </c>
      <c r="AW64" s="65">
        <f>SUM(AW58:AW63)</f>
        <v>74</v>
      </c>
      <c r="AX64" s="157">
        <f t="shared" si="134"/>
        <v>0.6271186440677966</v>
      </c>
      <c r="AY64" s="160">
        <f>SUM(AY58:AY63)</f>
        <v>0</v>
      </c>
      <c r="AZ64" s="159">
        <f t="shared" si="135"/>
        <v>0</v>
      </c>
      <c r="BA64" s="349" t="e">
        <f>IF($AV$5="Q1",#REF!+#REF!+#REF!,
IF($AV$5="Q2",#REF!+#REF!+#REF!,
IF($AV$5="Q3",#REF!+#REF!+#REF!,
IF($AV$5="Q4",#REF!+#REF!+#REF!,0))))</f>
        <v>#REF!</v>
      </c>
      <c r="BB64" s="333">
        <f t="shared" si="136"/>
        <v>0</v>
      </c>
      <c r="BC64" s="63">
        <f>IF($BC$5="S 1",F64+I64+L64+O64+R64+U64,
IF($BC$5="S 2",X64+AA64+AD64+AG64+AJ64+AM64,0))</f>
        <v>268</v>
      </c>
      <c r="BD64" s="65">
        <f>IF($BC$5="S 1",G64+J64+M64+P64+S64+V64,
IF($BC$5="S 2",Y64+AB64+AE64+AH64+AK64+AN64,0))</f>
        <v>167</v>
      </c>
      <c r="BE64" s="333">
        <f t="shared" si="137"/>
        <v>0.62313432835820892</v>
      </c>
      <c r="BF64" s="63">
        <f>SUM(BF58:BF63)</f>
        <v>0</v>
      </c>
      <c r="BG64" s="63">
        <f>SUM(BG58:BG63)</f>
        <v>0</v>
      </c>
      <c r="BH64" s="333">
        <f t="shared" si="138"/>
        <v>0</v>
      </c>
    </row>
    <row r="65" spans="1:60" s="53" customFormat="1" ht="16" customHeight="1" thickBot="1" x14ac:dyDescent="0.35">
      <c r="B65" s="8">
        <v>12345</v>
      </c>
      <c r="C65" s="369" t="s">
        <v>278</v>
      </c>
      <c r="D65" s="146"/>
      <c r="E65" s="381" t="s">
        <v>278</v>
      </c>
      <c r="F65" s="58"/>
      <c r="G65" s="86">
        <f>SUMIF('UC MINI 2026'!$B$5:$B$71,'UC MINI 2026 MINI NEXT'!$B65,'UC MINI 2026'!$G$5:$G$71)</f>
        <v>4</v>
      </c>
      <c r="H65" s="382">
        <f t="shared" si="124"/>
        <v>0</v>
      </c>
      <c r="I65" s="54"/>
      <c r="J65" s="86">
        <f>SUMIF('UC MINI 2026'!$B$5:$B$63,'UC MINI 2026 MINI NEXT'!$B65,'UC MINI 2026'!$I$5:$I$63)</f>
        <v>7</v>
      </c>
      <c r="K65" s="382">
        <f t="shared" si="125"/>
        <v>0</v>
      </c>
      <c r="L65" s="58"/>
      <c r="M65" s="86">
        <f>SUMIF('UC MINI 2026'!$B$5:$B$63,'UC MINI 2026 MINI NEXT'!$B65,'UC MINI 2026'!$K$5:$K$63)</f>
        <v>2</v>
      </c>
      <c r="N65" s="297">
        <f t="shared" si="126"/>
        <v>0</v>
      </c>
      <c r="O65" s="58">
        <f>SUMIF('UC MINI 2026'!$B$5:$B$71,'PENETRACION MCDO VO MINI'!$B65,'UC MINI 2026'!$L$5:$L$71)</f>
        <v>0</v>
      </c>
      <c r="P65" s="86">
        <f>SUMIF('UC MINI 2026'!$B$5:$B$65,'UC MINI 2026 MINI NEXT'!$B65,'UC MINI 2026'!$M$5:$M$65)</f>
        <v>4</v>
      </c>
      <c r="Q65" s="243">
        <f t="shared" si="127"/>
        <v>0</v>
      </c>
      <c r="R65" s="58">
        <f>SUMIF('UC MINI 2026'!$B$5:$B$71,'PENETRACION MCDO VO MINI'!$B65,'UC MINI 2026'!$N$5:$N$71)</f>
        <v>0</v>
      </c>
      <c r="S65" s="86">
        <f>SUMIF('UC MINI 2026'!$B$5:$B$63,'UC MINI 2026 MINI NEXT'!$B65,'UC MINI 2026'!$O$5:$O$63)</f>
        <v>6</v>
      </c>
      <c r="T65" s="243">
        <f t="shared" si="128"/>
        <v>0</v>
      </c>
      <c r="U65" s="58">
        <f>SUMIF('UC MINI 2026'!$B$5:$B$71,'PENETRACION MCDO VO MINI'!$B65,'UC MINI 2026'!$P$5:$P$71)</f>
        <v>0</v>
      </c>
      <c r="V65" s="86">
        <f>SUMIF('UC MINI 2026'!$B$5:$B$63,'UC MINI 2026 MINI NEXT'!$B65,'UC MINI 2026'!$Q$5:$Q$63)</f>
        <v>13</v>
      </c>
      <c r="W65" s="243">
        <f t="shared" si="129"/>
        <v>0</v>
      </c>
      <c r="X65" s="58">
        <f>SUMIF('UC MINI 2026'!$B$5:$B$71,'PENETRACION MCDO VO MINI'!$B65,'UC MINI 2026'!$R$5:$R$71)</f>
        <v>0</v>
      </c>
      <c r="Y65" s="86">
        <f>SUMIF('UC MINI 2026'!$B$5:$B$61,'UC MINI 2026 MINI NEXT'!$B65,'UC MINI 2026'!$S$5:$S$61)</f>
        <v>0</v>
      </c>
      <c r="Z65" s="297">
        <f t="shared" si="82"/>
        <v>0</v>
      </c>
      <c r="AA65" s="54"/>
      <c r="AB65" s="86">
        <f>SUMIF('UC MINI 2026'!$B$5:$B$61,'UC MINI 2026 MINI NEXT'!$B65,'UC MINI 2026'!$U$5:$U$61)</f>
        <v>0</v>
      </c>
      <c r="AC65" s="243">
        <f t="shared" si="83"/>
        <v>0</v>
      </c>
      <c r="AD65" s="54"/>
      <c r="AE65" s="86">
        <f>SUMIF('UC MINI 2026'!$B$5:$B$61,'UC MINI 2026 MINI NEXT'!$B65,'UC MINI 2026'!$W$5:$W$61)</f>
        <v>0</v>
      </c>
      <c r="AF65" s="297">
        <f t="shared" si="84"/>
        <v>0</v>
      </c>
      <c r="AG65" s="54"/>
      <c r="AH65" s="86">
        <f>SUMIF('UC MINI 2026'!$B$5:$B$61,'UC MINI 2026 MINI NEXT'!$B65,'UC MINI 2026'!$Y$5:$Y$61)</f>
        <v>0</v>
      </c>
      <c r="AI65" s="243">
        <f t="shared" si="85"/>
        <v>0</v>
      </c>
      <c r="AJ65" s="54"/>
      <c r="AK65" s="86">
        <f>SUMIF('UC MINI 2026'!$B$5:$B$61,'UC MINI 2026 MINI NEXT'!$B65,'UC MINI 2026'!$AA$5:$AA$61)</f>
        <v>0</v>
      </c>
      <c r="AL65" s="297">
        <f t="shared" si="86"/>
        <v>0</v>
      </c>
      <c r="AM65" s="54"/>
      <c r="AN65" s="86">
        <f>SUMIF('UC MINI 2026'!$B$5:$B$61,'UC MINI 2026 MINI NEXT'!$B65,'UC MINI 2026'!$AC$5:$AC$61)</f>
        <v>0</v>
      </c>
      <c r="AO65" s="243">
        <f t="shared" si="130"/>
        <v>0</v>
      </c>
      <c r="AP65" s="67">
        <f>IFERROR(IF($AP$4="ENERO",F65,IF($AP$4="FEBRERO",F65+I65,IF($AP$4="MARZO",F65+I65+L65,IF($AP$4="ABRIL",F65+I65+L65+O65,IF($AP$4="MAYO",F65+I65+L65+O65+R65,IF($AP$4="JUNIO",F65+I65+L65+O65+R65+U65,IF($AP$4="JULIO",F65+I65+L65+O65+R65+U65+X65,IF($AP$4="AGOSTO",F65+I65+L65+O65+R65+U65+X65+AA65,IF($AP$4="SEPTIEMBRE",F65+I65+L65+O65+R65+U65+X65+AA65+AD65,IF($AP$4="OCTUBRE",F65+I65+L65+O65+R65+U65+X65+AA65+AD65+AG65,IF($AP$4="NOVIEMBRE",F65+I65+L65+O65+R65+U65+X65+AA65+AD65+AG65+AJ65,IF($AP$4="DICIEMBRE",F65+I65+L65+O65+R65+U65+X65+AA65+AD65+AG65+AJ65+AM65,"")))))))))))),0)</f>
        <v>0</v>
      </c>
      <c r="AQ65" s="68">
        <f>IFERROR(IF($AP$4="ENERO",G65,IF($AP$4="FEBRERO",G65+J65,IF($AP$4="MARZO",G65+J65+M65,IF($AP$4="ABRIL",G65+J65+M65+P65,IF($AP$4="MAYO",G65+J65+M65+P65+S65,IF($AP$4="JUNIO",G65+J65+M65+P65+S65+V65,IF($AP$4="JULIO",G65+J65+M65+P65+S65+V65+Y65,IF($AP$4="AGOSTO",G65+J65+M65+P65+S65+V65+Y65+AB65,IF($AP$4="SEPTIEMBRE",G65+J65+M65+P65+S65+V65+Y65+AB65+AE65,IF($AP$4="OCTUBRE",G65+J65+M65+P65+S65+V65+Y65+AB65+AE65+AH65,IF($AP$4="NOVIEMBRE",G65+J65+M65+P65+S65+V65+Y65+AB65+AE65+AH65+AK65,IF($AP$4="DICIEMBRE",G65+J65+M65+P65+S65+V65+Y65+AB65+AE65+AH65+AK65+AN65,"")))))))))))),0)</f>
        <v>36</v>
      </c>
      <c r="AR65" s="149">
        <f t="shared" si="131"/>
        <v>0</v>
      </c>
      <c r="AS65" s="67">
        <f>IFERROR(F65+I65+L65+O65+R65+U65++X65+AA65+AD65+AG65+AJ65+AM65,0)</f>
        <v>0</v>
      </c>
      <c r="AT65" s="86">
        <f>IFERROR(G65+J65+M65+P65+S65+V65++Y65+AB65+AE65+AH65+AK65+AN65,0)</f>
        <v>36</v>
      </c>
      <c r="AU65" s="149">
        <f t="shared" si="25"/>
        <v>0</v>
      </c>
      <c r="AV65" s="58"/>
      <c r="AW65" s="59"/>
      <c r="AX65" s="112"/>
      <c r="AY65" s="191"/>
      <c r="AZ65" s="299"/>
      <c r="BA65" s="545"/>
      <c r="BB65" s="153"/>
      <c r="BC65" s="67">
        <f>IFERROR(IF($BC$5="S 1",F65+I65+L65+O65+R65+U65,
IF($BC$5="S 2",X65+AA65+AD65+AG65+AJ65+AM65,0)),0)</f>
        <v>0</v>
      </c>
      <c r="BD65" s="68">
        <f>IFERROR(IF($BC$5="S 1",G65+J65+M65+P65+S65+V65,
IF($BC$5="S 2",Y65+AB65+AE65+AH65+AK65+AN65,0)),0)</f>
        <v>36</v>
      </c>
      <c r="BE65" s="150">
        <f t="shared" si="137"/>
        <v>0</v>
      </c>
      <c r="BF65" s="67">
        <f>IFERROR(IF($BF$5="S 1",F65+I65+L65+O65+R65+U65,
IF($BF$5="S 2",X65+AA65+AD65+AG65+AJ65+AM65,0)),0)</f>
        <v>0</v>
      </c>
      <c r="BG65" s="266">
        <f>IFERROR(IF($BF$5="S 1",G65+J65+M65+P65+S65+V65,
IF($BF$5="S 2",Y65+AB65+AE65+AH65+AK65+AN65,0)),0)</f>
        <v>0</v>
      </c>
      <c r="BH65" s="150">
        <f t="shared" si="138"/>
        <v>0</v>
      </c>
    </row>
    <row r="66" spans="1:60" s="53" customFormat="1" ht="16" customHeight="1" thickBot="1" x14ac:dyDescent="0.35">
      <c r="A66" s="50"/>
      <c r="B66" s="71" t="s">
        <v>27</v>
      </c>
      <c r="C66" s="72"/>
      <c r="D66" s="146"/>
      <c r="E66" s="72"/>
      <c r="F66" s="195">
        <f>F65+F64+F57+F51+F45+F42+F36+F30+F23+F17+F11</f>
        <v>580</v>
      </c>
      <c r="G66" s="195">
        <f>G65+G64+G57+G51+G45+G42+G36+G30+G23+G17+G11</f>
        <v>255</v>
      </c>
      <c r="H66" s="421">
        <f t="shared" si="124"/>
        <v>0.43965517241379309</v>
      </c>
      <c r="I66" s="195">
        <f>I65+I64+I57+I51+I45+I42+I36+I30+I23+I17+I11</f>
        <v>624</v>
      </c>
      <c r="J66" s="195">
        <f>J65+J64+J57+J51+J45+J42+J36+J30+J23+J17+J11</f>
        <v>287</v>
      </c>
      <c r="K66" s="421">
        <f t="shared" si="125"/>
        <v>0.45993589743589741</v>
      </c>
      <c r="L66" s="195">
        <f>L65+L64+L57+L51+L45+L42+L36+L30+L23+L17+L11</f>
        <v>677</v>
      </c>
      <c r="M66" s="195">
        <f>M65+M64+M57+M51+M45+M42+M36+M30+M23+M17+M11</f>
        <v>346</v>
      </c>
      <c r="N66" s="421">
        <f t="shared" si="126"/>
        <v>0.51107828655834564</v>
      </c>
      <c r="O66" s="195">
        <f>O65+O64+O57+O51+O45+O42+O36+O30+O23+O17+O11</f>
        <v>616</v>
      </c>
      <c r="P66" s="195">
        <f>P65+P64+P57+P51+P45+P42+P36+P30+P23+P17+P11</f>
        <v>335</v>
      </c>
      <c r="Q66" s="421">
        <f t="shared" si="127"/>
        <v>0.54383116883116878</v>
      </c>
      <c r="R66" s="195">
        <f>R65+R64+R57+R51+R45+R42+R36+R30+R23+R17+R11</f>
        <v>639</v>
      </c>
      <c r="S66" s="195">
        <f>S65+S64+S57+S51+S45+S42+S36+S30+S23+S17+S11</f>
        <v>369</v>
      </c>
      <c r="T66" s="421">
        <f t="shared" si="128"/>
        <v>0.57746478873239437</v>
      </c>
      <c r="U66" s="195">
        <f>U65+U64+U57+U51+U45+U42+U36+U30+U23+U17+U11</f>
        <v>691</v>
      </c>
      <c r="V66" s="195">
        <f>V65+V64+V57+V51+V45+V42+V36+V30+V23+V17+V11</f>
        <v>450</v>
      </c>
      <c r="W66" s="421">
        <f t="shared" si="129"/>
        <v>0.65123010130246017</v>
      </c>
      <c r="X66" s="195">
        <f>X65+X64+X57+X51+X45+X42+X36+X30+X23+X17+X11</f>
        <v>0</v>
      </c>
      <c r="Y66" s="195">
        <f>Y65+Y64+Y57+Y51+Y45+Y42+Y36+Y30+Y23+Y17+Y11</f>
        <v>0</v>
      </c>
      <c r="Z66" s="421">
        <f>IFERROR(Y66/X66,0)</f>
        <v>0</v>
      </c>
      <c r="AA66" s="195">
        <f>AA65+AA64+AA57+AA51+AA45+AA42+AA36+AA30+AA23+AA17+AA11</f>
        <v>0</v>
      </c>
      <c r="AB66" s="195">
        <f>AB65+AB64+AB57+AB51+AB45+AB42+AB36+AB30+AB23+AB17+AB11</f>
        <v>0</v>
      </c>
      <c r="AC66" s="421">
        <f>IFERROR(AB66/AA66,0)</f>
        <v>0</v>
      </c>
      <c r="AD66" s="195">
        <f>AD65+AD64+AD57+AD51+AD45+AD42+AD36+AD30+AD23+AD17+AD11</f>
        <v>0</v>
      </c>
      <c r="AE66" s="195">
        <f>AE65+AE64+AE57+AE51+AE45+AE42+AE36+AE30+AE23+AE17+AE11</f>
        <v>0</v>
      </c>
      <c r="AF66" s="421">
        <f>IFERROR(AE66/AD66,0)</f>
        <v>0</v>
      </c>
      <c r="AG66" s="195">
        <f>AG65+AG64+AG57+AG51+AG45+AG42+AG36+AG30+AG23+AG17+AG11</f>
        <v>0</v>
      </c>
      <c r="AH66" s="195">
        <f>AH65+AH64+AH57+AH51+AH45+AH42+AH36+AH30+AH23+AH17+AH11</f>
        <v>0</v>
      </c>
      <c r="AI66" s="421">
        <f>IFERROR(AH66/AG66,0)</f>
        <v>0</v>
      </c>
      <c r="AJ66" s="195">
        <f>AJ65+AJ64+AJ57+AJ51+AJ45+AJ42+AJ36+AJ30+AJ23+AJ17+AJ11</f>
        <v>0</v>
      </c>
      <c r="AK66" s="195">
        <f>AK65+AK64+AK57+AK51+AK45+AK42+AK36+AK30+AK23+AK17+AK11</f>
        <v>0</v>
      </c>
      <c r="AL66" s="421">
        <f>IFERROR(AK66/AJ66,0)</f>
        <v>0</v>
      </c>
      <c r="AM66" s="195">
        <f>AM65+AM64+AM57+AM51+AM45+AM42+AM36+AM30+AM23+AM17+AM11</f>
        <v>0</v>
      </c>
      <c r="AN66" s="195">
        <f>AN65+AN64+AN57+AN51+AN45+AN42+AN36+AN30+AN23+AN17+AN11</f>
        <v>0</v>
      </c>
      <c r="AO66" s="421">
        <f t="shared" si="130"/>
        <v>0</v>
      </c>
      <c r="AP66" s="195">
        <f>AP65+AP64+AP57+AP51+AP45+AP42+AP36+AP30+AP23+AP17+AP11</f>
        <v>3820</v>
      </c>
      <c r="AQ66" s="195">
        <f>AQ65+AQ64+AQ57+AQ51+AQ45+AQ42+AQ36+AQ30+AQ23+AQ17+AQ11</f>
        <v>2042</v>
      </c>
      <c r="AR66" s="421">
        <f>IFERROR(AQ66/AP66,0)</f>
        <v>0.53455497382198958</v>
      </c>
      <c r="AS66" s="195">
        <f>AS65+AS64+AS57+AS51+AS45+AS42+AS36+AS30+AS23+AS17+AS11</f>
        <v>3820</v>
      </c>
      <c r="AT66" s="195">
        <f>AT65+AT64+AT57+AT51+AT45+AT42+AT36+AT30+AT23+AT17+AT11</f>
        <v>2042</v>
      </c>
      <c r="AU66" s="421">
        <f>IFERROR(AT66/AS66,0)</f>
        <v>0.53455497382198958</v>
      </c>
      <c r="AV66" s="195" t="e">
        <f>AV64+#REF!+AV57+AV42+AV36+AV23</f>
        <v>#REF!</v>
      </c>
      <c r="AW66" s="196" t="e">
        <f>AW64+#REF!+AW57+AW42+AW36+AW23</f>
        <v>#REF!</v>
      </c>
      <c r="AX66" s="548">
        <f>IFERROR((AW66/AV66),0)</f>
        <v>0</v>
      </c>
      <c r="AY66" s="549" t="e">
        <f>AY64+#REF!+AY57+AY42+AY36+AY23</f>
        <v>#REF!</v>
      </c>
      <c r="AZ66" s="548" t="e">
        <f t="shared" si="135"/>
        <v>#REF!</v>
      </c>
      <c r="BA66" s="550" t="e">
        <f>IF($AV$5="Q1",#REF!+#REF!+#REF!,
IF($AV$5="Q2",#REF!+#REF!+#REF!,
IF($AV$5="Q3",#REF!+#REF!+#REF!,
IF($AV$5="Q4",#REF!+#REF!+#REF!,0))))</f>
        <v>#REF!</v>
      </c>
      <c r="BB66" s="429">
        <f>IFERROR((BA66/AV66),0)</f>
        <v>0</v>
      </c>
      <c r="BC66" s="195">
        <f>BC65+BC64+BC57+BC51+BC45+BC42+BC36+BC30+BC23+BC17+BC11</f>
        <v>3827</v>
      </c>
      <c r="BD66" s="195">
        <f>BD65+BD64+BD57+BD51+BD45+BD42+BD36+BD30+BD23+BD17+BD11</f>
        <v>2042</v>
      </c>
      <c r="BE66" s="421">
        <f>IFERROR(BD66/BC66,0)</f>
        <v>0.53357721452835116</v>
      </c>
      <c r="BF66" s="195">
        <f>BF65+BF64+BF57+BF51+BF45+BF42+BF36+BF30+BF23+BF17+BF11</f>
        <v>0</v>
      </c>
      <c r="BG66" s="195">
        <f>BG65+BG64+BG57+BG51+BG45+BG42+BG36+BG30+BG23+BG17+BG11</f>
        <v>0</v>
      </c>
      <c r="BH66" s="421">
        <f>IFERROR(BG66/BF66,0)</f>
        <v>0</v>
      </c>
    </row>
    <row r="67" spans="1:60" s="53" customFormat="1" x14ac:dyDescent="0.3">
      <c r="B67" s="74"/>
      <c r="D67" s="146"/>
      <c r="G67" s="75"/>
      <c r="H67" s="75"/>
      <c r="AY67" s="44"/>
    </row>
    <row r="73" spans="1:60" ht="15" thickBot="1" x14ac:dyDescent="0.4">
      <c r="P73"/>
      <c r="Q73"/>
      <c r="R73"/>
      <c r="S73" s="2"/>
      <c r="T73" s="2"/>
      <c r="U73" s="2"/>
      <c r="V73" s="2"/>
      <c r="W73" s="2"/>
      <c r="X73" s="2"/>
      <c r="Y73" s="2"/>
    </row>
    <row r="74" spans="1:60" ht="14.5" x14ac:dyDescent="0.35">
      <c r="P74"/>
      <c r="Q74" s="618" t="s">
        <v>211</v>
      </c>
      <c r="R74" s="620"/>
      <c r="S74" s="174"/>
      <c r="T74" s="174"/>
      <c r="U74" s="174"/>
      <c r="V74" s="356"/>
      <c r="W74" s="356"/>
      <c r="X74" s="357"/>
      <c r="Y74" s="2"/>
    </row>
    <row r="75" spans="1:60" ht="15" thickBot="1" x14ac:dyDescent="0.4">
      <c r="P75"/>
      <c r="Q75" s="621"/>
      <c r="R75" s="623"/>
      <c r="S75"/>
      <c r="T75"/>
      <c r="U75"/>
      <c r="V75" s="2"/>
      <c r="W75" s="2"/>
      <c r="X75" s="358"/>
      <c r="Y75" s="2"/>
    </row>
    <row r="76" spans="1:60" ht="14.5" customHeight="1" x14ac:dyDescent="0.35">
      <c r="P76"/>
      <c r="Q76" s="359"/>
      <c r="R76"/>
      <c r="S76"/>
      <c r="T76"/>
      <c r="U76" t="str">
        <f>CONCATENATE("2 - Cierre ventas YTD_",
CHOOSE(MATCH(AP4,{"Enero";"Febrero";"Marzo";"Abril";"Mayo";"Junio";"Julio";"Agosto";"Septiembre";"Octubre";"Noviembre";"Diciembre"},0),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V76" s="2"/>
      <c r="W76" s="2"/>
      <c r="X76" s="358"/>
      <c r="Y76" s="2"/>
    </row>
    <row r="77" spans="1:60" ht="14.5" x14ac:dyDescent="0.35">
      <c r="P77" s="354"/>
      <c r="Q77" s="359" t="s">
        <v>175</v>
      </c>
      <c r="R77" t="str">
        <f>U76</f>
        <v>2 - Cierre ventas YTD_JUN_2026.xlsx</v>
      </c>
      <c r="S77"/>
      <c r="T77">
        <v>2025</v>
      </c>
      <c r="U77" s="360" t="str">
        <f>HYPERLINK(
    "O:\USED CAR &amp; REMARKETING\03-VO\2025\Informe Seguimiento Concesionarios 2025\ESPANHA\"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&amp;R77,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V77" s="2"/>
      <c r="W77" s="2"/>
      <c r="X77" s="358"/>
      <c r="Y77" s="2"/>
    </row>
    <row r="78" spans="1:60" ht="14.5" x14ac:dyDescent="0.35">
      <c r="P78" s="354"/>
      <c r="Q78" s="359" t="s">
        <v>176</v>
      </c>
      <c r="R78" t="s">
        <v>205</v>
      </c>
      <c r="S78"/>
      <c r="T78">
        <v>2026</v>
      </c>
      <c r="U78" s="360" t="str">
        <f>HYPERLINK(
    "O:\USED CAR &amp; REMARKETING\03-VO\2026\Informe Seguimiento Concesionarios 2026\ESPAÑA\"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&amp;R77,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V78" s="2"/>
      <c r="W78" s="2"/>
      <c r="X78" s="358"/>
      <c r="Y78" s="2"/>
    </row>
    <row r="79" spans="1:60" ht="14.5" x14ac:dyDescent="0.35">
      <c r="P79"/>
      <c r="Q79" s="361" t="s">
        <v>177</v>
      </c>
      <c r="R79" t="s">
        <v>212</v>
      </c>
      <c r="S79"/>
      <c r="T79"/>
      <c r="U79"/>
      <c r="V79" s="2"/>
      <c r="W79" s="2"/>
      <c r="X79" s="358"/>
      <c r="Y79" s="2"/>
    </row>
    <row r="80" spans="1:60" ht="14.5" x14ac:dyDescent="0.35">
      <c r="P80" s="2"/>
      <c r="Q80" s="361"/>
      <c r="R80"/>
      <c r="S80"/>
      <c r="T80" s="376"/>
      <c r="U80"/>
      <c r="V80" s="2"/>
      <c r="W80" s="2"/>
      <c r="X80" s="358"/>
      <c r="Y80" s="2"/>
    </row>
    <row r="81" spans="16:25" ht="14.5" x14ac:dyDescent="0.35">
      <c r="P81" s="2"/>
      <c r="Q81" s="359"/>
      <c r="R81" s="2" t="str">
        <f>CONCATENATE("'[", R77, "]", R78, "'",R79)</f>
        <v>'[2 - Cierre ventas YTD_JUN_2026.xlsx]BEV'!$P$9:$U$65</v>
      </c>
      <c r="S81"/>
      <c r="T81"/>
      <c r="U81"/>
      <c r="V81" s="2"/>
      <c r="W81" s="2"/>
      <c r="X81" s="358"/>
      <c r="Y81" s="2"/>
    </row>
    <row r="82" spans="16:25" ht="13.5" thickBot="1" x14ac:dyDescent="0.35">
      <c r="P82" s="2"/>
      <c r="Q82" s="362"/>
      <c r="R82" s="363"/>
      <c r="S82" s="363"/>
      <c r="T82" s="363"/>
      <c r="U82" s="363"/>
      <c r="V82" s="363"/>
      <c r="W82" s="363"/>
      <c r="X82" s="364"/>
      <c r="Y82" s="2"/>
    </row>
    <row r="83" spans="16:25" x14ac:dyDescent="0.3"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6:25" x14ac:dyDescent="0.3">
      <c r="P84" s="2" t="s">
        <v>205</v>
      </c>
      <c r="Q84" s="2"/>
      <c r="R84" s="2" t="s">
        <v>216</v>
      </c>
      <c r="S84" s="2"/>
      <c r="T84" s="2"/>
      <c r="U84" s="2"/>
      <c r="V84" s="2"/>
      <c r="W84" s="2"/>
      <c r="X84" s="2"/>
      <c r="Y84" s="2"/>
    </row>
    <row r="85" spans="16:25" x14ac:dyDescent="0.3"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6:25" x14ac:dyDescent="0.3">
      <c r="P86" s="44" t="s">
        <v>217</v>
      </c>
      <c r="R86" s="2" t="s">
        <v>218</v>
      </c>
    </row>
  </sheetData>
  <mergeCells count="24">
    <mergeCell ref="AA5:AC5"/>
    <mergeCell ref="AD5:AF5"/>
    <mergeCell ref="Q74:R75"/>
    <mergeCell ref="AP5:AR5"/>
    <mergeCell ref="BL8:BP9"/>
    <mergeCell ref="BL32:BP32"/>
    <mergeCell ref="BF5:BH5"/>
    <mergeCell ref="AM5:AO5"/>
    <mergeCell ref="B3:BE3"/>
    <mergeCell ref="B5:B6"/>
    <mergeCell ref="C5:C6"/>
    <mergeCell ref="E5:E6"/>
    <mergeCell ref="F5:H5"/>
    <mergeCell ref="I5:K5"/>
    <mergeCell ref="L5:N5"/>
    <mergeCell ref="O5:Q5"/>
    <mergeCell ref="R5:T5"/>
    <mergeCell ref="U5:W5"/>
    <mergeCell ref="X5:Z5"/>
    <mergeCell ref="AS5:AU5"/>
    <mergeCell ref="AV5:BB5"/>
    <mergeCell ref="BC5:BE5"/>
    <mergeCell ref="AG5:AI5"/>
    <mergeCell ref="AJ5:AL5"/>
  </mergeCells>
  <conditionalFormatting sqref="B3">
    <cfRule type="duplicateValues" dxfId="98" priority="30"/>
  </conditionalFormatting>
  <conditionalFormatting sqref="B5">
    <cfRule type="duplicateValues" dxfId="97" priority="29"/>
  </conditionalFormatting>
  <conditionalFormatting sqref="B64 B57 B4 B23 B36 B42 B11 B17 B30 B45 B51 B66:B1048576">
    <cfRule type="duplicateValues" dxfId="96" priority="31"/>
  </conditionalFormatting>
  <conditionalFormatting sqref="F5:AO5">
    <cfRule type="expression" dxfId="95" priority="17">
      <formula>IF($AP$4="DICIEMBRE","VERDADERO")</formula>
    </cfRule>
  </conditionalFormatting>
  <conditionalFormatting sqref="F5:AL5">
    <cfRule type="expression" dxfId="94" priority="18">
      <formula>IF($AP$4="NOVIEMBRE","VERDADERO")</formula>
    </cfRule>
  </conditionalFormatting>
  <conditionalFormatting sqref="F5:AI5">
    <cfRule type="expression" dxfId="93" priority="19">
      <formula>IF($AP$4="OCTUBRE","VERDADERO")</formula>
    </cfRule>
  </conditionalFormatting>
  <conditionalFormatting sqref="F5:AF5">
    <cfRule type="expression" dxfId="92" priority="20">
      <formula>IF($AP$4="SEPTIEMBRE","VERDADERO")</formula>
    </cfRule>
  </conditionalFormatting>
  <conditionalFormatting sqref="F5:AC5">
    <cfRule type="expression" dxfId="91" priority="21">
      <formula>IF($AP$4="AGOSTO","VERDADERO")</formula>
    </cfRule>
  </conditionalFormatting>
  <conditionalFormatting sqref="F5:Z5">
    <cfRule type="expression" dxfId="90" priority="22">
      <formula>IF($AP$4="JULIO","VERDADERO")</formula>
    </cfRule>
  </conditionalFormatting>
  <conditionalFormatting sqref="F5:W5">
    <cfRule type="expression" dxfId="89" priority="23">
      <formula>IF($AP$4="JUNIO","VERDADERO")</formula>
    </cfRule>
  </conditionalFormatting>
  <conditionalFormatting sqref="F5:T5">
    <cfRule type="expression" dxfId="88" priority="24">
      <formula>IF($AP$4="MAYO","VERDADERO")</formula>
    </cfRule>
  </conditionalFormatting>
  <conditionalFormatting sqref="F5:Q5">
    <cfRule type="expression" dxfId="87" priority="25">
      <formula>IF($AP$4="ABRIL","VERDADERO")</formula>
    </cfRule>
  </conditionalFormatting>
  <conditionalFormatting sqref="F5:N5">
    <cfRule type="expression" dxfId="86" priority="26">
      <formula>IF($AP$4="MARZO","VERDADERO")</formula>
    </cfRule>
  </conditionalFormatting>
  <conditionalFormatting sqref="F5:K5">
    <cfRule type="expression" dxfId="85" priority="27">
      <formula>IF($AP$4="FEBRERO","VERDADERO")</formula>
    </cfRule>
  </conditionalFormatting>
  <conditionalFormatting sqref="F5">
    <cfRule type="expression" dxfId="84" priority="28">
      <formula>IF($AP$4="ENERO","VERDADERO")</formula>
    </cfRule>
  </conditionalFormatting>
  <conditionalFormatting sqref="AX7:AX65">
    <cfRule type="cellIs" dxfId="83" priority="8" operator="greaterThanOrEqual">
      <formula>0.05</formula>
    </cfRule>
    <cfRule type="cellIs" dxfId="82" priority="9" operator="lessThan">
      <formula>0.05</formula>
    </cfRule>
  </conditionalFormatting>
  <conditionalFormatting sqref="AZ7:AZ65">
    <cfRule type="containsText" dxfId="81" priority="10" operator="containsText" text="N D">
      <formula>NOT(ISERROR(SEARCH("N D",AZ7)))</formula>
    </cfRule>
    <cfRule type="cellIs" dxfId="80" priority="11" operator="lessThan">
      <formula>0.8</formula>
    </cfRule>
    <cfRule type="cellIs" dxfId="79" priority="12" operator="greaterThanOrEqual">
      <formula>0.8</formula>
    </cfRule>
  </conditionalFormatting>
  <conditionalFormatting sqref="BB7:BB65">
    <cfRule type="cellIs" dxfId="78" priority="13" operator="lessThan">
      <formula>0.15</formula>
    </cfRule>
    <cfRule type="cellIs" dxfId="77" priority="14" operator="between">
      <formula>0.15</formula>
      <formula>0.25</formula>
    </cfRule>
    <cfRule type="cellIs" dxfId="76" priority="15" operator="greaterThanOrEqual">
      <formula>0.25</formula>
    </cfRule>
  </conditionalFormatting>
  <conditionalFormatting sqref="AR7:AR65 AU7:AU65 BE7:BE65 BH7:BH65">
    <cfRule type="cellIs" dxfId="75" priority="5" operator="greaterThanOrEqual">
      <formula>0.1</formula>
    </cfRule>
    <cfRule type="cellIs" dxfId="74" priority="6" operator="between">
      <formula>0.0499</formula>
      <formula>0.099</formula>
    </cfRule>
    <cfRule type="cellIs" dxfId="73" priority="7" operator="lessThan">
      <formula>0.05</formula>
    </cfRule>
  </conditionalFormatting>
  <conditionalFormatting sqref="P73:Q73 S73:Y73 R83:R84 R86">
    <cfRule type="cellIs" dxfId="72" priority="4" operator="greaterThan">
      <formula>1</formula>
    </cfRule>
  </conditionalFormatting>
  <conditionalFormatting sqref="P73:Q73 S73:Y73 R83:R84 R86">
    <cfRule type="containsText" dxfId="71" priority="3" operator="containsText" text="N.D">
      <formula>NOT(ISERROR(SEARCH("N.D",P73)))</formula>
    </cfRule>
  </conditionalFormatting>
  <conditionalFormatting sqref="R74:R76 R82">
    <cfRule type="cellIs" dxfId="70" priority="2" operator="greaterThan">
      <formula>1</formula>
    </cfRule>
  </conditionalFormatting>
  <conditionalFormatting sqref="BM10:BM29">
    <cfRule type="duplicateValues" dxfId="69" priority="1"/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E8356945-8BC8-41B1-BCF3-51EF8F0A573C}">
            <xm:f>NOT(ISERROR(SEARCH("N.D.",AR7)))</xm:f>
            <xm:f>"N.D."</xm:f>
            <x14:dxf>
              <font>
                <b/>
                <i val="0"/>
                <color rgb="FFFF0000"/>
              </font>
              <fill>
                <patternFill patternType="none">
                  <fgColor auto="1"/>
                  <bgColor auto="1"/>
                </patternFill>
              </fill>
            </x14:dxf>
          </x14:cfRule>
          <xm:sqref>BA62:BB63 AZ62:AZ64 AZ7:BB61 AZ65:BB65 AR65 AU65 BE65 BH65 AR7:AR63 AU7:AU63 BE7:BE63 BH7:BH63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4956B4-9925-4EC5-9451-9A94B4AD4B29}">
          <x14:formula1>
            <xm:f>MAESTRO!$H$3:$H$14</xm:f>
          </x14:formula1>
          <xm:sqref>AP4</xm:sqref>
        </x14:dataValidation>
        <x14:dataValidation type="list" allowBlank="1" showInputMessage="1" showErrorMessage="1" xr:uid="{B20D3D7B-2414-4603-A987-A5EA511385AB}">
          <x14:formula1>
            <xm:f>MAESTRO!$D$3:$D$4</xm:f>
          </x14:formula1>
          <xm:sqref>BC5:BH5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CAF5-5384-4662-A334-31970217C146}">
  <sheetPr codeName="Hoja11">
    <tabColor theme="9" tint="0.39997558519241921"/>
    <pageSetUpPr fitToPage="1"/>
  </sheetPr>
  <dimension ref="A1:BQ86"/>
  <sheetViews>
    <sheetView topLeftCell="A3" workbookViewId="0">
      <selection activeCell="Y21" sqref="Y21"/>
    </sheetView>
  </sheetViews>
  <sheetFormatPr baseColWidth="10" defaultColWidth="11.453125" defaultRowHeight="13" x14ac:dyDescent="0.3"/>
  <cols>
    <col min="1" max="1" width="10.1796875" style="44" customWidth="1"/>
    <col min="2" max="2" width="10.54296875" style="78" customWidth="1"/>
    <col min="3" max="3" width="24.81640625" style="44" customWidth="1"/>
    <col min="4" max="4" width="2.1796875" style="44" customWidth="1"/>
    <col min="5" max="5" width="24" style="44" customWidth="1"/>
    <col min="6" max="6" width="6.81640625" style="44" customWidth="1"/>
    <col min="7" max="8" width="6.54296875" style="76" customWidth="1"/>
    <col min="9" max="41" width="6.54296875" style="44" customWidth="1"/>
    <col min="42" max="42" width="12" style="44" customWidth="1"/>
    <col min="43" max="47" width="10.1796875" style="44" customWidth="1"/>
    <col min="48" max="50" width="10.1796875" style="44" hidden="1" customWidth="1"/>
    <col min="51" max="51" width="11.453125" style="44" hidden="1" customWidth="1"/>
    <col min="52" max="54" width="0" style="44" hidden="1" customWidth="1"/>
    <col min="55" max="16384" width="11.453125" style="44"/>
  </cols>
  <sheetData>
    <row r="1" spans="1:69" hidden="1" x14ac:dyDescent="0.3">
      <c r="E1" s="117" t="s">
        <v>109</v>
      </c>
      <c r="F1" s="2" t="s">
        <v>0</v>
      </c>
      <c r="G1" s="2" t="s">
        <v>0</v>
      </c>
      <c r="H1" s="2"/>
      <c r="I1" s="2" t="s">
        <v>1</v>
      </c>
      <c r="J1" s="2" t="s">
        <v>1</v>
      </c>
      <c r="K1" s="2"/>
      <c r="L1" s="2" t="s">
        <v>2</v>
      </c>
      <c r="M1" s="2" t="s">
        <v>2</v>
      </c>
      <c r="N1" s="2"/>
      <c r="O1" s="2" t="s">
        <v>3</v>
      </c>
      <c r="P1" s="2" t="s">
        <v>3</v>
      </c>
      <c r="Q1" s="2"/>
      <c r="R1" s="2" t="s">
        <v>4</v>
      </c>
      <c r="S1" s="2" t="s">
        <v>4</v>
      </c>
      <c r="T1" s="2"/>
      <c r="U1" s="2" t="s">
        <v>5</v>
      </c>
      <c r="V1" s="2" t="s">
        <v>5</v>
      </c>
      <c r="W1" s="2"/>
      <c r="X1" s="2" t="s">
        <v>6</v>
      </c>
      <c r="Y1" s="2" t="s">
        <v>6</v>
      </c>
      <c r="Z1" s="2"/>
      <c r="AA1" s="2" t="s">
        <v>7</v>
      </c>
      <c r="AB1" s="2" t="s">
        <v>7</v>
      </c>
      <c r="AC1" s="2"/>
      <c r="AD1" s="2" t="s">
        <v>101</v>
      </c>
      <c r="AE1" s="2" t="s">
        <v>101</v>
      </c>
      <c r="AF1" s="2"/>
      <c r="AG1" s="2" t="s">
        <v>102</v>
      </c>
      <c r="AH1" s="2" t="s">
        <v>102</v>
      </c>
      <c r="AI1" s="2"/>
      <c r="AJ1" s="2" t="s">
        <v>103</v>
      </c>
      <c r="AK1" s="2" t="s">
        <v>103</v>
      </c>
      <c r="AL1" s="2"/>
      <c r="AM1" s="2" t="s">
        <v>104</v>
      </c>
      <c r="AN1" s="2" t="s">
        <v>104</v>
      </c>
      <c r="AO1" s="2"/>
    </row>
    <row r="2" spans="1:69" hidden="1" x14ac:dyDescent="0.3">
      <c r="E2" s="117" t="s">
        <v>108</v>
      </c>
      <c r="F2" s="140" t="str">
        <f>$AP$4</f>
        <v>JUNIO</v>
      </c>
      <c r="G2" s="140" t="str">
        <f>$AP$4</f>
        <v>JUNIO</v>
      </c>
      <c r="H2" s="140"/>
      <c r="I2" s="140" t="str">
        <f>IF($AP$4="ENERO",0,$AP$4)</f>
        <v>JUNIO</v>
      </c>
      <c r="J2" s="140" t="str">
        <f>IF($AP$4="ENERO",0,$AP$4)</f>
        <v>JUNIO</v>
      </c>
      <c r="K2" s="140"/>
      <c r="L2" s="140" t="str">
        <f>IF(OR($AP$4="ENERO",$AP$4="FEBRERO"),0,$AP$4)</f>
        <v>JUNIO</v>
      </c>
      <c r="M2" s="140" t="str">
        <f>IF(OR($AP$4="ENERO",$AP$4="FEBRERO"),0,$AP$4)</f>
        <v>JUNIO</v>
      </c>
      <c r="N2" s="140"/>
      <c r="O2" s="140" t="str">
        <f>IF(OR($AP$4="ENERO",$AP$4="FEBRERO",$AP$4="MARZO"),0,$AP$4)</f>
        <v>JUNIO</v>
      </c>
      <c r="P2" s="140" t="str">
        <f>IF(OR($AP$4="ENERO",$AP$4="FEBRERO",$AP$4="MARZO"),0,$AP$4)</f>
        <v>JUNIO</v>
      </c>
      <c r="Q2" s="140"/>
      <c r="R2" s="140" t="str">
        <f>IF(OR($AP$4="ENERO",$AP$4="FEBRERO",$AP$4="MARZO",$AP$4="ABRIL"),0,$AP$4)</f>
        <v>JUNIO</v>
      </c>
      <c r="S2" s="140" t="str">
        <f>IF(OR($AP$4="ENERO",$AP$4="FEBRERO",$AP$4="MARZO",$AP$4="ABRIL"),0,$AP$4)</f>
        <v>JUNIO</v>
      </c>
      <c r="T2" s="140"/>
      <c r="U2" s="140" t="str">
        <f>IF(OR($AP$4="ENERO",$AP$4="FEBRERO",$AP$4="MARZO",$AP$4="ABRIL",$AP$4="MAYO"),0,$AP$4)</f>
        <v>JUNIO</v>
      </c>
      <c r="V2" s="140" t="str">
        <f>IF(OR($AP$4="ENERO",$AP$4="FEBRERO",$AP$4="MARZO",$AP$4="ABRIL",$AP$4="MAYO"),0,$AP$4)</f>
        <v>JUNIO</v>
      </c>
      <c r="W2" s="140"/>
      <c r="X2" s="140">
        <f>IF(OR($AP$4="ENERO",$AP$4="FEBRERO",$AP$4="MARZO",$AP$4="ABRIL",$AP$4="MAYO",$AP$4="JUNIO"),0,$AP$4)</f>
        <v>0</v>
      </c>
      <c r="Y2" s="140">
        <f>IF(OR($AP$4="ENERO",$AP$4="FEBRERO",$AP$4="MARZO",$AP$4="ABRIL",$AP$4="MAYO",$AP$4="JUNIO"),0,$AP$4)</f>
        <v>0</v>
      </c>
      <c r="Z2" s="140"/>
      <c r="AA2" s="140">
        <f>IF(OR($AP$4="ENERO",$AP$4="FEBRERO",$AP$4="MARZO",$AP$4="ABRIL",$AP$4="MAYO",$AP$4="JUNIO",$AP$4="JULIO"),0,$AP$4)</f>
        <v>0</v>
      </c>
      <c r="AB2" s="140">
        <f>IF(OR($AP$4="ENERO",$AP$4="FEBRERO",$AP$4="MARZO",$AP$4="ABRIL",$AP$4="MAYO",$AP$4="JUNIO",$AP$4="JULIO"),0,$AP$4)</f>
        <v>0</v>
      </c>
      <c r="AC2" s="140"/>
      <c r="AD2" s="140">
        <f>IF(OR($AP$4="ENERO",$AP$4="FEBRERO",$AP$4="MARZO",$AP$4="ABRIL",$AP$4="MAYO",$AP$4="JUNIO",$AP$4="JULIO",$AP$4="AGOSTO"),0,$AP$4)</f>
        <v>0</v>
      </c>
      <c r="AE2" s="140">
        <f>IF(OR($AP$4="ENERO",$AP$4="FEBRERO",$AP$4="MARZO",$AP$4="ABRIL",$AP$4="MAYO",$AP$4="JUNIO",$AP$4="JULIO",$AP$4="AGOSTO"),0,$AP$4)</f>
        <v>0</v>
      </c>
      <c r="AF2" s="140"/>
      <c r="AG2" s="140">
        <f>IF(OR($AP$4="ENERO",$AP$4="FEBRERO",$AP$4="MARZO",$AP$4="ABRIL",$AP$4="MAYO",$AP$4="JUNIO",$AP$4="JULIO",$AP$4="AGOSTO",$AP$4="SEPTIEMBRE"),0,$AP$4)</f>
        <v>0</v>
      </c>
      <c r="AH2" s="140">
        <f>IF(OR($AP$4="ENERO",$AP$4="FEBRERO",$AP$4="MARZO",$AP$4="ABRIL",$AP$4="MAYO",$AP$4="JUNIO",$AP$4="JULIO",$AP$4="AGOSTO",$AP$4="SEPTIEMBRE"),0,$AP$4)</f>
        <v>0</v>
      </c>
      <c r="AI2" s="140"/>
      <c r="AJ2" s="140">
        <f>IF(OR($AP$4="ENERO",$AP$4="FEBRERO",$AP$4="MARZO",$AP$4="ABRIL",$AP$4="MAYO",$AP$4="JUNIO",$AP$4="JULIO",$AP$4="AGOSTO",$AP$4="SEPTIEMBRE",$AP$4="OCTUBRE"),0,$AP$4)</f>
        <v>0</v>
      </c>
      <c r="AK2" s="140">
        <f>IF(OR($AP$4="ENERO",$AP$4="FEBRERO",$AP$4="MARZO",$AP$4="ABRIL",$AP$4="MAYO",$AP$4="JUNIO",$AP$4="JULIO",$AP$4="AGOSTO",$AP$4="SEPTIEMBRE",$AP$4="OCTUBRE"),0,$AP$4)</f>
        <v>0</v>
      </c>
      <c r="AL2" s="140"/>
      <c r="AM2" s="140">
        <f>IF(OR($AP$4="ENERO",$AP$4="FEBRERO",$AP$4="MARZO",$AP$4="ABRIL",$AP$4="MAYO",$AP$4="JUNIO",$AP$4="JULIO",$AP$4="AGOSTO",$AP$4="SEPTIEMBRE",$AP$4="OCTUBRE",$AP$4="NOVIEMBRE"),0,$AP$4)</f>
        <v>0</v>
      </c>
      <c r="AN2" s="140">
        <f>IF(OR($AP$4="ENERO",$AP$4="FEBRERO",$AP$4="MARZO",$AP$4="ABRIL",$AP$4="MAYO",$AP$4="JUNIO",$AP$4="JULIO",$AP$4="AGOSTO",$AP$4="SEPTIEMBRE",$AP$4="OCTUBRE",$AP$4="NOVIEMBRE"),0,$AP$4)</f>
        <v>0</v>
      </c>
      <c r="AO2" s="140"/>
    </row>
    <row r="3" spans="1:69" s="42" customFormat="1" ht="18.5" thickBot="1" x14ac:dyDescent="0.35">
      <c r="A3" s="141"/>
      <c r="B3" s="747" t="s">
        <v>259</v>
      </c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  <c r="Y3" s="747"/>
      <c r="Z3" s="747"/>
      <c r="AA3" s="747"/>
      <c r="AB3" s="747"/>
      <c r="AC3" s="747"/>
      <c r="AD3" s="747"/>
      <c r="AE3" s="747"/>
      <c r="AF3" s="747"/>
      <c r="AG3" s="747"/>
      <c r="AH3" s="747"/>
      <c r="AI3" s="747"/>
      <c r="AJ3" s="747"/>
      <c r="AK3" s="747"/>
      <c r="AL3" s="747"/>
      <c r="AM3" s="747"/>
      <c r="AN3" s="747"/>
      <c r="AO3" s="747"/>
      <c r="AP3" s="747"/>
      <c r="AQ3" s="747"/>
      <c r="AR3" s="747"/>
      <c r="AS3" s="747"/>
      <c r="AT3" s="747"/>
      <c r="AU3" s="747"/>
      <c r="AV3" s="747"/>
      <c r="AW3" s="747"/>
      <c r="AX3" s="747"/>
      <c r="AY3" s="747"/>
      <c r="AZ3" s="747"/>
      <c r="BA3" s="747"/>
      <c r="BB3" s="747"/>
      <c r="BC3" s="747"/>
      <c r="BD3" s="747"/>
      <c r="BE3" s="747"/>
    </row>
    <row r="4" spans="1:69" ht="13.5" thickBot="1" x14ac:dyDescent="0.35">
      <c r="F4" s="142">
        <v>5</v>
      </c>
      <c r="G4" s="142">
        <v>3</v>
      </c>
      <c r="H4" s="142"/>
      <c r="I4" s="142">
        <f>F4+2</f>
        <v>7</v>
      </c>
      <c r="J4" s="142">
        <v>8</v>
      </c>
      <c r="K4" s="142"/>
      <c r="L4" s="142">
        <f>I4+2</f>
        <v>9</v>
      </c>
      <c r="M4" s="142">
        <v>13</v>
      </c>
      <c r="N4" s="142"/>
      <c r="O4" s="142">
        <f>L4+2</f>
        <v>11</v>
      </c>
      <c r="P4" s="142">
        <f>O4+1</f>
        <v>12</v>
      </c>
      <c r="Q4" s="142"/>
      <c r="R4" s="142">
        <f>O4+2</f>
        <v>13</v>
      </c>
      <c r="S4" s="142">
        <f>R4+1</f>
        <v>14</v>
      </c>
      <c r="T4" s="142"/>
      <c r="U4" s="142">
        <f>R4+2</f>
        <v>15</v>
      </c>
      <c r="V4" s="142">
        <f>U4+1</f>
        <v>16</v>
      </c>
      <c r="W4" s="142"/>
      <c r="X4" s="142">
        <f>U4+2</f>
        <v>17</v>
      </c>
      <c r="Y4" s="142">
        <f>X4+1</f>
        <v>18</v>
      </c>
      <c r="Z4" s="142"/>
      <c r="AA4" s="142">
        <f>X4+2</f>
        <v>19</v>
      </c>
      <c r="AB4" s="142">
        <f>AA4+1</f>
        <v>20</v>
      </c>
      <c r="AC4" s="142"/>
      <c r="AD4" s="142">
        <f>AA4+2</f>
        <v>21</v>
      </c>
      <c r="AE4" s="142">
        <f>AD4+1</f>
        <v>22</v>
      </c>
      <c r="AF4" s="142"/>
      <c r="AG4" s="142">
        <f>AD4+2</f>
        <v>23</v>
      </c>
      <c r="AH4" s="142">
        <f>AG4+1</f>
        <v>24</v>
      </c>
      <c r="AI4" s="142"/>
      <c r="AJ4" s="142">
        <f>AG4+2</f>
        <v>25</v>
      </c>
      <c r="AK4" s="142">
        <f>AJ4+1</f>
        <v>26</v>
      </c>
      <c r="AL4" s="142"/>
      <c r="AM4" s="142">
        <f>AJ4+2</f>
        <v>27</v>
      </c>
      <c r="AN4" s="142">
        <f>AM4+1</f>
        <v>28</v>
      </c>
      <c r="AO4" s="142"/>
      <c r="AP4" s="82" t="s">
        <v>5</v>
      </c>
    </row>
    <row r="5" spans="1:69" ht="15" customHeight="1" thickBot="1" x14ac:dyDescent="0.35">
      <c r="B5" s="632" t="s">
        <v>35</v>
      </c>
      <c r="C5" s="630" t="s">
        <v>36</v>
      </c>
      <c r="E5" s="748" t="s">
        <v>76</v>
      </c>
      <c r="F5" s="745" t="s">
        <v>0</v>
      </c>
      <c r="G5" s="744"/>
      <c r="H5" s="744"/>
      <c r="I5" s="745" t="s">
        <v>1</v>
      </c>
      <c r="J5" s="744"/>
      <c r="K5" s="746"/>
      <c r="L5" s="745" t="s">
        <v>2</v>
      </c>
      <c r="M5" s="744"/>
      <c r="N5" s="746"/>
      <c r="O5" s="745" t="s">
        <v>3</v>
      </c>
      <c r="P5" s="744"/>
      <c r="Q5" s="746"/>
      <c r="R5" s="745" t="s">
        <v>4</v>
      </c>
      <c r="S5" s="744"/>
      <c r="T5" s="746"/>
      <c r="U5" s="745" t="s">
        <v>5</v>
      </c>
      <c r="V5" s="744"/>
      <c r="W5" s="746"/>
      <c r="X5" s="745" t="s">
        <v>6</v>
      </c>
      <c r="Y5" s="744"/>
      <c r="Z5" s="746"/>
      <c r="AA5" s="745" t="s">
        <v>7</v>
      </c>
      <c r="AB5" s="744"/>
      <c r="AC5" s="746"/>
      <c r="AD5" s="745" t="s">
        <v>29</v>
      </c>
      <c r="AE5" s="744"/>
      <c r="AF5" s="746"/>
      <c r="AG5" s="745" t="s">
        <v>30</v>
      </c>
      <c r="AH5" s="744"/>
      <c r="AI5" s="746"/>
      <c r="AJ5" s="745" t="s">
        <v>31</v>
      </c>
      <c r="AK5" s="744"/>
      <c r="AL5" s="746"/>
      <c r="AM5" s="745" t="s">
        <v>32</v>
      </c>
      <c r="AN5" s="744"/>
      <c r="AO5" s="744"/>
      <c r="AP5" s="741" t="s">
        <v>33</v>
      </c>
      <c r="AQ5" s="742"/>
      <c r="AR5" s="743"/>
      <c r="AS5" s="741" t="s">
        <v>34</v>
      </c>
      <c r="AT5" s="742"/>
      <c r="AU5" s="742"/>
      <c r="AV5" s="741" t="s">
        <v>70</v>
      </c>
      <c r="AW5" s="742"/>
      <c r="AX5" s="742"/>
      <c r="AY5" s="742"/>
      <c r="AZ5" s="742"/>
      <c r="BA5" s="742"/>
      <c r="BB5" s="743"/>
      <c r="BC5" s="741" t="s">
        <v>171</v>
      </c>
      <c r="BD5" s="742"/>
      <c r="BE5" s="743"/>
      <c r="BF5" s="741" t="s">
        <v>172</v>
      </c>
      <c r="BG5" s="742"/>
      <c r="BH5" s="743"/>
      <c r="BK5" s="741" t="s">
        <v>33</v>
      </c>
      <c r="BL5" s="742"/>
      <c r="BM5" s="743"/>
    </row>
    <row r="6" spans="1:69" s="74" customFormat="1" ht="44.5" customHeight="1" thickBot="1" x14ac:dyDescent="0.4">
      <c r="B6" s="634"/>
      <c r="C6" s="631"/>
      <c r="D6" s="322"/>
      <c r="E6" s="749"/>
      <c r="F6" s="318" t="s">
        <v>279</v>
      </c>
      <c r="G6" s="319" t="s">
        <v>205</v>
      </c>
      <c r="H6" s="319" t="s">
        <v>206</v>
      </c>
      <c r="I6" s="318" t="s">
        <v>279</v>
      </c>
      <c r="J6" s="319" t="s">
        <v>205</v>
      </c>
      <c r="K6" s="319" t="s">
        <v>206</v>
      </c>
      <c r="L6" s="318" t="s">
        <v>279</v>
      </c>
      <c r="M6" s="319" t="s">
        <v>205</v>
      </c>
      <c r="N6" s="319" t="s">
        <v>206</v>
      </c>
      <c r="O6" s="318" t="s">
        <v>279</v>
      </c>
      <c r="P6" s="319" t="s">
        <v>205</v>
      </c>
      <c r="Q6" s="319" t="s">
        <v>206</v>
      </c>
      <c r="R6" s="318" t="s">
        <v>279</v>
      </c>
      <c r="S6" s="319" t="s">
        <v>205</v>
      </c>
      <c r="T6" s="319" t="s">
        <v>206</v>
      </c>
      <c r="U6" s="318" t="s">
        <v>279</v>
      </c>
      <c r="V6" s="319" t="s">
        <v>205</v>
      </c>
      <c r="W6" s="319" t="s">
        <v>206</v>
      </c>
      <c r="X6" s="318" t="s">
        <v>279</v>
      </c>
      <c r="Y6" s="319" t="s">
        <v>205</v>
      </c>
      <c r="Z6" s="319" t="s">
        <v>206</v>
      </c>
      <c r="AA6" s="318" t="s">
        <v>279</v>
      </c>
      <c r="AB6" s="319" t="s">
        <v>205</v>
      </c>
      <c r="AC6" s="319" t="s">
        <v>206</v>
      </c>
      <c r="AD6" s="318" t="s">
        <v>279</v>
      </c>
      <c r="AE6" s="319" t="s">
        <v>205</v>
      </c>
      <c r="AF6" s="319" t="s">
        <v>206</v>
      </c>
      <c r="AG6" s="318" t="s">
        <v>279</v>
      </c>
      <c r="AH6" s="319" t="s">
        <v>205</v>
      </c>
      <c r="AI6" s="319" t="s">
        <v>206</v>
      </c>
      <c r="AJ6" s="318" t="s">
        <v>279</v>
      </c>
      <c r="AK6" s="319" t="s">
        <v>205</v>
      </c>
      <c r="AL6" s="319" t="s">
        <v>206</v>
      </c>
      <c r="AM6" s="318" t="s">
        <v>279</v>
      </c>
      <c r="AN6" s="319" t="s">
        <v>205</v>
      </c>
      <c r="AO6" s="319" t="s">
        <v>206</v>
      </c>
      <c r="AP6" s="318" t="s">
        <v>279</v>
      </c>
      <c r="AQ6" s="319" t="s">
        <v>205</v>
      </c>
      <c r="AR6" s="319" t="s">
        <v>206</v>
      </c>
      <c r="AS6" s="318" t="s">
        <v>279</v>
      </c>
      <c r="AT6" s="319" t="s">
        <v>205</v>
      </c>
      <c r="AU6" s="319" t="s">
        <v>206</v>
      </c>
      <c r="AV6" s="328" t="s">
        <v>168</v>
      </c>
      <c r="AW6" s="329" t="s">
        <v>37</v>
      </c>
      <c r="AX6" s="330" t="s">
        <v>38</v>
      </c>
      <c r="AY6" s="331" t="s">
        <v>133</v>
      </c>
      <c r="AZ6" s="331" t="s">
        <v>134</v>
      </c>
      <c r="BA6" s="387" t="s">
        <v>173</v>
      </c>
      <c r="BB6" s="332" t="s">
        <v>169</v>
      </c>
      <c r="BC6" s="318" t="s">
        <v>279</v>
      </c>
      <c r="BD6" s="434" t="s">
        <v>205</v>
      </c>
      <c r="BE6" s="435" t="s">
        <v>206</v>
      </c>
      <c r="BF6" s="318" t="s">
        <v>279</v>
      </c>
      <c r="BG6" s="434" t="s">
        <v>205</v>
      </c>
      <c r="BH6" s="435" t="s">
        <v>206</v>
      </c>
      <c r="BK6" s="318" t="s">
        <v>207</v>
      </c>
      <c r="BL6" s="319" t="s">
        <v>205</v>
      </c>
      <c r="BM6" s="319" t="s">
        <v>206</v>
      </c>
      <c r="BP6" s="74" t="s">
        <v>250</v>
      </c>
    </row>
    <row r="7" spans="1:69" s="53" customFormat="1" ht="16" customHeight="1" x14ac:dyDescent="0.3">
      <c r="A7" s="53">
        <f>_xlfn.XLOOKUP(B7,'WHOLESALE MINI 2026'!$B$7:$B$63,'WHOLESALE MINI 2026'!$A$7:$A$63)</f>
        <v>1</v>
      </c>
      <c r="B7" s="8">
        <v>100323</v>
      </c>
      <c r="C7" s="369" t="s">
        <v>165</v>
      </c>
      <c r="D7" s="146"/>
      <c r="E7" s="309" t="s">
        <v>274</v>
      </c>
      <c r="F7" s="54">
        <f>SUMIF('UC MINI 2026'!$B$5:$B$71,'BEV MINI 2026'!$B7,'UC MINI 2026'!$F$5:$F$71)</f>
        <v>11</v>
      </c>
      <c r="G7" s="86">
        <f>IFERROR(INDEX([2]BEV!$S$10:$AF$68,
      MATCH(B7,[2]BEV!$S$10:$S$68,0),
      MATCH("ENERO",[2]BEV!$S$9:$AF$9,0)),
   0)-IF(B7=100873,
   IFERROR(VLOOKUP("ENERO",[2]BEV!$S$80:$T$93,2,0),
      0),
   0)</f>
        <v>11</v>
      </c>
      <c r="H7" s="243">
        <f t="shared" ref="H7:H23" si="0">IFERROR(G7/F7,0)</f>
        <v>1</v>
      </c>
      <c r="I7" s="54">
        <f>SUMIF('UC MINI 2026'!$B$5:$B$71,'BEV MINI 2026'!$B7,'UC MINI 2026'!$H$5:$H$71)</f>
        <v>12</v>
      </c>
      <c r="J7" s="86">
        <f>IFERROR(INDEX([2]BEV!$S$10:$AF$68,
      MATCH(B7,[2]BEV!$S$10:$S$68,0),
      MATCH("FEBRERO",[2]BEV!$S$9:$AF$9,0)),
   0)-IF(B7=100873,
   IFERROR(VLOOKUP("FEBRERO",[2]BEV!$S$80:$T$93,2,0),
      0),
   0)</f>
        <v>7</v>
      </c>
      <c r="K7" s="243">
        <f t="shared" ref="K7:K23" si="1">IFERROR(J7/I7,0)</f>
        <v>0.58333333333333337</v>
      </c>
      <c r="L7" s="54">
        <f>SUMIF('UC MINI 2026'!$B$5:$B$71,'BEV MINI 2026'!$B7,'UC MINI 2026'!$J$5:$J$71)</f>
        <v>12</v>
      </c>
      <c r="M7" s="86">
        <f>IFERROR(INDEX([2]BEV!$S$10:$AF$68,
      MATCH(B7,[2]BEV!$S$10:$S$68,0),
      MATCH("MARZO",[2]BEV!$S$9:$AF$9,0)),
   0)-IF(B7=100873,
   IFERROR(VLOOKUP("MARZO",[2]BEV!$S$80:$T$93,2,0),
      0),
   0)</f>
        <v>15</v>
      </c>
      <c r="N7" s="297">
        <f>IFERROR(M7/L7,0)</f>
        <v>1.25</v>
      </c>
      <c r="O7" s="54">
        <f>SUMIF('UC MINI 2026'!$B$5:$B$71,'BEV MINI 2026'!$B7,'UC MINI 2026'!$L$5:$L$71)</f>
        <v>11</v>
      </c>
      <c r="P7" s="86">
        <f>IFERROR(INDEX([2]BEV!$S$10:$AF$68,
      MATCH(B7,[2]BEV!$S$10:$S$68,0),
      MATCH("ABRIL",[2]BEV!$S$9:$AF$9,0)),
   0)-IF(B7=100873,
   IFERROR(VLOOKUP("ABRIL",[2]BEV!$S$80:$T$93,2,0),
      0),
   0)</f>
        <v>12</v>
      </c>
      <c r="Q7" s="243">
        <f>IFERROR(P7/O7,0)</f>
        <v>1.0909090909090908</v>
      </c>
      <c r="R7" s="54">
        <f>SUMIF('UC MINI 2026'!$B$5:$B$71,'BEV MINI 2026'!$B7,'UC MINI 2026'!$N$5:$N$71)</f>
        <v>12</v>
      </c>
      <c r="S7" s="86">
        <f>IFERROR(INDEX([2]BEV!$S$10:$AF$68,
      MATCH(B7,[2]BEV!$S$10:$S$68,0),
      MATCH("MAYO",[2]BEV!$S$9:$AF$9,0)),
   0)-IF(B7=100873,
   IFERROR(VLOOKUP("MAYO",[2]BEV!$S$80:$T$93,2,0),
      0),
   0)</f>
        <v>11</v>
      </c>
      <c r="T7" s="297">
        <f>IFERROR(S7/R7,0)</f>
        <v>0.91666666666666663</v>
      </c>
      <c r="U7" s="54">
        <f>SUMIF('UC MINI 2026'!$B$5:$B$71,'BEV MINI 2026'!$B7,'UC MINI 2026'!$P$5:$P$71)</f>
        <v>12</v>
      </c>
      <c r="V7" s="86">
        <f>IFERROR(INDEX([2]BEV!$S$10:$AF$68,
      MATCH(B7,[2]BEV!$S$10:$S$68,0),
      MATCH("JUNIO",[2]BEV!$S$9:$AF$9,0)),
   0)-IF(B7=100873,
   IFERROR(VLOOKUP("JUNIO",[2]BEV!$S$80:$T$93,2,0),
      0),
   0)</f>
        <v>19</v>
      </c>
      <c r="W7" s="243">
        <f>IFERROR(V7/U7,0)</f>
        <v>1.5833333333333333</v>
      </c>
      <c r="X7" s="54">
        <f>SUMIF('UC MINI 2026'!$B$5:$B$71,'BEV MINI 2026'!$B7,'UC MINI 2026'!$R$5:$R$71)</f>
        <v>0</v>
      </c>
      <c r="Y7" s="86">
        <f>IFERROR(INDEX([2]BEV!$S$10:$AF$68,
      MATCH(B7,[2]BEV!$S$10:$S$68,0),
      MATCH("JULIO",[2]BEV!$S$9:$AF$9,0)),
   0)-IF(B7=100873,
   IFERROR(VLOOKUP("JULIO",[2]BEV!$S$80:$T$93,2,0),
      0),
   0)</f>
        <v>0</v>
      </c>
      <c r="Z7" s="297">
        <f>IFERROR(Y7/X7,0)</f>
        <v>0</v>
      </c>
      <c r="AA7" s="54">
        <f>SUMIF('UC MINI 2026'!$B$5:$B$71,'BEV MINI 2026'!$B7,'UC MINI 2026'!$T$5:$T$71)</f>
        <v>0</v>
      </c>
      <c r="AB7" s="86">
        <f>IFERROR(INDEX([2]BEV!$S$10:$AF$68,
      MATCH(B7,[2]BEV!$S$10:$S$68,0),
      MATCH("AGOSTO",[2]BEV!$S$9:$AF$9,0)),
   0)-IF(B7=100873,
   IFERROR(VLOOKUP("AGOSTO",[2]BEV!$S$80:$T$93,2,0),
      0),
   0)</f>
        <v>0</v>
      </c>
      <c r="AC7" s="243">
        <f>IFERROR(AB7/AA7,0)</f>
        <v>0</v>
      </c>
      <c r="AD7" s="54">
        <f>SUMIF('UC MINI 2026'!$B$5:$B$71,'BEV MINI 2026'!$B7,'UC MINI 2026'!$V$5:$V$71)</f>
        <v>0</v>
      </c>
      <c r="AE7" s="86">
        <f>IFERROR(INDEX([2]BEV!$S$10:$AF$68,
      MATCH(B7,[2]BEV!$S$10:$S$68,0),
      MATCH("SEPTIEMBRE",[2]BEV!$S$9:$AF$9,0)),
   0)-IF(B7=100873,
   IFERROR(VLOOKUP("SEPTIEMBRE",[2]BEV!$S$80:$T$93,2,0),
      0),
   0)</f>
        <v>0</v>
      </c>
      <c r="AF7" s="297">
        <f>IFERROR(AE7/AD7,0)</f>
        <v>0</v>
      </c>
      <c r="AG7" s="54">
        <f>SUMIF('UC MINI 2026'!$B$5:$B$71,'BEV MINI 2026'!$B7,'UC MINI 2026'!$X$5:$X$71)</f>
        <v>0</v>
      </c>
      <c r="AH7" s="86">
        <f>IFERROR(INDEX([2]BEV!$S$10:$AF$68,
      MATCH(B7,[2]BEV!$S$10:$S$68,0),
      MATCH("OCTUBRE",[2]BEV!$S$9:$AF$9,0)),
   0)-IF(B7=100873,
   IFERROR(VLOOKUP("OCTUBRE",[2]BEV!$S$80:$T$93,2,0),
      0),
   0)</f>
        <v>0</v>
      </c>
      <c r="AI7" s="243">
        <f>IFERROR(AH7/AG7,0)</f>
        <v>0</v>
      </c>
      <c r="AJ7" s="54">
        <f>SUMIF('UC MINI 2026'!$B$5:$B$71,'BEV MINI 2026'!$B7,'UC MINI 2026'!$Z$5:$Z$71)</f>
        <v>0</v>
      </c>
      <c r="AK7" s="86">
        <f>IFERROR(INDEX([2]BEV!$S$10:$AF$68,
      MATCH(B7,[2]BEV!$S$10:$S$68,0),
      MATCH("NOVIEMBRE",[2]BEV!$S$9:$AF$9,0)),
   0)-IF(B7=100873,
   IFERROR(VLOOKUP("NOVIEMBRE",[2]BEV!$S$80:$T$93,2,0),
      0),
   0)</f>
        <v>0</v>
      </c>
      <c r="AL7" s="297">
        <f>IFERROR(AK7/AJ7,0)</f>
        <v>0</v>
      </c>
      <c r="AM7" s="54">
        <f>SUMIF('UC MINI 2026'!$B$5:$B$71,'BEV MINI 2026'!$B7,'UC MINI 2026'!$AB$5:$AB$71)</f>
        <v>0</v>
      </c>
      <c r="AN7" s="86">
        <f>IFERROR(INDEX([2]BEV!$S$10:$AF$68,
      MATCH(B7,[2]BEV!$S$10:$S$68,0),
      MATCH("DICIEMBRE",[2]BEV!$S$9:$AF$9,0)),
   0)-IF(B7=100873,
   IFERROR(VLOOKUP("DICIEMBRE",[2]BEV!$S$80:$T$93,2,0),
      0),
   0)</f>
        <v>0</v>
      </c>
      <c r="AO7" s="243">
        <f>IFERROR(AN7/AM7,0)</f>
        <v>0</v>
      </c>
      <c r="AP7" s="54">
        <f t="shared" ref="AP7:AQ10" si="2">IFERROR(IF($AP$4="ENERO",F7,IF($AP$4="FEBRERO",F7+I7,IF($AP$4="MARZO",F7+I7+L7,IF($AP$4="ABRIL",F7+I7+L7+O7,IF($AP$4="MAYO",F7+I7+L7+O7+R7,IF($AP$4="JUNIO",F7+I7+L7+O7+R7+U7,IF($AP$4="JULIO",F7+I7+L7+O7+R7+U7+X7,IF($AP$4="AGOSTO",F7+I7+L7+O7+R7+U7+X7+AA7,IF($AP$4="SEPTIEMBRE",F7+I7+L7+O7+R7+U7+X7+AA7+AD7,IF($AP$4="OCTUBRE",F7+I7+L7+O7+R7+U7+X7+AA7+AD7+AG7,IF($AP$4="NOVIEMBRE",F7+I7+L7+O7+R7+U7+X7+AA7+AD7+AG7+AJ7,IF($AP$4="DICIEMBRE",F7+I7+L7+O7+R7+U7+X7+AA7+AD7+AG7+AJ7+AM7,"")))))))))))),0)</f>
        <v>70</v>
      </c>
      <c r="AQ7" s="86">
        <f t="shared" si="2"/>
        <v>75</v>
      </c>
      <c r="AR7" s="149">
        <f t="shared" ref="AR7:AR23" si="3">IFERROR((AQ7/AP7),0)</f>
        <v>1.0714285714285714</v>
      </c>
      <c r="AS7" s="54">
        <f>IFERROR(F7+I7+L7+O7+R7+U7++X7+AA7+AD7+AG7+AJ7+AM7,0)</f>
        <v>70</v>
      </c>
      <c r="AT7" s="86">
        <f>IFERROR(G7+J7+M7+P7+S7+V7++Y7+AB7+AE7+AH7+AK7+AN7,0)</f>
        <v>75</v>
      </c>
      <c r="AU7" s="149">
        <f t="shared" ref="AU7:AU23" si="4">IFERROR((AT7/AS7),0)</f>
        <v>1.0714285714285714</v>
      </c>
      <c r="AV7" s="54">
        <f t="shared" ref="AV7:AW10" si="5">IF($AV$5="Q1",F7+I7+L7,
IF($AV$5="Q2",O7+R7++U7,
IF($AV$5="Q3",X7+AA7+AD7,
IF($AV$5="Q4",AG7+AJ7+AM7,0))))</f>
        <v>35</v>
      </c>
      <c r="AW7" s="86">
        <f t="shared" si="5"/>
        <v>33</v>
      </c>
      <c r="AX7" s="109">
        <f t="shared" ref="AX7:AX23" si="6">IFERROR((AW7/AV7),0)</f>
        <v>0.94285714285714284</v>
      </c>
      <c r="AY7" s="86">
        <f>IFERROR(IF($AV$5="Q1",#REF!+#REF!+#REF!,
IF($AV$5="Q2",#REF!+#REF!++#REF!,
IF($AV$5="Q3",#REF!+#REF!+#REF!,
IF($AV$5="Q4",#REF!+#REF!+#REF!,0)))),0)</f>
        <v>0</v>
      </c>
      <c r="AZ7" s="297">
        <f>IF(AW7=0,"N.D.",AY7/AW7)</f>
        <v>0</v>
      </c>
      <c r="BA7" s="348">
        <f>IFERROR(IF($AV$5="Q1",#REF!+#REF!+#REF!,
IF($AV$5="Q2",#REF!+#REF!+#REF!,
IF($AV$5="Q3",#REF!+#REF!+#REF!,
IF($AV$5="Q4",#REF!+#REF!+#REF!,0)))),0)</f>
        <v>0</v>
      </c>
      <c r="BB7" s="150">
        <f t="shared" ref="BB7:BB23" si="7">IFERROR((BA7/AV7),0)</f>
        <v>0</v>
      </c>
      <c r="BC7" s="54">
        <f t="shared" ref="BC7:BD10" si="8">IFERROR(IF($BC$5="S 1",F7+I7+L7+O7+R7+U7,
IF($BC$5="S 2",X7+AA7+AD7+AG7+AJ7+AM7,0)),0)</f>
        <v>70</v>
      </c>
      <c r="BD7" s="86">
        <f t="shared" si="8"/>
        <v>75</v>
      </c>
      <c r="BE7" s="150">
        <f t="shared" ref="BE7:BE23" si="9">IFERROR((BD7/BC7),0)</f>
        <v>1.0714285714285714</v>
      </c>
      <c r="BF7" s="54">
        <f t="shared" ref="BF7:BG10" si="10">IFERROR(IF($BF$5="S 1",F7+I7+L7+O7+R7+U7,
IF($BF$5="S 2",X7+AA7+AD7+AG7+AJ7+AM7,0)),0)</f>
        <v>0</v>
      </c>
      <c r="BG7" s="79">
        <f t="shared" si="10"/>
        <v>0</v>
      </c>
      <c r="BH7" s="150">
        <f t="shared" ref="BH7:BH23" si="11">IFERROR((BG7/BF7),0)</f>
        <v>0</v>
      </c>
      <c r="BI7" s="53">
        <v>1</v>
      </c>
      <c r="BM7" s="513"/>
      <c r="BP7" s="53">
        <f t="shared" ref="BP7:BP23" si="12">SUM(V7,S7,P7)</f>
        <v>42</v>
      </c>
      <c r="BQ7" s="53">
        <f t="shared" ref="BQ7:BQ23" si="13">SUM(U7,R7,O7)</f>
        <v>35</v>
      </c>
    </row>
    <row r="8" spans="1:69" s="53" customFormat="1" ht="16" customHeight="1" x14ac:dyDescent="0.3">
      <c r="A8" s="53">
        <f>_xlfn.XLOOKUP(B8,'WHOLESALE MINI 2026'!$B$7:$B$63,'WHOLESALE MINI 2026'!$A$7:$A$63)</f>
        <v>1</v>
      </c>
      <c r="B8" s="8">
        <v>100873</v>
      </c>
      <c r="C8" s="369" t="s">
        <v>166</v>
      </c>
      <c r="D8" s="146"/>
      <c r="E8" s="309" t="s">
        <v>156</v>
      </c>
      <c r="F8" s="54">
        <f>SUMIF('UC MINI 2026'!$B$5:$B$71,'BEV MINI 2026'!$B8,'UC MINI 2026'!$F$5:$F$71)</f>
        <v>12</v>
      </c>
      <c r="G8" s="86">
        <f>IFERROR(INDEX([2]BEV!$S$10:$AF$68,
      MATCH(B8,[2]BEV!$S$10:$S$68,0),
      MATCH("ENERO",[2]BEV!$S$9:$AF$9,0)),
   0)-IF(B8=100873,
   IFERROR(VLOOKUP("ENERO",[2]BEV!$S$80:$T$93,2,0),
      0),
   0)</f>
        <v>25</v>
      </c>
      <c r="H8" s="243">
        <f t="shared" si="0"/>
        <v>2.0833333333333335</v>
      </c>
      <c r="I8" s="54">
        <f>SUMIF('UC MINI 2026'!$B$5:$B$71,'BEV MINI 2026'!$B8,'UC MINI 2026'!$H$5:$H$71)</f>
        <v>12</v>
      </c>
      <c r="J8" s="86">
        <f>IFERROR(INDEX([2]BEV!$S$10:$AF$68,
      MATCH(B8,[2]BEV!$S$10:$S$68,0),
      MATCH("FEBRERO",[2]BEV!$S$9:$AF$9,0)),
   0)-IF(B8=100873,
   IFERROR(VLOOKUP("FEBRERO",[2]BEV!$S$80:$T$93,2,0),
      0),
   0)</f>
        <v>34</v>
      </c>
      <c r="K8" s="243">
        <f t="shared" si="1"/>
        <v>2.8333333333333335</v>
      </c>
      <c r="L8" s="54">
        <f>SUMIF('UC MINI 2026'!$B$5:$B$71,'BEV MINI 2026'!$B8,'UC MINI 2026'!$J$5:$J$71)</f>
        <v>13</v>
      </c>
      <c r="M8" s="86">
        <f>IFERROR(INDEX([2]BEV!$S$10:$AF$68,
      MATCH(B8,[2]BEV!$S$10:$S$68,0),
      MATCH("MARZO",[2]BEV!$S$9:$AF$9,0)),
   0)-IF(B8=100873,
   IFERROR(VLOOKUP("MARZO",[2]BEV!$S$80:$T$93,2,0),
      0),
   0)</f>
        <v>20</v>
      </c>
      <c r="N8" s="297">
        <f>IFERROR(M8/L8,0)</f>
        <v>1.5384615384615385</v>
      </c>
      <c r="O8" s="54">
        <f>SUMIF('UC MINI 2026'!$B$5:$B$71,'BEV MINI 2026'!$B8,'UC MINI 2026'!$L$5:$L$71)</f>
        <v>12</v>
      </c>
      <c r="P8" s="86">
        <f>IFERROR(INDEX([2]BEV!$S$10:$AF$68,
      MATCH(B8,[2]BEV!$S$10:$S$68,0),
      MATCH("ABRIL",[2]BEV!$S$9:$AF$9,0)),
   0)-IF(B8=100873,
   IFERROR(VLOOKUP("ABRIL",[2]BEV!$S$80:$T$93,2,0),
      0),
   0)</f>
        <v>25</v>
      </c>
      <c r="Q8" s="243">
        <f>IFERROR(P8/O8,0)</f>
        <v>2.0833333333333335</v>
      </c>
      <c r="R8" s="54">
        <f>SUMIF('UC MINI 2026'!$B$5:$B$71,'BEV MINI 2026'!$B8,'UC MINI 2026'!$N$5:$N$71)</f>
        <v>13</v>
      </c>
      <c r="S8" s="86">
        <f>IFERROR(INDEX([2]BEV!$S$10:$AF$68,
      MATCH(B8,[2]BEV!$S$10:$S$68,0),
      MATCH("MAYO",[2]BEV!$S$9:$AF$9,0)),
   0)-IF(B8=100873,
   IFERROR(VLOOKUP("MAYO",[2]BEV!$S$80:$T$93,2,0),
      0),
   0)</f>
        <v>27</v>
      </c>
      <c r="T8" s="297">
        <f>IFERROR(S8/R8,0)</f>
        <v>2.0769230769230771</v>
      </c>
      <c r="U8" s="54">
        <f>SUMIF('UC MINI 2026'!$B$5:$B$71,'BEV MINI 2026'!$B8,'UC MINI 2026'!$P$5:$P$71)</f>
        <v>13</v>
      </c>
      <c r="V8" s="86">
        <f>IFERROR(INDEX([2]BEV!$S$10:$AF$68,
      MATCH(B8,[2]BEV!$S$10:$S$68,0),
      MATCH("JUNIO",[2]BEV!$S$9:$AF$9,0)),
   0)-IF(B8=100873,
   IFERROR(VLOOKUP("JUNIO",[2]BEV!$S$80:$T$93,2,0),
      0),
   0)</f>
        <v>31</v>
      </c>
      <c r="W8" s="243">
        <f>IFERROR(V8/U8,0)</f>
        <v>2.3846153846153846</v>
      </c>
      <c r="X8" s="54">
        <f>SUMIF('UC MINI 2026'!$B$5:$B$71,'BEV MINI 2026'!$B8,'UC MINI 2026'!$R$5:$R$71)</f>
        <v>0</v>
      </c>
      <c r="Y8" s="86">
        <f>IFERROR(INDEX([2]BEV!$S$10:$AF$68,
      MATCH(B8,[2]BEV!$S$10:$S$68,0),
      MATCH("JULIO",[2]BEV!$S$9:$AF$9,0)),
   0)-IF(B8=100873,
   IFERROR(VLOOKUP("JULIO",[2]BEV!$S$80:$T$93,2,0),
      0),
   0)</f>
        <v>0</v>
      </c>
      <c r="Z8" s="297">
        <f>IFERROR(Y8/X8,0)</f>
        <v>0</v>
      </c>
      <c r="AA8" s="54">
        <f>SUMIF('UC MINI 2026'!$B$5:$B$71,'BEV MINI 2026'!$B8,'UC MINI 2026'!$T$5:$T$71)</f>
        <v>0</v>
      </c>
      <c r="AB8" s="86">
        <f>IFERROR(INDEX([2]BEV!$S$10:$AF$68,
      MATCH(B8,[2]BEV!$S$10:$S$68,0),
      MATCH("AGOSTO",[2]BEV!$S$9:$AF$9,0)),
   0)-IF(B8=100873,
   IFERROR(VLOOKUP("AGOSTO",[2]BEV!$S$80:$T$93,2,0),
      0),
   0)</f>
        <v>0</v>
      </c>
      <c r="AC8" s="243">
        <f>IFERROR(AB8/AA8,0)</f>
        <v>0</v>
      </c>
      <c r="AD8" s="54">
        <f>SUMIF('UC MINI 2026'!$B$5:$B$71,'BEV MINI 2026'!$B8,'UC MINI 2026'!$V$5:$V$71)</f>
        <v>0</v>
      </c>
      <c r="AE8" s="86">
        <f>IFERROR(INDEX([2]BEV!$S$10:$AF$68,
      MATCH(B8,[2]BEV!$S$10:$S$68,0),
      MATCH("SEPTIEMBRE",[2]BEV!$S$9:$AF$9,0)),
   0)-IF(B8=100873,
   IFERROR(VLOOKUP("SEPTIEMBRE",[2]BEV!$S$80:$T$93,2,0),
      0),
   0)</f>
        <v>0</v>
      </c>
      <c r="AF8" s="297">
        <f>IFERROR(AE8/AD8,0)</f>
        <v>0</v>
      </c>
      <c r="AG8" s="54">
        <f>SUMIF('UC MINI 2026'!$B$5:$B$71,'BEV MINI 2026'!$B8,'UC MINI 2026'!$X$5:$X$71)</f>
        <v>0</v>
      </c>
      <c r="AH8" s="86">
        <f>IFERROR(INDEX([2]BEV!$S$10:$AF$68,
      MATCH(B8,[2]BEV!$S$10:$S$68,0),
      MATCH("OCTUBRE",[2]BEV!$S$9:$AF$9,0)),
   0)-IF(B8=100873,
   IFERROR(VLOOKUP("OCTUBRE",[2]BEV!$S$80:$T$93,2,0),
      0),
   0)</f>
        <v>0</v>
      </c>
      <c r="AI8" s="243">
        <f>IFERROR(AH8/AG8,0)</f>
        <v>0</v>
      </c>
      <c r="AJ8" s="54">
        <f>SUMIF('UC MINI 2026'!$B$5:$B$71,'BEV MINI 2026'!$B8,'UC MINI 2026'!$Z$5:$Z$71)</f>
        <v>0</v>
      </c>
      <c r="AK8" s="86">
        <f>IFERROR(INDEX([2]BEV!$S$10:$AF$68,
      MATCH(B8,[2]BEV!$S$10:$S$68,0),
      MATCH("NOVIEMBRE",[2]BEV!$S$9:$AF$9,0)),
   0)-IF(B8=100873,
   IFERROR(VLOOKUP("NOVIEMBRE",[2]BEV!$S$80:$T$93,2,0),
      0),
   0)</f>
        <v>0</v>
      </c>
      <c r="AL8" s="297">
        <f>IFERROR(AK8/AJ8,0)</f>
        <v>0</v>
      </c>
      <c r="AM8" s="54">
        <f>SUMIF('UC MINI 2026'!$B$5:$B$71,'BEV MINI 2026'!$B8,'UC MINI 2026'!$AB$5:$AB$71)</f>
        <v>0</v>
      </c>
      <c r="AN8" s="86">
        <f>IFERROR(INDEX([2]BEV!$S$10:$AF$68,
      MATCH(B8,[2]BEV!$S$10:$S$68,0),
      MATCH("DICIEMBRE",[2]BEV!$S$9:$AF$9,0)),
   0)-IF(B8=100873,
   IFERROR(VLOOKUP("DICIEMBRE",[2]BEV!$S$80:$T$93,2,0),
      0),
   0)</f>
        <v>0</v>
      </c>
      <c r="AO8" s="243">
        <f>IFERROR(AN8/AM8,0)</f>
        <v>0</v>
      </c>
      <c r="AP8" s="54">
        <f t="shared" si="2"/>
        <v>75</v>
      </c>
      <c r="AQ8" s="59">
        <f t="shared" si="2"/>
        <v>162</v>
      </c>
      <c r="AR8" s="152">
        <f t="shared" si="3"/>
        <v>2.16</v>
      </c>
      <c r="AS8" s="54">
        <f>IFERROR(F8+I8+L8+O8+R8+U8++X8+AA8+AD8+AG8+AJ8+AM8,0)</f>
        <v>75</v>
      </c>
      <c r="AT8" s="59">
        <f t="shared" ref="AT8:AT63" si="14">IFERROR(G8+J8+M8+P8+S8+V8++Y8+AB8+AE8+AH8+AK8+AN8,0)</f>
        <v>162</v>
      </c>
      <c r="AU8" s="152">
        <f t="shared" si="4"/>
        <v>2.16</v>
      </c>
      <c r="AV8" s="58">
        <f t="shared" si="5"/>
        <v>37</v>
      </c>
      <c r="AW8" s="59">
        <f t="shared" si="5"/>
        <v>79</v>
      </c>
      <c r="AX8" s="112">
        <f t="shared" si="6"/>
        <v>2.1351351351351351</v>
      </c>
      <c r="AY8" s="59">
        <f>IFERROR(IF($AV$5="Q1",#REF!+#REF!+#REF!,
IF($AV$5="Q2",#REF!+#REF!++#REF!,
IF($AV$5="Q3",#REF!+#REF!+#REF!,
IF($AV$5="Q4",#REF!+#REF!+#REF!,0)))),0)</f>
        <v>0</v>
      </c>
      <c r="AZ8" s="297">
        <f>IF(AW8=0,"N.D.",AY8/AW8)</f>
        <v>0</v>
      </c>
      <c r="BA8" s="347">
        <f>IFERROR(IF($AV$5="Q1",#REF!+#REF!+#REF!,
IF($AV$5="Q2",#REF!+#REF!+#REF!,
IF($AV$5="Q3",#REF!+#REF!+#REF!,
IF($AV$5="Q4",#REF!+#REF!+#REF!,0)))),0)</f>
        <v>0</v>
      </c>
      <c r="BB8" s="153">
        <f t="shared" si="7"/>
        <v>0</v>
      </c>
      <c r="BC8" s="54">
        <f t="shared" si="8"/>
        <v>75</v>
      </c>
      <c r="BD8" s="59">
        <f t="shared" si="8"/>
        <v>162</v>
      </c>
      <c r="BE8" s="153">
        <f t="shared" si="9"/>
        <v>2.16</v>
      </c>
      <c r="BF8" s="54">
        <f t="shared" si="10"/>
        <v>0</v>
      </c>
      <c r="BG8" s="252">
        <f t="shared" si="10"/>
        <v>0</v>
      </c>
      <c r="BH8" s="153">
        <f t="shared" si="11"/>
        <v>0</v>
      </c>
      <c r="BI8" s="53">
        <v>1</v>
      </c>
      <c r="BM8" s="513"/>
      <c r="BP8" s="53">
        <f t="shared" si="12"/>
        <v>83</v>
      </c>
      <c r="BQ8" s="53">
        <f t="shared" si="13"/>
        <v>38</v>
      </c>
    </row>
    <row r="9" spans="1:69" s="53" customFormat="1" ht="16" customHeight="1" x14ac:dyDescent="0.3">
      <c r="A9" s="53">
        <f>_xlfn.XLOOKUP(B9,'WHOLESALE MINI 2026'!$B$7:$B$63,'WHOLESALE MINI 2026'!$A$7:$A$63)</f>
        <v>1</v>
      </c>
      <c r="B9" s="8">
        <v>100389</v>
      </c>
      <c r="C9" s="369" t="s">
        <v>40</v>
      </c>
      <c r="D9" s="146"/>
      <c r="E9" s="309" t="s">
        <v>275</v>
      </c>
      <c r="F9" s="54">
        <f>SUMIF('UC MINI 2026'!$B$5:$B$71,'BEV MINI 2026'!$B9,'UC MINI 2026'!$F$5:$F$71)</f>
        <v>5</v>
      </c>
      <c r="G9" s="86">
        <f>IFERROR(INDEX([2]BEV!$S$10:$AF$68,
      MATCH(B9,[2]BEV!$S$10:$S$68,0),
      MATCH("ENERO",[2]BEV!$S$9:$AF$9,0)),
   0)-IF(B9=100873,
   IFERROR(VLOOKUP("ENERO",[2]BEV!$S$80:$T$93,2,0),
      0),
   0)</f>
        <v>3</v>
      </c>
      <c r="H9" s="243">
        <f t="shared" si="0"/>
        <v>0.6</v>
      </c>
      <c r="I9" s="54">
        <f>SUMIF('UC MINI 2026'!$B$5:$B$71,'BEV MINI 2026'!$B9,'UC MINI 2026'!$H$5:$H$71)</f>
        <v>5</v>
      </c>
      <c r="J9" s="86">
        <f>IFERROR(INDEX([2]BEV!$S$10:$AF$68,
      MATCH(B9,[2]BEV!$S$10:$S$68,0),
      MATCH("FEBRERO",[2]BEV!$S$9:$AF$9,0)),
   0)-IF(B9=100873,
   IFERROR(VLOOKUP("FEBRERO",[2]BEV!$S$80:$T$93,2,0),
      0),
   0)</f>
        <v>6</v>
      </c>
      <c r="K9" s="243">
        <f t="shared" si="1"/>
        <v>1.2</v>
      </c>
      <c r="L9" s="54">
        <f>SUMIF('UC MINI 2026'!$B$5:$B$71,'BEV MINI 2026'!$B9,'UC MINI 2026'!$J$5:$J$71)</f>
        <v>5</v>
      </c>
      <c r="M9" s="86">
        <f>IFERROR(INDEX([2]BEV!$S$10:$AF$68,
      MATCH(B9,[2]BEV!$S$10:$S$68,0),
      MATCH("MARZO",[2]BEV!$S$9:$AF$9,0)),
   0)-IF(B9=100873,
   IFERROR(VLOOKUP("MARZO",[2]BEV!$S$80:$T$93,2,0),
      0),
   0)</f>
        <v>9</v>
      </c>
      <c r="N9" s="297">
        <f>IFERROR(M9/L9,0)</f>
        <v>1.8</v>
      </c>
      <c r="O9" s="54">
        <f>SUMIF('UC MINI 2026'!$B$5:$B$71,'BEV MINI 2026'!$B9,'UC MINI 2026'!$L$5:$L$71)</f>
        <v>5</v>
      </c>
      <c r="P9" s="86">
        <f>IFERROR(INDEX([2]BEV!$S$10:$AF$68,
      MATCH(B9,[2]BEV!$S$10:$S$68,0),
      MATCH("ABRIL",[2]BEV!$S$9:$AF$9,0)),
   0)-IF(B9=100873,
   IFERROR(VLOOKUP("ABRIL",[2]BEV!$S$80:$T$93,2,0),
      0),
   0)</f>
        <v>4</v>
      </c>
      <c r="Q9" s="243">
        <f>IFERROR(P9/O9,0)</f>
        <v>0.8</v>
      </c>
      <c r="R9" s="54">
        <f>SUMIF('UC MINI 2026'!$B$5:$B$71,'BEV MINI 2026'!$B9,'UC MINI 2026'!$N$5:$N$71)</f>
        <v>5</v>
      </c>
      <c r="S9" s="86">
        <f>IFERROR(INDEX([2]BEV!$S$10:$AF$68,
      MATCH(B9,[2]BEV!$S$10:$S$68,0),
      MATCH("MAYO",[2]BEV!$S$9:$AF$9,0)),
   0)-IF(B9=100873,
   IFERROR(VLOOKUP("MAYO",[2]BEV!$S$80:$T$93,2,0),
      0),
   0)</f>
        <v>5</v>
      </c>
      <c r="T9" s="297">
        <f>IFERROR(S9/R9,0)</f>
        <v>1</v>
      </c>
      <c r="U9" s="54">
        <f>SUMIF('UC MINI 2026'!$B$5:$B$71,'BEV MINI 2026'!$B9,'UC MINI 2026'!$P$5:$P$71)</f>
        <v>5</v>
      </c>
      <c r="V9" s="86">
        <f>IFERROR(INDEX([2]BEV!$S$10:$AF$68,
      MATCH(B9,[2]BEV!$S$10:$S$68,0),
      MATCH("JUNIO",[2]BEV!$S$9:$AF$9,0)),
   0)-IF(B9=100873,
   IFERROR(VLOOKUP("JUNIO",[2]BEV!$S$80:$T$93,2,0),
      0),
   0)</f>
        <v>3</v>
      </c>
      <c r="W9" s="243">
        <f>IFERROR(V9/U9,0)</f>
        <v>0.6</v>
      </c>
      <c r="X9" s="54">
        <f>SUMIF('UC MINI 2026'!$B$5:$B$71,'BEV MINI 2026'!$B9,'UC MINI 2026'!$R$5:$R$71)</f>
        <v>0</v>
      </c>
      <c r="Y9" s="86">
        <f>IFERROR(INDEX([2]BEV!$S$10:$AF$68,
      MATCH(B9,[2]BEV!$S$10:$S$68,0),
      MATCH("JULIO",[2]BEV!$S$9:$AF$9,0)),
   0)-IF(B9=100873,
   IFERROR(VLOOKUP("JULIO",[2]BEV!$S$80:$T$93,2,0),
      0),
   0)</f>
        <v>0</v>
      </c>
      <c r="Z9" s="297">
        <f>IFERROR(Y9/X9,0)</f>
        <v>0</v>
      </c>
      <c r="AA9" s="54">
        <f>SUMIF('UC MINI 2026'!$B$5:$B$71,'BEV MINI 2026'!$B9,'UC MINI 2026'!$T$5:$T$71)</f>
        <v>0</v>
      </c>
      <c r="AB9" s="86">
        <f>IFERROR(INDEX([2]BEV!$S$10:$AF$68,
      MATCH(B9,[2]BEV!$S$10:$S$68,0),
      MATCH("AGOSTO",[2]BEV!$S$9:$AF$9,0)),
   0)-IF(B9=100873,
   IFERROR(VLOOKUP("AGOSTO",[2]BEV!$S$80:$T$93,2,0),
      0),
   0)</f>
        <v>0</v>
      </c>
      <c r="AC9" s="243">
        <f>IFERROR(AB9/AA9,0)</f>
        <v>0</v>
      </c>
      <c r="AD9" s="54">
        <f>SUMIF('UC MINI 2026'!$B$5:$B$71,'BEV MINI 2026'!$B9,'UC MINI 2026'!$V$5:$V$71)</f>
        <v>0</v>
      </c>
      <c r="AE9" s="86">
        <f>IFERROR(INDEX([2]BEV!$S$10:$AF$68,
      MATCH(B9,[2]BEV!$S$10:$S$68,0),
      MATCH("SEPTIEMBRE",[2]BEV!$S$9:$AF$9,0)),
   0)-IF(B9=100873,
   IFERROR(VLOOKUP("SEPTIEMBRE",[2]BEV!$S$80:$T$93,2,0),
      0),
   0)</f>
        <v>0</v>
      </c>
      <c r="AF9" s="297">
        <f>IFERROR(AE9/AD9,0)</f>
        <v>0</v>
      </c>
      <c r="AG9" s="54">
        <f>SUMIF('UC MINI 2026'!$B$5:$B$71,'BEV MINI 2026'!$B9,'UC MINI 2026'!$X$5:$X$71)</f>
        <v>0</v>
      </c>
      <c r="AH9" s="86">
        <f>IFERROR(INDEX([2]BEV!$S$10:$AF$68,
      MATCH(B9,[2]BEV!$S$10:$S$68,0),
      MATCH("OCTUBRE",[2]BEV!$S$9:$AF$9,0)),
   0)-IF(B9=100873,
   IFERROR(VLOOKUP("OCTUBRE",[2]BEV!$S$80:$T$93,2,0),
      0),
   0)</f>
        <v>0</v>
      </c>
      <c r="AI9" s="243">
        <f>IFERROR(AH9/AG9,0)</f>
        <v>0</v>
      </c>
      <c r="AJ9" s="54">
        <f>SUMIF('UC MINI 2026'!$B$5:$B$71,'BEV MINI 2026'!$B9,'UC MINI 2026'!$Z$5:$Z$71)</f>
        <v>0</v>
      </c>
      <c r="AK9" s="86">
        <f>IFERROR(INDEX([2]BEV!$S$10:$AF$68,
      MATCH(B9,[2]BEV!$S$10:$S$68,0),
      MATCH("NOVIEMBRE",[2]BEV!$S$9:$AF$9,0)),
   0)-IF(B9=100873,
   IFERROR(VLOOKUP("NOVIEMBRE",[2]BEV!$S$80:$T$93,2,0),
      0),
   0)</f>
        <v>0</v>
      </c>
      <c r="AL9" s="297">
        <f>IFERROR(AK9/AJ9,0)</f>
        <v>0</v>
      </c>
      <c r="AM9" s="54">
        <f>SUMIF('UC MINI 2026'!$B$5:$B$71,'BEV MINI 2026'!$B9,'UC MINI 2026'!$AB$5:$AB$71)</f>
        <v>0</v>
      </c>
      <c r="AN9" s="86">
        <f>IFERROR(INDEX([2]BEV!$S$10:$AF$68,
      MATCH(B9,[2]BEV!$S$10:$S$68,0),
      MATCH("DICIEMBRE",[2]BEV!$S$9:$AF$9,0)),
   0)-IF(B9=100873,
   IFERROR(VLOOKUP("DICIEMBRE",[2]BEV!$S$80:$T$93,2,0),
      0),
   0)</f>
        <v>0</v>
      </c>
      <c r="AO9" s="243">
        <f>IFERROR(AN9/AM9,0)</f>
        <v>0</v>
      </c>
      <c r="AP9" s="54">
        <f t="shared" si="2"/>
        <v>30</v>
      </c>
      <c r="AQ9" s="86">
        <f t="shared" si="2"/>
        <v>30</v>
      </c>
      <c r="AR9" s="149">
        <f t="shared" si="3"/>
        <v>1</v>
      </c>
      <c r="AS9" s="54">
        <f>IFERROR(F9+I9+L9+O9+R9+U9++X9+AA9+AD9+AG9+AJ9+AM9,0)</f>
        <v>30</v>
      </c>
      <c r="AT9" s="86">
        <f t="shared" si="14"/>
        <v>30</v>
      </c>
      <c r="AU9" s="149">
        <f t="shared" si="4"/>
        <v>1</v>
      </c>
      <c r="AV9" s="54">
        <f t="shared" si="5"/>
        <v>15</v>
      </c>
      <c r="AW9" s="86">
        <f t="shared" si="5"/>
        <v>18</v>
      </c>
      <c r="AX9" s="109">
        <f t="shared" si="6"/>
        <v>1.2</v>
      </c>
      <c r="AY9" s="86">
        <f>IFERROR(IF($AV$5="Q1",#REF!+#REF!+#REF!,
IF($AV$5="Q2",#REF!+#REF!++#REF!,
IF($AV$5="Q3",#REF!+#REF!+#REF!,
IF($AV$5="Q4",#REF!+#REF!+#REF!,0)))),0)</f>
        <v>0</v>
      </c>
      <c r="AZ9" s="297">
        <f>IF(AW9=0,"N.D.",AY9/AW9)</f>
        <v>0</v>
      </c>
      <c r="BA9" s="348">
        <f>IFERROR(IF($AV$5="Q1",#REF!+#REF!+#REF!,
IF($AV$5="Q2",#REF!+#REF!+#REF!,
IF($AV$5="Q3",#REF!+#REF!+#REF!,
IF($AV$5="Q4",#REF!+#REF!+#REF!,0)))),0)</f>
        <v>0</v>
      </c>
      <c r="BB9" s="150">
        <f t="shared" si="7"/>
        <v>0</v>
      </c>
      <c r="BC9" s="54">
        <f t="shared" si="8"/>
        <v>30</v>
      </c>
      <c r="BD9" s="86">
        <f t="shared" si="8"/>
        <v>30</v>
      </c>
      <c r="BE9" s="150">
        <f t="shared" si="9"/>
        <v>1</v>
      </c>
      <c r="BF9" s="54">
        <f t="shared" si="10"/>
        <v>0</v>
      </c>
      <c r="BG9" s="79">
        <f t="shared" si="10"/>
        <v>0</v>
      </c>
      <c r="BH9" s="150">
        <f t="shared" si="11"/>
        <v>0</v>
      </c>
      <c r="BI9" s="53">
        <v>1</v>
      </c>
      <c r="BM9" s="513"/>
      <c r="BP9" s="53">
        <f t="shared" si="12"/>
        <v>12</v>
      </c>
      <c r="BQ9" s="53">
        <f t="shared" si="13"/>
        <v>15</v>
      </c>
    </row>
    <row r="10" spans="1:69" s="53" customFormat="1" ht="16" customHeight="1" thickBot="1" x14ac:dyDescent="0.35">
      <c r="A10" s="53">
        <f>_xlfn.XLOOKUP(B10,'WHOLESALE MINI 2026'!$B$7:$B$63,'WHOLESALE MINI 2026'!$A$7:$A$63)</f>
        <v>1</v>
      </c>
      <c r="B10" s="8">
        <v>100738</v>
      </c>
      <c r="C10" s="369" t="s">
        <v>42</v>
      </c>
      <c r="D10" s="163"/>
      <c r="E10" s="309" t="s">
        <v>89</v>
      </c>
      <c r="F10" s="54">
        <f>SUMIF('UC MINI 2026'!$B$5:$B$71,'BEV MINI 2026'!$B10,'UC MINI 2026'!$F$5:$F$71)</f>
        <v>5</v>
      </c>
      <c r="G10" s="86">
        <f>IFERROR(INDEX([2]BEV!$S$10:$AF$68,
      MATCH(B10,[2]BEV!$S$10:$S$68,0),
      MATCH("ENERO",[2]BEV!$S$9:$AF$9,0)),
   0)-IF(B10=100873,
   IFERROR(VLOOKUP("ENERO",[2]BEV!$S$80:$T$93,2,0),
      0),
   0)</f>
        <v>4</v>
      </c>
      <c r="H10" s="382">
        <f t="shared" si="0"/>
        <v>0.8</v>
      </c>
      <c r="I10" s="54">
        <f>SUMIF('UC MINI 2026'!$B$5:$B$71,'BEV MINI 2026'!$B10,'UC MINI 2026'!$H$5:$H$71)</f>
        <v>5</v>
      </c>
      <c r="J10" s="86">
        <f>IFERROR(INDEX([2]BEV!$S$10:$AF$68,
      MATCH(B10,[2]BEV!$S$10:$S$68,0),
      MATCH("FEBRERO",[2]BEV!$S$9:$AF$9,0)),
   0)-IF(B10=100873,
   IFERROR(VLOOKUP("FEBRERO",[2]BEV!$S$80:$T$93,2,0),
      0),
   0)</f>
        <v>3</v>
      </c>
      <c r="K10" s="382">
        <f t="shared" si="1"/>
        <v>0.6</v>
      </c>
      <c r="L10" s="54">
        <f>SUMIF('UC MINI 2026'!$B$5:$B$71,'BEV MINI 2026'!$B10,'UC MINI 2026'!$J$5:$J$71)</f>
        <v>6</v>
      </c>
      <c r="M10" s="86">
        <f>IFERROR(INDEX([2]BEV!$S$10:$AF$68,
      MATCH(B10,[2]BEV!$S$10:$S$68,0),
      MATCH("MARZO",[2]BEV!$S$9:$AF$9,0)),
   0)-IF(B10=100873,
   IFERROR(VLOOKUP("MARZO",[2]BEV!$S$80:$T$93,2,0),
      0),
   0)</f>
        <v>9</v>
      </c>
      <c r="N10" s="297">
        <f>IFERROR(M10/L10,0)</f>
        <v>1.5</v>
      </c>
      <c r="O10" s="54">
        <f>SUMIF('UC MINI 2026'!$B$5:$B$71,'BEV MINI 2026'!$B10,'UC MINI 2026'!$L$5:$L$71)</f>
        <v>5</v>
      </c>
      <c r="P10" s="86">
        <f>IFERROR(INDEX([2]BEV!$S$10:$AF$68,
      MATCH(B10,[2]BEV!$S$10:$S$68,0),
      MATCH("ABRIL",[2]BEV!$S$9:$AF$9,0)),
   0)-IF(B10=100873,
   IFERROR(VLOOKUP("ABRIL",[2]BEV!$S$80:$T$93,2,0),
      0),
   0)</f>
        <v>2</v>
      </c>
      <c r="Q10" s="243">
        <f>IFERROR(P10/O10,0)</f>
        <v>0.4</v>
      </c>
      <c r="R10" s="54">
        <f>SUMIF('UC MINI 2026'!$B$5:$B$71,'BEV MINI 2026'!$B10,'UC MINI 2026'!$N$5:$N$71)</f>
        <v>5</v>
      </c>
      <c r="S10" s="86">
        <f>IFERROR(INDEX([2]BEV!$S$10:$AF$68,
      MATCH(B10,[2]BEV!$S$10:$S$68,0),
      MATCH("MAYO",[2]BEV!$S$9:$AF$9,0)),
   0)-IF(B10=100873,
   IFERROR(VLOOKUP("MAYO",[2]BEV!$S$80:$T$93,2,0),
      0),
   0)</f>
        <v>3</v>
      </c>
      <c r="T10" s="297">
        <f>IFERROR(S10/R10,0)</f>
        <v>0.6</v>
      </c>
      <c r="U10" s="54">
        <f>SUMIF('UC MINI 2026'!$B$5:$B$71,'BEV MINI 2026'!$B10,'UC MINI 2026'!$P$5:$P$71)</f>
        <v>6</v>
      </c>
      <c r="V10" s="86">
        <f>IFERROR(INDEX([2]BEV!$S$10:$AF$68,
      MATCH(B10,[2]BEV!$S$10:$S$68,0),
      MATCH("JUNIO",[2]BEV!$S$9:$AF$9,0)),
   0)-IF(B10=100873,
   IFERROR(VLOOKUP("JUNIO",[2]BEV!$S$80:$T$93,2,0),
      0),
   0)</f>
        <v>11</v>
      </c>
      <c r="W10" s="243">
        <f>IFERROR(V10/U10,0)</f>
        <v>1.8333333333333333</v>
      </c>
      <c r="X10" s="54">
        <f>SUMIF('UC MINI 2026'!$B$5:$B$71,'BEV MINI 2026'!$B10,'UC MINI 2026'!$R$5:$R$71)</f>
        <v>0</v>
      </c>
      <c r="Y10" s="86">
        <f>IFERROR(INDEX([2]BEV!$S$10:$AF$68,
      MATCH(B10,[2]BEV!$S$10:$S$68,0),
      MATCH("JULIO",[2]BEV!$S$9:$AF$9,0)),
   0)-IF(B10=100873,
   IFERROR(VLOOKUP("JULIO",[2]BEV!$S$80:$T$93,2,0),
      0),
   0)</f>
        <v>0</v>
      </c>
      <c r="Z10" s="297">
        <f>IFERROR(Y10/X10,0)</f>
        <v>0</v>
      </c>
      <c r="AA10" s="54">
        <f>SUMIF('UC MINI 2026'!$B$5:$B$71,'BEV MINI 2026'!$B10,'UC MINI 2026'!$T$5:$T$71)</f>
        <v>0</v>
      </c>
      <c r="AB10" s="86">
        <f>IFERROR(INDEX([2]BEV!$S$10:$AF$68,
      MATCH(B10,[2]BEV!$S$10:$S$68,0),
      MATCH("AGOSTO",[2]BEV!$S$9:$AF$9,0)),
   0)-IF(B10=100873,
   IFERROR(VLOOKUP("AGOSTO",[2]BEV!$S$80:$T$93,2,0),
      0),
   0)</f>
        <v>0</v>
      </c>
      <c r="AC10" s="243">
        <f>IFERROR(AB10/AA10,0)</f>
        <v>0</v>
      </c>
      <c r="AD10" s="54">
        <f>SUMIF('UC MINI 2026'!$B$5:$B$71,'BEV MINI 2026'!$B10,'UC MINI 2026'!$V$5:$V$71)</f>
        <v>0</v>
      </c>
      <c r="AE10" s="86">
        <f>IFERROR(INDEX([2]BEV!$S$10:$AF$68,
      MATCH(B10,[2]BEV!$S$10:$S$68,0),
      MATCH("SEPTIEMBRE",[2]BEV!$S$9:$AF$9,0)),
   0)-IF(B10=100873,
   IFERROR(VLOOKUP("SEPTIEMBRE",[2]BEV!$S$80:$T$93,2,0),
      0),
   0)</f>
        <v>0</v>
      </c>
      <c r="AF10" s="297">
        <f>IFERROR(AE10/AD10,0)</f>
        <v>0</v>
      </c>
      <c r="AG10" s="54">
        <f>SUMIF('UC MINI 2026'!$B$5:$B$71,'BEV MINI 2026'!$B10,'UC MINI 2026'!$X$5:$X$71)</f>
        <v>0</v>
      </c>
      <c r="AH10" s="86">
        <f>IFERROR(INDEX([2]BEV!$S$10:$AF$68,
      MATCH(B10,[2]BEV!$S$10:$S$68,0),
      MATCH("OCTUBRE",[2]BEV!$S$9:$AF$9,0)),
   0)-IF(B10=100873,
   IFERROR(VLOOKUP("OCTUBRE",[2]BEV!$S$80:$T$93,2,0),
      0),
   0)</f>
        <v>0</v>
      </c>
      <c r="AI10" s="243">
        <f>IFERROR(AH10/AG10,0)</f>
        <v>0</v>
      </c>
      <c r="AJ10" s="54">
        <f>SUMIF('UC MINI 2026'!$B$5:$B$71,'BEV MINI 2026'!$B10,'UC MINI 2026'!$Z$5:$Z$71)</f>
        <v>0</v>
      </c>
      <c r="AK10" s="86">
        <f>IFERROR(INDEX([2]BEV!$S$10:$AF$68,
      MATCH(B10,[2]BEV!$S$10:$S$68,0),
      MATCH("NOVIEMBRE",[2]BEV!$S$9:$AF$9,0)),
   0)-IF(B10=100873,
   IFERROR(VLOOKUP("NOVIEMBRE",[2]BEV!$S$80:$T$93,2,0),
      0),
   0)</f>
        <v>0</v>
      </c>
      <c r="AL10" s="297">
        <f>IFERROR(AK10/AJ10,0)</f>
        <v>0</v>
      </c>
      <c r="AM10" s="54">
        <f>SUMIF('UC MINI 2026'!$B$5:$B$71,'BEV MINI 2026'!$B10,'UC MINI 2026'!$AB$5:$AB$71)</f>
        <v>0</v>
      </c>
      <c r="AN10" s="86">
        <f>IFERROR(INDEX([2]BEV!$S$10:$AF$68,
      MATCH(B10,[2]BEV!$S$10:$S$68,0),
      MATCH("DICIEMBRE",[2]BEV!$S$9:$AF$9,0)),
   0)-IF(B10=100873,
   IFERROR(VLOOKUP("DICIEMBRE",[2]BEV!$S$80:$T$93,2,0),
      0),
   0)</f>
        <v>0</v>
      </c>
      <c r="AO10" s="243">
        <f>IFERROR(AN10/AM10,0)</f>
        <v>0</v>
      </c>
      <c r="AP10" s="54">
        <f t="shared" si="2"/>
        <v>32</v>
      </c>
      <c r="AQ10" s="86">
        <f t="shared" si="2"/>
        <v>32</v>
      </c>
      <c r="AR10" s="152">
        <f t="shared" si="3"/>
        <v>1</v>
      </c>
      <c r="AS10" s="54">
        <f>IFERROR(F10+I10+L10+O10+R10+U10++X10+AA10+AD10+AG10+AJ10+AM10,0)</f>
        <v>32</v>
      </c>
      <c r="AT10" s="86">
        <f t="shared" si="14"/>
        <v>32</v>
      </c>
      <c r="AU10" s="152">
        <f t="shared" si="4"/>
        <v>1</v>
      </c>
      <c r="AV10" s="58">
        <f t="shared" si="5"/>
        <v>16</v>
      </c>
      <c r="AW10" s="59">
        <f t="shared" si="5"/>
        <v>16</v>
      </c>
      <c r="AX10" s="112">
        <f t="shared" si="6"/>
        <v>1</v>
      </c>
      <c r="AY10" s="86">
        <f>IFERROR(IF($AV$5="Q1",#REF!+#REF!+#REF!,
IF($AV$5="Q2",#REF!+#REF!++#REF!,
IF($AV$5="Q3",#REF!+#REF!+#REF!,
IF($AV$5="Q4",#REF!+#REF!+#REF!,0)))),0)</f>
        <v>0</v>
      </c>
      <c r="AZ10" s="297">
        <f>IF(AW10=0,"N.D.",AY10/AW10)</f>
        <v>0</v>
      </c>
      <c r="BA10" s="348">
        <f>IFERROR(IF($AV$5="Q1",#REF!+#REF!+#REF!,
IF($AV$5="Q2",#REF!+#REF!+#REF!,
IF($AV$5="Q3",#REF!+#REF!+#REF!,
IF($AV$5="Q4",#REF!+#REF!+#REF!,0)))),0)</f>
        <v>0</v>
      </c>
      <c r="BB10" s="153">
        <f t="shared" si="7"/>
        <v>0</v>
      </c>
      <c r="BC10" s="54">
        <f t="shared" si="8"/>
        <v>32</v>
      </c>
      <c r="BD10" s="86">
        <f t="shared" si="8"/>
        <v>32</v>
      </c>
      <c r="BE10" s="153">
        <f t="shared" si="9"/>
        <v>1</v>
      </c>
      <c r="BF10" s="54">
        <f t="shared" si="10"/>
        <v>0</v>
      </c>
      <c r="BG10" s="79">
        <f t="shared" si="10"/>
        <v>0</v>
      </c>
      <c r="BH10" s="153">
        <f t="shared" si="11"/>
        <v>0</v>
      </c>
      <c r="BI10" s="53">
        <v>1</v>
      </c>
      <c r="BM10" s="513"/>
      <c r="BP10" s="53">
        <f t="shared" si="12"/>
        <v>16</v>
      </c>
      <c r="BQ10" s="53">
        <f t="shared" si="13"/>
        <v>16</v>
      </c>
    </row>
    <row r="11" spans="1:69" s="53" customFormat="1" ht="16" customHeight="1" thickBot="1" x14ac:dyDescent="0.35">
      <c r="A11" s="53">
        <f>_xlfn.XLOOKUP(B11,'WHOLESALE MINI 2026'!$B$7:$B$63,'WHOLESALE MINI 2026'!$A$7:$A$63)</f>
        <v>0</v>
      </c>
      <c r="B11" s="61" t="s">
        <v>264</v>
      </c>
      <c r="C11" s="62"/>
      <c r="D11" s="154"/>
      <c r="E11" s="80"/>
      <c r="F11" s="155">
        <f>SUM(F7:F10)</f>
        <v>33</v>
      </c>
      <c r="G11" s="155">
        <f>SUM(G7:G10)</f>
        <v>43</v>
      </c>
      <c r="H11" s="301">
        <f t="shared" si="0"/>
        <v>1.303030303030303</v>
      </c>
      <c r="I11" s="155">
        <f>SUM(I7:I10)</f>
        <v>34</v>
      </c>
      <c r="J11" s="155">
        <f>SUM(J7:J10)</f>
        <v>50</v>
      </c>
      <c r="K11" s="301">
        <f t="shared" si="1"/>
        <v>1.4705882352941178</v>
      </c>
      <c r="L11" s="155">
        <f>SUM(L7:L10)</f>
        <v>36</v>
      </c>
      <c r="M11" s="155">
        <f>SUM(M7:M10)</f>
        <v>53</v>
      </c>
      <c r="N11" s="301">
        <f t="shared" ref="N11:N16" si="15">IFERROR(M11/L11,0)</f>
        <v>1.4722222222222223</v>
      </c>
      <c r="O11" s="155">
        <f>SUM(O7:O10)</f>
        <v>33</v>
      </c>
      <c r="P11" s="155">
        <f>SUM(P7:P10)</f>
        <v>43</v>
      </c>
      <c r="Q11" s="301">
        <f t="shared" ref="Q11:Q16" si="16">IFERROR(P11/O11,0)</f>
        <v>1.303030303030303</v>
      </c>
      <c r="R11" s="155">
        <f>SUM(R7:R10)</f>
        <v>35</v>
      </c>
      <c r="S11" s="155">
        <f>SUM(S7:S10)</f>
        <v>46</v>
      </c>
      <c r="T11" s="301">
        <f t="shared" ref="T11:T16" si="17">IFERROR(S11/R11,0)</f>
        <v>1.3142857142857143</v>
      </c>
      <c r="U11" s="155">
        <f>SUM(U7:U10)</f>
        <v>36</v>
      </c>
      <c r="V11" s="155">
        <f>SUM(V7:V10)</f>
        <v>64</v>
      </c>
      <c r="W11" s="301">
        <f t="shared" ref="W11:W16" si="18">IFERROR(V11/U11,0)</f>
        <v>1.7777777777777777</v>
      </c>
      <c r="X11" s="155">
        <f>SUM(X7:X10)</f>
        <v>0</v>
      </c>
      <c r="Y11" s="155">
        <f>SUM(Y7:Y10)</f>
        <v>0</v>
      </c>
      <c r="Z11" s="301">
        <f t="shared" ref="Z11:Z16" si="19">IFERROR(Y11/X11,0)</f>
        <v>0</v>
      </c>
      <c r="AA11" s="155">
        <f>SUM(AA7:AA10)</f>
        <v>0</v>
      </c>
      <c r="AB11" s="155">
        <f>SUM(AB7:AB10)</f>
        <v>0</v>
      </c>
      <c r="AC11" s="301">
        <f t="shared" ref="AC11:AC16" si="20">IFERROR(AB11/AA11,0)</f>
        <v>0</v>
      </c>
      <c r="AD11" s="155">
        <f>SUM(AD7:AD10)</f>
        <v>0</v>
      </c>
      <c r="AE11" s="155">
        <f>SUM(AE7:AE10)</f>
        <v>0</v>
      </c>
      <c r="AF11" s="301">
        <f t="shared" ref="AF11:AF16" si="21">IFERROR(AE11/AD11,0)</f>
        <v>0</v>
      </c>
      <c r="AG11" s="155">
        <f>SUM(AG7:AG10)</f>
        <v>0</v>
      </c>
      <c r="AH11" s="155">
        <f>SUM(AH7:AH10)</f>
        <v>0</v>
      </c>
      <c r="AI11" s="301">
        <f t="shared" ref="AI11:AI16" si="22">IFERROR(AH11/AG11,0)</f>
        <v>0</v>
      </c>
      <c r="AJ11" s="155">
        <f>SUM(AJ7:AJ10)</f>
        <v>0</v>
      </c>
      <c r="AK11" s="155">
        <f>SUM(AK7:AK10)</f>
        <v>0</v>
      </c>
      <c r="AL11" s="301">
        <f t="shared" ref="AL11:AL16" si="23">IFERROR(AK11/AJ11,0)</f>
        <v>0</v>
      </c>
      <c r="AM11" s="155">
        <f>SUM(AM7:AM10)</f>
        <v>0</v>
      </c>
      <c r="AN11" s="155">
        <f>SUM(AN7:AN10)</f>
        <v>0</v>
      </c>
      <c r="AO11" s="301">
        <f t="shared" ref="AO11:AO16" si="24">IFERROR(AN11/AM11,0)</f>
        <v>0</v>
      </c>
      <c r="AP11" s="63">
        <f>SUM(AP7:AP10)</f>
        <v>207</v>
      </c>
      <c r="AQ11" s="63">
        <f>SUM(AQ7:AQ10)</f>
        <v>299</v>
      </c>
      <c r="AR11" s="320">
        <f t="shared" si="3"/>
        <v>1.4444444444444444</v>
      </c>
      <c r="AS11" s="63">
        <f>SUM(AS7:AS10)</f>
        <v>207</v>
      </c>
      <c r="AT11" s="63">
        <f>SUM(AT7:AT10)</f>
        <v>299</v>
      </c>
      <c r="AU11" s="320">
        <f t="shared" si="4"/>
        <v>1.4444444444444444</v>
      </c>
      <c r="AV11" s="63">
        <f>SUM(AV2:AV10)</f>
        <v>103</v>
      </c>
      <c r="AW11" s="65">
        <f>SUM(AW2:AW10)</f>
        <v>146</v>
      </c>
      <c r="AX11" s="157">
        <f t="shared" si="6"/>
        <v>1.4174757281553398</v>
      </c>
      <c r="AY11" s="65">
        <f>SUM(AY2:AY10)</f>
        <v>0</v>
      </c>
      <c r="AZ11" s="321">
        <f>IFERROR(AY11/AW11,0)</f>
        <v>0</v>
      </c>
      <c r="BA11" s="349" t="e">
        <f>IF($AV$5="Q1",#REF!+#REF!+#REF!,
IF($AV$5="Q2",#REF!+#REF!+#REF!,
IF($AV$5="Q3",#REF!+#REF!+#REF!,
IF($AV$5="Q4",#REF!+#REF!+#REF!,0))))</f>
        <v>#REF!</v>
      </c>
      <c r="BB11" s="333">
        <f t="shared" si="7"/>
        <v>0</v>
      </c>
      <c r="BC11" s="63">
        <f>IF($BC$5="S 1",F11+I11+L11+O11+R11+U11,
IF($BC$5="S 2",X11+AA11+AD11+AG11+AJ11+AM11,0))</f>
        <v>207</v>
      </c>
      <c r="BD11" s="65">
        <f>IF($BC$5="S 1",G11+J11+M11+P11+S11+V11,
IF($BC$5="S 2",Y11+AB11+AE11+AH11+AK11+AN11,0))</f>
        <v>299</v>
      </c>
      <c r="BE11" s="333">
        <f t="shared" si="9"/>
        <v>1.4444444444444444</v>
      </c>
      <c r="BF11" s="63">
        <f>SUM(BF7:BF10)</f>
        <v>0</v>
      </c>
      <c r="BG11" s="63">
        <f>SUM(BG7:BG10)</f>
        <v>0</v>
      </c>
      <c r="BH11" s="333">
        <f t="shared" si="11"/>
        <v>0</v>
      </c>
      <c r="BI11" s="53">
        <v>0</v>
      </c>
      <c r="BM11" s="513"/>
      <c r="BP11" s="53">
        <f t="shared" si="12"/>
        <v>153</v>
      </c>
      <c r="BQ11" s="53">
        <f t="shared" si="13"/>
        <v>104</v>
      </c>
    </row>
    <row r="12" spans="1:69" s="53" customFormat="1" ht="16" customHeight="1" x14ac:dyDescent="0.3">
      <c r="A12" s="53">
        <f>_xlfn.XLOOKUP(B12,'WHOLESALE MINI 2026'!$B$7:$B$63,'WHOLESALE MINI 2026'!$A$7:$A$63)</f>
        <v>2</v>
      </c>
      <c r="B12" s="8">
        <v>100213</v>
      </c>
      <c r="C12" s="369" t="s">
        <v>15</v>
      </c>
      <c r="D12" s="146"/>
      <c r="E12" s="309" t="s">
        <v>276</v>
      </c>
      <c r="F12" s="54">
        <f>SUMIF('UC MINI 2026'!$B$5:$B$71,'BEV MINI 2026'!$B12,'UC MINI 2026'!$F$5:$F$71)</f>
        <v>15</v>
      </c>
      <c r="G12" s="86">
        <f>IFERROR(INDEX([2]BEV!$S$10:$AF$68,
      MATCH(B12,[2]BEV!$S$10:$S$68,0),
      MATCH("ENERO",[2]BEV!$S$9:$AF$9,0)),
   0)-IF(B12=100873,
   IFERROR(VLOOKUP("ENERO",[2]BEV!$S$80:$T$93,2,0),
      0),
   0)</f>
        <v>28</v>
      </c>
      <c r="H12" s="243">
        <f t="shared" si="0"/>
        <v>1.8666666666666667</v>
      </c>
      <c r="I12" s="54">
        <f>SUMIF('UC MINI 2026'!$B$5:$B$71,'BEV MINI 2026'!$B12,'UC MINI 2026'!$H$5:$H$71)</f>
        <v>15</v>
      </c>
      <c r="J12" s="86">
        <f>IFERROR(INDEX([2]BEV!$S$10:$AF$68,
      MATCH(B12,[2]BEV!$S$10:$S$68,0),
      MATCH("FEBRERO",[2]BEV!$S$9:$AF$9,0)),
   0)-IF(B12=100873,
   IFERROR(VLOOKUP("FEBRERO",[2]BEV!$S$80:$T$93,2,0),
      0),
   0)</f>
        <v>19</v>
      </c>
      <c r="K12" s="243">
        <f t="shared" si="1"/>
        <v>1.2666666666666666</v>
      </c>
      <c r="L12" s="54">
        <f>SUMIF('UC MINI 2026'!$B$5:$B$71,'BEV MINI 2026'!$B12,'UC MINI 2026'!$J$5:$J$71)</f>
        <v>15</v>
      </c>
      <c r="M12" s="86">
        <f>IFERROR(INDEX([2]BEV!$S$10:$AF$68,
      MATCH(B12,[2]BEV!$S$10:$S$68,0),
      MATCH("MARZO",[2]BEV!$S$9:$AF$9,0)),
   0)-IF(B12=100873,
   IFERROR(VLOOKUP("MARZO",[2]BEV!$S$80:$T$93,2,0),
      0),
   0)</f>
        <v>18</v>
      </c>
      <c r="N12" s="297">
        <f t="shared" si="15"/>
        <v>1.2</v>
      </c>
      <c r="O12" s="54">
        <f>SUMIF('UC MINI 2026'!$B$5:$B$71,'BEV MINI 2026'!$B12,'UC MINI 2026'!$L$5:$L$71)</f>
        <v>15</v>
      </c>
      <c r="P12" s="86">
        <f>IFERROR(INDEX([2]BEV!$S$10:$AF$68,
      MATCH(B12,[2]BEV!$S$10:$S$68,0),
      MATCH("ABRIL",[2]BEV!$S$9:$AF$9,0)),
   0)-IF(B12=100873,
   IFERROR(VLOOKUP("ABRIL",[2]BEV!$S$80:$T$93,2,0),
      0),
   0)</f>
        <v>17</v>
      </c>
      <c r="Q12" s="243">
        <f t="shared" si="16"/>
        <v>1.1333333333333333</v>
      </c>
      <c r="R12" s="54">
        <f>SUMIF('UC MINI 2026'!$B$5:$B$71,'BEV MINI 2026'!$B12,'UC MINI 2026'!$N$5:$N$71)</f>
        <v>15</v>
      </c>
      <c r="S12" s="86">
        <f>IFERROR(INDEX([2]BEV!$S$10:$AF$68,
      MATCH(B12,[2]BEV!$S$10:$S$68,0),
      MATCH("MAYO",[2]BEV!$S$9:$AF$9,0)),
   0)-IF(B12=100873,
   IFERROR(VLOOKUP("MAYO",[2]BEV!$S$80:$T$93,2,0),
      0),
   0)</f>
        <v>26</v>
      </c>
      <c r="T12" s="297">
        <f t="shared" si="17"/>
        <v>1.7333333333333334</v>
      </c>
      <c r="U12" s="54">
        <f>SUMIF('UC MINI 2026'!$B$5:$B$71,'BEV MINI 2026'!$B12,'UC MINI 2026'!$P$5:$P$71)</f>
        <v>15</v>
      </c>
      <c r="V12" s="86">
        <f>IFERROR(INDEX([2]BEV!$S$10:$AF$68,
      MATCH(B12,[2]BEV!$S$10:$S$68,0),
      MATCH("JUNIO",[2]BEV!$S$9:$AF$9,0)),
   0)-IF(B12=100873,
   IFERROR(VLOOKUP("JUNIO",[2]BEV!$S$80:$T$93,2,0),
      0),
   0)</f>
        <v>37</v>
      </c>
      <c r="W12" s="243">
        <f t="shared" si="18"/>
        <v>2.4666666666666668</v>
      </c>
      <c r="X12" s="54">
        <f>SUMIF('UC MINI 2026'!$B$5:$B$71,'BEV MINI 2026'!$B12,'UC MINI 2026'!$R$5:$R$71)</f>
        <v>0</v>
      </c>
      <c r="Y12" s="86">
        <f>IFERROR(INDEX([2]BEV!$S$10:$AF$68,
      MATCH(B12,[2]BEV!$S$10:$S$68,0),
      MATCH("JULIO",[2]BEV!$S$9:$AF$9,0)),
   0)-IF(B12=100873,
   IFERROR(VLOOKUP("JULIO",[2]BEV!$S$80:$T$93,2,0),
      0),
   0)</f>
        <v>0</v>
      </c>
      <c r="Z12" s="297">
        <f t="shared" si="19"/>
        <v>0</v>
      </c>
      <c r="AA12" s="54">
        <f>SUMIF('UC MINI 2026'!$B$5:$B$71,'BEV MINI 2026'!$B12,'UC MINI 2026'!$T$5:$T$71)</f>
        <v>0</v>
      </c>
      <c r="AB12" s="86">
        <f>IFERROR(INDEX([2]BEV!$S$10:$AF$68,
      MATCH(B12,[2]BEV!$S$10:$S$68,0),
      MATCH("AGOSTO",[2]BEV!$S$9:$AF$9,0)),
   0)-IF(B12=100873,
   IFERROR(VLOOKUP("AGOSTO",[2]BEV!$S$80:$T$93,2,0),
      0),
   0)</f>
        <v>0</v>
      </c>
      <c r="AC12" s="243">
        <f t="shared" si="20"/>
        <v>0</v>
      </c>
      <c r="AD12" s="54">
        <f>SUMIF('UC MINI 2026'!$B$5:$B$71,'BEV MINI 2026'!$B12,'UC MINI 2026'!$V$5:$V$71)</f>
        <v>0</v>
      </c>
      <c r="AE12" s="86">
        <f>IFERROR(INDEX([2]BEV!$S$10:$AF$68,
      MATCH(B12,[2]BEV!$S$10:$S$68,0),
      MATCH("SEPTIEMBRE",[2]BEV!$S$9:$AF$9,0)),
   0)-IF(B12=100873,
   IFERROR(VLOOKUP("SEPTIEMBRE",[2]BEV!$S$80:$T$93,2,0),
      0),
   0)</f>
        <v>0</v>
      </c>
      <c r="AF12" s="297">
        <f t="shared" si="21"/>
        <v>0</v>
      </c>
      <c r="AG12" s="54">
        <f>SUMIF('UC MINI 2026'!$B$5:$B$71,'BEV MINI 2026'!$B12,'UC MINI 2026'!$X$5:$X$71)</f>
        <v>0</v>
      </c>
      <c r="AH12" s="86">
        <f>IFERROR(INDEX([2]BEV!$S$10:$AF$68,
      MATCH(B12,[2]BEV!$S$10:$S$68,0),
      MATCH("OCTUBRE",[2]BEV!$S$9:$AF$9,0)),
   0)-IF(B12=100873,
   IFERROR(VLOOKUP("OCTUBRE",[2]BEV!$S$80:$T$93,2,0),
      0),
   0)</f>
        <v>0</v>
      </c>
      <c r="AI12" s="243">
        <f t="shared" si="22"/>
        <v>0</v>
      </c>
      <c r="AJ12" s="54">
        <f>SUMIF('UC MINI 2026'!$B$5:$B$71,'BEV MINI 2026'!$B12,'UC MINI 2026'!$Z$5:$Z$71)</f>
        <v>0</v>
      </c>
      <c r="AK12" s="86">
        <f>IFERROR(INDEX([2]BEV!$S$10:$AF$68,
      MATCH(B12,[2]BEV!$S$10:$S$68,0),
      MATCH("NOVIEMBRE",[2]BEV!$S$9:$AF$9,0)),
   0)-IF(B12=100873,
   IFERROR(VLOOKUP("NOVIEMBRE",[2]BEV!$S$80:$T$93,2,0),
      0),
   0)</f>
        <v>0</v>
      </c>
      <c r="AL12" s="297">
        <f t="shared" si="23"/>
        <v>0</v>
      </c>
      <c r="AM12" s="54">
        <f>SUMIF('UC MINI 2026'!$B$5:$B$71,'BEV MINI 2026'!$B12,'UC MINI 2026'!$AB$5:$AB$71)</f>
        <v>0</v>
      </c>
      <c r="AN12" s="86">
        <f>IFERROR(INDEX([2]BEV!$S$10:$AF$68,
      MATCH(B12,[2]BEV!$S$10:$S$68,0),
      MATCH("DICIEMBRE",[2]BEV!$S$9:$AF$9,0)),
   0)-IF(B12=100873,
   IFERROR(VLOOKUP("DICIEMBRE",[2]BEV!$S$80:$T$93,2,0),
      0),
   0)</f>
        <v>0</v>
      </c>
      <c r="AO12" s="243">
        <f t="shared" si="24"/>
        <v>0</v>
      </c>
      <c r="AP12" s="67">
        <f>IFERROR(IF($AP$4="ENERO",F12,IF($AP$4="FEBRERO",F12+I12,IF($AP$4="MARZO",F12+I12+L12,IF($AP$4="ABRIL",F12+I12+L12+O12,IF($AP$4="MAYO",F12+I12+L12+O12+R12,IF($AP$4="JUNIO",F12+I12+L12+O12+R12+U12,IF($AP$4="JULIO",F12+I12+L12+O12+R12+U12+X12,IF($AP$4="AGOSTO",F12+I12+L12+O12+R12+U12+X12+AA12,IF($AP$4="SEPTIEMBRE",F12+I12+L12+O12+R12+U12+X12+AA12+AD12,IF($AP$4="OCTUBRE",F12+I12+L12+O12+R12+U12+X12+AA12+AD12+AG12,IF($AP$4="NOVIEMBRE",F12+I12+L12+O12+R12+U12+X12+AA12+AD12+AG12+AJ12,IF($AP$4="DICIEMBRE",F12+I12+L12+O12+R12+U12+X12+AA12+AD12+AG12+AJ12+AM12,"")))))))))))),0)</f>
        <v>90</v>
      </c>
      <c r="AQ12" s="68">
        <f>IFERROR(IF($AP$4="ENERO",G12,IF($AP$4="FEBRERO",G12+J12,IF($AP$4="MARZO",G12+J12+M12,IF($AP$4="ABRIL",G12+J12+M12+P12,IF($AP$4="MAYO",G12+J12+M12+P12+S12,IF($AP$4="JUNIO",G12+J12+M12+P12+S12+V12,IF($AP$4="JULIO",G12+J12+M12+P12+S12+V12+Y12,IF($AP$4="AGOSTO",G12+J12+M12+P12+S12+V12+Y12+AB12,IF($AP$4="SEPTIEMBRE",G12+J12+M12+P12+S12+V12+Y12+AB12+AE12,IF($AP$4="OCTUBRE",G12+J12+M12+P12+S12+V12+Y12+AB12+AE12+AH12,IF($AP$4="NOVIEMBRE",G12+J12+M12+P12+S12+V12+Y12+AB12+AE12+AH12+AK12,IF($AP$4="DICIEMBRE",G12+J12+M12+P12+S12+V12+Y12+AB12+AE12+AH12+AK12+AN12,"")))))))))))),0)</f>
        <v>145</v>
      </c>
      <c r="AR12" s="149">
        <f t="shared" si="3"/>
        <v>1.6111111111111112</v>
      </c>
      <c r="AS12" s="67">
        <f>IFERROR(F12+I12+L12+O12+R12+U12++X12+AA12+AD12+AG12+AJ12+AM12,0)</f>
        <v>90</v>
      </c>
      <c r="AT12" s="86">
        <f t="shared" si="14"/>
        <v>145</v>
      </c>
      <c r="AU12" s="149">
        <f t="shared" si="4"/>
        <v>1.6111111111111112</v>
      </c>
      <c r="AV12" s="54">
        <f t="shared" ref="AV12:AV21" si="25">IF($AV$5="Q1",F12+I12+L12,
IF($AV$5="Q2",O12+R12++U12,
IF($AV$5="Q3",X12+AA12+AD12,
IF($AV$5="Q4",AG12+AJ12+AM12,0))))</f>
        <v>45</v>
      </c>
      <c r="AW12" s="86">
        <f t="shared" ref="AW12:AW21" si="26">IF($AV$5="Q1",G12+J12+M12,
IF($AV$5="Q2",P12+S12++V12,
IF($AV$5="Q3",Y12+AB12+AE12,
IF($AV$5="Q4",AH12+AK12+AN12,0))))</f>
        <v>65</v>
      </c>
      <c r="AX12" s="109">
        <f t="shared" si="6"/>
        <v>1.4444444444444444</v>
      </c>
      <c r="AY12" s="68">
        <f>IFERROR(IF($AV$5="Q1",#REF!+#REF!+#REF!,
IF($AV$5="Q2",#REF!+#REF!++#REF!,
IF($AV$5="Q3",#REF!+#REF!+#REF!,
IF($AV$5="Q4",#REF!+#REF!+#REF!,0)))),0)</f>
        <v>0</v>
      </c>
      <c r="AZ12" s="297">
        <f>IF(AW12=0,"N.D.",AY12/AW12)</f>
        <v>0</v>
      </c>
      <c r="BA12" s="350">
        <f>IFERROR(IF($AV$5="Q1",#REF!+#REF!+#REF!,
IF($AV$5="Q2",#REF!+#REF!+#REF!,
IF($AV$5="Q3",#REF!+#REF!+#REF!,
IF($AV$5="Q4",#REF!+#REF!+#REF!,0)))),0)</f>
        <v>0</v>
      </c>
      <c r="BB12" s="150">
        <f t="shared" si="7"/>
        <v>0</v>
      </c>
      <c r="BC12" s="67">
        <f>IFERROR(IF($BC$5="S 1",F12+I12+L12+O12+R12+U12,
IF($BC$5="S 2",X12+AA12+AD12+AG12+AJ12+AM12,0)),0)</f>
        <v>90</v>
      </c>
      <c r="BD12" s="68">
        <f>IFERROR(IF($BC$5="S 1",G12+J12+M12+P12+S12+V12,
IF($BC$5="S 2",Y12+AB12+AE12+AH12+AK12+AN12,0)),0)</f>
        <v>145</v>
      </c>
      <c r="BE12" s="150">
        <f t="shared" si="9"/>
        <v>1.6111111111111112</v>
      </c>
      <c r="BF12" s="67">
        <f>IFERROR(IF($BF$5="S 1",F12+I12+L12+O12+R12+U12,
IF($BF$5="S 2",X12+AA12+AD12+AG12+AJ12+AM12,0)),0)</f>
        <v>0</v>
      </c>
      <c r="BG12" s="266">
        <f>IFERROR(IF($BF$5="S 1",G12+J12+M12+P12+S12+V12,
IF($BF$5="S 2",Y12+AB12+AE12+AH12+AK12+AN12,0)),0)</f>
        <v>0</v>
      </c>
      <c r="BH12" s="150">
        <f t="shared" si="11"/>
        <v>0</v>
      </c>
      <c r="BI12" s="53">
        <v>1</v>
      </c>
      <c r="BK12" s="53" cm="1">
        <f t="array" ref="BK12:BK53">_xlfn._xlws.SORT(_xlfn._xlws.FILTER(AP12:AP63, BI12:BI63=1),1, -1)</f>
        <v>135</v>
      </c>
      <c r="BL12" s="53" cm="1">
        <f t="array" ref="BL12:BL53">_xlfn._xlws.SORT(_xlfn._xlws.FILTER(AQ12:AQ63, BI12:BI63=1),1, -1)</f>
        <v>170</v>
      </c>
      <c r="BM12" s="513" cm="1">
        <f t="array" ref="BM12:BM53">_xlfn._xlws.SORT(_xlfn._xlws.FILTER(AR12:AR63, BI12:BI63=1),1, -1)</f>
        <v>6.8666666666666663</v>
      </c>
      <c r="BP12" s="53">
        <f t="shared" si="12"/>
        <v>80</v>
      </c>
      <c r="BQ12" s="53">
        <f t="shared" si="13"/>
        <v>45</v>
      </c>
    </row>
    <row r="13" spans="1:69" s="53" customFormat="1" ht="16" customHeight="1" x14ac:dyDescent="0.3">
      <c r="A13" s="53">
        <f>_xlfn.XLOOKUP(B13,'WHOLESALE MINI 2026'!$B$7:$B$63,'WHOLESALE MINI 2026'!$A$7:$A$63)</f>
        <v>2</v>
      </c>
      <c r="B13" s="8">
        <v>100319</v>
      </c>
      <c r="C13" s="369" t="s">
        <v>16</v>
      </c>
      <c r="D13" s="146"/>
      <c r="E13" s="309" t="s">
        <v>276</v>
      </c>
      <c r="F13" s="54">
        <f>SUMIF('UC MINI 2026'!$B$5:$B$71,'BEV MINI 2026'!$B13,'UC MINI 2026'!$F$5:$F$71)</f>
        <v>12</v>
      </c>
      <c r="G13" s="86">
        <f>IFERROR(INDEX([2]BEV!$S$10:$AF$68,
      MATCH(B13,[2]BEV!$S$10:$S$68,0),
      MATCH("ENERO",[2]BEV!$S$9:$AF$9,0)),
   0)-IF(B13=100873,
   IFERROR(VLOOKUP("ENERO",[2]BEV!$S$80:$T$93,2,0),
      0),
   0)</f>
        <v>23</v>
      </c>
      <c r="H13" s="243">
        <f t="shared" si="0"/>
        <v>1.9166666666666667</v>
      </c>
      <c r="I13" s="54">
        <f>SUMIF('UC MINI 2026'!$B$5:$B$71,'BEV MINI 2026'!$B13,'UC MINI 2026'!$H$5:$H$71)</f>
        <v>14</v>
      </c>
      <c r="J13" s="86">
        <f>IFERROR(INDEX([2]BEV!$S$10:$AF$68,
      MATCH(B13,[2]BEV!$S$10:$S$68,0),
      MATCH("FEBRERO",[2]BEV!$S$9:$AF$9,0)),
   0)-IF(B13=100873,
   IFERROR(VLOOKUP("FEBRERO",[2]BEV!$S$80:$T$93,2,0),
      0),
   0)</f>
        <v>9</v>
      </c>
      <c r="K13" s="243">
        <f t="shared" si="1"/>
        <v>0.6428571428571429</v>
      </c>
      <c r="L13" s="54">
        <f>SUMIF('UC MINI 2026'!$B$5:$B$71,'BEV MINI 2026'!$B13,'UC MINI 2026'!$J$5:$J$71)</f>
        <v>14</v>
      </c>
      <c r="M13" s="86">
        <f>IFERROR(INDEX([2]BEV!$S$10:$AF$68,
      MATCH(B13,[2]BEV!$S$10:$S$68,0),
      MATCH("MARZO",[2]BEV!$S$9:$AF$9,0)),
   0)-IF(B13=100873,
   IFERROR(VLOOKUP("MARZO",[2]BEV!$S$80:$T$93,2,0),
      0),
   0)</f>
        <v>24</v>
      </c>
      <c r="N13" s="297">
        <f t="shared" si="15"/>
        <v>1.7142857142857142</v>
      </c>
      <c r="O13" s="54">
        <f>SUMIF('UC MINI 2026'!$B$5:$B$71,'BEV MINI 2026'!$B13,'UC MINI 2026'!$L$5:$L$71)</f>
        <v>12</v>
      </c>
      <c r="P13" s="86">
        <f>IFERROR(INDEX([2]BEV!$S$10:$AF$68,
      MATCH(B13,[2]BEV!$S$10:$S$68,0),
      MATCH("ABRIL",[2]BEV!$S$9:$AF$9,0)),
   0)-IF(B13=100873,
   IFERROR(VLOOKUP("ABRIL",[2]BEV!$S$80:$T$93,2,0),
      0),
   0)</f>
        <v>27</v>
      </c>
      <c r="Q13" s="243">
        <f t="shared" si="16"/>
        <v>2.25</v>
      </c>
      <c r="R13" s="54">
        <f>SUMIF('UC MINI 2026'!$B$5:$B$71,'BEV MINI 2026'!$B13,'UC MINI 2026'!$N$5:$N$71)</f>
        <v>14</v>
      </c>
      <c r="S13" s="86">
        <f>IFERROR(INDEX([2]BEV!$S$10:$AF$68,
      MATCH(B13,[2]BEV!$S$10:$S$68,0),
      MATCH("MAYO",[2]BEV!$S$9:$AF$9,0)),
   0)-IF(B13=100873,
   IFERROR(VLOOKUP("MAYO",[2]BEV!$S$80:$T$93,2,0),
      0),
   0)</f>
        <v>13</v>
      </c>
      <c r="T13" s="297">
        <f t="shared" si="17"/>
        <v>0.9285714285714286</v>
      </c>
      <c r="U13" s="54">
        <f>SUMIF('UC MINI 2026'!$B$5:$B$71,'BEV MINI 2026'!$B13,'UC MINI 2026'!$P$5:$P$71)</f>
        <v>14</v>
      </c>
      <c r="V13" s="86">
        <f>IFERROR(INDEX([2]BEV!$S$10:$AF$68,
      MATCH(B13,[2]BEV!$S$10:$S$68,0),
      MATCH("JUNIO",[2]BEV!$S$9:$AF$9,0)),
   0)-IF(B13=100873,
   IFERROR(VLOOKUP("JUNIO",[2]BEV!$S$80:$T$93,2,0),
      0),
   0)</f>
        <v>24</v>
      </c>
      <c r="W13" s="243">
        <f t="shared" si="18"/>
        <v>1.7142857142857142</v>
      </c>
      <c r="X13" s="54">
        <f>SUMIF('UC MINI 2026'!$B$5:$B$71,'BEV MINI 2026'!$B13,'UC MINI 2026'!$R$5:$R$71)</f>
        <v>0</v>
      </c>
      <c r="Y13" s="86">
        <f>IFERROR(INDEX([2]BEV!$S$10:$AF$68,
      MATCH(B13,[2]BEV!$S$10:$S$68,0),
      MATCH("JULIO",[2]BEV!$S$9:$AF$9,0)),
   0)-IF(B13=100873,
   IFERROR(VLOOKUP("JULIO",[2]BEV!$S$80:$T$93,2,0),
      0),
   0)</f>
        <v>0</v>
      </c>
      <c r="Z13" s="297">
        <f t="shared" si="19"/>
        <v>0</v>
      </c>
      <c r="AA13" s="54">
        <f>SUMIF('UC MINI 2026'!$B$5:$B$71,'BEV MINI 2026'!$B13,'UC MINI 2026'!$T$5:$T$71)</f>
        <v>0</v>
      </c>
      <c r="AB13" s="86">
        <f>IFERROR(INDEX([2]BEV!$S$10:$AF$68,
      MATCH(B13,[2]BEV!$S$10:$S$68,0),
      MATCH("AGOSTO",[2]BEV!$S$9:$AF$9,0)),
   0)-IF(B13=100873,
   IFERROR(VLOOKUP("AGOSTO",[2]BEV!$S$80:$T$93,2,0),
      0),
   0)</f>
        <v>0</v>
      </c>
      <c r="AC13" s="243">
        <f t="shared" si="20"/>
        <v>0</v>
      </c>
      <c r="AD13" s="54">
        <f>SUMIF('UC MINI 2026'!$B$5:$B$71,'BEV MINI 2026'!$B13,'UC MINI 2026'!$V$5:$V$71)</f>
        <v>0</v>
      </c>
      <c r="AE13" s="86">
        <f>IFERROR(INDEX([2]BEV!$S$10:$AF$68,
      MATCH(B13,[2]BEV!$S$10:$S$68,0),
      MATCH("SEPTIEMBRE",[2]BEV!$S$9:$AF$9,0)),
   0)-IF(B13=100873,
   IFERROR(VLOOKUP("SEPTIEMBRE",[2]BEV!$S$80:$T$93,2,0),
      0),
   0)</f>
        <v>0</v>
      </c>
      <c r="AF13" s="297">
        <f t="shared" si="21"/>
        <v>0</v>
      </c>
      <c r="AG13" s="54">
        <f>SUMIF('UC MINI 2026'!$B$5:$B$71,'BEV MINI 2026'!$B13,'UC MINI 2026'!$X$5:$X$71)</f>
        <v>0</v>
      </c>
      <c r="AH13" s="86">
        <f>IFERROR(INDEX([2]BEV!$S$10:$AF$68,
      MATCH(B13,[2]BEV!$S$10:$S$68,0),
      MATCH("OCTUBRE",[2]BEV!$S$9:$AF$9,0)),
   0)-IF(B13=100873,
   IFERROR(VLOOKUP("OCTUBRE",[2]BEV!$S$80:$T$93,2,0),
      0),
   0)</f>
        <v>0</v>
      </c>
      <c r="AI13" s="243">
        <f t="shared" si="22"/>
        <v>0</v>
      </c>
      <c r="AJ13" s="54">
        <f>SUMIF('UC MINI 2026'!$B$5:$B$71,'BEV MINI 2026'!$B13,'UC MINI 2026'!$Z$5:$Z$71)</f>
        <v>0</v>
      </c>
      <c r="AK13" s="86">
        <f>IFERROR(INDEX([2]BEV!$S$10:$AF$68,
      MATCH(B13,[2]BEV!$S$10:$S$68,0),
      MATCH("NOVIEMBRE",[2]BEV!$S$9:$AF$9,0)),
   0)-IF(B13=100873,
   IFERROR(VLOOKUP("NOVIEMBRE",[2]BEV!$S$80:$T$93,2,0),
      0),
   0)</f>
        <v>0</v>
      </c>
      <c r="AL13" s="297">
        <f t="shared" si="23"/>
        <v>0</v>
      </c>
      <c r="AM13" s="54">
        <f>SUMIF('UC MINI 2026'!$B$5:$B$71,'BEV MINI 2026'!$B13,'UC MINI 2026'!$AB$5:$AB$71)</f>
        <v>0</v>
      </c>
      <c r="AN13" s="86">
        <f>IFERROR(INDEX([2]BEV!$S$10:$AF$68,
      MATCH(B13,[2]BEV!$S$10:$S$68,0),
      MATCH("DICIEMBRE",[2]BEV!$S$9:$AF$9,0)),
   0)-IF(B13=100873,
   IFERROR(VLOOKUP("DICIEMBRE",[2]BEV!$S$80:$T$93,2,0),
      0),
   0)</f>
        <v>0</v>
      </c>
      <c r="AO13" s="243">
        <f t="shared" si="24"/>
        <v>0</v>
      </c>
      <c r="AP13" s="67">
        <f t="shared" ref="AP13:AP21" si="27">IFERROR(IF($AP$4="ENERO",F13,IF($AP$4="FEBRERO",F13+I13,IF($AP$4="MARZO",F13+I13+L13,IF($AP$4="ABRIL",F13+I13+L13+O13,IF($AP$4="MAYO",F13+I13+L13+O13+R13,IF($AP$4="JUNIO",F13+I13+L13+O13+R13+U13,IF($AP$4="JULIO",F13+I13+L13+O13+R13+U13+X13,IF($AP$4="AGOSTO",F13+I13+L13+O13+R13+U13+X13+AA13,IF($AP$4="SEPTIEMBRE",F13+I13+L13+O13+R13+U13+X13+AA13+AD13,IF($AP$4="OCTUBRE",F13+I13+L13+O13+R13+U13+X13+AA13+AD13+AG13,IF($AP$4="NOVIEMBRE",F13+I13+L13+O13+R13+U13+X13+AA13+AD13+AG13+AJ13,IF($AP$4="DICIEMBRE",F13+I13+L13+O13+R13+U13+X13+AA13+AD13+AG13+AJ13+AM13,"")))))))))))),0)</f>
        <v>80</v>
      </c>
      <c r="AQ13" s="68">
        <f t="shared" ref="AQ13:AQ21" si="28">IFERROR(IF($AP$4="ENERO",G13,IF($AP$4="FEBRERO",G13+J13,IF($AP$4="MARZO",G13+J13+M13,IF($AP$4="ABRIL",G13+J13+M13+P13,IF($AP$4="MAYO",G13+J13+M13+P13+S13,IF($AP$4="JUNIO",G13+J13+M13+P13+S13+V13,IF($AP$4="JULIO",G13+J13+M13+P13+S13+V13+Y13,IF($AP$4="AGOSTO",G13+J13+M13+P13+S13+V13+Y13+AB13,IF($AP$4="SEPTIEMBRE",G13+J13+M13+P13+S13+V13+Y13+AB13+AE13,IF($AP$4="OCTUBRE",G13+J13+M13+P13+S13+V13+Y13+AB13+AE13+AH13,IF($AP$4="NOVIEMBRE",G13+J13+M13+P13+S13+V13+Y13+AB13+AE13+AH13+AK13,IF($AP$4="DICIEMBRE",G13+J13+M13+P13+S13+V13+Y13+AB13+AE13+AH13+AK13+AN13,"")))))))))))),0)</f>
        <v>120</v>
      </c>
      <c r="AR13" s="149">
        <f t="shared" si="3"/>
        <v>1.5</v>
      </c>
      <c r="AS13" s="67">
        <f t="shared" ref="AS13:AS21" si="29">IFERROR(F13+I13+L13+O13+R13+U13++X13+AA13+AD13+AG13+AJ13+AM13,0)</f>
        <v>80</v>
      </c>
      <c r="AT13" s="86">
        <f t="shared" si="14"/>
        <v>120</v>
      </c>
      <c r="AU13" s="149">
        <f t="shared" si="4"/>
        <v>1.5</v>
      </c>
      <c r="AV13" s="54">
        <f t="shared" si="25"/>
        <v>40</v>
      </c>
      <c r="AW13" s="86">
        <f t="shared" si="26"/>
        <v>56</v>
      </c>
      <c r="AX13" s="109">
        <f t="shared" si="6"/>
        <v>1.4</v>
      </c>
      <c r="AY13" s="68">
        <f>IFERROR(IF($AV$5="Q1",#REF!+#REF!+#REF!,
IF($AV$5="Q2",#REF!+#REF!++#REF!,
IF($AV$5="Q3",#REF!+#REF!+#REF!,
IF($AV$5="Q4",#REF!+#REF!+#REF!,0)))),0)</f>
        <v>0</v>
      </c>
      <c r="AZ13" s="297">
        <f t="shared" ref="AZ13:AZ21" si="30">IF(AW13=0,"N.D.",AY13/AW13)</f>
        <v>0</v>
      </c>
      <c r="BA13" s="350">
        <f>IFERROR(IF($AV$5="Q1",#REF!+#REF!+#REF!,
IF($AV$5="Q2",#REF!+#REF!+#REF!,
IF($AV$5="Q3",#REF!+#REF!+#REF!,
IF($AV$5="Q4",#REF!+#REF!+#REF!,0)))),0)</f>
        <v>0</v>
      </c>
      <c r="BB13" s="150">
        <f t="shared" si="7"/>
        <v>0</v>
      </c>
      <c r="BC13" s="67">
        <f t="shared" ref="BC13:BC21" si="31">IFERROR(IF($BC$5="S 1",F13+I13+L13+O13+R13+U13,
IF($BC$5="S 2",X13+AA13+AD13+AG13+AJ13+AM13,0)),0)</f>
        <v>80</v>
      </c>
      <c r="BD13" s="68">
        <f t="shared" ref="BD13:BD21" si="32">IFERROR(IF($BC$5="S 1",G13+J13+M13+P13+S13+V13,
IF($BC$5="S 2",Y13+AB13+AE13+AH13+AK13+AN13,0)),0)</f>
        <v>120</v>
      </c>
      <c r="BE13" s="150">
        <f t="shared" si="9"/>
        <v>1.5</v>
      </c>
      <c r="BF13" s="67">
        <f t="shared" ref="BF13:BF21" si="33">IFERROR(IF($BF$5="S 1",F13+I13+L13+O13+R13+U13,
IF($BF$5="S 2",X13+AA13+AD13+AG13+AJ13+AM13,0)),0)</f>
        <v>0</v>
      </c>
      <c r="BG13" s="266">
        <f t="shared" ref="BG13:BG21" si="34">IFERROR(IF($BF$5="S 1",G13+J13+M13+P13+S13+V13,
IF($BF$5="S 2",Y13+AB13+AE13+AH13+AK13+AN13,0)),0)</f>
        <v>0</v>
      </c>
      <c r="BH13" s="150">
        <f t="shared" si="11"/>
        <v>0</v>
      </c>
      <c r="BI13" s="53">
        <v>1</v>
      </c>
      <c r="BK13" s="53">
        <v>130</v>
      </c>
      <c r="BL13" s="53">
        <v>147</v>
      </c>
      <c r="BM13" s="513">
        <v>2.1</v>
      </c>
      <c r="BP13" s="53">
        <f t="shared" si="12"/>
        <v>64</v>
      </c>
      <c r="BQ13" s="53">
        <f t="shared" si="13"/>
        <v>40</v>
      </c>
    </row>
    <row r="14" spans="1:69" s="53" customFormat="1" ht="16" customHeight="1" x14ac:dyDescent="0.3">
      <c r="A14" s="53">
        <f>_xlfn.XLOOKUP(B14,'WHOLESALE MINI 2026'!$B$7:$B$63,'WHOLESALE MINI 2026'!$A$7:$A$63)</f>
        <v>2</v>
      </c>
      <c r="B14" s="8">
        <v>100349</v>
      </c>
      <c r="C14" s="369" t="s">
        <v>10</v>
      </c>
      <c r="D14" s="146"/>
      <c r="E14" s="309" t="s">
        <v>276</v>
      </c>
      <c r="F14" s="54">
        <f>SUMIF('UC MINI 2026'!$B$5:$B$71,'BEV MINI 2026'!$B14,'UC MINI 2026'!$F$5:$F$71)</f>
        <v>12</v>
      </c>
      <c r="G14" s="86">
        <f>IFERROR(INDEX([2]BEV!$S$10:$AF$68,
      MATCH(B14,[2]BEV!$S$10:$S$68,0),
      MATCH("ENERO",[2]BEV!$S$9:$AF$9,0)),
   0)-IF(B14=100873,
   IFERROR(VLOOKUP("ENERO",[2]BEV!$S$80:$T$93,2,0),
      0),
   0)</f>
        <v>15</v>
      </c>
      <c r="H14" s="243">
        <f t="shared" si="0"/>
        <v>1.25</v>
      </c>
      <c r="I14" s="54">
        <f>SUMIF('UC MINI 2026'!$B$5:$B$71,'BEV MINI 2026'!$B14,'UC MINI 2026'!$H$5:$H$71)</f>
        <v>14</v>
      </c>
      <c r="J14" s="86">
        <f>IFERROR(INDEX([2]BEV!$S$10:$AF$68,
      MATCH(B14,[2]BEV!$S$10:$S$68,0),
      MATCH("FEBRERO",[2]BEV!$S$9:$AF$9,0)),
   0)-IF(B14=100873,
   IFERROR(VLOOKUP("FEBRERO",[2]BEV!$S$80:$T$93,2,0),
      0),
   0)</f>
        <v>18</v>
      </c>
      <c r="K14" s="243">
        <f t="shared" si="1"/>
        <v>1.2857142857142858</v>
      </c>
      <c r="L14" s="54">
        <f>SUMIF('UC MINI 2026'!$B$5:$B$71,'BEV MINI 2026'!$B14,'UC MINI 2026'!$J$5:$J$71)</f>
        <v>14</v>
      </c>
      <c r="M14" s="86">
        <f>IFERROR(INDEX([2]BEV!$S$10:$AF$68,
      MATCH(B14,[2]BEV!$S$10:$S$68,0),
      MATCH("MARZO",[2]BEV!$S$9:$AF$9,0)),
   0)-IF(B14=100873,
   IFERROR(VLOOKUP("MARZO",[2]BEV!$S$80:$T$93,2,0),
      0),
   0)</f>
        <v>18</v>
      </c>
      <c r="N14" s="297">
        <f t="shared" si="15"/>
        <v>1.2857142857142858</v>
      </c>
      <c r="O14" s="54">
        <f>SUMIF('UC MINI 2026'!$B$5:$B$71,'BEV MINI 2026'!$B14,'UC MINI 2026'!$L$5:$L$71)</f>
        <v>12</v>
      </c>
      <c r="P14" s="86">
        <f>IFERROR(INDEX([2]BEV!$S$10:$AF$68,
      MATCH(B14,[2]BEV!$S$10:$S$68,0),
      MATCH("ABRIL",[2]BEV!$S$9:$AF$9,0)),
   0)-IF(B14=100873,
   IFERROR(VLOOKUP("ABRIL",[2]BEV!$S$80:$T$93,2,0),
      0),
   0)</f>
        <v>20</v>
      </c>
      <c r="Q14" s="243">
        <f t="shared" si="16"/>
        <v>1.6666666666666667</v>
      </c>
      <c r="R14" s="54">
        <f>SUMIF('UC MINI 2026'!$B$5:$B$71,'BEV MINI 2026'!$B14,'UC MINI 2026'!$N$5:$N$71)</f>
        <v>14</v>
      </c>
      <c r="S14" s="86">
        <f>IFERROR(INDEX([2]BEV!$S$10:$AF$68,
      MATCH(B14,[2]BEV!$S$10:$S$68,0),
      MATCH("MAYO",[2]BEV!$S$9:$AF$9,0)),
   0)-IF(B14=100873,
   IFERROR(VLOOKUP("MAYO",[2]BEV!$S$80:$T$93,2,0),
      0),
   0)</f>
        <v>19</v>
      </c>
      <c r="T14" s="297">
        <f t="shared" si="17"/>
        <v>1.3571428571428572</v>
      </c>
      <c r="U14" s="54">
        <f>SUMIF('UC MINI 2026'!$B$5:$B$71,'BEV MINI 2026'!$B14,'UC MINI 2026'!$P$5:$P$71)</f>
        <v>14</v>
      </c>
      <c r="V14" s="86">
        <f>IFERROR(INDEX([2]BEV!$S$10:$AF$68,
      MATCH(B14,[2]BEV!$S$10:$S$68,0),
      MATCH("JUNIO",[2]BEV!$S$9:$AF$9,0)),
   0)-IF(B14=100873,
   IFERROR(VLOOKUP("JUNIO",[2]BEV!$S$80:$T$93,2,0),
      0),
   0)</f>
        <v>26</v>
      </c>
      <c r="W14" s="243">
        <f t="shared" si="18"/>
        <v>1.8571428571428572</v>
      </c>
      <c r="X14" s="54">
        <f>SUMIF('UC MINI 2026'!$B$5:$B$71,'BEV MINI 2026'!$B14,'UC MINI 2026'!$R$5:$R$71)</f>
        <v>0</v>
      </c>
      <c r="Y14" s="86">
        <f>IFERROR(INDEX([2]BEV!$S$10:$AF$68,
      MATCH(B14,[2]BEV!$S$10:$S$68,0),
      MATCH("JULIO",[2]BEV!$S$9:$AF$9,0)),
   0)-IF(B14=100873,
   IFERROR(VLOOKUP("JULIO",[2]BEV!$S$80:$T$93,2,0),
      0),
   0)</f>
        <v>0</v>
      </c>
      <c r="Z14" s="297">
        <f t="shared" si="19"/>
        <v>0</v>
      </c>
      <c r="AA14" s="54">
        <f>SUMIF('UC MINI 2026'!$B$5:$B$71,'BEV MINI 2026'!$B14,'UC MINI 2026'!$T$5:$T$71)</f>
        <v>0</v>
      </c>
      <c r="AB14" s="86">
        <f>IFERROR(INDEX([2]BEV!$S$10:$AF$68,
      MATCH(B14,[2]BEV!$S$10:$S$68,0),
      MATCH("AGOSTO",[2]BEV!$S$9:$AF$9,0)),
   0)-IF(B14=100873,
   IFERROR(VLOOKUP("AGOSTO",[2]BEV!$S$80:$T$93,2,0),
      0),
   0)</f>
        <v>0</v>
      </c>
      <c r="AC14" s="243">
        <f t="shared" si="20"/>
        <v>0</v>
      </c>
      <c r="AD14" s="54">
        <f>SUMIF('UC MINI 2026'!$B$5:$B$71,'BEV MINI 2026'!$B14,'UC MINI 2026'!$V$5:$V$71)</f>
        <v>0</v>
      </c>
      <c r="AE14" s="86">
        <f>IFERROR(INDEX([2]BEV!$S$10:$AF$68,
      MATCH(B14,[2]BEV!$S$10:$S$68,0),
      MATCH("SEPTIEMBRE",[2]BEV!$S$9:$AF$9,0)),
   0)-IF(B14=100873,
   IFERROR(VLOOKUP("SEPTIEMBRE",[2]BEV!$S$80:$T$93,2,0),
      0),
   0)</f>
        <v>0</v>
      </c>
      <c r="AF14" s="297">
        <f t="shared" si="21"/>
        <v>0</v>
      </c>
      <c r="AG14" s="54">
        <f>SUMIF('UC MINI 2026'!$B$5:$B$71,'BEV MINI 2026'!$B14,'UC MINI 2026'!$X$5:$X$71)</f>
        <v>0</v>
      </c>
      <c r="AH14" s="86">
        <f>IFERROR(INDEX([2]BEV!$S$10:$AF$68,
      MATCH(B14,[2]BEV!$S$10:$S$68,0),
      MATCH("OCTUBRE",[2]BEV!$S$9:$AF$9,0)),
   0)-IF(B14=100873,
   IFERROR(VLOOKUP("OCTUBRE",[2]BEV!$S$80:$T$93,2,0),
      0),
   0)</f>
        <v>0</v>
      </c>
      <c r="AI14" s="243">
        <f t="shared" si="22"/>
        <v>0</v>
      </c>
      <c r="AJ14" s="54">
        <f>SUMIF('UC MINI 2026'!$B$5:$B$71,'BEV MINI 2026'!$B14,'UC MINI 2026'!$Z$5:$Z$71)</f>
        <v>0</v>
      </c>
      <c r="AK14" s="86">
        <f>IFERROR(INDEX([2]BEV!$S$10:$AF$68,
      MATCH(B14,[2]BEV!$S$10:$S$68,0),
      MATCH("NOVIEMBRE",[2]BEV!$S$9:$AF$9,0)),
   0)-IF(B14=100873,
   IFERROR(VLOOKUP("NOVIEMBRE",[2]BEV!$S$80:$T$93,2,0),
      0),
   0)</f>
        <v>0</v>
      </c>
      <c r="AL14" s="297">
        <f t="shared" si="23"/>
        <v>0</v>
      </c>
      <c r="AM14" s="54">
        <f>SUMIF('UC MINI 2026'!$B$5:$B$71,'BEV MINI 2026'!$B14,'UC MINI 2026'!$AB$5:$AB$71)</f>
        <v>0</v>
      </c>
      <c r="AN14" s="86">
        <f>IFERROR(INDEX([2]BEV!$S$10:$AF$68,
      MATCH(B14,[2]BEV!$S$10:$S$68,0),
      MATCH("DICIEMBRE",[2]BEV!$S$9:$AF$9,0)),
   0)-IF(B14=100873,
   IFERROR(VLOOKUP("DICIEMBRE",[2]BEV!$S$80:$T$93,2,0),
      0),
   0)</f>
        <v>0</v>
      </c>
      <c r="AO14" s="243">
        <f t="shared" si="24"/>
        <v>0</v>
      </c>
      <c r="AP14" s="54">
        <f t="shared" ref="AP14:AQ16" si="35">IFERROR(IF($AP$4="ENERO",F14,IF($AP$4="FEBRERO",F14+I14,IF($AP$4="MARZO",F14+I14+L14,IF($AP$4="ABRIL",F14+I14+L14+O14,IF($AP$4="MAYO",F14+I14+L14+O14+R14,IF($AP$4="JUNIO",F14+I14+L14+O14+R14+U14,IF($AP$4="JULIO",F14+I14+L14+O14+R14+U14+X14,IF($AP$4="AGOSTO",F14+I14+L14+O14+R14+U14+X14+AA14,IF($AP$4="SEPTIEMBRE",F14+I14+L14+O14+R14+U14+X14+AA14+AD14,IF($AP$4="OCTUBRE",F14+I14+L14+O14+R14+U14+X14+AA14+AD14+AG14,IF($AP$4="NOVIEMBRE",F14+I14+L14+O14+R14+U14+X14+AA14+AD14+AG14+AJ14,IF($AP$4="DICIEMBRE",F14+I14+L14+O14+R14+U14+X14+AA14+AD14+AG14+AJ14+AM14,"")))))))))))),0)</f>
        <v>80</v>
      </c>
      <c r="AQ14" s="86">
        <f t="shared" si="35"/>
        <v>116</v>
      </c>
      <c r="AR14" s="149">
        <f t="shared" si="3"/>
        <v>1.45</v>
      </c>
      <c r="AS14" s="54">
        <f>IFERROR(F14+I14+L14+O14+R14+U14++X14+AA14+AD14+AG14+AJ14+AM14,0)</f>
        <v>80</v>
      </c>
      <c r="AT14" s="86">
        <f t="shared" si="14"/>
        <v>116</v>
      </c>
      <c r="AU14" s="149">
        <f t="shared" si="4"/>
        <v>1.45</v>
      </c>
      <c r="AV14" s="54">
        <f t="shared" ref="AV14:AW16" si="36">IF($AV$5="Q1",F14+I14+L14,
IF($AV$5="Q2",O14+R14++U14,
IF($AV$5="Q3",X14+AA14+AD14,
IF($AV$5="Q4",AG14+AJ14+AM14,0))))</f>
        <v>40</v>
      </c>
      <c r="AW14" s="86">
        <f t="shared" si="36"/>
        <v>51</v>
      </c>
      <c r="AX14" s="109">
        <f t="shared" si="6"/>
        <v>1.2749999999999999</v>
      </c>
      <c r="AY14" s="86">
        <f>IFERROR(IF($AV$5="Q1",#REF!+#REF!+#REF!,
IF($AV$5="Q2",#REF!+#REF!++#REF!,
IF($AV$5="Q3",#REF!+#REF!+#REF!,
IF($AV$5="Q4",#REF!+#REF!+#REF!,0)))),0)</f>
        <v>0</v>
      </c>
      <c r="AZ14" s="297">
        <f>IF(AW14=0,"N.D.",AY14/AW14)</f>
        <v>0</v>
      </c>
      <c r="BA14" s="348">
        <f>IFERROR(IF($AV$5="Q1",#REF!+#REF!+#REF!,
IF($AV$5="Q2",#REF!+#REF!+#REF!,
IF($AV$5="Q3",#REF!+#REF!+#REF!,
IF($AV$5="Q4",#REF!+#REF!+#REF!,0)))),0)</f>
        <v>0</v>
      </c>
      <c r="BB14" s="150">
        <f t="shared" si="7"/>
        <v>0</v>
      </c>
      <c r="BC14" s="54">
        <f t="shared" ref="BC14:BD16" si="37">IFERROR(IF($BC$5="S 1",F14+I14+L14+O14+R14+U14,
IF($BC$5="S 2",X14+AA14+AD14+AG14+AJ14+AM14,0)),0)</f>
        <v>80</v>
      </c>
      <c r="BD14" s="86">
        <f t="shared" si="37"/>
        <v>116</v>
      </c>
      <c r="BE14" s="150">
        <f t="shared" si="9"/>
        <v>1.45</v>
      </c>
      <c r="BF14" s="54">
        <f t="shared" ref="BF14:BG16" si="38">IFERROR(IF($BF$5="S 1",F14+I14+L14+O14+R14+U14,
IF($BF$5="S 2",X14+AA14+AD14+AG14+AJ14+AM14,0)),0)</f>
        <v>0</v>
      </c>
      <c r="BG14" s="79">
        <f t="shared" si="38"/>
        <v>0</v>
      </c>
      <c r="BH14" s="150">
        <f t="shared" si="11"/>
        <v>0</v>
      </c>
      <c r="BI14" s="53">
        <v>1</v>
      </c>
      <c r="BK14" s="53">
        <v>90</v>
      </c>
      <c r="BL14" s="53">
        <v>145</v>
      </c>
      <c r="BM14" s="513">
        <v>1.9259259259259258</v>
      </c>
      <c r="BP14" s="53">
        <f t="shared" si="12"/>
        <v>65</v>
      </c>
      <c r="BQ14" s="53">
        <f t="shared" si="13"/>
        <v>40</v>
      </c>
    </row>
    <row r="15" spans="1:69" s="53" customFormat="1" ht="16" customHeight="1" x14ac:dyDescent="0.3">
      <c r="A15" s="53">
        <f>_xlfn.XLOOKUP(B15,'WHOLESALE MINI 2026'!$B$7:$B$63,'WHOLESALE MINI 2026'!$A$7:$A$63)</f>
        <v>2</v>
      </c>
      <c r="B15" s="8">
        <v>100917</v>
      </c>
      <c r="C15" s="369" t="s">
        <v>263</v>
      </c>
      <c r="D15" s="146"/>
      <c r="E15" s="309" t="s">
        <v>276</v>
      </c>
      <c r="F15" s="54">
        <f>SUMIF('UC MINI 2026'!$B$5:$B$71,'BEV MINI 2026'!$B15,'UC MINI 2026'!$F$5:$F$71)</f>
        <v>1</v>
      </c>
      <c r="G15" s="86">
        <f>IFERROR(INDEX([2]BEV!$S$10:$AF$68,
      MATCH(B15,[2]BEV!$S$10:$S$68,0),
      MATCH("ENERO",[2]BEV!$S$9:$AF$9,0)),
   0)-IF(B15=100873,
   IFERROR(VLOOKUP("ENERO",[2]BEV!$S$80:$T$93,2,0),
      0),
   0)</f>
        <v>1</v>
      </c>
      <c r="H15" s="243">
        <f t="shared" si="0"/>
        <v>1</v>
      </c>
      <c r="I15" s="54">
        <f>SUMIF('UC MINI 2026'!$B$5:$B$71,'BEV MINI 2026'!$B15,'UC MINI 2026'!$H$5:$H$71)</f>
        <v>1</v>
      </c>
      <c r="J15" s="86">
        <f>IFERROR(INDEX([2]BEV!$S$10:$AF$68,
      MATCH(B15,[2]BEV!$S$10:$S$68,0),
      MATCH("FEBRERO",[2]BEV!$S$9:$AF$9,0)),
   0)-IF(B15=100873,
   IFERROR(VLOOKUP("FEBRERO",[2]BEV!$S$80:$T$93,2,0),
      0),
   0)</f>
        <v>1</v>
      </c>
      <c r="K15" s="243">
        <f t="shared" si="1"/>
        <v>1</v>
      </c>
      <c r="L15" s="54">
        <f>SUMIF('UC MINI 2026'!$B$5:$B$71,'BEV MINI 2026'!$B15,'UC MINI 2026'!$J$5:$J$71)</f>
        <v>5</v>
      </c>
      <c r="M15" s="86">
        <f>IFERROR(INDEX([2]BEV!$S$10:$AF$68,
      MATCH(B15,[2]BEV!$S$10:$S$68,0),
      MATCH("MARZO",[2]BEV!$S$9:$AF$9,0)),
   0)-IF(B15=100873,
   IFERROR(VLOOKUP("MARZO",[2]BEV!$S$80:$T$93,2,0),
      0),
   0)</f>
        <v>0</v>
      </c>
      <c r="N15" s="297">
        <f t="shared" si="15"/>
        <v>0</v>
      </c>
      <c r="O15" s="54">
        <f>SUMIF('UC MINI 2026'!$B$5:$B$71,'BEV MINI 2026'!$B15,'UC MINI 2026'!$L$5:$L$71)</f>
        <v>6</v>
      </c>
      <c r="P15" s="86">
        <f>IFERROR(INDEX([2]BEV!$S$10:$AF$68,
      MATCH(B15,[2]BEV!$S$10:$S$68,0),
      MATCH("ABRIL",[2]BEV!$S$9:$AF$9,0)),
   0)-IF(B15=100873,
   IFERROR(VLOOKUP("ABRIL",[2]BEV!$S$80:$T$93,2,0),
      0),
   0)</f>
        <v>10</v>
      </c>
      <c r="Q15" s="243">
        <f t="shared" si="16"/>
        <v>1.6666666666666667</v>
      </c>
      <c r="R15" s="54">
        <f>SUMIF('UC MINI 2026'!$B$5:$B$71,'BEV MINI 2026'!$B15,'UC MINI 2026'!$N$5:$N$71)</f>
        <v>6</v>
      </c>
      <c r="S15" s="86">
        <f>IFERROR(INDEX([2]BEV!$S$10:$AF$68,
      MATCH(B15,[2]BEV!$S$10:$S$68,0),
      MATCH("MAYO",[2]BEV!$S$9:$AF$9,0)),
   0)-IF(B15=100873,
   IFERROR(VLOOKUP("MAYO",[2]BEV!$S$80:$T$93,2,0),
      0),
   0)</f>
        <v>5</v>
      </c>
      <c r="T15" s="297">
        <f t="shared" si="17"/>
        <v>0.83333333333333337</v>
      </c>
      <c r="U15" s="54">
        <f>SUMIF('UC MINI 2026'!$B$5:$B$71,'BEV MINI 2026'!$B15,'UC MINI 2026'!$P$5:$P$71)</f>
        <v>6</v>
      </c>
      <c r="V15" s="86">
        <f>IFERROR(INDEX([2]BEV!$S$10:$AF$68,
      MATCH(B15,[2]BEV!$S$10:$S$68,0),
      MATCH("JUNIO",[2]BEV!$S$9:$AF$9,0)),
   0)-IF(B15=100873,
   IFERROR(VLOOKUP("JUNIO",[2]BEV!$S$80:$T$93,2,0),
      0),
   0)</f>
        <v>3</v>
      </c>
      <c r="W15" s="243">
        <f t="shared" si="18"/>
        <v>0.5</v>
      </c>
      <c r="X15" s="54">
        <f>SUMIF('UC MINI 2026'!$B$5:$B$71,'BEV MINI 2026'!$B15,'UC MINI 2026'!$R$5:$R$71)</f>
        <v>0</v>
      </c>
      <c r="Y15" s="86">
        <f>IFERROR(INDEX([2]BEV!$S$10:$AF$68,
      MATCH(B15,[2]BEV!$S$10:$S$68,0),
      MATCH("JULIO",[2]BEV!$S$9:$AF$9,0)),
   0)-IF(B15=100873,
   IFERROR(VLOOKUP("JULIO",[2]BEV!$S$80:$T$93,2,0),
      0),
   0)</f>
        <v>0</v>
      </c>
      <c r="Z15" s="297">
        <f t="shared" si="19"/>
        <v>0</v>
      </c>
      <c r="AA15" s="54">
        <f>SUMIF('UC MINI 2026'!$B$5:$B$71,'BEV MINI 2026'!$B15,'UC MINI 2026'!$T$5:$T$71)</f>
        <v>0</v>
      </c>
      <c r="AB15" s="86">
        <f>IFERROR(INDEX([2]BEV!$S$10:$AF$68,
      MATCH(B15,[2]BEV!$S$10:$S$68,0),
      MATCH("AGOSTO",[2]BEV!$S$9:$AF$9,0)),
   0)-IF(B15=100873,
   IFERROR(VLOOKUP("AGOSTO",[2]BEV!$S$80:$T$93,2,0),
      0),
   0)</f>
        <v>0</v>
      </c>
      <c r="AC15" s="243">
        <f t="shared" si="20"/>
        <v>0</v>
      </c>
      <c r="AD15" s="54">
        <f>SUMIF('UC MINI 2026'!$B$5:$B$71,'BEV MINI 2026'!$B15,'UC MINI 2026'!$V$5:$V$71)</f>
        <v>0</v>
      </c>
      <c r="AE15" s="86">
        <f>IFERROR(INDEX([2]BEV!$S$10:$AF$68,
      MATCH(B15,[2]BEV!$S$10:$S$68,0),
      MATCH("SEPTIEMBRE",[2]BEV!$S$9:$AF$9,0)),
   0)-IF(B15=100873,
   IFERROR(VLOOKUP("SEPTIEMBRE",[2]BEV!$S$80:$T$93,2,0),
      0),
   0)</f>
        <v>0</v>
      </c>
      <c r="AF15" s="297">
        <f t="shared" si="21"/>
        <v>0</v>
      </c>
      <c r="AG15" s="54">
        <f>SUMIF('UC MINI 2026'!$B$5:$B$71,'BEV MINI 2026'!$B15,'UC MINI 2026'!$X$5:$X$71)</f>
        <v>0</v>
      </c>
      <c r="AH15" s="86">
        <f>IFERROR(INDEX([2]BEV!$S$10:$AF$68,
      MATCH(B15,[2]BEV!$S$10:$S$68,0),
      MATCH("OCTUBRE",[2]BEV!$S$9:$AF$9,0)),
   0)-IF(B15=100873,
   IFERROR(VLOOKUP("OCTUBRE",[2]BEV!$S$80:$T$93,2,0),
      0),
   0)</f>
        <v>0</v>
      </c>
      <c r="AI15" s="243">
        <f t="shared" si="22"/>
        <v>0</v>
      </c>
      <c r="AJ15" s="54">
        <f>SUMIF('UC MINI 2026'!$B$5:$B$71,'BEV MINI 2026'!$B15,'UC MINI 2026'!$Z$5:$Z$71)</f>
        <v>0</v>
      </c>
      <c r="AK15" s="86">
        <f>IFERROR(INDEX([2]BEV!$S$10:$AF$68,
      MATCH(B15,[2]BEV!$S$10:$S$68,0),
      MATCH("NOVIEMBRE",[2]BEV!$S$9:$AF$9,0)),
   0)-IF(B15=100873,
   IFERROR(VLOOKUP("NOVIEMBRE",[2]BEV!$S$80:$T$93,2,0),
      0),
   0)</f>
        <v>0</v>
      </c>
      <c r="AL15" s="297">
        <f t="shared" si="23"/>
        <v>0</v>
      </c>
      <c r="AM15" s="54">
        <f>SUMIF('UC MINI 2026'!$B$5:$B$71,'BEV MINI 2026'!$B15,'UC MINI 2026'!$AB$5:$AB$71)</f>
        <v>0</v>
      </c>
      <c r="AN15" s="86">
        <f>IFERROR(INDEX([2]BEV!$S$10:$AF$68,
      MATCH(B15,[2]BEV!$S$10:$S$68,0),
      MATCH("DICIEMBRE",[2]BEV!$S$9:$AF$9,0)),
   0)-IF(B15=100873,
   IFERROR(VLOOKUP("DICIEMBRE",[2]BEV!$S$80:$T$93,2,0),
      0),
   0)</f>
        <v>0</v>
      </c>
      <c r="AO15" s="243">
        <f t="shared" si="24"/>
        <v>0</v>
      </c>
      <c r="AP15" s="54">
        <f t="shared" si="35"/>
        <v>25</v>
      </c>
      <c r="AQ15" s="86">
        <f t="shared" si="35"/>
        <v>20</v>
      </c>
      <c r="AR15" s="149">
        <f t="shared" si="3"/>
        <v>0.8</v>
      </c>
      <c r="AS15" s="54">
        <f>IFERROR(F15+I15+L15+O15+R15+U15++X15+AA15+AD15+AG15+AJ15+AM15,0)</f>
        <v>25</v>
      </c>
      <c r="AT15" s="86">
        <f t="shared" si="14"/>
        <v>20</v>
      </c>
      <c r="AU15" s="149">
        <f t="shared" si="4"/>
        <v>0.8</v>
      </c>
      <c r="AV15" s="54">
        <f t="shared" si="36"/>
        <v>7</v>
      </c>
      <c r="AW15" s="86">
        <f t="shared" si="36"/>
        <v>2</v>
      </c>
      <c r="AX15" s="109">
        <f t="shared" si="6"/>
        <v>0.2857142857142857</v>
      </c>
      <c r="AY15" s="86">
        <f>IFERROR(IF($AV$5="Q1",#REF!+#REF!+#REF!,
IF($AV$5="Q2",#REF!+#REF!++#REF!,
IF($AV$5="Q3",#REF!+#REF!+#REF!,
IF($AV$5="Q4",#REF!+#REF!+#REF!,0)))),0)</f>
        <v>0</v>
      </c>
      <c r="AZ15" s="297">
        <f>IF(AW15=0,"N.D.",AY15/AW15)</f>
        <v>0</v>
      </c>
      <c r="BA15" s="348">
        <f>IFERROR(IF($AV$5="Q1",#REF!+#REF!+#REF!,
IF($AV$5="Q2",#REF!+#REF!+#REF!,
IF($AV$5="Q3",#REF!+#REF!+#REF!,
IF($AV$5="Q4",#REF!+#REF!+#REF!,0)))),0)</f>
        <v>0</v>
      </c>
      <c r="BB15" s="150">
        <f t="shared" si="7"/>
        <v>0</v>
      </c>
      <c r="BC15" s="54">
        <f t="shared" si="37"/>
        <v>25</v>
      </c>
      <c r="BD15" s="86">
        <f t="shared" si="37"/>
        <v>20</v>
      </c>
      <c r="BE15" s="150">
        <f t="shared" si="9"/>
        <v>0.8</v>
      </c>
      <c r="BF15" s="54">
        <f t="shared" si="38"/>
        <v>0</v>
      </c>
      <c r="BG15" s="79">
        <f t="shared" si="38"/>
        <v>0</v>
      </c>
      <c r="BH15" s="150">
        <f t="shared" si="11"/>
        <v>0</v>
      </c>
      <c r="BI15" s="53">
        <v>1</v>
      </c>
      <c r="BK15" s="53">
        <v>80</v>
      </c>
      <c r="BL15" s="53">
        <v>120</v>
      </c>
      <c r="BM15" s="513">
        <v>1.88</v>
      </c>
      <c r="BP15" s="53">
        <f t="shared" si="12"/>
        <v>18</v>
      </c>
      <c r="BQ15" s="53">
        <f t="shared" si="13"/>
        <v>18</v>
      </c>
    </row>
    <row r="16" spans="1:69" s="53" customFormat="1" ht="16" customHeight="1" thickBot="1" x14ac:dyDescent="0.35">
      <c r="A16" s="53">
        <f>_xlfn.XLOOKUP(B16,'WHOLESALE MINI 2026'!$B$7:$B$63,'WHOLESALE MINI 2026'!$A$7:$A$63)</f>
        <v>2</v>
      </c>
      <c r="B16" s="8">
        <v>100726</v>
      </c>
      <c r="C16" s="369" t="s">
        <v>19</v>
      </c>
      <c r="D16" s="163"/>
      <c r="E16" s="309" t="s">
        <v>88</v>
      </c>
      <c r="F16" s="54">
        <f>SUMIF('UC MINI 2026'!$B$5:$B$71,'BEV MINI 2026'!$B16,'UC MINI 2026'!$F$5:$F$71)</f>
        <v>4</v>
      </c>
      <c r="G16" s="86">
        <f>IFERROR(INDEX([2]BEV!$S$10:$AF$68,
      MATCH(B16,[2]BEV!$S$10:$S$68,0),
      MATCH("ENERO",[2]BEV!$S$9:$AF$9,0)),
   0)-IF(B16=100873,
   IFERROR(VLOOKUP("ENERO",[2]BEV!$S$80:$T$93,2,0),
      0),
   0)</f>
        <v>3</v>
      </c>
      <c r="H16" s="382">
        <f t="shared" si="0"/>
        <v>0.75</v>
      </c>
      <c r="I16" s="54">
        <f>SUMIF('UC MINI 2026'!$B$5:$B$71,'BEV MINI 2026'!$B16,'UC MINI 2026'!$H$5:$H$71)</f>
        <v>4</v>
      </c>
      <c r="J16" s="86">
        <f>IFERROR(INDEX([2]BEV!$S$10:$AF$68,
      MATCH(B16,[2]BEV!$S$10:$S$68,0),
      MATCH("FEBRERO",[2]BEV!$S$9:$AF$9,0)),
   0)-IF(B16=100873,
   IFERROR(VLOOKUP("FEBRERO",[2]BEV!$S$80:$T$93,2,0),
      0),
   0)</f>
        <v>12</v>
      </c>
      <c r="K16" s="382">
        <f t="shared" si="1"/>
        <v>3</v>
      </c>
      <c r="L16" s="54">
        <f>SUMIF('UC MINI 2026'!$B$5:$B$71,'BEV MINI 2026'!$B16,'UC MINI 2026'!$J$5:$J$71)</f>
        <v>5</v>
      </c>
      <c r="M16" s="86">
        <f>IFERROR(INDEX([2]BEV!$S$10:$AF$68,
      MATCH(B16,[2]BEV!$S$10:$S$68,0),
      MATCH("MARZO",[2]BEV!$S$9:$AF$9,0)),
   0)-IF(B16=100873,
   IFERROR(VLOOKUP("MARZO",[2]BEV!$S$80:$T$93,2,0),
      0),
   0)</f>
        <v>5</v>
      </c>
      <c r="N16" s="297">
        <f t="shared" si="15"/>
        <v>1</v>
      </c>
      <c r="O16" s="54">
        <f>SUMIF('UC MINI 2026'!$B$5:$B$71,'BEV MINI 2026'!$B16,'UC MINI 2026'!$L$5:$L$71)</f>
        <v>4</v>
      </c>
      <c r="P16" s="86">
        <f>IFERROR(INDEX([2]BEV!$S$10:$AF$68,
      MATCH(B16,[2]BEV!$S$10:$S$68,0),
      MATCH("ABRIL",[2]BEV!$S$9:$AF$9,0)),
   0)-IF(B16=100873,
   IFERROR(VLOOKUP("ABRIL",[2]BEV!$S$80:$T$93,2,0),
      0),
   0)</f>
        <v>9</v>
      </c>
      <c r="Q16" s="243">
        <f t="shared" si="16"/>
        <v>2.25</v>
      </c>
      <c r="R16" s="54">
        <f>SUMIF('UC MINI 2026'!$B$5:$B$71,'BEV MINI 2026'!$B16,'UC MINI 2026'!$N$5:$N$71)</f>
        <v>5</v>
      </c>
      <c r="S16" s="86">
        <f>IFERROR(INDEX([2]BEV!$S$10:$AF$68,
      MATCH(B16,[2]BEV!$S$10:$S$68,0),
      MATCH("MAYO",[2]BEV!$S$9:$AF$9,0)),
   0)-IF(B16=100873,
   IFERROR(VLOOKUP("MAYO",[2]BEV!$S$80:$T$93,2,0),
      0),
   0)</f>
        <v>3</v>
      </c>
      <c r="T16" s="297">
        <f t="shared" si="17"/>
        <v>0.6</v>
      </c>
      <c r="U16" s="54">
        <f>SUMIF('UC MINI 2026'!$B$5:$B$71,'BEV MINI 2026'!$B16,'UC MINI 2026'!$P$5:$P$71)</f>
        <v>5</v>
      </c>
      <c r="V16" s="86">
        <f>IFERROR(INDEX([2]BEV!$S$10:$AF$68,
      MATCH(B16,[2]BEV!$S$10:$S$68,0),
      MATCH("JUNIO",[2]BEV!$S$9:$AF$9,0)),
   0)-IF(B16=100873,
   IFERROR(VLOOKUP("JUNIO",[2]BEV!$S$80:$T$93,2,0),
      0),
   0)</f>
        <v>20</v>
      </c>
      <c r="W16" s="243">
        <f t="shared" si="18"/>
        <v>4</v>
      </c>
      <c r="X16" s="54">
        <f>SUMIF('UC MINI 2026'!$B$5:$B$71,'BEV MINI 2026'!$B16,'UC MINI 2026'!$R$5:$R$71)</f>
        <v>0</v>
      </c>
      <c r="Y16" s="86">
        <f>IFERROR(INDEX([2]BEV!$S$10:$AF$68,
      MATCH(B16,[2]BEV!$S$10:$S$68,0),
      MATCH("JULIO",[2]BEV!$S$9:$AF$9,0)),
   0)-IF(B16=100873,
   IFERROR(VLOOKUP("JULIO",[2]BEV!$S$80:$T$93,2,0),
      0),
   0)</f>
        <v>0</v>
      </c>
      <c r="Z16" s="297">
        <f t="shared" si="19"/>
        <v>0</v>
      </c>
      <c r="AA16" s="54">
        <f>SUMIF('UC MINI 2026'!$B$5:$B$71,'BEV MINI 2026'!$B16,'UC MINI 2026'!$T$5:$T$71)</f>
        <v>0</v>
      </c>
      <c r="AB16" s="86">
        <f>IFERROR(INDEX([2]BEV!$S$10:$AF$68,
      MATCH(B16,[2]BEV!$S$10:$S$68,0),
      MATCH("AGOSTO",[2]BEV!$S$9:$AF$9,0)),
   0)-IF(B16=100873,
   IFERROR(VLOOKUP("AGOSTO",[2]BEV!$S$80:$T$93,2,0),
      0),
   0)</f>
        <v>0</v>
      </c>
      <c r="AC16" s="243">
        <f t="shared" si="20"/>
        <v>0</v>
      </c>
      <c r="AD16" s="54">
        <f>SUMIF('UC MINI 2026'!$B$5:$B$71,'BEV MINI 2026'!$B16,'UC MINI 2026'!$V$5:$V$71)</f>
        <v>0</v>
      </c>
      <c r="AE16" s="86">
        <f>IFERROR(INDEX([2]BEV!$S$10:$AF$68,
      MATCH(B16,[2]BEV!$S$10:$S$68,0),
      MATCH("SEPTIEMBRE",[2]BEV!$S$9:$AF$9,0)),
   0)-IF(B16=100873,
   IFERROR(VLOOKUP("SEPTIEMBRE",[2]BEV!$S$80:$T$93,2,0),
      0),
   0)</f>
        <v>0</v>
      </c>
      <c r="AF16" s="297">
        <f t="shared" si="21"/>
        <v>0</v>
      </c>
      <c r="AG16" s="54">
        <f>SUMIF('UC MINI 2026'!$B$5:$B$71,'BEV MINI 2026'!$B16,'UC MINI 2026'!$X$5:$X$71)</f>
        <v>0</v>
      </c>
      <c r="AH16" s="86">
        <f>IFERROR(INDEX([2]BEV!$S$10:$AF$68,
      MATCH(B16,[2]BEV!$S$10:$S$68,0),
      MATCH("OCTUBRE",[2]BEV!$S$9:$AF$9,0)),
   0)-IF(B16=100873,
   IFERROR(VLOOKUP("OCTUBRE",[2]BEV!$S$80:$T$93,2,0),
      0),
   0)</f>
        <v>0</v>
      </c>
      <c r="AI16" s="243">
        <f t="shared" si="22"/>
        <v>0</v>
      </c>
      <c r="AJ16" s="54">
        <f>SUMIF('UC MINI 2026'!$B$5:$B$71,'BEV MINI 2026'!$B16,'UC MINI 2026'!$Z$5:$Z$71)</f>
        <v>0</v>
      </c>
      <c r="AK16" s="86">
        <f>IFERROR(INDEX([2]BEV!$S$10:$AF$68,
      MATCH(B16,[2]BEV!$S$10:$S$68,0),
      MATCH("NOVIEMBRE",[2]BEV!$S$9:$AF$9,0)),
   0)-IF(B16=100873,
   IFERROR(VLOOKUP("NOVIEMBRE",[2]BEV!$S$80:$T$93,2,0),
      0),
   0)</f>
        <v>0</v>
      </c>
      <c r="AL16" s="297">
        <f t="shared" si="23"/>
        <v>0</v>
      </c>
      <c r="AM16" s="54">
        <f>SUMIF('UC MINI 2026'!$B$5:$B$71,'BEV MINI 2026'!$B16,'UC MINI 2026'!$AB$5:$AB$71)</f>
        <v>0</v>
      </c>
      <c r="AN16" s="86">
        <f>IFERROR(INDEX([2]BEV!$S$10:$AF$68,
      MATCH(B16,[2]BEV!$S$10:$S$68,0),
      MATCH("DICIEMBRE",[2]BEV!$S$9:$AF$9,0)),
   0)-IF(B16=100873,
   IFERROR(VLOOKUP("DICIEMBRE",[2]BEV!$S$80:$T$93,2,0),
      0),
   0)</f>
        <v>0</v>
      </c>
      <c r="AO16" s="243">
        <f t="shared" si="24"/>
        <v>0</v>
      </c>
      <c r="AP16" s="54">
        <f t="shared" si="35"/>
        <v>27</v>
      </c>
      <c r="AQ16" s="86">
        <f t="shared" si="35"/>
        <v>52</v>
      </c>
      <c r="AR16" s="152">
        <f t="shared" si="3"/>
        <v>1.9259259259259258</v>
      </c>
      <c r="AS16" s="54">
        <f>IFERROR(F16+I16+L16+O16+R16+U16++X16+AA16+AD16+AG16+AJ16+AM16,0)</f>
        <v>27</v>
      </c>
      <c r="AT16" s="86">
        <f t="shared" si="14"/>
        <v>52</v>
      </c>
      <c r="AU16" s="152">
        <f t="shared" si="4"/>
        <v>1.9259259259259258</v>
      </c>
      <c r="AV16" s="58">
        <f t="shared" si="36"/>
        <v>13</v>
      </c>
      <c r="AW16" s="59">
        <f t="shared" si="36"/>
        <v>20</v>
      </c>
      <c r="AX16" s="112">
        <f t="shared" si="6"/>
        <v>1.5384615384615385</v>
      </c>
      <c r="AY16" s="86">
        <f>IFERROR(IF($AV$5="Q1",#REF!+#REF!+#REF!,
IF($AV$5="Q2",#REF!+#REF!++#REF!,
IF($AV$5="Q3",#REF!+#REF!+#REF!,
IF($AV$5="Q4",#REF!+#REF!+#REF!,0)))),0)</f>
        <v>0</v>
      </c>
      <c r="AZ16" s="297">
        <f>IF(AW16=0,"N.D.",AY16/AW16)</f>
        <v>0</v>
      </c>
      <c r="BA16" s="348">
        <f>IFERROR(IF($AV$5="Q1",#REF!+#REF!+#REF!,
IF($AV$5="Q2",#REF!+#REF!+#REF!,
IF($AV$5="Q3",#REF!+#REF!+#REF!,
IF($AV$5="Q4",#REF!+#REF!+#REF!,0)))),0)</f>
        <v>0</v>
      </c>
      <c r="BB16" s="153">
        <f t="shared" si="7"/>
        <v>0</v>
      </c>
      <c r="BC16" s="54">
        <f t="shared" si="37"/>
        <v>27</v>
      </c>
      <c r="BD16" s="86">
        <f t="shared" si="37"/>
        <v>52</v>
      </c>
      <c r="BE16" s="153">
        <f t="shared" si="9"/>
        <v>1.9259259259259258</v>
      </c>
      <c r="BF16" s="54">
        <f t="shared" si="38"/>
        <v>0</v>
      </c>
      <c r="BG16" s="79">
        <f t="shared" si="38"/>
        <v>0</v>
      </c>
      <c r="BH16" s="153">
        <f t="shared" si="11"/>
        <v>0</v>
      </c>
      <c r="BI16" s="53">
        <v>1</v>
      </c>
      <c r="BK16" s="53">
        <v>80</v>
      </c>
      <c r="BL16" s="53">
        <v>116</v>
      </c>
      <c r="BM16" s="513">
        <v>1.76</v>
      </c>
      <c r="BP16" s="53">
        <f t="shared" si="12"/>
        <v>32</v>
      </c>
      <c r="BQ16" s="53">
        <f t="shared" si="13"/>
        <v>14</v>
      </c>
    </row>
    <row r="17" spans="1:69" s="53" customFormat="1" ht="16" customHeight="1" thickBot="1" x14ac:dyDescent="0.35">
      <c r="A17" s="53">
        <f>_xlfn.XLOOKUP(B17,'WHOLESALE MINI 2026'!$B$7:$B$63,'WHOLESALE MINI 2026'!$A$7:$A$63)</f>
        <v>0</v>
      </c>
      <c r="B17" s="61" t="s">
        <v>265</v>
      </c>
      <c r="C17" s="62"/>
      <c r="D17" s="154"/>
      <c r="E17" s="80"/>
      <c r="F17" s="155">
        <f>SUM(F12:F16)</f>
        <v>44</v>
      </c>
      <c r="G17" s="155">
        <f>SUM(G12:G16)</f>
        <v>70</v>
      </c>
      <c r="H17" s="301">
        <f t="shared" si="0"/>
        <v>1.5909090909090908</v>
      </c>
      <c r="I17" s="155">
        <f>SUM(I12:I16)</f>
        <v>48</v>
      </c>
      <c r="J17" s="155">
        <f>SUM(J12:J16)</f>
        <v>59</v>
      </c>
      <c r="K17" s="301">
        <f t="shared" si="1"/>
        <v>1.2291666666666667</v>
      </c>
      <c r="L17" s="155">
        <f>SUM(L12:L16)</f>
        <v>53</v>
      </c>
      <c r="M17" s="155">
        <f>SUM(M12:M16)</f>
        <v>65</v>
      </c>
      <c r="N17" s="301">
        <f t="shared" ref="N17:N22" si="39">IFERROR(M17/L17,0)</f>
        <v>1.2264150943396226</v>
      </c>
      <c r="O17" s="155">
        <f>SUM(O12:O16)</f>
        <v>49</v>
      </c>
      <c r="P17" s="155">
        <f>SUM(P12:P16)</f>
        <v>83</v>
      </c>
      <c r="Q17" s="301">
        <f t="shared" ref="Q17:Q22" si="40">IFERROR(P17/O17,0)</f>
        <v>1.6938775510204083</v>
      </c>
      <c r="R17" s="155">
        <f>SUM(R12:R16)</f>
        <v>54</v>
      </c>
      <c r="S17" s="155">
        <f>SUM(S12:S16)</f>
        <v>66</v>
      </c>
      <c r="T17" s="301">
        <f t="shared" ref="T17:T22" si="41">IFERROR(S17/R17,0)</f>
        <v>1.2222222222222223</v>
      </c>
      <c r="U17" s="155">
        <f>SUM(U12:U16)</f>
        <v>54</v>
      </c>
      <c r="V17" s="155">
        <f>SUM(V12:V16)</f>
        <v>110</v>
      </c>
      <c r="W17" s="301">
        <f t="shared" ref="W17:W22" si="42">IFERROR(V17/U17,0)</f>
        <v>2.0370370370370372</v>
      </c>
      <c r="X17" s="155">
        <f>SUM(X12:X16)</f>
        <v>0</v>
      </c>
      <c r="Y17" s="155">
        <f>SUM(Y12:Y16)</f>
        <v>0</v>
      </c>
      <c r="Z17" s="301">
        <f t="shared" ref="Z17:Z22" si="43">IFERROR(Y17/X17,0)</f>
        <v>0</v>
      </c>
      <c r="AA17" s="155">
        <f>SUM(AA12:AA16)</f>
        <v>0</v>
      </c>
      <c r="AB17" s="155">
        <f>SUM(AB12:AB16)</f>
        <v>0</v>
      </c>
      <c r="AC17" s="301">
        <f t="shared" ref="AC17:AC22" si="44">IFERROR(AB17/AA17,0)</f>
        <v>0</v>
      </c>
      <c r="AD17" s="155">
        <f>SUM(AD12:AD16)</f>
        <v>0</v>
      </c>
      <c r="AE17" s="155">
        <f>SUM(AE12:AE16)</f>
        <v>0</v>
      </c>
      <c r="AF17" s="301">
        <f t="shared" ref="AF17:AF22" si="45">IFERROR(AE17/AD17,0)</f>
        <v>0</v>
      </c>
      <c r="AG17" s="155">
        <f>SUM(AG12:AG16)</f>
        <v>0</v>
      </c>
      <c r="AH17" s="155">
        <f>SUM(AH12:AH16)</f>
        <v>0</v>
      </c>
      <c r="AI17" s="301">
        <f t="shared" ref="AI17:AI22" si="46">IFERROR(AH17/AG17,0)</f>
        <v>0</v>
      </c>
      <c r="AJ17" s="155">
        <f>SUM(AJ12:AJ16)</f>
        <v>0</v>
      </c>
      <c r="AK17" s="155">
        <f>SUM(AK12:AK16)</f>
        <v>0</v>
      </c>
      <c r="AL17" s="301">
        <f t="shared" ref="AL17:AL22" si="47">IFERROR(AK17/AJ17,0)</f>
        <v>0</v>
      </c>
      <c r="AM17" s="155">
        <f>SUM(AM12:AM16)</f>
        <v>0</v>
      </c>
      <c r="AN17" s="155">
        <f>SUM(AN12:AN16)</f>
        <v>0</v>
      </c>
      <c r="AO17" s="301">
        <f t="shared" ref="AO17:AO22" si="48">IFERROR(AN17/AM17,0)</f>
        <v>0</v>
      </c>
      <c r="AP17" s="63">
        <f>SUM(AP12:AP16)</f>
        <v>302</v>
      </c>
      <c r="AQ17" s="63">
        <f>SUM(AQ12:AQ16)</f>
        <v>453</v>
      </c>
      <c r="AR17" s="320">
        <f t="shared" si="3"/>
        <v>1.5</v>
      </c>
      <c r="AS17" s="63">
        <f>SUM(AS12:AS16)</f>
        <v>302</v>
      </c>
      <c r="AT17" s="63">
        <f>SUM(AT12:AT16)</f>
        <v>453</v>
      </c>
      <c r="AU17" s="320">
        <f t="shared" si="4"/>
        <v>1.5</v>
      </c>
      <c r="AV17" s="63">
        <f>SUM(AV8:AV16)</f>
        <v>316</v>
      </c>
      <c r="AW17" s="65">
        <f>SUM(AW8:AW16)</f>
        <v>453</v>
      </c>
      <c r="AX17" s="157">
        <f t="shared" si="6"/>
        <v>1.4335443037974684</v>
      </c>
      <c r="AY17" s="65">
        <f>SUM(AY8:AY16)</f>
        <v>0</v>
      </c>
      <c r="AZ17" s="321">
        <f>IFERROR(AY17/AW17,0)</f>
        <v>0</v>
      </c>
      <c r="BA17" s="349" t="e">
        <f>IF($AV$5="Q1",#REF!+#REF!+#REF!,
IF($AV$5="Q2",#REF!+#REF!+#REF!,
IF($AV$5="Q3",#REF!+#REF!+#REF!,
IF($AV$5="Q4",#REF!+#REF!+#REF!,0))))</f>
        <v>#REF!</v>
      </c>
      <c r="BB17" s="333">
        <f t="shared" si="7"/>
        <v>0</v>
      </c>
      <c r="BC17" s="63">
        <f>IF($BC$5="S 1",F17+I17+L17+O17+R17+U17,
IF($BC$5="S 2",X17+AA17+AD17+AG17+AJ17+AM17,0))</f>
        <v>302</v>
      </c>
      <c r="BD17" s="65">
        <f>IF($BC$5="S 1",G17+J17+M17+P17+S17+V17,
IF($BC$5="S 2",Y17+AB17+AE17+AH17+AK17+AN17,0))</f>
        <v>453</v>
      </c>
      <c r="BE17" s="333">
        <f t="shared" si="9"/>
        <v>1.5</v>
      </c>
      <c r="BF17" s="63">
        <f>SUM(BF12:BF16)</f>
        <v>0</v>
      </c>
      <c r="BG17" s="63">
        <f>SUM(BG12:BG16)</f>
        <v>0</v>
      </c>
      <c r="BH17" s="333">
        <f t="shared" si="11"/>
        <v>0</v>
      </c>
      <c r="BI17" s="53">
        <v>0</v>
      </c>
      <c r="BK17" s="53">
        <v>80</v>
      </c>
      <c r="BL17" s="53">
        <v>111</v>
      </c>
      <c r="BM17" s="513">
        <v>1.75</v>
      </c>
      <c r="BP17" s="53">
        <f t="shared" si="12"/>
        <v>259</v>
      </c>
      <c r="BQ17" s="53">
        <f t="shared" si="13"/>
        <v>157</v>
      </c>
    </row>
    <row r="18" spans="1:69" s="53" customFormat="1" ht="16" customHeight="1" x14ac:dyDescent="0.3">
      <c r="A18" s="53">
        <f>_xlfn.XLOOKUP(B18,'WHOLESALE MINI 2026'!$B$7:$B$63,'WHOLESALE MINI 2026'!$A$7:$A$63)</f>
        <v>3</v>
      </c>
      <c r="B18" s="8">
        <v>100307</v>
      </c>
      <c r="C18" s="369" t="s">
        <v>39</v>
      </c>
      <c r="D18" s="146"/>
      <c r="E18" s="309" t="s">
        <v>83</v>
      </c>
      <c r="F18" s="54">
        <f>SUMIF('UC MINI 2026'!$B$5:$B$71,'BEV MINI 2026'!$B18,'UC MINI 2026'!$F$5:$F$71)</f>
        <v>1</v>
      </c>
      <c r="G18" s="86">
        <f>IFERROR(INDEX([2]BEV!$S$10:$AF$68,
      MATCH(B18,[2]BEV!$S$10:$S$68,0),
      MATCH("ENERO",[2]BEV!$S$9:$AF$9,0)),
   0)-IF(B18=100873,
   IFERROR(VLOOKUP("ENERO",[2]BEV!$S$80:$T$93,2,0),
      0),
   0)</f>
        <v>0</v>
      </c>
      <c r="H18" s="243">
        <f t="shared" si="0"/>
        <v>0</v>
      </c>
      <c r="I18" s="54">
        <f>SUMIF('UC MINI 2026'!$B$5:$B$71,'BEV MINI 2026'!$B18,'UC MINI 2026'!$H$5:$H$71)</f>
        <v>1</v>
      </c>
      <c r="J18" s="86">
        <f>IFERROR(INDEX([2]BEV!$S$10:$AF$68,
      MATCH(B18,[2]BEV!$S$10:$S$68,0),
      MATCH("FEBRERO",[2]BEV!$S$9:$AF$9,0)),
   0)-IF(B18=100873,
   IFERROR(VLOOKUP("FEBRERO",[2]BEV!$S$80:$T$93,2,0),
      0),
   0)</f>
        <v>0</v>
      </c>
      <c r="K18" s="243">
        <f t="shared" si="1"/>
        <v>0</v>
      </c>
      <c r="L18" s="54">
        <f>SUMIF('UC MINI 2026'!$B$5:$B$71,'BEV MINI 2026'!$B18,'UC MINI 2026'!$J$5:$J$71)</f>
        <v>2</v>
      </c>
      <c r="M18" s="86">
        <f>IFERROR(INDEX([2]BEV!$S$10:$AF$68,
      MATCH(B18,[2]BEV!$S$10:$S$68,0),
      MATCH("MARZO",[2]BEV!$S$9:$AF$9,0)),
   0)-IF(B18=100873,
   IFERROR(VLOOKUP("MARZO",[2]BEV!$S$80:$T$93,2,0),
      0),
   0)</f>
        <v>0</v>
      </c>
      <c r="N18" s="297">
        <f t="shared" si="39"/>
        <v>0</v>
      </c>
      <c r="O18" s="54">
        <f>SUMIF('UC MINI 2026'!$B$5:$B$71,'BEV MINI 2026'!$B18,'UC MINI 2026'!$L$5:$L$71)</f>
        <v>1</v>
      </c>
      <c r="P18" s="86">
        <f>IFERROR(INDEX([2]BEV!$S$10:$AF$68,
      MATCH(B18,[2]BEV!$S$10:$S$68,0),
      MATCH("ABRIL",[2]BEV!$S$9:$AF$9,0)),
   0)-IF(B18=100873,
   IFERROR(VLOOKUP("ABRIL",[2]BEV!$S$80:$T$93,2,0),
      0),
   0)</f>
        <v>1</v>
      </c>
      <c r="Q18" s="243">
        <f t="shared" si="40"/>
        <v>1</v>
      </c>
      <c r="R18" s="54">
        <f>SUMIF('UC MINI 2026'!$B$5:$B$71,'BEV MINI 2026'!$B18,'UC MINI 2026'!$N$5:$N$71)</f>
        <v>1</v>
      </c>
      <c r="S18" s="86">
        <f>IFERROR(INDEX([2]BEV!$S$10:$AF$68,
      MATCH(B18,[2]BEV!$S$10:$S$68,0),
      MATCH("MAYO",[2]BEV!$S$9:$AF$9,0)),
   0)-IF(B18=100873,
   IFERROR(VLOOKUP("MAYO",[2]BEV!$S$80:$T$93,2,0),
      0),
   0)</f>
        <v>0</v>
      </c>
      <c r="T18" s="297">
        <f t="shared" si="41"/>
        <v>0</v>
      </c>
      <c r="U18" s="54">
        <f>SUMIF('UC MINI 2026'!$B$5:$B$71,'BEV MINI 2026'!$B18,'UC MINI 2026'!$P$5:$P$71)</f>
        <v>2</v>
      </c>
      <c r="V18" s="86">
        <f>IFERROR(INDEX([2]BEV!$S$10:$AF$68,
      MATCH(B18,[2]BEV!$S$10:$S$68,0),
      MATCH("JUNIO",[2]BEV!$S$9:$AF$9,0)),
   0)-IF(B18=100873,
   IFERROR(VLOOKUP("JUNIO",[2]BEV!$S$80:$T$93,2,0),
      0),
   0)</f>
        <v>0</v>
      </c>
      <c r="W18" s="243">
        <f t="shared" si="42"/>
        <v>0</v>
      </c>
      <c r="X18" s="54">
        <f>SUMIF('UC MINI 2026'!$B$5:$B$71,'BEV MINI 2026'!$B18,'UC MINI 2026'!$R$5:$R$71)</f>
        <v>0</v>
      </c>
      <c r="Y18" s="86">
        <f>IFERROR(INDEX([2]BEV!$S$10:$AF$68,
      MATCH(B18,[2]BEV!$S$10:$S$68,0),
      MATCH("JULIO",[2]BEV!$S$9:$AF$9,0)),
   0)-IF(B18=100873,
   IFERROR(VLOOKUP("JULIO",[2]BEV!$S$80:$T$93,2,0),
      0),
   0)</f>
        <v>0</v>
      </c>
      <c r="Z18" s="297">
        <f t="shared" si="43"/>
        <v>0</v>
      </c>
      <c r="AA18" s="54">
        <f>SUMIF('UC MINI 2026'!$B$5:$B$71,'BEV MINI 2026'!$B18,'UC MINI 2026'!$T$5:$T$71)</f>
        <v>0</v>
      </c>
      <c r="AB18" s="86">
        <f>IFERROR(INDEX([2]BEV!$S$10:$AF$68,
      MATCH(B18,[2]BEV!$S$10:$S$68,0),
      MATCH("AGOSTO",[2]BEV!$S$9:$AF$9,0)),
   0)-IF(B18=100873,
   IFERROR(VLOOKUP("AGOSTO",[2]BEV!$S$80:$T$93,2,0),
      0),
   0)</f>
        <v>0</v>
      </c>
      <c r="AC18" s="243">
        <f t="shared" si="44"/>
        <v>0</v>
      </c>
      <c r="AD18" s="54">
        <f>SUMIF('UC MINI 2026'!$B$5:$B$71,'BEV MINI 2026'!$B18,'UC MINI 2026'!$V$5:$V$71)</f>
        <v>0</v>
      </c>
      <c r="AE18" s="86">
        <f>IFERROR(INDEX([2]BEV!$S$10:$AF$68,
      MATCH(B18,[2]BEV!$S$10:$S$68,0),
      MATCH("SEPTIEMBRE",[2]BEV!$S$9:$AF$9,0)),
   0)-IF(B18=100873,
   IFERROR(VLOOKUP("SEPTIEMBRE",[2]BEV!$S$80:$T$93,2,0),
      0),
   0)</f>
        <v>0</v>
      </c>
      <c r="AF18" s="297">
        <f t="shared" si="45"/>
        <v>0</v>
      </c>
      <c r="AG18" s="54">
        <f>SUMIF('UC MINI 2026'!$B$5:$B$71,'BEV MINI 2026'!$B18,'UC MINI 2026'!$X$5:$X$71)</f>
        <v>0</v>
      </c>
      <c r="AH18" s="86">
        <f>IFERROR(INDEX([2]BEV!$S$10:$AF$68,
      MATCH(B18,[2]BEV!$S$10:$S$68,0),
      MATCH("OCTUBRE",[2]BEV!$S$9:$AF$9,0)),
   0)-IF(B18=100873,
   IFERROR(VLOOKUP("OCTUBRE",[2]BEV!$S$80:$T$93,2,0),
      0),
   0)</f>
        <v>0</v>
      </c>
      <c r="AI18" s="243">
        <f t="shared" si="46"/>
        <v>0</v>
      </c>
      <c r="AJ18" s="54">
        <f>SUMIF('UC MINI 2026'!$B$5:$B$71,'BEV MINI 2026'!$B18,'UC MINI 2026'!$Z$5:$Z$71)</f>
        <v>0</v>
      </c>
      <c r="AK18" s="86">
        <f>IFERROR(INDEX([2]BEV!$S$10:$AF$68,
      MATCH(B18,[2]BEV!$S$10:$S$68,0),
      MATCH("NOVIEMBRE",[2]BEV!$S$9:$AF$9,0)),
   0)-IF(B18=100873,
   IFERROR(VLOOKUP("NOVIEMBRE",[2]BEV!$S$80:$T$93,2,0),
      0),
   0)</f>
        <v>0</v>
      </c>
      <c r="AL18" s="297">
        <f t="shared" si="47"/>
        <v>0</v>
      </c>
      <c r="AM18" s="54">
        <f>SUMIF('UC MINI 2026'!$B$5:$B$71,'BEV MINI 2026'!$B18,'UC MINI 2026'!$AB$5:$AB$71)</f>
        <v>0</v>
      </c>
      <c r="AN18" s="86">
        <f>IFERROR(INDEX([2]BEV!$S$10:$AF$68,
      MATCH(B18,[2]BEV!$S$10:$S$68,0),
      MATCH("DICIEMBRE",[2]BEV!$S$9:$AF$9,0)),
   0)-IF(B18=100873,
   IFERROR(VLOOKUP("DICIEMBRE",[2]BEV!$S$80:$T$93,2,0),
      0),
   0)</f>
        <v>0</v>
      </c>
      <c r="AO18" s="243">
        <f t="shared" si="48"/>
        <v>0</v>
      </c>
      <c r="AP18" s="67">
        <f>IFERROR(IF($AP$4="ENERO",F18,IF($AP$4="FEBRERO",F18+I18,IF($AP$4="MARZO",F18+I18+L18,IF($AP$4="ABRIL",F18+I18+L18+O18,IF($AP$4="MAYO",F18+I18+L18+O18+R18,IF($AP$4="JUNIO",F18+I18+L18+O18+R18+U18,IF($AP$4="JULIO",F18+I18+L18+O18+R18+U18+X18,IF($AP$4="AGOSTO",F18+I18+L18+O18+R18+U18+X18+AA18,IF($AP$4="SEPTIEMBRE",F18+I18+L18+O18+R18+U18+X18+AA18+AD18,IF($AP$4="OCTUBRE",F18+I18+L18+O18+R18+U18+X18+AA18+AD18+AG18,IF($AP$4="NOVIEMBRE",F18+I18+L18+O18+R18+U18+X18+AA18+AD18+AG18+AJ18,IF($AP$4="DICIEMBRE",F18+I18+L18+O18+R18+U18+X18+AA18+AD18+AG18+AJ18+AM18,"")))))))))))),0)</f>
        <v>8</v>
      </c>
      <c r="AQ18" s="68">
        <f>IFERROR(IF($AP$4="ENERO",G18,IF($AP$4="FEBRERO",G18+J18,IF($AP$4="MARZO",G18+J18+M18,IF($AP$4="ABRIL",G18+J18+M18+P18,IF($AP$4="MAYO",G18+J18+M18+P18+S18,IF($AP$4="JUNIO",G18+J18+M18+P18+S18+V18,IF($AP$4="JULIO",G18+J18+M18+P18+S18+V18+Y18,IF($AP$4="AGOSTO",G18+J18+M18+P18+S18+V18+Y18+AB18,IF($AP$4="SEPTIEMBRE",G18+J18+M18+P18+S18+V18+Y18+AB18+AE18,IF($AP$4="OCTUBRE",G18+J18+M18+P18+S18+V18+Y18+AB18+AE18+AH18,IF($AP$4="NOVIEMBRE",G18+J18+M18+P18+S18+V18+Y18+AB18+AE18+AH18+AK18,IF($AP$4="DICIEMBRE",G18+J18+M18+P18+S18+V18+Y18+AB18+AE18+AH18+AK18+AN18,"")))))))))))),0)</f>
        <v>1</v>
      </c>
      <c r="AR18" s="149">
        <f t="shared" si="3"/>
        <v>0.125</v>
      </c>
      <c r="AS18" s="67">
        <f>IFERROR(F18+I18+L18+O18+R18+U18++X18+AA18+AD18+AG18+AJ18+AM18,0)</f>
        <v>8</v>
      </c>
      <c r="AT18" s="86">
        <f t="shared" si="14"/>
        <v>1</v>
      </c>
      <c r="AU18" s="149">
        <f t="shared" si="4"/>
        <v>0.125</v>
      </c>
      <c r="AV18" s="54">
        <f>IF($AV$5="Q1",F18+I18+L18,
IF($AV$5="Q2",O18+R18++U18,
IF($AV$5="Q3",X18+AA18+AD18,
IF($AV$5="Q4",AG18+AJ18+AM18,0))))</f>
        <v>4</v>
      </c>
      <c r="AW18" s="86">
        <f>IF($AV$5="Q1",G18+J18+M18,
IF($AV$5="Q2",P18+S18++V18,
IF($AV$5="Q3",Y18+AB18+AE18,
IF($AV$5="Q4",AH18+AK18+AN18,0))))</f>
        <v>0</v>
      </c>
      <c r="AX18" s="109">
        <f t="shared" si="6"/>
        <v>0</v>
      </c>
      <c r="AY18" s="68">
        <f>IFERROR(IF($AV$5="Q1",#REF!+#REF!+#REF!,
IF($AV$5="Q2",#REF!+#REF!++#REF!,
IF($AV$5="Q3",#REF!+#REF!+#REF!,
IF($AV$5="Q4",#REF!+#REF!+#REF!,0)))),0)</f>
        <v>0</v>
      </c>
      <c r="AZ18" s="297" t="str">
        <f>IF(AW18=0,"N.D.",AY18/AW18)</f>
        <v>N.D.</v>
      </c>
      <c r="BA18" s="350">
        <f>IFERROR(IF($AV$5="Q1",#REF!+#REF!+#REF!,
IF($AV$5="Q2",#REF!+#REF!+#REF!,
IF($AV$5="Q3",#REF!+#REF!+#REF!,
IF($AV$5="Q4",#REF!+#REF!+#REF!,0)))),0)</f>
        <v>0</v>
      </c>
      <c r="BB18" s="150">
        <f t="shared" si="7"/>
        <v>0</v>
      </c>
      <c r="BC18" s="67">
        <f>IFERROR(IF($BC$5="S 1",F18+I18+L18+O18+R18+U18,
IF($BC$5="S 2",X18+AA18+AD18+AG18+AJ18+AM18,0)),0)</f>
        <v>8</v>
      </c>
      <c r="BD18" s="68">
        <f>IFERROR(IF($BC$5="S 1",G18+J18+M18+P18+S18+V18,
IF($BC$5="S 2",Y18+AB18+AE18+AH18+AK18+AN18,0)),0)</f>
        <v>1</v>
      </c>
      <c r="BE18" s="150">
        <f t="shared" si="9"/>
        <v>0.125</v>
      </c>
      <c r="BF18" s="67">
        <f>IFERROR(IF($BF$5="S 1",F18+I18+L18+O18+R18+U18,
IF($BF$5="S 2",X18+AA18+AD18+AG18+AJ18+AM18,0)),0)</f>
        <v>0</v>
      </c>
      <c r="BG18" s="266">
        <f>IFERROR(IF($BF$5="S 1",G18+J18+M18+P18+S18+V18,
IF($BF$5="S 2",Y18+AB18+AE18+AH18+AK18+AN18,0)),0)</f>
        <v>0</v>
      </c>
      <c r="BH18" s="150">
        <f t="shared" si="11"/>
        <v>0</v>
      </c>
      <c r="BI18" s="53">
        <v>1</v>
      </c>
      <c r="BK18" s="53">
        <v>70</v>
      </c>
      <c r="BL18" s="53">
        <v>103</v>
      </c>
      <c r="BM18" s="513">
        <v>1.7272727272727273</v>
      </c>
      <c r="BP18" s="53">
        <f t="shared" si="12"/>
        <v>1</v>
      </c>
      <c r="BQ18" s="53">
        <f t="shared" si="13"/>
        <v>4</v>
      </c>
    </row>
    <row r="19" spans="1:69" s="53" customFormat="1" ht="16" customHeight="1" x14ac:dyDescent="0.3">
      <c r="A19" s="53">
        <f>_xlfn.XLOOKUP(B19,'WHOLESALE MINI 2026'!$B$7:$B$63,'WHOLESALE MINI 2026'!$A$7:$A$63)</f>
        <v>3</v>
      </c>
      <c r="B19" s="8">
        <v>100380</v>
      </c>
      <c r="C19" s="369" t="s">
        <v>11</v>
      </c>
      <c r="D19" s="146"/>
      <c r="E19" s="309" t="s">
        <v>78</v>
      </c>
      <c r="F19" s="54">
        <f>SUMIF('UC MINI 2026'!$B$5:$B$71,'BEV MINI 2026'!$B19,'UC MINI 2026'!$F$5:$F$71)</f>
        <v>3</v>
      </c>
      <c r="G19" s="86">
        <f>IFERROR(INDEX([2]BEV!$S$10:$AF$68,
      MATCH(B19,[2]BEV!$S$10:$S$68,0),
      MATCH("ENERO",[2]BEV!$S$9:$AF$9,0)),
   0)-IF(B19=100873,
   IFERROR(VLOOKUP("ENERO",[2]BEV!$S$80:$T$93,2,0),
      0),
   0)</f>
        <v>4</v>
      </c>
      <c r="H19" s="243">
        <f t="shared" si="0"/>
        <v>1.3333333333333333</v>
      </c>
      <c r="I19" s="54">
        <f>SUMIF('UC MINI 2026'!$B$5:$B$71,'BEV MINI 2026'!$B19,'UC MINI 2026'!$H$5:$H$71)</f>
        <v>3</v>
      </c>
      <c r="J19" s="86">
        <f>IFERROR(INDEX([2]BEV!$S$10:$AF$68,
      MATCH(B19,[2]BEV!$S$10:$S$68,0),
      MATCH("FEBRERO",[2]BEV!$S$9:$AF$9,0)),
   0)-IF(B19=100873,
   IFERROR(VLOOKUP("FEBRERO",[2]BEV!$S$80:$T$93,2,0),
      0),
   0)</f>
        <v>3</v>
      </c>
      <c r="K19" s="243">
        <f t="shared" si="1"/>
        <v>1</v>
      </c>
      <c r="L19" s="54">
        <f>SUMIF('UC MINI 2026'!$B$5:$B$71,'BEV MINI 2026'!$B19,'UC MINI 2026'!$J$5:$J$71)</f>
        <v>3</v>
      </c>
      <c r="M19" s="86">
        <f>IFERROR(INDEX([2]BEV!$S$10:$AF$68,
      MATCH(B19,[2]BEV!$S$10:$S$68,0),
      MATCH("MARZO",[2]BEV!$S$9:$AF$9,0)),
   0)-IF(B19=100873,
   IFERROR(VLOOKUP("MARZO",[2]BEV!$S$80:$T$93,2,0),
      0),
   0)</f>
        <v>1</v>
      </c>
      <c r="N19" s="297">
        <f t="shared" si="39"/>
        <v>0.33333333333333331</v>
      </c>
      <c r="O19" s="54">
        <f>SUMIF('UC MINI 2026'!$B$5:$B$71,'BEV MINI 2026'!$B19,'UC MINI 2026'!$L$5:$L$71)</f>
        <v>3</v>
      </c>
      <c r="P19" s="86">
        <f>IFERROR(INDEX([2]BEV!$S$10:$AF$68,
      MATCH(B19,[2]BEV!$S$10:$S$68,0),
      MATCH("ABRIL",[2]BEV!$S$9:$AF$9,0)),
   0)-IF(B19=100873,
   IFERROR(VLOOKUP("ABRIL",[2]BEV!$S$80:$T$93,2,0),
      0),
   0)</f>
        <v>4</v>
      </c>
      <c r="Q19" s="243">
        <f t="shared" si="40"/>
        <v>1.3333333333333333</v>
      </c>
      <c r="R19" s="54">
        <f>SUMIF('UC MINI 2026'!$B$5:$B$71,'BEV MINI 2026'!$B19,'UC MINI 2026'!$N$5:$N$71)</f>
        <v>4</v>
      </c>
      <c r="S19" s="86">
        <f>IFERROR(INDEX([2]BEV!$S$10:$AF$68,
      MATCH(B19,[2]BEV!$S$10:$S$68,0),
      MATCH("MAYO",[2]BEV!$S$9:$AF$9,0)),
   0)-IF(B19=100873,
   IFERROR(VLOOKUP("MAYO",[2]BEV!$S$80:$T$93,2,0),
      0),
   0)</f>
        <v>2</v>
      </c>
      <c r="T19" s="297">
        <f t="shared" si="41"/>
        <v>0.5</v>
      </c>
      <c r="U19" s="54">
        <f>SUMIF('UC MINI 2026'!$B$5:$B$71,'BEV MINI 2026'!$B19,'UC MINI 2026'!$P$5:$P$71)</f>
        <v>4</v>
      </c>
      <c r="V19" s="86">
        <f>IFERROR(INDEX([2]BEV!$S$10:$AF$68,
      MATCH(B19,[2]BEV!$S$10:$S$68,0),
      MATCH("JUNIO",[2]BEV!$S$9:$AF$9,0)),
   0)-IF(B19=100873,
   IFERROR(VLOOKUP("JUNIO",[2]BEV!$S$80:$T$93,2,0),
      0),
   0)</f>
        <v>1</v>
      </c>
      <c r="W19" s="243">
        <f t="shared" si="42"/>
        <v>0.25</v>
      </c>
      <c r="X19" s="54">
        <f>SUMIF('UC MINI 2026'!$B$5:$B$71,'BEV MINI 2026'!$B19,'UC MINI 2026'!$R$5:$R$71)</f>
        <v>0</v>
      </c>
      <c r="Y19" s="86">
        <f>IFERROR(INDEX([2]BEV!$S$10:$AF$68,
      MATCH(B19,[2]BEV!$S$10:$S$68,0),
      MATCH("JULIO",[2]BEV!$S$9:$AF$9,0)),
   0)-IF(B19=100873,
   IFERROR(VLOOKUP("JULIO",[2]BEV!$S$80:$T$93,2,0),
      0),
   0)</f>
        <v>0</v>
      </c>
      <c r="Z19" s="297">
        <f t="shared" si="43"/>
        <v>0</v>
      </c>
      <c r="AA19" s="54">
        <f>SUMIF('UC MINI 2026'!$B$5:$B$71,'BEV MINI 2026'!$B19,'UC MINI 2026'!$T$5:$T$71)</f>
        <v>0</v>
      </c>
      <c r="AB19" s="86">
        <f>IFERROR(INDEX([2]BEV!$S$10:$AF$68,
      MATCH(B19,[2]BEV!$S$10:$S$68,0),
      MATCH("AGOSTO",[2]BEV!$S$9:$AF$9,0)),
   0)-IF(B19=100873,
   IFERROR(VLOOKUP("AGOSTO",[2]BEV!$S$80:$T$93,2,0),
      0),
   0)</f>
        <v>0</v>
      </c>
      <c r="AC19" s="243">
        <f t="shared" si="44"/>
        <v>0</v>
      </c>
      <c r="AD19" s="54">
        <f>SUMIF('UC MINI 2026'!$B$5:$B$71,'BEV MINI 2026'!$B19,'UC MINI 2026'!$V$5:$V$71)</f>
        <v>0</v>
      </c>
      <c r="AE19" s="86">
        <f>IFERROR(INDEX([2]BEV!$S$10:$AF$68,
      MATCH(B19,[2]BEV!$S$10:$S$68,0),
      MATCH("SEPTIEMBRE",[2]BEV!$S$9:$AF$9,0)),
   0)-IF(B19=100873,
   IFERROR(VLOOKUP("SEPTIEMBRE",[2]BEV!$S$80:$T$93,2,0),
      0),
   0)</f>
        <v>0</v>
      </c>
      <c r="AF19" s="297">
        <f t="shared" si="45"/>
        <v>0</v>
      </c>
      <c r="AG19" s="54">
        <f>SUMIF('UC MINI 2026'!$B$5:$B$71,'BEV MINI 2026'!$B19,'UC MINI 2026'!$X$5:$X$71)</f>
        <v>0</v>
      </c>
      <c r="AH19" s="86">
        <f>IFERROR(INDEX([2]BEV!$S$10:$AF$68,
      MATCH(B19,[2]BEV!$S$10:$S$68,0),
      MATCH("OCTUBRE",[2]BEV!$S$9:$AF$9,0)),
   0)-IF(B19=100873,
   IFERROR(VLOOKUP("OCTUBRE",[2]BEV!$S$80:$T$93,2,0),
      0),
   0)</f>
        <v>0</v>
      </c>
      <c r="AI19" s="243">
        <f t="shared" si="46"/>
        <v>0</v>
      </c>
      <c r="AJ19" s="54">
        <f>SUMIF('UC MINI 2026'!$B$5:$B$71,'BEV MINI 2026'!$B19,'UC MINI 2026'!$Z$5:$Z$71)</f>
        <v>0</v>
      </c>
      <c r="AK19" s="86">
        <f>IFERROR(INDEX([2]BEV!$S$10:$AF$68,
      MATCH(B19,[2]BEV!$S$10:$S$68,0),
      MATCH("NOVIEMBRE",[2]BEV!$S$9:$AF$9,0)),
   0)-IF(B19=100873,
   IFERROR(VLOOKUP("NOVIEMBRE",[2]BEV!$S$80:$T$93,2,0),
      0),
   0)</f>
        <v>0</v>
      </c>
      <c r="AL19" s="297">
        <f t="shared" si="47"/>
        <v>0</v>
      </c>
      <c r="AM19" s="54">
        <f>SUMIF('UC MINI 2026'!$B$5:$B$71,'BEV MINI 2026'!$B19,'UC MINI 2026'!$AB$5:$AB$71)</f>
        <v>0</v>
      </c>
      <c r="AN19" s="86">
        <f>IFERROR(INDEX([2]BEV!$S$10:$AF$68,
      MATCH(B19,[2]BEV!$S$10:$S$68,0),
      MATCH("DICIEMBRE",[2]BEV!$S$9:$AF$9,0)),
   0)-IF(B19=100873,
   IFERROR(VLOOKUP("DICIEMBRE",[2]BEV!$S$80:$T$93,2,0),
      0),
   0)</f>
        <v>0</v>
      </c>
      <c r="AO19" s="243">
        <f t="shared" si="48"/>
        <v>0</v>
      </c>
      <c r="AP19" s="54">
        <f t="shared" si="27"/>
        <v>20</v>
      </c>
      <c r="AQ19" s="59">
        <f t="shared" si="28"/>
        <v>15</v>
      </c>
      <c r="AR19" s="152">
        <f t="shared" si="3"/>
        <v>0.75</v>
      </c>
      <c r="AS19" s="54">
        <f t="shared" si="29"/>
        <v>20</v>
      </c>
      <c r="AT19" s="86">
        <f t="shared" si="14"/>
        <v>15</v>
      </c>
      <c r="AU19" s="152">
        <f t="shared" si="4"/>
        <v>0.75</v>
      </c>
      <c r="AV19" s="58">
        <f t="shared" si="25"/>
        <v>9</v>
      </c>
      <c r="AW19" s="59">
        <f t="shared" si="26"/>
        <v>8</v>
      </c>
      <c r="AX19" s="112">
        <f t="shared" si="6"/>
        <v>0.88888888888888884</v>
      </c>
      <c r="AY19" s="59">
        <f>IFERROR(IF($AV$5="Q1",#REF!+#REF!+#REF!,
IF($AV$5="Q2",#REF!+#REF!++#REF!,
IF($AV$5="Q3",#REF!+#REF!+#REF!,
IF($AV$5="Q4",#REF!+#REF!+#REF!,0)))),0)</f>
        <v>0</v>
      </c>
      <c r="AZ19" s="297">
        <f t="shared" si="30"/>
        <v>0</v>
      </c>
      <c r="BA19" s="347">
        <f>IFERROR(IF($AV$5="Q1",#REF!+#REF!+#REF!,
IF($AV$5="Q2",#REF!+#REF!+#REF!,
IF($AV$5="Q3",#REF!+#REF!+#REF!,
IF($AV$5="Q4",#REF!+#REF!+#REF!,0)))),0)</f>
        <v>0</v>
      </c>
      <c r="BB19" s="153">
        <f t="shared" si="7"/>
        <v>0</v>
      </c>
      <c r="BC19" s="54">
        <f t="shared" si="31"/>
        <v>20</v>
      </c>
      <c r="BD19" s="59">
        <f t="shared" si="32"/>
        <v>15</v>
      </c>
      <c r="BE19" s="153">
        <f t="shared" si="9"/>
        <v>0.75</v>
      </c>
      <c r="BF19" s="54">
        <f t="shared" si="33"/>
        <v>0</v>
      </c>
      <c r="BG19" s="252">
        <f t="shared" si="34"/>
        <v>0</v>
      </c>
      <c r="BH19" s="153">
        <f t="shared" si="11"/>
        <v>0</v>
      </c>
      <c r="BI19" s="53">
        <v>1</v>
      </c>
      <c r="BK19" s="53">
        <v>60</v>
      </c>
      <c r="BL19" s="53">
        <v>103</v>
      </c>
      <c r="BM19" s="513">
        <v>1.6111111111111112</v>
      </c>
      <c r="BP19" s="53">
        <f t="shared" si="12"/>
        <v>7</v>
      </c>
      <c r="BQ19" s="53">
        <f t="shared" si="13"/>
        <v>11</v>
      </c>
    </row>
    <row r="20" spans="1:69" s="53" customFormat="1" ht="16" customHeight="1" x14ac:dyDescent="0.3">
      <c r="A20" s="53">
        <f>_xlfn.XLOOKUP(B20,'WHOLESALE MINI 2026'!$B$7:$B$63,'WHOLESALE MINI 2026'!$A$7:$A$63)</f>
        <v>3</v>
      </c>
      <c r="B20" s="8">
        <v>100418</v>
      </c>
      <c r="C20" s="369" t="s">
        <v>13</v>
      </c>
      <c r="D20" s="146"/>
      <c r="E20" s="309" t="s">
        <v>83</v>
      </c>
      <c r="F20" s="54">
        <f>SUMIF('UC MINI 2026'!$B$5:$B$71,'BEV MINI 2026'!$B20,'UC MINI 2026'!$F$5:$F$71)</f>
        <v>2</v>
      </c>
      <c r="G20" s="86">
        <f>IFERROR(INDEX([2]BEV!$S$10:$AF$68,
      MATCH(B20,[2]BEV!$S$10:$S$68,0),
      MATCH("ENERO",[2]BEV!$S$9:$AF$9,0)),
   0)-IF(B20=100873,
   IFERROR(VLOOKUP("ENERO",[2]BEV!$S$80:$T$93,2,0),
      0),
   0)</f>
        <v>0</v>
      </c>
      <c r="H20" s="243">
        <f t="shared" si="0"/>
        <v>0</v>
      </c>
      <c r="I20" s="54">
        <f>SUMIF('UC MINI 2026'!$B$5:$B$71,'BEV MINI 2026'!$B20,'UC MINI 2026'!$H$5:$H$71)</f>
        <v>2</v>
      </c>
      <c r="J20" s="86">
        <f>IFERROR(INDEX([2]BEV!$S$10:$AF$68,
      MATCH(B20,[2]BEV!$S$10:$S$68,0),
      MATCH("FEBRERO",[2]BEV!$S$9:$AF$9,0)),
   0)-IF(B20=100873,
   IFERROR(VLOOKUP("FEBRERO",[2]BEV!$S$80:$T$93,2,0),
      0),
   0)</f>
        <v>5</v>
      </c>
      <c r="K20" s="243">
        <f t="shared" si="1"/>
        <v>2.5</v>
      </c>
      <c r="L20" s="54">
        <f>SUMIF('UC MINI 2026'!$B$5:$B$71,'BEV MINI 2026'!$B20,'UC MINI 2026'!$J$5:$J$71)</f>
        <v>2</v>
      </c>
      <c r="M20" s="86">
        <f>IFERROR(INDEX([2]BEV!$S$10:$AF$68,
      MATCH(B20,[2]BEV!$S$10:$S$68,0),
      MATCH("MARZO",[2]BEV!$S$9:$AF$9,0)),
   0)-IF(B20=100873,
   IFERROR(VLOOKUP("MARZO",[2]BEV!$S$80:$T$93,2,0),
      0),
   0)</f>
        <v>2</v>
      </c>
      <c r="N20" s="297">
        <f t="shared" si="39"/>
        <v>1</v>
      </c>
      <c r="O20" s="54">
        <f>SUMIF('UC MINI 2026'!$B$5:$B$71,'BEV MINI 2026'!$B20,'UC MINI 2026'!$L$5:$L$71)</f>
        <v>2</v>
      </c>
      <c r="P20" s="86">
        <f>IFERROR(INDEX([2]BEV!$S$10:$AF$68,
      MATCH(B20,[2]BEV!$S$10:$S$68,0),
      MATCH("ABRIL",[2]BEV!$S$9:$AF$9,0)),
   0)-IF(B20=100873,
   IFERROR(VLOOKUP("ABRIL",[2]BEV!$S$80:$T$93,2,0),
      0),
   0)</f>
        <v>4</v>
      </c>
      <c r="Q20" s="243">
        <f t="shared" si="40"/>
        <v>2</v>
      </c>
      <c r="R20" s="54">
        <f>SUMIF('UC MINI 2026'!$B$5:$B$71,'BEV MINI 2026'!$B20,'UC MINI 2026'!$N$5:$N$71)</f>
        <v>2</v>
      </c>
      <c r="S20" s="86">
        <f>IFERROR(INDEX([2]BEV!$S$10:$AF$68,
      MATCH(B20,[2]BEV!$S$10:$S$68,0),
      MATCH("MAYO",[2]BEV!$S$9:$AF$9,0)),
   0)-IF(B20=100873,
   IFERROR(VLOOKUP("MAYO",[2]BEV!$S$80:$T$93,2,0),
      0),
   0)</f>
        <v>2</v>
      </c>
      <c r="T20" s="297">
        <f t="shared" si="41"/>
        <v>1</v>
      </c>
      <c r="U20" s="54">
        <f>SUMIF('UC MINI 2026'!$B$5:$B$71,'BEV MINI 2026'!$B20,'UC MINI 2026'!$P$5:$P$71)</f>
        <v>2</v>
      </c>
      <c r="V20" s="86">
        <f>IFERROR(INDEX([2]BEV!$S$10:$AF$68,
      MATCH(B20,[2]BEV!$S$10:$S$68,0),
      MATCH("JUNIO",[2]BEV!$S$9:$AF$9,0)),
   0)-IF(B20=100873,
   IFERROR(VLOOKUP("JUNIO",[2]BEV!$S$80:$T$93,2,0),
      0),
   0)</f>
        <v>1</v>
      </c>
      <c r="W20" s="243">
        <f t="shared" si="42"/>
        <v>0.5</v>
      </c>
      <c r="X20" s="54">
        <f>SUMIF('UC MINI 2026'!$B$5:$B$71,'BEV MINI 2026'!$B20,'UC MINI 2026'!$R$5:$R$71)</f>
        <v>0</v>
      </c>
      <c r="Y20" s="86">
        <f>IFERROR(INDEX([2]BEV!$S$10:$AF$68,
      MATCH(B20,[2]BEV!$S$10:$S$68,0),
      MATCH("JULIO",[2]BEV!$S$9:$AF$9,0)),
   0)-IF(B20=100873,
   IFERROR(VLOOKUP("JULIO",[2]BEV!$S$80:$T$93,2,0),
      0),
   0)</f>
        <v>0</v>
      </c>
      <c r="Z20" s="297">
        <f t="shared" si="43"/>
        <v>0</v>
      </c>
      <c r="AA20" s="54">
        <f>SUMIF('UC MINI 2026'!$B$5:$B$71,'BEV MINI 2026'!$B20,'UC MINI 2026'!$T$5:$T$71)</f>
        <v>0</v>
      </c>
      <c r="AB20" s="86">
        <f>IFERROR(INDEX([2]BEV!$S$10:$AF$68,
      MATCH(B20,[2]BEV!$S$10:$S$68,0),
      MATCH("AGOSTO",[2]BEV!$S$9:$AF$9,0)),
   0)-IF(B20=100873,
   IFERROR(VLOOKUP("AGOSTO",[2]BEV!$S$80:$T$93,2,0),
      0),
   0)</f>
        <v>0</v>
      </c>
      <c r="AC20" s="243">
        <f t="shared" si="44"/>
        <v>0</v>
      </c>
      <c r="AD20" s="54">
        <f>SUMIF('UC MINI 2026'!$B$5:$B$71,'BEV MINI 2026'!$B20,'UC MINI 2026'!$V$5:$V$71)</f>
        <v>0</v>
      </c>
      <c r="AE20" s="86">
        <f>IFERROR(INDEX([2]BEV!$S$10:$AF$68,
      MATCH(B20,[2]BEV!$S$10:$S$68,0),
      MATCH("SEPTIEMBRE",[2]BEV!$S$9:$AF$9,0)),
   0)-IF(B20=100873,
   IFERROR(VLOOKUP("SEPTIEMBRE",[2]BEV!$S$80:$T$93,2,0),
      0),
   0)</f>
        <v>0</v>
      </c>
      <c r="AF20" s="297">
        <f t="shared" si="45"/>
        <v>0</v>
      </c>
      <c r="AG20" s="54">
        <f>SUMIF('UC MINI 2026'!$B$5:$B$71,'BEV MINI 2026'!$B20,'UC MINI 2026'!$X$5:$X$71)</f>
        <v>0</v>
      </c>
      <c r="AH20" s="86">
        <f>IFERROR(INDEX([2]BEV!$S$10:$AF$68,
      MATCH(B20,[2]BEV!$S$10:$S$68,0),
      MATCH("OCTUBRE",[2]BEV!$S$9:$AF$9,0)),
   0)-IF(B20=100873,
   IFERROR(VLOOKUP("OCTUBRE",[2]BEV!$S$80:$T$93,2,0),
      0),
   0)</f>
        <v>0</v>
      </c>
      <c r="AI20" s="243">
        <f t="shared" si="46"/>
        <v>0</v>
      </c>
      <c r="AJ20" s="54">
        <f>SUMIF('UC MINI 2026'!$B$5:$B$71,'BEV MINI 2026'!$B20,'UC MINI 2026'!$Z$5:$Z$71)</f>
        <v>0</v>
      </c>
      <c r="AK20" s="86">
        <f>IFERROR(INDEX([2]BEV!$S$10:$AF$68,
      MATCH(B20,[2]BEV!$S$10:$S$68,0),
      MATCH("NOVIEMBRE",[2]BEV!$S$9:$AF$9,0)),
   0)-IF(B20=100873,
   IFERROR(VLOOKUP("NOVIEMBRE",[2]BEV!$S$80:$T$93,2,0),
      0),
   0)</f>
        <v>0</v>
      </c>
      <c r="AL20" s="297">
        <f t="shared" si="47"/>
        <v>0</v>
      </c>
      <c r="AM20" s="54">
        <f>SUMIF('UC MINI 2026'!$B$5:$B$71,'BEV MINI 2026'!$B20,'UC MINI 2026'!$AB$5:$AB$71)</f>
        <v>0</v>
      </c>
      <c r="AN20" s="86">
        <f>IFERROR(INDEX([2]BEV!$S$10:$AF$68,
      MATCH(B20,[2]BEV!$S$10:$S$68,0),
      MATCH("DICIEMBRE",[2]BEV!$S$9:$AF$9,0)),
   0)-IF(B20=100873,
   IFERROR(VLOOKUP("DICIEMBRE",[2]BEV!$S$80:$T$93,2,0),
      0),
   0)</f>
        <v>0</v>
      </c>
      <c r="AO20" s="243">
        <f t="shared" si="48"/>
        <v>0</v>
      </c>
      <c r="AP20" s="54">
        <f t="shared" si="27"/>
        <v>12</v>
      </c>
      <c r="AQ20" s="86">
        <f t="shared" si="28"/>
        <v>14</v>
      </c>
      <c r="AR20" s="149">
        <f t="shared" si="3"/>
        <v>1.1666666666666667</v>
      </c>
      <c r="AS20" s="54">
        <f t="shared" si="29"/>
        <v>12</v>
      </c>
      <c r="AT20" s="86">
        <f t="shared" si="14"/>
        <v>14</v>
      </c>
      <c r="AU20" s="149">
        <f t="shared" si="4"/>
        <v>1.1666666666666667</v>
      </c>
      <c r="AV20" s="54">
        <f t="shared" si="25"/>
        <v>6</v>
      </c>
      <c r="AW20" s="86">
        <f t="shared" si="26"/>
        <v>7</v>
      </c>
      <c r="AX20" s="109">
        <f t="shared" si="6"/>
        <v>1.1666666666666667</v>
      </c>
      <c r="AY20" s="86">
        <f>IFERROR(IF($AV$5="Q1",#REF!+#REF!+#REF!,
IF($AV$5="Q2",#REF!+#REF!++#REF!,
IF($AV$5="Q3",#REF!+#REF!+#REF!,
IF($AV$5="Q4",#REF!+#REF!+#REF!,0)))),0)</f>
        <v>0</v>
      </c>
      <c r="AZ20" s="297">
        <f t="shared" si="30"/>
        <v>0</v>
      </c>
      <c r="BA20" s="348">
        <f>IFERROR(IF($AV$5="Q1",#REF!+#REF!+#REF!,
IF($AV$5="Q2",#REF!+#REF!+#REF!,
IF($AV$5="Q3",#REF!+#REF!+#REF!,
IF($AV$5="Q4",#REF!+#REF!+#REF!,0)))),0)</f>
        <v>0</v>
      </c>
      <c r="BB20" s="150">
        <f t="shared" si="7"/>
        <v>0</v>
      </c>
      <c r="BC20" s="54">
        <f t="shared" si="31"/>
        <v>12</v>
      </c>
      <c r="BD20" s="86">
        <f t="shared" si="32"/>
        <v>14</v>
      </c>
      <c r="BE20" s="150">
        <f t="shared" si="9"/>
        <v>1.1666666666666667</v>
      </c>
      <c r="BF20" s="54">
        <f t="shared" si="33"/>
        <v>0</v>
      </c>
      <c r="BG20" s="79">
        <f t="shared" si="34"/>
        <v>0</v>
      </c>
      <c r="BH20" s="150">
        <f t="shared" si="11"/>
        <v>0</v>
      </c>
      <c r="BI20" s="53">
        <v>1</v>
      </c>
      <c r="BK20" s="53">
        <v>55</v>
      </c>
      <c r="BL20" s="53">
        <v>85</v>
      </c>
      <c r="BM20" s="513">
        <v>1.5857142857142856</v>
      </c>
      <c r="BP20" s="53">
        <f t="shared" si="12"/>
        <v>7</v>
      </c>
      <c r="BQ20" s="53">
        <f t="shared" si="13"/>
        <v>6</v>
      </c>
    </row>
    <row r="21" spans="1:69" s="53" customFormat="1" ht="16" customHeight="1" x14ac:dyDescent="0.3">
      <c r="A21" s="53">
        <f>_xlfn.XLOOKUP(B21,'WHOLESALE MINI 2026'!$B$7:$B$63,'WHOLESALE MINI 2026'!$A$7:$A$63)</f>
        <v>3</v>
      </c>
      <c r="B21" s="8">
        <v>100730</v>
      </c>
      <c r="C21" s="369" t="s">
        <v>41</v>
      </c>
      <c r="D21" s="146"/>
      <c r="E21" s="309" t="s">
        <v>78</v>
      </c>
      <c r="F21" s="54">
        <f>SUMIF('UC MINI 2026'!$B$5:$B$71,'BEV MINI 2026'!$B21,'UC MINI 2026'!$F$5:$F$71)</f>
        <v>3</v>
      </c>
      <c r="G21" s="86">
        <f>IFERROR(INDEX([2]BEV!$S$10:$AF$68,
      MATCH(B21,[2]BEV!$S$10:$S$68,0),
      MATCH("ENERO",[2]BEV!$S$9:$AF$9,0)),
   0)-IF(B21=100873,
   IFERROR(VLOOKUP("ENERO",[2]BEV!$S$80:$T$93,2,0),
      0),
   0)</f>
        <v>4</v>
      </c>
      <c r="H21" s="243">
        <f t="shared" si="0"/>
        <v>1.3333333333333333</v>
      </c>
      <c r="I21" s="54">
        <f>SUMIF('UC MINI 2026'!$B$5:$B$71,'BEV MINI 2026'!$B21,'UC MINI 2026'!$H$5:$H$71)</f>
        <v>4</v>
      </c>
      <c r="J21" s="86">
        <f>IFERROR(INDEX([2]BEV!$S$10:$AF$68,
      MATCH(B21,[2]BEV!$S$10:$S$68,0),
      MATCH("FEBRERO",[2]BEV!$S$9:$AF$9,0)),
   0)-IF(B21=100873,
   IFERROR(VLOOKUP("FEBRERO",[2]BEV!$S$80:$T$93,2,0),
      0),
   0)</f>
        <v>0</v>
      </c>
      <c r="K21" s="243">
        <f t="shared" si="1"/>
        <v>0</v>
      </c>
      <c r="L21" s="54">
        <f>SUMIF('UC MINI 2026'!$B$5:$B$71,'BEV MINI 2026'!$B21,'UC MINI 2026'!$J$5:$J$71)</f>
        <v>4</v>
      </c>
      <c r="M21" s="86">
        <f>IFERROR(INDEX([2]BEV!$S$10:$AF$68,
      MATCH(B21,[2]BEV!$S$10:$S$68,0),
      MATCH("MARZO",[2]BEV!$S$9:$AF$9,0)),
   0)-IF(B21=100873,
   IFERROR(VLOOKUP("MARZO",[2]BEV!$S$80:$T$93,2,0),
      0),
   0)</f>
        <v>5</v>
      </c>
      <c r="N21" s="297">
        <f t="shared" si="39"/>
        <v>1.25</v>
      </c>
      <c r="O21" s="54">
        <f>SUMIF('UC MINI 2026'!$B$5:$B$71,'BEV MINI 2026'!$B21,'UC MINI 2026'!$L$5:$L$71)</f>
        <v>4</v>
      </c>
      <c r="P21" s="86">
        <f>IFERROR(INDEX([2]BEV!$S$10:$AF$68,
      MATCH(B21,[2]BEV!$S$10:$S$68,0),
      MATCH("ABRIL",[2]BEV!$S$9:$AF$9,0)),
   0)-IF(B21=100873,
   IFERROR(VLOOKUP("ABRIL",[2]BEV!$S$80:$T$93,2,0),
      0),
   0)</f>
        <v>3</v>
      </c>
      <c r="Q21" s="243">
        <f t="shared" si="40"/>
        <v>0.75</v>
      </c>
      <c r="R21" s="54">
        <f>SUMIF('UC MINI 2026'!$B$5:$B$71,'BEV MINI 2026'!$B21,'UC MINI 2026'!$N$5:$N$71)</f>
        <v>4</v>
      </c>
      <c r="S21" s="86">
        <f>IFERROR(INDEX([2]BEV!$S$10:$AF$68,
      MATCH(B21,[2]BEV!$S$10:$S$68,0),
      MATCH("MAYO",[2]BEV!$S$9:$AF$9,0)),
   0)-IF(B21=100873,
   IFERROR(VLOOKUP("MAYO",[2]BEV!$S$80:$T$93,2,0),
      0),
   0)</f>
        <v>3</v>
      </c>
      <c r="T21" s="297">
        <f t="shared" si="41"/>
        <v>0.75</v>
      </c>
      <c r="U21" s="54">
        <f>SUMIF('UC MINI 2026'!$B$5:$B$71,'BEV MINI 2026'!$B21,'UC MINI 2026'!$P$5:$P$71)</f>
        <v>4</v>
      </c>
      <c r="V21" s="86">
        <f>IFERROR(INDEX([2]BEV!$S$10:$AF$68,
      MATCH(B21,[2]BEV!$S$10:$S$68,0),
      MATCH("JUNIO",[2]BEV!$S$9:$AF$9,0)),
   0)-IF(B21=100873,
   IFERROR(VLOOKUP("JUNIO",[2]BEV!$S$80:$T$93,2,0),
      0),
   0)</f>
        <v>6</v>
      </c>
      <c r="W21" s="243">
        <f t="shared" si="42"/>
        <v>1.5</v>
      </c>
      <c r="X21" s="54">
        <f>SUMIF('UC MINI 2026'!$B$5:$B$71,'BEV MINI 2026'!$B21,'UC MINI 2026'!$R$5:$R$71)</f>
        <v>0</v>
      </c>
      <c r="Y21" s="86">
        <f>IFERROR(INDEX([2]BEV!$S$10:$AF$68,
      MATCH(B21,[2]BEV!$S$10:$S$68,0),
      MATCH("JULIO",[2]BEV!$S$9:$AF$9,0)),
   0)-IF(B21=100873,
   IFERROR(VLOOKUP("JULIO",[2]BEV!$S$80:$T$93,2,0),
      0),
   0)</f>
        <v>0</v>
      </c>
      <c r="Z21" s="297">
        <f t="shared" si="43"/>
        <v>0</v>
      </c>
      <c r="AA21" s="54">
        <f>SUMIF('UC MINI 2026'!$B$5:$B$71,'BEV MINI 2026'!$B21,'UC MINI 2026'!$T$5:$T$71)</f>
        <v>0</v>
      </c>
      <c r="AB21" s="86">
        <f>IFERROR(INDEX([2]BEV!$S$10:$AF$68,
      MATCH(B21,[2]BEV!$S$10:$S$68,0),
      MATCH("AGOSTO",[2]BEV!$S$9:$AF$9,0)),
   0)-IF(B21=100873,
   IFERROR(VLOOKUP("AGOSTO",[2]BEV!$S$80:$T$93,2,0),
      0),
   0)</f>
        <v>0</v>
      </c>
      <c r="AC21" s="243">
        <f t="shared" si="44"/>
        <v>0</v>
      </c>
      <c r="AD21" s="54">
        <f>SUMIF('UC MINI 2026'!$B$5:$B$71,'BEV MINI 2026'!$B21,'UC MINI 2026'!$V$5:$V$71)</f>
        <v>0</v>
      </c>
      <c r="AE21" s="86">
        <f>IFERROR(INDEX([2]BEV!$S$10:$AF$68,
      MATCH(B21,[2]BEV!$S$10:$S$68,0),
      MATCH("SEPTIEMBRE",[2]BEV!$S$9:$AF$9,0)),
   0)-IF(B21=100873,
   IFERROR(VLOOKUP("SEPTIEMBRE",[2]BEV!$S$80:$T$93,2,0),
      0),
   0)</f>
        <v>0</v>
      </c>
      <c r="AF21" s="297">
        <f t="shared" si="45"/>
        <v>0</v>
      </c>
      <c r="AG21" s="54">
        <f>SUMIF('UC MINI 2026'!$B$5:$B$71,'BEV MINI 2026'!$B21,'UC MINI 2026'!$X$5:$X$71)</f>
        <v>0</v>
      </c>
      <c r="AH21" s="86">
        <f>IFERROR(INDEX([2]BEV!$S$10:$AF$68,
      MATCH(B21,[2]BEV!$S$10:$S$68,0),
      MATCH("OCTUBRE",[2]BEV!$S$9:$AF$9,0)),
   0)-IF(B21=100873,
   IFERROR(VLOOKUP("OCTUBRE",[2]BEV!$S$80:$T$93,2,0),
      0),
   0)</f>
        <v>0</v>
      </c>
      <c r="AI21" s="243">
        <f t="shared" si="46"/>
        <v>0</v>
      </c>
      <c r="AJ21" s="54">
        <f>SUMIF('UC MINI 2026'!$B$5:$B$71,'BEV MINI 2026'!$B21,'UC MINI 2026'!$Z$5:$Z$71)</f>
        <v>0</v>
      </c>
      <c r="AK21" s="86">
        <f>IFERROR(INDEX([2]BEV!$S$10:$AF$68,
      MATCH(B21,[2]BEV!$S$10:$S$68,0),
      MATCH("NOVIEMBRE",[2]BEV!$S$9:$AF$9,0)),
   0)-IF(B21=100873,
   IFERROR(VLOOKUP("NOVIEMBRE",[2]BEV!$S$80:$T$93,2,0),
      0),
   0)</f>
        <v>0</v>
      </c>
      <c r="AL21" s="297">
        <f t="shared" si="47"/>
        <v>0</v>
      </c>
      <c r="AM21" s="54">
        <f>SUMIF('UC MINI 2026'!$B$5:$B$71,'BEV MINI 2026'!$B21,'UC MINI 2026'!$AB$5:$AB$71)</f>
        <v>0</v>
      </c>
      <c r="AN21" s="86">
        <f>IFERROR(INDEX([2]BEV!$S$10:$AF$68,
      MATCH(B21,[2]BEV!$S$10:$S$68,0),
      MATCH("DICIEMBRE",[2]BEV!$S$9:$AF$9,0)),
   0)-IF(B21=100873,
   IFERROR(VLOOKUP("DICIEMBRE",[2]BEV!$S$80:$T$93,2,0),
      0),
   0)</f>
        <v>0</v>
      </c>
      <c r="AO21" s="243">
        <f t="shared" si="48"/>
        <v>0</v>
      </c>
      <c r="AP21" s="54">
        <f t="shared" si="27"/>
        <v>23</v>
      </c>
      <c r="AQ21" s="86">
        <f t="shared" si="28"/>
        <v>21</v>
      </c>
      <c r="AR21" s="149">
        <f t="shared" si="3"/>
        <v>0.91304347826086951</v>
      </c>
      <c r="AS21" s="54">
        <f t="shared" si="29"/>
        <v>23</v>
      </c>
      <c r="AT21" s="86">
        <f t="shared" si="14"/>
        <v>21</v>
      </c>
      <c r="AU21" s="149">
        <f t="shared" si="4"/>
        <v>0.91304347826086951</v>
      </c>
      <c r="AV21" s="54">
        <f t="shared" si="25"/>
        <v>11</v>
      </c>
      <c r="AW21" s="86">
        <f t="shared" si="26"/>
        <v>9</v>
      </c>
      <c r="AX21" s="109">
        <f t="shared" si="6"/>
        <v>0.81818181818181823</v>
      </c>
      <c r="AY21" s="86">
        <f>IFERROR(IF($AV$5="Q1",#REF!+#REF!+#REF!,
IF($AV$5="Q2",#REF!+#REF!++#REF!,
IF($AV$5="Q3",#REF!+#REF!+#REF!,
IF($AV$5="Q4",#REF!+#REF!+#REF!,0)))),0)</f>
        <v>0</v>
      </c>
      <c r="AZ21" s="297">
        <f t="shared" si="30"/>
        <v>0</v>
      </c>
      <c r="BA21" s="348">
        <f>IFERROR(IF($AV$5="Q1",#REF!+#REF!+#REF!,
IF($AV$5="Q2",#REF!+#REF!+#REF!,
IF($AV$5="Q3",#REF!+#REF!+#REF!,
IF($AV$5="Q4",#REF!+#REF!+#REF!,0)))),0)</f>
        <v>0</v>
      </c>
      <c r="BB21" s="150">
        <f t="shared" si="7"/>
        <v>0</v>
      </c>
      <c r="BC21" s="54">
        <f t="shared" si="31"/>
        <v>23</v>
      </c>
      <c r="BD21" s="86">
        <f t="shared" si="32"/>
        <v>21</v>
      </c>
      <c r="BE21" s="150">
        <f t="shared" si="9"/>
        <v>0.91304347826086951</v>
      </c>
      <c r="BF21" s="54">
        <f t="shared" si="33"/>
        <v>0</v>
      </c>
      <c r="BG21" s="79">
        <f t="shared" si="34"/>
        <v>0</v>
      </c>
      <c r="BH21" s="150">
        <f t="shared" si="11"/>
        <v>0</v>
      </c>
      <c r="BI21" s="53">
        <v>1</v>
      </c>
      <c r="BK21" s="53">
        <v>55</v>
      </c>
      <c r="BL21" s="53">
        <v>79</v>
      </c>
      <c r="BM21" s="513">
        <v>1.5454545454545454</v>
      </c>
      <c r="BP21" s="53">
        <f t="shared" si="12"/>
        <v>12</v>
      </c>
      <c r="BQ21" s="53">
        <f t="shared" si="13"/>
        <v>12</v>
      </c>
    </row>
    <row r="22" spans="1:69" s="53" customFormat="1" ht="16" customHeight="1" thickBot="1" x14ac:dyDescent="0.35">
      <c r="A22" s="53">
        <f>_xlfn.XLOOKUP(B22,'WHOLESALE MINI 2026'!$B$7:$B$63,'WHOLESALE MINI 2026'!$A$7:$A$63)</f>
        <v>3</v>
      </c>
      <c r="B22" s="8">
        <v>100764</v>
      </c>
      <c r="C22" s="369" t="s">
        <v>26</v>
      </c>
      <c r="D22" s="146"/>
      <c r="E22" s="309" t="s">
        <v>277</v>
      </c>
      <c r="F22" s="54">
        <f>SUMIF('UC MINI 2026'!$B$5:$B$71,'BEV MINI 2026'!$B22,'UC MINI 2026'!$F$5:$F$71)</f>
        <v>2</v>
      </c>
      <c r="G22" s="86">
        <f>IFERROR(INDEX([2]BEV!$S$10:$AF$68,
      MATCH(B22,[2]BEV!$S$10:$S$68,0),
      MATCH("ENERO",[2]BEV!$S$9:$AF$9,0)),
   0)-IF(B22=100873,
   IFERROR(VLOOKUP("ENERO",[2]BEV!$S$80:$T$93,2,0),
      0),
   0)</f>
        <v>1</v>
      </c>
      <c r="H22" s="433">
        <f t="shared" si="0"/>
        <v>0.5</v>
      </c>
      <c r="I22" s="54">
        <f>SUMIF('UC MINI 2026'!$B$5:$B$71,'BEV MINI 2026'!$B22,'UC MINI 2026'!$H$5:$H$71)</f>
        <v>2</v>
      </c>
      <c r="J22" s="86">
        <f>IFERROR(INDEX([2]BEV!$S$10:$AF$68,
      MATCH(B22,[2]BEV!$S$10:$S$68,0),
      MATCH("FEBRERO",[2]BEV!$S$9:$AF$9,0)),
   0)-IF(B22=100873,
   IFERROR(VLOOKUP("FEBRERO",[2]BEV!$S$80:$T$93,2,0),
      0),
   0)</f>
        <v>1</v>
      </c>
      <c r="K22" s="433">
        <f t="shared" si="1"/>
        <v>0.5</v>
      </c>
      <c r="L22" s="54">
        <f>SUMIF('UC MINI 2026'!$B$5:$B$71,'BEV MINI 2026'!$B22,'UC MINI 2026'!$J$5:$J$71)</f>
        <v>2</v>
      </c>
      <c r="M22" s="86">
        <f>IFERROR(INDEX([2]BEV!$S$10:$AF$68,
      MATCH(B22,[2]BEV!$S$10:$S$68,0),
      MATCH("MARZO",[2]BEV!$S$9:$AF$9,0)),
   0)-IF(B22=100873,
   IFERROR(VLOOKUP("MARZO",[2]BEV!$S$80:$T$93,2,0),
      0),
   0)</f>
        <v>4</v>
      </c>
      <c r="N22" s="297">
        <f t="shared" si="39"/>
        <v>2</v>
      </c>
      <c r="O22" s="54">
        <f>SUMIF('UC MINI 2026'!$B$5:$B$71,'BEV MINI 2026'!$B22,'UC MINI 2026'!$L$5:$L$71)</f>
        <v>2</v>
      </c>
      <c r="P22" s="86">
        <f>IFERROR(INDEX([2]BEV!$S$10:$AF$68,
      MATCH(B22,[2]BEV!$S$10:$S$68,0),
      MATCH("ABRIL",[2]BEV!$S$9:$AF$9,0)),
   0)-IF(B22=100873,
   IFERROR(VLOOKUP("ABRIL",[2]BEV!$S$80:$T$93,2,0),
      0),
   0)</f>
        <v>2</v>
      </c>
      <c r="Q22" s="243">
        <f t="shared" si="40"/>
        <v>1</v>
      </c>
      <c r="R22" s="54">
        <f>SUMIF('UC MINI 2026'!$B$5:$B$71,'BEV MINI 2026'!$B22,'UC MINI 2026'!$N$5:$N$71)</f>
        <v>2</v>
      </c>
      <c r="S22" s="86">
        <f>IFERROR(INDEX([2]BEV!$S$10:$AF$68,
      MATCH(B22,[2]BEV!$S$10:$S$68,0),
      MATCH("MAYO",[2]BEV!$S$9:$AF$9,0)),
   0)-IF(B22=100873,
   IFERROR(VLOOKUP("MAYO",[2]BEV!$S$80:$T$93,2,0),
      0),
   0)</f>
        <v>1</v>
      </c>
      <c r="T22" s="297">
        <f t="shared" si="41"/>
        <v>0.5</v>
      </c>
      <c r="U22" s="54">
        <f>SUMIF('UC MINI 2026'!$B$5:$B$71,'BEV MINI 2026'!$B22,'UC MINI 2026'!$P$5:$P$71)</f>
        <v>3</v>
      </c>
      <c r="V22" s="86">
        <f>IFERROR(INDEX([2]BEV!$S$10:$AF$68,
      MATCH(B22,[2]BEV!$S$10:$S$68,0),
      MATCH("JUNIO",[2]BEV!$S$9:$AF$9,0)),
   0)-IF(B22=100873,
   IFERROR(VLOOKUP("JUNIO",[2]BEV!$S$80:$T$93,2,0),
      0),
   0)</f>
        <v>1</v>
      </c>
      <c r="W22" s="243">
        <f t="shared" si="42"/>
        <v>0.33333333333333331</v>
      </c>
      <c r="X22" s="54">
        <f>SUMIF('UC MINI 2026'!$B$5:$B$71,'BEV MINI 2026'!$B22,'UC MINI 2026'!$R$5:$R$71)</f>
        <v>0</v>
      </c>
      <c r="Y22" s="86">
        <f>IFERROR(INDEX([2]BEV!$S$10:$AF$68,
      MATCH(B22,[2]BEV!$S$10:$S$68,0),
      MATCH("JULIO",[2]BEV!$S$9:$AF$9,0)),
   0)-IF(B22=100873,
   IFERROR(VLOOKUP("JULIO",[2]BEV!$S$80:$T$93,2,0),
      0),
   0)</f>
        <v>0</v>
      </c>
      <c r="Z22" s="297">
        <f t="shared" si="43"/>
        <v>0</v>
      </c>
      <c r="AA22" s="54">
        <f>SUMIF('UC MINI 2026'!$B$5:$B$71,'BEV MINI 2026'!$B22,'UC MINI 2026'!$T$5:$T$71)</f>
        <v>0</v>
      </c>
      <c r="AB22" s="86">
        <f>IFERROR(INDEX([2]BEV!$S$10:$AF$68,
      MATCH(B22,[2]BEV!$S$10:$S$68,0),
      MATCH("AGOSTO",[2]BEV!$S$9:$AF$9,0)),
   0)-IF(B22=100873,
   IFERROR(VLOOKUP("AGOSTO",[2]BEV!$S$80:$T$93,2,0),
      0),
   0)</f>
        <v>0</v>
      </c>
      <c r="AC22" s="243">
        <f t="shared" si="44"/>
        <v>0</v>
      </c>
      <c r="AD22" s="54">
        <f>SUMIF('UC MINI 2026'!$B$5:$B$71,'BEV MINI 2026'!$B22,'UC MINI 2026'!$V$5:$V$71)</f>
        <v>0</v>
      </c>
      <c r="AE22" s="86">
        <f>IFERROR(INDEX([2]BEV!$S$10:$AF$68,
      MATCH(B22,[2]BEV!$S$10:$S$68,0),
      MATCH("SEPTIEMBRE",[2]BEV!$S$9:$AF$9,0)),
   0)-IF(B22=100873,
   IFERROR(VLOOKUP("SEPTIEMBRE",[2]BEV!$S$80:$T$93,2,0),
      0),
   0)</f>
        <v>0</v>
      </c>
      <c r="AF22" s="297">
        <f t="shared" si="45"/>
        <v>0</v>
      </c>
      <c r="AG22" s="54">
        <f>SUMIF('UC MINI 2026'!$B$5:$B$71,'BEV MINI 2026'!$B22,'UC MINI 2026'!$X$5:$X$71)</f>
        <v>0</v>
      </c>
      <c r="AH22" s="86">
        <f>IFERROR(INDEX([2]BEV!$S$10:$AF$68,
      MATCH(B22,[2]BEV!$S$10:$S$68,0),
      MATCH("OCTUBRE",[2]BEV!$S$9:$AF$9,0)),
   0)-IF(B22=100873,
   IFERROR(VLOOKUP("OCTUBRE",[2]BEV!$S$80:$T$93,2,0),
      0),
   0)</f>
        <v>0</v>
      </c>
      <c r="AI22" s="243">
        <f t="shared" si="46"/>
        <v>0</v>
      </c>
      <c r="AJ22" s="54">
        <f>SUMIF('UC MINI 2026'!$B$5:$B$71,'BEV MINI 2026'!$B22,'UC MINI 2026'!$Z$5:$Z$71)</f>
        <v>0</v>
      </c>
      <c r="AK22" s="86">
        <f>IFERROR(INDEX([2]BEV!$S$10:$AF$68,
      MATCH(B22,[2]BEV!$S$10:$S$68,0),
      MATCH("NOVIEMBRE",[2]BEV!$S$9:$AF$9,0)),
   0)-IF(B22=100873,
   IFERROR(VLOOKUP("NOVIEMBRE",[2]BEV!$S$80:$T$93,2,0),
      0),
   0)</f>
        <v>0</v>
      </c>
      <c r="AL22" s="297">
        <f t="shared" si="47"/>
        <v>0</v>
      </c>
      <c r="AM22" s="54">
        <f>SUMIF('UC MINI 2026'!$B$5:$B$71,'BEV MINI 2026'!$B22,'UC MINI 2026'!$AB$5:$AB$71)</f>
        <v>0</v>
      </c>
      <c r="AN22" s="86">
        <f>IFERROR(INDEX([2]BEV!$S$10:$AF$68,
      MATCH(B22,[2]BEV!$S$10:$S$68,0),
      MATCH("DICIEMBRE",[2]BEV!$S$9:$AF$9,0)),
   0)-IF(B22=100873,
   IFERROR(VLOOKUP("DICIEMBRE",[2]BEV!$S$80:$T$93,2,0),
      0),
   0)</f>
        <v>0</v>
      </c>
      <c r="AO22" s="243">
        <f t="shared" si="48"/>
        <v>0</v>
      </c>
      <c r="AP22" s="67">
        <f>IFERROR(IF($AP$4="ENERO",F22,IF($AP$4="FEBRERO",F22+I22,IF($AP$4="MARZO",F22+I22+L22,IF($AP$4="ABRIL",F22+I22+L22+O22,IF($AP$4="MAYO",F22+I22+L22+O22+R22,IF($AP$4="JUNIO",F22+I22+L22+O22+R22+U22,IF($AP$4="JULIO",F22+I22+L22+O22+R22+U22+X22,IF($AP$4="AGOSTO",F22+I22+L22+O22+R22+U22+X22+AA22,IF($AP$4="SEPTIEMBRE",F22+I22+L22+O22+R22+U22+X22+AA22+AD22,IF($AP$4="OCTUBRE",F22+I22+L22+O22+R22+U22+X22+AA22+AD22+AG22,IF($AP$4="NOVIEMBRE",F22+I22+L22+O22+R22+U22+X22+AA22+AD22+AG22+AJ22,IF($AP$4="DICIEMBRE",F22+I22+L22+O22+R22+U22+X22+AA22+AD22+AG22+AJ22+AM22,"")))))))))))),0)</f>
        <v>13</v>
      </c>
      <c r="AQ22" s="68">
        <f>IFERROR(IF($AP$4="ENERO",G22,IF($AP$4="FEBRERO",G22+J22,IF($AP$4="MARZO",G22+J22+M22,IF($AP$4="ABRIL",G22+J22+M22+P22,IF($AP$4="MAYO",G22+J22+M22+P22+S22,IF($AP$4="JUNIO",G22+J22+M22+P22+S22+V22,IF($AP$4="JULIO",G22+J22+M22+P22+S22+V22+Y22,IF($AP$4="AGOSTO",G22+J22+M22+P22+S22+V22+Y22+AB22,IF($AP$4="SEPTIEMBRE",G22+J22+M22+P22+S22+V22+Y22+AB22+AE22,IF($AP$4="OCTUBRE",G22+J22+M22+P22+S22+V22+Y22+AB22+AE22+AH22,IF($AP$4="NOVIEMBRE",G22+J22+M22+P22+S22+V22+Y22+AB22+AE22+AH22+AK22,IF($AP$4="DICIEMBRE",G22+J22+M22+P22+S22+V22+Y22+AB22+AE22+AH22+AK22+AN22,"")))))))))))),0)</f>
        <v>10</v>
      </c>
      <c r="AR22" s="152">
        <f t="shared" si="3"/>
        <v>0.76923076923076927</v>
      </c>
      <c r="AS22" s="67">
        <f>IFERROR(F22+I22+L22+O22+R22+U22++X22+AA22+AD22+AG22+AJ22+AM22,0)</f>
        <v>13</v>
      </c>
      <c r="AT22" s="86">
        <f t="shared" si="14"/>
        <v>10</v>
      </c>
      <c r="AU22" s="152">
        <f t="shared" si="4"/>
        <v>0.76923076923076927</v>
      </c>
      <c r="AV22" s="58">
        <f>IF($AV$5="Q1",F22+I22+L22,
IF($AV$5="Q2",O22+R22++U22,
IF($AV$5="Q3",X22+AA22+AD22,
IF($AV$5="Q4",AG22+AJ22+AM22,0))))</f>
        <v>6</v>
      </c>
      <c r="AW22" s="59">
        <f>IF($AV$5="Q1",G22+J22+M22,
IF($AV$5="Q2",P22+S22++V22,
IF($AV$5="Q3",Y22+AB22+AE22,
IF($AV$5="Q4",AH22+AK22+AN22,0))))</f>
        <v>6</v>
      </c>
      <c r="AX22" s="112">
        <f t="shared" si="6"/>
        <v>1</v>
      </c>
      <c r="AY22" s="68">
        <f>IFERROR(IF($AV$5="Q1",#REF!+#REF!+#REF!,
IF($AV$5="Q2",#REF!+#REF!++#REF!,
IF($AV$5="Q3",#REF!+#REF!+#REF!,
IF($AV$5="Q4",#REF!+#REF!+#REF!,0)))),0)</f>
        <v>0</v>
      </c>
      <c r="AZ22" s="297">
        <f>IF(AW22=0,"N.D.",AY22/AW22)</f>
        <v>0</v>
      </c>
      <c r="BA22" s="350">
        <f>IFERROR(IF($AV$5="Q1",#REF!+#REF!+#REF!,
IF($AV$5="Q2",#REF!+#REF!+#REF!,
IF($AV$5="Q3",#REF!+#REF!+#REF!,
IF($AV$5="Q4",#REF!+#REF!+#REF!,0)))),0)</f>
        <v>0</v>
      </c>
      <c r="BB22" s="153">
        <f t="shared" si="7"/>
        <v>0</v>
      </c>
      <c r="BC22" s="67">
        <f>IFERROR(IF($BC$5="S 1",F22+I22+L22+O22+R22+U22,
IF($BC$5="S 2",X22+AA22+AD22+AG22+AJ22+AM22,0)),0)</f>
        <v>13</v>
      </c>
      <c r="BD22" s="68">
        <f>IFERROR(IF($BC$5="S 1",G22+J22+M22+P22+S22+V22,
IF($BC$5="S 2",Y22+AB22+AE22+AH22+AK22+AN22,0)),0)</f>
        <v>10</v>
      </c>
      <c r="BE22" s="153">
        <f t="shared" si="9"/>
        <v>0.76923076923076927</v>
      </c>
      <c r="BF22" s="67">
        <f>IFERROR(IF($BF$5="S 1",F22+I22+L22+O22+R22+U22,
IF($BF$5="S 2",X22+AA22+AD22+AG22+AJ22+AM22,0)),0)</f>
        <v>0</v>
      </c>
      <c r="BG22" s="266">
        <f>IFERROR(IF($BF$5="S 1",G22+J22+M22+P22+S22+V22,
IF($BF$5="S 2",Y22+AB22+AE22+AH22+AK22+AN22,0)),0)</f>
        <v>0</v>
      </c>
      <c r="BH22" s="153">
        <f t="shared" si="11"/>
        <v>0</v>
      </c>
      <c r="BI22" s="53">
        <v>1</v>
      </c>
      <c r="BK22" s="53">
        <v>52</v>
      </c>
      <c r="BL22" s="53">
        <v>63</v>
      </c>
      <c r="BM22" s="513">
        <v>1.5</v>
      </c>
      <c r="BP22" s="53">
        <f t="shared" si="12"/>
        <v>4</v>
      </c>
      <c r="BQ22" s="53">
        <f t="shared" si="13"/>
        <v>7</v>
      </c>
    </row>
    <row r="23" spans="1:69" s="53" customFormat="1" ht="16" customHeight="1" thickBot="1" x14ac:dyDescent="0.35">
      <c r="A23" s="53">
        <f>_xlfn.XLOOKUP(B23,'WHOLESALE MINI 2026'!$B$7:$B$63,'WHOLESALE MINI 2026'!$A$7:$A$63)</f>
        <v>0</v>
      </c>
      <c r="B23" s="61" t="s">
        <v>273</v>
      </c>
      <c r="C23" s="62"/>
      <c r="D23" s="154"/>
      <c r="E23" s="80"/>
      <c r="F23" s="155">
        <f>SUM(F18:F22)</f>
        <v>11</v>
      </c>
      <c r="G23" s="155">
        <f>SUM(G18:G22)</f>
        <v>9</v>
      </c>
      <c r="H23" s="301">
        <f t="shared" si="0"/>
        <v>0.81818181818181823</v>
      </c>
      <c r="I23" s="155">
        <f>SUM(I18:I22)</f>
        <v>12</v>
      </c>
      <c r="J23" s="155">
        <f>SUM(J18:J22)</f>
        <v>9</v>
      </c>
      <c r="K23" s="301">
        <f t="shared" si="1"/>
        <v>0.75</v>
      </c>
      <c r="L23" s="155">
        <f>SUM(L18:L22)</f>
        <v>13</v>
      </c>
      <c r="M23" s="155">
        <f>SUM(M18:M22)</f>
        <v>12</v>
      </c>
      <c r="N23" s="301">
        <f t="shared" ref="N23:N29" si="49">IFERROR(M23/L23,0)</f>
        <v>0.92307692307692313</v>
      </c>
      <c r="O23" s="155">
        <f>SUM(O18:O22)</f>
        <v>12</v>
      </c>
      <c r="P23" s="155">
        <f>SUM(P18:P22)</f>
        <v>14</v>
      </c>
      <c r="Q23" s="301">
        <f t="shared" ref="Q23:Q29" si="50">IFERROR(P23/O23,0)</f>
        <v>1.1666666666666667</v>
      </c>
      <c r="R23" s="155">
        <f>SUM(R18:R22)</f>
        <v>13</v>
      </c>
      <c r="S23" s="155">
        <f>SUM(S18:S22)</f>
        <v>8</v>
      </c>
      <c r="T23" s="301">
        <f t="shared" ref="T23:T29" si="51">IFERROR(S23/R23,0)</f>
        <v>0.61538461538461542</v>
      </c>
      <c r="U23" s="155">
        <f>SUM(U18:U22)</f>
        <v>15</v>
      </c>
      <c r="V23" s="155">
        <f>SUM(V18:V22)</f>
        <v>9</v>
      </c>
      <c r="W23" s="301">
        <f t="shared" ref="W23:W29" si="52">IFERROR(V23/U23,0)</f>
        <v>0.6</v>
      </c>
      <c r="X23" s="155">
        <f>SUM(X18:X22)</f>
        <v>0</v>
      </c>
      <c r="Y23" s="155">
        <f>SUM(Y18:Y22)</f>
        <v>0</v>
      </c>
      <c r="Z23" s="301">
        <f t="shared" ref="Z23:Z29" si="53">IFERROR(Y23/X23,0)</f>
        <v>0</v>
      </c>
      <c r="AA23" s="155">
        <f>SUM(AA18:AA22)</f>
        <v>0</v>
      </c>
      <c r="AB23" s="155">
        <f>SUM(AB18:AB22)</f>
        <v>0</v>
      </c>
      <c r="AC23" s="301">
        <f t="shared" ref="AC23:AC29" si="54">IFERROR(AB23/AA23,0)</f>
        <v>0</v>
      </c>
      <c r="AD23" s="155">
        <f>SUM(AD18:AD22)</f>
        <v>0</v>
      </c>
      <c r="AE23" s="155">
        <f>SUM(AE18:AE22)</f>
        <v>0</v>
      </c>
      <c r="AF23" s="301">
        <f t="shared" ref="AF23:AF29" si="55">IFERROR(AE23/AD23,0)</f>
        <v>0</v>
      </c>
      <c r="AG23" s="155">
        <f>SUM(AG18:AG22)</f>
        <v>0</v>
      </c>
      <c r="AH23" s="155">
        <f>SUM(AH18:AH22)</f>
        <v>0</v>
      </c>
      <c r="AI23" s="301">
        <f t="shared" ref="AI23:AI29" si="56">IFERROR(AH23/AG23,0)</f>
        <v>0</v>
      </c>
      <c r="AJ23" s="155">
        <f>SUM(AJ18:AJ22)</f>
        <v>0</v>
      </c>
      <c r="AK23" s="155">
        <f>SUM(AK18:AK22)</f>
        <v>0</v>
      </c>
      <c r="AL23" s="301">
        <f t="shared" ref="AL23:AL29" si="57">IFERROR(AK23/AJ23,0)</f>
        <v>0</v>
      </c>
      <c r="AM23" s="155">
        <f>SUM(AM18:AM22)</f>
        <v>0</v>
      </c>
      <c r="AN23" s="155">
        <f>SUM(AN18:AN22)</f>
        <v>0</v>
      </c>
      <c r="AO23" s="301">
        <f t="shared" ref="AO23:AO29" si="58">IFERROR(AN23/AM23,0)</f>
        <v>0</v>
      </c>
      <c r="AP23" s="63">
        <f>SUM(AP18:AP22)</f>
        <v>76</v>
      </c>
      <c r="AQ23" s="63">
        <f>SUM(AQ18:AQ22)</f>
        <v>61</v>
      </c>
      <c r="AR23" s="320">
        <f t="shared" si="3"/>
        <v>0.80263157894736847</v>
      </c>
      <c r="AS23" s="63">
        <f>SUM(AS18:AS22)</f>
        <v>76</v>
      </c>
      <c r="AT23" s="63">
        <f>SUM(AT18:AT22)</f>
        <v>61</v>
      </c>
      <c r="AU23" s="320">
        <f t="shared" si="4"/>
        <v>0.80263157894736847</v>
      </c>
      <c r="AV23" s="63">
        <f>SUM(AV12:AV21)</f>
        <v>491</v>
      </c>
      <c r="AW23" s="65">
        <f>SUM(AW12:AW21)</f>
        <v>671</v>
      </c>
      <c r="AX23" s="157">
        <f t="shared" si="6"/>
        <v>1.3665987780040734</v>
      </c>
      <c r="AY23" s="65">
        <f>SUM(AY12:AY21)</f>
        <v>0</v>
      </c>
      <c r="AZ23" s="321">
        <f>IFERROR(AY23/AW23,0)</f>
        <v>0</v>
      </c>
      <c r="BA23" s="349" t="e">
        <f>IF($AV$5="Q1",#REF!+#REF!+#REF!,
IF($AV$5="Q2",#REF!+#REF!+#REF!,
IF($AV$5="Q3",#REF!+#REF!+#REF!,
IF($AV$5="Q4",#REF!+#REF!+#REF!,0))))</f>
        <v>#REF!</v>
      </c>
      <c r="BB23" s="333">
        <f t="shared" si="7"/>
        <v>0</v>
      </c>
      <c r="BC23" s="63">
        <f>IF($BC$5="S 1",F23+I23+L23+O23+R23+U23,
IF($BC$5="S 2",X23+AA23+AD23+AG23+AJ23+AM23,0))</f>
        <v>76</v>
      </c>
      <c r="BD23" s="65">
        <f>IF($BC$5="S 1",G23+J23+M23+P23+S23+V23,
IF($BC$5="S 2",Y23+AB23+AE23+AH23+AK23+AN23,0))</f>
        <v>61</v>
      </c>
      <c r="BE23" s="333">
        <f t="shared" si="9"/>
        <v>0.80263157894736847</v>
      </c>
      <c r="BF23" s="63">
        <f>SUM(BF18:BF22)</f>
        <v>0</v>
      </c>
      <c r="BG23" s="63">
        <f>SUM(BG18:BG22)</f>
        <v>0</v>
      </c>
      <c r="BH23" s="333">
        <f t="shared" si="11"/>
        <v>0</v>
      </c>
      <c r="BI23" s="53">
        <v>0</v>
      </c>
      <c r="BK23" s="53">
        <v>45</v>
      </c>
      <c r="BL23" s="53">
        <v>59</v>
      </c>
      <c r="BM23" s="513">
        <v>1.4705882352941178</v>
      </c>
      <c r="BP23" s="53">
        <f t="shared" si="12"/>
        <v>31</v>
      </c>
      <c r="BQ23" s="53">
        <f t="shared" si="13"/>
        <v>40</v>
      </c>
    </row>
    <row r="24" spans="1:69" s="53" customFormat="1" ht="16" customHeight="1" x14ac:dyDescent="0.3">
      <c r="B24" s="8">
        <v>100120</v>
      </c>
      <c r="C24" s="369" t="s">
        <v>44</v>
      </c>
      <c r="D24" s="146"/>
      <c r="E24" s="379" t="s">
        <v>80</v>
      </c>
      <c r="F24" s="54">
        <f>SUMIF('UC MINI 2026'!$B$5:$B$71,'BEV MINI 2026'!$B24,'UC MINI 2026'!$F$5:$F$71)</f>
        <v>0</v>
      </c>
      <c r="G24" s="86">
        <f>IFERROR(INDEX([2]BEV!$S$10:$AF$68,
      MATCH(B24,[2]BEV!$S$10:$S$68,0),
      MATCH("ENERO",[2]BEV!$S$9:$AF$9,0)),
   0)-IF(B24=100873,
   IFERROR(VLOOKUP("ENERO",[2]BEV!$S$80:$T$93,2,0),
      0),
   0)</f>
        <v>0</v>
      </c>
      <c r="H24" s="243">
        <f t="shared" ref="H24:H29" si="59">IFERROR(G24/F24,0)</f>
        <v>0</v>
      </c>
      <c r="I24" s="54">
        <f>SUMIF('UC MINI 2026'!$B$5:$B$71,'BEV MINI 2026'!$B24,'UC MINI 2026'!$F$5:$F$71)</f>
        <v>0</v>
      </c>
      <c r="J24" s="86">
        <f>IFERROR(INDEX([2]BEV!$S$10:$AF$68,
      MATCH(B24,[2]BEV!$S$10:$S$68,0),
      MATCH("FEBRERO",[2]BEV!$S$9:$AF$9,0)),
   0)-IF(B24=100873,
   IFERROR(VLOOKUP("FEBRERO",[2]BEV!$S$80:$T$93,2,0),
      0),
   0)</f>
        <v>0</v>
      </c>
      <c r="K24" s="243">
        <f t="shared" ref="K24:K29" si="60">IFERROR(J24/I24,0)</f>
        <v>0</v>
      </c>
      <c r="L24" s="54">
        <f>SUMIF('UC MINI 2026'!$B$5:$B$71,'BEV MINI 2026'!$B24,'UC MINI 2026'!$F$5:$F$71)</f>
        <v>0</v>
      </c>
      <c r="M24" s="86">
        <f>IFERROR(INDEX([2]BEV!$S$10:$AF$68,
      MATCH(B24,[2]BEV!$S$10:$S$68,0),
      MATCH("MARZO",[2]BEV!$S$9:$AF$9,0)),
   0)-IF(B24=100873,
   IFERROR(VLOOKUP("MARZO",[2]BEV!$S$80:$T$93,2,0),
      0),
   0)</f>
        <v>0</v>
      </c>
      <c r="N24" s="297">
        <f t="shared" si="49"/>
        <v>0</v>
      </c>
      <c r="O24" s="54">
        <f>SUMIF('UC MINI 2026'!$B$5:$B$71,'BEV MINI 2026'!$B24,'UC MINI 2026'!$L$5:$L$71)</f>
        <v>0</v>
      </c>
      <c r="P24" s="86">
        <f>IFERROR(INDEX([2]BEV!$S$10:$AF$68,
      MATCH(B24,[2]BEV!$S$10:$S$68,0),
      MATCH("ABRIL",[2]BEV!$S$9:$AF$9,0)),
   0)-IF(B24=100873,
   IFERROR(VLOOKUP("ABRIL",[2]BEV!$S$80:$T$93,2,0),
      0),
   0)</f>
        <v>1</v>
      </c>
      <c r="Q24" s="243">
        <f t="shared" si="50"/>
        <v>0</v>
      </c>
      <c r="R24" s="54">
        <f>SUMIF('UC MINI 2026'!$B$5:$B$71,'BEV MINI 2026'!$B24,'UC MINI 2026'!$N$5:$N$71)</f>
        <v>0</v>
      </c>
      <c r="S24" s="86">
        <f>IFERROR(INDEX([2]BEV!$S$10:$AF$68,
      MATCH(B24,[2]BEV!$S$10:$S$68,0),
      MATCH("MAYO",[2]BEV!$S$9:$AF$9,0)),
   0)-IF(B24=100873,
   IFERROR(VLOOKUP("MAYO",[2]BEV!$S$80:$T$93,2,0),
      0),
   0)</f>
        <v>0</v>
      </c>
      <c r="T24" s="297">
        <f t="shared" si="51"/>
        <v>0</v>
      </c>
      <c r="U24" s="54">
        <f>SUMIF('UC MINI 2026'!$B$5:$B$71,'BEV MINI 2026'!$B24,'UC MINI 2026'!$P$5:$P$71)</f>
        <v>0</v>
      </c>
      <c r="V24" s="86">
        <f>IFERROR(INDEX([2]BEV!$S$10:$AF$68,
      MATCH(B24,[2]BEV!$S$10:$S$68,0),
      MATCH("JUNIO",[2]BEV!$S$9:$AF$9,0)),
   0)-IF(B24=100873,
   IFERROR(VLOOKUP("JUNIO",[2]BEV!$S$80:$T$93,2,0),
      0),
   0)</f>
        <v>0</v>
      </c>
      <c r="W24" s="243">
        <f t="shared" si="52"/>
        <v>0</v>
      </c>
      <c r="X24" s="54">
        <f>SUMIF('UC MINI 2026'!$B$5:$B$71,'BEV MINI 2026'!$B24,'UC MINI 2026'!$R$5:$R$71)</f>
        <v>0</v>
      </c>
      <c r="Y24" s="86">
        <f>IFERROR(INDEX([2]BEV!$S$10:$AF$68,
      MATCH(B24,[2]BEV!$S$10:$S$68,0),
      MATCH("JULIO",[2]BEV!$S$9:$AF$9,0)),
   0)-IF(B24=100873,
   IFERROR(VLOOKUP("JULIO",[2]BEV!$S$80:$T$93,2,0),
      0),
   0)</f>
        <v>0</v>
      </c>
      <c r="Z24" s="297">
        <f t="shared" si="53"/>
        <v>0</v>
      </c>
      <c r="AA24" s="54">
        <f>SUMIF('UC MINI 2026'!$B$5:$B$71,'BEV MINI 2026'!$B24,'UC MINI 2026'!$T$5:$T$71)</f>
        <v>0</v>
      </c>
      <c r="AB24" s="86">
        <f>IFERROR(INDEX([2]BEV!$S$10:$AF$68,
      MATCH(B24,[2]BEV!$S$10:$S$68,0),
      MATCH("AGOSTO",[2]BEV!$S$9:$AF$9,0)),
   0)-IF(B24=100873,
   IFERROR(VLOOKUP("AGOSTO",[2]BEV!$S$80:$T$93,2,0),
      0),
   0)</f>
        <v>0</v>
      </c>
      <c r="AC24" s="243">
        <f t="shared" si="54"/>
        <v>0</v>
      </c>
      <c r="AD24" s="54">
        <f>SUMIF('UC MINI 2026'!$B$5:$B$71,'BEV MINI 2026'!$B24,'UC MINI 2026'!$V$5:$V$71)</f>
        <v>0</v>
      </c>
      <c r="AE24" s="86">
        <f>IFERROR(INDEX([2]BEV!$S$10:$AF$68,
      MATCH(B24,[2]BEV!$S$10:$S$68,0),
      MATCH("SEPTIEMBRE",[2]BEV!$S$9:$AF$9,0)),
   0)-IF(B24=100873,
   IFERROR(VLOOKUP("SEPTIEMBRE",[2]BEV!$S$80:$T$93,2,0),
      0),
   0)</f>
        <v>0</v>
      </c>
      <c r="AF24" s="297">
        <f t="shared" si="55"/>
        <v>0</v>
      </c>
      <c r="AG24" s="54">
        <f>SUMIF('UC MINI 2026'!$B$5:$B$71,'BEV MINI 2026'!$B24,'UC MINI 2026'!$X$5:$X$71)</f>
        <v>0</v>
      </c>
      <c r="AH24" s="86">
        <f>IFERROR(INDEX([2]BEV!$S$10:$AF$68,
      MATCH(B24,[2]BEV!$S$10:$S$68,0),
      MATCH("OCTUBRE",[2]BEV!$S$9:$AF$9,0)),
   0)-IF(B24=100873,
   IFERROR(VLOOKUP("OCTUBRE",[2]BEV!$S$80:$T$93,2,0),
      0),
   0)</f>
        <v>0</v>
      </c>
      <c r="AI24" s="243">
        <f t="shared" si="56"/>
        <v>0</v>
      </c>
      <c r="AJ24" s="54">
        <f>SUMIF('UC MINI 2026'!$B$5:$B$71,'BEV MINI 2026'!$B24,'UC MINI 2026'!$Z$5:$Z$71)</f>
        <v>0</v>
      </c>
      <c r="AK24" s="86">
        <f>IFERROR(INDEX([2]BEV!$S$10:$AF$68,
      MATCH(B24,[2]BEV!$S$10:$S$68,0),
      MATCH("NOVIEMBRE",[2]BEV!$S$9:$AF$9,0)),
   0)-IF(B24=100873,
   IFERROR(VLOOKUP("NOVIEMBRE",[2]BEV!$S$80:$T$93,2,0),
      0),
   0)</f>
        <v>0</v>
      </c>
      <c r="AL24" s="297">
        <f t="shared" si="57"/>
        <v>0</v>
      </c>
      <c r="AM24" s="54">
        <f>SUMIF('UC MINI 2026'!$B$5:$B$71,'BEV MINI 2026'!$B24,'UC MINI 2026'!$AB$5:$AB$71)</f>
        <v>0</v>
      </c>
      <c r="AN24" s="86">
        <f>IFERROR(INDEX([2]BEV!$S$10:$AF$68,
      MATCH(B24,[2]BEV!$S$10:$S$68,0),
      MATCH("DICIEMBRE",[2]BEV!$S$9:$AF$9,0)),
   0)-IF(B24=100873,
   IFERROR(VLOOKUP("DICIEMBRE",[2]BEV!$S$80:$T$93,2,0),
      0),
   0)</f>
        <v>0</v>
      </c>
      <c r="AO24" s="243">
        <f t="shared" si="58"/>
        <v>0</v>
      </c>
      <c r="AP24" s="67">
        <f>IFERROR(IF($AP$4="ENERO",F24,IF($AP$4="FEBRERO",F24+I24,IF($AP$4="MARZO",F24+I24+L24,IF($AP$4="ABRIL",F24+I24+L24+O24,IF($AP$4="MAYO",F24+I24+L24+O24+R24,IF($AP$4="JUNIO",F24+I24+L24+O24+R24+U24,IF($AP$4="JULIO",F24+I24+L24+O24+R24+U24+X24,IF($AP$4="AGOSTO",F24+I24+L24+O24+R24+U24+X24+AA24,IF($AP$4="SEPTIEMBRE",F24+I24+L24+O24+R24+U24+X24+AA24+AD24,IF($AP$4="OCTUBRE",F24+I24+L24+O24+R24+U24+X24+AA24+AD24+AG24,IF($AP$4="NOVIEMBRE",F24+I24+L24+O24+R24+U24+X24+AA24+AD24+AG24+AJ24,IF($AP$4="DICIEMBRE",F24+I24+L24+O24+R24+U24+X24+AA24+AD24+AG24+AJ24+AM24,"")))))))))))),0)</f>
        <v>0</v>
      </c>
      <c r="AQ24" s="68">
        <f>IFERROR(IF($AP$4="ENERO",G24,IF($AP$4="FEBRERO",G24+J24,IF($AP$4="MARZO",G24+J24+M24,IF($AP$4="ABRIL",G24+J24+M24+P24,IF($AP$4="MAYO",G24+J24+M24+P24+S24,IF($AP$4="JUNIO",G24+J24+M24+P24+S24+V24,IF($AP$4="JULIO",G24+J24+M24+P24+S24+V24+Y24,IF($AP$4="AGOSTO",G24+J24+M24+P24+S24+V24+Y24+AB24,IF($AP$4="SEPTIEMBRE",G24+J24+M24+P24+S24+V24+Y24+AB24+AE24,IF($AP$4="OCTUBRE",G24+J24+M24+P24+S24+V24+Y24+AB24+AE24+AH24,IF($AP$4="NOVIEMBRE",G24+J24+M24+P24+S24+V24+Y24+AB24+AE24+AH24+AK24,IF($AP$4="DICIEMBRE",G24+J24+M24+P24+S24+V24+Y24+AB24+AE24+AH24+AK24+AN24,"")))))))))))),0)</f>
        <v>1</v>
      </c>
      <c r="AR24" s="149">
        <f t="shared" ref="AR24:AR29" si="61">IFERROR((AQ24/AP24),0)</f>
        <v>0</v>
      </c>
      <c r="AS24" s="67">
        <f t="shared" ref="AS24:AS29" si="62">IFERROR(F24+I24+L24+O24+R24+U24++X24+AA24+AD24+AG24+AJ24+AM24,0)</f>
        <v>0</v>
      </c>
      <c r="AT24" s="86">
        <f>IFERROR(G24+J24+M24+P24+S24+V24++Y24+AB24+AE24+AH24+AK24+AN24,0)</f>
        <v>1</v>
      </c>
      <c r="AU24" s="149">
        <f t="shared" ref="AU24:AU29" si="63">IFERROR((AT24/AS24),0)</f>
        <v>0</v>
      </c>
      <c r="AV24" s="190"/>
      <c r="AW24" s="191"/>
      <c r="AX24" s="543"/>
      <c r="AY24" s="191"/>
      <c r="AZ24" s="544"/>
      <c r="BA24" s="545"/>
      <c r="BB24" s="542"/>
      <c r="BC24" s="67">
        <f>IFERROR(IF($BC$5="S 1",F24+I24+L24+O24+R24+U24,
IF($BC$5="S 2",X24+AA24+AD24+AG24+AJ24+AM24,0)),0)</f>
        <v>0</v>
      </c>
      <c r="BD24" s="68">
        <f>IFERROR(IF($BC$5="S 1",G24+J24+M24+P24+S24+V24,
IF($BC$5="S 2",Y24+AB24+AE24+AH24+AK24+AN24,0)),0)</f>
        <v>1</v>
      </c>
      <c r="BE24" s="150">
        <f t="shared" ref="BE24:BE29" si="64">IFERROR((BD24/BC24),0)</f>
        <v>0</v>
      </c>
      <c r="BF24" s="67">
        <f>IFERROR(IF($BF$5="S 1",F24+I24+L24+O24+R24+U24,
IF($BF$5="S 2",X24+AA24+AD24+AG24+AJ24+AM24,0)),0)</f>
        <v>0</v>
      </c>
      <c r="BG24" s="266">
        <f>IFERROR(IF($BF$5="S 1",G24+J24+M24+P24+S24+V24,
IF($BF$5="S 2",Y24+AB24+AE24+AH24+AK24+AN24,0)),0)</f>
        <v>0</v>
      </c>
      <c r="BH24" s="150">
        <f t="shared" ref="BH24:BH29" si="65">IFERROR((BG24/BF24),0)</f>
        <v>0</v>
      </c>
      <c r="BI24" s="53">
        <v>1</v>
      </c>
      <c r="BK24" s="53">
        <v>45</v>
      </c>
      <c r="BL24" s="53">
        <v>56</v>
      </c>
      <c r="BM24" s="513">
        <v>1.45</v>
      </c>
    </row>
    <row r="25" spans="1:69" s="53" customFormat="1" ht="16" customHeight="1" x14ac:dyDescent="0.3">
      <c r="A25" s="53">
        <f>_xlfn.XLOOKUP(B25,'WHOLESALE MINI 2026'!$B$7:$B$63,'WHOLESALE MINI 2026'!$A$7:$A$63)</f>
        <v>4</v>
      </c>
      <c r="B25" s="8">
        <v>100146</v>
      </c>
      <c r="C25" s="369" t="s">
        <v>18</v>
      </c>
      <c r="D25" s="146"/>
      <c r="E25" s="379" t="s">
        <v>81</v>
      </c>
      <c r="F25" s="54">
        <f>SUMIF('UC MINI 2026'!$B$5:$B$71,'BEV MINI 2026'!$B25,'UC MINI 2026'!$F$5:$F$71)</f>
        <v>1</v>
      </c>
      <c r="G25" s="86">
        <f>IFERROR(INDEX([2]BEV!$S$10:$AF$68,
      MATCH(B25,[2]BEV!$S$10:$S$68,0),
      MATCH("ENERO",[2]BEV!$S$9:$AF$9,0)),
   0)-IF(B25=100873,
   IFERROR(VLOOKUP("ENERO",[2]BEV!$S$80:$T$93,2,0),
      0),
   0)</f>
        <v>0</v>
      </c>
      <c r="H25" s="243">
        <f t="shared" si="59"/>
        <v>0</v>
      </c>
      <c r="I25" s="54">
        <f>SUMIF('UC MINI 2026'!$B$5:$B$71,'BEV MINI 2026'!$B25,'UC MINI 2026'!$H$5:$H$71)</f>
        <v>1</v>
      </c>
      <c r="J25" s="86">
        <f>IFERROR(INDEX([2]BEV!$S$10:$AF$68,
      MATCH(B25,[2]BEV!$S$10:$S$68,0),
      MATCH("FEBRERO",[2]BEV!$S$9:$AF$9,0)),
   0)-IF(B25=100873,
   IFERROR(VLOOKUP("FEBRERO",[2]BEV!$S$80:$T$93,2,0),
      0),
   0)</f>
        <v>1</v>
      </c>
      <c r="K25" s="243">
        <f t="shared" si="60"/>
        <v>1</v>
      </c>
      <c r="L25" s="54">
        <f>SUMIF('UC MINI 2026'!$B$5:$B$71,'BEV MINI 2026'!$B25,'UC MINI 2026'!$J$5:$J$71)</f>
        <v>1</v>
      </c>
      <c r="M25" s="86">
        <f>IFERROR(INDEX([2]BEV!$S$10:$AF$68,
      MATCH(B25,[2]BEV!$S$10:$S$68,0),
      MATCH("MARZO",[2]BEV!$S$9:$AF$9,0)),
   0)-IF(B25=100873,
   IFERROR(VLOOKUP("MARZO",[2]BEV!$S$80:$T$93,2,0),
      0),
   0)</f>
        <v>0</v>
      </c>
      <c r="N25" s="297">
        <f t="shared" si="49"/>
        <v>0</v>
      </c>
      <c r="O25" s="54">
        <f>SUMIF('UC MINI 2026'!$B$5:$B$71,'BEV MINI 2026'!$B25,'UC MINI 2026'!$L$5:$L$71)</f>
        <v>1</v>
      </c>
      <c r="P25" s="86">
        <f>IFERROR(INDEX([2]BEV!$S$10:$AF$68,
      MATCH(B25,[2]BEV!$S$10:$S$68,0),
      MATCH("ABRIL",[2]BEV!$S$9:$AF$9,0)),
   0)-IF(B25=100873,
   IFERROR(VLOOKUP("ABRIL",[2]BEV!$S$80:$T$93,2,0),
      0),
   0)</f>
        <v>3</v>
      </c>
      <c r="Q25" s="243">
        <f t="shared" si="50"/>
        <v>3</v>
      </c>
      <c r="R25" s="54">
        <f>SUMIF('UC MINI 2026'!$B$5:$B$71,'BEV MINI 2026'!$B25,'UC MINI 2026'!$N$5:$N$71)</f>
        <v>1</v>
      </c>
      <c r="S25" s="86">
        <f>IFERROR(INDEX([2]BEV!$S$10:$AF$68,
      MATCH(B25,[2]BEV!$S$10:$S$68,0),
      MATCH("MAYO",[2]BEV!$S$9:$AF$9,0)),
   0)-IF(B25=100873,
   IFERROR(VLOOKUP("MAYO",[2]BEV!$S$80:$T$93,2,0),
      0),
   0)</f>
        <v>0</v>
      </c>
      <c r="T25" s="297">
        <f t="shared" si="51"/>
        <v>0</v>
      </c>
      <c r="U25" s="54">
        <f>SUMIF('UC MINI 2026'!$B$5:$B$71,'BEV MINI 2026'!$B25,'UC MINI 2026'!$P$5:$P$71)</f>
        <v>2</v>
      </c>
      <c r="V25" s="86">
        <f>IFERROR(INDEX([2]BEV!$S$10:$AF$68,
      MATCH(B25,[2]BEV!$S$10:$S$68,0),
      MATCH("JUNIO",[2]BEV!$S$9:$AF$9,0)),
   0)-IF(B25=100873,
   IFERROR(VLOOKUP("JUNIO",[2]BEV!$S$80:$T$93,2,0),
      0),
   0)</f>
        <v>0</v>
      </c>
      <c r="W25" s="243">
        <f t="shared" si="52"/>
        <v>0</v>
      </c>
      <c r="X25" s="54">
        <f>SUMIF('UC MINI 2026'!$B$5:$B$71,'BEV MINI 2026'!$B25,'UC MINI 2026'!$R$5:$R$71)</f>
        <v>0</v>
      </c>
      <c r="Y25" s="86">
        <f>IFERROR(INDEX([2]BEV!$S$10:$AF$68,
      MATCH(B25,[2]BEV!$S$10:$S$68,0),
      MATCH("JULIO",[2]BEV!$S$9:$AF$9,0)),
   0)-IF(B25=100873,
   IFERROR(VLOOKUP("JULIO",[2]BEV!$S$80:$T$93,2,0),
      0),
   0)</f>
        <v>0</v>
      </c>
      <c r="Z25" s="297">
        <f t="shared" si="53"/>
        <v>0</v>
      </c>
      <c r="AA25" s="54">
        <f>SUMIF('UC MINI 2026'!$B$5:$B$71,'BEV MINI 2026'!$B25,'UC MINI 2026'!$T$5:$T$71)</f>
        <v>0</v>
      </c>
      <c r="AB25" s="86">
        <f>IFERROR(INDEX([2]BEV!$S$10:$AF$68,
      MATCH(B25,[2]BEV!$S$10:$S$68,0),
      MATCH("AGOSTO",[2]BEV!$S$9:$AF$9,0)),
   0)-IF(B25=100873,
   IFERROR(VLOOKUP("AGOSTO",[2]BEV!$S$80:$T$93,2,0),
      0),
   0)</f>
        <v>0</v>
      </c>
      <c r="AC25" s="243">
        <f t="shared" si="54"/>
        <v>0</v>
      </c>
      <c r="AD25" s="54">
        <f>SUMIF('UC MINI 2026'!$B$5:$B$71,'BEV MINI 2026'!$B25,'UC MINI 2026'!$V$5:$V$71)</f>
        <v>0</v>
      </c>
      <c r="AE25" s="86">
        <f>IFERROR(INDEX([2]BEV!$S$10:$AF$68,
      MATCH(B25,[2]BEV!$S$10:$S$68,0),
      MATCH("SEPTIEMBRE",[2]BEV!$S$9:$AF$9,0)),
   0)-IF(B25=100873,
   IFERROR(VLOOKUP("SEPTIEMBRE",[2]BEV!$S$80:$T$93,2,0),
      0),
   0)</f>
        <v>0</v>
      </c>
      <c r="AF25" s="297">
        <f t="shared" si="55"/>
        <v>0</v>
      </c>
      <c r="AG25" s="54">
        <f>SUMIF('UC MINI 2026'!$B$5:$B$71,'BEV MINI 2026'!$B25,'UC MINI 2026'!$X$5:$X$71)</f>
        <v>0</v>
      </c>
      <c r="AH25" s="86">
        <f>IFERROR(INDEX([2]BEV!$S$10:$AF$68,
      MATCH(B25,[2]BEV!$S$10:$S$68,0),
      MATCH("OCTUBRE",[2]BEV!$S$9:$AF$9,0)),
   0)-IF(B25=100873,
   IFERROR(VLOOKUP("OCTUBRE",[2]BEV!$S$80:$T$93,2,0),
      0),
   0)</f>
        <v>0</v>
      </c>
      <c r="AI25" s="243">
        <f t="shared" si="56"/>
        <v>0</v>
      </c>
      <c r="AJ25" s="54">
        <f>SUMIF('UC MINI 2026'!$B$5:$B$71,'BEV MINI 2026'!$B25,'UC MINI 2026'!$Z$5:$Z$71)</f>
        <v>0</v>
      </c>
      <c r="AK25" s="86">
        <f>IFERROR(INDEX([2]BEV!$S$10:$AF$68,
      MATCH(B25,[2]BEV!$S$10:$S$68,0),
      MATCH("NOVIEMBRE",[2]BEV!$S$9:$AF$9,0)),
   0)-IF(B25=100873,
   IFERROR(VLOOKUP("NOVIEMBRE",[2]BEV!$S$80:$T$93,2,0),
      0),
   0)</f>
        <v>0</v>
      </c>
      <c r="AL25" s="297">
        <f t="shared" si="57"/>
        <v>0</v>
      </c>
      <c r="AM25" s="54">
        <f>SUMIF('UC MINI 2026'!$B$5:$B$71,'BEV MINI 2026'!$B25,'UC MINI 2026'!$AB$5:$AB$71)</f>
        <v>0</v>
      </c>
      <c r="AN25" s="86">
        <f>IFERROR(INDEX([2]BEV!$S$10:$AF$68,
      MATCH(B25,[2]BEV!$S$10:$S$68,0),
      MATCH("DICIEMBRE",[2]BEV!$S$9:$AF$9,0)),
   0)-IF(B25=100873,
   IFERROR(VLOOKUP("DICIEMBRE",[2]BEV!$S$80:$T$93,2,0),
      0),
   0)</f>
        <v>0</v>
      </c>
      <c r="AO25" s="243">
        <f t="shared" si="58"/>
        <v>0</v>
      </c>
      <c r="AP25" s="67">
        <f t="shared" ref="AP25:AQ29" si="66">IFERROR(IF($AP$4="ENERO",F25,IF($AP$4="FEBRERO",F25+I25,IF($AP$4="MARZO",F25+I25+L25,IF($AP$4="ABRIL",F25+I25+L25+O25,IF($AP$4="MAYO",F25+I25+L25+O25+R25,IF($AP$4="JUNIO",F25+I25+L25+O25+R25+U25,IF($AP$4="JULIO",F25+I25+L25+O25+R25+U25+X25,IF($AP$4="AGOSTO",F25+I25+L25+O25+R25+U25+X25+AA25,IF($AP$4="SEPTIEMBRE",F25+I25+L25+O25+R25+U25+X25+AA25+AD25,IF($AP$4="OCTUBRE",F25+I25+L25+O25+R25+U25+X25+AA25+AD25+AG25,IF($AP$4="NOVIEMBRE",F25+I25+L25+O25+R25+U25+X25+AA25+AD25+AG25+AJ25,IF($AP$4="DICIEMBRE",F25+I25+L25+O25+R25+U25+X25+AA25+AD25+AG25+AJ25+AM25,"")))))))))))),0)</f>
        <v>7</v>
      </c>
      <c r="AQ25" s="68">
        <f t="shared" si="66"/>
        <v>4</v>
      </c>
      <c r="AR25" s="149">
        <f t="shared" si="61"/>
        <v>0.5714285714285714</v>
      </c>
      <c r="AS25" s="67">
        <f t="shared" si="62"/>
        <v>7</v>
      </c>
      <c r="AT25" s="86">
        <f t="shared" si="14"/>
        <v>4</v>
      </c>
      <c r="AU25" s="149">
        <f t="shared" si="63"/>
        <v>0.5714285714285714</v>
      </c>
      <c r="AV25" s="54">
        <f t="shared" ref="AV25:AW29" si="67">IF($AV$5="Q1",F25+I25+L25,
IF($AV$5="Q2",O25+R25++U25,
IF($AV$5="Q3",X25+AA25+AD25,
IF($AV$5="Q4",AG25+AJ25+AM25,0))))</f>
        <v>3</v>
      </c>
      <c r="AW25" s="86">
        <f t="shared" si="67"/>
        <v>1</v>
      </c>
      <c r="AX25" s="109">
        <f t="shared" ref="AX25:AX38" si="68">IFERROR((AW25/AV25),0)</f>
        <v>0.33333333333333331</v>
      </c>
      <c r="AY25" s="68">
        <f>IFERROR(IF($AV$5="Q1",#REF!+#REF!+#REF!,
IF($AV$5="Q2",#REF!+#REF!++#REF!,
IF($AV$5="Q3",#REF!+#REF!+#REF!,
IF($AV$5="Q4",#REF!+#REF!+#REF!,0)))),0)</f>
        <v>0</v>
      </c>
      <c r="AZ25" s="297">
        <f>IF(AW25=0,"N.D.",AY25/AW25)</f>
        <v>0</v>
      </c>
      <c r="BA25" s="350">
        <f>IFERROR(IF($AV$5="Q1",#REF!+#REF!+#REF!,
IF($AV$5="Q2",#REF!+#REF!+#REF!,
IF($AV$5="Q3",#REF!+#REF!+#REF!,
IF($AV$5="Q4",#REF!+#REF!+#REF!,0)))),0)</f>
        <v>0</v>
      </c>
      <c r="BB25" s="150">
        <f t="shared" ref="BB25:BB38" si="69">IFERROR((BA25/AV25),0)</f>
        <v>0</v>
      </c>
      <c r="BC25" s="67">
        <f t="shared" ref="BC25:BD29" si="70">IFERROR(IF($BC$5="S 1",F25+I25+L25+O25+R25+U25,
IF($BC$5="S 2",X25+AA25+AD25+AG25+AJ25+AM25,0)),0)</f>
        <v>7</v>
      </c>
      <c r="BD25" s="68">
        <f t="shared" si="70"/>
        <v>4</v>
      </c>
      <c r="BE25" s="150">
        <f t="shared" si="64"/>
        <v>0.5714285714285714</v>
      </c>
      <c r="BF25" s="67">
        <f t="shared" ref="BF25:BG29" si="71">IFERROR(IF($BF$5="S 1",F25+I25+L25+O25+R25+U25,
IF($BF$5="S 2",X25+AA25+AD25+AG25+AJ25+AM25,0)),0)</f>
        <v>0</v>
      </c>
      <c r="BG25" s="266">
        <f t="shared" si="71"/>
        <v>0</v>
      </c>
      <c r="BH25" s="150">
        <f t="shared" si="65"/>
        <v>0</v>
      </c>
      <c r="BI25" s="53">
        <v>1</v>
      </c>
      <c r="BK25" s="53">
        <v>42</v>
      </c>
      <c r="BL25" s="53">
        <v>56</v>
      </c>
      <c r="BM25" s="513">
        <v>1.4363636363636363</v>
      </c>
      <c r="BP25" s="53">
        <f t="shared" ref="BP25:BP37" si="72">SUM(V25,S25,P25)</f>
        <v>3</v>
      </c>
      <c r="BQ25" s="53">
        <f t="shared" ref="BQ25:BQ37" si="73">SUM(U25,R25,O25)</f>
        <v>4</v>
      </c>
    </row>
    <row r="26" spans="1:69" s="53" customFormat="1" ht="16" customHeight="1" x14ac:dyDescent="0.3">
      <c r="A26" s="53">
        <f>_xlfn.XLOOKUP(B26,'WHOLESALE MINI 2026'!$B$7:$B$63,'WHOLESALE MINI 2026'!$A$7:$A$63)</f>
        <v>4</v>
      </c>
      <c r="B26" s="8">
        <v>100155</v>
      </c>
      <c r="C26" s="369" t="s">
        <v>243</v>
      </c>
      <c r="D26" s="146"/>
      <c r="E26" s="379" t="s">
        <v>82</v>
      </c>
      <c r="F26" s="54">
        <f>SUMIF('UC MINI 2026'!$B$5:$B$71,'BEV MINI 2026'!$B26,'UC MINI 2026'!$F$5:$F$71)</f>
        <v>2</v>
      </c>
      <c r="G26" s="86">
        <f>IFERROR(INDEX([2]BEV!$S$10:$AF$68,
      MATCH(B26,[2]BEV!$S$10:$S$68,0),
      MATCH("ENERO",[2]BEV!$S$9:$AF$9,0)),
   0)-IF(B26=100873,
   IFERROR(VLOOKUP("ENERO",[2]BEV!$S$80:$T$93,2,0),
      0),
   0)</f>
        <v>5</v>
      </c>
      <c r="H26" s="243">
        <f t="shared" si="59"/>
        <v>2.5</v>
      </c>
      <c r="I26" s="54">
        <f>SUMIF('UC MINI 2026'!$B$5:$B$71,'BEV MINI 2026'!$B26,'UC MINI 2026'!$H$5:$H$71)</f>
        <v>2</v>
      </c>
      <c r="J26" s="86">
        <f>IFERROR(INDEX([2]BEV!$S$10:$AF$68,
      MATCH(B26,[2]BEV!$S$10:$S$68,0),
      MATCH("FEBRERO",[2]BEV!$S$9:$AF$9,0)),
   0)-IF(B26=100873,
   IFERROR(VLOOKUP("FEBRERO",[2]BEV!$S$80:$T$93,2,0),
      0),
   0)</f>
        <v>3</v>
      </c>
      <c r="K26" s="243">
        <f t="shared" si="60"/>
        <v>1.5</v>
      </c>
      <c r="L26" s="54">
        <f>SUMIF('UC MINI 2026'!$B$5:$B$71,'BEV MINI 2026'!$B26,'UC MINI 2026'!$J$5:$J$71)</f>
        <v>2</v>
      </c>
      <c r="M26" s="86">
        <f>IFERROR(INDEX([2]BEV!$S$10:$AF$68,
      MATCH(B26,[2]BEV!$S$10:$S$68,0),
      MATCH("MARZO",[2]BEV!$S$9:$AF$9,0)),
   0)-IF(B26=100873,
   IFERROR(VLOOKUP("MARZO",[2]BEV!$S$80:$T$93,2,0),
      0),
   0)</f>
        <v>1</v>
      </c>
      <c r="N26" s="297">
        <f t="shared" si="49"/>
        <v>0.5</v>
      </c>
      <c r="O26" s="54">
        <f>SUMIF('UC MINI 2026'!$B$5:$B$71,'BEV MINI 2026'!$B26,'UC MINI 2026'!$L$5:$L$71)</f>
        <v>2</v>
      </c>
      <c r="P26" s="86">
        <f>IFERROR(INDEX([2]BEV!$S$10:$AF$68,
      MATCH(B26,[2]BEV!$S$10:$S$68,0),
      MATCH("ABRIL",[2]BEV!$S$9:$AF$9,0)),
   0)-IF(B26=100873,
   IFERROR(VLOOKUP("ABRIL",[2]BEV!$S$80:$T$93,2,0),
      0),
   0)</f>
        <v>1</v>
      </c>
      <c r="Q26" s="243">
        <f t="shared" si="50"/>
        <v>0.5</v>
      </c>
      <c r="R26" s="54">
        <f>SUMIF('UC MINI 2026'!$B$5:$B$71,'BEV MINI 2026'!$B26,'UC MINI 2026'!$N$5:$N$71)</f>
        <v>2</v>
      </c>
      <c r="S26" s="86">
        <f>IFERROR(INDEX([2]BEV!$S$10:$AF$68,
      MATCH(B26,[2]BEV!$S$10:$S$68,0),
      MATCH("MAYO",[2]BEV!$S$9:$AF$9,0)),
   0)-IF(B26=100873,
   IFERROR(VLOOKUP("MAYO",[2]BEV!$S$80:$T$93,2,0),
      0),
   0)</f>
        <v>3</v>
      </c>
      <c r="T26" s="297">
        <f t="shared" si="51"/>
        <v>1.5</v>
      </c>
      <c r="U26" s="54">
        <f>SUMIF('UC MINI 2026'!$B$5:$B$71,'BEV MINI 2026'!$B26,'UC MINI 2026'!$P$5:$P$71)</f>
        <v>2</v>
      </c>
      <c r="V26" s="86">
        <f>IFERROR(INDEX([2]BEV!$S$10:$AF$68,
      MATCH(B26,[2]BEV!$S$10:$S$68,0),
      MATCH("JUNIO",[2]BEV!$S$9:$AF$9,0)),
   0)-IF(B26=100873,
   IFERROR(VLOOKUP("JUNIO",[2]BEV!$S$80:$T$93,2,0),
      0),
   0)</f>
        <v>3</v>
      </c>
      <c r="W26" s="243">
        <f t="shared" si="52"/>
        <v>1.5</v>
      </c>
      <c r="X26" s="54">
        <f>SUMIF('UC MINI 2026'!$B$5:$B$71,'BEV MINI 2026'!$B26,'UC MINI 2026'!$R$5:$R$71)</f>
        <v>0</v>
      </c>
      <c r="Y26" s="86">
        <f>IFERROR(INDEX([2]BEV!$S$10:$AF$68,
      MATCH(B26,[2]BEV!$S$10:$S$68,0),
      MATCH("JULIO",[2]BEV!$S$9:$AF$9,0)),
   0)-IF(B26=100873,
   IFERROR(VLOOKUP("JULIO",[2]BEV!$S$80:$T$93,2,0),
      0),
   0)</f>
        <v>0</v>
      </c>
      <c r="Z26" s="297">
        <f t="shared" si="53"/>
        <v>0</v>
      </c>
      <c r="AA26" s="54">
        <f>SUMIF('UC MINI 2026'!$B$5:$B$71,'BEV MINI 2026'!$B26,'UC MINI 2026'!$T$5:$T$71)</f>
        <v>0</v>
      </c>
      <c r="AB26" s="86">
        <f>IFERROR(INDEX([2]BEV!$S$10:$AF$68,
      MATCH(B26,[2]BEV!$S$10:$S$68,0),
      MATCH("AGOSTO",[2]BEV!$S$9:$AF$9,0)),
   0)-IF(B26=100873,
   IFERROR(VLOOKUP("AGOSTO",[2]BEV!$S$80:$T$93,2,0),
      0),
   0)</f>
        <v>0</v>
      </c>
      <c r="AC26" s="243">
        <f t="shared" si="54"/>
        <v>0</v>
      </c>
      <c r="AD26" s="54">
        <f>SUMIF('UC MINI 2026'!$B$5:$B$71,'BEV MINI 2026'!$B26,'UC MINI 2026'!$V$5:$V$71)</f>
        <v>0</v>
      </c>
      <c r="AE26" s="86">
        <f>IFERROR(INDEX([2]BEV!$S$10:$AF$68,
      MATCH(B26,[2]BEV!$S$10:$S$68,0),
      MATCH("SEPTIEMBRE",[2]BEV!$S$9:$AF$9,0)),
   0)-IF(B26=100873,
   IFERROR(VLOOKUP("SEPTIEMBRE",[2]BEV!$S$80:$T$93,2,0),
      0),
   0)</f>
        <v>0</v>
      </c>
      <c r="AF26" s="297">
        <f t="shared" si="55"/>
        <v>0</v>
      </c>
      <c r="AG26" s="54">
        <f>SUMIF('UC MINI 2026'!$B$5:$B$71,'BEV MINI 2026'!$B26,'UC MINI 2026'!$X$5:$X$71)</f>
        <v>0</v>
      </c>
      <c r="AH26" s="86">
        <f>IFERROR(INDEX([2]BEV!$S$10:$AF$68,
      MATCH(B26,[2]BEV!$S$10:$S$68,0),
      MATCH("OCTUBRE",[2]BEV!$S$9:$AF$9,0)),
   0)-IF(B26=100873,
   IFERROR(VLOOKUP("OCTUBRE",[2]BEV!$S$80:$T$93,2,0),
      0),
   0)</f>
        <v>0</v>
      </c>
      <c r="AI26" s="243">
        <f t="shared" si="56"/>
        <v>0</v>
      </c>
      <c r="AJ26" s="54">
        <f>SUMIF('UC MINI 2026'!$B$5:$B$71,'BEV MINI 2026'!$B26,'UC MINI 2026'!$Z$5:$Z$71)</f>
        <v>0</v>
      </c>
      <c r="AK26" s="86">
        <f>IFERROR(INDEX([2]BEV!$S$10:$AF$68,
      MATCH(B26,[2]BEV!$S$10:$S$68,0),
      MATCH("NOVIEMBRE",[2]BEV!$S$9:$AF$9,0)),
   0)-IF(B26=100873,
   IFERROR(VLOOKUP("NOVIEMBRE",[2]BEV!$S$80:$T$93,2,0),
      0),
   0)</f>
        <v>0</v>
      </c>
      <c r="AL26" s="297">
        <f t="shared" si="57"/>
        <v>0</v>
      </c>
      <c r="AM26" s="54">
        <f>SUMIF('UC MINI 2026'!$B$5:$B$71,'BEV MINI 2026'!$B26,'UC MINI 2026'!$AB$5:$AB$71)</f>
        <v>0</v>
      </c>
      <c r="AN26" s="86">
        <f>IFERROR(INDEX([2]BEV!$S$10:$AF$68,
      MATCH(B26,[2]BEV!$S$10:$S$68,0),
      MATCH("DICIEMBRE",[2]BEV!$S$9:$AF$9,0)),
   0)-IF(B26=100873,
   IFERROR(VLOOKUP("DICIEMBRE",[2]BEV!$S$80:$T$93,2,0),
      0),
   0)</f>
        <v>0</v>
      </c>
      <c r="AO26" s="243">
        <f t="shared" si="58"/>
        <v>0</v>
      </c>
      <c r="AP26" s="67">
        <f t="shared" si="66"/>
        <v>12</v>
      </c>
      <c r="AQ26" s="68">
        <f t="shared" si="66"/>
        <v>16</v>
      </c>
      <c r="AR26" s="149">
        <f t="shared" si="61"/>
        <v>1.3333333333333333</v>
      </c>
      <c r="AS26" s="67">
        <f t="shared" si="62"/>
        <v>12</v>
      </c>
      <c r="AT26" s="86">
        <f t="shared" si="14"/>
        <v>16</v>
      </c>
      <c r="AU26" s="149">
        <f t="shared" si="63"/>
        <v>1.3333333333333333</v>
      </c>
      <c r="AV26" s="54">
        <f t="shared" si="67"/>
        <v>6</v>
      </c>
      <c r="AW26" s="86">
        <f t="shared" si="67"/>
        <v>9</v>
      </c>
      <c r="AX26" s="109">
        <f t="shared" si="68"/>
        <v>1.5</v>
      </c>
      <c r="AY26" s="68">
        <f>IFERROR(IF($AV$5="Q1",#REF!+#REF!+#REF!,
IF($AV$5="Q2",#REF!+#REF!++#REF!,
IF($AV$5="Q3",#REF!+#REF!+#REF!,
IF($AV$5="Q4",#REF!+#REF!+#REF!,0)))),0)</f>
        <v>0</v>
      </c>
      <c r="AZ26" s="297">
        <f>IF(AW26=0,"N.D.",AY26/AW26)</f>
        <v>0</v>
      </c>
      <c r="BA26" s="350">
        <f>IFERROR(IF($AV$5="Q1",#REF!+#REF!+#REF!,
IF($AV$5="Q2",#REF!+#REF!+#REF!,
IF($AV$5="Q3",#REF!+#REF!+#REF!,
IF($AV$5="Q4",#REF!+#REF!+#REF!,0)))),0)</f>
        <v>0</v>
      </c>
      <c r="BB26" s="150">
        <f t="shared" si="69"/>
        <v>0</v>
      </c>
      <c r="BC26" s="67">
        <f t="shared" si="70"/>
        <v>12</v>
      </c>
      <c r="BD26" s="68">
        <f t="shared" si="70"/>
        <v>16</v>
      </c>
      <c r="BE26" s="150">
        <f t="shared" si="64"/>
        <v>1.3333333333333333</v>
      </c>
      <c r="BF26" s="67">
        <f t="shared" si="71"/>
        <v>0</v>
      </c>
      <c r="BG26" s="266">
        <f t="shared" si="71"/>
        <v>0</v>
      </c>
      <c r="BH26" s="150">
        <f t="shared" si="65"/>
        <v>0</v>
      </c>
      <c r="BI26" s="53">
        <v>1</v>
      </c>
      <c r="BK26" s="53">
        <v>40</v>
      </c>
      <c r="BL26" s="53">
        <v>53</v>
      </c>
      <c r="BM26" s="513">
        <v>1.4333333333333333</v>
      </c>
      <c r="BP26" s="53">
        <f t="shared" si="72"/>
        <v>7</v>
      </c>
      <c r="BQ26" s="53">
        <f t="shared" si="73"/>
        <v>6</v>
      </c>
    </row>
    <row r="27" spans="1:69" s="53" customFormat="1" ht="16" customHeight="1" x14ac:dyDescent="0.3">
      <c r="A27" s="53">
        <f>_xlfn.XLOOKUP(B27,'WHOLESALE MINI 2026'!$B$7:$B$63,'WHOLESALE MINI 2026'!$A$7:$A$63)</f>
        <v>4</v>
      </c>
      <c r="B27" s="8">
        <v>100304</v>
      </c>
      <c r="C27" s="369" t="s">
        <v>45</v>
      </c>
      <c r="D27" s="146"/>
      <c r="E27" s="379" t="s">
        <v>81</v>
      </c>
      <c r="F27" s="54">
        <f>SUMIF('UC MINI 2026'!$B$5:$B$71,'BEV MINI 2026'!$B27,'UC MINI 2026'!$F$5:$F$71)</f>
        <v>5</v>
      </c>
      <c r="G27" s="86">
        <f>IFERROR(INDEX([2]BEV!$S$10:$AF$68,
      MATCH(B27,[2]BEV!$S$10:$S$68,0),
      MATCH("ENERO",[2]BEV!$S$9:$AF$9,0)),
   0)-IF(B27=100873,
   IFERROR(VLOOKUP("ENERO",[2]BEV!$S$80:$T$93,2,0),
      0),
   0)</f>
        <v>8</v>
      </c>
      <c r="H27" s="243">
        <f t="shared" si="59"/>
        <v>1.6</v>
      </c>
      <c r="I27" s="54">
        <f>SUMIF('UC MINI 2026'!$B$5:$B$71,'BEV MINI 2026'!$B27,'UC MINI 2026'!$H$5:$H$71)</f>
        <v>5</v>
      </c>
      <c r="J27" s="86">
        <f>IFERROR(INDEX([2]BEV!$S$10:$AF$68,
      MATCH(B27,[2]BEV!$S$10:$S$68,0),
      MATCH("FEBRERO",[2]BEV!$S$9:$AF$9,0)),
   0)-IF(B27=100873,
   IFERROR(VLOOKUP("FEBRERO",[2]BEV!$S$80:$T$93,2,0),
      0),
   0)</f>
        <v>3</v>
      </c>
      <c r="K27" s="243">
        <f t="shared" si="60"/>
        <v>0.6</v>
      </c>
      <c r="L27" s="54">
        <f>SUMIF('UC MINI 2026'!$B$5:$B$71,'BEV MINI 2026'!$B27,'UC MINI 2026'!$J$5:$J$71)</f>
        <v>5</v>
      </c>
      <c r="M27" s="86">
        <f>IFERROR(INDEX([2]BEV!$S$10:$AF$68,
      MATCH(B27,[2]BEV!$S$10:$S$68,0),
      MATCH("MARZO",[2]BEV!$S$9:$AF$9,0)),
   0)-IF(B27=100873,
   IFERROR(VLOOKUP("MARZO",[2]BEV!$S$80:$T$93,2,0),
      0),
   0)</f>
        <v>6</v>
      </c>
      <c r="N27" s="297">
        <f t="shared" si="49"/>
        <v>1.2</v>
      </c>
      <c r="O27" s="54">
        <f>SUMIF('UC MINI 2026'!$B$5:$B$71,'BEV MINI 2026'!$B27,'UC MINI 2026'!$L$5:$L$71)</f>
        <v>5</v>
      </c>
      <c r="P27" s="86">
        <f>IFERROR(INDEX([2]BEV!$S$10:$AF$68,
      MATCH(B27,[2]BEV!$S$10:$S$68,0),
      MATCH("ABRIL",[2]BEV!$S$9:$AF$9,0)),
   0)-IF(B27=100873,
   IFERROR(VLOOKUP("ABRIL",[2]BEV!$S$80:$T$93,2,0),
      0),
   0)</f>
        <v>8</v>
      </c>
      <c r="Q27" s="243">
        <f t="shared" si="50"/>
        <v>1.6</v>
      </c>
      <c r="R27" s="54">
        <f>SUMIF('UC MINI 2026'!$B$5:$B$71,'BEV MINI 2026'!$B27,'UC MINI 2026'!$N$5:$N$71)</f>
        <v>5</v>
      </c>
      <c r="S27" s="86">
        <f>IFERROR(INDEX([2]BEV!$S$10:$AF$68,
      MATCH(B27,[2]BEV!$S$10:$S$68,0),
      MATCH("MAYO",[2]BEV!$S$9:$AF$9,0)),
   0)-IF(B27=100873,
   IFERROR(VLOOKUP("MAYO",[2]BEV!$S$80:$T$93,2,0),
      0),
   0)</f>
        <v>10</v>
      </c>
      <c r="T27" s="297">
        <f t="shared" si="51"/>
        <v>2</v>
      </c>
      <c r="U27" s="54">
        <f>SUMIF('UC MINI 2026'!$B$5:$B$71,'BEV MINI 2026'!$B27,'UC MINI 2026'!$P$5:$P$71)</f>
        <v>5</v>
      </c>
      <c r="V27" s="86">
        <f>IFERROR(INDEX([2]BEV!$S$10:$AF$68,
      MATCH(B27,[2]BEV!$S$10:$S$68,0),
      MATCH("JUNIO",[2]BEV!$S$9:$AF$9,0)),
   0)-IF(B27=100873,
   IFERROR(VLOOKUP("JUNIO",[2]BEV!$S$80:$T$93,2,0),
      0),
   0)</f>
        <v>7</v>
      </c>
      <c r="W27" s="243">
        <f t="shared" si="52"/>
        <v>1.4</v>
      </c>
      <c r="X27" s="54">
        <f>SUMIF('UC MINI 2026'!$B$5:$B$71,'BEV MINI 2026'!$B27,'UC MINI 2026'!$R$5:$R$71)</f>
        <v>0</v>
      </c>
      <c r="Y27" s="86">
        <f>IFERROR(INDEX([2]BEV!$S$10:$AF$68,
      MATCH(B27,[2]BEV!$S$10:$S$68,0),
      MATCH("JULIO",[2]BEV!$S$9:$AF$9,0)),
   0)-IF(B27=100873,
   IFERROR(VLOOKUP("JULIO",[2]BEV!$S$80:$T$93,2,0),
      0),
   0)</f>
        <v>0</v>
      </c>
      <c r="Z27" s="297">
        <f t="shared" si="53"/>
        <v>0</v>
      </c>
      <c r="AA27" s="54">
        <f>SUMIF('UC MINI 2026'!$B$5:$B$71,'BEV MINI 2026'!$B27,'UC MINI 2026'!$T$5:$T$71)</f>
        <v>0</v>
      </c>
      <c r="AB27" s="86">
        <f>IFERROR(INDEX([2]BEV!$S$10:$AF$68,
      MATCH(B27,[2]BEV!$S$10:$S$68,0),
      MATCH("AGOSTO",[2]BEV!$S$9:$AF$9,0)),
   0)-IF(B27=100873,
   IFERROR(VLOOKUP("AGOSTO",[2]BEV!$S$80:$T$93,2,0),
      0),
   0)</f>
        <v>0</v>
      </c>
      <c r="AC27" s="243">
        <f t="shared" si="54"/>
        <v>0</v>
      </c>
      <c r="AD27" s="54">
        <f>SUMIF('UC MINI 2026'!$B$5:$B$71,'BEV MINI 2026'!$B27,'UC MINI 2026'!$V$5:$V$71)</f>
        <v>0</v>
      </c>
      <c r="AE27" s="86">
        <f>IFERROR(INDEX([2]BEV!$S$10:$AF$68,
      MATCH(B27,[2]BEV!$S$10:$S$68,0),
      MATCH("SEPTIEMBRE",[2]BEV!$S$9:$AF$9,0)),
   0)-IF(B27=100873,
   IFERROR(VLOOKUP("SEPTIEMBRE",[2]BEV!$S$80:$T$93,2,0),
      0),
   0)</f>
        <v>0</v>
      </c>
      <c r="AF27" s="297">
        <f t="shared" si="55"/>
        <v>0</v>
      </c>
      <c r="AG27" s="54">
        <f>SUMIF('UC MINI 2026'!$B$5:$B$71,'BEV MINI 2026'!$B27,'UC MINI 2026'!$X$5:$X$71)</f>
        <v>0</v>
      </c>
      <c r="AH27" s="86">
        <f>IFERROR(INDEX([2]BEV!$S$10:$AF$68,
      MATCH(B27,[2]BEV!$S$10:$S$68,0),
      MATCH("OCTUBRE",[2]BEV!$S$9:$AF$9,0)),
   0)-IF(B27=100873,
   IFERROR(VLOOKUP("OCTUBRE",[2]BEV!$S$80:$T$93,2,0),
      0),
   0)</f>
        <v>0</v>
      </c>
      <c r="AI27" s="243">
        <f t="shared" si="56"/>
        <v>0</v>
      </c>
      <c r="AJ27" s="54">
        <f>SUMIF('UC MINI 2026'!$B$5:$B$71,'BEV MINI 2026'!$B27,'UC MINI 2026'!$Z$5:$Z$71)</f>
        <v>0</v>
      </c>
      <c r="AK27" s="86">
        <f>IFERROR(INDEX([2]BEV!$S$10:$AF$68,
      MATCH(B27,[2]BEV!$S$10:$S$68,0),
      MATCH("NOVIEMBRE",[2]BEV!$S$9:$AF$9,0)),
   0)-IF(B27=100873,
   IFERROR(VLOOKUP("NOVIEMBRE",[2]BEV!$S$80:$T$93,2,0),
      0),
   0)</f>
        <v>0</v>
      </c>
      <c r="AL27" s="297">
        <f t="shared" si="57"/>
        <v>0</v>
      </c>
      <c r="AM27" s="54">
        <f>SUMIF('UC MINI 2026'!$B$5:$B$71,'BEV MINI 2026'!$B27,'UC MINI 2026'!$AB$5:$AB$71)</f>
        <v>0</v>
      </c>
      <c r="AN27" s="86">
        <f>IFERROR(INDEX([2]BEV!$S$10:$AF$68,
      MATCH(B27,[2]BEV!$S$10:$S$68,0),
      MATCH("DICIEMBRE",[2]BEV!$S$9:$AF$9,0)),
   0)-IF(B27=100873,
   IFERROR(VLOOKUP("DICIEMBRE",[2]BEV!$S$80:$T$93,2,0),
      0),
   0)</f>
        <v>0</v>
      </c>
      <c r="AO27" s="243">
        <f t="shared" si="58"/>
        <v>0</v>
      </c>
      <c r="AP27" s="67">
        <f t="shared" si="66"/>
        <v>30</v>
      </c>
      <c r="AQ27" s="68">
        <f t="shared" si="66"/>
        <v>42</v>
      </c>
      <c r="AR27" s="149">
        <f t="shared" si="61"/>
        <v>1.4</v>
      </c>
      <c r="AS27" s="67">
        <f t="shared" si="62"/>
        <v>30</v>
      </c>
      <c r="AT27" s="86">
        <f t="shared" si="14"/>
        <v>42</v>
      </c>
      <c r="AU27" s="149">
        <f t="shared" si="63"/>
        <v>1.4</v>
      </c>
      <c r="AV27" s="54">
        <f t="shared" si="67"/>
        <v>15</v>
      </c>
      <c r="AW27" s="86">
        <f t="shared" si="67"/>
        <v>17</v>
      </c>
      <c r="AX27" s="109">
        <f t="shared" si="68"/>
        <v>1.1333333333333333</v>
      </c>
      <c r="AY27" s="68">
        <f>IFERROR(IF($AV$5="Q1",#REF!+#REF!+#REF!,
IF($AV$5="Q2",#REF!+#REF!++#REF!,
IF($AV$5="Q3",#REF!+#REF!+#REF!,
IF($AV$5="Q4",#REF!+#REF!+#REF!,0)))),0)</f>
        <v>0</v>
      </c>
      <c r="AZ27" s="297">
        <f>IF(AW27=0,"N.D.",AY27/AW27)</f>
        <v>0</v>
      </c>
      <c r="BA27" s="350">
        <f>IFERROR(IF($AV$5="Q1",#REF!+#REF!+#REF!,
IF($AV$5="Q2",#REF!+#REF!+#REF!,
IF($AV$5="Q3",#REF!+#REF!+#REF!,
IF($AV$5="Q4",#REF!+#REF!+#REF!,0)))),0)</f>
        <v>0</v>
      </c>
      <c r="BB27" s="150">
        <f t="shared" si="69"/>
        <v>0</v>
      </c>
      <c r="BC27" s="67">
        <f t="shared" si="70"/>
        <v>30</v>
      </c>
      <c r="BD27" s="68">
        <f t="shared" si="70"/>
        <v>42</v>
      </c>
      <c r="BE27" s="150">
        <f t="shared" si="64"/>
        <v>1.4</v>
      </c>
      <c r="BF27" s="67">
        <f t="shared" si="71"/>
        <v>0</v>
      </c>
      <c r="BG27" s="266">
        <f t="shared" si="71"/>
        <v>0</v>
      </c>
      <c r="BH27" s="150">
        <f t="shared" si="65"/>
        <v>0</v>
      </c>
      <c r="BI27" s="53">
        <v>1</v>
      </c>
      <c r="BK27" s="53">
        <v>40</v>
      </c>
      <c r="BL27" s="53">
        <v>52</v>
      </c>
      <c r="BM27" s="513">
        <v>1.4047619047619047</v>
      </c>
      <c r="BP27" s="53">
        <f t="shared" si="72"/>
        <v>25</v>
      </c>
      <c r="BQ27" s="53">
        <f t="shared" si="73"/>
        <v>15</v>
      </c>
    </row>
    <row r="28" spans="1:69" s="53" customFormat="1" ht="16" customHeight="1" x14ac:dyDescent="0.3">
      <c r="A28" s="53">
        <f>_xlfn.XLOOKUP(B28,'WHOLESALE MINI 2026'!$B$7:$B$63,'WHOLESALE MINI 2026'!$A$7:$A$63)</f>
        <v>4</v>
      </c>
      <c r="B28" s="8">
        <v>100346</v>
      </c>
      <c r="C28" s="369" t="s">
        <v>46</v>
      </c>
      <c r="D28" s="146"/>
      <c r="E28" s="379" t="s">
        <v>81</v>
      </c>
      <c r="F28" s="54">
        <f>SUMIF('UC MINI 2026'!$B$5:$B$71,'BEV MINI 2026'!$B28,'UC MINI 2026'!$F$5:$F$71)</f>
        <v>2</v>
      </c>
      <c r="G28" s="86">
        <f>IFERROR(INDEX([2]BEV!$S$10:$AF$68,
      MATCH(B28,[2]BEV!$S$10:$S$68,0),
      MATCH("ENERO",[2]BEV!$S$9:$AF$9,0)),
   0)-IF(B28=100873,
   IFERROR(VLOOKUP("ENERO",[2]BEV!$S$80:$T$93,2,0),
      0),
   0)</f>
        <v>0</v>
      </c>
      <c r="H28" s="243">
        <f t="shared" si="59"/>
        <v>0</v>
      </c>
      <c r="I28" s="54">
        <f>SUMIF('UC MINI 2026'!$B$5:$B$71,'BEV MINI 2026'!$B28,'UC MINI 2026'!$H$5:$H$71)</f>
        <v>3</v>
      </c>
      <c r="J28" s="86">
        <f>IFERROR(INDEX([2]BEV!$S$10:$AF$68,
      MATCH(B28,[2]BEV!$S$10:$S$68,0),
      MATCH("FEBRERO",[2]BEV!$S$9:$AF$9,0)),
   0)-IF(B28=100873,
   IFERROR(VLOOKUP("FEBRERO",[2]BEV!$S$80:$T$93,2,0),
      0),
   0)</f>
        <v>2</v>
      </c>
      <c r="K28" s="243">
        <f t="shared" si="60"/>
        <v>0.66666666666666663</v>
      </c>
      <c r="L28" s="54">
        <f>SUMIF('UC MINI 2026'!$B$5:$B$71,'BEV MINI 2026'!$B28,'UC MINI 2026'!$J$5:$J$71)</f>
        <v>3</v>
      </c>
      <c r="M28" s="86">
        <f>IFERROR(INDEX([2]BEV!$S$10:$AF$68,
      MATCH(B28,[2]BEV!$S$10:$S$68,0),
      MATCH("MARZO",[2]BEV!$S$9:$AF$9,0)),
   0)-IF(B28=100873,
   IFERROR(VLOOKUP("MARZO",[2]BEV!$S$80:$T$93,2,0),
      0),
   0)</f>
        <v>2</v>
      </c>
      <c r="N28" s="297">
        <f t="shared" si="49"/>
        <v>0.66666666666666663</v>
      </c>
      <c r="O28" s="54">
        <f>SUMIF('UC MINI 2026'!$B$5:$B$71,'BEV MINI 2026'!$B28,'UC MINI 2026'!$L$5:$L$71)</f>
        <v>3</v>
      </c>
      <c r="P28" s="86">
        <f>IFERROR(INDEX([2]BEV!$S$10:$AF$68,
      MATCH(B28,[2]BEV!$S$10:$S$68,0),
      MATCH("ABRIL",[2]BEV!$S$9:$AF$9,0)),
   0)-IF(B28=100873,
   IFERROR(VLOOKUP("ABRIL",[2]BEV!$S$80:$T$93,2,0),
      0),
   0)</f>
        <v>2</v>
      </c>
      <c r="Q28" s="243">
        <f t="shared" si="50"/>
        <v>0.66666666666666663</v>
      </c>
      <c r="R28" s="54">
        <f>SUMIF('UC MINI 2026'!$B$5:$B$71,'BEV MINI 2026'!$B28,'UC MINI 2026'!$N$5:$N$71)</f>
        <v>3</v>
      </c>
      <c r="S28" s="86">
        <f>IFERROR(INDEX([2]BEV!$S$10:$AF$68,
      MATCH(B28,[2]BEV!$S$10:$S$68,0),
      MATCH("MAYO",[2]BEV!$S$9:$AF$9,0)),
   0)-IF(B28=100873,
   IFERROR(VLOOKUP("MAYO",[2]BEV!$S$80:$T$93,2,0),
      0),
   0)</f>
        <v>2</v>
      </c>
      <c r="T28" s="297">
        <f t="shared" si="51"/>
        <v>0.66666666666666663</v>
      </c>
      <c r="U28" s="54">
        <f>SUMIF('UC MINI 2026'!$B$5:$B$71,'BEV MINI 2026'!$B28,'UC MINI 2026'!$P$5:$P$71)</f>
        <v>3</v>
      </c>
      <c r="V28" s="86">
        <f>IFERROR(INDEX([2]BEV!$S$10:$AF$68,
      MATCH(B28,[2]BEV!$S$10:$S$68,0),
      MATCH("JUNIO",[2]BEV!$S$9:$AF$9,0)),
   0)-IF(B28=100873,
   IFERROR(VLOOKUP("JUNIO",[2]BEV!$S$80:$T$93,2,0),
      0),
   0)</f>
        <v>3</v>
      </c>
      <c r="W28" s="243">
        <f t="shared" si="52"/>
        <v>1</v>
      </c>
      <c r="X28" s="54">
        <f>SUMIF('UC MINI 2026'!$B$5:$B$71,'BEV MINI 2026'!$B28,'UC MINI 2026'!$R$5:$R$71)</f>
        <v>3</v>
      </c>
      <c r="Y28" s="86">
        <f>IFERROR(INDEX([2]BEV!$S$10:$AF$68,
      MATCH(B28,[2]BEV!$S$10:$S$68,0),
      MATCH("JULIO",[2]BEV!$S$9:$AF$9,0)),
   0)-IF(B28=100873,
   IFERROR(VLOOKUP("JULIO",[2]BEV!$S$80:$T$93,2,0),
      0),
   0)</f>
        <v>0</v>
      </c>
      <c r="Z28" s="297">
        <f t="shared" si="53"/>
        <v>0</v>
      </c>
      <c r="AA28" s="54">
        <f>SUMIF('UC MINI 2026'!$B$5:$B$71,'BEV MINI 2026'!$B28,'UC MINI 2026'!$T$5:$T$71)</f>
        <v>3</v>
      </c>
      <c r="AB28" s="86">
        <f>IFERROR(INDEX([2]BEV!$S$10:$AF$68,
      MATCH(B28,[2]BEV!$S$10:$S$68,0),
      MATCH("AGOSTO",[2]BEV!$S$9:$AF$9,0)),
   0)-IF(B28=100873,
   IFERROR(VLOOKUP("AGOSTO",[2]BEV!$S$80:$T$93,2,0),
      0),
   0)</f>
        <v>0</v>
      </c>
      <c r="AC28" s="243">
        <f t="shared" si="54"/>
        <v>0</v>
      </c>
      <c r="AD28" s="54">
        <f>SUMIF('UC MINI 2026'!$B$5:$B$71,'BEV MINI 2026'!$B28,'UC MINI 2026'!$V$5:$V$71)</f>
        <v>3</v>
      </c>
      <c r="AE28" s="86">
        <f>IFERROR(INDEX([2]BEV!$S$10:$AF$68,
      MATCH(B28,[2]BEV!$S$10:$S$68,0),
      MATCH("SEPTIEMBRE",[2]BEV!$S$9:$AF$9,0)),
   0)-IF(B28=100873,
   IFERROR(VLOOKUP("SEPTIEMBRE",[2]BEV!$S$80:$T$93,2,0),
      0),
   0)</f>
        <v>0</v>
      </c>
      <c r="AF28" s="297">
        <f t="shared" si="55"/>
        <v>0</v>
      </c>
      <c r="AG28" s="54">
        <f>SUMIF('UC MINI 2026'!$B$5:$B$71,'BEV MINI 2026'!$B28,'UC MINI 2026'!$X$5:$X$71)</f>
        <v>3</v>
      </c>
      <c r="AH28" s="86">
        <f>IFERROR(INDEX([2]BEV!$S$10:$AF$68,
      MATCH(B28,[2]BEV!$S$10:$S$68,0),
      MATCH("OCTUBRE",[2]BEV!$S$9:$AF$9,0)),
   0)-IF(B28=100873,
   IFERROR(VLOOKUP("OCTUBRE",[2]BEV!$S$80:$T$93,2,0),
      0),
   0)</f>
        <v>0</v>
      </c>
      <c r="AI28" s="243">
        <f t="shared" si="56"/>
        <v>0</v>
      </c>
      <c r="AJ28" s="54">
        <f>SUMIF('UC MINI 2026'!$B$5:$B$71,'BEV MINI 2026'!$B28,'UC MINI 2026'!$Z$5:$Z$71)</f>
        <v>3</v>
      </c>
      <c r="AK28" s="86">
        <f>IFERROR(INDEX([2]BEV!$S$10:$AF$68,
      MATCH(B28,[2]BEV!$S$10:$S$68,0),
      MATCH("NOVIEMBRE",[2]BEV!$S$9:$AF$9,0)),
   0)-IF(B28=100873,
   IFERROR(VLOOKUP("NOVIEMBRE",[2]BEV!$S$80:$T$93,2,0),
      0),
   0)</f>
        <v>0</v>
      </c>
      <c r="AL28" s="297">
        <f t="shared" si="57"/>
        <v>0</v>
      </c>
      <c r="AM28" s="54">
        <f>SUMIF('UC MINI 2026'!$B$5:$B$71,'BEV MINI 2026'!$B28,'UC MINI 2026'!$AB$5:$AB$71)</f>
        <v>3</v>
      </c>
      <c r="AN28" s="86">
        <f>IFERROR(INDEX([2]BEV!$S$10:$AF$68,
      MATCH(B28,[2]BEV!$S$10:$S$68,0),
      MATCH("DICIEMBRE",[2]BEV!$S$9:$AF$9,0)),
   0)-IF(B28=100873,
   IFERROR(VLOOKUP("DICIEMBRE",[2]BEV!$S$80:$T$93,2,0),
      0),
   0)</f>
        <v>0</v>
      </c>
      <c r="AO28" s="243">
        <f t="shared" si="58"/>
        <v>0</v>
      </c>
      <c r="AP28" s="67">
        <f t="shared" si="66"/>
        <v>17</v>
      </c>
      <c r="AQ28" s="68">
        <f t="shared" si="66"/>
        <v>11</v>
      </c>
      <c r="AR28" s="149">
        <f t="shared" si="61"/>
        <v>0.6470588235294118</v>
      </c>
      <c r="AS28" s="67">
        <f t="shared" si="62"/>
        <v>35</v>
      </c>
      <c r="AT28" s="86">
        <f t="shared" si="14"/>
        <v>11</v>
      </c>
      <c r="AU28" s="149">
        <f t="shared" si="63"/>
        <v>0.31428571428571428</v>
      </c>
      <c r="AV28" s="54">
        <f t="shared" si="67"/>
        <v>8</v>
      </c>
      <c r="AW28" s="86">
        <f t="shared" si="67"/>
        <v>4</v>
      </c>
      <c r="AX28" s="109">
        <f t="shared" si="68"/>
        <v>0.5</v>
      </c>
      <c r="AY28" s="68">
        <f>IFERROR(IF($AV$5="Q1",#REF!+#REF!+#REF!,
IF($AV$5="Q2",#REF!+#REF!++#REF!,
IF($AV$5="Q3",#REF!+#REF!+#REF!,
IF($AV$5="Q4",#REF!+#REF!+#REF!,0)))),0)</f>
        <v>0</v>
      </c>
      <c r="AZ28" s="297">
        <f>IF(AW28=0,"N.D.",AY28/AW28)</f>
        <v>0</v>
      </c>
      <c r="BA28" s="350">
        <f>IFERROR(IF($AV$5="Q1",#REF!+#REF!+#REF!,
IF($AV$5="Q2",#REF!+#REF!+#REF!,
IF($AV$5="Q3",#REF!+#REF!+#REF!,
IF($AV$5="Q4",#REF!+#REF!+#REF!,0)))),0)</f>
        <v>0</v>
      </c>
      <c r="BB28" s="150">
        <f t="shared" si="69"/>
        <v>0</v>
      </c>
      <c r="BC28" s="67">
        <f t="shared" si="70"/>
        <v>17</v>
      </c>
      <c r="BD28" s="68">
        <f t="shared" si="70"/>
        <v>11</v>
      </c>
      <c r="BE28" s="150">
        <f t="shared" si="64"/>
        <v>0.6470588235294118</v>
      </c>
      <c r="BF28" s="67">
        <f t="shared" si="71"/>
        <v>18</v>
      </c>
      <c r="BG28" s="266">
        <f t="shared" si="71"/>
        <v>0</v>
      </c>
      <c r="BH28" s="150">
        <f t="shared" si="65"/>
        <v>0</v>
      </c>
      <c r="BI28" s="53">
        <v>1</v>
      </c>
      <c r="BK28" s="53">
        <v>36</v>
      </c>
      <c r="BL28" s="53">
        <v>49</v>
      </c>
      <c r="BM28" s="513">
        <v>1.4</v>
      </c>
      <c r="BP28" s="53">
        <f t="shared" si="72"/>
        <v>7</v>
      </c>
      <c r="BQ28" s="53">
        <f t="shared" si="73"/>
        <v>9</v>
      </c>
    </row>
    <row r="29" spans="1:69" s="53" customFormat="1" ht="16" customHeight="1" thickBot="1" x14ac:dyDescent="0.35">
      <c r="A29" s="53">
        <f>_xlfn.XLOOKUP(B29,'WHOLESALE MINI 2026'!$B$7:$B$63,'WHOLESALE MINI 2026'!$A$7:$A$63)</f>
        <v>4</v>
      </c>
      <c r="B29" s="8">
        <v>100571</v>
      </c>
      <c r="C29" s="369" t="s">
        <v>48</v>
      </c>
      <c r="D29" s="146"/>
      <c r="E29" s="379" t="s">
        <v>82</v>
      </c>
      <c r="F29" s="54">
        <f>SUMIF('UC MINI 2026'!$B$5:$B$71,'BEV MINI 2026'!$B29,'UC MINI 2026'!$F$5:$F$71)</f>
        <v>1</v>
      </c>
      <c r="G29" s="86">
        <f>IFERROR(INDEX([2]BEV!$S$10:$AF$68,
      MATCH(B29,[2]BEV!$S$10:$S$68,0),
      MATCH("ENERO",[2]BEV!$S$9:$AF$9,0)),
   0)-IF(B29=100873,
   IFERROR(VLOOKUP("ENERO",[2]BEV!$S$80:$T$93,2,0),
      0),
   0)</f>
        <v>0</v>
      </c>
      <c r="H29" s="382">
        <f t="shared" si="59"/>
        <v>0</v>
      </c>
      <c r="I29" s="54">
        <f>SUMIF('UC MINI 2026'!$B$5:$B$71,'BEV MINI 2026'!$B29,'UC MINI 2026'!$H$5:$H$71)</f>
        <v>1</v>
      </c>
      <c r="J29" s="86">
        <f>IFERROR(INDEX([2]BEV!$S$10:$AF$68,
      MATCH(B29,[2]BEV!$S$10:$S$68,0),
      MATCH("FEBRERO",[2]BEV!$S$9:$AF$9,0)),
   0)-IF(B29=100873,
   IFERROR(VLOOKUP("FEBRERO",[2]BEV!$S$80:$T$93,2,0),
      0),
   0)</f>
        <v>3</v>
      </c>
      <c r="K29" s="382">
        <f t="shared" si="60"/>
        <v>3</v>
      </c>
      <c r="L29" s="54">
        <f>SUMIF('UC MINI 2026'!$B$5:$B$71,'BEV MINI 2026'!$B29,'UC MINI 2026'!$J$5:$J$71)</f>
        <v>1</v>
      </c>
      <c r="M29" s="86">
        <f>IFERROR(INDEX([2]BEV!$S$10:$AF$68,
      MATCH(B29,[2]BEV!$S$10:$S$68,0),
      MATCH("MARZO",[2]BEV!$S$9:$AF$9,0)),
   0)-IF(B29=100873,
   IFERROR(VLOOKUP("MARZO",[2]BEV!$S$80:$T$93,2,0),
      0),
   0)</f>
        <v>0</v>
      </c>
      <c r="N29" s="297">
        <f t="shared" si="49"/>
        <v>0</v>
      </c>
      <c r="O29" s="54">
        <f>SUMIF('UC MINI 2026'!$B$5:$B$71,'BEV MINI 2026'!$B29,'UC MINI 2026'!$L$5:$L$71)</f>
        <v>1</v>
      </c>
      <c r="P29" s="86">
        <f>IFERROR(INDEX([2]BEV!$S$10:$AF$68,
      MATCH(B29,[2]BEV!$S$10:$S$68,0),
      MATCH("ABRIL",[2]BEV!$S$9:$AF$9,0)),
   0)-IF(B29=100873,
   IFERROR(VLOOKUP("ABRIL",[2]BEV!$S$80:$T$93,2,0),
      0),
   0)</f>
        <v>2</v>
      </c>
      <c r="Q29" s="243">
        <f t="shared" si="50"/>
        <v>2</v>
      </c>
      <c r="R29" s="54">
        <f>SUMIF('UC MINI 2026'!$B$5:$B$71,'BEV MINI 2026'!$B29,'UC MINI 2026'!$N$5:$N$71)</f>
        <v>1</v>
      </c>
      <c r="S29" s="86">
        <f>IFERROR(INDEX([2]BEV!$S$10:$AF$68,
      MATCH(B29,[2]BEV!$S$10:$S$68,0),
      MATCH("MAYO",[2]BEV!$S$9:$AF$9,0)),
   0)-IF(B29=100873,
   IFERROR(VLOOKUP("MAYO",[2]BEV!$S$80:$T$93,2,0),
      0),
   0)</f>
        <v>1</v>
      </c>
      <c r="T29" s="297">
        <f t="shared" si="51"/>
        <v>1</v>
      </c>
      <c r="U29" s="54">
        <f>SUMIF('UC MINI 2026'!$B$5:$B$71,'BEV MINI 2026'!$B29,'UC MINI 2026'!$P$5:$P$71)</f>
        <v>1</v>
      </c>
      <c r="V29" s="86">
        <f>IFERROR(INDEX([2]BEV!$S$10:$AF$68,
      MATCH(B29,[2]BEV!$S$10:$S$68,0),
      MATCH("JUNIO",[2]BEV!$S$9:$AF$9,0)),
   0)-IF(B29=100873,
   IFERROR(VLOOKUP("JUNIO",[2]BEV!$S$80:$T$93,2,0),
      0),
   0)</f>
        <v>1</v>
      </c>
      <c r="W29" s="243">
        <f t="shared" si="52"/>
        <v>1</v>
      </c>
      <c r="X29" s="54">
        <f>SUMIF('UC MINI 2026'!$B$5:$B$71,'BEV MINI 2026'!$B29,'UC MINI 2026'!$R$5:$R$71)</f>
        <v>0</v>
      </c>
      <c r="Y29" s="86">
        <f>IFERROR(INDEX([2]BEV!$S$10:$AF$68,
      MATCH(B29,[2]BEV!$S$10:$S$68,0),
      MATCH("JULIO",[2]BEV!$S$9:$AF$9,0)),
   0)-IF(B29=100873,
   IFERROR(VLOOKUP("JULIO",[2]BEV!$S$80:$T$93,2,0),
      0),
   0)</f>
        <v>0</v>
      </c>
      <c r="Z29" s="297">
        <f t="shared" si="53"/>
        <v>0</v>
      </c>
      <c r="AA29" s="54">
        <f>SUMIF('UC MINI 2026'!$B$5:$B$71,'BEV MINI 2026'!$B29,'UC MINI 2026'!$T$5:$T$71)</f>
        <v>0</v>
      </c>
      <c r="AB29" s="86">
        <f>IFERROR(INDEX([2]BEV!$S$10:$AF$68,
      MATCH(B29,[2]BEV!$S$10:$S$68,0),
      MATCH("AGOSTO",[2]BEV!$S$9:$AF$9,0)),
   0)-IF(B29=100873,
   IFERROR(VLOOKUP("AGOSTO",[2]BEV!$S$80:$T$93,2,0),
      0),
   0)</f>
        <v>0</v>
      </c>
      <c r="AC29" s="243">
        <f t="shared" si="54"/>
        <v>0</v>
      </c>
      <c r="AD29" s="54">
        <f>SUMIF('UC MINI 2026'!$B$5:$B$71,'BEV MINI 2026'!$B29,'UC MINI 2026'!$V$5:$V$71)</f>
        <v>0</v>
      </c>
      <c r="AE29" s="86">
        <f>IFERROR(INDEX([2]BEV!$S$10:$AF$68,
      MATCH(B29,[2]BEV!$S$10:$S$68,0),
      MATCH("SEPTIEMBRE",[2]BEV!$S$9:$AF$9,0)),
   0)-IF(B29=100873,
   IFERROR(VLOOKUP("SEPTIEMBRE",[2]BEV!$S$80:$T$93,2,0),
      0),
   0)</f>
        <v>0</v>
      </c>
      <c r="AF29" s="297">
        <f t="shared" si="55"/>
        <v>0</v>
      </c>
      <c r="AG29" s="54">
        <f>SUMIF('UC MINI 2026'!$B$5:$B$71,'BEV MINI 2026'!$B29,'UC MINI 2026'!$X$5:$X$71)</f>
        <v>0</v>
      </c>
      <c r="AH29" s="86">
        <f>IFERROR(INDEX([2]BEV!$S$10:$AF$68,
      MATCH(B29,[2]BEV!$S$10:$S$68,0),
      MATCH("OCTUBRE",[2]BEV!$S$9:$AF$9,0)),
   0)-IF(B29=100873,
   IFERROR(VLOOKUP("OCTUBRE",[2]BEV!$S$80:$T$93,2,0),
      0),
   0)</f>
        <v>0</v>
      </c>
      <c r="AI29" s="243">
        <f t="shared" si="56"/>
        <v>0</v>
      </c>
      <c r="AJ29" s="54">
        <f>SUMIF('UC MINI 2026'!$B$5:$B$71,'BEV MINI 2026'!$B29,'UC MINI 2026'!$Z$5:$Z$71)</f>
        <v>0</v>
      </c>
      <c r="AK29" s="86">
        <f>IFERROR(INDEX([2]BEV!$S$10:$AF$68,
      MATCH(B29,[2]BEV!$S$10:$S$68,0),
      MATCH("NOVIEMBRE",[2]BEV!$S$9:$AF$9,0)),
   0)-IF(B29=100873,
   IFERROR(VLOOKUP("NOVIEMBRE",[2]BEV!$S$80:$T$93,2,0),
      0),
   0)</f>
        <v>0</v>
      </c>
      <c r="AL29" s="297">
        <f t="shared" si="57"/>
        <v>0</v>
      </c>
      <c r="AM29" s="54">
        <f>SUMIF('UC MINI 2026'!$B$5:$B$71,'BEV MINI 2026'!$B29,'UC MINI 2026'!$AB$5:$AB$71)</f>
        <v>0</v>
      </c>
      <c r="AN29" s="86">
        <f>IFERROR(INDEX([2]BEV!$S$10:$AF$68,
      MATCH(B29,[2]BEV!$S$10:$S$68,0),
      MATCH("DICIEMBRE",[2]BEV!$S$9:$AF$9,0)),
   0)-IF(B29=100873,
   IFERROR(VLOOKUP("DICIEMBRE",[2]BEV!$S$80:$T$93,2,0),
      0),
   0)</f>
        <v>0</v>
      </c>
      <c r="AO29" s="243">
        <f t="shared" si="58"/>
        <v>0</v>
      </c>
      <c r="AP29" s="67">
        <f t="shared" si="66"/>
        <v>6</v>
      </c>
      <c r="AQ29" s="68">
        <f t="shared" si="66"/>
        <v>7</v>
      </c>
      <c r="AR29" s="152">
        <f t="shared" si="61"/>
        <v>1.1666666666666667</v>
      </c>
      <c r="AS29" s="67">
        <f t="shared" si="62"/>
        <v>6</v>
      </c>
      <c r="AT29" s="86">
        <f t="shared" si="14"/>
        <v>7</v>
      </c>
      <c r="AU29" s="152">
        <f t="shared" si="63"/>
        <v>1.1666666666666667</v>
      </c>
      <c r="AV29" s="58">
        <f t="shared" si="67"/>
        <v>3</v>
      </c>
      <c r="AW29" s="59">
        <f t="shared" si="67"/>
        <v>3</v>
      </c>
      <c r="AX29" s="112">
        <f t="shared" si="68"/>
        <v>1</v>
      </c>
      <c r="AY29" s="68">
        <f>IFERROR(IF($AV$5="Q1",#REF!+#REF!+#REF!,
IF($AV$5="Q2",#REF!+#REF!++#REF!,
IF($AV$5="Q3",#REF!+#REF!+#REF!,
IF($AV$5="Q4",#REF!+#REF!+#REF!,0)))),0)</f>
        <v>0</v>
      </c>
      <c r="AZ29" s="297">
        <f>IF(AW29=0,"N.D.",AY29/AW29)</f>
        <v>0</v>
      </c>
      <c r="BA29" s="350">
        <f>IFERROR(IF($AV$5="Q1",#REF!+#REF!+#REF!,
IF($AV$5="Q2",#REF!+#REF!+#REF!,
IF($AV$5="Q3",#REF!+#REF!+#REF!,
IF($AV$5="Q4",#REF!+#REF!+#REF!,0)))),0)</f>
        <v>0</v>
      </c>
      <c r="BB29" s="153">
        <f t="shared" si="69"/>
        <v>0</v>
      </c>
      <c r="BC29" s="67">
        <f t="shared" si="70"/>
        <v>6</v>
      </c>
      <c r="BD29" s="68">
        <f t="shared" si="70"/>
        <v>7</v>
      </c>
      <c r="BE29" s="153">
        <f t="shared" si="64"/>
        <v>1.1666666666666667</v>
      </c>
      <c r="BF29" s="67">
        <f t="shared" si="71"/>
        <v>0</v>
      </c>
      <c r="BG29" s="266">
        <f t="shared" si="71"/>
        <v>0</v>
      </c>
      <c r="BH29" s="153">
        <f t="shared" si="65"/>
        <v>0</v>
      </c>
      <c r="BI29" s="53">
        <v>1</v>
      </c>
      <c r="BK29" s="53">
        <v>30</v>
      </c>
      <c r="BL29" s="53">
        <v>47</v>
      </c>
      <c r="BM29" s="513">
        <v>1.3333333333333333</v>
      </c>
      <c r="BP29" s="53">
        <f t="shared" si="72"/>
        <v>4</v>
      </c>
      <c r="BQ29" s="53">
        <f t="shared" si="73"/>
        <v>3</v>
      </c>
    </row>
    <row r="30" spans="1:69" s="53" customFormat="1" ht="16" customHeight="1" thickBot="1" x14ac:dyDescent="0.35">
      <c r="A30" s="53">
        <f>_xlfn.XLOOKUP(B30,'WHOLESALE MINI 2026'!$B$7:$B$63,'WHOLESALE MINI 2026'!$A$7:$A$63)</f>
        <v>0</v>
      </c>
      <c r="B30" s="61" t="s">
        <v>266</v>
      </c>
      <c r="C30" s="62"/>
      <c r="D30" s="154"/>
      <c r="E30" s="80"/>
      <c r="F30" s="155">
        <f>SUM(F25:F29)</f>
        <v>11</v>
      </c>
      <c r="G30" s="155">
        <f>SUM(G25:G29)</f>
        <v>13</v>
      </c>
      <c r="H30" s="301">
        <f t="shared" ref="H30:H38" si="74">IFERROR(G30/F30,0)</f>
        <v>1.1818181818181819</v>
      </c>
      <c r="I30" s="155">
        <f>SUM(I25:I29)</f>
        <v>12</v>
      </c>
      <c r="J30" s="155">
        <f>SUM(J25:J29)</f>
        <v>12</v>
      </c>
      <c r="K30" s="301">
        <f t="shared" ref="K30:K38" si="75">IFERROR(J30/I30,0)</f>
        <v>1</v>
      </c>
      <c r="L30" s="155">
        <f>SUM(L25:L29)</f>
        <v>12</v>
      </c>
      <c r="M30" s="155">
        <f>SUM(M25:M29)</f>
        <v>9</v>
      </c>
      <c r="N30" s="301">
        <f t="shared" ref="N30:N35" si="76">IFERROR(M30/L30,0)</f>
        <v>0.75</v>
      </c>
      <c r="O30" s="155">
        <f>SUM(O25:O29)</f>
        <v>12</v>
      </c>
      <c r="P30" s="155">
        <f>SUM(P25:P29)</f>
        <v>16</v>
      </c>
      <c r="Q30" s="301">
        <f t="shared" ref="Q30:Q35" si="77">IFERROR(P30/O30,0)</f>
        <v>1.3333333333333333</v>
      </c>
      <c r="R30" s="155">
        <f>SUM(R25:R29)</f>
        <v>12</v>
      </c>
      <c r="S30" s="155">
        <f>SUM(S25:S29)</f>
        <v>16</v>
      </c>
      <c r="T30" s="301">
        <f t="shared" ref="T30:T35" si="78">IFERROR(S30/R30,0)</f>
        <v>1.3333333333333333</v>
      </c>
      <c r="U30" s="155">
        <f>SUM(U25:U29)</f>
        <v>13</v>
      </c>
      <c r="V30" s="155">
        <f>SUM(V25:V29)</f>
        <v>14</v>
      </c>
      <c r="W30" s="301">
        <f t="shared" ref="W30:W35" si="79">IFERROR(V30/U30,0)</f>
        <v>1.0769230769230769</v>
      </c>
      <c r="X30" s="155">
        <f>SUM(X25:X29)</f>
        <v>3</v>
      </c>
      <c r="Y30" s="155">
        <f>SUM(Y25:Y29)</f>
        <v>0</v>
      </c>
      <c r="Z30" s="301">
        <f t="shared" ref="Z30:Z35" si="80">IFERROR(Y30/X30,0)</f>
        <v>0</v>
      </c>
      <c r="AA30" s="155">
        <f>SUM(AA25:AA29)</f>
        <v>3</v>
      </c>
      <c r="AB30" s="155">
        <f>SUM(AB25:AB29)</f>
        <v>0</v>
      </c>
      <c r="AC30" s="301">
        <f t="shared" ref="AC30:AC35" si="81">IFERROR(AB30/AA30,0)</f>
        <v>0</v>
      </c>
      <c r="AD30" s="155">
        <f>SUM(AD25:AD29)</f>
        <v>3</v>
      </c>
      <c r="AE30" s="155">
        <f>SUM(AE25:AE29)</f>
        <v>0</v>
      </c>
      <c r="AF30" s="301">
        <f t="shared" ref="AF30:AF35" si="82">IFERROR(AE30/AD30,0)</f>
        <v>0</v>
      </c>
      <c r="AG30" s="155">
        <f>SUM(AG25:AG29)</f>
        <v>3</v>
      </c>
      <c r="AH30" s="155">
        <f>SUM(AH25:AH29)</f>
        <v>0</v>
      </c>
      <c r="AI30" s="301">
        <f t="shared" ref="AI30:AI35" si="83">IFERROR(AH30/AG30,0)</f>
        <v>0</v>
      </c>
      <c r="AJ30" s="155">
        <f>SUM(AJ25:AJ29)</f>
        <v>3</v>
      </c>
      <c r="AK30" s="155">
        <f>SUM(AK25:AK29)</f>
        <v>0</v>
      </c>
      <c r="AL30" s="301">
        <f t="shared" ref="AL30:AL35" si="84">IFERROR(AK30/AJ30,0)</f>
        <v>0</v>
      </c>
      <c r="AM30" s="155">
        <f>SUM(AM25:AM29)</f>
        <v>3</v>
      </c>
      <c r="AN30" s="155">
        <f>SUM(AN25:AN29)</f>
        <v>0</v>
      </c>
      <c r="AO30" s="301">
        <f t="shared" ref="AO30:AO35" si="85">IFERROR(AN30/AM30,0)</f>
        <v>0</v>
      </c>
      <c r="AP30" s="63">
        <f>SUM(AP24:AP29)</f>
        <v>72</v>
      </c>
      <c r="AQ30" s="63">
        <f>SUM(AQ24:AQ29)</f>
        <v>81</v>
      </c>
      <c r="AR30" s="320">
        <f t="shared" ref="AR30:AR38" si="86">IFERROR((AQ30/AP30),0)</f>
        <v>1.125</v>
      </c>
      <c r="AS30" s="63">
        <f>SUM(AS24:AS29)</f>
        <v>90</v>
      </c>
      <c r="AT30" s="63">
        <f>SUM(AT24:AT29)</f>
        <v>81</v>
      </c>
      <c r="AU30" s="320">
        <f t="shared" ref="AU30:AU38" si="87">IFERROR((AT30/AS30),0)</f>
        <v>0.9</v>
      </c>
      <c r="AV30" s="63">
        <f>SUM(AV18:AV28)</f>
        <v>559</v>
      </c>
      <c r="AW30" s="65">
        <f>SUM(AW18:AW28)</f>
        <v>732</v>
      </c>
      <c r="AX30" s="157">
        <f t="shared" si="68"/>
        <v>1.3094812164579606</v>
      </c>
      <c r="AY30" s="65">
        <f>SUM(AY18:AY28)</f>
        <v>0</v>
      </c>
      <c r="AZ30" s="321">
        <f>IFERROR(AY30/AW30,0)</f>
        <v>0</v>
      </c>
      <c r="BA30" s="349" t="e">
        <f>IF($AV$5="Q1",#REF!+#REF!+#REF!,
IF($AV$5="Q2",#REF!+#REF!+#REF!,
IF($AV$5="Q3",#REF!+#REF!+#REF!,
IF($AV$5="Q4",#REF!+#REF!+#REF!,0))))</f>
        <v>#REF!</v>
      </c>
      <c r="BB30" s="333">
        <f t="shared" si="69"/>
        <v>0</v>
      </c>
      <c r="BC30" s="63">
        <f>IF($BC$5="S 1",F30+I30+L30+O30+R30+U30,
IF($BC$5="S 2",X30+AA30+AD30+AG30+AJ30+AM30,0))</f>
        <v>72</v>
      </c>
      <c r="BD30" s="65">
        <f>IF($BC$5="S 1",G30+J30+M30+P30+S30+V30,
IF($BC$5="S 2",Y30+AB30+AE30+AH30+AK30+AN30,0))</f>
        <v>80</v>
      </c>
      <c r="BE30" s="333">
        <f t="shared" ref="BE30:BE38" si="88">IFERROR((BD30/BC30),0)</f>
        <v>1.1111111111111112</v>
      </c>
      <c r="BF30" s="63">
        <f>SUM(BF24:BF29)</f>
        <v>18</v>
      </c>
      <c r="BG30" s="63">
        <f>SUM(BG24:BG29)</f>
        <v>0</v>
      </c>
      <c r="BH30" s="333">
        <f t="shared" ref="BH30:BH38" si="89">IFERROR((BG30/BF30),0)</f>
        <v>0</v>
      </c>
      <c r="BI30" s="53">
        <v>0</v>
      </c>
      <c r="BK30" s="53">
        <v>30</v>
      </c>
      <c r="BL30" s="53">
        <v>44</v>
      </c>
      <c r="BM30" s="513">
        <v>1.3</v>
      </c>
      <c r="BP30" s="53">
        <f t="shared" si="72"/>
        <v>46</v>
      </c>
      <c r="BQ30" s="53">
        <f t="shared" si="73"/>
        <v>37</v>
      </c>
    </row>
    <row r="31" spans="1:69" s="53" customFormat="1" ht="16" customHeight="1" x14ac:dyDescent="0.3">
      <c r="A31" s="53">
        <f>_xlfn.XLOOKUP(B31,'WHOLESALE MINI 2026'!$B$7:$B$63,'WHOLESALE MINI 2026'!$A$7:$A$63)</f>
        <v>5</v>
      </c>
      <c r="B31" s="8">
        <v>100015</v>
      </c>
      <c r="C31" s="369" t="s">
        <v>51</v>
      </c>
      <c r="D31" s="146"/>
      <c r="E31" s="379" t="s">
        <v>79</v>
      </c>
      <c r="F31" s="54">
        <f>SUMIF('UC MINI 2026'!$B$5:$B$71,'BEV MINI 2026'!$B31,'UC MINI 2026'!$F$5:$F$71)</f>
        <v>3</v>
      </c>
      <c r="G31" s="86">
        <f>IFERROR(INDEX([2]BEV!$S$10:$AF$68,
      MATCH(B31,[2]BEV!$S$10:$S$68,0),
      MATCH("ENERO",[2]BEV!$S$9:$AF$9,0)),
   0)-IF(B31=100873,
   IFERROR(VLOOKUP("ENERO",[2]BEV!$S$80:$T$93,2,0),
      0),
   0)</f>
        <v>3</v>
      </c>
      <c r="H31" s="243">
        <f t="shared" si="74"/>
        <v>1</v>
      </c>
      <c r="I31" s="54">
        <f>SUMIF('UC MINI 2026'!$B$5:$B$71,'BEV MINI 2026'!$B31,'UC MINI 2026'!$H$5:$H$71)</f>
        <v>3</v>
      </c>
      <c r="J31" s="86">
        <f>IFERROR(INDEX([2]BEV!$S$10:$AF$68,
      MATCH(B31,[2]BEV!$S$10:$S$68,0),
      MATCH("FEBRERO",[2]BEV!$S$9:$AF$9,0)),
   0)-IF(B31=100873,
   IFERROR(VLOOKUP("FEBRERO",[2]BEV!$S$80:$T$93,2,0),
      0),
   0)</f>
        <v>3</v>
      </c>
      <c r="K31" s="243">
        <f t="shared" si="75"/>
        <v>1</v>
      </c>
      <c r="L31" s="54">
        <f>SUMIF('UC MINI 2026'!$B$5:$B$71,'BEV MINI 2026'!$B31,'UC MINI 2026'!$J$5:$J$71)</f>
        <v>3</v>
      </c>
      <c r="M31" s="86">
        <f>IFERROR(INDEX([2]BEV!$S$10:$AF$68,
      MATCH(B31,[2]BEV!$S$10:$S$68,0),
      MATCH("MARZO",[2]BEV!$S$9:$AF$9,0)),
   0)-IF(B31=100873,
   IFERROR(VLOOKUP("MARZO",[2]BEV!$S$80:$T$93,2,0),
      0),
   0)</f>
        <v>1</v>
      </c>
      <c r="N31" s="297">
        <f t="shared" si="76"/>
        <v>0.33333333333333331</v>
      </c>
      <c r="O31" s="54">
        <f>SUMIF('UC MINI 2026'!$B$5:$B$71,'BEV MINI 2026'!$B31,'UC MINI 2026'!$L$5:$L$71)</f>
        <v>3</v>
      </c>
      <c r="P31" s="86">
        <f>IFERROR(INDEX([2]BEV!$S$10:$AF$68,
      MATCH(B31,[2]BEV!$S$10:$S$68,0),
      MATCH("ABRIL",[2]BEV!$S$9:$AF$9,0)),
   0)-IF(B31=100873,
   IFERROR(VLOOKUP("ABRIL",[2]BEV!$S$80:$T$93,2,0),
      0),
   0)</f>
        <v>2</v>
      </c>
      <c r="Q31" s="243">
        <f t="shared" si="77"/>
        <v>0.66666666666666663</v>
      </c>
      <c r="R31" s="54">
        <f>SUMIF('UC MINI 2026'!$B$5:$B$71,'BEV MINI 2026'!$B31,'UC MINI 2026'!$N$5:$N$71)</f>
        <v>4</v>
      </c>
      <c r="S31" s="86">
        <f>IFERROR(INDEX([2]BEV!$S$10:$AF$68,
      MATCH(B31,[2]BEV!$S$10:$S$68,0),
      MATCH("MAYO",[2]BEV!$S$9:$AF$9,0)),
   0)-IF(B31=100873,
   IFERROR(VLOOKUP("MAYO",[2]BEV!$S$80:$T$93,2,0),
      0),
   0)</f>
        <v>2</v>
      </c>
      <c r="T31" s="297">
        <f t="shared" si="78"/>
        <v>0.5</v>
      </c>
      <c r="U31" s="54">
        <f>SUMIF('UC MINI 2026'!$B$5:$B$71,'BEV MINI 2026'!$B31,'UC MINI 2026'!$P$5:$P$71)</f>
        <v>4</v>
      </c>
      <c r="V31" s="86">
        <f>IFERROR(INDEX([2]BEV!$S$10:$AF$68,
      MATCH(B31,[2]BEV!$S$10:$S$68,0),
      MATCH("JUNIO",[2]BEV!$S$9:$AF$9,0)),
   0)-IF(B31=100873,
   IFERROR(VLOOKUP("JUNIO",[2]BEV!$S$80:$T$93,2,0),
      0),
   0)</f>
        <v>7</v>
      </c>
      <c r="W31" s="243">
        <f t="shared" si="79"/>
        <v>1.75</v>
      </c>
      <c r="X31" s="54">
        <f>SUMIF('UC MINI 2026'!$B$5:$B$71,'BEV MINI 2026'!$B31,'UC MINI 2026'!$R$5:$R$71)</f>
        <v>3</v>
      </c>
      <c r="Y31" s="86">
        <f>IFERROR(INDEX([2]BEV!$S$10:$AF$68,
      MATCH(B31,[2]BEV!$S$10:$S$68,0),
      MATCH("JULIO",[2]BEV!$S$9:$AF$9,0)),
   0)-IF(B31=100873,
   IFERROR(VLOOKUP("JULIO",[2]BEV!$S$80:$T$93,2,0),
      0),
   0)</f>
        <v>0</v>
      </c>
      <c r="Z31" s="297">
        <f t="shared" si="80"/>
        <v>0</v>
      </c>
      <c r="AA31" s="54">
        <f>SUMIF('UC MINI 2026'!$B$5:$B$71,'BEV MINI 2026'!$B31,'UC MINI 2026'!$T$5:$T$71)</f>
        <v>2</v>
      </c>
      <c r="AB31" s="86">
        <f>IFERROR(INDEX([2]BEV!$S$10:$AF$68,
      MATCH(B31,[2]BEV!$S$10:$S$68,0),
      MATCH("AGOSTO",[2]BEV!$S$9:$AF$9,0)),
   0)-IF(B31=100873,
   IFERROR(VLOOKUP("AGOSTO",[2]BEV!$S$80:$T$93,2,0),
      0),
   0)</f>
        <v>0</v>
      </c>
      <c r="AC31" s="243">
        <f t="shared" si="81"/>
        <v>0</v>
      </c>
      <c r="AD31" s="54">
        <f>SUMIF('UC MINI 2026'!$B$5:$B$71,'BEV MINI 2026'!$B31,'UC MINI 2026'!$V$5:$V$71)</f>
        <v>3</v>
      </c>
      <c r="AE31" s="86">
        <f>IFERROR(INDEX([2]BEV!$S$10:$AF$68,
      MATCH(B31,[2]BEV!$S$10:$S$68,0),
      MATCH("SEPTIEMBRE",[2]BEV!$S$9:$AF$9,0)),
   0)-IF(B31=100873,
   IFERROR(VLOOKUP("SEPTIEMBRE",[2]BEV!$S$80:$T$93,2,0),
      0),
   0)</f>
        <v>0</v>
      </c>
      <c r="AF31" s="297">
        <f t="shared" si="82"/>
        <v>0</v>
      </c>
      <c r="AG31" s="54">
        <f>SUMIF('UC MINI 2026'!$B$5:$B$71,'BEV MINI 2026'!$B31,'UC MINI 2026'!$X$5:$X$71)</f>
        <v>3</v>
      </c>
      <c r="AH31" s="86">
        <f>IFERROR(INDEX([2]BEV!$S$10:$AF$68,
      MATCH(B31,[2]BEV!$S$10:$S$68,0),
      MATCH("OCTUBRE",[2]BEV!$S$9:$AF$9,0)),
   0)-IF(B31=100873,
   IFERROR(VLOOKUP("OCTUBRE",[2]BEV!$S$80:$T$93,2,0),
      0),
   0)</f>
        <v>0</v>
      </c>
      <c r="AI31" s="243">
        <f t="shared" si="83"/>
        <v>0</v>
      </c>
      <c r="AJ31" s="54">
        <f>SUMIF('UC MINI 2026'!$B$5:$B$71,'BEV MINI 2026'!$B31,'UC MINI 2026'!$Z$5:$Z$71)</f>
        <v>3</v>
      </c>
      <c r="AK31" s="86">
        <f>IFERROR(INDEX([2]BEV!$S$10:$AF$68,
      MATCH(B31,[2]BEV!$S$10:$S$68,0),
      MATCH("NOVIEMBRE",[2]BEV!$S$9:$AF$9,0)),
   0)-IF(B31=100873,
   IFERROR(VLOOKUP("NOVIEMBRE",[2]BEV!$S$80:$T$93,2,0),
      0),
   0)</f>
        <v>0</v>
      </c>
      <c r="AL31" s="297">
        <f t="shared" si="84"/>
        <v>0</v>
      </c>
      <c r="AM31" s="54">
        <f>SUMIF('UC MINI 2026'!$B$5:$B$71,'BEV MINI 2026'!$B31,'UC MINI 2026'!$AB$5:$AB$71)</f>
        <v>3</v>
      </c>
      <c r="AN31" s="86">
        <f>IFERROR(INDEX([2]BEV!$S$10:$AF$68,
      MATCH(B31,[2]BEV!$S$10:$S$68,0),
      MATCH("DICIEMBRE",[2]BEV!$S$9:$AF$9,0)),
   0)-IF(B31=100873,
   IFERROR(VLOOKUP("DICIEMBRE",[2]BEV!$S$80:$T$93,2,0),
      0),
   0)</f>
        <v>0</v>
      </c>
      <c r="AO31" s="243">
        <f t="shared" si="85"/>
        <v>0</v>
      </c>
      <c r="AP31" s="67">
        <f t="shared" ref="AP31:AQ35" si="90">IFERROR(IF($AP$4="ENERO",F31,IF($AP$4="FEBRERO",F31+I31,IF($AP$4="MARZO",F31+I31+L31,IF($AP$4="ABRIL",F31+I31+L31+O31,IF($AP$4="MAYO",F31+I31+L31+O31+R31,IF($AP$4="JUNIO",F31+I31+L31+O31+R31+U31,IF($AP$4="JULIO",F31+I31+L31+O31+R31+U31+X31,IF($AP$4="AGOSTO",F31+I31+L31+O31+R31+U31+X31+AA31,IF($AP$4="SEPTIEMBRE",F31+I31+L31+O31+R31+U31+X31+AA31+AD31,IF($AP$4="OCTUBRE",F31+I31+L31+O31+R31+U31+X31+AA31+AD31+AG31,IF($AP$4="NOVIEMBRE",F31+I31+L31+O31+R31+U31+X31+AA31+AD31+AG31+AJ31,IF($AP$4="DICIEMBRE",F31+I31+L31+O31+R31+U31+X31+AA31+AD31+AG31+AJ31+AM31,"")))))))))))),0)</f>
        <v>20</v>
      </c>
      <c r="AQ31" s="68">
        <f t="shared" si="90"/>
        <v>18</v>
      </c>
      <c r="AR31" s="149">
        <f t="shared" si="86"/>
        <v>0.9</v>
      </c>
      <c r="AS31" s="67">
        <f>IFERROR(F31+I31+L31+O31+R31+U31++X31+AA31+AD31+AG31+AJ31+AM31,0)</f>
        <v>37</v>
      </c>
      <c r="AT31" s="86">
        <f t="shared" si="14"/>
        <v>18</v>
      </c>
      <c r="AU31" s="149">
        <f t="shared" si="87"/>
        <v>0.48648648648648651</v>
      </c>
      <c r="AV31" s="54">
        <f t="shared" ref="AV31:AW35" si="91">IF($AV$5="Q1",F31+I31+L31,
IF($AV$5="Q2",O31+R31++U31,
IF($AV$5="Q3",X31+AA31+AD31,
IF($AV$5="Q4",AG31+AJ31+AM31,0))))</f>
        <v>9</v>
      </c>
      <c r="AW31" s="86">
        <f t="shared" si="91"/>
        <v>7</v>
      </c>
      <c r="AX31" s="109">
        <f t="shared" si="68"/>
        <v>0.77777777777777779</v>
      </c>
      <c r="AY31" s="68">
        <f>IFERROR(IF($AV$5="Q1",#REF!+#REF!+#REF!,
IF($AV$5="Q2",#REF!+#REF!++#REF!,
IF($AV$5="Q3",#REF!+#REF!+#REF!,
IF($AV$5="Q4",#REF!+#REF!+#REF!,0)))),0)</f>
        <v>0</v>
      </c>
      <c r="AZ31" s="297">
        <f>IF(AW31=0,"N.D.",AY31/AW31)</f>
        <v>0</v>
      </c>
      <c r="BA31" s="350">
        <f>IFERROR(IF($AV$5="Q1",#REF!+#REF!+#REF!,
IF($AV$5="Q2",#REF!+#REF!+#REF!,
IF($AV$5="Q3",#REF!+#REF!+#REF!,
IF($AV$5="Q4",#REF!+#REF!+#REF!,0)))),0)</f>
        <v>0</v>
      </c>
      <c r="BB31" s="150">
        <f t="shared" si="69"/>
        <v>0</v>
      </c>
      <c r="BC31" s="67">
        <f t="shared" ref="BC31:BD35" si="92">IFERROR(IF($BC$5="S 1",F31+I31+L31+O31+R31+U31,
IF($BC$5="S 2",X31+AA31+AD31+AG31+AJ31+AM31,0)),0)</f>
        <v>20</v>
      </c>
      <c r="BD31" s="68">
        <f t="shared" si="92"/>
        <v>18</v>
      </c>
      <c r="BE31" s="150">
        <f t="shared" si="88"/>
        <v>0.9</v>
      </c>
      <c r="BF31" s="67">
        <f t="shared" ref="BF31:BG35" si="93">IFERROR(IF($BF$5="S 1",F31+I31+L31+O31+R31+U31,
IF($BF$5="S 2",X31+AA31+AD31+AG31+AJ31+AM31,0)),0)</f>
        <v>17</v>
      </c>
      <c r="BG31" s="266">
        <f t="shared" si="93"/>
        <v>0</v>
      </c>
      <c r="BH31" s="150">
        <f t="shared" si="89"/>
        <v>0</v>
      </c>
      <c r="BI31" s="53">
        <v>1</v>
      </c>
      <c r="BK31" s="53">
        <v>30</v>
      </c>
      <c r="BL31" s="53">
        <v>43</v>
      </c>
      <c r="BM31" s="513">
        <v>1.2875000000000001</v>
      </c>
      <c r="BP31" s="53">
        <f t="shared" si="72"/>
        <v>11</v>
      </c>
      <c r="BQ31" s="53">
        <f t="shared" si="73"/>
        <v>11</v>
      </c>
    </row>
    <row r="32" spans="1:69" s="53" customFormat="1" ht="16" customHeight="1" x14ac:dyDescent="0.3">
      <c r="A32" s="53">
        <f>_xlfn.XLOOKUP(B32,'WHOLESALE MINI 2026'!$B$7:$B$63,'WHOLESALE MINI 2026'!$A$7:$A$63)</f>
        <v>5</v>
      </c>
      <c r="B32" s="8">
        <v>100190</v>
      </c>
      <c r="C32" s="369" t="s">
        <v>52</v>
      </c>
      <c r="D32" s="146"/>
      <c r="E32" s="379" t="s">
        <v>79</v>
      </c>
      <c r="F32" s="54">
        <f>SUMIF('UC MINI 2026'!$B$5:$B$71,'BEV MINI 2026'!$B32,'UC MINI 2026'!$F$5:$F$71)</f>
        <v>3</v>
      </c>
      <c r="G32" s="86">
        <f>IFERROR(INDEX([2]BEV!$S$10:$AF$68,
      MATCH(B32,[2]BEV!$S$10:$S$68,0),
      MATCH("ENERO",[2]BEV!$S$9:$AF$9,0)),
   0)-IF(B32=100873,
   IFERROR(VLOOKUP("ENERO",[2]BEV!$S$80:$T$93,2,0),
      0),
   0)</f>
        <v>6</v>
      </c>
      <c r="H32" s="243">
        <f t="shared" si="74"/>
        <v>2</v>
      </c>
      <c r="I32" s="54">
        <f>SUMIF('UC MINI 2026'!$B$5:$B$71,'BEV MINI 2026'!$B32,'UC MINI 2026'!$H$5:$H$71)</f>
        <v>3</v>
      </c>
      <c r="J32" s="86">
        <f>IFERROR(INDEX([2]BEV!$S$10:$AF$68,
      MATCH(B32,[2]BEV!$S$10:$S$68,0),
      MATCH("FEBRERO",[2]BEV!$S$9:$AF$9,0)),
   0)-IF(B32=100873,
   IFERROR(VLOOKUP("FEBRERO",[2]BEV!$S$80:$T$93,2,0),
      0),
   0)</f>
        <v>6</v>
      </c>
      <c r="K32" s="243">
        <f t="shared" si="75"/>
        <v>2</v>
      </c>
      <c r="L32" s="54">
        <f>SUMIF('UC MINI 2026'!$B$5:$B$71,'BEV MINI 2026'!$B32,'UC MINI 2026'!$J$5:$J$71)</f>
        <v>4</v>
      </c>
      <c r="M32" s="86">
        <f>IFERROR(INDEX([2]BEV!$S$10:$AF$68,
      MATCH(B32,[2]BEV!$S$10:$S$68,0),
      MATCH("MARZO",[2]BEV!$S$9:$AF$9,0)),
   0)-IF(B32=100873,
   IFERROR(VLOOKUP("MARZO",[2]BEV!$S$80:$T$93,2,0),
      0),
   0)</f>
        <v>5</v>
      </c>
      <c r="N32" s="297">
        <f t="shared" si="76"/>
        <v>1.25</v>
      </c>
      <c r="O32" s="54">
        <f>SUMIF('UC MINI 2026'!$B$5:$B$71,'BEV MINI 2026'!$B32,'UC MINI 2026'!$L$5:$L$71)</f>
        <v>4</v>
      </c>
      <c r="P32" s="86">
        <f>IFERROR(INDEX([2]BEV!$S$10:$AF$68,
      MATCH(B32,[2]BEV!$S$10:$S$68,0),
      MATCH("ABRIL",[2]BEV!$S$9:$AF$9,0)),
   0)-IF(B32=100873,
   IFERROR(VLOOKUP("ABRIL",[2]BEV!$S$80:$T$93,2,0),
      0),
   0)</f>
        <v>5</v>
      </c>
      <c r="Q32" s="243">
        <f t="shared" si="77"/>
        <v>1.25</v>
      </c>
      <c r="R32" s="54">
        <f>SUMIF('UC MINI 2026'!$B$5:$B$71,'BEV MINI 2026'!$B32,'UC MINI 2026'!$N$5:$N$71)</f>
        <v>4</v>
      </c>
      <c r="S32" s="86">
        <f>IFERROR(INDEX([2]BEV!$S$10:$AF$68,
      MATCH(B32,[2]BEV!$S$10:$S$68,0),
      MATCH("MAYO",[2]BEV!$S$9:$AF$9,0)),
   0)-IF(B32=100873,
   IFERROR(VLOOKUP("MAYO",[2]BEV!$S$80:$T$93,2,0),
      0),
   0)</f>
        <v>9</v>
      </c>
      <c r="T32" s="297">
        <f t="shared" si="78"/>
        <v>2.25</v>
      </c>
      <c r="U32" s="54">
        <f>SUMIF('UC MINI 2026'!$B$5:$B$71,'BEV MINI 2026'!$B32,'UC MINI 2026'!$P$5:$P$71)</f>
        <v>4</v>
      </c>
      <c r="V32" s="86">
        <f>IFERROR(INDEX([2]BEV!$S$10:$AF$68,
      MATCH(B32,[2]BEV!$S$10:$S$68,0),
      MATCH("JUNIO",[2]BEV!$S$9:$AF$9,0)),
   0)-IF(B32=100873,
   IFERROR(VLOOKUP("JUNIO",[2]BEV!$S$80:$T$93,2,0),
      0),
   0)</f>
        <v>7</v>
      </c>
      <c r="W32" s="243">
        <f t="shared" si="79"/>
        <v>1.75</v>
      </c>
      <c r="X32" s="54">
        <f>SUMIF('UC MINI 2026'!$B$5:$B$71,'BEV MINI 2026'!$B32,'UC MINI 2026'!$R$5:$R$71)</f>
        <v>4</v>
      </c>
      <c r="Y32" s="86">
        <f>IFERROR(INDEX([2]BEV!$S$10:$AF$68,
      MATCH(B32,[2]BEV!$S$10:$S$68,0),
      MATCH("JULIO",[2]BEV!$S$9:$AF$9,0)),
   0)-IF(B32=100873,
   IFERROR(VLOOKUP("JULIO",[2]BEV!$S$80:$T$93,2,0),
      0),
   0)</f>
        <v>0</v>
      </c>
      <c r="Z32" s="297">
        <f t="shared" si="80"/>
        <v>0</v>
      </c>
      <c r="AA32" s="54">
        <f>SUMIF('UC MINI 2026'!$B$5:$B$71,'BEV MINI 2026'!$B32,'UC MINI 2026'!$T$5:$T$71)</f>
        <v>2</v>
      </c>
      <c r="AB32" s="86">
        <f>IFERROR(INDEX([2]BEV!$S$10:$AF$68,
      MATCH(B32,[2]BEV!$S$10:$S$68,0),
      MATCH("AGOSTO",[2]BEV!$S$9:$AF$9,0)),
   0)-IF(B32=100873,
   IFERROR(VLOOKUP("AGOSTO",[2]BEV!$S$80:$T$93,2,0),
      0),
   0)</f>
        <v>0</v>
      </c>
      <c r="AC32" s="243">
        <f t="shared" si="81"/>
        <v>0</v>
      </c>
      <c r="AD32" s="54">
        <f>SUMIF('UC MINI 2026'!$B$5:$B$71,'BEV MINI 2026'!$B32,'UC MINI 2026'!$V$5:$V$71)</f>
        <v>4</v>
      </c>
      <c r="AE32" s="86">
        <f>IFERROR(INDEX([2]BEV!$S$10:$AF$68,
      MATCH(B32,[2]BEV!$S$10:$S$68,0),
      MATCH("SEPTIEMBRE",[2]BEV!$S$9:$AF$9,0)),
   0)-IF(B32=100873,
   IFERROR(VLOOKUP("SEPTIEMBRE",[2]BEV!$S$80:$T$93,2,0),
      0),
   0)</f>
        <v>0</v>
      </c>
      <c r="AF32" s="297">
        <f t="shared" si="82"/>
        <v>0</v>
      </c>
      <c r="AG32" s="54">
        <f>SUMIF('UC MINI 2026'!$B$5:$B$71,'BEV MINI 2026'!$B32,'UC MINI 2026'!$X$5:$X$71)</f>
        <v>4</v>
      </c>
      <c r="AH32" s="86">
        <f>IFERROR(INDEX([2]BEV!$S$10:$AF$68,
      MATCH(B32,[2]BEV!$S$10:$S$68,0),
      MATCH("OCTUBRE",[2]BEV!$S$9:$AF$9,0)),
   0)-IF(B32=100873,
   IFERROR(VLOOKUP("OCTUBRE",[2]BEV!$S$80:$T$93,2,0),
      0),
   0)</f>
        <v>0</v>
      </c>
      <c r="AI32" s="243">
        <f t="shared" si="83"/>
        <v>0</v>
      </c>
      <c r="AJ32" s="54">
        <f>SUMIF('UC MINI 2026'!$B$5:$B$71,'BEV MINI 2026'!$B32,'UC MINI 2026'!$Z$5:$Z$71)</f>
        <v>4</v>
      </c>
      <c r="AK32" s="86">
        <f>IFERROR(INDEX([2]BEV!$S$10:$AF$68,
      MATCH(B32,[2]BEV!$S$10:$S$68,0),
      MATCH("NOVIEMBRE",[2]BEV!$S$9:$AF$9,0)),
   0)-IF(B32=100873,
   IFERROR(VLOOKUP("NOVIEMBRE",[2]BEV!$S$80:$T$93,2,0),
      0),
   0)</f>
        <v>0</v>
      </c>
      <c r="AL32" s="297">
        <f t="shared" si="84"/>
        <v>0</v>
      </c>
      <c r="AM32" s="54">
        <f>SUMIF('UC MINI 2026'!$B$5:$B$71,'BEV MINI 2026'!$B32,'UC MINI 2026'!$AB$5:$AB$71)</f>
        <v>4</v>
      </c>
      <c r="AN32" s="86">
        <f>IFERROR(INDEX([2]BEV!$S$10:$AF$68,
      MATCH(B32,[2]BEV!$S$10:$S$68,0),
      MATCH("DICIEMBRE",[2]BEV!$S$9:$AF$9,0)),
   0)-IF(B32=100873,
   IFERROR(VLOOKUP("DICIEMBRE",[2]BEV!$S$80:$T$93,2,0),
      0),
   0)</f>
        <v>0</v>
      </c>
      <c r="AO32" s="243">
        <f t="shared" si="85"/>
        <v>0</v>
      </c>
      <c r="AP32" s="67">
        <f t="shared" si="90"/>
        <v>22</v>
      </c>
      <c r="AQ32" s="68">
        <f t="shared" si="90"/>
        <v>38</v>
      </c>
      <c r="AR32" s="149">
        <f t="shared" si="86"/>
        <v>1.7272727272727273</v>
      </c>
      <c r="AS32" s="67">
        <f>IFERROR(F32+I32+L32+O32+R32+U32++X32+AA32+AD32+AG32+AJ32+AM32,0)</f>
        <v>44</v>
      </c>
      <c r="AT32" s="86">
        <f t="shared" si="14"/>
        <v>38</v>
      </c>
      <c r="AU32" s="149">
        <f t="shared" si="87"/>
        <v>0.86363636363636365</v>
      </c>
      <c r="AV32" s="54">
        <f t="shared" si="91"/>
        <v>10</v>
      </c>
      <c r="AW32" s="86">
        <f t="shared" si="91"/>
        <v>17</v>
      </c>
      <c r="AX32" s="109">
        <f t="shared" si="68"/>
        <v>1.7</v>
      </c>
      <c r="AY32" s="68">
        <f>IFERROR(IF($AV$5="Q1",#REF!+#REF!+#REF!,
IF($AV$5="Q2",#REF!+#REF!++#REF!,
IF($AV$5="Q3",#REF!+#REF!+#REF!,
IF($AV$5="Q4",#REF!+#REF!+#REF!,0)))),0)</f>
        <v>0</v>
      </c>
      <c r="AZ32" s="297">
        <f>IF(AW32=0,"N.D.",AY32/AW32)</f>
        <v>0</v>
      </c>
      <c r="BA32" s="350">
        <f>IFERROR(IF($AV$5="Q1",#REF!+#REF!+#REF!,
IF($AV$5="Q2",#REF!+#REF!+#REF!,
IF($AV$5="Q3",#REF!+#REF!+#REF!,
IF($AV$5="Q4",#REF!+#REF!+#REF!,0)))),0)</f>
        <v>0</v>
      </c>
      <c r="BB32" s="150">
        <f t="shared" si="69"/>
        <v>0</v>
      </c>
      <c r="BC32" s="67">
        <f t="shared" si="92"/>
        <v>22</v>
      </c>
      <c r="BD32" s="68">
        <f t="shared" si="92"/>
        <v>38</v>
      </c>
      <c r="BE32" s="150">
        <f t="shared" si="88"/>
        <v>1.7272727272727273</v>
      </c>
      <c r="BF32" s="67">
        <f t="shared" si="93"/>
        <v>22</v>
      </c>
      <c r="BG32" s="266">
        <f t="shared" si="93"/>
        <v>0</v>
      </c>
      <c r="BH32" s="150">
        <f t="shared" si="89"/>
        <v>0</v>
      </c>
      <c r="BI32" s="53">
        <v>1</v>
      </c>
      <c r="BK32" s="53">
        <v>27</v>
      </c>
      <c r="BL32" s="53">
        <v>42</v>
      </c>
      <c r="BM32" s="513">
        <v>1.2592592592592593</v>
      </c>
      <c r="BP32" s="53">
        <f t="shared" si="72"/>
        <v>21</v>
      </c>
      <c r="BQ32" s="53">
        <f t="shared" si="73"/>
        <v>12</v>
      </c>
    </row>
    <row r="33" spans="1:69" s="53" customFormat="1" ht="16" customHeight="1" x14ac:dyDescent="0.3">
      <c r="A33" s="53">
        <f>_xlfn.XLOOKUP(B33,'WHOLESALE MINI 2026'!$B$7:$B$63,'WHOLESALE MINI 2026'!$A$7:$A$63)</f>
        <v>5</v>
      </c>
      <c r="B33" s="8">
        <v>100379</v>
      </c>
      <c r="C33" s="369" t="s">
        <v>9</v>
      </c>
      <c r="D33" s="146"/>
      <c r="E33" s="379" t="s">
        <v>79</v>
      </c>
      <c r="F33" s="54">
        <f>SUMIF('UC MINI 2026'!$B$5:$B$71,'BEV MINI 2026'!$B33,'UC MINI 2026'!$F$5:$F$71)</f>
        <v>5</v>
      </c>
      <c r="G33" s="86">
        <f>IFERROR(INDEX([2]BEV!$S$10:$AF$68,
      MATCH(B33,[2]BEV!$S$10:$S$68,0),
      MATCH("ENERO",[2]BEV!$S$9:$AF$9,0)),
   0)-IF(B33=100873,
   IFERROR(VLOOKUP("ENERO",[2]BEV!$S$80:$T$93,2,0),
      0),
   0)</f>
        <v>7</v>
      </c>
      <c r="H33" s="243">
        <f t="shared" si="74"/>
        <v>1.4</v>
      </c>
      <c r="I33" s="54">
        <f>SUMIF('UC MINI 2026'!$B$5:$B$71,'BEV MINI 2026'!$B33,'UC MINI 2026'!$H$5:$H$71)</f>
        <v>5</v>
      </c>
      <c r="J33" s="86">
        <f>IFERROR(INDEX([2]BEV!$S$10:$AF$68,
      MATCH(B33,[2]BEV!$S$10:$S$68,0),
      MATCH("FEBRERO",[2]BEV!$S$9:$AF$9,0)),
   0)-IF(B33=100873,
   IFERROR(VLOOKUP("FEBRERO",[2]BEV!$S$80:$T$93,2,0),
      0),
   0)</f>
        <v>11</v>
      </c>
      <c r="K33" s="243">
        <f t="shared" si="75"/>
        <v>2.2000000000000002</v>
      </c>
      <c r="L33" s="54">
        <f>SUMIF('UC MINI 2026'!$B$5:$B$71,'BEV MINI 2026'!$B33,'UC MINI 2026'!$J$5:$J$71)</f>
        <v>5</v>
      </c>
      <c r="M33" s="86">
        <f>IFERROR(INDEX([2]BEV!$S$10:$AF$68,
      MATCH(B33,[2]BEV!$S$10:$S$68,0),
      MATCH("MARZO",[2]BEV!$S$9:$AF$9,0)),
   0)-IF(B33=100873,
   IFERROR(VLOOKUP("MARZO",[2]BEV!$S$80:$T$93,2,0),
      0),
   0)</f>
        <v>8</v>
      </c>
      <c r="N33" s="297">
        <f t="shared" si="76"/>
        <v>1.6</v>
      </c>
      <c r="O33" s="54">
        <f>SUMIF('UC MINI 2026'!$B$5:$B$71,'BEV MINI 2026'!$B33,'UC MINI 2026'!$L$5:$L$71)</f>
        <v>5</v>
      </c>
      <c r="P33" s="86">
        <f>IFERROR(INDEX([2]BEV!$S$10:$AF$68,
      MATCH(B33,[2]BEV!$S$10:$S$68,0),
      MATCH("ABRIL",[2]BEV!$S$9:$AF$9,0)),
   0)-IF(B33=100873,
   IFERROR(VLOOKUP("ABRIL",[2]BEV!$S$80:$T$93,2,0),
      0),
   0)</f>
        <v>6</v>
      </c>
      <c r="Q33" s="243">
        <f t="shared" si="77"/>
        <v>1.2</v>
      </c>
      <c r="R33" s="54">
        <f>SUMIF('UC MINI 2026'!$B$5:$B$71,'BEV MINI 2026'!$B33,'UC MINI 2026'!$N$5:$N$71)</f>
        <v>5</v>
      </c>
      <c r="S33" s="86">
        <f>IFERROR(INDEX([2]BEV!$S$10:$AF$68,
      MATCH(B33,[2]BEV!$S$10:$S$68,0),
      MATCH("MAYO",[2]BEV!$S$9:$AF$9,0)),
   0)-IF(B33=100873,
   IFERROR(VLOOKUP("MAYO",[2]BEV!$S$80:$T$93,2,0),
      0),
   0)</f>
        <v>4</v>
      </c>
      <c r="T33" s="297">
        <f t="shared" si="78"/>
        <v>0.8</v>
      </c>
      <c r="U33" s="54">
        <f>SUMIF('UC MINI 2026'!$B$5:$B$71,'BEV MINI 2026'!$B33,'UC MINI 2026'!$P$5:$P$71)</f>
        <v>5</v>
      </c>
      <c r="V33" s="86">
        <f>IFERROR(INDEX([2]BEV!$S$10:$AF$68,
      MATCH(B33,[2]BEV!$S$10:$S$68,0),
      MATCH("JUNIO",[2]BEV!$S$9:$AF$9,0)),
   0)-IF(B33=100873,
   IFERROR(VLOOKUP("JUNIO",[2]BEV!$S$80:$T$93,2,0),
      0),
   0)</f>
        <v>7</v>
      </c>
      <c r="W33" s="243">
        <f t="shared" si="79"/>
        <v>1.4</v>
      </c>
      <c r="X33" s="54">
        <f>SUMIF('UC MINI 2026'!$B$5:$B$71,'BEV MINI 2026'!$B33,'UC MINI 2026'!$R$5:$R$71)</f>
        <v>4</v>
      </c>
      <c r="Y33" s="86">
        <f>IFERROR(INDEX([2]BEV!$S$10:$AF$68,
      MATCH(B33,[2]BEV!$S$10:$S$68,0),
      MATCH("JULIO",[2]BEV!$S$9:$AF$9,0)),
   0)-IF(B33=100873,
   IFERROR(VLOOKUP("JULIO",[2]BEV!$S$80:$T$93,2,0),
      0),
   0)</f>
        <v>0</v>
      </c>
      <c r="Z33" s="297">
        <f t="shared" si="80"/>
        <v>0</v>
      </c>
      <c r="AA33" s="54">
        <f>SUMIF('UC MINI 2026'!$B$5:$B$71,'BEV MINI 2026'!$B33,'UC MINI 2026'!$T$5:$T$71)</f>
        <v>4</v>
      </c>
      <c r="AB33" s="86">
        <f>IFERROR(INDEX([2]BEV!$S$10:$AF$68,
      MATCH(B33,[2]BEV!$S$10:$S$68,0),
      MATCH("AGOSTO",[2]BEV!$S$9:$AF$9,0)),
   0)-IF(B33=100873,
   IFERROR(VLOOKUP("AGOSTO",[2]BEV!$S$80:$T$93,2,0),
      0),
   0)</f>
        <v>0</v>
      </c>
      <c r="AC33" s="243">
        <f t="shared" si="81"/>
        <v>0</v>
      </c>
      <c r="AD33" s="54">
        <f>SUMIF('UC MINI 2026'!$B$5:$B$71,'BEV MINI 2026'!$B33,'UC MINI 2026'!$V$5:$V$71)</f>
        <v>4</v>
      </c>
      <c r="AE33" s="86">
        <f>IFERROR(INDEX([2]BEV!$S$10:$AF$68,
      MATCH(B33,[2]BEV!$S$10:$S$68,0),
      MATCH("SEPTIEMBRE",[2]BEV!$S$9:$AF$9,0)),
   0)-IF(B33=100873,
   IFERROR(VLOOKUP("SEPTIEMBRE",[2]BEV!$S$80:$T$93,2,0),
      0),
   0)</f>
        <v>0</v>
      </c>
      <c r="AF33" s="297">
        <f t="shared" si="82"/>
        <v>0</v>
      </c>
      <c r="AG33" s="54">
        <f>SUMIF('UC MINI 2026'!$B$5:$B$71,'BEV MINI 2026'!$B33,'UC MINI 2026'!$X$5:$X$71)</f>
        <v>6</v>
      </c>
      <c r="AH33" s="86">
        <f>IFERROR(INDEX([2]BEV!$S$10:$AF$68,
      MATCH(B33,[2]BEV!$S$10:$S$68,0),
      MATCH("OCTUBRE",[2]BEV!$S$9:$AF$9,0)),
   0)-IF(B33=100873,
   IFERROR(VLOOKUP("OCTUBRE",[2]BEV!$S$80:$T$93,2,0),
      0),
   0)</f>
        <v>0</v>
      </c>
      <c r="AI33" s="243">
        <f t="shared" si="83"/>
        <v>0</v>
      </c>
      <c r="AJ33" s="54">
        <f>SUMIF('UC MINI 2026'!$B$5:$B$71,'BEV MINI 2026'!$B33,'UC MINI 2026'!$Z$5:$Z$71)</f>
        <v>6</v>
      </c>
      <c r="AK33" s="86">
        <f>IFERROR(INDEX([2]BEV!$S$10:$AF$68,
      MATCH(B33,[2]BEV!$S$10:$S$68,0),
      MATCH("NOVIEMBRE",[2]BEV!$S$9:$AF$9,0)),
   0)-IF(B33=100873,
   IFERROR(VLOOKUP("NOVIEMBRE",[2]BEV!$S$80:$T$93,2,0),
      0),
   0)</f>
        <v>0</v>
      </c>
      <c r="AL33" s="297">
        <f t="shared" si="84"/>
        <v>0</v>
      </c>
      <c r="AM33" s="54">
        <f>SUMIF('UC MINI 2026'!$B$5:$B$71,'BEV MINI 2026'!$B33,'UC MINI 2026'!$AB$5:$AB$71)</f>
        <v>6</v>
      </c>
      <c r="AN33" s="86">
        <f>IFERROR(INDEX([2]BEV!$S$10:$AF$68,
      MATCH(B33,[2]BEV!$S$10:$S$68,0),
      MATCH("DICIEMBRE",[2]BEV!$S$9:$AF$9,0)),
   0)-IF(B33=100873,
   IFERROR(VLOOKUP("DICIEMBRE",[2]BEV!$S$80:$T$93,2,0),
      0),
   0)</f>
        <v>0</v>
      </c>
      <c r="AO33" s="243">
        <f t="shared" si="85"/>
        <v>0</v>
      </c>
      <c r="AP33" s="67">
        <f t="shared" si="90"/>
        <v>30</v>
      </c>
      <c r="AQ33" s="68">
        <f t="shared" si="90"/>
        <v>43</v>
      </c>
      <c r="AR33" s="149">
        <f t="shared" si="86"/>
        <v>1.4333333333333333</v>
      </c>
      <c r="AS33" s="67">
        <f>IFERROR(F33+I33+L33+O33+R33+U33++X33+AA33+AD33+AG33+AJ33+AM33,0)</f>
        <v>60</v>
      </c>
      <c r="AT33" s="86">
        <f t="shared" si="14"/>
        <v>43</v>
      </c>
      <c r="AU33" s="149">
        <f t="shared" si="87"/>
        <v>0.71666666666666667</v>
      </c>
      <c r="AV33" s="54">
        <f t="shared" si="91"/>
        <v>15</v>
      </c>
      <c r="AW33" s="86">
        <f t="shared" si="91"/>
        <v>26</v>
      </c>
      <c r="AX33" s="109">
        <f t="shared" si="68"/>
        <v>1.7333333333333334</v>
      </c>
      <c r="AY33" s="68">
        <f>IFERROR(IF($AV$5="Q1",#REF!+#REF!+#REF!,
IF($AV$5="Q2",#REF!+#REF!++#REF!,
IF($AV$5="Q3",#REF!+#REF!+#REF!,
IF($AV$5="Q4",#REF!+#REF!+#REF!,0)))),0)</f>
        <v>0</v>
      </c>
      <c r="AZ33" s="297">
        <f>IF(AW33=0,"N.D.",AY33/AW33)</f>
        <v>0</v>
      </c>
      <c r="BA33" s="350">
        <f>IFERROR(IF($AV$5="Q1",#REF!+#REF!+#REF!,
IF($AV$5="Q2",#REF!+#REF!+#REF!,
IF($AV$5="Q3",#REF!+#REF!+#REF!,
IF($AV$5="Q4",#REF!+#REF!+#REF!,0)))),0)</f>
        <v>0</v>
      </c>
      <c r="BB33" s="150">
        <f t="shared" si="69"/>
        <v>0</v>
      </c>
      <c r="BC33" s="67">
        <f t="shared" si="92"/>
        <v>30</v>
      </c>
      <c r="BD33" s="68">
        <f t="shared" si="92"/>
        <v>43</v>
      </c>
      <c r="BE33" s="150">
        <f t="shared" si="88"/>
        <v>1.4333333333333333</v>
      </c>
      <c r="BF33" s="67">
        <f t="shared" si="93"/>
        <v>30</v>
      </c>
      <c r="BG33" s="266">
        <f t="shared" si="93"/>
        <v>0</v>
      </c>
      <c r="BH33" s="150">
        <f t="shared" si="89"/>
        <v>0</v>
      </c>
      <c r="BI33" s="53">
        <v>1</v>
      </c>
      <c r="BK33" s="53">
        <v>25</v>
      </c>
      <c r="BL33" s="53">
        <v>39</v>
      </c>
      <c r="BM33" s="513">
        <v>1.2444444444444445</v>
      </c>
      <c r="BP33" s="53">
        <f t="shared" si="72"/>
        <v>17</v>
      </c>
      <c r="BQ33" s="53">
        <f t="shared" si="73"/>
        <v>15</v>
      </c>
    </row>
    <row r="34" spans="1:69" s="53" customFormat="1" ht="16" customHeight="1" x14ac:dyDescent="0.3">
      <c r="A34" s="53">
        <f>_xlfn.XLOOKUP(B34,'WHOLESALE MINI 2026'!$B$7:$B$63,'WHOLESALE MINI 2026'!$A$7:$A$63)</f>
        <v>5</v>
      </c>
      <c r="B34" s="8">
        <v>100410</v>
      </c>
      <c r="C34" s="369" t="s">
        <v>22</v>
      </c>
      <c r="D34" s="146"/>
      <c r="E34" s="379" t="s">
        <v>79</v>
      </c>
      <c r="F34" s="54">
        <f>SUMIF('UC MINI 2026'!$B$5:$B$71,'BEV MINI 2026'!$B34,'UC MINI 2026'!$F$5:$F$71)</f>
        <v>7</v>
      </c>
      <c r="G34" s="86">
        <f>IFERROR(INDEX([2]BEV!$S$10:$AF$68,
      MATCH(B34,[2]BEV!$S$10:$S$68,0),
      MATCH("ENERO",[2]BEV!$S$9:$AF$9,0)),
   0)-IF(B34=100873,
   IFERROR(VLOOKUP("ENERO",[2]BEV!$S$80:$T$93,2,0),
      0),
   0)</f>
        <v>9</v>
      </c>
      <c r="H34" s="243">
        <f t="shared" si="74"/>
        <v>1.2857142857142858</v>
      </c>
      <c r="I34" s="54">
        <f>SUMIF('UC MINI 2026'!$B$5:$B$71,'BEV MINI 2026'!$B34,'UC MINI 2026'!$H$5:$H$71)</f>
        <v>7</v>
      </c>
      <c r="J34" s="86">
        <f>IFERROR(INDEX([2]BEV!$S$10:$AF$68,
      MATCH(B34,[2]BEV!$S$10:$S$68,0),
      MATCH("FEBRERO",[2]BEV!$S$9:$AF$9,0)),
   0)-IF(B34=100873,
   IFERROR(VLOOKUP("FEBRERO",[2]BEV!$S$80:$T$93,2,0),
      0),
   0)</f>
        <v>6</v>
      </c>
      <c r="K34" s="243">
        <f t="shared" si="75"/>
        <v>0.8571428571428571</v>
      </c>
      <c r="L34" s="54">
        <f>SUMIF('UC MINI 2026'!$B$5:$B$71,'BEV MINI 2026'!$B34,'UC MINI 2026'!$J$5:$J$71)</f>
        <v>8</v>
      </c>
      <c r="M34" s="86">
        <f>IFERROR(INDEX([2]BEV!$S$10:$AF$68,
      MATCH(B34,[2]BEV!$S$10:$S$68,0),
      MATCH("MARZO",[2]BEV!$S$9:$AF$9,0)),
   0)-IF(B34=100873,
   IFERROR(VLOOKUP("MARZO",[2]BEV!$S$80:$T$93,2,0),
      0),
   0)</f>
        <v>9</v>
      </c>
      <c r="N34" s="297">
        <f t="shared" si="76"/>
        <v>1.125</v>
      </c>
      <c r="O34" s="54">
        <f>SUMIF('UC MINI 2026'!$B$5:$B$71,'BEV MINI 2026'!$B34,'UC MINI 2026'!$L$5:$L$71)</f>
        <v>7</v>
      </c>
      <c r="P34" s="86">
        <f>IFERROR(INDEX([2]BEV!$S$10:$AF$68,
      MATCH(B34,[2]BEV!$S$10:$S$68,0),
      MATCH("ABRIL",[2]BEV!$S$9:$AF$9,0)),
   0)-IF(B34=100873,
   IFERROR(VLOOKUP("ABRIL",[2]BEV!$S$80:$T$93,2,0),
      0),
   0)</f>
        <v>7</v>
      </c>
      <c r="Q34" s="243">
        <f t="shared" si="77"/>
        <v>1</v>
      </c>
      <c r="R34" s="54">
        <f>SUMIF('UC MINI 2026'!$B$5:$B$71,'BEV MINI 2026'!$B34,'UC MINI 2026'!$N$5:$N$71)</f>
        <v>8</v>
      </c>
      <c r="S34" s="86">
        <f>IFERROR(INDEX([2]BEV!$S$10:$AF$68,
      MATCH(B34,[2]BEV!$S$10:$S$68,0),
      MATCH("MAYO",[2]BEV!$S$9:$AF$9,0)),
   0)-IF(B34=100873,
   IFERROR(VLOOKUP("MAYO",[2]BEV!$S$80:$T$93,2,0),
      0),
   0)</f>
        <v>9</v>
      </c>
      <c r="T34" s="297">
        <f t="shared" si="78"/>
        <v>1.125</v>
      </c>
      <c r="U34" s="54">
        <f>SUMIF('UC MINI 2026'!$B$5:$B$71,'BEV MINI 2026'!$B34,'UC MINI 2026'!$P$5:$P$71)</f>
        <v>8</v>
      </c>
      <c r="V34" s="86">
        <f>IFERROR(INDEX([2]BEV!$S$10:$AF$68,
      MATCH(B34,[2]BEV!$S$10:$S$68,0),
      MATCH("JUNIO",[2]BEV!$S$9:$AF$9,0)),
   0)-IF(B34=100873,
   IFERROR(VLOOKUP("JUNIO",[2]BEV!$S$80:$T$93,2,0),
      0),
   0)</f>
        <v>13</v>
      </c>
      <c r="W34" s="243">
        <f t="shared" si="79"/>
        <v>1.625</v>
      </c>
      <c r="X34" s="54">
        <f>SUMIF('UC MINI 2026'!$B$5:$B$71,'BEV MINI 2026'!$B34,'UC MINI 2026'!$R$5:$R$71)</f>
        <v>0</v>
      </c>
      <c r="Y34" s="86">
        <f>IFERROR(INDEX([2]BEV!$S$10:$AF$68,
      MATCH(B34,[2]BEV!$S$10:$S$68,0),
      MATCH("JULIO",[2]BEV!$S$9:$AF$9,0)),
   0)-IF(B34=100873,
   IFERROR(VLOOKUP("JULIO",[2]BEV!$S$80:$T$93,2,0),
      0),
   0)</f>
        <v>0</v>
      </c>
      <c r="Z34" s="297">
        <f t="shared" si="80"/>
        <v>0</v>
      </c>
      <c r="AA34" s="54">
        <f>SUMIF('UC MINI 2026'!$B$5:$B$71,'BEV MINI 2026'!$B34,'UC MINI 2026'!$T$5:$T$71)</f>
        <v>0</v>
      </c>
      <c r="AB34" s="86">
        <f>IFERROR(INDEX([2]BEV!$S$10:$AF$68,
      MATCH(B34,[2]BEV!$S$10:$S$68,0),
      MATCH("AGOSTO",[2]BEV!$S$9:$AF$9,0)),
   0)-IF(B34=100873,
   IFERROR(VLOOKUP("AGOSTO",[2]BEV!$S$80:$T$93,2,0),
      0),
   0)</f>
        <v>0</v>
      </c>
      <c r="AC34" s="243">
        <f t="shared" si="81"/>
        <v>0</v>
      </c>
      <c r="AD34" s="54">
        <f>SUMIF('UC MINI 2026'!$B$5:$B$71,'BEV MINI 2026'!$B34,'UC MINI 2026'!$V$5:$V$71)</f>
        <v>0</v>
      </c>
      <c r="AE34" s="86">
        <f>IFERROR(INDEX([2]BEV!$S$10:$AF$68,
      MATCH(B34,[2]BEV!$S$10:$S$68,0),
      MATCH("SEPTIEMBRE",[2]BEV!$S$9:$AF$9,0)),
   0)-IF(B34=100873,
   IFERROR(VLOOKUP("SEPTIEMBRE",[2]BEV!$S$80:$T$93,2,0),
      0),
   0)</f>
        <v>0</v>
      </c>
      <c r="AF34" s="297">
        <f t="shared" si="82"/>
        <v>0</v>
      </c>
      <c r="AG34" s="54">
        <f>SUMIF('UC MINI 2026'!$B$5:$B$71,'BEV MINI 2026'!$B34,'UC MINI 2026'!$X$5:$X$71)</f>
        <v>0</v>
      </c>
      <c r="AH34" s="86">
        <f>IFERROR(INDEX([2]BEV!$S$10:$AF$68,
      MATCH(B34,[2]BEV!$S$10:$S$68,0),
      MATCH("OCTUBRE",[2]BEV!$S$9:$AF$9,0)),
   0)-IF(B34=100873,
   IFERROR(VLOOKUP("OCTUBRE",[2]BEV!$S$80:$T$93,2,0),
      0),
   0)</f>
        <v>0</v>
      </c>
      <c r="AI34" s="243">
        <f t="shared" si="83"/>
        <v>0</v>
      </c>
      <c r="AJ34" s="54">
        <f>SUMIF('UC MINI 2026'!$B$5:$B$71,'BEV MINI 2026'!$B34,'UC MINI 2026'!$Z$5:$Z$71)</f>
        <v>0</v>
      </c>
      <c r="AK34" s="86">
        <f>IFERROR(INDEX([2]BEV!$S$10:$AF$68,
      MATCH(B34,[2]BEV!$S$10:$S$68,0),
      MATCH("NOVIEMBRE",[2]BEV!$S$9:$AF$9,0)),
   0)-IF(B34=100873,
   IFERROR(VLOOKUP("NOVIEMBRE",[2]BEV!$S$80:$T$93,2,0),
      0),
   0)</f>
        <v>0</v>
      </c>
      <c r="AL34" s="297">
        <f t="shared" si="84"/>
        <v>0</v>
      </c>
      <c r="AM34" s="54">
        <f>SUMIF('UC MINI 2026'!$B$5:$B$71,'BEV MINI 2026'!$B34,'UC MINI 2026'!$AB$5:$AB$71)</f>
        <v>0</v>
      </c>
      <c r="AN34" s="86">
        <f>IFERROR(INDEX([2]BEV!$S$10:$AF$68,
      MATCH(B34,[2]BEV!$S$10:$S$68,0),
      MATCH("DICIEMBRE",[2]BEV!$S$9:$AF$9,0)),
   0)-IF(B34=100873,
   IFERROR(VLOOKUP("DICIEMBRE",[2]BEV!$S$80:$T$93,2,0),
      0),
   0)</f>
        <v>0</v>
      </c>
      <c r="AO34" s="243">
        <f t="shared" si="85"/>
        <v>0</v>
      </c>
      <c r="AP34" s="67">
        <f t="shared" si="90"/>
        <v>45</v>
      </c>
      <c r="AQ34" s="68">
        <f t="shared" si="90"/>
        <v>53</v>
      </c>
      <c r="AR34" s="149">
        <f t="shared" si="86"/>
        <v>1.1777777777777778</v>
      </c>
      <c r="AS34" s="67">
        <f>IFERROR(F34+I34+L34+O34+R34+U34++X34+AA34+AD34+AG34+AJ34+AM34,0)</f>
        <v>45</v>
      </c>
      <c r="AT34" s="86">
        <f t="shared" si="14"/>
        <v>53</v>
      </c>
      <c r="AU34" s="149">
        <f t="shared" si="87"/>
        <v>1.1777777777777778</v>
      </c>
      <c r="AV34" s="54">
        <f t="shared" si="91"/>
        <v>22</v>
      </c>
      <c r="AW34" s="86">
        <f t="shared" si="91"/>
        <v>24</v>
      </c>
      <c r="AX34" s="109">
        <f t="shared" si="68"/>
        <v>1.0909090909090908</v>
      </c>
      <c r="AY34" s="68">
        <f>IFERROR(IF($AV$5="Q1",#REF!+#REF!+#REF!,
IF($AV$5="Q2",#REF!+#REF!++#REF!,
IF($AV$5="Q3",#REF!+#REF!+#REF!,
IF($AV$5="Q4",#REF!+#REF!+#REF!,0)))),0)</f>
        <v>0</v>
      </c>
      <c r="AZ34" s="297">
        <f>IF(AW34=0,"N.D.",AY34/AW34)</f>
        <v>0</v>
      </c>
      <c r="BA34" s="350">
        <f>IFERROR(IF($AV$5="Q1",#REF!+#REF!+#REF!,
IF($AV$5="Q2",#REF!+#REF!+#REF!,
IF($AV$5="Q3",#REF!+#REF!+#REF!,
IF($AV$5="Q4",#REF!+#REF!+#REF!,0)))),0)</f>
        <v>0</v>
      </c>
      <c r="BB34" s="150">
        <f t="shared" si="69"/>
        <v>0</v>
      </c>
      <c r="BC34" s="67">
        <f t="shared" si="92"/>
        <v>45</v>
      </c>
      <c r="BD34" s="68">
        <f t="shared" si="92"/>
        <v>53</v>
      </c>
      <c r="BE34" s="150">
        <f t="shared" si="88"/>
        <v>1.1777777777777778</v>
      </c>
      <c r="BF34" s="67">
        <f t="shared" si="93"/>
        <v>0</v>
      </c>
      <c r="BG34" s="266">
        <f t="shared" si="93"/>
        <v>0</v>
      </c>
      <c r="BH34" s="150">
        <f t="shared" si="89"/>
        <v>0</v>
      </c>
      <c r="BI34" s="53">
        <v>1</v>
      </c>
      <c r="BK34" s="53">
        <v>25</v>
      </c>
      <c r="BL34" s="53">
        <v>38</v>
      </c>
      <c r="BM34" s="513">
        <v>1.2250000000000001</v>
      </c>
      <c r="BP34" s="53">
        <f t="shared" si="72"/>
        <v>29</v>
      </c>
      <c r="BQ34" s="53">
        <f t="shared" si="73"/>
        <v>23</v>
      </c>
    </row>
    <row r="35" spans="1:69" s="53" customFormat="1" ht="16" customHeight="1" thickBot="1" x14ac:dyDescent="0.35">
      <c r="A35" s="53">
        <f>_xlfn.XLOOKUP(B35,'WHOLESALE MINI 2026'!$B$7:$B$63,'WHOLESALE MINI 2026'!$A$7:$A$63)</f>
        <v>5</v>
      </c>
      <c r="B35" s="8">
        <v>100739</v>
      </c>
      <c r="C35" s="369" t="s">
        <v>49</v>
      </c>
      <c r="D35" s="146"/>
      <c r="E35" s="379" t="s">
        <v>79</v>
      </c>
      <c r="F35" s="54">
        <f>SUMIF('UC MINI 2026'!$B$5:$B$71,'BEV MINI 2026'!$B35,'UC MINI 2026'!$F$5:$F$71)</f>
        <v>1</v>
      </c>
      <c r="G35" s="86">
        <f>IFERROR(INDEX([2]BEV!$S$10:$AF$68,
      MATCH(B35,[2]BEV!$S$10:$S$68,0),
      MATCH("ENERO",[2]BEV!$S$9:$AF$9,0)),
   0)-IF(B35=100873,
   IFERROR(VLOOKUP("ENERO",[2]BEV!$S$80:$T$93,2,0),
      0),
   0)</f>
        <v>1</v>
      </c>
      <c r="H35" s="433">
        <f t="shared" si="74"/>
        <v>1</v>
      </c>
      <c r="I35" s="54">
        <f>SUMIF('UC MINI 2026'!$B$5:$B$71,'BEV MINI 2026'!$B35,'UC MINI 2026'!$H$5:$H$71)</f>
        <v>1</v>
      </c>
      <c r="J35" s="86">
        <f>IFERROR(INDEX([2]BEV!$S$10:$AF$68,
      MATCH(B35,[2]BEV!$S$10:$S$68,0),
      MATCH("FEBRERO",[2]BEV!$S$9:$AF$9,0)),
   0)-IF(B35=100873,
   IFERROR(VLOOKUP("FEBRERO",[2]BEV!$S$80:$T$93,2,0),
      0),
   0)</f>
        <v>3</v>
      </c>
      <c r="K35" s="433">
        <f t="shared" si="75"/>
        <v>3</v>
      </c>
      <c r="L35" s="54">
        <f>SUMIF('UC MINI 2026'!$B$5:$B$71,'BEV MINI 2026'!$B35,'UC MINI 2026'!$J$5:$J$71)</f>
        <v>2</v>
      </c>
      <c r="M35" s="86">
        <f>IFERROR(INDEX([2]BEV!$S$10:$AF$68,
      MATCH(B35,[2]BEV!$S$10:$S$68,0),
      MATCH("MARZO",[2]BEV!$S$9:$AF$9,0)),
   0)-IF(B35=100873,
   IFERROR(VLOOKUP("MARZO",[2]BEV!$S$80:$T$93,2,0),
      0),
   0)</f>
        <v>3</v>
      </c>
      <c r="N35" s="297">
        <f t="shared" si="76"/>
        <v>1.5</v>
      </c>
      <c r="O35" s="54">
        <f>SUMIF('UC MINI 2026'!$B$5:$B$71,'BEV MINI 2026'!$B35,'UC MINI 2026'!$L$5:$L$71)</f>
        <v>2</v>
      </c>
      <c r="P35" s="86">
        <f>IFERROR(INDEX([2]BEV!$S$10:$AF$68,
      MATCH(B35,[2]BEV!$S$10:$S$68,0),
      MATCH("ABRIL",[2]BEV!$S$9:$AF$9,0)),
   0)-IF(B35=100873,
   IFERROR(VLOOKUP("ABRIL",[2]BEV!$S$80:$T$93,2,0),
      0),
   0)</f>
        <v>2</v>
      </c>
      <c r="Q35" s="243">
        <f t="shared" si="77"/>
        <v>1</v>
      </c>
      <c r="R35" s="54">
        <f>SUMIF('UC MINI 2026'!$B$5:$B$71,'BEV MINI 2026'!$B35,'UC MINI 2026'!$N$5:$N$71)</f>
        <v>2</v>
      </c>
      <c r="S35" s="86">
        <f>IFERROR(INDEX([2]BEV!$S$10:$AF$68,
      MATCH(B35,[2]BEV!$S$10:$S$68,0),
      MATCH("MAYO",[2]BEV!$S$9:$AF$9,0)),
   0)-IF(B35=100873,
   IFERROR(VLOOKUP("MAYO",[2]BEV!$S$80:$T$93,2,0),
      0),
   0)</f>
        <v>4</v>
      </c>
      <c r="T35" s="297">
        <f t="shared" si="78"/>
        <v>2</v>
      </c>
      <c r="U35" s="54">
        <f>SUMIF('UC MINI 2026'!$B$5:$B$71,'BEV MINI 2026'!$B35,'UC MINI 2026'!$P$5:$P$71)</f>
        <v>2</v>
      </c>
      <c r="V35" s="86">
        <f>IFERROR(INDEX([2]BEV!$S$10:$AF$68,
      MATCH(B35,[2]BEV!$S$10:$S$68,0),
      MATCH("JUNIO",[2]BEV!$S$9:$AF$9,0)),
   0)-IF(B35=100873,
   IFERROR(VLOOKUP("JUNIO",[2]BEV!$S$80:$T$93,2,0),
      0),
   0)</f>
        <v>8</v>
      </c>
      <c r="W35" s="243">
        <f t="shared" si="79"/>
        <v>4</v>
      </c>
      <c r="X35" s="54">
        <f>SUMIF('UC MINI 2026'!$B$5:$B$71,'BEV MINI 2026'!$B35,'UC MINI 2026'!$R$5:$R$71)</f>
        <v>2</v>
      </c>
      <c r="Y35" s="86">
        <f>IFERROR(INDEX([2]BEV!$S$10:$AF$68,
      MATCH(B35,[2]BEV!$S$10:$S$68,0),
      MATCH("JULIO",[2]BEV!$S$9:$AF$9,0)),
   0)-IF(B35=100873,
   IFERROR(VLOOKUP("JULIO",[2]BEV!$S$80:$T$93,2,0),
      0),
   0)</f>
        <v>0</v>
      </c>
      <c r="Z35" s="297">
        <f t="shared" si="80"/>
        <v>0</v>
      </c>
      <c r="AA35" s="54">
        <f>SUMIF('UC MINI 2026'!$B$5:$B$71,'BEV MINI 2026'!$B35,'UC MINI 2026'!$T$5:$T$71)</f>
        <v>1</v>
      </c>
      <c r="AB35" s="86">
        <f>IFERROR(INDEX([2]BEV!$S$10:$AF$68,
      MATCH(B35,[2]BEV!$S$10:$S$68,0),
      MATCH("AGOSTO",[2]BEV!$S$9:$AF$9,0)),
   0)-IF(B35=100873,
   IFERROR(VLOOKUP("AGOSTO",[2]BEV!$S$80:$T$93,2,0),
      0),
   0)</f>
        <v>0</v>
      </c>
      <c r="AC35" s="243">
        <f t="shared" si="81"/>
        <v>0</v>
      </c>
      <c r="AD35" s="54">
        <f>SUMIF('UC MINI 2026'!$B$5:$B$71,'BEV MINI 2026'!$B35,'UC MINI 2026'!$V$5:$V$71)</f>
        <v>2</v>
      </c>
      <c r="AE35" s="86">
        <f>IFERROR(INDEX([2]BEV!$S$10:$AF$68,
      MATCH(B35,[2]BEV!$S$10:$S$68,0),
      MATCH("SEPTIEMBRE",[2]BEV!$S$9:$AF$9,0)),
   0)-IF(B35=100873,
   IFERROR(VLOOKUP("SEPTIEMBRE",[2]BEV!$S$80:$T$93,2,0),
      0),
   0)</f>
        <v>0</v>
      </c>
      <c r="AF35" s="297">
        <f t="shared" si="82"/>
        <v>0</v>
      </c>
      <c r="AG35" s="54">
        <f>SUMIF('UC MINI 2026'!$B$5:$B$71,'BEV MINI 2026'!$B35,'UC MINI 2026'!$X$5:$X$71)</f>
        <v>2</v>
      </c>
      <c r="AH35" s="86">
        <f>IFERROR(INDEX([2]BEV!$S$10:$AF$68,
      MATCH(B35,[2]BEV!$S$10:$S$68,0),
      MATCH("OCTUBRE",[2]BEV!$S$9:$AF$9,0)),
   0)-IF(B35=100873,
   IFERROR(VLOOKUP("OCTUBRE",[2]BEV!$S$80:$T$93,2,0),
      0),
   0)</f>
        <v>0</v>
      </c>
      <c r="AI35" s="243">
        <f t="shared" si="83"/>
        <v>0</v>
      </c>
      <c r="AJ35" s="54">
        <f>SUMIF('UC MINI 2026'!$B$5:$B$71,'BEV MINI 2026'!$B35,'UC MINI 2026'!$Z$5:$Z$71)</f>
        <v>2</v>
      </c>
      <c r="AK35" s="86">
        <f>IFERROR(INDEX([2]BEV!$S$10:$AF$68,
      MATCH(B35,[2]BEV!$S$10:$S$68,0),
      MATCH("NOVIEMBRE",[2]BEV!$S$9:$AF$9,0)),
   0)-IF(B35=100873,
   IFERROR(VLOOKUP("NOVIEMBRE",[2]BEV!$S$80:$T$93,2,0),
      0),
   0)</f>
        <v>0</v>
      </c>
      <c r="AL35" s="297">
        <f t="shared" si="84"/>
        <v>0</v>
      </c>
      <c r="AM35" s="54">
        <f>SUMIF('UC MINI 2026'!$B$5:$B$71,'BEV MINI 2026'!$B35,'UC MINI 2026'!$AB$5:$AB$71)</f>
        <v>1</v>
      </c>
      <c r="AN35" s="86">
        <f>IFERROR(INDEX([2]BEV!$S$10:$AF$68,
      MATCH(B35,[2]BEV!$S$10:$S$68,0),
      MATCH("DICIEMBRE",[2]BEV!$S$9:$AF$9,0)),
   0)-IF(B35=100873,
   IFERROR(VLOOKUP("DICIEMBRE",[2]BEV!$S$80:$T$93,2,0),
      0),
   0)</f>
        <v>0</v>
      </c>
      <c r="AO35" s="243">
        <f t="shared" si="85"/>
        <v>0</v>
      </c>
      <c r="AP35" s="67">
        <f t="shared" si="90"/>
        <v>10</v>
      </c>
      <c r="AQ35" s="68">
        <f t="shared" si="90"/>
        <v>21</v>
      </c>
      <c r="AR35" s="152">
        <f t="shared" si="86"/>
        <v>2.1</v>
      </c>
      <c r="AS35" s="67">
        <f>IFERROR(F35+I35+L35+O35+R35+U35++X35+AA35+AD35+AG35+AJ35+AM35,0)</f>
        <v>20</v>
      </c>
      <c r="AT35" s="86">
        <f t="shared" si="14"/>
        <v>21</v>
      </c>
      <c r="AU35" s="152">
        <f t="shared" si="87"/>
        <v>1.05</v>
      </c>
      <c r="AV35" s="58">
        <f t="shared" si="91"/>
        <v>4</v>
      </c>
      <c r="AW35" s="59">
        <f t="shared" si="91"/>
        <v>7</v>
      </c>
      <c r="AX35" s="112">
        <f t="shared" si="68"/>
        <v>1.75</v>
      </c>
      <c r="AY35" s="68">
        <f>IFERROR(IF($AV$5="Q1",#REF!+#REF!+#REF!,
IF($AV$5="Q2",#REF!+#REF!++#REF!,
IF($AV$5="Q3",#REF!+#REF!+#REF!,
IF($AV$5="Q4",#REF!+#REF!+#REF!,0)))),0)</f>
        <v>0</v>
      </c>
      <c r="AZ35" s="297">
        <f>IF(AW35=0,"N.D.",AY35/AW35)</f>
        <v>0</v>
      </c>
      <c r="BA35" s="350">
        <f>IFERROR(IF($AV$5="Q1",#REF!+#REF!+#REF!,
IF($AV$5="Q2",#REF!+#REF!+#REF!,
IF($AV$5="Q3",#REF!+#REF!+#REF!,
IF($AV$5="Q4",#REF!+#REF!+#REF!,0)))),0)</f>
        <v>0</v>
      </c>
      <c r="BB35" s="153">
        <f t="shared" si="69"/>
        <v>0</v>
      </c>
      <c r="BC35" s="67">
        <f t="shared" si="92"/>
        <v>10</v>
      </c>
      <c r="BD35" s="68">
        <f t="shared" si="92"/>
        <v>21</v>
      </c>
      <c r="BE35" s="153">
        <f t="shared" si="88"/>
        <v>2.1</v>
      </c>
      <c r="BF35" s="67">
        <f t="shared" si="93"/>
        <v>10</v>
      </c>
      <c r="BG35" s="266">
        <f t="shared" si="93"/>
        <v>0</v>
      </c>
      <c r="BH35" s="153">
        <f t="shared" si="89"/>
        <v>0</v>
      </c>
      <c r="BI35" s="53">
        <v>1</v>
      </c>
      <c r="BK35" s="53">
        <v>25</v>
      </c>
      <c r="BL35" s="53">
        <v>36</v>
      </c>
      <c r="BM35" s="513">
        <v>1.2115384615384615</v>
      </c>
      <c r="BP35" s="53">
        <f t="shared" si="72"/>
        <v>14</v>
      </c>
      <c r="BQ35" s="53">
        <f t="shared" si="73"/>
        <v>6</v>
      </c>
    </row>
    <row r="36" spans="1:69" s="53" customFormat="1" ht="16" customHeight="1" thickBot="1" x14ac:dyDescent="0.35">
      <c r="A36" s="53" t="e">
        <f>_xlfn.XLOOKUP(B36,'WHOLESALE MINI 2026'!$B$7:$B$63,'WHOLESALE MINI 2026'!$A$7:$A$63)</f>
        <v>#N/A</v>
      </c>
      <c r="B36" s="61" t="s">
        <v>43</v>
      </c>
      <c r="C36" s="62"/>
      <c r="D36" s="146"/>
      <c r="E36" s="80"/>
      <c r="F36" s="155">
        <f>SUM(F31:F35)</f>
        <v>19</v>
      </c>
      <c r="G36" s="155">
        <f>SUM(G31:G35)</f>
        <v>26</v>
      </c>
      <c r="H36" s="301">
        <f t="shared" si="74"/>
        <v>1.368421052631579</v>
      </c>
      <c r="I36" s="155">
        <f>SUM(I31:I35)</f>
        <v>19</v>
      </c>
      <c r="J36" s="155">
        <f>SUM(J31:J35)</f>
        <v>29</v>
      </c>
      <c r="K36" s="301">
        <f t="shared" si="75"/>
        <v>1.5263157894736843</v>
      </c>
      <c r="L36" s="155">
        <f>SUM(L31:L35)</f>
        <v>22</v>
      </c>
      <c r="M36" s="155">
        <f>SUM(M31:M35)</f>
        <v>26</v>
      </c>
      <c r="N36" s="301">
        <f t="shared" ref="N36:N44" si="94">IFERROR(M36/L36,0)</f>
        <v>1.1818181818181819</v>
      </c>
      <c r="O36" s="155">
        <f>SUM(O31:O35)</f>
        <v>21</v>
      </c>
      <c r="P36" s="155">
        <f>SUM(P31:P35)</f>
        <v>22</v>
      </c>
      <c r="Q36" s="301">
        <f t="shared" ref="Q36:Q44" si="95">IFERROR(P36/O36,0)</f>
        <v>1.0476190476190477</v>
      </c>
      <c r="R36" s="155">
        <f>SUM(R31:R35)</f>
        <v>23</v>
      </c>
      <c r="S36" s="155">
        <f>SUM(S31:S35)</f>
        <v>28</v>
      </c>
      <c r="T36" s="301">
        <f t="shared" ref="T36:T44" si="96">IFERROR(S36/R36,0)</f>
        <v>1.2173913043478262</v>
      </c>
      <c r="U36" s="155">
        <f>SUM(U31:U35)</f>
        <v>23</v>
      </c>
      <c r="V36" s="155">
        <f>SUM(V31:V35)</f>
        <v>42</v>
      </c>
      <c r="W36" s="301">
        <f t="shared" ref="W36:W44" si="97">IFERROR(V36/U36,0)</f>
        <v>1.826086956521739</v>
      </c>
      <c r="X36" s="155">
        <f>SUM(X31:X35)</f>
        <v>13</v>
      </c>
      <c r="Y36" s="155">
        <f>SUM(Y31:Y35)</f>
        <v>0</v>
      </c>
      <c r="Z36" s="301">
        <f t="shared" ref="Z36:Z44" si="98">IFERROR(Y36/X36,0)</f>
        <v>0</v>
      </c>
      <c r="AA36" s="155">
        <f>SUM(AA31:AA35)</f>
        <v>9</v>
      </c>
      <c r="AB36" s="155">
        <f>SUM(AB31:AB35)</f>
        <v>0</v>
      </c>
      <c r="AC36" s="301">
        <f t="shared" ref="AC36:AC44" si="99">IFERROR(AB36/AA36,0)</f>
        <v>0</v>
      </c>
      <c r="AD36" s="155">
        <f>SUM(AD31:AD35)</f>
        <v>13</v>
      </c>
      <c r="AE36" s="155">
        <f>SUM(AE31:AE35)</f>
        <v>0</v>
      </c>
      <c r="AF36" s="301">
        <f t="shared" ref="AF36:AF44" si="100">IFERROR(AE36/AD36,0)</f>
        <v>0</v>
      </c>
      <c r="AG36" s="155">
        <f>SUM(AG31:AG35)</f>
        <v>15</v>
      </c>
      <c r="AH36" s="155">
        <f>SUM(AH31:AH35)</f>
        <v>0</v>
      </c>
      <c r="AI36" s="301">
        <f t="shared" ref="AI36:AI44" si="101">IFERROR(AH36/AG36,0)</f>
        <v>0</v>
      </c>
      <c r="AJ36" s="155">
        <f>SUM(AJ31:AJ35)</f>
        <v>15</v>
      </c>
      <c r="AK36" s="155">
        <f>SUM(AK31:AK35)</f>
        <v>0</v>
      </c>
      <c r="AL36" s="301">
        <f t="shared" ref="AL36:AL44" si="102">IFERROR(AK36/AJ36,0)</f>
        <v>0</v>
      </c>
      <c r="AM36" s="155">
        <f>SUM(AM31:AM35)</f>
        <v>14</v>
      </c>
      <c r="AN36" s="155">
        <f>SUM(AN31:AN35)</f>
        <v>0</v>
      </c>
      <c r="AO36" s="301">
        <f t="shared" ref="AO36:AO44" si="103">IFERROR(AN36/AM36,0)</f>
        <v>0</v>
      </c>
      <c r="AP36" s="63">
        <f>SUM(AP31:AP35)</f>
        <v>127</v>
      </c>
      <c r="AQ36" s="63">
        <f>SUM(AQ31:AQ35)</f>
        <v>173</v>
      </c>
      <c r="AR36" s="320">
        <f t="shared" si="86"/>
        <v>1.3622047244094488</v>
      </c>
      <c r="AS36" s="63">
        <f>SUM(AS31:AS35)</f>
        <v>206</v>
      </c>
      <c r="AT36" s="63">
        <f>SUM(AT31:AT35)</f>
        <v>173</v>
      </c>
      <c r="AU36" s="320">
        <f t="shared" si="87"/>
        <v>0.83980582524271841</v>
      </c>
      <c r="AV36" s="63">
        <f>SUM(AV30:AV35)</f>
        <v>619</v>
      </c>
      <c r="AW36" s="65">
        <f>SUM(AW30:AW35)</f>
        <v>813</v>
      </c>
      <c r="AX36" s="157">
        <f t="shared" si="68"/>
        <v>1.3134087237479806</v>
      </c>
      <c r="AY36" s="65">
        <f>SUM(AY30:AY35)</f>
        <v>0</v>
      </c>
      <c r="AZ36" s="321">
        <f>IFERROR(AY36/AW36,0)</f>
        <v>0</v>
      </c>
      <c r="BA36" s="349" t="e">
        <f>IF($AV$5="Q1",#REF!+#REF!+#REF!,
IF($AV$5="Q2",#REF!+#REF!+#REF!,
IF($AV$5="Q3",#REF!+#REF!+#REF!,
IF($AV$5="Q4",#REF!+#REF!+#REF!,0))))</f>
        <v>#REF!</v>
      </c>
      <c r="BB36" s="333">
        <f t="shared" si="69"/>
        <v>0</v>
      </c>
      <c r="BC36" s="63">
        <f>IF($BC$5="S 1",F36+I36+L36+O36+R36+U36,
IF($BC$5="S 2",X36+AA36+AD36+AG36+AJ36+AM36,0))</f>
        <v>127</v>
      </c>
      <c r="BD36" s="65">
        <f>IF($BC$5="S 1",G36+J36+M36+P36+S36+V36,
IF($BC$5="S 2",Y36+AB36+AE36+AH36+AK36+AN36,0))</f>
        <v>173</v>
      </c>
      <c r="BE36" s="333">
        <f t="shared" si="88"/>
        <v>1.3622047244094488</v>
      </c>
      <c r="BF36" s="63">
        <f>SUM(BF31:BF35)</f>
        <v>79</v>
      </c>
      <c r="BG36" s="63">
        <f>SUM(BG31:BG35)</f>
        <v>0</v>
      </c>
      <c r="BH36" s="333">
        <f t="shared" si="89"/>
        <v>0</v>
      </c>
      <c r="BI36" s="53">
        <v>0</v>
      </c>
      <c r="BK36" s="53">
        <v>23</v>
      </c>
      <c r="BL36" s="53">
        <v>27</v>
      </c>
      <c r="BM36" s="513">
        <v>1.1777777777777778</v>
      </c>
      <c r="BP36" s="53">
        <f t="shared" si="72"/>
        <v>92</v>
      </c>
      <c r="BQ36" s="53">
        <f t="shared" si="73"/>
        <v>67</v>
      </c>
    </row>
    <row r="37" spans="1:69" s="53" customFormat="1" ht="16" customHeight="1" x14ac:dyDescent="0.3">
      <c r="A37" s="53">
        <f>_xlfn.XLOOKUP(B37,'WHOLESALE MINI 2026'!$B$7:$B$63,'WHOLESALE MINI 2026'!$A$7:$A$63)</f>
        <v>6</v>
      </c>
      <c r="B37" s="8">
        <v>100348</v>
      </c>
      <c r="C37" s="369" t="s">
        <v>56</v>
      </c>
      <c r="D37" s="146"/>
      <c r="E37" s="309" t="s">
        <v>105</v>
      </c>
      <c r="F37" s="54">
        <f>SUMIF('UC MINI 2026'!$B$5:$B$71,'BEV MINI 2026'!$B37,'UC MINI 2026'!$F$5:$F$71)</f>
        <v>5</v>
      </c>
      <c r="G37" s="86">
        <f>IFERROR(INDEX([2]BEV!$S$10:$AF$68,
      MATCH(B37,[2]BEV!$S$10:$S$68,0),
      MATCH("ENERO",[2]BEV!$S$9:$AF$9,0)),
   0)-IF(B37=100873,
   IFERROR(VLOOKUP("ENERO",[2]BEV!$S$80:$T$93,2,0),
      0),
   0)</f>
        <v>8</v>
      </c>
      <c r="H37" s="243">
        <f t="shared" si="74"/>
        <v>1.6</v>
      </c>
      <c r="I37" s="54">
        <f>SUMIF('UC MINI 2026'!$B$5:$B$71,'BEV MINI 2026'!$B37,'UC MINI 2026'!$H$5:$H$71)</f>
        <v>5</v>
      </c>
      <c r="J37" s="86">
        <f>IFERROR(INDEX([2]BEV!$S$10:$AF$68,
      MATCH(B37,[2]BEV!$S$10:$S$68,0),
      MATCH("FEBRERO",[2]BEV!$S$9:$AF$9,0)),
   0)-IF(B37=100873,
   IFERROR(VLOOKUP("FEBRERO",[2]BEV!$S$80:$T$93,2,0),
      0),
   0)</f>
        <v>4</v>
      </c>
      <c r="K37" s="243">
        <f t="shared" si="75"/>
        <v>0.8</v>
      </c>
      <c r="L37" s="54">
        <f>SUMIF('UC MINI 2026'!$B$5:$B$71,'BEV MINI 2026'!$B37,'UC MINI 2026'!$J$5:$J$71)</f>
        <v>5</v>
      </c>
      <c r="M37" s="86">
        <f>IFERROR(INDEX([2]BEV!$S$10:$AF$68,
      MATCH(B37,[2]BEV!$S$10:$S$68,0),
      MATCH("MARZO",[2]BEV!$S$9:$AF$9,0)),
   0)-IF(B37=100873,
   IFERROR(VLOOKUP("MARZO",[2]BEV!$S$80:$T$93,2,0),
      0),
   0)</f>
        <v>6</v>
      </c>
      <c r="N37" s="297">
        <f t="shared" si="94"/>
        <v>1.2</v>
      </c>
      <c r="O37" s="54">
        <f>SUMIF('UC MINI 2026'!$B$5:$B$71,'BEV MINI 2026'!$B37,'UC MINI 2026'!$L$5:$L$71)</f>
        <v>5</v>
      </c>
      <c r="P37" s="86">
        <f>IFERROR(INDEX([2]BEV!$S$10:$AF$68,
      MATCH(B37,[2]BEV!$S$10:$S$68,0),
      MATCH("ABRIL",[2]BEV!$S$9:$AF$9,0)),
   0)-IF(B37=100873,
   IFERROR(VLOOKUP("ABRIL",[2]BEV!$S$80:$T$93,2,0),
      0),
   0)</f>
        <v>5</v>
      </c>
      <c r="Q37" s="243">
        <f t="shared" si="95"/>
        <v>1</v>
      </c>
      <c r="R37" s="54">
        <f>SUMIF('UC MINI 2026'!$B$5:$B$71,'BEV MINI 2026'!$B37,'UC MINI 2026'!$N$5:$N$71)</f>
        <v>5</v>
      </c>
      <c r="S37" s="86">
        <f>IFERROR(INDEX([2]BEV!$S$10:$AF$68,
      MATCH(B37,[2]BEV!$S$10:$S$68,0),
      MATCH("MAYO",[2]BEV!$S$9:$AF$9,0)),
   0)-IF(B37=100873,
   IFERROR(VLOOKUP("MAYO",[2]BEV!$S$80:$T$93,2,0),
      0),
   0)</f>
        <v>9</v>
      </c>
      <c r="T37" s="297">
        <f t="shared" si="96"/>
        <v>1.8</v>
      </c>
      <c r="U37" s="54">
        <f>SUMIF('UC MINI 2026'!$B$5:$B$71,'BEV MINI 2026'!$B37,'UC MINI 2026'!$P$5:$P$71)</f>
        <v>5</v>
      </c>
      <c r="V37" s="86">
        <f>IFERROR(INDEX([2]BEV!$S$10:$AF$68,
      MATCH(B37,[2]BEV!$S$10:$S$68,0),
      MATCH("JUNIO",[2]BEV!$S$9:$AF$9,0)),
   0)-IF(B37=100873,
   IFERROR(VLOOKUP("JUNIO",[2]BEV!$S$80:$T$93,2,0),
      0),
   0)</f>
        <v>7</v>
      </c>
      <c r="W37" s="243">
        <f t="shared" si="97"/>
        <v>1.4</v>
      </c>
      <c r="X37" s="54">
        <f>SUMIF('UC MINI 2026'!$B$5:$B$71,'BEV MINI 2026'!$B37,'UC MINI 2026'!$R$5:$R$71)</f>
        <v>0</v>
      </c>
      <c r="Y37" s="86">
        <f>IFERROR(INDEX([2]BEV!$S$10:$AF$68,
      MATCH(B37,[2]BEV!$S$10:$S$68,0),
      MATCH("JULIO",[2]BEV!$S$9:$AF$9,0)),
   0)-IF(B37=100873,
   IFERROR(VLOOKUP("JULIO",[2]BEV!$S$80:$T$93,2,0),
      0),
   0)</f>
        <v>0</v>
      </c>
      <c r="Z37" s="297">
        <f t="shared" si="98"/>
        <v>0</v>
      </c>
      <c r="AA37" s="54">
        <f>SUMIF('UC MINI 2026'!$B$5:$B$71,'BEV MINI 2026'!$B37,'UC MINI 2026'!$T$5:$T$71)</f>
        <v>0</v>
      </c>
      <c r="AB37" s="86">
        <f>IFERROR(INDEX([2]BEV!$S$10:$AF$68,
      MATCH(B37,[2]BEV!$S$10:$S$68,0),
      MATCH("AGOSTO",[2]BEV!$S$9:$AF$9,0)),
   0)-IF(B37=100873,
   IFERROR(VLOOKUP("AGOSTO",[2]BEV!$S$80:$T$93,2,0),
      0),
   0)</f>
        <v>0</v>
      </c>
      <c r="AC37" s="243">
        <f t="shared" si="99"/>
        <v>0</v>
      </c>
      <c r="AD37" s="54">
        <f>SUMIF('UC MINI 2026'!$B$5:$B$71,'BEV MINI 2026'!$B37,'UC MINI 2026'!$V$5:$V$71)</f>
        <v>0</v>
      </c>
      <c r="AE37" s="86">
        <f>IFERROR(INDEX([2]BEV!$S$10:$AF$68,
      MATCH(B37,[2]BEV!$S$10:$S$68,0),
      MATCH("SEPTIEMBRE",[2]BEV!$S$9:$AF$9,0)),
   0)-IF(B37=100873,
   IFERROR(VLOOKUP("SEPTIEMBRE",[2]BEV!$S$80:$T$93,2,0),
      0),
   0)</f>
        <v>0</v>
      </c>
      <c r="AF37" s="297">
        <f t="shared" si="100"/>
        <v>0</v>
      </c>
      <c r="AG37" s="54">
        <f>SUMIF('UC MINI 2026'!$B$5:$B$71,'BEV MINI 2026'!$B37,'UC MINI 2026'!$X$5:$X$71)</f>
        <v>0</v>
      </c>
      <c r="AH37" s="86">
        <f>IFERROR(INDEX([2]BEV!$S$10:$AF$68,
      MATCH(B37,[2]BEV!$S$10:$S$68,0),
      MATCH("OCTUBRE",[2]BEV!$S$9:$AF$9,0)),
   0)-IF(B37=100873,
   IFERROR(VLOOKUP("OCTUBRE",[2]BEV!$S$80:$T$93,2,0),
      0),
   0)</f>
        <v>0</v>
      </c>
      <c r="AI37" s="243">
        <f t="shared" si="101"/>
        <v>0</v>
      </c>
      <c r="AJ37" s="54">
        <f>SUMIF('UC MINI 2026'!$B$5:$B$71,'BEV MINI 2026'!$B37,'UC MINI 2026'!$Z$5:$Z$71)</f>
        <v>0</v>
      </c>
      <c r="AK37" s="86">
        <f>IFERROR(INDEX([2]BEV!$S$10:$AF$68,
      MATCH(B37,[2]BEV!$S$10:$S$68,0),
      MATCH("NOVIEMBRE",[2]BEV!$S$9:$AF$9,0)),
   0)-IF(B37=100873,
   IFERROR(VLOOKUP("NOVIEMBRE",[2]BEV!$S$80:$T$93,2,0),
      0),
   0)</f>
        <v>0</v>
      </c>
      <c r="AL37" s="297">
        <f t="shared" si="102"/>
        <v>0</v>
      </c>
      <c r="AM37" s="54">
        <f>SUMIF('UC MINI 2026'!$B$5:$B$71,'BEV MINI 2026'!$B37,'UC MINI 2026'!$AB$5:$AB$71)</f>
        <v>0</v>
      </c>
      <c r="AN37" s="86">
        <f>IFERROR(INDEX([2]BEV!$S$10:$AF$68,
      MATCH(B37,[2]BEV!$S$10:$S$68,0),
      MATCH("DICIEMBRE",[2]BEV!$S$9:$AF$9,0)),
   0)-IF(B37=100873,
   IFERROR(VLOOKUP("DICIEMBRE",[2]BEV!$S$80:$T$93,2,0),
      0),
   0)</f>
        <v>0</v>
      </c>
      <c r="AO37" s="243">
        <f t="shared" si="103"/>
        <v>0</v>
      </c>
      <c r="AP37" s="54">
        <f t="shared" ref="AP37:AQ41" si="104">IFERROR(IF($AP$4="ENERO",F37,IF($AP$4="FEBRERO",F37+I37,IF($AP$4="MARZO",F37+I37+L37,IF($AP$4="ABRIL",F37+I37+L37+O37,IF($AP$4="MAYO",F37+I37+L37+O37+R37,IF($AP$4="JUNIO",F37+I37+L37+O37+R37+U37,IF($AP$4="JULIO",F37+I37+L37+O37+R37+U37+X37,IF($AP$4="AGOSTO",F37+I37+L37+O37+R37+U37+X37+AA37,IF($AP$4="SEPTIEMBRE",F37+I37+L37+O37+R37+U37+X37+AA37+AD37,IF($AP$4="OCTUBRE",F37+I37+L37+O37+R37+U37+X37+AA37+AD37+AG37,IF($AP$4="NOVIEMBRE",F37+I37+L37+O37+R37+U37+X37+AA37+AD37+AG37+AJ37,IF($AP$4="DICIEMBRE",F37+I37+L37+O37+R37+U37+X37+AA37+AD37+AG37+AJ37+AM37,"")))))))))))),0)</f>
        <v>30</v>
      </c>
      <c r="AQ37" s="86">
        <f t="shared" si="104"/>
        <v>39</v>
      </c>
      <c r="AR37" s="149">
        <f t="shared" si="86"/>
        <v>1.3</v>
      </c>
      <c r="AS37" s="54">
        <f>IFERROR(F37+I37+L37+O37+R37+U37++X37+AA37+AD37+AG37+AJ37+AM37,0)</f>
        <v>30</v>
      </c>
      <c r="AT37" s="86">
        <f t="shared" si="14"/>
        <v>39</v>
      </c>
      <c r="AU37" s="149">
        <f t="shared" si="87"/>
        <v>1.3</v>
      </c>
      <c r="AV37" s="54">
        <f>IF($AV$5="Q1",F37+I37+L37,
IF($AV$5="Q2",O37+R37++U37,
IF($AV$5="Q3",X37+AA37+AD37,
IF($AV$5="Q4",AG37+AJ37+AM37,0))))</f>
        <v>15</v>
      </c>
      <c r="AW37" s="86">
        <f>IF($AV$5="Q1",G37+J37+M37,
IF($AV$5="Q2",P37+S37++V37,
IF($AV$5="Q3",Y37+AB37+AE37,
IF($AV$5="Q4",AH37+AK37+AN37,0))))</f>
        <v>18</v>
      </c>
      <c r="AX37" s="109">
        <f t="shared" si="68"/>
        <v>1.2</v>
      </c>
      <c r="AY37" s="86">
        <f>IFERROR(IF($AV$5="Q1",#REF!+#REF!+#REF!,
IF($AV$5="Q2",#REF!+#REF!++#REF!,
IF($AV$5="Q3",#REF!+#REF!+#REF!,
IF($AV$5="Q4",#REF!+#REF!+#REF!,0)))),0)</f>
        <v>0</v>
      </c>
      <c r="AZ37" s="297">
        <f>IF(AW37=0,"N.D.",AY37/AW37)</f>
        <v>0</v>
      </c>
      <c r="BA37" s="348">
        <f>IFERROR(IF($AV$5="Q1",#REF!+#REF!+#REF!,
IF($AV$5="Q2",#REF!+#REF!+#REF!,
IF($AV$5="Q3",#REF!+#REF!+#REF!,
IF($AV$5="Q4",#REF!+#REF!+#REF!,0)))),0)</f>
        <v>0</v>
      </c>
      <c r="BB37" s="150">
        <f t="shared" si="69"/>
        <v>0</v>
      </c>
      <c r="BC37" s="54">
        <f t="shared" ref="BC37:BD41" si="105">IFERROR(IF($BC$5="S 1",F37+I37+L37+O37+R37+U37,
IF($BC$5="S 2",X37+AA37+AD37+AG37+AJ37+AM37,0)),0)</f>
        <v>30</v>
      </c>
      <c r="BD37" s="86">
        <f t="shared" si="105"/>
        <v>39</v>
      </c>
      <c r="BE37" s="150">
        <f t="shared" si="88"/>
        <v>1.3</v>
      </c>
      <c r="BF37" s="54">
        <f t="shared" ref="BF37:BG41" si="106">IFERROR(IF($BF$5="S 1",F37+I37+L37+O37+R37+U37,
IF($BF$5="S 2",X37+AA37+AD37+AG37+AJ37+AM37,0)),0)</f>
        <v>0</v>
      </c>
      <c r="BG37" s="79">
        <f t="shared" si="106"/>
        <v>0</v>
      </c>
      <c r="BH37" s="150">
        <f t="shared" si="89"/>
        <v>0</v>
      </c>
      <c r="BI37" s="53">
        <v>1</v>
      </c>
      <c r="BK37" s="53">
        <v>22</v>
      </c>
      <c r="BL37" s="53">
        <v>25</v>
      </c>
      <c r="BM37" s="513">
        <v>1.1666666666666667</v>
      </c>
      <c r="BP37" s="53">
        <f t="shared" si="72"/>
        <v>21</v>
      </c>
      <c r="BQ37" s="53">
        <f t="shared" si="73"/>
        <v>15</v>
      </c>
    </row>
    <row r="38" spans="1:69" s="53" customFormat="1" ht="16" customHeight="1" x14ac:dyDescent="0.3">
      <c r="A38" s="53">
        <f>_xlfn.XLOOKUP(B38,'WHOLESALE MINI 2026'!$B$7:$B$63,'WHOLESALE MINI 2026'!$A$7:$A$63)</f>
        <v>6</v>
      </c>
      <c r="B38" s="8">
        <v>100585</v>
      </c>
      <c r="C38" s="369" t="s">
        <v>58</v>
      </c>
      <c r="D38" s="146"/>
      <c r="E38" s="309" t="s">
        <v>87</v>
      </c>
      <c r="F38" s="54">
        <f>SUMIF('UC MINI 2026'!$B$5:$B$71,'BEV MINI 2026'!$B38,'UC MINI 2026'!$F$5:$F$71)</f>
        <v>0</v>
      </c>
      <c r="G38" s="86">
        <f>IFERROR(INDEX([2]BEV!$S$10:$AF$68,
      MATCH(B38,[2]BEV!$S$10:$S$68,0),
      MATCH("ENERO",[2]BEV!$S$9:$AF$9,0)),
   0)-IF(B38=100873,
   IFERROR(VLOOKUP("ENERO",[2]BEV!$S$80:$T$93,2,0),
      0),
   0)</f>
        <v>0</v>
      </c>
      <c r="H38" s="243">
        <f t="shared" si="74"/>
        <v>0</v>
      </c>
      <c r="I38" s="54">
        <f>SUMIF('UC MINI 2026'!$B$5:$B$71,'BEV MINI 2026'!$B38,'UC MINI 2026'!$H$5:$H$71)</f>
        <v>0</v>
      </c>
      <c r="J38" s="86">
        <f>IFERROR(INDEX([2]BEV!$S$10:$AF$68,
      MATCH(B38,[2]BEV!$S$10:$S$68,0),
      MATCH("FEBRERO",[2]BEV!$S$9:$AF$9,0)),
   0)-IF(B38=100873,
   IFERROR(VLOOKUP("FEBRERO",[2]BEV!$S$80:$T$93,2,0),
      0),
   0)</f>
        <v>0</v>
      </c>
      <c r="K38" s="243">
        <f t="shared" si="75"/>
        <v>0</v>
      </c>
      <c r="L38" s="54">
        <f>SUMIF('UC MINI 2026'!$B$5:$B$71,'BEV MINI 2026'!$B38,'UC MINI 2026'!$J$5:$J$71)</f>
        <v>0</v>
      </c>
      <c r="M38" s="86">
        <f>IFERROR(INDEX([2]BEV!$S$10:$AF$68,
      MATCH(B38,[2]BEV!$S$10:$S$68,0),
      MATCH("MARZO",[2]BEV!$S$9:$AF$9,0)),
   0)-IF(B38=100873,
   IFERROR(VLOOKUP("MARZO",[2]BEV!$S$80:$T$93,2,0),
      0),
   0)</f>
        <v>0</v>
      </c>
      <c r="N38" s="297">
        <f t="shared" si="94"/>
        <v>0</v>
      </c>
      <c r="O38" s="54">
        <f>SUMIF('UC MINI 2026'!$B$5:$B$71,'BEV MINI 2026'!$B38,'UC MINI 2026'!$L$5:$L$71)</f>
        <v>0</v>
      </c>
      <c r="P38" s="86">
        <f>IFERROR(INDEX([2]BEV!$S$10:$AF$68,
      MATCH(B38,[2]BEV!$S$10:$S$68,0),
      MATCH("ABRIL",[2]BEV!$S$9:$AF$9,0)),
   0)-IF(B38=100873,
   IFERROR(VLOOKUP("ABRIL",[2]BEV!$S$80:$T$93,2,0),
      0),
   0)</f>
        <v>0</v>
      </c>
      <c r="Q38" s="243">
        <f t="shared" si="95"/>
        <v>0</v>
      </c>
      <c r="R38" s="54">
        <f>SUMIF('UC MINI 2026'!$B$5:$B$71,'BEV MINI 2026'!$B38,'UC MINI 2026'!$N$5:$N$71)</f>
        <v>0</v>
      </c>
      <c r="S38" s="86">
        <f>IFERROR(INDEX([2]BEV!$S$10:$AF$68,
      MATCH(B38,[2]BEV!$S$10:$S$68,0),
      MATCH("MAYO",[2]BEV!$S$9:$AF$9,0)),
   0)-IF(B38=100873,
   IFERROR(VLOOKUP("MAYO",[2]BEV!$S$80:$T$93,2,0),
      0),
   0)</f>
        <v>0</v>
      </c>
      <c r="T38" s="297">
        <f t="shared" si="96"/>
        <v>0</v>
      </c>
      <c r="U38" s="54">
        <f>SUMIF('UC MINI 2026'!$B$5:$B$71,'BEV MINI 2026'!$B38,'UC MINI 2026'!$P$5:$P$71)</f>
        <v>0</v>
      </c>
      <c r="V38" s="86">
        <f>IFERROR(INDEX([2]BEV!$S$10:$AF$68,
      MATCH(B38,[2]BEV!$S$10:$S$68,0),
      MATCH("JUNIO",[2]BEV!$S$9:$AF$9,0)),
   0)-IF(B38=100873,
   IFERROR(VLOOKUP("JUNIO",[2]BEV!$S$80:$T$93,2,0),
      0),
   0)</f>
        <v>0</v>
      </c>
      <c r="W38" s="243">
        <f t="shared" si="97"/>
        <v>0</v>
      </c>
      <c r="X38" s="54">
        <f>SUMIF('UC MINI 2026'!$B$5:$B$71,'BEV MINI 2026'!$B38,'UC MINI 2026'!$R$5:$R$71)</f>
        <v>1</v>
      </c>
      <c r="Y38" s="86">
        <f>IFERROR(INDEX([2]BEV!$S$10:$AF$68,
      MATCH(B38,[2]BEV!$S$10:$S$68,0),
      MATCH("JULIO",[2]BEV!$S$9:$AF$9,0)),
   0)-IF(B38=100873,
   IFERROR(VLOOKUP("JULIO",[2]BEV!$S$80:$T$93,2,0),
      0),
   0)</f>
        <v>0</v>
      </c>
      <c r="Z38" s="297">
        <f t="shared" si="98"/>
        <v>0</v>
      </c>
      <c r="AA38" s="54">
        <f>SUMIF('UC MINI 2026'!$B$5:$B$71,'BEV MINI 2026'!$B38,'UC MINI 2026'!$T$5:$T$71)</f>
        <v>1</v>
      </c>
      <c r="AB38" s="86">
        <f>IFERROR(INDEX([2]BEV!$S$10:$AF$68,
      MATCH(B38,[2]BEV!$S$10:$S$68,0),
      MATCH("AGOSTO",[2]BEV!$S$9:$AF$9,0)),
   0)-IF(B38=100873,
   IFERROR(VLOOKUP("AGOSTO",[2]BEV!$S$80:$T$93,2,0),
      0),
   0)</f>
        <v>0</v>
      </c>
      <c r="AC38" s="243">
        <f t="shared" si="99"/>
        <v>0</v>
      </c>
      <c r="AD38" s="54">
        <f>SUMIF('UC MINI 2026'!$B$5:$B$71,'BEV MINI 2026'!$B38,'UC MINI 2026'!$V$5:$V$71)</f>
        <v>1</v>
      </c>
      <c r="AE38" s="86">
        <f>IFERROR(INDEX([2]BEV!$S$10:$AF$68,
      MATCH(B38,[2]BEV!$S$10:$S$68,0),
      MATCH("SEPTIEMBRE",[2]BEV!$S$9:$AF$9,0)),
   0)-IF(B38=100873,
   IFERROR(VLOOKUP("SEPTIEMBRE",[2]BEV!$S$80:$T$93,2,0),
      0),
   0)</f>
        <v>0</v>
      </c>
      <c r="AF38" s="297">
        <f t="shared" si="100"/>
        <v>0</v>
      </c>
      <c r="AG38" s="54">
        <f>SUMIF('UC MINI 2026'!$B$5:$B$71,'BEV MINI 2026'!$B38,'UC MINI 2026'!$X$5:$X$71)</f>
        <v>1</v>
      </c>
      <c r="AH38" s="86">
        <f>IFERROR(INDEX([2]BEV!$S$10:$AF$68,
      MATCH(B38,[2]BEV!$S$10:$S$68,0),
      MATCH("OCTUBRE",[2]BEV!$S$9:$AF$9,0)),
   0)-IF(B38=100873,
   IFERROR(VLOOKUP("OCTUBRE",[2]BEV!$S$80:$T$93,2,0),
      0),
   0)</f>
        <v>0</v>
      </c>
      <c r="AI38" s="243">
        <f t="shared" si="101"/>
        <v>0</v>
      </c>
      <c r="AJ38" s="54">
        <f>SUMIF('UC MINI 2026'!$B$5:$B$71,'BEV MINI 2026'!$B38,'UC MINI 2026'!$Z$5:$Z$71)</f>
        <v>1</v>
      </c>
      <c r="AK38" s="86">
        <f>IFERROR(INDEX([2]BEV!$S$10:$AF$68,
      MATCH(B38,[2]BEV!$S$10:$S$68,0),
      MATCH("NOVIEMBRE",[2]BEV!$S$9:$AF$9,0)),
   0)-IF(B38=100873,
   IFERROR(VLOOKUP("NOVIEMBRE",[2]BEV!$S$80:$T$93,2,0),
      0),
   0)</f>
        <v>0</v>
      </c>
      <c r="AL38" s="297">
        <f t="shared" si="102"/>
        <v>0</v>
      </c>
      <c r="AM38" s="54">
        <f>SUMIF('UC MINI 2026'!$B$5:$B$71,'BEV MINI 2026'!$B38,'UC MINI 2026'!$AB$5:$AB$71)</f>
        <v>1</v>
      </c>
      <c r="AN38" s="86">
        <f>IFERROR(INDEX([2]BEV!$S$10:$AF$68,
      MATCH(B38,[2]BEV!$S$10:$S$68,0),
      MATCH("DICIEMBRE",[2]BEV!$S$9:$AF$9,0)),
   0)-IF(B38=100873,
   IFERROR(VLOOKUP("DICIEMBRE",[2]BEV!$S$80:$T$93,2,0),
      0),
   0)</f>
        <v>0</v>
      </c>
      <c r="AO38" s="243">
        <f t="shared" si="103"/>
        <v>0</v>
      </c>
      <c r="AP38" s="54">
        <f>IFERROR(IF($AP$4="ENERO",F38,IF($AP$4="FEBRERO",F38+I38,IF($AP$4="MARZO",F38+I38+L38,IF($AP$4="ABRIL",F38+I38+L38+O38,IF($AP$4="MAYO",F38+I38+L38+O38+R38,IF($AP$4="JUNIO",F38+I38+L38+O38+R38+U38,IF($AP$4="JULIO",F38+I38+L38+O38+R38+U38+X38,IF($AP$4="AGOSTO",F38+I38+L38+O38+R38+U38+X38+AA38,IF($AP$4="SEPTIEMBRE",F38+I38+L38+O38+R38+U38+X38+AA38+AD38,IF($AP$4="OCTUBRE",F38+I38+L38+O38+R38+U38+X38+AA38+AD38+AG38,IF($AP$4="NOVIEMBRE",F38+I38+L38+O38+R38+U38+X38+AA38+AD38+AG38+AJ38,IF($AP$4="DICIEMBRE",F38+I38+L38+O38+R38+U38+X38+AA38+AD38+AG38+AJ38+AM38,"")))))))))))),0)</f>
        <v>0</v>
      </c>
      <c r="AQ38" s="86">
        <f>IFERROR(IF($AP$4="ENERO",G38,IF($AP$4="FEBRERO",G38+J38,IF($AP$4="MARZO",G38+J38+M38,IF($AP$4="ABRIL",G38+J38+M38+P38,IF($AP$4="MAYO",G38+J38+M38+P38+S38,IF($AP$4="JUNIO",G38+J38+M38+P38+S38+V38,IF($AP$4="JULIO",G38+J38+M38+P38+S38+V38+Y38,IF($AP$4="AGOSTO",G38+J38+M38+P38+S38+V38+Y38+AB38,IF($AP$4="SEPTIEMBRE",G38+J38+M38+P38+S38+V38+Y38+AB38+AE38,IF($AP$4="OCTUBRE",G38+J38+M38+P38+S38+V38+Y38+AB38+AE38+AH38,IF($AP$4="NOVIEMBRE",G38+J38+M38+P38+S38+V38+Y38+AB38+AE38+AH38+AK38,IF($AP$4="DICIEMBRE",G38+J38+M38+P38+S38+V38+Y38+AB38+AE38+AH38+AK38+AN38,"")))))))))))),0)</f>
        <v>0</v>
      </c>
      <c r="AR38" s="149">
        <f t="shared" si="86"/>
        <v>0</v>
      </c>
      <c r="AS38" s="54">
        <f>IFERROR(F38+I38+L38+O38+R38+U38++X38+AA38+AD38+AG38+AJ38+AM38,0)</f>
        <v>6</v>
      </c>
      <c r="AT38" s="86">
        <f>IFERROR(G38+J38+M38+P38+S38+V38++Y38+AB38+AE38+AH38+AK38+AN38,0)</f>
        <v>0</v>
      </c>
      <c r="AU38" s="149">
        <f t="shared" si="87"/>
        <v>0</v>
      </c>
      <c r="AV38" s="54">
        <f>IF($AV$5="Q1",F38+I38+L38,
IF($AV$5="Q2",O38+R38++U38,
IF($AV$5="Q3",X38+AA38+AD38,
IF($AV$5="Q4",AG38+AJ38+AM38,0))))</f>
        <v>0</v>
      </c>
      <c r="AW38" s="86">
        <f>IF($AV$5="Q1",G38+J38+M38,
IF($AV$5="Q2",P38+S38++V38,
IF($AV$5="Q3",Y38+AB38+AE38,
IF($AV$5="Q4",AH38+AK38+AN38,0))))</f>
        <v>0</v>
      </c>
      <c r="AX38" s="109">
        <f t="shared" si="68"/>
        <v>0</v>
      </c>
      <c r="AY38" s="86">
        <f>IFERROR(IF($AV$5="Q1",#REF!+#REF!+#REF!,
IF($AV$5="Q2",#REF!+#REF!++#REF!,
IF($AV$5="Q3",#REF!+#REF!+#REF!,
IF($AV$5="Q4",#REF!+#REF!+#REF!,0)))),0)</f>
        <v>0</v>
      </c>
      <c r="AZ38" s="297" t="str">
        <f>IF(AW38=0,"N.D.",AY38/AW38)</f>
        <v>N.D.</v>
      </c>
      <c r="BA38" s="348">
        <f>IFERROR(IF($AV$5="Q1",#REF!+#REF!+#REF!,
IF($AV$5="Q2",#REF!+#REF!+#REF!,
IF($AV$5="Q3",#REF!+#REF!+#REF!,
IF($AV$5="Q4",#REF!+#REF!+#REF!,0)))),0)</f>
        <v>0</v>
      </c>
      <c r="BB38" s="150">
        <f t="shared" si="69"/>
        <v>0</v>
      </c>
      <c r="BC38" s="54">
        <f>IFERROR(IF($BC$5="S 1",F38+I38+L38+O38+R38+U38,
IF($BC$5="S 2",X38+AA38+AD38+AG38+AJ38+AM38,0)),0)</f>
        <v>0</v>
      </c>
      <c r="BD38" s="86">
        <f>IFERROR(IF($BC$5="S 1",G38+J38+M38+P38+S38+V38,
IF($BC$5="S 2",Y38+AB38+AE38+AH38+AK38+AN38,0)),0)</f>
        <v>0</v>
      </c>
      <c r="BE38" s="150">
        <f t="shared" si="88"/>
        <v>0</v>
      </c>
      <c r="BF38" s="54">
        <f>IFERROR(IF($BF$5="S 1",F38+I38+L38+O38+R38+U38,
IF($BF$5="S 2",X38+AA38+AD38+AG38+AJ38+AM38,0)),0)</f>
        <v>6</v>
      </c>
      <c r="BG38" s="79">
        <f>IFERROR(IF($BF$5="S 1",G38+J38+M38+P38+S38+V38,
IF($BF$5="S 2",Y38+AB38+AE38+AH38+AK38+AN38,0)),0)</f>
        <v>0</v>
      </c>
      <c r="BH38" s="150">
        <f t="shared" si="89"/>
        <v>0</v>
      </c>
      <c r="BK38" s="53">
        <v>20</v>
      </c>
      <c r="BL38" s="53">
        <v>21</v>
      </c>
      <c r="BM38" s="513">
        <v>1.1666666666666667</v>
      </c>
    </row>
    <row r="39" spans="1:69" s="53" customFormat="1" ht="16" customHeight="1" x14ac:dyDescent="0.3">
      <c r="A39" s="53">
        <f>_xlfn.XLOOKUP(B39,'WHOLESALE MINI 2026'!$B$7:$B$63,'WHOLESALE MINI 2026'!$A$7:$A$63)</f>
        <v>6</v>
      </c>
      <c r="B39" s="8">
        <v>100727</v>
      </c>
      <c r="C39" s="369" t="s">
        <v>21</v>
      </c>
      <c r="D39" s="146"/>
      <c r="E39" s="309" t="s">
        <v>93</v>
      </c>
      <c r="F39" s="54">
        <f>SUMIF('UC MINI 2026'!$B$5:$B$71,'BEV MINI 2026'!$B39,'UC MINI 2026'!$F$5:$F$71)</f>
        <v>2</v>
      </c>
      <c r="G39" s="86">
        <f>IFERROR(INDEX([2]BEV!$S$10:$AF$68,
      MATCH(B39,[2]BEV!$S$10:$S$68,0),
      MATCH("ENERO",[2]BEV!$S$9:$AF$9,0)),
   0)-IF(B39=100873,
   IFERROR(VLOOKUP("ENERO",[2]BEV!$S$80:$T$93,2,0),
      0),
   0)</f>
        <v>4</v>
      </c>
      <c r="H39" s="243">
        <f t="shared" ref="H39:H44" si="107">IFERROR(G39/F39,0)</f>
        <v>2</v>
      </c>
      <c r="I39" s="54">
        <f>SUMIF('UC MINI 2026'!$B$5:$B$71,'BEV MINI 2026'!$B39,'UC MINI 2026'!$H$5:$H$71)</f>
        <v>2</v>
      </c>
      <c r="J39" s="86">
        <f>IFERROR(INDEX([2]BEV!$S$10:$AF$68,
      MATCH(B39,[2]BEV!$S$10:$S$68,0),
      MATCH("FEBRERO",[2]BEV!$S$9:$AF$9,0)),
   0)-IF(B39=100873,
   IFERROR(VLOOKUP("FEBRERO",[2]BEV!$S$80:$T$93,2,0),
      0),
   0)</f>
        <v>5</v>
      </c>
      <c r="K39" s="243">
        <f t="shared" ref="K39:K44" si="108">IFERROR(J39/I39,0)</f>
        <v>2.5</v>
      </c>
      <c r="L39" s="54">
        <f>SUMIF('UC MINI 2026'!$B$5:$B$71,'BEV MINI 2026'!$B39,'UC MINI 2026'!$J$5:$J$71)</f>
        <v>3</v>
      </c>
      <c r="M39" s="86">
        <f>IFERROR(INDEX([2]BEV!$S$10:$AF$68,
      MATCH(B39,[2]BEV!$S$10:$S$68,0),
      MATCH("MARZO",[2]BEV!$S$9:$AF$9,0)),
   0)-IF(B39=100873,
   IFERROR(VLOOKUP("MARZO",[2]BEV!$S$80:$T$93,2,0),
      0),
   0)</f>
        <v>1</v>
      </c>
      <c r="N39" s="297">
        <f t="shared" si="94"/>
        <v>0.33333333333333331</v>
      </c>
      <c r="O39" s="54">
        <f>SUMIF('UC MINI 2026'!$B$5:$B$71,'BEV MINI 2026'!$B39,'UC MINI 2026'!$L$5:$L$71)</f>
        <v>2</v>
      </c>
      <c r="P39" s="86">
        <f>IFERROR(INDEX([2]BEV!$S$10:$AF$68,
      MATCH(B39,[2]BEV!$S$10:$S$68,0),
      MATCH("ABRIL",[2]BEV!$S$9:$AF$9,0)),
   0)-IF(B39=100873,
   IFERROR(VLOOKUP("ABRIL",[2]BEV!$S$80:$T$93,2,0),
      0),
   0)</f>
        <v>2</v>
      </c>
      <c r="Q39" s="243">
        <f t="shared" si="95"/>
        <v>1</v>
      </c>
      <c r="R39" s="54">
        <f>SUMIF('UC MINI 2026'!$B$5:$B$71,'BEV MINI 2026'!$B39,'UC MINI 2026'!$N$5:$N$71)</f>
        <v>3</v>
      </c>
      <c r="S39" s="86">
        <f>IFERROR(INDEX([2]BEV!$S$10:$AF$68,
      MATCH(B39,[2]BEV!$S$10:$S$68,0),
      MATCH("MAYO",[2]BEV!$S$9:$AF$9,0)),
   0)-IF(B39=100873,
   IFERROR(VLOOKUP("MAYO",[2]BEV!$S$80:$T$93,2,0),
      0),
   0)</f>
        <v>4</v>
      </c>
      <c r="T39" s="297">
        <f t="shared" si="96"/>
        <v>1.3333333333333333</v>
      </c>
      <c r="U39" s="54">
        <f>SUMIF('UC MINI 2026'!$B$5:$B$71,'BEV MINI 2026'!$B39,'UC MINI 2026'!$P$5:$P$71)</f>
        <v>3</v>
      </c>
      <c r="V39" s="86">
        <f>IFERROR(INDEX([2]BEV!$S$10:$AF$68,
      MATCH(B39,[2]BEV!$S$10:$S$68,0),
      MATCH("JUNIO",[2]BEV!$S$9:$AF$9,0)),
   0)-IF(B39=100873,
   IFERROR(VLOOKUP("JUNIO",[2]BEV!$S$80:$T$93,2,0),
      0),
   0)</f>
        <v>1</v>
      </c>
      <c r="W39" s="243">
        <f t="shared" si="97"/>
        <v>0.33333333333333331</v>
      </c>
      <c r="X39" s="54">
        <f>SUMIF('UC MINI 2026'!$B$5:$B$71,'BEV MINI 2026'!$B39,'UC MINI 2026'!$R$5:$R$71)</f>
        <v>0</v>
      </c>
      <c r="Y39" s="86">
        <f>IFERROR(INDEX([2]BEV!$S$10:$AF$68,
      MATCH(B39,[2]BEV!$S$10:$S$68,0),
      MATCH("JULIO",[2]BEV!$S$9:$AF$9,0)),
   0)-IF(B39=100873,
   IFERROR(VLOOKUP("JULIO",[2]BEV!$S$80:$T$93,2,0),
      0),
   0)</f>
        <v>0</v>
      </c>
      <c r="Z39" s="297">
        <f t="shared" si="98"/>
        <v>0</v>
      </c>
      <c r="AA39" s="54">
        <f>SUMIF('UC MINI 2026'!$B$5:$B$71,'BEV MINI 2026'!$B39,'UC MINI 2026'!$T$5:$T$71)</f>
        <v>0</v>
      </c>
      <c r="AB39" s="86">
        <f>IFERROR(INDEX([2]BEV!$S$10:$AF$68,
      MATCH(B39,[2]BEV!$S$10:$S$68,0),
      MATCH("AGOSTO",[2]BEV!$S$9:$AF$9,0)),
   0)-IF(B39=100873,
   IFERROR(VLOOKUP("AGOSTO",[2]BEV!$S$80:$T$93,2,0),
      0),
   0)</f>
        <v>0</v>
      </c>
      <c r="AC39" s="243">
        <f t="shared" si="99"/>
        <v>0</v>
      </c>
      <c r="AD39" s="54">
        <f>SUMIF('UC MINI 2026'!$B$5:$B$71,'BEV MINI 2026'!$B39,'UC MINI 2026'!$V$5:$V$71)</f>
        <v>0</v>
      </c>
      <c r="AE39" s="86">
        <f>IFERROR(INDEX([2]BEV!$S$10:$AF$68,
      MATCH(B39,[2]BEV!$S$10:$S$68,0),
      MATCH("SEPTIEMBRE",[2]BEV!$S$9:$AF$9,0)),
   0)-IF(B39=100873,
   IFERROR(VLOOKUP("SEPTIEMBRE",[2]BEV!$S$80:$T$93,2,0),
      0),
   0)</f>
        <v>0</v>
      </c>
      <c r="AF39" s="297">
        <f t="shared" si="100"/>
        <v>0</v>
      </c>
      <c r="AG39" s="54">
        <f>SUMIF('UC MINI 2026'!$B$5:$B$71,'BEV MINI 2026'!$B39,'UC MINI 2026'!$X$5:$X$71)</f>
        <v>0</v>
      </c>
      <c r="AH39" s="86">
        <f>IFERROR(INDEX([2]BEV!$S$10:$AF$68,
      MATCH(B39,[2]BEV!$S$10:$S$68,0),
      MATCH("OCTUBRE",[2]BEV!$S$9:$AF$9,0)),
   0)-IF(B39=100873,
   IFERROR(VLOOKUP("OCTUBRE",[2]BEV!$S$80:$T$93,2,0),
      0),
   0)</f>
        <v>0</v>
      </c>
      <c r="AI39" s="243">
        <f t="shared" si="101"/>
        <v>0</v>
      </c>
      <c r="AJ39" s="54">
        <f>SUMIF('UC MINI 2026'!$B$5:$B$71,'BEV MINI 2026'!$B39,'UC MINI 2026'!$Z$5:$Z$71)</f>
        <v>0</v>
      </c>
      <c r="AK39" s="86">
        <f>IFERROR(INDEX([2]BEV!$S$10:$AF$68,
      MATCH(B39,[2]BEV!$S$10:$S$68,0),
      MATCH("NOVIEMBRE",[2]BEV!$S$9:$AF$9,0)),
   0)-IF(B39=100873,
   IFERROR(VLOOKUP("NOVIEMBRE",[2]BEV!$S$80:$T$93,2,0),
      0),
   0)</f>
        <v>0</v>
      </c>
      <c r="AL39" s="297">
        <f t="shared" si="102"/>
        <v>0</v>
      </c>
      <c r="AM39" s="54">
        <f>SUMIF('UC MINI 2026'!$B$5:$B$71,'BEV MINI 2026'!$B39,'UC MINI 2026'!$AB$5:$AB$71)</f>
        <v>0</v>
      </c>
      <c r="AN39" s="86">
        <f>IFERROR(INDEX([2]BEV!$S$10:$AF$68,
      MATCH(B39,[2]BEV!$S$10:$S$68,0),
      MATCH("DICIEMBRE",[2]BEV!$S$9:$AF$9,0)),
   0)-IF(B39=100873,
   IFERROR(VLOOKUP("DICIEMBRE",[2]BEV!$S$80:$T$93,2,0),
      0),
   0)</f>
        <v>0</v>
      </c>
      <c r="AO39" s="243">
        <f t="shared" si="103"/>
        <v>0</v>
      </c>
      <c r="AP39" s="67">
        <f t="shared" si="104"/>
        <v>15</v>
      </c>
      <c r="AQ39" s="68">
        <f t="shared" si="104"/>
        <v>17</v>
      </c>
      <c r="AR39" s="149">
        <f t="shared" ref="AR39:AR44" si="109">IFERROR((AQ39/AP39),0)</f>
        <v>1.1333333333333333</v>
      </c>
      <c r="AS39" s="67">
        <f>IFERROR(F39+I39+L39+O39+R39+U39++X39+AA39+AD39+AG39+AJ39+AM39,0)</f>
        <v>15</v>
      </c>
      <c r="AT39" s="86">
        <f t="shared" si="14"/>
        <v>17</v>
      </c>
      <c r="AU39" s="149">
        <f t="shared" ref="AU39:AU44" si="110">IFERROR((AT39/AS39),0)</f>
        <v>1.1333333333333333</v>
      </c>
      <c r="AV39" s="54">
        <f t="shared" ref="AV39:AW41" si="111">IF($AV$5="Q1",F39+I39+L39,
IF($AV$5="Q2",O39+R39++U39,
IF($AV$5="Q3",X39+AA39+AD39,
IF($AV$5="Q4",AG39+AJ39+AM39,0))))</f>
        <v>7</v>
      </c>
      <c r="AW39" s="86">
        <f t="shared" si="111"/>
        <v>10</v>
      </c>
      <c r="AX39" s="109">
        <f t="shared" ref="AX39:AX44" si="112">IFERROR((AW39/AV39),0)</f>
        <v>1.4285714285714286</v>
      </c>
      <c r="AY39" s="68">
        <f>IFERROR(IF($AV$5="Q1",#REF!+#REF!+#REF!,
IF($AV$5="Q2",#REF!+#REF!++#REF!,
IF($AV$5="Q3",#REF!+#REF!+#REF!,
IF($AV$5="Q4",#REF!+#REF!+#REF!,0)))),0)</f>
        <v>0</v>
      </c>
      <c r="AZ39" s="297">
        <f>IF(AW39=0,"N.D.",AY39/AW39)</f>
        <v>0</v>
      </c>
      <c r="BA39" s="350">
        <f>IFERROR(IF($AV$5="Q1",#REF!+#REF!+#REF!,
IF($AV$5="Q2",#REF!+#REF!+#REF!,
IF($AV$5="Q3",#REF!+#REF!+#REF!,
IF($AV$5="Q4",#REF!+#REF!+#REF!,0)))),0)</f>
        <v>0</v>
      </c>
      <c r="BB39" s="150">
        <f t="shared" ref="BB39:BB44" si="113">IFERROR((BA39/AV39),0)</f>
        <v>0</v>
      </c>
      <c r="BC39" s="67">
        <f t="shared" si="105"/>
        <v>15</v>
      </c>
      <c r="BD39" s="68">
        <f t="shared" si="105"/>
        <v>17</v>
      </c>
      <c r="BE39" s="150">
        <f t="shared" ref="BE39:BE44" si="114">IFERROR((BD39/BC39),0)</f>
        <v>1.1333333333333333</v>
      </c>
      <c r="BF39" s="67">
        <f t="shared" si="106"/>
        <v>0</v>
      </c>
      <c r="BG39" s="266">
        <f t="shared" si="106"/>
        <v>0</v>
      </c>
      <c r="BH39" s="150">
        <f t="shared" ref="BH39:BH44" si="115">IFERROR((BG39/BF39),0)</f>
        <v>0</v>
      </c>
      <c r="BI39" s="53">
        <v>1</v>
      </c>
      <c r="BK39" s="53">
        <v>20</v>
      </c>
      <c r="BL39" s="53">
        <v>21</v>
      </c>
      <c r="BM39" s="513">
        <v>1.1333333333333333</v>
      </c>
      <c r="BP39" s="53">
        <f t="shared" ref="BP39:BP44" si="116">SUM(V39,S39,P39)</f>
        <v>7</v>
      </c>
      <c r="BQ39" s="53">
        <f t="shared" ref="BQ39:BQ44" si="117">SUM(U39,R39,O39)</f>
        <v>8</v>
      </c>
    </row>
    <row r="40" spans="1:69" s="53" customFormat="1" ht="16" customHeight="1" x14ac:dyDescent="0.3">
      <c r="A40" s="53">
        <f>_xlfn.XLOOKUP(B40,'WHOLESALE MINI 2026'!$B$7:$B$63,'WHOLESALE MINI 2026'!$A$7:$A$63)</f>
        <v>6</v>
      </c>
      <c r="B40" s="8">
        <v>100728</v>
      </c>
      <c r="C40" s="369" t="s">
        <v>24</v>
      </c>
      <c r="D40" s="146"/>
      <c r="E40" s="309" t="s">
        <v>94</v>
      </c>
      <c r="F40" s="54">
        <f>SUMIF('UC MINI 2026'!$B$5:$B$71,'BEV MINI 2026'!$B40,'UC MINI 2026'!$F$5:$F$71)</f>
        <v>9</v>
      </c>
      <c r="G40" s="86">
        <f>IFERROR(INDEX([2]BEV!$S$10:$AF$68,
      MATCH(B40,[2]BEV!$S$10:$S$68,0),
      MATCH("ENERO",[2]BEV!$S$9:$AF$9,0)),
   0)-IF(B40=100873,
   IFERROR(VLOOKUP("ENERO",[2]BEV!$S$80:$T$93,2,0),
      0),
   0)</f>
        <v>6</v>
      </c>
      <c r="H40" s="243">
        <f t="shared" si="107"/>
        <v>0.66666666666666663</v>
      </c>
      <c r="I40" s="54">
        <f>SUMIF('UC MINI 2026'!$B$5:$B$71,'BEV MINI 2026'!$B40,'UC MINI 2026'!$H$5:$H$71)</f>
        <v>9</v>
      </c>
      <c r="J40" s="86">
        <f>IFERROR(INDEX([2]BEV!$S$10:$AF$68,
      MATCH(B40,[2]BEV!$S$10:$S$68,0),
      MATCH("FEBRERO",[2]BEV!$S$9:$AF$9,0)),
   0)-IF(B40=100873,
   IFERROR(VLOOKUP("FEBRERO",[2]BEV!$S$80:$T$93,2,0),
      0),
   0)</f>
        <v>20</v>
      </c>
      <c r="K40" s="243">
        <f t="shared" si="108"/>
        <v>2.2222222222222223</v>
      </c>
      <c r="L40" s="54">
        <f>SUMIF('UC MINI 2026'!$B$5:$B$71,'BEV MINI 2026'!$B40,'UC MINI 2026'!$J$5:$J$71)</f>
        <v>9</v>
      </c>
      <c r="M40" s="86">
        <f>IFERROR(INDEX([2]BEV!$S$10:$AF$68,
      MATCH(B40,[2]BEV!$S$10:$S$68,0),
      MATCH("MARZO",[2]BEV!$S$9:$AF$9,0)),
   0)-IF(B40=100873,
   IFERROR(VLOOKUP("MARZO",[2]BEV!$S$80:$T$93,2,0),
      0),
   0)</f>
        <v>3</v>
      </c>
      <c r="N40" s="297">
        <f t="shared" si="94"/>
        <v>0.33333333333333331</v>
      </c>
      <c r="O40" s="54">
        <f>SUMIF('UC MINI 2026'!$B$5:$B$71,'BEV MINI 2026'!$B40,'UC MINI 2026'!$L$5:$L$71)</f>
        <v>9</v>
      </c>
      <c r="P40" s="86">
        <f>IFERROR(INDEX([2]BEV!$S$10:$AF$68,
      MATCH(B40,[2]BEV!$S$10:$S$68,0),
      MATCH("ABRIL",[2]BEV!$S$9:$AF$9,0)),
   0)-IF(B40=100873,
   IFERROR(VLOOKUP("ABRIL",[2]BEV!$S$80:$T$93,2,0),
      0),
   0)</f>
        <v>10</v>
      </c>
      <c r="Q40" s="243">
        <f t="shared" si="95"/>
        <v>1.1111111111111112</v>
      </c>
      <c r="R40" s="54">
        <f>SUMIF('UC MINI 2026'!$B$5:$B$71,'BEV MINI 2026'!$B40,'UC MINI 2026'!$N$5:$N$71)</f>
        <v>9</v>
      </c>
      <c r="S40" s="86">
        <f>IFERROR(INDEX([2]BEV!$S$10:$AF$68,
      MATCH(B40,[2]BEV!$S$10:$S$68,0),
      MATCH("MAYO",[2]BEV!$S$9:$AF$9,0)),
   0)-IF(B40=100873,
   IFERROR(VLOOKUP("MAYO",[2]BEV!$S$80:$T$93,2,0),
      0),
   0)</f>
        <v>13</v>
      </c>
      <c r="T40" s="297">
        <f t="shared" si="96"/>
        <v>1.4444444444444444</v>
      </c>
      <c r="U40" s="54">
        <f>SUMIF('UC MINI 2026'!$B$5:$B$71,'BEV MINI 2026'!$B40,'UC MINI 2026'!$P$5:$P$71)</f>
        <v>10</v>
      </c>
      <c r="V40" s="86">
        <f>IFERROR(INDEX([2]BEV!$S$10:$AF$68,
      MATCH(B40,[2]BEV!$S$10:$S$68,0),
      MATCH("JUNIO",[2]BEV!$S$9:$AF$9,0)),
   0)-IF(B40=100873,
   IFERROR(VLOOKUP("JUNIO",[2]BEV!$S$80:$T$93,2,0),
      0),
   0)</f>
        <v>27</v>
      </c>
      <c r="W40" s="243">
        <f t="shared" si="97"/>
        <v>2.7</v>
      </c>
      <c r="X40" s="54">
        <f>SUMIF('UC MINI 2026'!$B$5:$B$71,'BEV MINI 2026'!$B40,'UC MINI 2026'!$R$5:$R$71)</f>
        <v>13</v>
      </c>
      <c r="Y40" s="86">
        <f>IFERROR(INDEX([2]BEV!$S$10:$AF$68,
      MATCH(B40,[2]BEV!$S$10:$S$68,0),
      MATCH("JULIO",[2]BEV!$S$9:$AF$9,0)),
   0)-IF(B40=100873,
   IFERROR(VLOOKUP("JULIO",[2]BEV!$S$80:$T$93,2,0),
      0),
   0)</f>
        <v>0</v>
      </c>
      <c r="Z40" s="297">
        <f t="shared" si="98"/>
        <v>0</v>
      </c>
      <c r="AA40" s="54">
        <f>SUMIF('UC MINI 2026'!$B$5:$B$71,'BEV MINI 2026'!$B40,'UC MINI 2026'!$T$5:$T$71)</f>
        <v>11</v>
      </c>
      <c r="AB40" s="86">
        <f>IFERROR(INDEX([2]BEV!$S$10:$AF$68,
      MATCH(B40,[2]BEV!$S$10:$S$68,0),
      MATCH("AGOSTO",[2]BEV!$S$9:$AF$9,0)),
   0)-IF(B40=100873,
   IFERROR(VLOOKUP("AGOSTO",[2]BEV!$S$80:$T$93,2,0),
      0),
   0)</f>
        <v>0</v>
      </c>
      <c r="AC40" s="243">
        <f t="shared" si="99"/>
        <v>0</v>
      </c>
      <c r="AD40" s="54">
        <f>SUMIF('UC MINI 2026'!$B$5:$B$71,'BEV MINI 2026'!$B40,'UC MINI 2026'!$V$5:$V$71)</f>
        <v>13</v>
      </c>
      <c r="AE40" s="86">
        <f>IFERROR(INDEX([2]BEV!$S$10:$AF$68,
      MATCH(B40,[2]BEV!$S$10:$S$68,0),
      MATCH("SEPTIEMBRE",[2]BEV!$S$9:$AF$9,0)),
   0)-IF(B40=100873,
   IFERROR(VLOOKUP("SEPTIEMBRE",[2]BEV!$S$80:$T$93,2,0),
      0),
   0)</f>
        <v>0</v>
      </c>
      <c r="AF40" s="297">
        <f t="shared" si="100"/>
        <v>0</v>
      </c>
      <c r="AG40" s="54">
        <f>SUMIF('UC MINI 2026'!$B$5:$B$71,'BEV MINI 2026'!$B40,'UC MINI 2026'!$X$5:$X$71)</f>
        <v>13</v>
      </c>
      <c r="AH40" s="86">
        <f>IFERROR(INDEX([2]BEV!$S$10:$AF$68,
      MATCH(B40,[2]BEV!$S$10:$S$68,0),
      MATCH("OCTUBRE",[2]BEV!$S$9:$AF$9,0)),
   0)-IF(B40=100873,
   IFERROR(VLOOKUP("OCTUBRE",[2]BEV!$S$80:$T$93,2,0),
      0),
   0)</f>
        <v>0</v>
      </c>
      <c r="AI40" s="243">
        <f t="shared" si="101"/>
        <v>0</v>
      </c>
      <c r="AJ40" s="54">
        <f>SUMIF('UC MINI 2026'!$B$5:$B$71,'BEV MINI 2026'!$B40,'UC MINI 2026'!$Z$5:$Z$71)</f>
        <v>13</v>
      </c>
      <c r="AK40" s="86">
        <f>IFERROR(INDEX([2]BEV!$S$10:$AF$68,
      MATCH(B40,[2]BEV!$S$10:$S$68,0),
      MATCH("NOVIEMBRE",[2]BEV!$S$9:$AF$9,0)),
   0)-IF(B40=100873,
   IFERROR(VLOOKUP("NOVIEMBRE",[2]BEV!$S$80:$T$93,2,0),
      0),
   0)</f>
        <v>0</v>
      </c>
      <c r="AL40" s="297">
        <f t="shared" si="102"/>
        <v>0</v>
      </c>
      <c r="AM40" s="54">
        <f>SUMIF('UC MINI 2026'!$B$5:$B$71,'BEV MINI 2026'!$B40,'UC MINI 2026'!$AB$5:$AB$71)</f>
        <v>12</v>
      </c>
      <c r="AN40" s="86">
        <f>IFERROR(INDEX([2]BEV!$S$10:$AF$68,
      MATCH(B40,[2]BEV!$S$10:$S$68,0),
      MATCH("DICIEMBRE",[2]BEV!$S$9:$AF$9,0)),
   0)-IF(B40=100873,
   IFERROR(VLOOKUP("DICIEMBRE",[2]BEV!$S$80:$T$93,2,0),
      0),
   0)</f>
        <v>0</v>
      </c>
      <c r="AO40" s="243">
        <f t="shared" si="103"/>
        <v>0</v>
      </c>
      <c r="AP40" s="67">
        <f t="shared" si="104"/>
        <v>55</v>
      </c>
      <c r="AQ40" s="68">
        <f t="shared" si="104"/>
        <v>79</v>
      </c>
      <c r="AR40" s="149">
        <f t="shared" si="109"/>
        <v>1.4363636363636363</v>
      </c>
      <c r="AS40" s="67">
        <f>IFERROR(F40+I40+L40+O40+R40+U40++X40+AA40+AD40+AG40+AJ40+AM40,0)</f>
        <v>130</v>
      </c>
      <c r="AT40" s="86">
        <f t="shared" si="14"/>
        <v>79</v>
      </c>
      <c r="AU40" s="149">
        <f t="shared" si="110"/>
        <v>0.60769230769230764</v>
      </c>
      <c r="AV40" s="54">
        <f t="shared" si="111"/>
        <v>27</v>
      </c>
      <c r="AW40" s="86">
        <f t="shared" si="111"/>
        <v>29</v>
      </c>
      <c r="AX40" s="109">
        <f t="shared" si="112"/>
        <v>1.0740740740740742</v>
      </c>
      <c r="AY40" s="68">
        <f>IFERROR(IF($AV$5="Q1",#REF!+#REF!+#REF!,
IF($AV$5="Q2",#REF!+#REF!++#REF!,
IF($AV$5="Q3",#REF!+#REF!+#REF!,
IF($AV$5="Q4",#REF!+#REF!+#REF!,0)))),0)</f>
        <v>0</v>
      </c>
      <c r="AZ40" s="297">
        <f>IF(AW40=0,"N.D.",AY40/AW40)</f>
        <v>0</v>
      </c>
      <c r="BA40" s="350">
        <f>IFERROR(IF($AV$5="Q1",#REF!+#REF!+#REF!,
IF($AV$5="Q2",#REF!+#REF!+#REF!,
IF($AV$5="Q3",#REF!+#REF!+#REF!,
IF($AV$5="Q4",#REF!+#REF!+#REF!,0)))),0)</f>
        <v>0</v>
      </c>
      <c r="BB40" s="150">
        <f t="shared" si="113"/>
        <v>0</v>
      </c>
      <c r="BC40" s="67">
        <f t="shared" si="105"/>
        <v>55</v>
      </c>
      <c r="BD40" s="68">
        <f t="shared" si="105"/>
        <v>79</v>
      </c>
      <c r="BE40" s="150">
        <f t="shared" si="114"/>
        <v>1.4363636363636363</v>
      </c>
      <c r="BF40" s="67">
        <f t="shared" si="106"/>
        <v>75</v>
      </c>
      <c r="BG40" s="266">
        <f t="shared" si="106"/>
        <v>0</v>
      </c>
      <c r="BH40" s="150">
        <f t="shared" si="115"/>
        <v>0</v>
      </c>
      <c r="BI40" s="53">
        <v>1</v>
      </c>
      <c r="BK40" s="53">
        <v>17</v>
      </c>
      <c r="BL40" s="53">
        <v>21</v>
      </c>
      <c r="BM40" s="513">
        <v>1.1307692307692307</v>
      </c>
      <c r="BP40" s="53">
        <f t="shared" si="116"/>
        <v>50</v>
      </c>
      <c r="BQ40" s="53">
        <f t="shared" si="117"/>
        <v>28</v>
      </c>
    </row>
    <row r="41" spans="1:69" s="53" customFormat="1" ht="16" customHeight="1" thickBot="1" x14ac:dyDescent="0.35">
      <c r="A41" s="53">
        <f>_xlfn.XLOOKUP(B41,'WHOLESALE MINI 2026'!$B$7:$B$63,'WHOLESALE MINI 2026'!$A$7:$A$63)</f>
        <v>6</v>
      </c>
      <c r="B41" s="8">
        <v>100817</v>
      </c>
      <c r="C41" s="369" t="s">
        <v>69</v>
      </c>
      <c r="D41" s="146"/>
      <c r="E41" s="309" t="s">
        <v>94</v>
      </c>
      <c r="F41" s="54">
        <f>SUMIF('UC MINI 2026'!$B$5:$B$71,'BEV MINI 2026'!$B41,'UC MINI 2026'!$F$5:$F$71)</f>
        <v>11</v>
      </c>
      <c r="G41" s="86">
        <f>IFERROR(INDEX([2]BEV!$S$10:$AF$68,
      MATCH(B41,[2]BEV!$S$10:$S$68,0),
      MATCH("ENERO",[2]BEV!$S$9:$AF$9,0)),
   0)-IF(B41=100873,
   IFERROR(VLOOKUP("ENERO",[2]BEV!$S$80:$T$93,2,0),
      0),
   0)</f>
        <v>16</v>
      </c>
      <c r="H41" s="243">
        <f t="shared" si="107"/>
        <v>1.4545454545454546</v>
      </c>
      <c r="I41" s="54">
        <f>SUMIF('UC MINI 2026'!$B$5:$B$71,'BEV MINI 2026'!$B41,'UC MINI 2026'!$H$5:$H$71)</f>
        <v>12</v>
      </c>
      <c r="J41" s="86">
        <f>IFERROR(INDEX([2]BEV!$S$10:$AF$68,
      MATCH(B41,[2]BEV!$S$10:$S$68,0),
      MATCH("FEBRERO",[2]BEV!$S$9:$AF$9,0)),
   0)-IF(B41=100873,
   IFERROR(VLOOKUP("FEBRERO",[2]BEV!$S$80:$T$93,2,0),
      0),
   0)</f>
        <v>10</v>
      </c>
      <c r="K41" s="243">
        <f t="shared" si="108"/>
        <v>0.83333333333333337</v>
      </c>
      <c r="L41" s="54">
        <f>SUMIF('UC MINI 2026'!$B$5:$B$71,'BEV MINI 2026'!$B41,'UC MINI 2026'!$J$5:$J$71)</f>
        <v>12</v>
      </c>
      <c r="M41" s="86">
        <f>IFERROR(INDEX([2]BEV!$S$10:$AF$68,
      MATCH(B41,[2]BEV!$S$10:$S$68,0),
      MATCH("MARZO",[2]BEV!$S$9:$AF$9,0)),
   0)-IF(B41=100873,
   IFERROR(VLOOKUP("MARZO",[2]BEV!$S$80:$T$93,2,0),
      0),
   0)</f>
        <v>25</v>
      </c>
      <c r="N41" s="297">
        <f t="shared" si="94"/>
        <v>2.0833333333333335</v>
      </c>
      <c r="O41" s="54">
        <f>SUMIF('UC MINI 2026'!$B$5:$B$71,'BEV MINI 2026'!$B41,'UC MINI 2026'!$L$5:$L$71)</f>
        <v>11</v>
      </c>
      <c r="P41" s="86">
        <f>IFERROR(INDEX([2]BEV!$S$10:$AF$68,
      MATCH(B41,[2]BEV!$S$10:$S$68,0),
      MATCH("ABRIL",[2]BEV!$S$9:$AF$9,0)),
   0)-IF(B41=100873,
   IFERROR(VLOOKUP("ABRIL",[2]BEV!$S$80:$T$93,2,0),
      0),
   0)</f>
        <v>17</v>
      </c>
      <c r="Q41" s="243">
        <f t="shared" si="95"/>
        <v>1.5454545454545454</v>
      </c>
      <c r="R41" s="54">
        <f>SUMIF('UC MINI 2026'!$B$5:$B$71,'BEV MINI 2026'!$B41,'UC MINI 2026'!$N$5:$N$71)</f>
        <v>12</v>
      </c>
      <c r="S41" s="86">
        <f>IFERROR(INDEX([2]BEV!$S$10:$AF$68,
      MATCH(B41,[2]BEV!$S$10:$S$68,0),
      MATCH("MAYO",[2]BEV!$S$9:$AF$9,0)),
   0)-IF(B41=100873,
   IFERROR(VLOOKUP("MAYO",[2]BEV!$S$80:$T$93,2,0),
      0),
   0)</f>
        <v>21</v>
      </c>
      <c r="T41" s="297">
        <f t="shared" si="96"/>
        <v>1.75</v>
      </c>
      <c r="U41" s="54">
        <f>SUMIF('UC MINI 2026'!$B$5:$B$71,'BEV MINI 2026'!$B41,'UC MINI 2026'!$P$5:$P$71)</f>
        <v>12</v>
      </c>
      <c r="V41" s="86">
        <f>IFERROR(INDEX([2]BEV!$S$10:$AF$68,
      MATCH(B41,[2]BEV!$S$10:$S$68,0),
      MATCH("JUNIO",[2]BEV!$S$9:$AF$9,0)),
   0)-IF(B41=100873,
   IFERROR(VLOOKUP("JUNIO",[2]BEV!$S$80:$T$93,2,0),
      0),
   0)</f>
        <v>22</v>
      </c>
      <c r="W41" s="243">
        <f t="shared" si="97"/>
        <v>1.8333333333333333</v>
      </c>
      <c r="X41" s="54">
        <f>SUMIF('UC MINI 2026'!$B$5:$B$71,'BEV MINI 2026'!$B41,'UC MINI 2026'!$R$5:$R$71)</f>
        <v>13</v>
      </c>
      <c r="Y41" s="86">
        <f>IFERROR(INDEX([2]BEV!$S$10:$AF$68,
      MATCH(B41,[2]BEV!$S$10:$S$68,0),
      MATCH("JULIO",[2]BEV!$S$9:$AF$9,0)),
   0)-IF(B41=100873,
   IFERROR(VLOOKUP("JULIO",[2]BEV!$S$80:$T$93,2,0),
      0),
   0)</f>
        <v>0</v>
      </c>
      <c r="Z41" s="297">
        <f t="shared" si="98"/>
        <v>0</v>
      </c>
      <c r="AA41" s="54">
        <f>SUMIF('UC MINI 2026'!$B$5:$B$71,'BEV MINI 2026'!$B41,'UC MINI 2026'!$T$5:$T$71)</f>
        <v>13</v>
      </c>
      <c r="AB41" s="86">
        <f>IFERROR(INDEX([2]BEV!$S$10:$AF$68,
      MATCH(B41,[2]BEV!$S$10:$S$68,0),
      MATCH("AGOSTO",[2]BEV!$S$9:$AF$9,0)),
   0)-IF(B41=100873,
   IFERROR(VLOOKUP("AGOSTO",[2]BEV!$S$80:$T$93,2,0),
      0),
   0)</f>
        <v>0</v>
      </c>
      <c r="AC41" s="243">
        <f t="shared" si="99"/>
        <v>0</v>
      </c>
      <c r="AD41" s="54">
        <f>SUMIF('UC MINI 2026'!$B$5:$B$71,'BEV MINI 2026'!$B41,'UC MINI 2026'!$V$5:$V$71)</f>
        <v>13</v>
      </c>
      <c r="AE41" s="86">
        <f>IFERROR(INDEX([2]BEV!$S$10:$AF$68,
      MATCH(B41,[2]BEV!$S$10:$S$68,0),
      MATCH("SEPTIEMBRE",[2]BEV!$S$9:$AF$9,0)),
   0)-IF(B41=100873,
   IFERROR(VLOOKUP("SEPTIEMBRE",[2]BEV!$S$80:$T$93,2,0),
      0),
   0)</f>
        <v>0</v>
      </c>
      <c r="AF41" s="297">
        <f t="shared" si="100"/>
        <v>0</v>
      </c>
      <c r="AG41" s="54">
        <f>SUMIF('UC MINI 2026'!$B$5:$B$71,'BEV MINI 2026'!$B41,'UC MINI 2026'!$X$5:$X$71)</f>
        <v>13</v>
      </c>
      <c r="AH41" s="86">
        <f>IFERROR(INDEX([2]BEV!$S$10:$AF$68,
      MATCH(B41,[2]BEV!$S$10:$S$68,0),
      MATCH("OCTUBRE",[2]BEV!$S$9:$AF$9,0)),
   0)-IF(B41=100873,
   IFERROR(VLOOKUP("OCTUBRE",[2]BEV!$S$80:$T$93,2,0),
      0),
   0)</f>
        <v>0</v>
      </c>
      <c r="AI41" s="243">
        <f t="shared" si="101"/>
        <v>0</v>
      </c>
      <c r="AJ41" s="54">
        <f>SUMIF('UC MINI 2026'!$B$5:$B$71,'BEV MINI 2026'!$B41,'UC MINI 2026'!$Z$5:$Z$71)</f>
        <v>13</v>
      </c>
      <c r="AK41" s="86">
        <f>IFERROR(INDEX([2]BEV!$S$10:$AF$68,
      MATCH(B41,[2]BEV!$S$10:$S$68,0),
      MATCH("NOVIEMBRE",[2]BEV!$S$9:$AF$9,0)),
   0)-IF(B41=100873,
   IFERROR(VLOOKUP("NOVIEMBRE",[2]BEV!$S$80:$T$93,2,0),
      0),
   0)</f>
        <v>0</v>
      </c>
      <c r="AL41" s="297">
        <f t="shared" si="102"/>
        <v>0</v>
      </c>
      <c r="AM41" s="54">
        <f>SUMIF('UC MINI 2026'!$B$5:$B$71,'BEV MINI 2026'!$B41,'UC MINI 2026'!$AB$5:$AB$71)</f>
        <v>15</v>
      </c>
      <c r="AN41" s="86">
        <f>IFERROR(INDEX([2]BEV!$S$10:$AF$68,
      MATCH(B41,[2]BEV!$S$10:$S$68,0),
      MATCH("DICIEMBRE",[2]BEV!$S$9:$AF$9,0)),
   0)-IF(B41=100873,
   IFERROR(VLOOKUP("DICIEMBRE",[2]BEV!$S$80:$T$93,2,0),
      0),
   0)</f>
        <v>0</v>
      </c>
      <c r="AO41" s="243">
        <f t="shared" si="103"/>
        <v>0</v>
      </c>
      <c r="AP41" s="67">
        <f t="shared" si="104"/>
        <v>70</v>
      </c>
      <c r="AQ41" s="68">
        <f t="shared" si="104"/>
        <v>111</v>
      </c>
      <c r="AR41" s="149">
        <f t="shared" si="109"/>
        <v>1.5857142857142856</v>
      </c>
      <c r="AS41" s="67">
        <f>IFERROR(F41+I41+L41+O41+R41+U41++X41+AA41+AD41+AG41+AJ41+AM41,0)</f>
        <v>150</v>
      </c>
      <c r="AT41" s="86">
        <f t="shared" si="14"/>
        <v>111</v>
      </c>
      <c r="AU41" s="149">
        <f t="shared" si="110"/>
        <v>0.74</v>
      </c>
      <c r="AV41" s="54">
        <f t="shared" si="111"/>
        <v>35</v>
      </c>
      <c r="AW41" s="86">
        <f t="shared" si="111"/>
        <v>51</v>
      </c>
      <c r="AX41" s="109">
        <f t="shared" si="112"/>
        <v>1.4571428571428571</v>
      </c>
      <c r="AY41" s="68">
        <f>IFERROR(IF($AV$5="Q1",#REF!+#REF!+#REF!,
IF($AV$5="Q2",#REF!+#REF!++#REF!,
IF($AV$5="Q3",#REF!+#REF!+#REF!,
IF($AV$5="Q4",#REF!+#REF!+#REF!,0)))),0)</f>
        <v>0</v>
      </c>
      <c r="AZ41" s="297">
        <f>IF(AW41=0,"N.D.",AY41/AW41)</f>
        <v>0</v>
      </c>
      <c r="BA41" s="350">
        <f>IFERROR(IF($AV$5="Q1",#REF!+#REF!+#REF!,
IF($AV$5="Q2",#REF!+#REF!+#REF!,
IF($AV$5="Q3",#REF!+#REF!+#REF!,
IF($AV$5="Q4",#REF!+#REF!+#REF!,0)))),0)</f>
        <v>0</v>
      </c>
      <c r="BB41" s="150">
        <f t="shared" si="113"/>
        <v>0</v>
      </c>
      <c r="BC41" s="67">
        <f t="shared" si="105"/>
        <v>70</v>
      </c>
      <c r="BD41" s="68">
        <f t="shared" si="105"/>
        <v>111</v>
      </c>
      <c r="BE41" s="150">
        <f t="shared" si="114"/>
        <v>1.5857142857142856</v>
      </c>
      <c r="BF41" s="67">
        <f t="shared" si="106"/>
        <v>80</v>
      </c>
      <c r="BG41" s="266">
        <f t="shared" si="106"/>
        <v>0</v>
      </c>
      <c r="BH41" s="150">
        <f t="shared" si="115"/>
        <v>0</v>
      </c>
      <c r="BI41" s="53">
        <v>1</v>
      </c>
      <c r="BK41" s="53">
        <v>17</v>
      </c>
      <c r="BL41" s="53">
        <v>20</v>
      </c>
      <c r="BM41" s="513">
        <v>1</v>
      </c>
      <c r="BP41" s="53">
        <f t="shared" si="116"/>
        <v>60</v>
      </c>
      <c r="BQ41" s="53">
        <f t="shared" si="117"/>
        <v>35</v>
      </c>
    </row>
    <row r="42" spans="1:69" s="53" customFormat="1" ht="16" customHeight="1" thickBot="1" x14ac:dyDescent="0.35">
      <c r="A42" s="53" t="e">
        <f>_xlfn.XLOOKUP(B42,'WHOLESALE MINI 2026'!$B$7:$B$63,'WHOLESALE MINI 2026'!$A$7:$A$63)</f>
        <v>#N/A</v>
      </c>
      <c r="B42" s="61" t="s">
        <v>91</v>
      </c>
      <c r="C42" s="62"/>
      <c r="D42" s="146"/>
      <c r="E42" s="80"/>
      <c r="F42" s="63">
        <f>SUM(F37:F41)</f>
        <v>27</v>
      </c>
      <c r="G42" s="63">
        <f>SUM(G37:G41)</f>
        <v>34</v>
      </c>
      <c r="H42" s="301">
        <f t="shared" si="107"/>
        <v>1.2592592592592593</v>
      </c>
      <c r="I42" s="63">
        <f>SUM(I37:I41)</f>
        <v>28</v>
      </c>
      <c r="J42" s="63">
        <f>SUM(J37:J41)</f>
        <v>39</v>
      </c>
      <c r="K42" s="301">
        <f t="shared" si="108"/>
        <v>1.3928571428571428</v>
      </c>
      <c r="L42" s="63">
        <f>SUM(L37:L41)</f>
        <v>29</v>
      </c>
      <c r="M42" s="63">
        <f>SUM(M37:M41)</f>
        <v>35</v>
      </c>
      <c r="N42" s="301">
        <f t="shared" si="94"/>
        <v>1.2068965517241379</v>
      </c>
      <c r="O42" s="63">
        <f>SUM(O37:O41)</f>
        <v>27</v>
      </c>
      <c r="P42" s="63">
        <f>SUM(P37:P41)</f>
        <v>34</v>
      </c>
      <c r="Q42" s="301">
        <f t="shared" si="95"/>
        <v>1.2592592592592593</v>
      </c>
      <c r="R42" s="63">
        <f>SUM(R37:R41)</f>
        <v>29</v>
      </c>
      <c r="S42" s="63">
        <f>SUM(S37:S41)</f>
        <v>47</v>
      </c>
      <c r="T42" s="301">
        <f t="shared" si="96"/>
        <v>1.6206896551724137</v>
      </c>
      <c r="U42" s="63">
        <f>SUM(U37:U41)</f>
        <v>30</v>
      </c>
      <c r="V42" s="63">
        <f>SUM(V37:V41)</f>
        <v>57</v>
      </c>
      <c r="W42" s="301">
        <f t="shared" si="97"/>
        <v>1.9</v>
      </c>
      <c r="X42" s="63">
        <f>SUM(X37:X41)</f>
        <v>27</v>
      </c>
      <c r="Y42" s="63">
        <f>SUM(Y37:Y41)</f>
        <v>0</v>
      </c>
      <c r="Z42" s="301">
        <f t="shared" si="98"/>
        <v>0</v>
      </c>
      <c r="AA42" s="63">
        <f>SUM(AA37:AA41)</f>
        <v>25</v>
      </c>
      <c r="AB42" s="63">
        <f>SUM(AB37:AB41)</f>
        <v>0</v>
      </c>
      <c r="AC42" s="301">
        <f t="shared" si="99"/>
        <v>0</v>
      </c>
      <c r="AD42" s="63">
        <f>SUM(AD37:AD41)</f>
        <v>27</v>
      </c>
      <c r="AE42" s="63">
        <f>SUM(AE37:AE41)</f>
        <v>0</v>
      </c>
      <c r="AF42" s="301">
        <f t="shared" si="100"/>
        <v>0</v>
      </c>
      <c r="AG42" s="63">
        <f>SUM(AG37:AG41)</f>
        <v>27</v>
      </c>
      <c r="AH42" s="63">
        <f>SUM(AH37:AH41)</f>
        <v>0</v>
      </c>
      <c r="AI42" s="301">
        <f t="shared" si="101"/>
        <v>0</v>
      </c>
      <c r="AJ42" s="63">
        <f>SUM(AJ37:AJ41)</f>
        <v>27</v>
      </c>
      <c r="AK42" s="63">
        <f>SUM(AK37:AK41)</f>
        <v>0</v>
      </c>
      <c r="AL42" s="301">
        <f t="shared" si="102"/>
        <v>0</v>
      </c>
      <c r="AM42" s="63">
        <f>SUM(AM37:AM41)</f>
        <v>28</v>
      </c>
      <c r="AN42" s="63">
        <f>SUM(AN37:AN41)</f>
        <v>0</v>
      </c>
      <c r="AO42" s="301">
        <f t="shared" si="103"/>
        <v>0</v>
      </c>
      <c r="AP42" s="63">
        <f>SUM(AP37:AP41)</f>
        <v>170</v>
      </c>
      <c r="AQ42" s="63">
        <f>SUM(AQ37:AQ41)</f>
        <v>246</v>
      </c>
      <c r="AR42" s="320">
        <f t="shared" si="109"/>
        <v>1.4470588235294117</v>
      </c>
      <c r="AS42" s="63">
        <f>SUM(AS37:AS41)</f>
        <v>331</v>
      </c>
      <c r="AT42" s="63">
        <f>SUM(AT37:AT41)</f>
        <v>246</v>
      </c>
      <c r="AU42" s="320">
        <f t="shared" si="110"/>
        <v>0.74320241691842903</v>
      </c>
      <c r="AV42" s="63">
        <f>SUM(AV37:AV41)</f>
        <v>84</v>
      </c>
      <c r="AW42" s="65">
        <f>SUM(AW37:AW41)</f>
        <v>108</v>
      </c>
      <c r="AX42" s="157">
        <f t="shared" si="112"/>
        <v>1.2857142857142858</v>
      </c>
      <c r="AY42" s="65">
        <f>SUM(AY37:AY41)</f>
        <v>0</v>
      </c>
      <c r="AZ42" s="321">
        <f>IFERROR(AY42/AW42,0)</f>
        <v>0</v>
      </c>
      <c r="BA42" s="349" t="e">
        <f>IF($AV$5="Q1",#REF!+#REF!+#REF!,
IF($AV$5="Q2",#REF!+#REF!+#REF!,
IF($AV$5="Q3",#REF!+#REF!+#REF!,
IF($AV$5="Q4",#REF!+#REF!+#REF!,0))))</f>
        <v>#REF!</v>
      </c>
      <c r="BB42" s="333">
        <f t="shared" si="113"/>
        <v>0</v>
      </c>
      <c r="BC42" s="63">
        <f>IF($BC$5="S 1",F42+I42+L42+O42+R42+U42,
IF($BC$5="S 2",X42+AA42+AD42+AG42+AJ42+AM42,0))</f>
        <v>170</v>
      </c>
      <c r="BD42" s="65">
        <f>IF($BC$5="S 1",G42+J42+M42+P42+S42+V42,
IF($BC$5="S 2",Y42+AB42+AE42+AH42+AK42+AN42,0))</f>
        <v>246</v>
      </c>
      <c r="BE42" s="333">
        <f t="shared" si="114"/>
        <v>1.4470588235294117</v>
      </c>
      <c r="BF42" s="63">
        <f>SUM(BF37:BF41)</f>
        <v>161</v>
      </c>
      <c r="BG42" s="63">
        <f>SUM(BG37:BG41)</f>
        <v>0</v>
      </c>
      <c r="BH42" s="333">
        <f t="shared" si="115"/>
        <v>0</v>
      </c>
      <c r="BI42" s="53">
        <v>0</v>
      </c>
      <c r="BK42" s="53">
        <v>15</v>
      </c>
      <c r="BL42" s="53">
        <v>18</v>
      </c>
      <c r="BM42" s="513">
        <v>0.93333333333333335</v>
      </c>
      <c r="BP42" s="53">
        <f t="shared" si="116"/>
        <v>138</v>
      </c>
      <c r="BQ42" s="53">
        <f t="shared" si="117"/>
        <v>86</v>
      </c>
    </row>
    <row r="43" spans="1:69" s="53" customFormat="1" ht="16" customHeight="1" x14ac:dyDescent="0.3">
      <c r="A43" s="53">
        <f>_xlfn.XLOOKUP(B43,'WHOLESALE MINI 2026'!$B$7:$B$63,'WHOLESALE MINI 2026'!$A$7:$A$63)</f>
        <v>7</v>
      </c>
      <c r="B43" s="8">
        <v>100909</v>
      </c>
      <c r="C43" s="369" t="s">
        <v>255</v>
      </c>
      <c r="D43" s="146"/>
      <c r="E43" s="309" t="s">
        <v>254</v>
      </c>
      <c r="F43" s="54">
        <f>SUMIF('UC MINI 2026'!$B$5:$B$71,'BEV MINI 2026'!$B43,'UC MINI 2026'!$F$5:$F$71)</f>
        <v>10</v>
      </c>
      <c r="G43" s="86">
        <f>IFERROR(INDEX([2]BEV!$S$10:$AF$68,
      MATCH(B43,[2]BEV!$S$10:$S$68,0),
      MATCH("ENERO",[2]BEV!$S$9:$AF$9,0)),
   0)-IF(B43=100873,
   IFERROR(VLOOKUP("ENERO",[2]BEV!$S$80:$T$93,2,0),
      0),
   0)</f>
        <v>6</v>
      </c>
      <c r="H43" s="242">
        <f t="shared" si="107"/>
        <v>0.6</v>
      </c>
      <c r="I43" s="54">
        <f>SUMIF('UC MINI 2026'!$B$5:$B$71,'BEV MINI 2026'!$B43,'UC MINI 2026'!$H$5:$H$71)</f>
        <v>10</v>
      </c>
      <c r="J43" s="86">
        <f>IFERROR(INDEX([2]BEV!$S$10:$AF$68,
      MATCH(B43,[2]BEV!$S$10:$S$68,0),
      MATCH("FEBRERO",[2]BEV!$S$9:$AF$9,0)),
   0)-IF(B43=100873,
   IFERROR(VLOOKUP("FEBRERO",[2]BEV!$S$80:$T$93,2,0),
      0),
   0)</f>
        <v>5</v>
      </c>
      <c r="K43" s="242">
        <f t="shared" si="108"/>
        <v>0.5</v>
      </c>
      <c r="L43" s="54">
        <f>SUMIF('UC MINI 2026'!$B$5:$B$71,'BEV MINI 2026'!$B43,'UC MINI 2026'!$J$5:$J$71)</f>
        <v>10</v>
      </c>
      <c r="M43" s="86">
        <f>IFERROR(INDEX([2]BEV!$S$10:$AF$68,
      MATCH(B43,[2]BEV!$S$10:$S$68,0),
      MATCH("MARZO",[2]BEV!$S$9:$AF$9,0)),
   0)-IF(B43=100873,
   IFERROR(VLOOKUP("MARZO",[2]BEV!$S$80:$T$93,2,0),
      0),
   0)</f>
        <v>7</v>
      </c>
      <c r="N43" s="297">
        <f t="shared" si="94"/>
        <v>0.7</v>
      </c>
      <c r="O43" s="54">
        <f>SUMIF('UC MINI 2026'!$B$5:$B$71,'BEV MINI 2026'!$B43,'UC MINI 2026'!$L$5:$L$71)</f>
        <v>10</v>
      </c>
      <c r="P43" s="86">
        <f>IFERROR(INDEX([2]BEV!$S$10:$AF$68,
      MATCH(B43,[2]BEV!$S$10:$S$68,0),
      MATCH("ABRIL",[2]BEV!$S$9:$AF$9,0)),
   0)-IF(B43=100873,
   IFERROR(VLOOKUP("ABRIL",[2]BEV!$S$80:$T$93,2,0),
      0),
   0)</f>
        <v>13</v>
      </c>
      <c r="Q43" s="243">
        <f t="shared" si="95"/>
        <v>1.3</v>
      </c>
      <c r="R43" s="54">
        <f>SUMIF('UC MINI 2026'!$B$5:$B$71,'BEV MINI 2026'!$B43,'UC MINI 2026'!$N$5:$N$71)</f>
        <v>10</v>
      </c>
      <c r="S43" s="86">
        <f>IFERROR(INDEX([2]BEV!$S$10:$AF$68,
      MATCH(B43,[2]BEV!$S$10:$S$68,0),
      MATCH("MAYO",[2]BEV!$S$9:$AF$9,0)),
   0)-IF(B43=100873,
   IFERROR(VLOOKUP("MAYO",[2]BEV!$S$80:$T$93,2,0),
      0),
   0)</f>
        <v>13</v>
      </c>
      <c r="T43" s="297">
        <f t="shared" si="96"/>
        <v>1.3</v>
      </c>
      <c r="U43" s="54">
        <f>SUMIF('UC MINI 2026'!$B$5:$B$71,'BEV MINI 2026'!$B43,'UC MINI 2026'!$P$5:$P$71)</f>
        <v>10</v>
      </c>
      <c r="V43" s="86">
        <f>IFERROR(INDEX([2]BEV!$S$10:$AF$68,
      MATCH(B43,[2]BEV!$S$10:$S$68,0),
      MATCH("JUNIO",[2]BEV!$S$9:$AF$9,0)),
   0)-IF(B43=100873,
   IFERROR(VLOOKUP("JUNIO",[2]BEV!$S$80:$T$93,2,0),
      0),
   0)</f>
        <v>12</v>
      </c>
      <c r="W43" s="243">
        <f t="shared" si="97"/>
        <v>1.2</v>
      </c>
      <c r="X43" s="54">
        <f>SUMIF('UC MINI 2026'!$B$5:$B$71,'BEV MINI 2026'!$B43,'UC MINI 2026'!$R$5:$R$71)</f>
        <v>0</v>
      </c>
      <c r="Y43" s="86">
        <f>IFERROR(INDEX([2]BEV!$S$10:$AF$68,
      MATCH(B43,[2]BEV!$S$10:$S$68,0),
      MATCH("JULIO",[2]BEV!$S$9:$AF$9,0)),
   0)-IF(B43=100873,
   IFERROR(VLOOKUP("JULIO",[2]BEV!$S$80:$T$93,2,0),
      0),
   0)</f>
        <v>0</v>
      </c>
      <c r="Z43" s="297">
        <f t="shared" si="98"/>
        <v>0</v>
      </c>
      <c r="AA43" s="54">
        <f>SUMIF('UC MINI 2026'!$B$5:$B$71,'BEV MINI 2026'!$B43,'UC MINI 2026'!$T$5:$T$71)</f>
        <v>0</v>
      </c>
      <c r="AB43" s="86">
        <f>IFERROR(INDEX([2]BEV!$S$10:$AF$68,
      MATCH(B43,[2]BEV!$S$10:$S$68,0),
      MATCH("AGOSTO",[2]BEV!$S$9:$AF$9,0)),
   0)-IF(B43=100873,
   IFERROR(VLOOKUP("AGOSTO",[2]BEV!$S$80:$T$93,2,0),
      0),
   0)</f>
        <v>0</v>
      </c>
      <c r="AC43" s="243">
        <f t="shared" si="99"/>
        <v>0</v>
      </c>
      <c r="AD43" s="54">
        <f>SUMIF('UC MINI 2026'!$B$5:$B$71,'BEV MINI 2026'!$B43,'UC MINI 2026'!$V$5:$V$71)</f>
        <v>0</v>
      </c>
      <c r="AE43" s="86">
        <f>IFERROR(INDEX([2]BEV!$S$10:$AF$68,
      MATCH(B43,[2]BEV!$S$10:$S$68,0),
      MATCH("SEPTIEMBRE",[2]BEV!$S$9:$AF$9,0)),
   0)-IF(B43=100873,
   IFERROR(VLOOKUP("SEPTIEMBRE",[2]BEV!$S$80:$T$93,2,0),
      0),
   0)</f>
        <v>0</v>
      </c>
      <c r="AF43" s="297">
        <f t="shared" si="100"/>
        <v>0</v>
      </c>
      <c r="AG43" s="54">
        <f>SUMIF('UC MINI 2026'!$B$5:$B$71,'BEV MINI 2026'!$B43,'UC MINI 2026'!$X$5:$X$71)</f>
        <v>0</v>
      </c>
      <c r="AH43" s="86">
        <f>IFERROR(INDEX([2]BEV!$S$10:$AF$68,
      MATCH(B43,[2]BEV!$S$10:$S$68,0),
      MATCH("OCTUBRE",[2]BEV!$S$9:$AF$9,0)),
   0)-IF(B43=100873,
   IFERROR(VLOOKUP("OCTUBRE",[2]BEV!$S$80:$T$93,2,0),
      0),
   0)</f>
        <v>0</v>
      </c>
      <c r="AI43" s="243">
        <f t="shared" si="101"/>
        <v>0</v>
      </c>
      <c r="AJ43" s="54">
        <f>SUMIF('UC MINI 2026'!$B$5:$B$71,'BEV MINI 2026'!$B43,'UC MINI 2026'!$Z$5:$Z$71)</f>
        <v>0</v>
      </c>
      <c r="AK43" s="86">
        <f>IFERROR(INDEX([2]BEV!$S$10:$AF$68,
      MATCH(B43,[2]BEV!$S$10:$S$68,0),
      MATCH("NOVIEMBRE",[2]BEV!$S$9:$AF$9,0)),
   0)-IF(B43=100873,
   IFERROR(VLOOKUP("NOVIEMBRE",[2]BEV!$S$80:$T$93,2,0),
      0),
   0)</f>
        <v>0</v>
      </c>
      <c r="AL43" s="297">
        <f t="shared" si="102"/>
        <v>0</v>
      </c>
      <c r="AM43" s="54">
        <f>SUMIF('UC MINI 2026'!$B$5:$B$71,'BEV MINI 2026'!$B43,'UC MINI 2026'!$AB$5:$AB$71)</f>
        <v>0</v>
      </c>
      <c r="AN43" s="86">
        <f>IFERROR(INDEX([2]BEV!$S$10:$AF$68,
      MATCH(B43,[2]BEV!$S$10:$S$68,0),
      MATCH("DICIEMBRE",[2]BEV!$S$9:$AF$9,0)),
   0)-IF(B43=100873,
   IFERROR(VLOOKUP("DICIEMBRE",[2]BEV!$S$80:$T$93,2,0),
      0),
   0)</f>
        <v>0</v>
      </c>
      <c r="AO43" s="243">
        <f t="shared" si="103"/>
        <v>0</v>
      </c>
      <c r="AP43" s="67">
        <f>IFERROR(IF($AP$4="ENERO",F43,IF($AP$4="FEBRERO",F43+I43,IF($AP$4="MARZO",F43+I43+L43,IF($AP$4="ABRIL",F43+I43+L43+O43,IF($AP$4="MAYO",F43+I43+L43+O43+R43,IF($AP$4="JUNIO",F43+I43+L43+O43+R43+U43,IF($AP$4="JULIO",F43+I43+L43+O43+R43+U43+X43,IF($AP$4="AGOSTO",F43+I43+L43+O43+R43+U43+X43+AA43,IF($AP$4="SEPTIEMBRE",F43+I43+L43+O43+R43+U43+X43+AA43+AD43,IF($AP$4="OCTUBRE",F43+I43+L43+O43+R43+U43+X43+AA43+AD43+AG43,IF($AP$4="NOVIEMBRE",F43+I43+L43+O43+R43+U43+X43+AA43+AD43+AG43+AJ43,IF($AP$4="DICIEMBRE",F43+I43+L43+O43+R43+U43+X43+AA43+AD43+AG43+AJ43+AM43,"")))))))))))),0)</f>
        <v>60</v>
      </c>
      <c r="AQ43" s="68">
        <f>IFERROR(IF($AP$4="ENERO",G43,IF($AP$4="FEBRERO",G43+J43,IF($AP$4="MARZO",G43+J43+M43,IF($AP$4="ABRIL",G43+J43+M43+P43,IF($AP$4="MAYO",G43+J43+M43+P43+S43,IF($AP$4="JUNIO",G43+J43+M43+P43+S43+V43,IF($AP$4="JULIO",G43+J43+M43+P43+S43+V43+Y43,IF($AP$4="AGOSTO",G43+J43+M43+P43+S43+V43+Y43+AB43,IF($AP$4="SEPTIEMBRE",G43+J43+M43+P43+S43+V43+Y43+AB43+AE43,IF($AP$4="OCTUBRE",G43+J43+M43+P43+S43+V43+Y43+AB43+AE43+AH43,IF($AP$4="NOVIEMBRE",G43+J43+M43+P43+S43+V43+Y43+AB43+AE43+AH43+AK43,IF($AP$4="DICIEMBRE",G43+J43+M43+P43+S43+V43+Y43+AB43+AE43+AH43+AK43+AN43,"")))))))))))),0)</f>
        <v>56</v>
      </c>
      <c r="AR43" s="161">
        <f t="shared" si="109"/>
        <v>0.93333333333333335</v>
      </c>
      <c r="AS43" s="67">
        <f>IFERROR(F43+I43+L43+O43+R43+U43++X43+AA43+AD43+AG43+AJ43+AM43,0)</f>
        <v>60</v>
      </c>
      <c r="AT43" s="86">
        <f t="shared" si="14"/>
        <v>56</v>
      </c>
      <c r="AU43" s="161">
        <f t="shared" si="110"/>
        <v>0.93333333333333335</v>
      </c>
      <c r="AV43" s="67">
        <f>IF($AV$5="Q1",F43+I43+L43,
IF($AV$5="Q2",O43+R43++U43,
IF($AV$5="Q3",X43+AA43+AD43,
IF($AV$5="Q4",AG43+AJ43+AM43,0))))</f>
        <v>30</v>
      </c>
      <c r="AW43" s="68">
        <f>IF($AV$5="Q1",G43+J43+M43,
IF($AV$5="Q2",P43+S43++V43,
IF($AV$5="Q3",Y43+AB43+AE43,
IF($AV$5="Q4",AH43+AK43+AN43,0))))</f>
        <v>18</v>
      </c>
      <c r="AX43" s="116">
        <f t="shared" si="112"/>
        <v>0.6</v>
      </c>
      <c r="AY43" s="68">
        <f>IFERROR(IF($AV$5="Q1",#REF!+#REF!+#REF!,
IF($AV$5="Q2",#REF!+#REF!++#REF!,
IF($AV$5="Q3",#REF!+#REF!+#REF!,
IF($AV$5="Q4",#REF!+#REF!+#REF!,0)))),0)</f>
        <v>0</v>
      </c>
      <c r="AZ43" s="297">
        <f>IF(AW43=0,"N.D.",AY43/AW43)</f>
        <v>0</v>
      </c>
      <c r="BA43" s="350">
        <f>IFERROR(IF($AV$5="Q1",#REF!+#REF!+#REF!,
IF($AV$5="Q2",#REF!+#REF!+#REF!,
IF($AV$5="Q3",#REF!+#REF!+#REF!,
IF($AV$5="Q4",#REF!+#REF!+#REF!,0)))),0)</f>
        <v>0</v>
      </c>
      <c r="BB43" s="162">
        <f t="shared" si="113"/>
        <v>0</v>
      </c>
      <c r="BC43" s="67">
        <f>IFERROR(IF($BC$5="S 1",F43+I43+L43+O43+R43+U43,
IF($BC$5="S 2",X43+AA43+AD43+AG43+AJ43+AM43,0)),0)</f>
        <v>60</v>
      </c>
      <c r="BD43" s="68">
        <f>IFERROR(IF($BC$5="S 1",G43+J43+M43+P43+S43+V43,
IF($BC$5="S 2",Y43+AB43+AE43+AH43+AK43+AN43,0)),0)</f>
        <v>56</v>
      </c>
      <c r="BE43" s="162">
        <f t="shared" si="114"/>
        <v>0.93333333333333335</v>
      </c>
      <c r="BF43" s="67">
        <f>IFERROR(IF($BF$5="S 1",F43+I43+L43+O43+R43+U43,
IF($BF$5="S 2",X43+AA43+AD43+AG43+AJ43+AM43,0)),0)</f>
        <v>0</v>
      </c>
      <c r="BG43" s="266">
        <f>IFERROR(IF($BF$5="S 1",G43+J43+M43+P43+S43+V43,
IF($BF$5="S 2",Y43+AB43+AE43+AH43+AK43+AN43,0)),0)</f>
        <v>0</v>
      </c>
      <c r="BH43" s="162">
        <f t="shared" si="115"/>
        <v>0</v>
      </c>
      <c r="BI43" s="53">
        <v>1</v>
      </c>
      <c r="BK43" s="53">
        <v>15</v>
      </c>
      <c r="BL43" s="53">
        <v>17</v>
      </c>
      <c r="BM43" s="513">
        <v>0.91304347826086951</v>
      </c>
      <c r="BP43" s="53">
        <f t="shared" si="116"/>
        <v>38</v>
      </c>
      <c r="BQ43" s="53">
        <f t="shared" si="117"/>
        <v>30</v>
      </c>
    </row>
    <row r="44" spans="1:69" s="53" customFormat="1" ht="16" customHeight="1" thickBot="1" x14ac:dyDescent="0.35">
      <c r="A44" s="53">
        <f>_xlfn.XLOOKUP(B44,'WHOLESALE MINI 2026'!$B$7:$B$63,'WHOLESALE MINI 2026'!$A$7:$A$63)</f>
        <v>7</v>
      </c>
      <c r="B44" s="8">
        <v>100572</v>
      </c>
      <c r="C44" s="369" t="s">
        <v>55</v>
      </c>
      <c r="D44" s="146"/>
      <c r="E44" s="309" t="s">
        <v>274</v>
      </c>
      <c r="F44" s="54">
        <f>SUMIF('UC MINI 2026'!$B$5:$B$71,'BEV MINI 2026'!$B44,'UC MINI 2026'!$F$5:$F$71)</f>
        <v>22</v>
      </c>
      <c r="G44" s="86">
        <f>IFERROR(INDEX([2]BEV!$S$10:$AF$68,
      MATCH(B44,[2]BEV!$S$10:$S$68,0),
      MATCH("ENERO",[2]BEV!$S$9:$AF$9,0)),
   0)-IF(B44=100873,
   IFERROR(VLOOKUP("ENERO",[2]BEV!$S$80:$T$93,2,0),
      0),
   0)</f>
        <v>19</v>
      </c>
      <c r="H44" s="243">
        <f t="shared" si="107"/>
        <v>0.86363636363636365</v>
      </c>
      <c r="I44" s="54">
        <f>SUMIF('UC MINI 2026'!$B$5:$B$71,'BEV MINI 2026'!$B44,'UC MINI 2026'!$H$5:$H$71)</f>
        <v>22</v>
      </c>
      <c r="J44" s="86">
        <f>IFERROR(INDEX([2]BEV!$S$10:$AF$68,
      MATCH(B44,[2]BEV!$S$10:$S$68,0),
      MATCH("FEBRERO",[2]BEV!$S$9:$AF$9,0)),
   0)-IF(B44=100873,
   IFERROR(VLOOKUP("FEBRERO",[2]BEV!$S$80:$T$93,2,0),
      0),
   0)</f>
        <v>30</v>
      </c>
      <c r="K44" s="243">
        <f t="shared" si="108"/>
        <v>1.3636363636363635</v>
      </c>
      <c r="L44" s="54">
        <f>SUMIF('UC MINI 2026'!$B$5:$B$71,'BEV MINI 2026'!$B44,'UC MINI 2026'!$J$5:$J$71)</f>
        <v>23</v>
      </c>
      <c r="M44" s="86">
        <f>IFERROR(INDEX([2]BEV!$S$10:$AF$68,
      MATCH(B44,[2]BEV!$S$10:$S$68,0),
      MATCH("MARZO",[2]BEV!$S$9:$AF$9,0)),
   0)-IF(B44=100873,
   IFERROR(VLOOKUP("MARZO",[2]BEV!$S$80:$T$93,2,0),
      0),
   0)</f>
        <v>30</v>
      </c>
      <c r="N44" s="297">
        <f t="shared" si="94"/>
        <v>1.3043478260869565</v>
      </c>
      <c r="O44" s="54">
        <f>SUMIF('UC MINI 2026'!$B$5:$B$71,'BEV MINI 2026'!$B44,'UC MINI 2026'!$L$5:$L$71)</f>
        <v>22</v>
      </c>
      <c r="P44" s="86">
        <f>IFERROR(INDEX([2]BEV!$S$10:$AF$68,
      MATCH(B44,[2]BEV!$S$10:$S$68,0),
      MATCH("ABRIL",[2]BEV!$S$9:$AF$9,0)),
   0)-IF(B44=100873,
   IFERROR(VLOOKUP("ABRIL",[2]BEV!$S$80:$T$93,2,0),
      0),
   0)</f>
        <v>28</v>
      </c>
      <c r="Q44" s="243">
        <f t="shared" si="95"/>
        <v>1.2727272727272727</v>
      </c>
      <c r="R44" s="54">
        <f>SUMIF('UC MINI 2026'!$B$5:$B$71,'BEV MINI 2026'!$B44,'UC MINI 2026'!$N$5:$N$71)</f>
        <v>23</v>
      </c>
      <c r="S44" s="86">
        <f>IFERROR(INDEX([2]BEV!$S$10:$AF$68,
      MATCH(B44,[2]BEV!$S$10:$S$68,0),
      MATCH("MAYO",[2]BEV!$S$9:$AF$9,0)),
   0)-IF(B44=100873,
   IFERROR(VLOOKUP("MAYO",[2]BEV!$S$80:$T$93,2,0),
      0),
   0)</f>
        <v>31</v>
      </c>
      <c r="T44" s="297">
        <f t="shared" si="96"/>
        <v>1.3478260869565217</v>
      </c>
      <c r="U44" s="54">
        <f>SUMIF('UC MINI 2026'!$B$5:$B$71,'BEV MINI 2026'!$B44,'UC MINI 2026'!$P$5:$P$71)</f>
        <v>23</v>
      </c>
      <c r="V44" s="86">
        <f>IFERROR(INDEX([2]BEV!$S$10:$AF$68,
      MATCH(B44,[2]BEV!$S$10:$S$68,0),
      MATCH("JUNIO",[2]BEV!$S$9:$AF$9,0)),
   0)-IF(B44=100873,
   IFERROR(VLOOKUP("JUNIO",[2]BEV!$S$80:$T$93,2,0),
      0),
   0)</f>
        <v>32</v>
      </c>
      <c r="W44" s="243">
        <f t="shared" si="97"/>
        <v>1.3913043478260869</v>
      </c>
      <c r="X44" s="54">
        <f>SUMIF('UC MINI 2026'!$B$5:$B$71,'BEV MINI 2026'!$B44,'UC MINI 2026'!$R$5:$R$71)</f>
        <v>0</v>
      </c>
      <c r="Y44" s="86">
        <f>IFERROR(INDEX([2]BEV!$S$10:$AF$68,
      MATCH(B44,[2]BEV!$S$10:$S$68,0),
      MATCH("JULIO",[2]BEV!$S$9:$AF$9,0)),
   0)-IF(B44=100873,
   IFERROR(VLOOKUP("JULIO",[2]BEV!$S$80:$T$93,2,0),
      0),
   0)</f>
        <v>0</v>
      </c>
      <c r="Z44" s="297">
        <f t="shared" si="98"/>
        <v>0</v>
      </c>
      <c r="AA44" s="54">
        <f>SUMIF('UC MINI 2026'!$B$5:$B$71,'BEV MINI 2026'!$B44,'UC MINI 2026'!$T$5:$T$71)</f>
        <v>0</v>
      </c>
      <c r="AB44" s="86">
        <f>IFERROR(INDEX([2]BEV!$S$10:$AF$68,
      MATCH(B44,[2]BEV!$S$10:$S$68,0),
      MATCH("AGOSTO",[2]BEV!$S$9:$AF$9,0)),
   0)-IF(B44=100873,
   IFERROR(VLOOKUP("AGOSTO",[2]BEV!$S$80:$T$93,2,0),
      0),
   0)</f>
        <v>0</v>
      </c>
      <c r="AC44" s="243">
        <f t="shared" si="99"/>
        <v>0</v>
      </c>
      <c r="AD44" s="54">
        <f>SUMIF('UC MINI 2026'!$B$5:$B$71,'BEV MINI 2026'!$B44,'UC MINI 2026'!$V$5:$V$71)</f>
        <v>0</v>
      </c>
      <c r="AE44" s="86">
        <f>IFERROR(INDEX([2]BEV!$S$10:$AF$68,
      MATCH(B44,[2]BEV!$S$10:$S$68,0),
      MATCH("SEPTIEMBRE",[2]BEV!$S$9:$AF$9,0)),
   0)-IF(B44=100873,
   IFERROR(VLOOKUP("SEPTIEMBRE",[2]BEV!$S$80:$T$93,2,0),
      0),
   0)</f>
        <v>0</v>
      </c>
      <c r="AF44" s="297">
        <f t="shared" si="100"/>
        <v>0</v>
      </c>
      <c r="AG44" s="54">
        <f>SUMIF('UC MINI 2026'!$B$5:$B$71,'BEV MINI 2026'!$B44,'UC MINI 2026'!$X$5:$X$71)</f>
        <v>0</v>
      </c>
      <c r="AH44" s="86">
        <f>IFERROR(INDEX([2]BEV!$S$10:$AF$68,
      MATCH(B44,[2]BEV!$S$10:$S$68,0),
      MATCH("OCTUBRE",[2]BEV!$S$9:$AF$9,0)),
   0)-IF(B44=100873,
   IFERROR(VLOOKUP("OCTUBRE",[2]BEV!$S$80:$T$93,2,0),
      0),
   0)</f>
        <v>0</v>
      </c>
      <c r="AI44" s="243">
        <f t="shared" si="101"/>
        <v>0</v>
      </c>
      <c r="AJ44" s="54">
        <f>SUMIF('UC MINI 2026'!$B$5:$B$71,'BEV MINI 2026'!$B44,'UC MINI 2026'!$Z$5:$Z$71)</f>
        <v>0</v>
      </c>
      <c r="AK44" s="86">
        <f>IFERROR(INDEX([2]BEV!$S$10:$AF$68,
      MATCH(B44,[2]BEV!$S$10:$S$68,0),
      MATCH("NOVIEMBRE",[2]BEV!$S$9:$AF$9,0)),
   0)-IF(B44=100873,
   IFERROR(VLOOKUP("NOVIEMBRE",[2]BEV!$S$80:$T$93,2,0),
      0),
   0)</f>
        <v>0</v>
      </c>
      <c r="AL44" s="297">
        <f t="shared" si="102"/>
        <v>0</v>
      </c>
      <c r="AM44" s="54">
        <f>SUMIF('UC MINI 2026'!$B$5:$B$71,'BEV MINI 2026'!$B44,'UC MINI 2026'!$AB$5:$AB$71)</f>
        <v>0</v>
      </c>
      <c r="AN44" s="86">
        <f>IFERROR(INDEX([2]BEV!$S$10:$AF$68,
      MATCH(B44,[2]BEV!$S$10:$S$68,0),
      MATCH("DICIEMBRE",[2]BEV!$S$9:$AF$9,0)),
   0)-IF(B44=100873,
   IFERROR(VLOOKUP("DICIEMBRE",[2]BEV!$S$80:$T$93,2,0),
      0),
   0)</f>
        <v>0</v>
      </c>
      <c r="AO44" s="243">
        <f t="shared" si="103"/>
        <v>0</v>
      </c>
      <c r="AP44" s="67">
        <f>IFERROR(IF($AP$4="ENERO",F44,IF($AP$4="FEBRERO",F44+I44,IF($AP$4="MARZO",F44+I44+L44,IF($AP$4="ABRIL",F44+I44+L44+O44,IF($AP$4="MAYO",F44+I44+L44+O44+R44,IF($AP$4="JUNIO",F44+I44+L44+O44+R44+U44,IF($AP$4="JULIO",F44+I44+L44+O44+R44+U44+X44,IF($AP$4="AGOSTO",F44+I44+L44+O44+R44+U44+X44+AA44,IF($AP$4="SEPTIEMBRE",F44+I44+L44+O44+R44+U44+X44+AA44+AD44,IF($AP$4="OCTUBRE",F44+I44+L44+O44+R44+U44+X44+AA44+AD44+AG44,IF($AP$4="NOVIEMBRE",F44+I44+L44+O44+R44+U44+X44+AA44+AD44+AG44+AJ44,IF($AP$4="DICIEMBRE",F44+I44+L44+O44+R44+U44+X44+AA44+AD44+AG44+AJ44+AM44,"")))))))))))),0)</f>
        <v>135</v>
      </c>
      <c r="AQ44" s="68">
        <f>IFERROR(IF($AP$4="ENERO",G44,IF($AP$4="FEBRERO",G44+J44,IF($AP$4="MARZO",G44+J44+M44,IF($AP$4="ABRIL",G44+J44+M44+P44,IF($AP$4="MAYO",G44+J44+M44+P44+S44,IF($AP$4="JUNIO",G44+J44+M44+P44+S44+V44,IF($AP$4="JULIO",G44+J44+M44+P44+S44+V44+Y44,IF($AP$4="AGOSTO",G44+J44+M44+P44+S44+V44+Y44+AB44,IF($AP$4="SEPTIEMBRE",G44+J44+M44+P44+S44+V44+Y44+AB44+AE44,IF($AP$4="OCTUBRE",G44+J44+M44+P44+S44+V44+Y44+AB44+AE44+AH44,IF($AP$4="NOVIEMBRE",G44+J44+M44+P44+S44+V44+Y44+AB44+AE44+AH44+AK44,IF($AP$4="DICIEMBRE",G44+J44+M44+P44+S44+V44+Y44+AB44+AE44+AH44+AK44+AN44,"")))))))))))),0)</f>
        <v>170</v>
      </c>
      <c r="AR44" s="149">
        <f t="shared" si="109"/>
        <v>1.2592592592592593</v>
      </c>
      <c r="AS44" s="67">
        <f>IFERROR(F44+I44+L44+O44+R44+U44++X44+AA44+AD44+AG44+AJ44+AM44,0)</f>
        <v>135</v>
      </c>
      <c r="AT44" s="86">
        <f t="shared" si="14"/>
        <v>170</v>
      </c>
      <c r="AU44" s="149">
        <f t="shared" si="110"/>
        <v>1.2592592592592593</v>
      </c>
      <c r="AV44" s="54">
        <f>IF($AV$5="Q1",F44+I44+L44,
IF($AV$5="Q2",O44+R44++U44,
IF($AV$5="Q3",X44+AA44+AD44,
IF($AV$5="Q4",AG44+AJ44+AM44,0))))</f>
        <v>67</v>
      </c>
      <c r="AW44" s="86">
        <f>IF($AV$5="Q1",G44+J44+M44,
IF($AV$5="Q2",P44+S44++V44,
IF($AV$5="Q3",Y44+AB44+AE44,
IF($AV$5="Q4",AH44+AK44+AN44,0))))</f>
        <v>79</v>
      </c>
      <c r="AX44" s="109">
        <f t="shared" si="112"/>
        <v>1.1791044776119404</v>
      </c>
      <c r="AY44" s="68">
        <f>IFERROR(IF($AV$5="Q1",#REF!+#REF!+#REF!,
IF($AV$5="Q2",#REF!+#REF!++#REF!,
IF($AV$5="Q3",#REF!+#REF!+#REF!,
IF($AV$5="Q4",#REF!+#REF!+#REF!,0)))),0)</f>
        <v>0</v>
      </c>
      <c r="AZ44" s="297">
        <f>IF(AW44=0,"N.D.",AY44/AW44)</f>
        <v>0</v>
      </c>
      <c r="BA44" s="350">
        <f>IFERROR(IF($AV$5="Q1",#REF!+#REF!+#REF!,
IF($AV$5="Q2",#REF!+#REF!+#REF!,
IF($AV$5="Q3",#REF!+#REF!+#REF!,
IF($AV$5="Q4",#REF!+#REF!+#REF!,0)))),0)</f>
        <v>0</v>
      </c>
      <c r="BB44" s="150">
        <f t="shared" si="113"/>
        <v>0</v>
      </c>
      <c r="BC44" s="67">
        <f>IFERROR(IF($BC$5="S 1",F44+I44+L44+O44+R44+U44,
IF($BC$5="S 2",X44+AA44+AD44+AG44+AJ44+AM44,0)),0)</f>
        <v>135</v>
      </c>
      <c r="BD44" s="68">
        <f>IFERROR(IF($BC$5="S 1",G44+J44+M44+P44+S44+V44,
IF($BC$5="S 2",Y44+AB44+AE44+AH44+AK44+AN44,0)),0)</f>
        <v>170</v>
      </c>
      <c r="BE44" s="150">
        <f t="shared" si="114"/>
        <v>1.2592592592592593</v>
      </c>
      <c r="BF44" s="67">
        <f>IFERROR(IF($BF$5="S 1",F44+I44+L44+O44+R44+U44,
IF($BF$5="S 2",X44+AA44+AD44+AG44+AJ44+AM44,0)),0)</f>
        <v>0</v>
      </c>
      <c r="BG44" s="266">
        <f>IFERROR(IF($BF$5="S 1",G44+J44+M44+P44+S44+V44,
IF($BF$5="S 2",Y44+AB44+AE44+AH44+AK44+AN44,0)),0)</f>
        <v>0</v>
      </c>
      <c r="BH44" s="150">
        <f t="shared" si="115"/>
        <v>0</v>
      </c>
      <c r="BI44" s="53">
        <v>1</v>
      </c>
      <c r="BK44" s="53">
        <v>15</v>
      </c>
      <c r="BL44" s="53">
        <v>16</v>
      </c>
      <c r="BM44" s="513">
        <v>0.9</v>
      </c>
      <c r="BP44" s="53">
        <f t="shared" si="116"/>
        <v>91</v>
      </c>
      <c r="BQ44" s="53">
        <f t="shared" si="117"/>
        <v>68</v>
      </c>
    </row>
    <row r="45" spans="1:69" s="53" customFormat="1" ht="16" customHeight="1" thickBot="1" x14ac:dyDescent="0.35">
      <c r="A45" s="53">
        <f>_xlfn.XLOOKUP(B45,'WHOLESALE MINI 2026'!$B$7:$B$63,'WHOLESALE MINI 2026'!$A$7:$A$63)</f>
        <v>0</v>
      </c>
      <c r="B45" s="61" t="s">
        <v>269</v>
      </c>
      <c r="C45" s="62"/>
      <c r="D45" s="146"/>
      <c r="E45" s="80"/>
      <c r="F45" s="63">
        <f>SUM(F43:F44)</f>
        <v>32</v>
      </c>
      <c r="G45" s="63">
        <f>SUM(G43:G44)</f>
        <v>25</v>
      </c>
      <c r="H45" s="301">
        <f t="shared" ref="H45:H51" si="118">IFERROR(G45/F45,0)</f>
        <v>0.78125</v>
      </c>
      <c r="I45" s="63">
        <f>SUM(I43:I44)</f>
        <v>32</v>
      </c>
      <c r="J45" s="63">
        <f>SUM(J43:J44)</f>
        <v>35</v>
      </c>
      <c r="K45" s="301">
        <f t="shared" ref="K45:K51" si="119">IFERROR(J45/I45,0)</f>
        <v>1.09375</v>
      </c>
      <c r="L45" s="63">
        <f>SUM(L43:L44)</f>
        <v>33</v>
      </c>
      <c r="M45" s="63">
        <f>SUM(M43:M44)</f>
        <v>37</v>
      </c>
      <c r="N45" s="301">
        <f t="shared" ref="N45:N50" si="120">IFERROR(M45/L45,0)</f>
        <v>1.1212121212121211</v>
      </c>
      <c r="O45" s="63">
        <f>SUM(O43:O44)</f>
        <v>32</v>
      </c>
      <c r="P45" s="63">
        <f>SUM(P43:P44)</f>
        <v>41</v>
      </c>
      <c r="Q45" s="301">
        <f t="shared" ref="Q45:Q50" si="121">IFERROR(P45/O45,0)</f>
        <v>1.28125</v>
      </c>
      <c r="R45" s="63">
        <f>SUM(R43:R44)</f>
        <v>33</v>
      </c>
      <c r="S45" s="63">
        <f>SUM(S43:S44)</f>
        <v>44</v>
      </c>
      <c r="T45" s="301">
        <f t="shared" ref="T45:T50" si="122">IFERROR(S45/R45,0)</f>
        <v>1.3333333333333333</v>
      </c>
      <c r="U45" s="63">
        <f>SUM(U43:U44)</f>
        <v>33</v>
      </c>
      <c r="V45" s="63">
        <f>SUM(V43:V44)</f>
        <v>44</v>
      </c>
      <c r="W45" s="301">
        <f t="shared" ref="W45:W50" si="123">IFERROR(V45/U45,0)</f>
        <v>1.3333333333333333</v>
      </c>
      <c r="X45" s="63">
        <f>SUM(X43:X44)</f>
        <v>0</v>
      </c>
      <c r="Y45" s="63">
        <f>SUM(Y43:Y44)</f>
        <v>0</v>
      </c>
      <c r="Z45" s="301">
        <f t="shared" ref="Z45:Z50" si="124">IFERROR(Y45/X45,0)</f>
        <v>0</v>
      </c>
      <c r="AA45" s="63">
        <f>SUM(AA43:AA44)</f>
        <v>0</v>
      </c>
      <c r="AB45" s="63">
        <f>SUM(AB43:AB44)</f>
        <v>0</v>
      </c>
      <c r="AC45" s="301">
        <f t="shared" ref="AC45:AC50" si="125">IFERROR(AB45/AA45,0)</f>
        <v>0</v>
      </c>
      <c r="AD45" s="63">
        <f>SUM(AD43:AD44)</f>
        <v>0</v>
      </c>
      <c r="AE45" s="63">
        <f>SUM(AE43:AE44)</f>
        <v>0</v>
      </c>
      <c r="AF45" s="301">
        <f t="shared" ref="AF45:AF50" si="126">IFERROR(AE45/AD45,0)</f>
        <v>0</v>
      </c>
      <c r="AG45" s="63">
        <f>SUM(AG43:AG44)</f>
        <v>0</v>
      </c>
      <c r="AH45" s="63">
        <f>SUM(AH43:AH44)</f>
        <v>0</v>
      </c>
      <c r="AI45" s="301">
        <f t="shared" ref="AI45:AI50" si="127">IFERROR(AH45/AG45,0)</f>
        <v>0</v>
      </c>
      <c r="AJ45" s="63">
        <f>SUM(AJ43:AJ44)</f>
        <v>0</v>
      </c>
      <c r="AK45" s="63">
        <f>SUM(AK43:AK44)</f>
        <v>0</v>
      </c>
      <c r="AL45" s="301">
        <f t="shared" ref="AL45:AL50" si="128">IFERROR(AK45/AJ45,0)</f>
        <v>0</v>
      </c>
      <c r="AM45" s="63">
        <f>SUM(AM43:AM44)</f>
        <v>0</v>
      </c>
      <c r="AN45" s="63">
        <f>SUM(AN43:AN44)</f>
        <v>0</v>
      </c>
      <c r="AO45" s="301">
        <f t="shared" ref="AO45:AO50" si="129">IFERROR(AN45/AM45,0)</f>
        <v>0</v>
      </c>
      <c r="AP45" s="63">
        <f>SUM(AP43:AP44)</f>
        <v>195</v>
      </c>
      <c r="AQ45" s="63">
        <f>SUM(AQ43:AQ44)</f>
        <v>226</v>
      </c>
      <c r="AR45" s="320">
        <f t="shared" ref="AR45:AR51" si="130">IFERROR((AQ45/AP45),0)</f>
        <v>1.1589743589743591</v>
      </c>
      <c r="AS45" s="63">
        <f>SUM(AS43:AS44)</f>
        <v>195</v>
      </c>
      <c r="AT45" s="63">
        <f>SUM(AT43:AT44)</f>
        <v>226</v>
      </c>
      <c r="AU45" s="320">
        <f t="shared" ref="AU45:AU51" si="131">IFERROR((AT45/AS45),0)</f>
        <v>1.1589743589743591</v>
      </c>
      <c r="AV45" s="63">
        <f>SUM(AV37:AV44)</f>
        <v>265</v>
      </c>
      <c r="AW45" s="65">
        <f>SUM(AW37:AW44)</f>
        <v>313</v>
      </c>
      <c r="AX45" s="157">
        <f>IFERROR((AW45/AV45),0)</f>
        <v>1.1811320754716981</v>
      </c>
      <c r="AY45" s="65">
        <f>SUM(AY37:AY44)</f>
        <v>0</v>
      </c>
      <c r="AZ45" s="321">
        <f>IFERROR(AY45/AW45,0)</f>
        <v>0</v>
      </c>
      <c r="BA45" s="349" t="e">
        <f>IF($AV$5="Q1",#REF!+#REF!+#REF!,
IF($AV$5="Q2",#REF!+#REF!+#REF!,
IF($AV$5="Q3",#REF!+#REF!+#REF!,
IF($AV$5="Q4",#REF!+#REF!+#REF!,0))))</f>
        <v>#REF!</v>
      </c>
      <c r="BB45" s="333">
        <f>IFERROR((BA45/AV45),0)</f>
        <v>0</v>
      </c>
      <c r="BC45" s="63">
        <f>IF($BC$5="S 1",F45+I45+L45+O45+R45+U45,
IF($BC$5="S 2",X45+AA45+AD45+AG45+AJ45+AM45,0))</f>
        <v>195</v>
      </c>
      <c r="BD45" s="65">
        <f>IF($BC$5="S 1",G45+J45+M45+P45+S45+V45,
IF($BC$5="S 2",Y45+AB45+AE45+AH45+AK45+AN45,0))</f>
        <v>226</v>
      </c>
      <c r="BE45" s="333">
        <f t="shared" ref="BE45:BE51" si="132">IFERROR((BD45/BC45),0)</f>
        <v>1.1589743589743591</v>
      </c>
      <c r="BF45" s="63">
        <f>SUM(BF43:BF44)</f>
        <v>0</v>
      </c>
      <c r="BG45" s="63">
        <f>SUM(BG43:BG44)</f>
        <v>0</v>
      </c>
      <c r="BH45" s="333">
        <f t="shared" ref="BH45:BH51" si="133">IFERROR((BG45/BF45),0)</f>
        <v>0</v>
      </c>
      <c r="BI45" s="53">
        <v>0</v>
      </c>
      <c r="BK45" s="53">
        <v>13</v>
      </c>
      <c r="BL45" s="53">
        <v>15</v>
      </c>
      <c r="BM45" s="513">
        <v>0.9</v>
      </c>
      <c r="BP45" s="53">
        <f>SUM(V45,S45,P45)</f>
        <v>129</v>
      </c>
      <c r="BQ45" s="53">
        <f>SUM(U45,R45,O45)</f>
        <v>98</v>
      </c>
    </row>
    <row r="46" spans="1:69" s="53" customFormat="1" ht="16" customHeight="1" x14ac:dyDescent="0.3">
      <c r="A46" s="53">
        <f>_xlfn.XLOOKUP(B46,'WHOLESALE MINI 2026'!$B$7:$B$63,'WHOLESALE MINI 2026'!$A$7:$A$63)</f>
        <v>8</v>
      </c>
      <c r="B46" s="8">
        <v>100002</v>
      </c>
      <c r="C46" s="369" t="s">
        <v>61</v>
      </c>
      <c r="D46" s="146"/>
      <c r="E46" s="379" t="s">
        <v>96</v>
      </c>
      <c r="F46" s="54">
        <f>SUMIF('UC MINI 2026'!$B$5:$B$71,'BEV MINI 2026'!$B46,'UC MINI 2026'!$F$5:$F$71)</f>
        <v>7</v>
      </c>
      <c r="G46" s="86">
        <f>IFERROR(INDEX([2]BEV!$S$10:$AF$68,
      MATCH(B46,[2]BEV!$S$10:$S$68,0),
      MATCH("ENERO",[2]BEV!$S$9:$AF$9,0)),
   0)-IF(B46=100873,
   IFERROR(VLOOKUP("ENERO",[2]BEV!$S$80:$T$93,2,0),
      0),
   0)</f>
        <v>10</v>
      </c>
      <c r="H46" s="242">
        <f t="shared" si="118"/>
        <v>1.4285714285714286</v>
      </c>
      <c r="I46" s="54">
        <f>SUMIF('UC MINI 2026'!$B$5:$B$71,'BEV MINI 2026'!$B46,'UC MINI 2026'!$H$5:$H$71)</f>
        <v>7</v>
      </c>
      <c r="J46" s="86">
        <f>IFERROR(INDEX([2]BEV!$S$10:$AF$68,
      MATCH(B46,[2]BEV!$S$10:$S$68,0),
      MATCH("FEBRERO",[2]BEV!$S$9:$AF$9,0)),
   0)-IF(B46=100873,
   IFERROR(VLOOKUP("FEBRERO",[2]BEV!$S$80:$T$93,2,0),
      0),
   0)</f>
        <v>14</v>
      </c>
      <c r="K46" s="242">
        <f t="shared" si="119"/>
        <v>2</v>
      </c>
      <c r="L46" s="54">
        <f>SUMIF('UC MINI 2026'!$B$5:$B$71,'BEV MINI 2026'!$B46,'UC MINI 2026'!$J$5:$J$71)</f>
        <v>7</v>
      </c>
      <c r="M46" s="86">
        <f>IFERROR(INDEX([2]BEV!$S$10:$AF$68,
      MATCH(B46,[2]BEV!$S$10:$S$68,0),
      MATCH("MARZO",[2]BEV!$S$9:$AF$9,0)),
   0)-IF(B46=100873,
   IFERROR(VLOOKUP("MARZO",[2]BEV!$S$80:$T$93,2,0),
      0),
   0)</f>
        <v>14</v>
      </c>
      <c r="N46" s="297">
        <f t="shared" si="120"/>
        <v>2</v>
      </c>
      <c r="O46" s="54">
        <f>SUMIF('UC MINI 2026'!$B$5:$B$71,'BEV MINI 2026'!$B46,'UC MINI 2026'!$L$5:$L$71)</f>
        <v>7</v>
      </c>
      <c r="P46" s="86">
        <f>IFERROR(INDEX([2]BEV!$S$10:$AF$68,
      MATCH(B46,[2]BEV!$S$10:$S$68,0),
      MATCH("ABRIL",[2]BEV!$S$9:$AF$9,0)),
   0)-IF(B46=100873,
   IFERROR(VLOOKUP("ABRIL",[2]BEV!$S$80:$T$93,2,0),
      0),
   0)</f>
        <v>7</v>
      </c>
      <c r="Q46" s="243">
        <f t="shared" si="121"/>
        <v>1</v>
      </c>
      <c r="R46" s="54">
        <f>SUMIF('UC MINI 2026'!$B$5:$B$71,'BEV MINI 2026'!$B46,'UC MINI 2026'!$N$5:$N$71)</f>
        <v>7</v>
      </c>
      <c r="S46" s="86">
        <f>IFERROR(INDEX([2]BEV!$S$10:$AF$68,
      MATCH(B46,[2]BEV!$S$10:$S$68,0),
      MATCH("MAYO",[2]BEV!$S$9:$AF$9,0)),
   0)-IF(B46=100873,
   IFERROR(VLOOKUP("MAYO",[2]BEV!$S$80:$T$93,2,0),
      0),
   0)</f>
        <v>5</v>
      </c>
      <c r="T46" s="297">
        <f t="shared" si="122"/>
        <v>0.7142857142857143</v>
      </c>
      <c r="U46" s="54">
        <f>SUMIF('UC MINI 2026'!$B$5:$B$71,'BEV MINI 2026'!$B46,'UC MINI 2026'!$P$5:$P$71)</f>
        <v>7</v>
      </c>
      <c r="V46" s="86">
        <f>IFERROR(INDEX([2]BEV!$S$10:$AF$68,
      MATCH(B46,[2]BEV!$S$10:$S$68,0),
      MATCH("JUNIO",[2]BEV!$S$9:$AF$9,0)),
   0)-IF(B46=100873,
   IFERROR(VLOOKUP("JUNIO",[2]BEV!$S$80:$T$93,2,0),
      0),
   0)</f>
        <v>9</v>
      </c>
      <c r="W46" s="243">
        <f t="shared" si="123"/>
        <v>1.2857142857142858</v>
      </c>
      <c r="X46" s="54">
        <f>SUMIF('UC MINI 2026'!$B$5:$B$71,'BEV MINI 2026'!$B46,'UC MINI 2026'!$R$5:$R$71)</f>
        <v>0</v>
      </c>
      <c r="Y46" s="86">
        <f>IFERROR(INDEX([2]BEV!$S$10:$AF$68,
      MATCH(B46,[2]BEV!$S$10:$S$68,0),
      MATCH("JULIO",[2]BEV!$S$9:$AF$9,0)),
   0)-IF(B46=100873,
   IFERROR(VLOOKUP("JULIO",[2]BEV!$S$80:$T$93,2,0),
      0),
   0)</f>
        <v>0</v>
      </c>
      <c r="Z46" s="297">
        <f t="shared" si="124"/>
        <v>0</v>
      </c>
      <c r="AA46" s="54">
        <f>SUMIF('UC MINI 2026'!$B$5:$B$71,'BEV MINI 2026'!$B46,'UC MINI 2026'!$T$5:$T$71)</f>
        <v>0</v>
      </c>
      <c r="AB46" s="86">
        <f>IFERROR(INDEX([2]BEV!$S$10:$AF$68,
      MATCH(B46,[2]BEV!$S$10:$S$68,0),
      MATCH("AGOSTO",[2]BEV!$S$9:$AF$9,0)),
   0)-IF(B46=100873,
   IFERROR(VLOOKUP("AGOSTO",[2]BEV!$S$80:$T$93,2,0),
      0),
   0)</f>
        <v>0</v>
      </c>
      <c r="AC46" s="243">
        <f t="shared" si="125"/>
        <v>0</v>
      </c>
      <c r="AD46" s="54">
        <f>SUMIF('UC MINI 2026'!$B$5:$B$71,'BEV MINI 2026'!$B46,'UC MINI 2026'!$V$5:$V$71)</f>
        <v>0</v>
      </c>
      <c r="AE46" s="86">
        <f>IFERROR(INDEX([2]BEV!$S$10:$AF$68,
      MATCH(B46,[2]BEV!$S$10:$S$68,0),
      MATCH("SEPTIEMBRE",[2]BEV!$S$9:$AF$9,0)),
   0)-IF(B46=100873,
   IFERROR(VLOOKUP("SEPTIEMBRE",[2]BEV!$S$80:$T$93,2,0),
      0),
   0)</f>
        <v>0</v>
      </c>
      <c r="AF46" s="297">
        <f t="shared" si="126"/>
        <v>0</v>
      </c>
      <c r="AG46" s="54">
        <f>SUMIF('UC MINI 2026'!$B$5:$B$71,'BEV MINI 2026'!$B46,'UC MINI 2026'!$X$5:$X$71)</f>
        <v>0</v>
      </c>
      <c r="AH46" s="86">
        <f>IFERROR(INDEX([2]BEV!$S$10:$AF$68,
      MATCH(B46,[2]BEV!$S$10:$S$68,0),
      MATCH("OCTUBRE",[2]BEV!$S$9:$AF$9,0)),
   0)-IF(B46=100873,
   IFERROR(VLOOKUP("OCTUBRE",[2]BEV!$S$80:$T$93,2,0),
      0),
   0)</f>
        <v>0</v>
      </c>
      <c r="AI46" s="243">
        <f t="shared" si="127"/>
        <v>0</v>
      </c>
      <c r="AJ46" s="54">
        <f>SUMIF('UC MINI 2026'!$B$5:$B$71,'BEV MINI 2026'!$B46,'UC MINI 2026'!$Z$5:$Z$71)</f>
        <v>0</v>
      </c>
      <c r="AK46" s="86">
        <f>IFERROR(INDEX([2]BEV!$S$10:$AF$68,
      MATCH(B46,[2]BEV!$S$10:$S$68,0),
      MATCH("NOVIEMBRE",[2]BEV!$S$9:$AF$9,0)),
   0)-IF(B46=100873,
   IFERROR(VLOOKUP("NOVIEMBRE",[2]BEV!$S$80:$T$93,2,0),
      0),
   0)</f>
        <v>0</v>
      </c>
      <c r="AL46" s="297">
        <f t="shared" si="128"/>
        <v>0</v>
      </c>
      <c r="AM46" s="54">
        <f>SUMIF('UC MINI 2026'!$B$5:$B$71,'BEV MINI 2026'!$B46,'UC MINI 2026'!$AB$5:$AB$71)</f>
        <v>0</v>
      </c>
      <c r="AN46" s="86">
        <f>IFERROR(INDEX([2]BEV!$S$10:$AF$68,
      MATCH(B46,[2]BEV!$S$10:$S$68,0),
      MATCH("DICIEMBRE",[2]BEV!$S$9:$AF$9,0)),
   0)-IF(B46=100873,
   IFERROR(VLOOKUP("DICIEMBRE",[2]BEV!$S$80:$T$93,2,0),
      0),
   0)</f>
        <v>0</v>
      </c>
      <c r="AO46" s="243">
        <f t="shared" si="129"/>
        <v>0</v>
      </c>
      <c r="AP46" s="67">
        <f t="shared" ref="AP46:AQ49" si="134">IFERROR(IF($AP$4="ENERO",F46,IF($AP$4="FEBRERO",F46+I46,IF($AP$4="MARZO",F46+I46+L46,IF($AP$4="ABRIL",F46+I46+L46+O46,IF($AP$4="MAYO",F46+I46+L46+O46+R46,IF($AP$4="JUNIO",F46+I46+L46+O46+R46+U46,IF($AP$4="JULIO",F46+I46+L46+O46+R46+U46+X46,IF($AP$4="AGOSTO",F46+I46+L46+O46+R46+U46+X46+AA46,IF($AP$4="SEPTIEMBRE",F46+I46+L46+O46+R46+U46+X46+AA46+AD46,IF($AP$4="OCTUBRE",F46+I46+L46+O46+R46+U46+X46+AA46+AD46+AG46,IF($AP$4="NOVIEMBRE",F46+I46+L46+O46+R46+U46+X46+AA46+AD46+AG46+AJ46,IF($AP$4="DICIEMBRE",F46+I46+L46+O46+R46+U46+X46+AA46+AD46+AG46+AJ46+AM46,"")))))))))))),0)</f>
        <v>42</v>
      </c>
      <c r="AQ46" s="68">
        <f t="shared" si="134"/>
        <v>59</v>
      </c>
      <c r="AR46" s="161">
        <f t="shared" si="130"/>
        <v>1.4047619047619047</v>
      </c>
      <c r="AS46" s="67">
        <f>IFERROR(F46+I46+L46+O46+R46+U46++X46+AA46+AD46+AG46+AJ46+AM46,0)</f>
        <v>42</v>
      </c>
      <c r="AT46" s="86">
        <f t="shared" si="14"/>
        <v>59</v>
      </c>
      <c r="AU46" s="161">
        <f t="shared" si="131"/>
        <v>1.4047619047619047</v>
      </c>
      <c r="AV46" s="67">
        <f t="shared" ref="AV46:AW49" si="135">IF($AV$5="Q1",F46+I46+L46,
IF($AV$5="Q2",O46+R46++U46,
IF($AV$5="Q3",X46+AA46+AD46,
IF($AV$5="Q4",AG46+AJ46+AM46,0))))</f>
        <v>21</v>
      </c>
      <c r="AW46" s="68">
        <f t="shared" si="135"/>
        <v>38</v>
      </c>
      <c r="AX46" s="116">
        <f>IFERROR((AW46/AV46),0)</f>
        <v>1.8095238095238095</v>
      </c>
      <c r="AY46" s="68">
        <f>IFERROR(IF($AV$5="Q1",#REF!+#REF!+#REF!,
IF($AV$5="Q2",#REF!+#REF!++#REF!,
IF($AV$5="Q3",#REF!+#REF!+#REF!,
IF($AV$5="Q4",#REF!+#REF!+#REF!,0)))),0)</f>
        <v>0</v>
      </c>
      <c r="AZ46" s="297">
        <f>IF(AW46=0,"N.D.",AY46/AW46)</f>
        <v>0</v>
      </c>
      <c r="BA46" s="350">
        <f>IFERROR(IF($AV$5="Q1",#REF!+#REF!+#REF!,
IF($AV$5="Q2",#REF!+#REF!+#REF!,
IF($AV$5="Q3",#REF!+#REF!+#REF!,
IF($AV$5="Q4",#REF!+#REF!+#REF!,0)))),0)</f>
        <v>0</v>
      </c>
      <c r="BB46" s="162">
        <f>IFERROR((BA46/AV46),0)</f>
        <v>0</v>
      </c>
      <c r="BC46" s="67">
        <f t="shared" ref="BC46:BD49" si="136">IFERROR(IF($BC$5="S 1",F46+I46+L46+O46+R46+U46,
IF($BC$5="S 2",X46+AA46+AD46+AG46+AJ46+AM46,0)),0)</f>
        <v>42</v>
      </c>
      <c r="BD46" s="68">
        <f t="shared" si="136"/>
        <v>59</v>
      </c>
      <c r="BE46" s="162">
        <f t="shared" si="132"/>
        <v>1.4047619047619047</v>
      </c>
      <c r="BF46" s="67">
        <f t="shared" ref="BF46:BG49" si="137">IFERROR(IF($BF$5="S 1",F46+I46+L46+O46+R46+U46,
IF($BF$5="S 2",X46+AA46+AD46+AG46+AJ46+AM46,0)),0)</f>
        <v>0</v>
      </c>
      <c r="BG46" s="266">
        <f t="shared" si="137"/>
        <v>0</v>
      </c>
      <c r="BH46" s="162">
        <f t="shared" si="133"/>
        <v>0</v>
      </c>
      <c r="BI46" s="53">
        <v>1</v>
      </c>
      <c r="BK46" s="53">
        <v>12</v>
      </c>
      <c r="BL46" s="53">
        <v>15</v>
      </c>
      <c r="BM46" s="513">
        <v>0.8</v>
      </c>
      <c r="BP46" s="53">
        <f>SUM(V46,S46,P46)</f>
        <v>21</v>
      </c>
      <c r="BQ46" s="53">
        <f>SUM(U46,R46,O46)</f>
        <v>21</v>
      </c>
    </row>
    <row r="47" spans="1:69" s="53" customFormat="1" ht="16" customHeight="1" x14ac:dyDescent="0.3">
      <c r="A47" s="53">
        <f>_xlfn.XLOOKUP(B47,'WHOLESALE MINI 2026'!$B$7:$B$63,'WHOLESALE MINI 2026'!$A$7:$A$63)</f>
        <v>8</v>
      </c>
      <c r="B47" s="8">
        <v>100062</v>
      </c>
      <c r="C47" s="369" t="s">
        <v>62</v>
      </c>
      <c r="D47" s="146"/>
      <c r="E47" s="379" t="s">
        <v>97</v>
      </c>
      <c r="F47" s="54">
        <f>SUMIF('UC MINI 2026'!$B$5:$B$71,'BEV MINI 2026'!$B47,'UC MINI 2026'!$F$5:$F$71)</f>
        <v>9</v>
      </c>
      <c r="G47" s="86">
        <f>IFERROR(INDEX([2]BEV!$S$10:$AF$68,
      MATCH(B47,[2]BEV!$S$10:$S$68,0),
      MATCH("ENERO",[2]BEV!$S$9:$AF$9,0)),
   0)-IF(B47=100873,
   IFERROR(VLOOKUP("ENERO",[2]BEV!$S$80:$T$93,2,0),
      0),
   0)</f>
        <v>6</v>
      </c>
      <c r="H47" s="243">
        <f t="shared" si="118"/>
        <v>0.66666666666666663</v>
      </c>
      <c r="I47" s="54">
        <f>SUMIF('UC MINI 2026'!$B$5:$B$71,'BEV MINI 2026'!$B47,'UC MINI 2026'!$H$5:$H$71)</f>
        <v>9</v>
      </c>
      <c r="J47" s="86">
        <f>IFERROR(INDEX([2]BEV!$S$10:$AF$68,
      MATCH(B47,[2]BEV!$S$10:$S$68,0),
      MATCH("FEBRERO",[2]BEV!$S$9:$AF$9,0)),
   0)-IF(B47=100873,
   IFERROR(VLOOKUP("FEBRERO",[2]BEV!$S$80:$T$93,2,0),
      0),
   0)</f>
        <v>17</v>
      </c>
      <c r="K47" s="243">
        <f t="shared" si="119"/>
        <v>1.8888888888888888</v>
      </c>
      <c r="L47" s="54">
        <f>SUMIF('UC MINI 2026'!$B$5:$B$71,'BEV MINI 2026'!$B47,'UC MINI 2026'!$J$5:$J$71)</f>
        <v>9</v>
      </c>
      <c r="M47" s="86">
        <f>IFERROR(INDEX([2]BEV!$S$10:$AF$68,
      MATCH(B47,[2]BEV!$S$10:$S$68,0),
      MATCH("MARZO",[2]BEV!$S$9:$AF$9,0)),
   0)-IF(B47=100873,
   IFERROR(VLOOKUP("MARZO",[2]BEV!$S$80:$T$93,2,0),
      0),
   0)</f>
        <v>11</v>
      </c>
      <c r="N47" s="297">
        <f t="shared" si="120"/>
        <v>1.2222222222222223</v>
      </c>
      <c r="O47" s="54">
        <f>SUMIF('UC MINI 2026'!$B$5:$B$71,'BEV MINI 2026'!$B47,'UC MINI 2026'!$L$5:$L$71)</f>
        <v>9</v>
      </c>
      <c r="P47" s="86">
        <f>IFERROR(INDEX([2]BEV!$S$10:$AF$68,
      MATCH(B47,[2]BEV!$S$10:$S$68,0),
      MATCH("ABRIL",[2]BEV!$S$9:$AF$9,0)),
   0)-IF(B47=100873,
   IFERROR(VLOOKUP("ABRIL",[2]BEV!$S$80:$T$93,2,0),
      0),
   0)</f>
        <v>12</v>
      </c>
      <c r="Q47" s="243">
        <f t="shared" si="121"/>
        <v>1.3333333333333333</v>
      </c>
      <c r="R47" s="54">
        <f>SUMIF('UC MINI 2026'!$B$5:$B$71,'BEV MINI 2026'!$B47,'UC MINI 2026'!$N$5:$N$71)</f>
        <v>9</v>
      </c>
      <c r="S47" s="86">
        <f>IFERROR(INDEX([2]BEV!$S$10:$AF$68,
      MATCH(B47,[2]BEV!$S$10:$S$68,0),
      MATCH("MAYO",[2]BEV!$S$9:$AF$9,0)),
   0)-IF(B47=100873,
   IFERROR(VLOOKUP("MAYO",[2]BEV!$S$80:$T$93,2,0),
      0),
   0)</f>
        <v>21</v>
      </c>
      <c r="T47" s="297">
        <f t="shared" si="122"/>
        <v>2.3333333333333335</v>
      </c>
      <c r="U47" s="54">
        <f>SUMIF('UC MINI 2026'!$B$5:$B$71,'BEV MINI 2026'!$B47,'UC MINI 2026'!$P$5:$P$71)</f>
        <v>10</v>
      </c>
      <c r="V47" s="86">
        <f>IFERROR(INDEX([2]BEV!$S$10:$AF$68,
      MATCH(B47,[2]BEV!$S$10:$S$68,0),
      MATCH("JUNIO",[2]BEV!$S$9:$AF$9,0)),
   0)-IF(B47=100873,
   IFERROR(VLOOKUP("JUNIO",[2]BEV!$S$80:$T$93,2,0),
      0),
   0)</f>
        <v>18</v>
      </c>
      <c r="W47" s="243">
        <f t="shared" si="123"/>
        <v>1.8</v>
      </c>
      <c r="X47" s="54">
        <f>SUMIF('UC MINI 2026'!$B$5:$B$71,'BEV MINI 2026'!$B47,'UC MINI 2026'!$R$5:$R$71)</f>
        <v>0</v>
      </c>
      <c r="Y47" s="86">
        <f>IFERROR(INDEX([2]BEV!$S$10:$AF$68,
      MATCH(B47,[2]BEV!$S$10:$S$68,0),
      MATCH("JULIO",[2]BEV!$S$9:$AF$9,0)),
   0)-IF(B47=100873,
   IFERROR(VLOOKUP("JULIO",[2]BEV!$S$80:$T$93,2,0),
      0),
   0)</f>
        <v>0</v>
      </c>
      <c r="Z47" s="297">
        <f t="shared" si="124"/>
        <v>0</v>
      </c>
      <c r="AA47" s="54">
        <f>SUMIF('UC MINI 2026'!$B$5:$B$71,'BEV MINI 2026'!$B47,'UC MINI 2026'!$T$5:$T$71)</f>
        <v>0</v>
      </c>
      <c r="AB47" s="86">
        <f>IFERROR(INDEX([2]BEV!$S$10:$AF$68,
      MATCH(B47,[2]BEV!$S$10:$S$68,0),
      MATCH("AGOSTO",[2]BEV!$S$9:$AF$9,0)),
   0)-IF(B47=100873,
   IFERROR(VLOOKUP("AGOSTO",[2]BEV!$S$80:$T$93,2,0),
      0),
   0)</f>
        <v>0</v>
      </c>
      <c r="AC47" s="243">
        <f t="shared" si="125"/>
        <v>0</v>
      </c>
      <c r="AD47" s="54">
        <f>SUMIF('UC MINI 2026'!$B$5:$B$71,'BEV MINI 2026'!$B47,'UC MINI 2026'!$V$5:$V$71)</f>
        <v>0</v>
      </c>
      <c r="AE47" s="86">
        <f>IFERROR(INDEX([2]BEV!$S$10:$AF$68,
      MATCH(B47,[2]BEV!$S$10:$S$68,0),
      MATCH("SEPTIEMBRE",[2]BEV!$S$9:$AF$9,0)),
   0)-IF(B47=100873,
   IFERROR(VLOOKUP("SEPTIEMBRE",[2]BEV!$S$80:$T$93,2,0),
      0),
   0)</f>
        <v>0</v>
      </c>
      <c r="AF47" s="297">
        <f t="shared" si="126"/>
        <v>0</v>
      </c>
      <c r="AG47" s="54">
        <f>SUMIF('UC MINI 2026'!$B$5:$B$71,'BEV MINI 2026'!$B47,'UC MINI 2026'!$X$5:$X$71)</f>
        <v>0</v>
      </c>
      <c r="AH47" s="86">
        <f>IFERROR(INDEX([2]BEV!$S$10:$AF$68,
      MATCH(B47,[2]BEV!$S$10:$S$68,0),
      MATCH("OCTUBRE",[2]BEV!$S$9:$AF$9,0)),
   0)-IF(B47=100873,
   IFERROR(VLOOKUP("OCTUBRE",[2]BEV!$S$80:$T$93,2,0),
      0),
   0)</f>
        <v>0</v>
      </c>
      <c r="AI47" s="243">
        <f t="shared" si="127"/>
        <v>0</v>
      </c>
      <c r="AJ47" s="54">
        <f>SUMIF('UC MINI 2026'!$B$5:$B$71,'BEV MINI 2026'!$B47,'UC MINI 2026'!$Z$5:$Z$71)</f>
        <v>0</v>
      </c>
      <c r="AK47" s="86">
        <f>IFERROR(INDEX([2]BEV!$S$10:$AF$68,
      MATCH(B47,[2]BEV!$S$10:$S$68,0),
      MATCH("NOVIEMBRE",[2]BEV!$S$9:$AF$9,0)),
   0)-IF(B47=100873,
   IFERROR(VLOOKUP("NOVIEMBRE",[2]BEV!$S$80:$T$93,2,0),
      0),
   0)</f>
        <v>0</v>
      </c>
      <c r="AL47" s="297">
        <f t="shared" si="128"/>
        <v>0</v>
      </c>
      <c r="AM47" s="54">
        <f>SUMIF('UC MINI 2026'!$B$5:$B$71,'BEV MINI 2026'!$B47,'UC MINI 2026'!$AB$5:$AB$71)</f>
        <v>0</v>
      </c>
      <c r="AN47" s="86">
        <f>IFERROR(INDEX([2]BEV!$S$10:$AF$68,
      MATCH(B47,[2]BEV!$S$10:$S$68,0),
      MATCH("DICIEMBRE",[2]BEV!$S$9:$AF$9,0)),
   0)-IF(B47=100873,
   IFERROR(VLOOKUP("DICIEMBRE",[2]BEV!$S$80:$T$93,2,0),
      0),
   0)</f>
        <v>0</v>
      </c>
      <c r="AO47" s="243">
        <f t="shared" si="129"/>
        <v>0</v>
      </c>
      <c r="AP47" s="67">
        <f t="shared" si="134"/>
        <v>55</v>
      </c>
      <c r="AQ47" s="68">
        <f t="shared" si="134"/>
        <v>85</v>
      </c>
      <c r="AR47" s="149">
        <f t="shared" si="130"/>
        <v>1.5454545454545454</v>
      </c>
      <c r="AS47" s="67">
        <f>IFERROR(F47+I47+L47+O47+R47+U47++X47+AA47+AD47+AG47+AJ47+AM47,0)</f>
        <v>55</v>
      </c>
      <c r="AT47" s="86">
        <f t="shared" si="14"/>
        <v>85</v>
      </c>
      <c r="AU47" s="149">
        <f t="shared" si="131"/>
        <v>1.5454545454545454</v>
      </c>
      <c r="AV47" s="54">
        <f t="shared" si="135"/>
        <v>27</v>
      </c>
      <c r="AW47" s="86">
        <f t="shared" si="135"/>
        <v>34</v>
      </c>
      <c r="AX47" s="109">
        <f>IFERROR((AW47/AV47),0)</f>
        <v>1.2592592592592593</v>
      </c>
      <c r="AY47" s="68">
        <f>IFERROR(IF($AV$5="Q1",#REF!+#REF!+#REF!,
IF($AV$5="Q2",#REF!+#REF!++#REF!,
IF($AV$5="Q3",#REF!+#REF!+#REF!,
IF($AV$5="Q4",#REF!+#REF!+#REF!,0)))),0)</f>
        <v>0</v>
      </c>
      <c r="AZ47" s="297">
        <f>IF(AW47=0,"N.D.",AY47/AW47)</f>
        <v>0</v>
      </c>
      <c r="BA47" s="350">
        <f>IFERROR(IF($AV$5="Q1",#REF!+#REF!+#REF!,
IF($AV$5="Q2",#REF!+#REF!+#REF!,
IF($AV$5="Q3",#REF!+#REF!+#REF!,
IF($AV$5="Q4",#REF!+#REF!+#REF!,0)))),0)</f>
        <v>0</v>
      </c>
      <c r="BB47" s="150">
        <f>IFERROR((BA47/AV47),0)</f>
        <v>0</v>
      </c>
      <c r="BC47" s="67">
        <f t="shared" si="136"/>
        <v>55</v>
      </c>
      <c r="BD47" s="68">
        <f t="shared" si="136"/>
        <v>85</v>
      </c>
      <c r="BE47" s="150">
        <f t="shared" si="132"/>
        <v>1.5454545454545454</v>
      </c>
      <c r="BF47" s="67">
        <f t="shared" si="137"/>
        <v>0</v>
      </c>
      <c r="BG47" s="266">
        <f t="shared" si="137"/>
        <v>0</v>
      </c>
      <c r="BH47" s="150">
        <f t="shared" si="133"/>
        <v>0</v>
      </c>
      <c r="BI47" s="53">
        <v>1</v>
      </c>
      <c r="BK47" s="53">
        <v>12</v>
      </c>
      <c r="BL47" s="53">
        <v>14</v>
      </c>
      <c r="BM47" s="513">
        <v>0.76923076923076927</v>
      </c>
      <c r="BP47" s="53">
        <f>SUM(V47,S47,P47)</f>
        <v>51</v>
      </c>
      <c r="BQ47" s="53">
        <f>SUM(U47,R47,O47)</f>
        <v>28</v>
      </c>
    </row>
    <row r="48" spans="1:69" s="53" customFormat="1" ht="16" customHeight="1" x14ac:dyDescent="0.3">
      <c r="A48" s="53">
        <f>_xlfn.XLOOKUP(B48,'WHOLESALE MINI 2026'!$B$7:$B$63,'WHOLESALE MINI 2026'!$A$7:$A$63)</f>
        <v>8</v>
      </c>
      <c r="B48" s="8">
        <v>100206</v>
      </c>
      <c r="C48" s="369" t="s">
        <v>63</v>
      </c>
      <c r="D48" s="146"/>
      <c r="E48" s="379" t="s">
        <v>97</v>
      </c>
      <c r="F48" s="54">
        <f>SUMIF('UC MINI 2026'!$B$5:$B$71,'BEV MINI 2026'!$B48,'UC MINI 2026'!$F$5:$F$71)</f>
        <v>8</v>
      </c>
      <c r="G48" s="86">
        <f>IFERROR(INDEX([2]BEV!$S$10:$AF$68,
      MATCH(B48,[2]BEV!$S$10:$S$68,0),
      MATCH("ENERO",[2]BEV!$S$9:$AF$9,0)),
   0)-IF(B48=100873,
   IFERROR(VLOOKUP("ENERO",[2]BEV!$S$80:$T$93,2,0),
      0),
   0)</f>
        <v>7</v>
      </c>
      <c r="H48" s="243">
        <f t="shared" si="118"/>
        <v>0.875</v>
      </c>
      <c r="I48" s="54">
        <f>SUMIF('UC MINI 2026'!$B$5:$B$71,'BEV MINI 2026'!$B48,'UC MINI 2026'!$H$5:$H$71)</f>
        <v>9</v>
      </c>
      <c r="J48" s="86">
        <f>IFERROR(INDEX([2]BEV!$S$10:$AF$68,
      MATCH(B48,[2]BEV!$S$10:$S$68,0),
      MATCH("FEBRERO",[2]BEV!$S$9:$AF$9,0)),
   0)-IF(B48=100873,
   IFERROR(VLOOKUP("FEBRERO",[2]BEV!$S$80:$T$93,2,0),
      0),
   0)</f>
        <v>8</v>
      </c>
      <c r="K48" s="243">
        <f t="shared" si="119"/>
        <v>0.88888888888888884</v>
      </c>
      <c r="L48" s="54">
        <f>SUMIF('UC MINI 2026'!$B$5:$B$71,'BEV MINI 2026'!$B48,'UC MINI 2026'!$J$5:$J$71)</f>
        <v>9</v>
      </c>
      <c r="M48" s="86">
        <f>IFERROR(INDEX([2]BEV!$S$10:$AF$68,
      MATCH(B48,[2]BEV!$S$10:$S$68,0),
      MATCH("MARZO",[2]BEV!$S$9:$AF$9,0)),
   0)-IF(B48=100873,
   IFERROR(VLOOKUP("MARZO",[2]BEV!$S$80:$T$93,2,0),
      0),
   0)</f>
        <v>9</v>
      </c>
      <c r="N48" s="297">
        <f t="shared" si="120"/>
        <v>1</v>
      </c>
      <c r="O48" s="54">
        <f>SUMIF('UC MINI 2026'!$B$5:$B$71,'BEV MINI 2026'!$B48,'UC MINI 2026'!$L$5:$L$71)</f>
        <v>8</v>
      </c>
      <c r="P48" s="86">
        <f>IFERROR(INDEX([2]BEV!$S$10:$AF$68,
      MATCH(B48,[2]BEV!$S$10:$S$68,0),
      MATCH("ABRIL",[2]BEV!$S$9:$AF$9,0)),
   0)-IF(B48=100873,
   IFERROR(VLOOKUP("ABRIL",[2]BEV!$S$80:$T$93,2,0),
      0),
   0)</f>
        <v>5</v>
      </c>
      <c r="Q48" s="243">
        <f t="shared" si="121"/>
        <v>0.625</v>
      </c>
      <c r="R48" s="54">
        <f>SUMIF('UC MINI 2026'!$B$5:$B$71,'BEV MINI 2026'!$B48,'UC MINI 2026'!$N$5:$N$71)</f>
        <v>9</v>
      </c>
      <c r="S48" s="86">
        <f>IFERROR(INDEX([2]BEV!$S$10:$AF$68,
      MATCH(B48,[2]BEV!$S$10:$S$68,0),
      MATCH("MAYO",[2]BEV!$S$9:$AF$9,0)),
   0)-IF(B48=100873,
   IFERROR(VLOOKUP("MAYO",[2]BEV!$S$80:$T$93,2,0),
      0),
   0)</f>
        <v>14</v>
      </c>
      <c r="T48" s="297">
        <f t="shared" si="122"/>
        <v>1.5555555555555556</v>
      </c>
      <c r="U48" s="54">
        <f>SUMIF('UC MINI 2026'!$B$5:$B$71,'BEV MINI 2026'!$B48,'UC MINI 2026'!$P$5:$P$71)</f>
        <v>9</v>
      </c>
      <c r="V48" s="86">
        <f>IFERROR(INDEX([2]BEV!$S$10:$AF$68,
      MATCH(B48,[2]BEV!$S$10:$S$68,0),
      MATCH("JUNIO",[2]BEV!$S$9:$AF$9,0)),
   0)-IF(B48=100873,
   IFERROR(VLOOKUP("JUNIO",[2]BEV!$S$80:$T$93,2,0),
      0),
   0)</f>
        <v>20</v>
      </c>
      <c r="W48" s="243">
        <f t="shared" si="123"/>
        <v>2.2222222222222223</v>
      </c>
      <c r="X48" s="54">
        <f>SUMIF('UC MINI 2026'!$B$5:$B$71,'BEV MINI 2026'!$B48,'UC MINI 2026'!$R$5:$R$71)</f>
        <v>0</v>
      </c>
      <c r="Y48" s="86">
        <f>IFERROR(INDEX([2]BEV!$S$10:$AF$68,
      MATCH(B48,[2]BEV!$S$10:$S$68,0),
      MATCH("JULIO",[2]BEV!$S$9:$AF$9,0)),
   0)-IF(B48=100873,
   IFERROR(VLOOKUP("JULIO",[2]BEV!$S$80:$T$93,2,0),
      0),
   0)</f>
        <v>0</v>
      </c>
      <c r="Z48" s="297">
        <f t="shared" si="124"/>
        <v>0</v>
      </c>
      <c r="AA48" s="54">
        <f>SUMIF('UC MINI 2026'!$B$5:$B$71,'BEV MINI 2026'!$B48,'UC MINI 2026'!$T$5:$T$71)</f>
        <v>0</v>
      </c>
      <c r="AB48" s="86">
        <f>IFERROR(INDEX([2]BEV!$S$10:$AF$68,
      MATCH(B48,[2]BEV!$S$10:$S$68,0),
      MATCH("AGOSTO",[2]BEV!$S$9:$AF$9,0)),
   0)-IF(B48=100873,
   IFERROR(VLOOKUP("AGOSTO",[2]BEV!$S$80:$T$93,2,0),
      0),
   0)</f>
        <v>0</v>
      </c>
      <c r="AC48" s="243">
        <f t="shared" si="125"/>
        <v>0</v>
      </c>
      <c r="AD48" s="54">
        <f>SUMIF('UC MINI 2026'!$B$5:$B$71,'BEV MINI 2026'!$B48,'UC MINI 2026'!$V$5:$V$71)</f>
        <v>0</v>
      </c>
      <c r="AE48" s="86">
        <f>IFERROR(INDEX([2]BEV!$S$10:$AF$68,
      MATCH(B48,[2]BEV!$S$10:$S$68,0),
      MATCH("SEPTIEMBRE",[2]BEV!$S$9:$AF$9,0)),
   0)-IF(B48=100873,
   IFERROR(VLOOKUP("SEPTIEMBRE",[2]BEV!$S$80:$T$93,2,0),
      0),
   0)</f>
        <v>0</v>
      </c>
      <c r="AF48" s="297">
        <f t="shared" si="126"/>
        <v>0</v>
      </c>
      <c r="AG48" s="54">
        <f>SUMIF('UC MINI 2026'!$B$5:$B$71,'BEV MINI 2026'!$B48,'UC MINI 2026'!$X$5:$X$71)</f>
        <v>0</v>
      </c>
      <c r="AH48" s="86">
        <f>IFERROR(INDEX([2]BEV!$S$10:$AF$68,
      MATCH(B48,[2]BEV!$S$10:$S$68,0),
      MATCH("OCTUBRE",[2]BEV!$S$9:$AF$9,0)),
   0)-IF(B48=100873,
   IFERROR(VLOOKUP("OCTUBRE",[2]BEV!$S$80:$T$93,2,0),
      0),
   0)</f>
        <v>0</v>
      </c>
      <c r="AI48" s="243">
        <f t="shared" si="127"/>
        <v>0</v>
      </c>
      <c r="AJ48" s="54">
        <f>SUMIF('UC MINI 2026'!$B$5:$B$71,'BEV MINI 2026'!$B48,'UC MINI 2026'!$Z$5:$Z$71)</f>
        <v>0</v>
      </c>
      <c r="AK48" s="86">
        <f>IFERROR(INDEX([2]BEV!$S$10:$AF$68,
      MATCH(B48,[2]BEV!$S$10:$S$68,0),
      MATCH("NOVIEMBRE",[2]BEV!$S$9:$AF$9,0)),
   0)-IF(B48=100873,
   IFERROR(VLOOKUP("NOVIEMBRE",[2]BEV!$S$80:$T$93,2,0),
      0),
   0)</f>
        <v>0</v>
      </c>
      <c r="AL48" s="297">
        <f t="shared" si="128"/>
        <v>0</v>
      </c>
      <c r="AM48" s="54">
        <f>SUMIF('UC MINI 2026'!$B$5:$B$71,'BEV MINI 2026'!$B48,'UC MINI 2026'!$AB$5:$AB$71)</f>
        <v>0</v>
      </c>
      <c r="AN48" s="86">
        <f>IFERROR(INDEX([2]BEV!$S$10:$AF$68,
      MATCH(B48,[2]BEV!$S$10:$S$68,0),
      MATCH("DICIEMBRE",[2]BEV!$S$9:$AF$9,0)),
   0)-IF(B48=100873,
   IFERROR(VLOOKUP("DICIEMBRE",[2]BEV!$S$80:$T$93,2,0),
      0),
   0)</f>
        <v>0</v>
      </c>
      <c r="AO48" s="243">
        <f t="shared" si="129"/>
        <v>0</v>
      </c>
      <c r="AP48" s="67">
        <f t="shared" si="134"/>
        <v>52</v>
      </c>
      <c r="AQ48" s="68">
        <f t="shared" si="134"/>
        <v>63</v>
      </c>
      <c r="AR48" s="149">
        <f t="shared" si="130"/>
        <v>1.2115384615384615</v>
      </c>
      <c r="AS48" s="67">
        <f>IFERROR(F48+I48+L48+O48+R48+U48++X48+AA48+AD48+AG48+AJ48+AM48,0)</f>
        <v>52</v>
      </c>
      <c r="AT48" s="86">
        <f t="shared" si="14"/>
        <v>63</v>
      </c>
      <c r="AU48" s="149">
        <f t="shared" si="131"/>
        <v>1.2115384615384615</v>
      </c>
      <c r="AV48" s="54">
        <f t="shared" si="135"/>
        <v>26</v>
      </c>
      <c r="AW48" s="86">
        <f t="shared" si="135"/>
        <v>24</v>
      </c>
      <c r="AX48" s="109">
        <f>IFERROR((AW48/AV48),0)</f>
        <v>0.92307692307692313</v>
      </c>
      <c r="AY48" s="68">
        <f>IFERROR(IF($AV$5="Q1",#REF!+#REF!+#REF!,
IF($AV$5="Q2",#REF!+#REF!++#REF!,
IF($AV$5="Q3",#REF!+#REF!+#REF!,
IF($AV$5="Q4",#REF!+#REF!+#REF!,0)))),0)</f>
        <v>0</v>
      </c>
      <c r="AZ48" s="297">
        <f>IF(AW48=0,"N.D.",AY48/AW48)</f>
        <v>0</v>
      </c>
      <c r="BA48" s="350">
        <f>IFERROR(IF($AV$5="Q1",#REF!+#REF!+#REF!,
IF($AV$5="Q2",#REF!+#REF!+#REF!,
IF($AV$5="Q3",#REF!+#REF!+#REF!,
IF($AV$5="Q4",#REF!+#REF!+#REF!,0)))),0)</f>
        <v>0</v>
      </c>
      <c r="BB48" s="150">
        <f>IFERROR((BA48/AV48),0)</f>
        <v>0</v>
      </c>
      <c r="BC48" s="67">
        <f t="shared" si="136"/>
        <v>52</v>
      </c>
      <c r="BD48" s="68">
        <f t="shared" si="136"/>
        <v>63</v>
      </c>
      <c r="BE48" s="150">
        <f t="shared" si="132"/>
        <v>1.2115384615384615</v>
      </c>
      <c r="BF48" s="67">
        <f t="shared" si="137"/>
        <v>0</v>
      </c>
      <c r="BG48" s="266">
        <f t="shared" si="137"/>
        <v>0</v>
      </c>
      <c r="BH48" s="150">
        <f t="shared" si="133"/>
        <v>0</v>
      </c>
      <c r="BI48" s="53">
        <v>1</v>
      </c>
      <c r="BK48" s="53">
        <v>12</v>
      </c>
      <c r="BL48" s="53">
        <v>11</v>
      </c>
      <c r="BM48" s="513">
        <v>0.75</v>
      </c>
      <c r="BP48" s="53">
        <f>SUM(V48,S48,P48)</f>
        <v>39</v>
      </c>
      <c r="BQ48" s="53">
        <f>SUM(U48,R48,O48)</f>
        <v>26</v>
      </c>
    </row>
    <row r="49" spans="1:69" s="53" customFormat="1" ht="16" customHeight="1" x14ac:dyDescent="0.3">
      <c r="A49" s="53">
        <f>_xlfn.XLOOKUP(B49,'WHOLESALE MINI 2026'!$B$7:$B$63,'WHOLESALE MINI 2026'!$A$7:$A$63)</f>
        <v>8</v>
      </c>
      <c r="B49" s="9">
        <v>100394</v>
      </c>
      <c r="C49" s="374" t="s">
        <v>64</v>
      </c>
      <c r="D49" s="146"/>
      <c r="E49" s="379" t="s">
        <v>96</v>
      </c>
      <c r="F49" s="54">
        <f>SUMIF('UC MINI 2026'!$B$5:$B$71,'BEV MINI 2026'!$B49,'UC MINI 2026'!$F$5:$F$71)</f>
        <v>2</v>
      </c>
      <c r="G49" s="86">
        <f>IFERROR(INDEX([2]BEV!$S$10:$AF$68,
      MATCH(B49,[2]BEV!$S$10:$S$68,0),
      MATCH("ENERO",[2]BEV!$S$9:$AF$9,0)),
   0)-IF(B49=100873,
   IFERROR(VLOOKUP("ENERO",[2]BEV!$S$80:$T$93,2,0),
      0),
   0)</f>
        <v>2</v>
      </c>
      <c r="H49" s="243">
        <f t="shared" si="118"/>
        <v>1</v>
      </c>
      <c r="I49" s="54">
        <f>SUMIF('UC MINI 2026'!$B$5:$B$71,'BEV MINI 2026'!$B49,'UC MINI 2026'!$H$5:$H$71)</f>
        <v>2</v>
      </c>
      <c r="J49" s="86">
        <f>IFERROR(INDEX([2]BEV!$S$10:$AF$68,
      MATCH(B49,[2]BEV!$S$10:$S$68,0),
      MATCH("FEBRERO",[2]BEV!$S$9:$AF$9,0)),
   0)-IF(B49=100873,
   IFERROR(VLOOKUP("FEBRERO",[2]BEV!$S$80:$T$93,2,0),
      0),
   0)</f>
        <v>2</v>
      </c>
      <c r="K49" s="243">
        <f t="shared" si="119"/>
        <v>1</v>
      </c>
      <c r="L49" s="54">
        <f>SUMIF('UC MINI 2026'!$B$5:$B$71,'BEV MINI 2026'!$B49,'UC MINI 2026'!$J$5:$J$71)</f>
        <v>3</v>
      </c>
      <c r="M49" s="86">
        <f>IFERROR(INDEX([2]BEV!$S$10:$AF$68,
      MATCH(B49,[2]BEV!$S$10:$S$68,0),
      MATCH("MARZO",[2]BEV!$S$9:$AF$9,0)),
   0)-IF(B49=100873,
   IFERROR(VLOOKUP("MARZO",[2]BEV!$S$80:$T$93,2,0),
      0),
   0)</f>
        <v>5</v>
      </c>
      <c r="N49" s="297">
        <f t="shared" si="120"/>
        <v>1.6666666666666667</v>
      </c>
      <c r="O49" s="54">
        <f>SUMIF('UC MINI 2026'!$B$5:$B$71,'BEV MINI 2026'!$B49,'UC MINI 2026'!$L$5:$L$71)</f>
        <v>2</v>
      </c>
      <c r="P49" s="86">
        <f>IFERROR(INDEX([2]BEV!$S$10:$AF$68,
      MATCH(B49,[2]BEV!$S$10:$S$68,0),
      MATCH("ABRIL",[2]BEV!$S$9:$AF$9,0)),
   0)-IF(B49=100873,
   IFERROR(VLOOKUP("ABRIL",[2]BEV!$S$80:$T$93,2,0),
      0),
   0)</f>
        <v>3</v>
      </c>
      <c r="Q49" s="243">
        <f t="shared" si="121"/>
        <v>1.5</v>
      </c>
      <c r="R49" s="54">
        <f>SUMIF('UC MINI 2026'!$B$5:$B$71,'BEV MINI 2026'!$B49,'UC MINI 2026'!$N$5:$N$71)</f>
        <v>3</v>
      </c>
      <c r="S49" s="86">
        <f>IFERROR(INDEX([2]BEV!$S$10:$AF$68,
      MATCH(B49,[2]BEV!$S$10:$S$68,0),
      MATCH("MAYO",[2]BEV!$S$9:$AF$9,0)),
   0)-IF(B49=100873,
   IFERROR(VLOOKUP("MAYO",[2]BEV!$S$80:$T$93,2,0),
      0),
   0)</f>
        <v>1</v>
      </c>
      <c r="T49" s="297">
        <f t="shared" si="122"/>
        <v>0.33333333333333331</v>
      </c>
      <c r="U49" s="54">
        <f>SUMIF('UC MINI 2026'!$B$5:$B$71,'BEV MINI 2026'!$B49,'UC MINI 2026'!$P$5:$P$71)</f>
        <v>3</v>
      </c>
      <c r="V49" s="86">
        <f>IFERROR(INDEX([2]BEV!$S$10:$AF$68,
      MATCH(B49,[2]BEV!$S$10:$S$68,0),
      MATCH("JUNIO",[2]BEV!$S$9:$AF$9,0)),
   0)-IF(B49=100873,
   IFERROR(VLOOKUP("JUNIO",[2]BEV!$S$80:$T$93,2,0),
      0),
   0)</f>
        <v>2</v>
      </c>
      <c r="W49" s="243">
        <f t="shared" si="123"/>
        <v>0.66666666666666663</v>
      </c>
      <c r="X49" s="54">
        <f>SUMIF('UC MINI 2026'!$B$5:$B$71,'BEV MINI 2026'!$B49,'UC MINI 2026'!$R$5:$R$71)</f>
        <v>0</v>
      </c>
      <c r="Y49" s="86">
        <f>IFERROR(INDEX([2]BEV!$S$10:$AF$68,
      MATCH(B49,[2]BEV!$S$10:$S$68,0),
      MATCH("JULIO",[2]BEV!$S$9:$AF$9,0)),
   0)-IF(B49=100873,
   IFERROR(VLOOKUP("JULIO",[2]BEV!$S$80:$T$93,2,0),
      0),
   0)</f>
        <v>0</v>
      </c>
      <c r="Z49" s="297">
        <f t="shared" si="124"/>
        <v>0</v>
      </c>
      <c r="AA49" s="54">
        <f>SUMIF('UC MINI 2026'!$B$5:$B$71,'BEV MINI 2026'!$B49,'UC MINI 2026'!$T$5:$T$71)</f>
        <v>0</v>
      </c>
      <c r="AB49" s="86">
        <f>IFERROR(INDEX([2]BEV!$S$10:$AF$68,
      MATCH(B49,[2]BEV!$S$10:$S$68,0),
      MATCH("AGOSTO",[2]BEV!$S$9:$AF$9,0)),
   0)-IF(B49=100873,
   IFERROR(VLOOKUP("AGOSTO",[2]BEV!$S$80:$T$93,2,0),
      0),
   0)</f>
        <v>0</v>
      </c>
      <c r="AC49" s="243">
        <f t="shared" si="125"/>
        <v>0</v>
      </c>
      <c r="AD49" s="54">
        <f>SUMIF('UC MINI 2026'!$B$5:$B$71,'BEV MINI 2026'!$B49,'UC MINI 2026'!$V$5:$V$71)</f>
        <v>0</v>
      </c>
      <c r="AE49" s="86">
        <f>IFERROR(INDEX([2]BEV!$S$10:$AF$68,
      MATCH(B49,[2]BEV!$S$10:$S$68,0),
      MATCH("SEPTIEMBRE",[2]BEV!$S$9:$AF$9,0)),
   0)-IF(B49=100873,
   IFERROR(VLOOKUP("SEPTIEMBRE",[2]BEV!$S$80:$T$93,2,0),
      0),
   0)</f>
        <v>0</v>
      </c>
      <c r="AF49" s="297">
        <f t="shared" si="126"/>
        <v>0</v>
      </c>
      <c r="AG49" s="54">
        <f>SUMIF('UC MINI 2026'!$B$5:$B$71,'BEV MINI 2026'!$B49,'UC MINI 2026'!$X$5:$X$71)</f>
        <v>0</v>
      </c>
      <c r="AH49" s="86">
        <f>IFERROR(INDEX([2]BEV!$S$10:$AF$68,
      MATCH(B49,[2]BEV!$S$10:$S$68,0),
      MATCH("OCTUBRE",[2]BEV!$S$9:$AF$9,0)),
   0)-IF(B49=100873,
   IFERROR(VLOOKUP("OCTUBRE",[2]BEV!$S$80:$T$93,2,0),
      0),
   0)</f>
        <v>0</v>
      </c>
      <c r="AI49" s="243">
        <f t="shared" si="127"/>
        <v>0</v>
      </c>
      <c r="AJ49" s="54">
        <f>SUMIF('UC MINI 2026'!$B$5:$B$71,'BEV MINI 2026'!$B49,'UC MINI 2026'!$Z$5:$Z$71)</f>
        <v>0</v>
      </c>
      <c r="AK49" s="86">
        <f>IFERROR(INDEX([2]BEV!$S$10:$AF$68,
      MATCH(B49,[2]BEV!$S$10:$S$68,0),
      MATCH("NOVIEMBRE",[2]BEV!$S$9:$AF$9,0)),
   0)-IF(B49=100873,
   IFERROR(VLOOKUP("NOVIEMBRE",[2]BEV!$S$80:$T$93,2,0),
      0),
   0)</f>
        <v>0</v>
      </c>
      <c r="AL49" s="297">
        <f t="shared" si="128"/>
        <v>0</v>
      </c>
      <c r="AM49" s="54">
        <f>SUMIF('UC MINI 2026'!$B$5:$B$71,'BEV MINI 2026'!$B49,'UC MINI 2026'!$AB$5:$AB$71)</f>
        <v>0</v>
      </c>
      <c r="AN49" s="86">
        <f>IFERROR(INDEX([2]BEV!$S$10:$AF$68,
      MATCH(B49,[2]BEV!$S$10:$S$68,0),
      MATCH("DICIEMBRE",[2]BEV!$S$9:$AF$9,0)),
   0)-IF(B49=100873,
   IFERROR(VLOOKUP("DICIEMBRE",[2]BEV!$S$80:$T$93,2,0),
      0),
   0)</f>
        <v>0</v>
      </c>
      <c r="AO49" s="243">
        <f t="shared" si="129"/>
        <v>0</v>
      </c>
      <c r="AP49" s="67">
        <f t="shared" si="134"/>
        <v>15</v>
      </c>
      <c r="AQ49" s="68">
        <f t="shared" si="134"/>
        <v>15</v>
      </c>
      <c r="AR49" s="149">
        <f t="shared" si="130"/>
        <v>1</v>
      </c>
      <c r="AS49" s="67">
        <f>IFERROR(F49+I49+L49+O49+R49+U49++X49+AA49+AD49+AG49+AJ49+AM49,0)</f>
        <v>15</v>
      </c>
      <c r="AT49" s="86">
        <f t="shared" si="14"/>
        <v>15</v>
      </c>
      <c r="AU49" s="149">
        <f t="shared" si="131"/>
        <v>1</v>
      </c>
      <c r="AV49" s="54">
        <f t="shared" si="135"/>
        <v>7</v>
      </c>
      <c r="AW49" s="86">
        <f t="shared" si="135"/>
        <v>9</v>
      </c>
      <c r="AX49" s="109">
        <f>IFERROR((AW49/AV49),0)</f>
        <v>1.2857142857142858</v>
      </c>
      <c r="AY49" s="68">
        <f>IFERROR(IF($AV$5="Q1",#REF!+#REF!+#REF!,
IF($AV$5="Q2",#REF!+#REF!++#REF!,
IF($AV$5="Q3",#REF!+#REF!+#REF!,
IF($AV$5="Q4",#REF!+#REF!+#REF!,0)))),0)</f>
        <v>0</v>
      </c>
      <c r="AZ49" s="297">
        <f>IF(AW49=0,"N.D.",AY49/AW49)</f>
        <v>0</v>
      </c>
      <c r="BA49" s="350">
        <f>IFERROR(IF($AV$5="Q1",#REF!+#REF!+#REF!,
IF($AV$5="Q2",#REF!+#REF!+#REF!,
IF($AV$5="Q3",#REF!+#REF!+#REF!,
IF($AV$5="Q4",#REF!+#REF!+#REF!,0)))),0)</f>
        <v>0</v>
      </c>
      <c r="BB49" s="150">
        <f>IFERROR((BA49/AV49),0)</f>
        <v>0</v>
      </c>
      <c r="BC49" s="67">
        <f t="shared" si="136"/>
        <v>15</v>
      </c>
      <c r="BD49" s="68">
        <f t="shared" si="136"/>
        <v>15</v>
      </c>
      <c r="BE49" s="150">
        <f t="shared" si="132"/>
        <v>1</v>
      </c>
      <c r="BF49" s="67">
        <f t="shared" si="137"/>
        <v>0</v>
      </c>
      <c r="BG49" s="266">
        <f t="shared" si="137"/>
        <v>0</v>
      </c>
      <c r="BH49" s="150">
        <f t="shared" si="133"/>
        <v>0</v>
      </c>
      <c r="BI49" s="53">
        <v>1</v>
      </c>
      <c r="BK49" s="53">
        <v>10</v>
      </c>
      <c r="BL49" s="53">
        <v>10</v>
      </c>
      <c r="BM49" s="513">
        <v>0.75</v>
      </c>
      <c r="BP49" s="53">
        <f>SUM(V49,S49,P49)</f>
        <v>6</v>
      </c>
      <c r="BQ49" s="53">
        <f>SUM(U49,R49,O49)</f>
        <v>8</v>
      </c>
    </row>
    <row r="50" spans="1:69" s="53" customFormat="1" ht="16" customHeight="1" thickBot="1" x14ac:dyDescent="0.35">
      <c r="B50" s="8">
        <v>100468</v>
      </c>
      <c r="C50" s="369" t="s">
        <v>65</v>
      </c>
      <c r="D50" s="146"/>
      <c r="E50" s="540" t="s">
        <v>97</v>
      </c>
      <c r="F50" s="54">
        <f>SUMIF('UC MINI 2026'!$B$5:$B$71,'BEV MINI 2026'!$B50,'UC MINI 2026'!$F$5:$F$71)</f>
        <v>4</v>
      </c>
      <c r="G50" s="86">
        <f>IFERROR(INDEX([2]BEV!$S$10:$AF$68,
      MATCH(B50,[2]BEV!$S$10:$S$68,0),
      MATCH("ENERO",[2]BEV!$S$9:$AF$9,0)),
   0)-IF(B50=100873,
   IFERROR(VLOOKUP("ENERO",[2]BEV!$S$80:$T$93,2,0),
      0),
   0)</f>
        <v>3</v>
      </c>
      <c r="H50" s="243">
        <f t="shared" si="118"/>
        <v>0.75</v>
      </c>
      <c r="I50" s="54">
        <f>SUMIF('UC MINI 2026'!$B$5:$B$71,'BEV MINI 2026'!$B50,'UC MINI 2026'!$H$5:$H$71)</f>
        <v>4</v>
      </c>
      <c r="J50" s="86">
        <f>IFERROR(INDEX([2]BEV!$S$10:$AF$68,
      MATCH(B50,[2]BEV!$S$10:$S$68,0),
      MATCH("FEBRERO",[2]BEV!$S$9:$AF$9,0)),
   0)-IF(B50=100873,
   IFERROR(VLOOKUP("FEBRERO",[2]BEV!$S$80:$T$93,2,0),
      0),
   0)</f>
        <v>2</v>
      </c>
      <c r="K50" s="243">
        <f t="shared" si="119"/>
        <v>0.5</v>
      </c>
      <c r="L50" s="54">
        <f>SUMIF('UC MINI 2026'!$B$5:$B$71,'BEV MINI 2026'!$B50,'UC MINI 2026'!$J$5:$J$71)</f>
        <v>5</v>
      </c>
      <c r="M50" s="86">
        <f>IFERROR(INDEX([2]BEV!$S$10:$AF$68,
      MATCH(B50,[2]BEV!$S$10:$S$68,0),
      MATCH("MARZO",[2]BEV!$S$9:$AF$9,0)),
   0)-IF(B50=100873,
   IFERROR(VLOOKUP("MARZO",[2]BEV!$S$80:$T$93,2,0),
      0),
   0)</f>
        <v>2</v>
      </c>
      <c r="N50" s="297">
        <f t="shared" si="120"/>
        <v>0.4</v>
      </c>
      <c r="O50" s="54">
        <f>SUMIF('UC MINI 2026'!$B$5:$B$71,'BEV MINI 2026'!$B50,'UC MINI 2026'!$L$5:$L$71)</f>
        <v>4</v>
      </c>
      <c r="P50" s="86">
        <f>IFERROR(INDEX([2]BEV!$S$10:$AF$68,
      MATCH(B50,[2]BEV!$S$10:$S$68,0),
      MATCH("ABRIL",[2]BEV!$S$9:$AF$9,0)),
   0)-IF(B50=100873,
   IFERROR(VLOOKUP("ABRIL",[2]BEV!$S$80:$T$93,2,0),
      0),
   0)</f>
        <v>3</v>
      </c>
      <c r="Q50" s="243">
        <f t="shared" si="121"/>
        <v>0.75</v>
      </c>
      <c r="R50" s="54">
        <f>SUMIF('UC MINI 2026'!$B$5:$B$71,'BEV MINI 2026'!$B50,'UC MINI 2026'!$N$5:$N$71)</f>
        <v>4</v>
      </c>
      <c r="S50" s="86">
        <f>IFERROR(INDEX([2]BEV!$S$10:$AF$68,
      MATCH(B50,[2]BEV!$S$10:$S$68,0),
      MATCH("MAYO",[2]BEV!$S$9:$AF$9,0)),
   0)-IF(B50=100873,
   IFERROR(VLOOKUP("MAYO",[2]BEV!$S$80:$T$93,2,0),
      0),
   0)</f>
        <v>8</v>
      </c>
      <c r="T50" s="297">
        <f t="shared" si="122"/>
        <v>2</v>
      </c>
      <c r="U50" s="54">
        <f>SUMIF('UC MINI 2026'!$B$5:$B$71,'BEV MINI 2026'!$B50,'UC MINI 2026'!$P$5:$P$71)</f>
        <v>5</v>
      </c>
      <c r="V50" s="86">
        <f>IFERROR(INDEX([2]BEV!$S$10:$AF$68,
      MATCH(B50,[2]BEV!$S$10:$S$68,0),
      MATCH("JUNIO",[2]BEV!$S$9:$AF$9,0)),
   0)-IF(B50=100873,
   IFERROR(VLOOKUP("JUNIO",[2]BEV!$S$80:$T$93,2,0),
      0),
   0)</f>
        <v>11</v>
      </c>
      <c r="W50" s="243">
        <f t="shared" si="123"/>
        <v>2.2000000000000002</v>
      </c>
      <c r="X50" s="54">
        <f>SUMIF('UC MINI 2026'!$B$5:$B$71,'BEV MINI 2026'!$B50,'UC MINI 2026'!$R$5:$R$71)</f>
        <v>0</v>
      </c>
      <c r="Y50" s="86">
        <f>IFERROR(INDEX([2]BEV!$S$10:$AF$68,
      MATCH(B50,[2]BEV!$S$10:$S$68,0),
      MATCH("JULIO",[2]BEV!$S$9:$AF$9,0)),
   0)-IF(B50=100873,
   IFERROR(VLOOKUP("JULIO",[2]BEV!$S$80:$T$93,2,0),
      0),
   0)</f>
        <v>0</v>
      </c>
      <c r="Z50" s="297">
        <f t="shared" si="124"/>
        <v>0</v>
      </c>
      <c r="AA50" s="54">
        <f>SUMIF('UC MINI 2026'!$B$5:$B$71,'BEV MINI 2026'!$B50,'UC MINI 2026'!$T$5:$T$71)</f>
        <v>0</v>
      </c>
      <c r="AB50" s="86">
        <f>IFERROR(INDEX([2]BEV!$S$10:$AF$68,
      MATCH(B50,[2]BEV!$S$10:$S$68,0),
      MATCH("AGOSTO",[2]BEV!$S$9:$AF$9,0)),
   0)-IF(B50=100873,
   IFERROR(VLOOKUP("AGOSTO",[2]BEV!$S$80:$T$93,2,0),
      0),
   0)</f>
        <v>0</v>
      </c>
      <c r="AC50" s="243">
        <f t="shared" si="125"/>
        <v>0</v>
      </c>
      <c r="AD50" s="54">
        <f>SUMIF('UC MINI 2026'!$B$5:$B$71,'BEV MINI 2026'!$B50,'UC MINI 2026'!$V$5:$V$71)</f>
        <v>0</v>
      </c>
      <c r="AE50" s="86">
        <f>IFERROR(INDEX([2]BEV!$S$10:$AF$68,
      MATCH(B50,[2]BEV!$S$10:$S$68,0),
      MATCH("SEPTIEMBRE",[2]BEV!$S$9:$AF$9,0)),
   0)-IF(B50=100873,
   IFERROR(VLOOKUP("SEPTIEMBRE",[2]BEV!$S$80:$T$93,2,0),
      0),
   0)</f>
        <v>0</v>
      </c>
      <c r="AF50" s="297">
        <f t="shared" si="126"/>
        <v>0</v>
      </c>
      <c r="AG50" s="54">
        <f>SUMIF('UC MINI 2026'!$B$5:$B$71,'BEV MINI 2026'!$B50,'UC MINI 2026'!$X$5:$X$71)</f>
        <v>0</v>
      </c>
      <c r="AH50" s="86">
        <f>IFERROR(INDEX([2]BEV!$S$10:$AF$68,
      MATCH(B50,[2]BEV!$S$10:$S$68,0),
      MATCH("OCTUBRE",[2]BEV!$S$9:$AF$9,0)),
   0)-IF(B50=100873,
   IFERROR(VLOOKUP("OCTUBRE",[2]BEV!$S$80:$T$93,2,0),
      0),
   0)</f>
        <v>0</v>
      </c>
      <c r="AI50" s="243">
        <f t="shared" si="127"/>
        <v>0</v>
      </c>
      <c r="AJ50" s="54">
        <f>SUMIF('UC MINI 2026'!$B$5:$B$71,'BEV MINI 2026'!$B50,'UC MINI 2026'!$Z$5:$Z$71)</f>
        <v>0</v>
      </c>
      <c r="AK50" s="86">
        <f>IFERROR(INDEX([2]BEV!$S$10:$AF$68,
      MATCH(B50,[2]BEV!$S$10:$S$68,0),
      MATCH("NOVIEMBRE",[2]BEV!$S$9:$AF$9,0)),
   0)-IF(B50=100873,
   IFERROR(VLOOKUP("NOVIEMBRE",[2]BEV!$S$80:$T$93,2,0),
      0),
   0)</f>
        <v>0</v>
      </c>
      <c r="AL50" s="297">
        <f t="shared" si="128"/>
        <v>0</v>
      </c>
      <c r="AM50" s="54">
        <f>SUMIF('UC MINI 2026'!$B$5:$B$71,'BEV MINI 2026'!$B50,'UC MINI 2026'!$AB$5:$AB$71)</f>
        <v>0</v>
      </c>
      <c r="AN50" s="86">
        <f>IFERROR(INDEX([2]BEV!$S$10:$AF$68,
      MATCH(B50,[2]BEV!$S$10:$S$68,0),
      MATCH("DICIEMBRE",[2]BEV!$S$9:$AF$9,0)),
   0)-IF(B50=100873,
   IFERROR(VLOOKUP("DICIEMBRE",[2]BEV!$S$80:$T$93,2,0),
      0),
   0)</f>
        <v>0</v>
      </c>
      <c r="AO50" s="243">
        <f t="shared" si="129"/>
        <v>0</v>
      </c>
      <c r="AP50" s="67">
        <f>IFERROR(IF($AP$4="ENERO",F50,IF($AP$4="FEBRERO",F50+I50,IF($AP$4="MARZO",F50+I50+L50,IF($AP$4="ABRIL",F50+I50+L50+O50,IF($AP$4="MAYO",F50+I50+L50+O50+R50,IF($AP$4="JUNIO",F50+I50+L50+O50+R50+U50,IF($AP$4="JULIO",F50+I50+L50+O50+R50+U50+X50,IF($AP$4="AGOSTO",F50+I50+L50+O50+R50+U50+X50+AA50,IF($AP$4="SEPTIEMBRE",F50+I50+L50+O50+R50+U50+X50+AA50+AD50,IF($AP$4="OCTUBRE",F50+I50+L50+O50+R50+U50+X50+AA50+AD50+AG50,IF($AP$4="NOVIEMBRE",F50+I50+L50+O50+R50+U50+X50+AA50+AD50+AG50+AJ50,IF($AP$4="DICIEMBRE",F50+I50+L50+O50+R50+U50+X50+AA50+AD50+AG50+AJ50+AM50,"")))))))))))),0)</f>
        <v>26</v>
      </c>
      <c r="AQ50" s="68">
        <f>IFERROR(IF($AP$4="ENERO",G50,IF($AP$4="FEBRERO",G50+J50,IF($AP$4="MARZO",G50+J50+M50,IF($AP$4="ABRIL",G50+J50+M50+P50,IF($AP$4="MAYO",G50+J50+M50+P50+S50,IF($AP$4="JUNIO",G50+J50+M50+P50+S50+V50,IF($AP$4="JULIO",G50+J50+M50+P50+S50+V50+Y50,IF($AP$4="AGOSTO",G50+J50+M50+P50+S50+V50+Y50+AB50,IF($AP$4="SEPTIEMBRE",G50+J50+M50+P50+S50+V50+Y50+AB50+AE50,IF($AP$4="OCTUBRE",G50+J50+M50+P50+S50+V50+Y50+AB50+AE50+AH50,IF($AP$4="NOVIEMBRE",G50+J50+M50+P50+S50+V50+Y50+AB50+AE50+AH50+AK50,IF($AP$4="DICIEMBRE",G50+J50+M50+P50+S50+V50+Y50+AB50+AE50+AH50+AK50+AN50,"")))))))))))),0)</f>
        <v>29</v>
      </c>
      <c r="AR50" s="149">
        <f t="shared" si="130"/>
        <v>1.1153846153846154</v>
      </c>
      <c r="AS50" s="67">
        <f>IFERROR(F50+I50+L50+O50+R50+U50++X50+AA50+AD50+AG50+AJ50+AM50,0)</f>
        <v>26</v>
      </c>
      <c r="AT50" s="86">
        <f t="shared" si="14"/>
        <v>29</v>
      </c>
      <c r="AU50" s="149">
        <f t="shared" si="131"/>
        <v>1.1153846153846154</v>
      </c>
      <c r="AV50" s="190"/>
      <c r="AW50" s="191"/>
      <c r="AX50" s="543"/>
      <c r="AY50" s="191"/>
      <c r="AZ50" s="544"/>
      <c r="BA50" s="545"/>
      <c r="BB50" s="542"/>
      <c r="BC50" s="67">
        <f>IFERROR(IF($BC$5="S 1",F50+I50+L50+O50+R50+U50,
IF($BC$5="S 2",X50+AA50+AD50+AG50+AJ50+AM50,0)),0)</f>
        <v>26</v>
      </c>
      <c r="BD50" s="68">
        <f>IFERROR(IF($BC$5="S 1",G50+J50+M50+P50+S50+V50,
IF($BC$5="S 2",Y50+AB50+AE50+AH50+AK50+AN50,0)),0)</f>
        <v>29</v>
      </c>
      <c r="BE50" s="150">
        <f t="shared" si="132"/>
        <v>1.1153846153846154</v>
      </c>
      <c r="BF50" s="67">
        <f>IFERROR(IF($BF$5="S 1",F50+I50+L50+O50+R50+U50,
IF($BF$5="S 2",X50+AA50+AD50+AG50+AJ50+AM50,0)),0)</f>
        <v>0</v>
      </c>
      <c r="BG50" s="266">
        <f>IFERROR(IF($BF$5="S 1",G50+J50+M50+P50+S50+V50,
IF($BF$5="S 2",Y50+AB50+AE50+AH50+AK50+AN50,0)),0)</f>
        <v>0</v>
      </c>
      <c r="BH50" s="150">
        <f t="shared" si="133"/>
        <v>0</v>
      </c>
      <c r="BK50" s="53">
        <v>8</v>
      </c>
      <c r="BL50" s="53">
        <v>7</v>
      </c>
      <c r="BM50" s="513">
        <v>0.6470588235294118</v>
      </c>
    </row>
    <row r="51" spans="1:69" s="53" customFormat="1" ht="16" customHeight="1" thickBot="1" x14ac:dyDescent="0.35">
      <c r="A51" s="53" t="e">
        <f>_xlfn.XLOOKUP(B51,'WHOLESALE MINI 2026'!$B$7:$B$63,'WHOLESALE MINI 2026'!$A$7:$A$63)</f>
        <v>#N/A</v>
      </c>
      <c r="B51" s="61" t="s">
        <v>270</v>
      </c>
      <c r="C51" s="62"/>
      <c r="D51" s="146"/>
      <c r="E51" s="80"/>
      <c r="F51" s="63">
        <f>SUM(F46:F50)</f>
        <v>30</v>
      </c>
      <c r="G51" s="63">
        <f>SUM(G46:G50)</f>
        <v>28</v>
      </c>
      <c r="H51" s="301">
        <f t="shared" si="118"/>
        <v>0.93333333333333335</v>
      </c>
      <c r="I51" s="63">
        <f>SUM(I46:I50)</f>
        <v>31</v>
      </c>
      <c r="J51" s="63">
        <f>SUM(J46:J50)</f>
        <v>43</v>
      </c>
      <c r="K51" s="301">
        <f t="shared" si="119"/>
        <v>1.3870967741935485</v>
      </c>
      <c r="L51" s="63">
        <f>SUM(L46:L50)</f>
        <v>33</v>
      </c>
      <c r="M51" s="63">
        <f>SUM(M46:M50)</f>
        <v>41</v>
      </c>
      <c r="N51" s="301">
        <f t="shared" ref="N51:N56" si="138">IFERROR(M51/L51,0)</f>
        <v>1.2424242424242424</v>
      </c>
      <c r="O51" s="63">
        <f>SUM(O46:O50)</f>
        <v>30</v>
      </c>
      <c r="P51" s="63">
        <f>SUM(P46:P50)</f>
        <v>30</v>
      </c>
      <c r="Q51" s="301">
        <f t="shared" ref="Q51:Q56" si="139">IFERROR(P51/O51,0)</f>
        <v>1</v>
      </c>
      <c r="R51" s="63">
        <f>SUM(R46:R50)</f>
        <v>32</v>
      </c>
      <c r="S51" s="63">
        <f>SUM(S46:S50)</f>
        <v>49</v>
      </c>
      <c r="T51" s="301">
        <f t="shared" ref="T51:T56" si="140">IFERROR(S51/R51,0)</f>
        <v>1.53125</v>
      </c>
      <c r="U51" s="63">
        <f>SUM(U46:U50)</f>
        <v>34</v>
      </c>
      <c r="V51" s="63">
        <f>SUM(V46:V50)</f>
        <v>60</v>
      </c>
      <c r="W51" s="301">
        <f t="shared" ref="W51:W56" si="141">IFERROR(V51/U51,0)</f>
        <v>1.7647058823529411</v>
      </c>
      <c r="X51" s="63">
        <f>SUM(X46:X50)</f>
        <v>0</v>
      </c>
      <c r="Y51" s="63">
        <f>SUM(Y46:Y50)</f>
        <v>0</v>
      </c>
      <c r="Z51" s="301">
        <f t="shared" ref="Z51:Z56" si="142">IFERROR(Y51/X51,0)</f>
        <v>0</v>
      </c>
      <c r="AA51" s="63">
        <f>SUM(AA46:AA50)</f>
        <v>0</v>
      </c>
      <c r="AB51" s="63">
        <f>SUM(AB46:AB50)</f>
        <v>0</v>
      </c>
      <c r="AC51" s="301">
        <f t="shared" ref="AC51:AC56" si="143">IFERROR(AB51/AA51,0)</f>
        <v>0</v>
      </c>
      <c r="AD51" s="63">
        <f>SUM(AD46:AD50)</f>
        <v>0</v>
      </c>
      <c r="AE51" s="63">
        <f>SUM(AE46:AE50)</f>
        <v>0</v>
      </c>
      <c r="AF51" s="301">
        <f t="shared" ref="AF51:AF56" si="144">IFERROR(AE51/AD51,0)</f>
        <v>0</v>
      </c>
      <c r="AG51" s="63">
        <f>SUM(AG46:AG50)</f>
        <v>0</v>
      </c>
      <c r="AH51" s="63">
        <f>SUM(AH46:AH50)</f>
        <v>0</v>
      </c>
      <c r="AI51" s="301">
        <f t="shared" ref="AI51:AI56" si="145">IFERROR(AH51/AG51,0)</f>
        <v>0</v>
      </c>
      <c r="AJ51" s="63">
        <f>SUM(AJ46:AJ50)</f>
        <v>0</v>
      </c>
      <c r="AK51" s="63">
        <f>SUM(AK46:AK50)</f>
        <v>0</v>
      </c>
      <c r="AL51" s="301">
        <f t="shared" ref="AL51:AL56" si="146">IFERROR(AK51/AJ51,0)</f>
        <v>0</v>
      </c>
      <c r="AM51" s="63">
        <f>SUM(AM46:AM50)</f>
        <v>0</v>
      </c>
      <c r="AN51" s="63">
        <f>SUM(AN46:AN50)</f>
        <v>0</v>
      </c>
      <c r="AO51" s="301">
        <f t="shared" ref="AO51:AO56" si="147">IFERROR(AN51/AM51,0)</f>
        <v>0</v>
      </c>
      <c r="AP51" s="63">
        <f>SUM(AP46:AP50)</f>
        <v>190</v>
      </c>
      <c r="AQ51" s="63">
        <f>SUM(AQ46:AQ50)</f>
        <v>251</v>
      </c>
      <c r="AR51" s="320">
        <f t="shared" si="130"/>
        <v>1.3210526315789475</v>
      </c>
      <c r="AS51" s="63">
        <f>SUM(AS46:AS50)</f>
        <v>190</v>
      </c>
      <c r="AT51" s="63">
        <f>SUM(AT46:AT50)</f>
        <v>251</v>
      </c>
      <c r="AU51" s="320">
        <f t="shared" si="131"/>
        <v>1.3210526315789475</v>
      </c>
      <c r="AV51" s="63">
        <f>SUM(AV40:AV49)</f>
        <v>589</v>
      </c>
      <c r="AW51" s="65">
        <f>SUM(AW40:AW49)</f>
        <v>703</v>
      </c>
      <c r="AX51" s="157">
        <f>IFERROR((AW51/AV51),0)</f>
        <v>1.1935483870967742</v>
      </c>
      <c r="AY51" s="65">
        <f>SUM(AY40:AY49)</f>
        <v>0</v>
      </c>
      <c r="AZ51" s="321">
        <f>IFERROR(AY51/AW51,0)</f>
        <v>0</v>
      </c>
      <c r="BA51" s="349" t="e">
        <f>IF($AV$5="Q1",#REF!+#REF!+#REF!,
IF($AV$5="Q2",#REF!+#REF!+#REF!,
IF($AV$5="Q3",#REF!+#REF!+#REF!,
IF($AV$5="Q4",#REF!+#REF!+#REF!,0))))</f>
        <v>#REF!</v>
      </c>
      <c r="BB51" s="333">
        <f>IFERROR((BA51/AV51),0)</f>
        <v>0</v>
      </c>
      <c r="BC51" s="63">
        <f>IF($BC$5="S 1",F51+I51+L51+O51+R51+U51,
IF($BC$5="S 2",X51+AA51+AD51+AG51+AJ51+AM51,0))</f>
        <v>190</v>
      </c>
      <c r="BD51" s="65">
        <f>IF($BC$5="S 1",G51+J51+M51+P51+S51+V51,
IF($BC$5="S 2",Y51+AB51+AE51+AH51+AK51+AN51,0))</f>
        <v>251</v>
      </c>
      <c r="BE51" s="333">
        <f t="shared" si="132"/>
        <v>1.3210526315789475</v>
      </c>
      <c r="BF51" s="63">
        <f>SUM(BF46:BF49)</f>
        <v>0</v>
      </c>
      <c r="BG51" s="63">
        <f>SUM(BG46:BG49)</f>
        <v>0</v>
      </c>
      <c r="BH51" s="333">
        <f t="shared" si="133"/>
        <v>0</v>
      </c>
      <c r="BI51" s="53">
        <v>0</v>
      </c>
      <c r="BK51" s="53">
        <v>7</v>
      </c>
      <c r="BL51" s="53">
        <v>4</v>
      </c>
      <c r="BM51" s="513">
        <v>0.5714285714285714</v>
      </c>
      <c r="BP51" s="53">
        <f>SUM(V51,S51,P51)</f>
        <v>139</v>
      </c>
      <c r="BQ51" s="53">
        <f>SUM(U51,R51,O51)</f>
        <v>96</v>
      </c>
    </row>
    <row r="52" spans="1:69" s="53" customFormat="1" ht="16" customHeight="1" x14ac:dyDescent="0.3">
      <c r="A52" s="53">
        <f>_xlfn.XLOOKUP(B52,'WHOLESALE MINI 2026'!$B$7:$B$63,'WHOLESALE MINI 2026'!$A$7:$A$63)</f>
        <v>9</v>
      </c>
      <c r="B52" s="8">
        <v>100734</v>
      </c>
      <c r="C52" s="369" t="s">
        <v>59</v>
      </c>
      <c r="D52" s="146"/>
      <c r="E52" s="379" t="s">
        <v>95</v>
      </c>
      <c r="F52" s="54">
        <f>SUMIF('UC MINI 2026'!$B$5:$B$71,'BEV MINI 2026'!$B52,'UC MINI 2026'!$F$5:$F$71)</f>
        <v>21</v>
      </c>
      <c r="G52" s="86">
        <f>IFERROR(INDEX([2]BEV!$S$10:$AF$68,
      MATCH(B52,[2]BEV!$S$10:$S$68,0),
      MATCH("ENERO",[2]BEV!$S$9:$AF$9,0)),
   0)-IF(B52=100873,
   IFERROR(VLOOKUP("ENERO",[2]BEV!$S$80:$T$93,2,0),
      0),
   0)</f>
        <v>15</v>
      </c>
      <c r="H52" s="243">
        <f t="shared" ref="H52:H57" si="148">IFERROR(G52/F52,0)</f>
        <v>0.7142857142857143</v>
      </c>
      <c r="I52" s="54">
        <f>SUMIF('UC MINI 2026'!$B$5:$B$71,'BEV MINI 2026'!$B52,'UC MINI 2026'!$H$5:$H$71)</f>
        <v>22</v>
      </c>
      <c r="J52" s="86">
        <f>IFERROR(INDEX([2]BEV!$S$10:$AF$68,
      MATCH(B52,[2]BEV!$S$10:$S$68,0),
      MATCH("FEBRERO",[2]BEV!$S$9:$AF$9,0)),
   0)-IF(B52=100873,
   IFERROR(VLOOKUP("FEBRERO",[2]BEV!$S$80:$T$93,2,0),
      0),
   0)</f>
        <v>14</v>
      </c>
      <c r="K52" s="243">
        <f t="shared" ref="K52:K57" si="149">IFERROR(J52/I52,0)</f>
        <v>0.63636363636363635</v>
      </c>
      <c r="L52" s="54">
        <f>SUMIF('UC MINI 2026'!$B$5:$B$71,'BEV MINI 2026'!$B52,'UC MINI 2026'!$J$5:$J$71)</f>
        <v>22</v>
      </c>
      <c r="M52" s="86">
        <f>IFERROR(INDEX([2]BEV!$S$10:$AF$68,
      MATCH(B52,[2]BEV!$S$10:$S$68,0),
      MATCH("MARZO",[2]BEV!$S$9:$AF$9,0)),
   0)-IF(B52=100873,
   IFERROR(VLOOKUP("MARZO",[2]BEV!$S$80:$T$93,2,0),
      0),
   0)</f>
        <v>34</v>
      </c>
      <c r="N52" s="297">
        <f t="shared" si="138"/>
        <v>1.5454545454545454</v>
      </c>
      <c r="O52" s="54">
        <f>SUMIF('UC MINI 2026'!$B$5:$B$71,'BEV MINI 2026'!$B52,'UC MINI 2026'!$L$5:$L$71)</f>
        <v>21</v>
      </c>
      <c r="P52" s="86">
        <f>IFERROR(INDEX([2]BEV!$S$10:$AF$68,
      MATCH(B52,[2]BEV!$S$10:$S$68,0),
      MATCH("ABRIL",[2]BEV!$S$9:$AF$9,0)),
   0)-IF(B52=100873,
   IFERROR(VLOOKUP("ABRIL",[2]BEV!$S$80:$T$93,2,0),
      0),
   0)</f>
        <v>30</v>
      </c>
      <c r="Q52" s="243">
        <f t="shared" si="139"/>
        <v>1.4285714285714286</v>
      </c>
      <c r="R52" s="54">
        <f>SUMIF('UC MINI 2026'!$B$5:$B$71,'BEV MINI 2026'!$B52,'UC MINI 2026'!$N$5:$N$71)</f>
        <v>22</v>
      </c>
      <c r="S52" s="86">
        <f>IFERROR(INDEX([2]BEV!$S$10:$AF$68,
      MATCH(B52,[2]BEV!$S$10:$S$68,0),
      MATCH("MAYO",[2]BEV!$S$9:$AF$9,0)),
   0)-IF(B52=100873,
   IFERROR(VLOOKUP("MAYO",[2]BEV!$S$80:$T$93,2,0),
      0),
   0)</f>
        <v>35</v>
      </c>
      <c r="T52" s="297">
        <f t="shared" si="140"/>
        <v>1.5909090909090908</v>
      </c>
      <c r="U52" s="54">
        <f>SUMIF('UC MINI 2026'!$B$5:$B$71,'BEV MINI 2026'!$B52,'UC MINI 2026'!$P$5:$P$71)</f>
        <v>22</v>
      </c>
      <c r="V52" s="86">
        <f>IFERROR(INDEX([2]BEV!$S$10:$AF$68,
      MATCH(B52,[2]BEV!$S$10:$S$68,0),
      MATCH("JUNIO",[2]BEV!$S$9:$AF$9,0)),
   0)-IF(B52=100873,
   IFERROR(VLOOKUP("JUNIO",[2]BEV!$S$80:$T$93,2,0),
      0),
   0)</f>
        <v>19</v>
      </c>
      <c r="W52" s="243">
        <f t="shared" si="141"/>
        <v>0.86363636363636365</v>
      </c>
      <c r="X52" s="54">
        <f>SUMIF('UC MINI 2026'!$B$5:$B$71,'BEV MINI 2026'!$B52,'UC MINI 2026'!$R$5:$R$71)</f>
        <v>0</v>
      </c>
      <c r="Y52" s="86">
        <f>IFERROR(INDEX([2]BEV!$S$10:$AF$68,
      MATCH(B52,[2]BEV!$S$10:$S$68,0),
      MATCH("JULIO",[2]BEV!$S$9:$AF$9,0)),
   0)-IF(B52=100873,
   IFERROR(VLOOKUP("JULIO",[2]BEV!$S$80:$T$93,2,0),
      0),
   0)</f>
        <v>0</v>
      </c>
      <c r="Z52" s="297">
        <f t="shared" si="142"/>
        <v>0</v>
      </c>
      <c r="AA52" s="54">
        <f>SUMIF('UC MINI 2026'!$B$5:$B$71,'BEV MINI 2026'!$B52,'UC MINI 2026'!$T$5:$T$71)</f>
        <v>0</v>
      </c>
      <c r="AB52" s="86">
        <f>IFERROR(INDEX([2]BEV!$S$10:$AF$68,
      MATCH(B52,[2]BEV!$S$10:$S$68,0),
      MATCH("AGOSTO",[2]BEV!$S$9:$AF$9,0)),
   0)-IF(B52=100873,
   IFERROR(VLOOKUP("AGOSTO",[2]BEV!$S$80:$T$93,2,0),
      0),
   0)</f>
        <v>0</v>
      </c>
      <c r="AC52" s="243">
        <f t="shared" si="143"/>
        <v>0</v>
      </c>
      <c r="AD52" s="54">
        <f>SUMIF('UC MINI 2026'!$B$5:$B$71,'BEV MINI 2026'!$B52,'UC MINI 2026'!$V$5:$V$71)</f>
        <v>0</v>
      </c>
      <c r="AE52" s="86">
        <f>IFERROR(INDEX([2]BEV!$S$10:$AF$68,
      MATCH(B52,[2]BEV!$S$10:$S$68,0),
      MATCH("SEPTIEMBRE",[2]BEV!$S$9:$AF$9,0)),
   0)-IF(B52=100873,
   IFERROR(VLOOKUP("SEPTIEMBRE",[2]BEV!$S$80:$T$93,2,0),
      0),
   0)</f>
        <v>0</v>
      </c>
      <c r="AF52" s="297">
        <f t="shared" si="144"/>
        <v>0</v>
      </c>
      <c r="AG52" s="54">
        <f>SUMIF('UC MINI 2026'!$B$5:$B$71,'BEV MINI 2026'!$B52,'UC MINI 2026'!$X$5:$X$71)</f>
        <v>0</v>
      </c>
      <c r="AH52" s="86">
        <f>IFERROR(INDEX([2]BEV!$S$10:$AF$68,
      MATCH(B52,[2]BEV!$S$10:$S$68,0),
      MATCH("OCTUBRE",[2]BEV!$S$9:$AF$9,0)),
   0)-IF(B52=100873,
   IFERROR(VLOOKUP("OCTUBRE",[2]BEV!$S$80:$T$93,2,0),
      0),
   0)</f>
        <v>0</v>
      </c>
      <c r="AI52" s="243">
        <f t="shared" si="145"/>
        <v>0</v>
      </c>
      <c r="AJ52" s="54">
        <f>SUMIF('UC MINI 2026'!$B$5:$B$71,'BEV MINI 2026'!$B52,'UC MINI 2026'!$Z$5:$Z$71)</f>
        <v>0</v>
      </c>
      <c r="AK52" s="86">
        <f>IFERROR(INDEX([2]BEV!$S$10:$AF$68,
      MATCH(B52,[2]BEV!$S$10:$S$68,0),
      MATCH("NOVIEMBRE",[2]BEV!$S$9:$AF$9,0)),
   0)-IF(B52=100873,
   IFERROR(VLOOKUP("NOVIEMBRE",[2]BEV!$S$80:$T$93,2,0),
      0),
   0)</f>
        <v>0</v>
      </c>
      <c r="AL52" s="297">
        <f t="shared" si="146"/>
        <v>0</v>
      </c>
      <c r="AM52" s="54">
        <f>SUMIF('UC MINI 2026'!$B$5:$B$71,'BEV MINI 2026'!$B52,'UC MINI 2026'!$AB$5:$AB$71)</f>
        <v>0</v>
      </c>
      <c r="AN52" s="86">
        <f>IFERROR(INDEX([2]BEV!$S$10:$AF$68,
      MATCH(B52,[2]BEV!$S$10:$S$68,0),
      MATCH("DICIEMBRE",[2]BEV!$S$9:$AF$9,0)),
   0)-IF(B52=100873,
   IFERROR(VLOOKUP("DICIEMBRE",[2]BEV!$S$80:$T$93,2,0),
      0),
   0)</f>
        <v>0</v>
      </c>
      <c r="AO52" s="243">
        <f t="shared" si="147"/>
        <v>0</v>
      </c>
      <c r="AP52" s="67">
        <f t="shared" ref="AP52:AQ56" si="150">IFERROR(IF($AP$4="ENERO",F52,IF($AP$4="FEBRERO",F52+I52,IF($AP$4="MARZO",F52+I52+L52,IF($AP$4="ABRIL",F52+I52+L52+O52,IF($AP$4="MAYO",F52+I52+L52+O52+R52,IF($AP$4="JUNIO",F52+I52+L52+O52+R52+U52,IF($AP$4="JULIO",F52+I52+L52+O52+R52+U52+X52,IF($AP$4="AGOSTO",F52+I52+L52+O52+R52+U52+X52+AA52,IF($AP$4="SEPTIEMBRE",F52+I52+L52+O52+R52+U52+X52+AA52+AD52,IF($AP$4="OCTUBRE",F52+I52+L52+O52+R52+U52+X52+AA52+AD52+AG52,IF($AP$4="NOVIEMBRE",F52+I52+L52+O52+R52+U52+X52+AA52+AD52+AG52+AJ52,IF($AP$4="DICIEMBRE",F52+I52+L52+O52+R52+U52+X52+AA52+AD52+AG52+AJ52+AM52,"")))))))))))),0)</f>
        <v>130</v>
      </c>
      <c r="AQ52" s="68">
        <f t="shared" si="150"/>
        <v>147</v>
      </c>
      <c r="AR52" s="149">
        <f t="shared" ref="AR52:AR57" si="151">IFERROR((AQ52/AP52),0)</f>
        <v>1.1307692307692307</v>
      </c>
      <c r="AS52" s="67">
        <f>IFERROR(F52+I52+L52+O52+R52+U52++X52+AA52+AD52+AG52+AJ52+AM52,0)</f>
        <v>130</v>
      </c>
      <c r="AT52" s="86">
        <f t="shared" si="14"/>
        <v>147</v>
      </c>
      <c r="AU52" s="149">
        <f t="shared" ref="AU52:AU57" si="152">IFERROR((AT52/AS52),0)</f>
        <v>1.1307692307692307</v>
      </c>
      <c r="AV52" s="54">
        <f t="shared" ref="AV52:AW56" si="153">IF($AV$5="Q1",F52+I52+L52,
IF($AV$5="Q2",O52+R52++U52,
IF($AV$5="Q3",X52+AA52+AD52,
IF($AV$5="Q4",AG52+AJ52+AM52,0))))</f>
        <v>65</v>
      </c>
      <c r="AW52" s="86">
        <f t="shared" si="153"/>
        <v>63</v>
      </c>
      <c r="AX52" s="109">
        <f t="shared" ref="AX52:AX57" si="154">IFERROR((AW52/AV52),0)</f>
        <v>0.96923076923076923</v>
      </c>
      <c r="AY52" s="68">
        <f>IFERROR(IF($AV$5="Q1",#REF!+#REF!+#REF!,
IF($AV$5="Q2",#REF!+#REF!++#REF!,
IF($AV$5="Q3",#REF!+#REF!+#REF!,
IF($AV$5="Q4",#REF!+#REF!+#REF!,0)))),0)</f>
        <v>0</v>
      </c>
      <c r="AZ52" s="297">
        <f>IF(AW52=0,"N.D.",AY52/AW52)</f>
        <v>0</v>
      </c>
      <c r="BA52" s="350">
        <f>IFERROR(IF($AV$5="Q1",#REF!+#REF!+#REF!,
IF($AV$5="Q2",#REF!+#REF!+#REF!,
IF($AV$5="Q3",#REF!+#REF!+#REF!,
IF($AV$5="Q4",#REF!+#REF!+#REF!,0)))),0)</f>
        <v>0</v>
      </c>
      <c r="BB52" s="150">
        <f t="shared" ref="BB52:BB57" si="155">IFERROR((BA52/AV52),0)</f>
        <v>0</v>
      </c>
      <c r="BC52" s="67">
        <f t="shared" ref="BC52:BD56" si="156">IFERROR(IF($BC$5="S 1",F52+I52+L52+O52+R52+U52,
IF($BC$5="S 2",X52+AA52+AD52+AG52+AJ52+AM52,0)),0)</f>
        <v>130</v>
      </c>
      <c r="BD52" s="68">
        <f t="shared" si="156"/>
        <v>147</v>
      </c>
      <c r="BE52" s="150">
        <f t="shared" ref="BE52:BE57" si="157">IFERROR((BD52/BC52),0)</f>
        <v>1.1307692307692307</v>
      </c>
      <c r="BF52" s="67">
        <f t="shared" ref="BF52:BG56" si="158">IFERROR(IF($BF$5="S 1",F52+I52+L52+O52+R52+U52,
IF($BF$5="S 2",X52+AA52+AD52+AG52+AJ52+AM52,0)),0)</f>
        <v>0</v>
      </c>
      <c r="BG52" s="266">
        <f t="shared" si="158"/>
        <v>0</v>
      </c>
      <c r="BH52" s="150">
        <f t="shared" ref="BH52:BH57" si="159">IFERROR((BG52/BF52),0)</f>
        <v>0</v>
      </c>
      <c r="BI52" s="53">
        <v>1</v>
      </c>
      <c r="BK52" s="53">
        <v>6</v>
      </c>
      <c r="BL52" s="53">
        <v>1</v>
      </c>
      <c r="BM52" s="513">
        <v>0.125</v>
      </c>
      <c r="BP52" s="53">
        <f t="shared" ref="BP52:BP57" si="160">SUM(V52,S52,P52)</f>
        <v>84</v>
      </c>
      <c r="BQ52" s="53">
        <f t="shared" ref="BQ52:BQ57" si="161">SUM(U52,R52,O52)</f>
        <v>65</v>
      </c>
    </row>
    <row r="53" spans="1:69" s="53" customFormat="1" ht="16" customHeight="1" x14ac:dyDescent="0.3">
      <c r="A53" s="53">
        <f>_xlfn.XLOOKUP(B53,'WHOLESALE MINI 2026'!$B$7:$B$63,'WHOLESALE MINI 2026'!$A$7:$A$63)</f>
        <v>9</v>
      </c>
      <c r="B53" s="8">
        <v>100311</v>
      </c>
      <c r="C53" s="369" t="s">
        <v>12</v>
      </c>
      <c r="D53" s="146"/>
      <c r="E53" s="379" t="s">
        <v>201</v>
      </c>
      <c r="F53" s="54">
        <f>SUMIF('UC MINI 2026'!$B$5:$B$71,'BEV MINI 2026'!$B53,'UC MINI 2026'!$F$5:$F$71)</f>
        <v>6</v>
      </c>
      <c r="G53" s="86">
        <f>IFERROR(INDEX([2]BEV!$S$10:$AF$68,
      MATCH(B53,[2]BEV!$S$10:$S$68,0),
      MATCH("ENERO",[2]BEV!$S$9:$AF$9,0)),
   0)-IF(B53=100873,
   IFERROR(VLOOKUP("ENERO",[2]BEV!$S$80:$T$93,2,0),
      0),
   0)</f>
        <v>1</v>
      </c>
      <c r="H53" s="243">
        <f t="shared" si="148"/>
        <v>0.16666666666666666</v>
      </c>
      <c r="I53" s="54">
        <f>SUMIF('UC MINI 2026'!$B$5:$B$71,'BEV MINI 2026'!$B53,'UC MINI 2026'!$H$5:$H$71)</f>
        <v>6</v>
      </c>
      <c r="J53" s="86">
        <f>IFERROR(INDEX([2]BEV!$S$10:$AF$68,
      MATCH(B53,[2]BEV!$S$10:$S$68,0),
      MATCH("FEBRERO",[2]BEV!$S$9:$AF$9,0)),
   0)-IF(B53=100873,
   IFERROR(VLOOKUP("FEBRERO",[2]BEV!$S$80:$T$93,2,0),
      0),
   0)</f>
        <v>3</v>
      </c>
      <c r="K53" s="243">
        <f t="shared" si="149"/>
        <v>0.5</v>
      </c>
      <c r="L53" s="54">
        <f>SUMIF('UC MINI 2026'!$B$5:$B$71,'BEV MINI 2026'!$B53,'UC MINI 2026'!$J$5:$J$71)</f>
        <v>6</v>
      </c>
      <c r="M53" s="86">
        <f>IFERROR(INDEX([2]BEV!$S$10:$AF$68,
      MATCH(B53,[2]BEV!$S$10:$S$68,0),
      MATCH("MARZO",[2]BEV!$S$9:$AF$9,0)),
   0)-IF(B53=100873,
   IFERROR(VLOOKUP("MARZO",[2]BEV!$S$80:$T$93,2,0),
      0),
   0)</f>
        <v>10</v>
      </c>
      <c r="N53" s="297">
        <f t="shared" si="138"/>
        <v>1.6666666666666667</v>
      </c>
      <c r="O53" s="54">
        <f>SUMIF('UC MINI 2026'!$B$5:$B$71,'BEV MINI 2026'!$B53,'UC MINI 2026'!$L$5:$L$71)</f>
        <v>7</v>
      </c>
      <c r="P53" s="86">
        <f>IFERROR(INDEX([2]BEV!$S$10:$AF$68,
      MATCH(B53,[2]BEV!$S$10:$S$68,0),
      MATCH("ABRIL",[2]BEV!$S$9:$AF$9,0)),
   0)-IF(B53=100873,
   IFERROR(VLOOKUP("ABRIL",[2]BEV!$S$80:$T$93,2,0),
      0),
   0)</f>
        <v>9</v>
      </c>
      <c r="Q53" s="243">
        <f t="shared" si="139"/>
        <v>1.2857142857142858</v>
      </c>
      <c r="R53" s="54">
        <f>SUMIF('UC MINI 2026'!$B$5:$B$71,'BEV MINI 2026'!$B53,'UC MINI 2026'!$N$5:$N$71)</f>
        <v>7</v>
      </c>
      <c r="S53" s="86">
        <f>IFERROR(INDEX([2]BEV!$S$10:$AF$68,
      MATCH(B53,[2]BEV!$S$10:$S$68,0),
      MATCH("MAYO",[2]BEV!$S$9:$AF$9,0)),
   0)-IF(B53=100873,
   IFERROR(VLOOKUP("MAYO",[2]BEV!$S$80:$T$93,2,0),
      0),
   0)</f>
        <v>7</v>
      </c>
      <c r="T53" s="297">
        <f t="shared" si="140"/>
        <v>1</v>
      </c>
      <c r="U53" s="54">
        <f>SUMIF('UC MINI 2026'!$B$5:$B$71,'BEV MINI 2026'!$B53,'UC MINI 2026'!$P$5:$P$71)</f>
        <v>8</v>
      </c>
      <c r="V53" s="86">
        <f>IFERROR(INDEX([2]BEV!$S$10:$AF$68,
      MATCH(B53,[2]BEV!$S$10:$S$68,0),
      MATCH("JUNIO",[2]BEV!$S$9:$AF$9,0)),
   0)-IF(B53=100873,
   IFERROR(VLOOKUP("JUNIO",[2]BEV!$S$80:$T$93,2,0),
      0),
   0)</f>
        <v>6</v>
      </c>
      <c r="W53" s="243">
        <f t="shared" si="141"/>
        <v>0.75</v>
      </c>
      <c r="X53" s="54">
        <f>SUMIF('UC MINI 2026'!$B$5:$B$71,'BEV MINI 2026'!$B53,'UC MINI 2026'!$R$5:$R$71)</f>
        <v>8</v>
      </c>
      <c r="Y53" s="86">
        <f>IFERROR(INDEX([2]BEV!$S$10:$AF$68,
      MATCH(B53,[2]BEV!$S$10:$S$68,0),
      MATCH("JULIO",[2]BEV!$S$9:$AF$9,0)),
   0)-IF(B53=100873,
   IFERROR(VLOOKUP("JULIO",[2]BEV!$S$80:$T$93,2,0),
      0),
   0)</f>
        <v>0</v>
      </c>
      <c r="Z53" s="297">
        <f t="shared" si="142"/>
        <v>0</v>
      </c>
      <c r="AA53" s="54">
        <f>SUMIF('UC MINI 2026'!$B$5:$B$71,'BEV MINI 2026'!$B53,'UC MINI 2026'!$T$5:$T$71)</f>
        <v>4</v>
      </c>
      <c r="AB53" s="86">
        <f>IFERROR(INDEX([2]BEV!$S$10:$AF$68,
      MATCH(B53,[2]BEV!$S$10:$S$68,0),
      MATCH("AGOSTO",[2]BEV!$S$9:$AF$9,0)),
   0)-IF(B53=100873,
   IFERROR(VLOOKUP("AGOSTO",[2]BEV!$S$80:$T$93,2,0),
      0),
   0)</f>
        <v>0</v>
      </c>
      <c r="AC53" s="243">
        <f t="shared" si="143"/>
        <v>0</v>
      </c>
      <c r="AD53" s="54">
        <f>SUMIF('UC MINI 2026'!$B$5:$B$71,'BEV MINI 2026'!$B53,'UC MINI 2026'!$V$5:$V$71)</f>
        <v>8</v>
      </c>
      <c r="AE53" s="86">
        <f>IFERROR(INDEX([2]BEV!$S$10:$AF$68,
      MATCH(B53,[2]BEV!$S$10:$S$68,0),
      MATCH("SEPTIEMBRE",[2]BEV!$S$9:$AF$9,0)),
   0)-IF(B53=100873,
   IFERROR(VLOOKUP("SEPTIEMBRE",[2]BEV!$S$80:$T$93,2,0),
      0),
   0)</f>
        <v>0</v>
      </c>
      <c r="AF53" s="297">
        <f t="shared" si="144"/>
        <v>0</v>
      </c>
      <c r="AG53" s="54">
        <f>SUMIF('UC MINI 2026'!$B$5:$B$71,'BEV MINI 2026'!$B53,'UC MINI 2026'!$X$5:$X$71)</f>
        <v>7</v>
      </c>
      <c r="AH53" s="86">
        <f>IFERROR(INDEX([2]BEV!$S$10:$AF$68,
      MATCH(B53,[2]BEV!$S$10:$S$68,0),
      MATCH("OCTUBRE",[2]BEV!$S$9:$AF$9,0)),
   0)-IF(B53=100873,
   IFERROR(VLOOKUP("OCTUBRE",[2]BEV!$S$80:$T$93,2,0),
      0),
   0)</f>
        <v>0</v>
      </c>
      <c r="AI53" s="243">
        <f t="shared" si="145"/>
        <v>0</v>
      </c>
      <c r="AJ53" s="54">
        <f>SUMIF('UC MINI 2026'!$B$5:$B$71,'BEV MINI 2026'!$B53,'UC MINI 2026'!$Z$5:$Z$71)</f>
        <v>7</v>
      </c>
      <c r="AK53" s="86">
        <f>IFERROR(INDEX([2]BEV!$S$10:$AF$68,
      MATCH(B53,[2]BEV!$S$10:$S$68,0),
      MATCH("NOVIEMBRE",[2]BEV!$S$9:$AF$9,0)),
   0)-IF(B53=100873,
   IFERROR(VLOOKUP("NOVIEMBRE",[2]BEV!$S$80:$T$93,2,0),
      0),
   0)</f>
        <v>0</v>
      </c>
      <c r="AL53" s="297">
        <f t="shared" si="146"/>
        <v>0</v>
      </c>
      <c r="AM53" s="54">
        <f>SUMIF('UC MINI 2026'!$B$5:$B$71,'BEV MINI 2026'!$B53,'UC MINI 2026'!$AB$5:$AB$71)</f>
        <v>6</v>
      </c>
      <c r="AN53" s="86">
        <f>IFERROR(INDEX([2]BEV!$S$10:$AF$68,
      MATCH(B53,[2]BEV!$S$10:$S$68,0),
      MATCH("DICIEMBRE",[2]BEV!$S$9:$AF$9,0)),
   0)-IF(B53=100873,
   IFERROR(VLOOKUP("DICIEMBRE",[2]BEV!$S$80:$T$93,2,0),
      0),
   0)</f>
        <v>0</v>
      </c>
      <c r="AO53" s="243">
        <f t="shared" si="147"/>
        <v>0</v>
      </c>
      <c r="AP53" s="67">
        <f t="shared" si="150"/>
        <v>40</v>
      </c>
      <c r="AQ53" s="68">
        <f t="shared" si="150"/>
        <v>36</v>
      </c>
      <c r="AR53" s="149">
        <f t="shared" si="151"/>
        <v>0.9</v>
      </c>
      <c r="AS53" s="67">
        <f>IFERROR(F53+I53+L53+O53+R53+U53++X53+AA53+AD53+AG53+AJ53+AM53,0)</f>
        <v>80</v>
      </c>
      <c r="AT53" s="86">
        <f t="shared" si="14"/>
        <v>36</v>
      </c>
      <c r="AU53" s="149">
        <f t="shared" si="152"/>
        <v>0.45</v>
      </c>
      <c r="AV53" s="54">
        <f t="shared" si="153"/>
        <v>18</v>
      </c>
      <c r="AW53" s="86">
        <f t="shared" si="153"/>
        <v>14</v>
      </c>
      <c r="AX53" s="109">
        <f t="shared" si="154"/>
        <v>0.77777777777777779</v>
      </c>
      <c r="AY53" s="68">
        <f>IFERROR(IF($AV$5="Q1",#REF!+#REF!+#REF!,
IF($AV$5="Q2",#REF!+#REF!++#REF!,
IF($AV$5="Q3",#REF!+#REF!+#REF!,
IF($AV$5="Q4",#REF!+#REF!+#REF!,0)))),0)</f>
        <v>0</v>
      </c>
      <c r="AZ53" s="297">
        <f>IF(AW53=0,"N.D.",AY53/AW53)</f>
        <v>0</v>
      </c>
      <c r="BA53" s="350">
        <f>IFERROR(IF($AV$5="Q1",#REF!+#REF!+#REF!,
IF($AV$5="Q2",#REF!+#REF!+#REF!,
IF($AV$5="Q3",#REF!+#REF!+#REF!,
IF($AV$5="Q4",#REF!+#REF!+#REF!,0)))),0)</f>
        <v>0</v>
      </c>
      <c r="BB53" s="150">
        <f t="shared" si="155"/>
        <v>0</v>
      </c>
      <c r="BC53" s="67">
        <f t="shared" si="156"/>
        <v>40</v>
      </c>
      <c r="BD53" s="68">
        <f t="shared" si="156"/>
        <v>36</v>
      </c>
      <c r="BE53" s="150">
        <f t="shared" si="157"/>
        <v>0.9</v>
      </c>
      <c r="BF53" s="67">
        <f t="shared" si="158"/>
        <v>40</v>
      </c>
      <c r="BG53" s="266">
        <f t="shared" si="158"/>
        <v>0</v>
      </c>
      <c r="BH53" s="150">
        <f t="shared" si="159"/>
        <v>0</v>
      </c>
      <c r="BI53" s="53">
        <v>1</v>
      </c>
      <c r="BK53" s="53">
        <v>0</v>
      </c>
      <c r="BL53" s="53">
        <v>1</v>
      </c>
      <c r="BM53" s="513">
        <v>0</v>
      </c>
      <c r="BP53" s="53">
        <f t="shared" si="160"/>
        <v>22</v>
      </c>
      <c r="BQ53" s="53">
        <f t="shared" si="161"/>
        <v>22</v>
      </c>
    </row>
    <row r="54" spans="1:69" s="70" customFormat="1" ht="16" customHeight="1" x14ac:dyDescent="0.3">
      <c r="A54" s="53">
        <f>_xlfn.XLOOKUP(B54,'WHOLESALE MINI 2026'!$B$7:$B$63,'WHOLESALE MINI 2026'!$A$7:$A$63)</f>
        <v>9</v>
      </c>
      <c r="B54" s="13">
        <v>100393</v>
      </c>
      <c r="C54" s="374" t="s">
        <v>75</v>
      </c>
      <c r="D54" s="146"/>
      <c r="E54" s="379" t="s">
        <v>201</v>
      </c>
      <c r="F54" s="54">
        <f>SUMIF('UC MINI 2026'!$B$5:$B$71,'BEV MINI 2026'!$B54,'UC MINI 2026'!$F$5:$F$71)</f>
        <v>6</v>
      </c>
      <c r="G54" s="86">
        <f>IFERROR(INDEX([2]BEV!$S$10:$AF$68,
      MATCH(B54,[2]BEV!$S$10:$S$68,0),
      MATCH("ENERO",[2]BEV!$S$9:$AF$9,0)),
   0)-IF(B54=100873,
   IFERROR(VLOOKUP("ENERO",[2]BEV!$S$80:$T$93,2,0),
      0),
   0)</f>
        <v>11</v>
      </c>
      <c r="H54" s="243">
        <f t="shared" si="148"/>
        <v>1.8333333333333333</v>
      </c>
      <c r="I54" s="54">
        <f>SUMIF('UC MINI 2026'!$B$5:$B$71,'BEV MINI 2026'!$B54,'UC MINI 2026'!$H$5:$H$71)</f>
        <v>7</v>
      </c>
      <c r="J54" s="86">
        <f>IFERROR(INDEX([2]BEV!$S$10:$AF$68,
      MATCH(B54,[2]BEV!$S$10:$S$68,0),
      MATCH("FEBRERO",[2]BEV!$S$9:$AF$9,0)),
   0)-IF(B54=100873,
   IFERROR(VLOOKUP("FEBRERO",[2]BEV!$S$80:$T$93,2,0),
      0),
   0)</f>
        <v>5</v>
      </c>
      <c r="K54" s="243">
        <f t="shared" si="149"/>
        <v>0.7142857142857143</v>
      </c>
      <c r="L54" s="54">
        <f>SUMIF('UC MINI 2026'!$B$5:$B$71,'BEV MINI 2026'!$B54,'UC MINI 2026'!$J$5:$J$71)</f>
        <v>7</v>
      </c>
      <c r="M54" s="86">
        <f>IFERROR(INDEX([2]BEV!$S$10:$AF$68,
      MATCH(B54,[2]BEV!$S$10:$S$68,0),
      MATCH("MARZO",[2]BEV!$S$9:$AF$9,0)),
   0)-IF(B54=100873,
   IFERROR(VLOOKUP("MARZO",[2]BEV!$S$80:$T$93,2,0),
      0),
   0)</f>
        <v>11</v>
      </c>
      <c r="N54" s="297">
        <f t="shared" si="138"/>
        <v>1.5714285714285714</v>
      </c>
      <c r="O54" s="54">
        <f>SUMIF('UC MINI 2026'!$B$5:$B$71,'BEV MINI 2026'!$B54,'UC MINI 2026'!$L$5:$L$71)</f>
        <v>6</v>
      </c>
      <c r="P54" s="86">
        <f>IFERROR(INDEX([2]BEV!$S$10:$AF$68,
      MATCH(B54,[2]BEV!$S$10:$S$68,0),
      MATCH("ABRIL",[2]BEV!$S$9:$AF$9,0)),
   0)-IF(B54=100873,
   IFERROR(VLOOKUP("ABRIL",[2]BEV!$S$80:$T$93,2,0),
      0),
   0)</f>
        <v>7</v>
      </c>
      <c r="Q54" s="243">
        <f t="shared" si="139"/>
        <v>1.1666666666666667</v>
      </c>
      <c r="R54" s="54">
        <f>SUMIF('UC MINI 2026'!$B$5:$B$71,'BEV MINI 2026'!$B54,'UC MINI 2026'!$N$5:$N$71)</f>
        <v>7</v>
      </c>
      <c r="S54" s="86">
        <f>IFERROR(INDEX([2]BEV!$S$10:$AF$68,
      MATCH(B54,[2]BEV!$S$10:$S$68,0),
      MATCH("MAYO",[2]BEV!$S$9:$AF$9,0)),
   0)-IF(B54=100873,
   IFERROR(VLOOKUP("MAYO",[2]BEV!$S$80:$T$93,2,0),
      0),
   0)</f>
        <v>6</v>
      </c>
      <c r="T54" s="297">
        <f t="shared" si="140"/>
        <v>0.8571428571428571</v>
      </c>
      <c r="U54" s="54">
        <f>SUMIF('UC MINI 2026'!$B$5:$B$71,'BEV MINI 2026'!$B54,'UC MINI 2026'!$P$5:$P$71)</f>
        <v>7</v>
      </c>
      <c r="V54" s="86">
        <f>IFERROR(INDEX([2]BEV!$S$10:$AF$68,
      MATCH(B54,[2]BEV!$S$10:$S$68,0),
      MATCH("JUNIO",[2]BEV!$S$9:$AF$9,0)),
   0)-IF(B54=100873,
   IFERROR(VLOOKUP("JUNIO",[2]BEV!$S$80:$T$93,2,0),
      0),
   0)</f>
        <v>9</v>
      </c>
      <c r="W54" s="243">
        <f t="shared" si="141"/>
        <v>1.2857142857142858</v>
      </c>
      <c r="X54" s="54">
        <f>SUMIF('UC MINI 2026'!$B$5:$B$71,'BEV MINI 2026'!$B54,'UC MINI 2026'!$R$5:$R$71)</f>
        <v>0</v>
      </c>
      <c r="Y54" s="86">
        <f>IFERROR(INDEX([2]BEV!$S$10:$AF$68,
      MATCH(B54,[2]BEV!$S$10:$S$68,0),
      MATCH("JULIO",[2]BEV!$S$9:$AF$9,0)),
   0)-IF(B54=100873,
   IFERROR(VLOOKUP("JULIO",[2]BEV!$S$80:$T$93,2,0),
      0),
   0)</f>
        <v>0</v>
      </c>
      <c r="Z54" s="297">
        <f t="shared" si="142"/>
        <v>0</v>
      </c>
      <c r="AA54" s="54">
        <f>SUMIF('UC MINI 2026'!$B$5:$B$71,'BEV MINI 2026'!$B54,'UC MINI 2026'!$T$5:$T$71)</f>
        <v>0</v>
      </c>
      <c r="AB54" s="86">
        <f>IFERROR(INDEX([2]BEV!$S$10:$AF$68,
      MATCH(B54,[2]BEV!$S$10:$S$68,0),
      MATCH("AGOSTO",[2]BEV!$S$9:$AF$9,0)),
   0)-IF(B54=100873,
   IFERROR(VLOOKUP("AGOSTO",[2]BEV!$S$80:$T$93,2,0),
      0),
   0)</f>
        <v>0</v>
      </c>
      <c r="AC54" s="243">
        <f t="shared" si="143"/>
        <v>0</v>
      </c>
      <c r="AD54" s="54">
        <f>SUMIF('UC MINI 2026'!$B$5:$B$71,'BEV MINI 2026'!$B54,'UC MINI 2026'!$V$5:$V$71)</f>
        <v>0</v>
      </c>
      <c r="AE54" s="86">
        <f>IFERROR(INDEX([2]BEV!$S$10:$AF$68,
      MATCH(B54,[2]BEV!$S$10:$S$68,0),
      MATCH("SEPTIEMBRE",[2]BEV!$S$9:$AF$9,0)),
   0)-IF(B54=100873,
   IFERROR(VLOOKUP("SEPTIEMBRE",[2]BEV!$S$80:$T$93,2,0),
      0),
   0)</f>
        <v>0</v>
      </c>
      <c r="AF54" s="297">
        <f t="shared" si="144"/>
        <v>0</v>
      </c>
      <c r="AG54" s="54">
        <f>SUMIF('UC MINI 2026'!$B$5:$B$71,'BEV MINI 2026'!$B54,'UC MINI 2026'!$X$5:$X$71)</f>
        <v>0</v>
      </c>
      <c r="AH54" s="86">
        <f>IFERROR(INDEX([2]BEV!$S$10:$AF$68,
      MATCH(B54,[2]BEV!$S$10:$S$68,0),
      MATCH("OCTUBRE",[2]BEV!$S$9:$AF$9,0)),
   0)-IF(B54=100873,
   IFERROR(VLOOKUP("OCTUBRE",[2]BEV!$S$80:$T$93,2,0),
      0),
   0)</f>
        <v>0</v>
      </c>
      <c r="AI54" s="243">
        <f t="shared" si="145"/>
        <v>0</v>
      </c>
      <c r="AJ54" s="54">
        <f>SUMIF('UC MINI 2026'!$B$5:$B$71,'BEV MINI 2026'!$B54,'UC MINI 2026'!$Z$5:$Z$71)</f>
        <v>0</v>
      </c>
      <c r="AK54" s="86">
        <f>IFERROR(INDEX([2]BEV!$S$10:$AF$68,
      MATCH(B54,[2]BEV!$S$10:$S$68,0),
      MATCH("NOVIEMBRE",[2]BEV!$S$9:$AF$9,0)),
   0)-IF(B54=100873,
   IFERROR(VLOOKUP("NOVIEMBRE",[2]BEV!$S$80:$T$93,2,0),
      0),
   0)</f>
        <v>0</v>
      </c>
      <c r="AL54" s="297">
        <f t="shared" si="146"/>
        <v>0</v>
      </c>
      <c r="AM54" s="54">
        <f>SUMIF('UC MINI 2026'!$B$5:$B$71,'BEV MINI 2026'!$B54,'UC MINI 2026'!$AB$5:$AB$71)</f>
        <v>0</v>
      </c>
      <c r="AN54" s="86">
        <f>IFERROR(INDEX([2]BEV!$S$10:$AF$68,
      MATCH(B54,[2]BEV!$S$10:$S$68,0),
      MATCH("DICIEMBRE",[2]BEV!$S$9:$AF$9,0)),
   0)-IF(B54=100873,
   IFERROR(VLOOKUP("DICIEMBRE",[2]BEV!$S$80:$T$93,2,0),
      0),
   0)</f>
        <v>0</v>
      </c>
      <c r="AO54" s="243">
        <f t="shared" si="147"/>
        <v>0</v>
      </c>
      <c r="AP54" s="67">
        <f t="shared" si="150"/>
        <v>40</v>
      </c>
      <c r="AQ54" s="68">
        <f t="shared" si="150"/>
        <v>49</v>
      </c>
      <c r="AR54" s="149">
        <f t="shared" si="151"/>
        <v>1.2250000000000001</v>
      </c>
      <c r="AS54" s="67">
        <f>IFERROR(F54+I54+L54+O54+R54+U54++X54+AA54+AD54+AG54+AJ54+AM54,0)</f>
        <v>40</v>
      </c>
      <c r="AT54" s="86">
        <f t="shared" si="14"/>
        <v>49</v>
      </c>
      <c r="AU54" s="149">
        <f t="shared" si="152"/>
        <v>1.2250000000000001</v>
      </c>
      <c r="AV54" s="54">
        <f t="shared" si="153"/>
        <v>20</v>
      </c>
      <c r="AW54" s="86">
        <f t="shared" si="153"/>
        <v>27</v>
      </c>
      <c r="AX54" s="109">
        <f t="shared" si="154"/>
        <v>1.35</v>
      </c>
      <c r="AY54" s="68">
        <f>IFERROR(IF($AV$5="Q1",#REF!+#REF!+#REF!,
IF($AV$5="Q2",#REF!+#REF!++#REF!,
IF($AV$5="Q3",#REF!+#REF!+#REF!,
IF($AV$5="Q4",#REF!+#REF!+#REF!,0)))),0)</f>
        <v>0</v>
      </c>
      <c r="AZ54" s="297">
        <f>IF(AW54=0,"N.D.",AY54/AW54)</f>
        <v>0</v>
      </c>
      <c r="BA54" s="350">
        <f>IFERROR(IF($AV$5="Q1",#REF!+#REF!+#REF!,
IF($AV$5="Q2",#REF!+#REF!+#REF!,
IF($AV$5="Q3",#REF!+#REF!+#REF!,
IF($AV$5="Q4",#REF!+#REF!+#REF!,0)))),0)</f>
        <v>0</v>
      </c>
      <c r="BB54" s="150">
        <f t="shared" si="155"/>
        <v>0</v>
      </c>
      <c r="BC54" s="67">
        <f t="shared" si="156"/>
        <v>40</v>
      </c>
      <c r="BD54" s="68">
        <f t="shared" si="156"/>
        <v>49</v>
      </c>
      <c r="BE54" s="150">
        <f t="shared" si="157"/>
        <v>1.2250000000000001</v>
      </c>
      <c r="BF54" s="67">
        <f t="shared" si="158"/>
        <v>0</v>
      </c>
      <c r="BG54" s="266">
        <f t="shared" si="158"/>
        <v>0</v>
      </c>
      <c r="BH54" s="150">
        <f t="shared" si="159"/>
        <v>0</v>
      </c>
      <c r="BI54" s="53">
        <v>1</v>
      </c>
      <c r="BJ54" s="53"/>
      <c r="BM54" s="514"/>
      <c r="BP54" s="53">
        <f t="shared" si="160"/>
        <v>22</v>
      </c>
      <c r="BQ54" s="53">
        <f t="shared" si="161"/>
        <v>20</v>
      </c>
    </row>
    <row r="55" spans="1:69" s="53" customFormat="1" ht="16" customHeight="1" x14ac:dyDescent="0.3">
      <c r="A55" s="53">
        <f>_xlfn.XLOOKUP(B55,'WHOLESALE MINI 2026'!$B$7:$B$63,'WHOLESALE MINI 2026'!$A$7:$A$63)</f>
        <v>9</v>
      </c>
      <c r="B55" s="8">
        <v>100586</v>
      </c>
      <c r="C55" s="369" t="s">
        <v>67</v>
      </c>
      <c r="D55" s="146"/>
      <c r="E55" s="379" t="s">
        <v>98</v>
      </c>
      <c r="F55" s="54">
        <f>SUMIF('UC MINI 2026'!$B$5:$B$71,'BEV MINI 2026'!$B55,'UC MINI 2026'!$F$5:$F$71)</f>
        <v>13</v>
      </c>
      <c r="G55" s="86">
        <f>IFERROR(INDEX([2]BEV!$S$10:$AF$68,
      MATCH(B55,[2]BEV!$S$10:$S$68,0),
      MATCH("ENERO",[2]BEV!$S$9:$AF$9,0)),
   0)-IF(B55=100873,
   IFERROR(VLOOKUP("ENERO",[2]BEV!$S$80:$T$93,2,0),
      0),
   0)</f>
        <v>11</v>
      </c>
      <c r="H55" s="243">
        <f t="shared" si="148"/>
        <v>0.84615384615384615</v>
      </c>
      <c r="I55" s="54">
        <f>SUMIF('UC MINI 2026'!$B$5:$B$71,'BEV MINI 2026'!$B55,'UC MINI 2026'!$H$5:$H$71)</f>
        <v>13</v>
      </c>
      <c r="J55" s="86">
        <f>IFERROR(INDEX([2]BEV!$S$10:$AF$68,
      MATCH(B55,[2]BEV!$S$10:$S$68,0),
      MATCH("FEBRERO",[2]BEV!$S$9:$AF$9,0)),
   0)-IF(B55=100873,
   IFERROR(VLOOKUP("FEBRERO",[2]BEV!$S$80:$T$93,2,0),
      0),
   0)</f>
        <v>14</v>
      </c>
      <c r="K55" s="243">
        <f t="shared" si="149"/>
        <v>1.0769230769230769</v>
      </c>
      <c r="L55" s="54">
        <f>SUMIF('UC MINI 2026'!$B$5:$B$71,'BEV MINI 2026'!$B55,'UC MINI 2026'!$J$5:$J$71)</f>
        <v>14</v>
      </c>
      <c r="M55" s="86">
        <f>IFERROR(INDEX([2]BEV!$S$10:$AF$68,
      MATCH(B55,[2]BEV!$S$10:$S$68,0),
      MATCH("MARZO",[2]BEV!$S$9:$AF$9,0)),
   0)-IF(B55=100873,
   IFERROR(VLOOKUP("MARZO",[2]BEV!$S$80:$T$93,2,0),
      0),
   0)</f>
        <v>16</v>
      </c>
      <c r="N55" s="297">
        <f t="shared" si="138"/>
        <v>1.1428571428571428</v>
      </c>
      <c r="O55" s="54">
        <f>SUMIF('UC MINI 2026'!$B$5:$B$71,'BEV MINI 2026'!$B55,'UC MINI 2026'!$L$5:$L$71)</f>
        <v>13</v>
      </c>
      <c r="P55" s="86">
        <f>IFERROR(INDEX([2]BEV!$S$10:$AF$68,
      MATCH(B55,[2]BEV!$S$10:$S$68,0),
      MATCH("ABRIL",[2]BEV!$S$9:$AF$9,0)),
   0)-IF(B55=100873,
   IFERROR(VLOOKUP("ABRIL",[2]BEV!$S$80:$T$93,2,0),
      0),
   0)</f>
        <v>23</v>
      </c>
      <c r="Q55" s="243">
        <f t="shared" si="139"/>
        <v>1.7692307692307692</v>
      </c>
      <c r="R55" s="54">
        <f>SUMIF('UC MINI 2026'!$B$5:$B$71,'BEV MINI 2026'!$B55,'UC MINI 2026'!$N$5:$N$71)</f>
        <v>13</v>
      </c>
      <c r="S55" s="86">
        <f>IFERROR(INDEX([2]BEV!$S$10:$AF$68,
      MATCH(B55,[2]BEV!$S$10:$S$68,0),
      MATCH("MAYO",[2]BEV!$S$9:$AF$9,0)),
   0)-IF(B55=100873,
   IFERROR(VLOOKUP("MAYO",[2]BEV!$S$80:$T$93,2,0),
      0),
   0)</f>
        <v>16</v>
      </c>
      <c r="T55" s="297">
        <f t="shared" si="140"/>
        <v>1.2307692307692308</v>
      </c>
      <c r="U55" s="54">
        <f>SUMIF('UC MINI 2026'!$B$5:$B$71,'BEV MINI 2026'!$B55,'UC MINI 2026'!$P$5:$P$71)</f>
        <v>14</v>
      </c>
      <c r="V55" s="86">
        <f>IFERROR(INDEX([2]BEV!$S$10:$AF$68,
      MATCH(B55,[2]BEV!$S$10:$S$68,0),
      MATCH("JUNIO",[2]BEV!$S$9:$AF$9,0)),
   0)-IF(B55=100873,
   IFERROR(VLOOKUP("JUNIO",[2]BEV!$S$80:$T$93,2,0),
      0),
   0)</f>
        <v>23</v>
      </c>
      <c r="W55" s="243">
        <f t="shared" si="141"/>
        <v>1.6428571428571428</v>
      </c>
      <c r="X55" s="54">
        <f>SUMIF('UC MINI 2026'!$B$5:$B$71,'BEV MINI 2026'!$B55,'UC MINI 2026'!$R$5:$R$71)</f>
        <v>0</v>
      </c>
      <c r="Y55" s="86">
        <f>IFERROR(INDEX([2]BEV!$S$10:$AF$68,
      MATCH(B55,[2]BEV!$S$10:$S$68,0),
      MATCH("JULIO",[2]BEV!$S$9:$AF$9,0)),
   0)-IF(B55=100873,
   IFERROR(VLOOKUP("JULIO",[2]BEV!$S$80:$T$93,2,0),
      0),
   0)</f>
        <v>0</v>
      </c>
      <c r="Z55" s="297">
        <f t="shared" si="142"/>
        <v>0</v>
      </c>
      <c r="AA55" s="54">
        <f>SUMIF('UC MINI 2026'!$B$5:$B$71,'BEV MINI 2026'!$B55,'UC MINI 2026'!$T$5:$T$71)</f>
        <v>0</v>
      </c>
      <c r="AB55" s="86">
        <f>IFERROR(INDEX([2]BEV!$S$10:$AF$68,
      MATCH(B55,[2]BEV!$S$10:$S$68,0),
      MATCH("AGOSTO",[2]BEV!$S$9:$AF$9,0)),
   0)-IF(B55=100873,
   IFERROR(VLOOKUP("AGOSTO",[2]BEV!$S$80:$T$93,2,0),
      0),
   0)</f>
        <v>0</v>
      </c>
      <c r="AC55" s="243">
        <f t="shared" si="143"/>
        <v>0</v>
      </c>
      <c r="AD55" s="54">
        <f>SUMIF('UC MINI 2026'!$B$5:$B$71,'BEV MINI 2026'!$B55,'UC MINI 2026'!$V$5:$V$71)</f>
        <v>0</v>
      </c>
      <c r="AE55" s="86">
        <f>IFERROR(INDEX([2]BEV!$S$10:$AF$68,
      MATCH(B55,[2]BEV!$S$10:$S$68,0),
      MATCH("SEPTIEMBRE",[2]BEV!$S$9:$AF$9,0)),
   0)-IF(B55=100873,
   IFERROR(VLOOKUP("SEPTIEMBRE",[2]BEV!$S$80:$T$93,2,0),
      0),
   0)</f>
        <v>0</v>
      </c>
      <c r="AF55" s="297">
        <f t="shared" si="144"/>
        <v>0</v>
      </c>
      <c r="AG55" s="54">
        <f>SUMIF('UC MINI 2026'!$B$5:$B$71,'BEV MINI 2026'!$B55,'UC MINI 2026'!$X$5:$X$71)</f>
        <v>0</v>
      </c>
      <c r="AH55" s="86">
        <f>IFERROR(INDEX([2]BEV!$S$10:$AF$68,
      MATCH(B55,[2]BEV!$S$10:$S$68,0),
      MATCH("OCTUBRE",[2]BEV!$S$9:$AF$9,0)),
   0)-IF(B55=100873,
   IFERROR(VLOOKUP("OCTUBRE",[2]BEV!$S$80:$T$93,2,0),
      0),
   0)</f>
        <v>0</v>
      </c>
      <c r="AI55" s="243">
        <f t="shared" si="145"/>
        <v>0</v>
      </c>
      <c r="AJ55" s="54">
        <f>SUMIF('UC MINI 2026'!$B$5:$B$71,'BEV MINI 2026'!$B55,'UC MINI 2026'!$Z$5:$Z$71)</f>
        <v>0</v>
      </c>
      <c r="AK55" s="86">
        <f>IFERROR(INDEX([2]BEV!$S$10:$AF$68,
      MATCH(B55,[2]BEV!$S$10:$S$68,0),
      MATCH("NOVIEMBRE",[2]BEV!$S$9:$AF$9,0)),
   0)-IF(B55=100873,
   IFERROR(VLOOKUP("NOVIEMBRE",[2]BEV!$S$80:$T$93,2,0),
      0),
   0)</f>
        <v>0</v>
      </c>
      <c r="AL55" s="297">
        <f t="shared" si="146"/>
        <v>0</v>
      </c>
      <c r="AM55" s="54">
        <f>SUMIF('UC MINI 2026'!$B$5:$B$71,'BEV MINI 2026'!$B55,'UC MINI 2026'!$AB$5:$AB$71)</f>
        <v>0</v>
      </c>
      <c r="AN55" s="86">
        <f>IFERROR(INDEX([2]BEV!$S$10:$AF$68,
      MATCH(B55,[2]BEV!$S$10:$S$68,0),
      MATCH("DICIEMBRE",[2]BEV!$S$9:$AF$9,0)),
   0)-IF(B55=100873,
   IFERROR(VLOOKUP("DICIEMBRE",[2]BEV!$S$80:$T$93,2,0),
      0),
   0)</f>
        <v>0</v>
      </c>
      <c r="AO55" s="243">
        <f t="shared" si="147"/>
        <v>0</v>
      </c>
      <c r="AP55" s="67">
        <f t="shared" si="150"/>
        <v>80</v>
      </c>
      <c r="AQ55" s="68">
        <f t="shared" si="150"/>
        <v>103</v>
      </c>
      <c r="AR55" s="149">
        <f t="shared" si="151"/>
        <v>1.2875000000000001</v>
      </c>
      <c r="AS55" s="67">
        <f>IFERROR(F55+I55+L55+O55+R55+U55++X55+AA55+AD55+AG55+AJ55+AM55,0)</f>
        <v>80</v>
      </c>
      <c r="AT55" s="86">
        <f t="shared" si="14"/>
        <v>103</v>
      </c>
      <c r="AU55" s="149">
        <f t="shared" si="152"/>
        <v>1.2875000000000001</v>
      </c>
      <c r="AV55" s="54">
        <f t="shared" si="153"/>
        <v>40</v>
      </c>
      <c r="AW55" s="86">
        <f t="shared" si="153"/>
        <v>41</v>
      </c>
      <c r="AX55" s="109">
        <f t="shared" si="154"/>
        <v>1.0249999999999999</v>
      </c>
      <c r="AY55" s="68">
        <f>IFERROR(IF($AV$5="Q1",#REF!+#REF!+#REF!,
IF($AV$5="Q2",#REF!+#REF!++#REF!,
IF($AV$5="Q3",#REF!+#REF!+#REF!,
IF($AV$5="Q4",#REF!+#REF!+#REF!,0)))),0)</f>
        <v>0</v>
      </c>
      <c r="AZ55" s="297">
        <f>IF(AW55=0,"N.D.",AY55/AW55)</f>
        <v>0</v>
      </c>
      <c r="BA55" s="350">
        <f>IFERROR(IF($AV$5="Q1",#REF!+#REF!+#REF!,
IF($AV$5="Q2",#REF!+#REF!+#REF!,
IF($AV$5="Q3",#REF!+#REF!+#REF!,
IF($AV$5="Q4",#REF!+#REF!+#REF!,0)))),0)</f>
        <v>0</v>
      </c>
      <c r="BB55" s="150">
        <f t="shared" si="155"/>
        <v>0</v>
      </c>
      <c r="BC55" s="67">
        <f t="shared" si="156"/>
        <v>80</v>
      </c>
      <c r="BD55" s="68">
        <f t="shared" si="156"/>
        <v>103</v>
      </c>
      <c r="BE55" s="150">
        <f t="shared" si="157"/>
        <v>1.2875000000000001</v>
      </c>
      <c r="BF55" s="67">
        <f t="shared" si="158"/>
        <v>0</v>
      </c>
      <c r="BG55" s="266">
        <f t="shared" si="158"/>
        <v>0</v>
      </c>
      <c r="BH55" s="150">
        <f t="shared" si="159"/>
        <v>0</v>
      </c>
      <c r="BI55" s="53">
        <v>1</v>
      </c>
      <c r="BP55" s="53">
        <f t="shared" si="160"/>
        <v>62</v>
      </c>
      <c r="BQ55" s="53">
        <f t="shared" si="161"/>
        <v>40</v>
      </c>
    </row>
    <row r="56" spans="1:69" s="53" customFormat="1" ht="16" customHeight="1" thickBot="1" x14ac:dyDescent="0.35">
      <c r="A56" s="53">
        <f>_xlfn.XLOOKUP(B56,'WHOLESALE MINI 2026'!$B$7:$B$63,'WHOLESALE MINI 2026'!$A$7:$A$63)</f>
        <v>9</v>
      </c>
      <c r="B56" s="36">
        <v>100813</v>
      </c>
      <c r="C56" s="375" t="s">
        <v>68</v>
      </c>
      <c r="D56" s="51"/>
      <c r="E56" s="379" t="s">
        <v>98</v>
      </c>
      <c r="F56" s="54">
        <f>SUMIF('UC MINI 2026'!$B$5:$B$71,'BEV MINI 2026'!$B56,'UC MINI 2026'!$F$5:$F$71)</f>
        <v>4</v>
      </c>
      <c r="G56" s="86">
        <f>IFERROR(INDEX([2]BEV!$S$10:$AF$68,
      MATCH(B56,[2]BEV!$S$10:$S$68,0),
      MATCH("ENERO",[2]BEV!$S$9:$AF$9,0)),
   0)-IF(B56=100873,
   IFERROR(VLOOKUP("ENERO",[2]BEV!$S$80:$T$93,2,0),
      0),
   0)</f>
        <v>5</v>
      </c>
      <c r="H56" s="243">
        <f t="shared" si="148"/>
        <v>1.25</v>
      </c>
      <c r="I56" s="54">
        <f>SUMIF('UC MINI 2026'!$B$5:$B$71,'BEV MINI 2026'!$B56,'UC MINI 2026'!$H$5:$H$71)</f>
        <v>4</v>
      </c>
      <c r="J56" s="86">
        <f>IFERROR(INDEX([2]BEV!$S$10:$AF$68,
      MATCH(B56,[2]BEV!$S$10:$S$68,0),
      MATCH("FEBRERO",[2]BEV!$S$9:$AF$9,0)),
   0)-IF(B56=100873,
   IFERROR(VLOOKUP("FEBRERO",[2]BEV!$S$80:$T$93,2,0),
      0),
   0)</f>
        <v>6</v>
      </c>
      <c r="K56" s="243">
        <f t="shared" si="149"/>
        <v>1.5</v>
      </c>
      <c r="L56" s="54">
        <f>SUMIF('UC MINI 2026'!$B$5:$B$71,'BEV MINI 2026'!$B56,'UC MINI 2026'!$J$5:$J$71)</f>
        <v>4</v>
      </c>
      <c r="M56" s="86">
        <f>IFERROR(INDEX([2]BEV!$S$10:$AF$68,
      MATCH(B56,[2]BEV!$S$10:$S$68,0),
      MATCH("MARZO",[2]BEV!$S$9:$AF$9,0)),
   0)-IF(B56=100873,
   IFERROR(VLOOKUP("MARZO",[2]BEV!$S$80:$T$93,2,0),
      0),
   0)</f>
        <v>9</v>
      </c>
      <c r="N56" s="297">
        <f t="shared" si="138"/>
        <v>2.25</v>
      </c>
      <c r="O56" s="54">
        <f>SUMIF('UC MINI 2026'!$B$5:$B$71,'BEV MINI 2026'!$B56,'UC MINI 2026'!$L$5:$L$71)</f>
        <v>4</v>
      </c>
      <c r="P56" s="86">
        <f>IFERROR(INDEX([2]BEV!$S$10:$AF$68,
      MATCH(B56,[2]BEV!$S$10:$S$68,0),
      MATCH("ABRIL",[2]BEV!$S$9:$AF$9,0)),
   0)-IF(B56=100873,
   IFERROR(VLOOKUP("ABRIL",[2]BEV!$S$80:$T$93,2,0),
      0),
   0)</f>
        <v>7</v>
      </c>
      <c r="Q56" s="243">
        <f t="shared" si="139"/>
        <v>1.75</v>
      </c>
      <c r="R56" s="54">
        <f>SUMIF('UC MINI 2026'!$B$5:$B$71,'BEV MINI 2026'!$B56,'UC MINI 2026'!$N$5:$N$71)</f>
        <v>4</v>
      </c>
      <c r="S56" s="86">
        <f>IFERROR(INDEX([2]BEV!$S$10:$AF$68,
      MATCH(B56,[2]BEV!$S$10:$S$68,0),
      MATCH("MAYO",[2]BEV!$S$9:$AF$9,0)),
   0)-IF(B56=100873,
   IFERROR(VLOOKUP("MAYO",[2]BEV!$S$80:$T$93,2,0),
      0),
   0)</f>
        <v>12</v>
      </c>
      <c r="T56" s="297">
        <f t="shared" si="140"/>
        <v>3</v>
      </c>
      <c r="U56" s="54">
        <f>SUMIF('UC MINI 2026'!$B$5:$B$71,'BEV MINI 2026'!$B56,'UC MINI 2026'!$P$5:$P$71)</f>
        <v>5</v>
      </c>
      <c r="V56" s="86">
        <f>IFERROR(INDEX([2]BEV!$S$10:$AF$68,
      MATCH(B56,[2]BEV!$S$10:$S$68,0),
      MATCH("JUNIO",[2]BEV!$S$9:$AF$9,0)),
   0)-IF(B56=100873,
   IFERROR(VLOOKUP("JUNIO",[2]BEV!$S$80:$T$93,2,0),
      0),
   0)</f>
        <v>8</v>
      </c>
      <c r="W56" s="243">
        <f t="shared" si="141"/>
        <v>1.6</v>
      </c>
      <c r="X56" s="54">
        <f>SUMIF('UC MINI 2026'!$B$5:$B$71,'BEV MINI 2026'!$B56,'UC MINI 2026'!$R$5:$R$71)</f>
        <v>0</v>
      </c>
      <c r="Y56" s="86">
        <f>IFERROR(INDEX([2]BEV!$S$10:$AF$68,
      MATCH(B56,[2]BEV!$S$10:$S$68,0),
      MATCH("JULIO",[2]BEV!$S$9:$AF$9,0)),
   0)-IF(B56=100873,
   IFERROR(VLOOKUP("JULIO",[2]BEV!$S$80:$T$93,2,0),
      0),
   0)</f>
        <v>0</v>
      </c>
      <c r="Z56" s="297">
        <f t="shared" si="142"/>
        <v>0</v>
      </c>
      <c r="AA56" s="54">
        <f>SUMIF('UC MINI 2026'!$B$5:$B$71,'BEV MINI 2026'!$B56,'UC MINI 2026'!$T$5:$T$71)</f>
        <v>0</v>
      </c>
      <c r="AB56" s="86">
        <f>IFERROR(INDEX([2]BEV!$S$10:$AF$68,
      MATCH(B56,[2]BEV!$S$10:$S$68,0),
      MATCH("AGOSTO",[2]BEV!$S$9:$AF$9,0)),
   0)-IF(B56=100873,
   IFERROR(VLOOKUP("AGOSTO",[2]BEV!$S$80:$T$93,2,0),
      0),
   0)</f>
        <v>0</v>
      </c>
      <c r="AC56" s="243">
        <f t="shared" si="143"/>
        <v>0</v>
      </c>
      <c r="AD56" s="54">
        <f>SUMIF('UC MINI 2026'!$B$5:$B$71,'BEV MINI 2026'!$B56,'UC MINI 2026'!$V$5:$V$71)</f>
        <v>0</v>
      </c>
      <c r="AE56" s="86">
        <f>IFERROR(INDEX([2]BEV!$S$10:$AF$68,
      MATCH(B56,[2]BEV!$S$10:$S$68,0),
      MATCH("SEPTIEMBRE",[2]BEV!$S$9:$AF$9,0)),
   0)-IF(B56=100873,
   IFERROR(VLOOKUP("SEPTIEMBRE",[2]BEV!$S$80:$T$93,2,0),
      0),
   0)</f>
        <v>0</v>
      </c>
      <c r="AF56" s="297">
        <f t="shared" si="144"/>
        <v>0</v>
      </c>
      <c r="AG56" s="54">
        <f>SUMIF('UC MINI 2026'!$B$5:$B$71,'BEV MINI 2026'!$B56,'UC MINI 2026'!$X$5:$X$71)</f>
        <v>0</v>
      </c>
      <c r="AH56" s="86">
        <f>IFERROR(INDEX([2]BEV!$S$10:$AF$68,
      MATCH(B56,[2]BEV!$S$10:$S$68,0),
      MATCH("OCTUBRE",[2]BEV!$S$9:$AF$9,0)),
   0)-IF(B56=100873,
   IFERROR(VLOOKUP("OCTUBRE",[2]BEV!$S$80:$T$93,2,0),
      0),
   0)</f>
        <v>0</v>
      </c>
      <c r="AI56" s="243">
        <f t="shared" si="145"/>
        <v>0</v>
      </c>
      <c r="AJ56" s="54">
        <f>SUMIF('UC MINI 2026'!$B$5:$B$71,'BEV MINI 2026'!$B56,'UC MINI 2026'!$Z$5:$Z$71)</f>
        <v>0</v>
      </c>
      <c r="AK56" s="86">
        <f>IFERROR(INDEX([2]BEV!$S$10:$AF$68,
      MATCH(B56,[2]BEV!$S$10:$S$68,0),
      MATCH("NOVIEMBRE",[2]BEV!$S$9:$AF$9,0)),
   0)-IF(B56=100873,
   IFERROR(VLOOKUP("NOVIEMBRE",[2]BEV!$S$80:$T$93,2,0),
      0),
   0)</f>
        <v>0</v>
      </c>
      <c r="AL56" s="297">
        <f t="shared" si="146"/>
        <v>0</v>
      </c>
      <c r="AM56" s="54">
        <f>SUMIF('UC MINI 2026'!$B$5:$B$71,'BEV MINI 2026'!$B56,'UC MINI 2026'!$AB$5:$AB$71)</f>
        <v>0</v>
      </c>
      <c r="AN56" s="86">
        <f>IFERROR(INDEX([2]BEV!$S$10:$AF$68,
      MATCH(B56,[2]BEV!$S$10:$S$68,0),
      MATCH("DICIEMBRE",[2]BEV!$S$9:$AF$9,0)),
   0)-IF(B56=100873,
   IFERROR(VLOOKUP("DICIEMBRE",[2]BEV!$S$80:$T$93,2,0),
      0),
   0)</f>
        <v>0</v>
      </c>
      <c r="AO56" s="243">
        <f t="shared" si="147"/>
        <v>0</v>
      </c>
      <c r="AP56" s="67">
        <f t="shared" si="150"/>
        <v>25</v>
      </c>
      <c r="AQ56" s="68">
        <f t="shared" si="150"/>
        <v>47</v>
      </c>
      <c r="AR56" s="149">
        <f t="shared" si="151"/>
        <v>1.88</v>
      </c>
      <c r="AS56" s="67">
        <f>IFERROR(F56+I56+L56+O56+R56+U56++X56+AA56+AD56+AG56+AJ56+AM56,0)</f>
        <v>25</v>
      </c>
      <c r="AT56" s="86">
        <f t="shared" si="14"/>
        <v>47</v>
      </c>
      <c r="AU56" s="149">
        <f t="shared" si="152"/>
        <v>1.88</v>
      </c>
      <c r="AV56" s="54">
        <f t="shared" si="153"/>
        <v>12</v>
      </c>
      <c r="AW56" s="86">
        <f t="shared" si="153"/>
        <v>20</v>
      </c>
      <c r="AX56" s="109">
        <f t="shared" si="154"/>
        <v>1.6666666666666667</v>
      </c>
      <c r="AY56" s="68">
        <f>IFERROR(IF($AV$5="Q1",#REF!+#REF!+#REF!,
IF($AV$5="Q2",#REF!+#REF!++#REF!,
IF($AV$5="Q3",#REF!+#REF!+#REF!,
IF($AV$5="Q4",#REF!+#REF!+#REF!,0)))),0)</f>
        <v>0</v>
      </c>
      <c r="AZ56" s="297">
        <f>IF(AW56=0,"N.D.",AY56/AW56)</f>
        <v>0</v>
      </c>
      <c r="BA56" s="350">
        <f>IFERROR(IF($AV$5="Q1",#REF!+#REF!+#REF!,
IF($AV$5="Q2",#REF!+#REF!+#REF!,
IF($AV$5="Q3",#REF!+#REF!+#REF!,
IF($AV$5="Q4",#REF!+#REF!+#REF!,0)))),0)</f>
        <v>0</v>
      </c>
      <c r="BB56" s="150">
        <f t="shared" si="155"/>
        <v>0</v>
      </c>
      <c r="BC56" s="67">
        <f t="shared" si="156"/>
        <v>25</v>
      </c>
      <c r="BD56" s="68">
        <f t="shared" si="156"/>
        <v>47</v>
      </c>
      <c r="BE56" s="150">
        <f t="shared" si="157"/>
        <v>1.88</v>
      </c>
      <c r="BF56" s="67">
        <f t="shared" si="158"/>
        <v>0</v>
      </c>
      <c r="BG56" s="266">
        <f t="shared" si="158"/>
        <v>0</v>
      </c>
      <c r="BH56" s="150">
        <f t="shared" si="159"/>
        <v>0</v>
      </c>
      <c r="BI56" s="53">
        <v>1</v>
      </c>
      <c r="BP56" s="53">
        <f t="shared" si="160"/>
        <v>27</v>
      </c>
      <c r="BQ56" s="53">
        <f t="shared" si="161"/>
        <v>13</v>
      </c>
    </row>
    <row r="57" spans="1:69" s="53" customFormat="1" ht="16" customHeight="1" thickBot="1" x14ac:dyDescent="0.35">
      <c r="A57" s="53" t="e">
        <f>_xlfn.XLOOKUP(B57,'WHOLESALE MINI 2026'!$B$7:$B$63,'WHOLESALE MINI 2026'!$A$7:$A$63)</f>
        <v>#N/A</v>
      </c>
      <c r="B57" s="61" t="s">
        <v>50</v>
      </c>
      <c r="C57" s="62"/>
      <c r="D57" s="146"/>
      <c r="E57" s="80"/>
      <c r="F57" s="63">
        <f>SUM(F52:F56)</f>
        <v>50</v>
      </c>
      <c r="G57" s="63">
        <f>SUM(G52:G56)</f>
        <v>43</v>
      </c>
      <c r="H57" s="301">
        <f t="shared" si="148"/>
        <v>0.86</v>
      </c>
      <c r="I57" s="63">
        <f>SUM(I52:I56)</f>
        <v>52</v>
      </c>
      <c r="J57" s="63">
        <f>SUM(J52:J56)</f>
        <v>42</v>
      </c>
      <c r="K57" s="301">
        <f t="shared" si="149"/>
        <v>0.80769230769230771</v>
      </c>
      <c r="L57" s="63">
        <f>SUM(L52:L56)</f>
        <v>53</v>
      </c>
      <c r="M57" s="63">
        <f>SUM(M52:M56)</f>
        <v>80</v>
      </c>
      <c r="N57" s="301">
        <f t="shared" ref="N57:N63" si="162">IFERROR(M57/L57,0)</f>
        <v>1.5094339622641511</v>
      </c>
      <c r="O57" s="63">
        <f>SUM(O52:O56)</f>
        <v>51</v>
      </c>
      <c r="P57" s="63">
        <f>SUM(P52:P56)</f>
        <v>76</v>
      </c>
      <c r="Q57" s="301">
        <f t="shared" ref="Q57:Q65" si="163">IFERROR(P57/O57,0)</f>
        <v>1.4901960784313726</v>
      </c>
      <c r="R57" s="63">
        <f>SUM(R52:R56)</f>
        <v>53</v>
      </c>
      <c r="S57" s="63">
        <f>SUM(S52:S56)</f>
        <v>76</v>
      </c>
      <c r="T57" s="301">
        <f t="shared" ref="T57:T65" si="164">IFERROR(S57/R57,0)</f>
        <v>1.4339622641509433</v>
      </c>
      <c r="U57" s="63">
        <f>SUM(U52:U56)</f>
        <v>56</v>
      </c>
      <c r="V57" s="63">
        <f>SUM(V52:V56)</f>
        <v>65</v>
      </c>
      <c r="W57" s="301">
        <f t="shared" ref="W57:W65" si="165">IFERROR(V57/U57,0)</f>
        <v>1.1607142857142858</v>
      </c>
      <c r="X57" s="63">
        <f>SUM(X52:X56)</f>
        <v>8</v>
      </c>
      <c r="Y57" s="63">
        <f>SUM(Y52:Y56)</f>
        <v>0</v>
      </c>
      <c r="Z57" s="301">
        <f t="shared" ref="Z57:Z65" si="166">IFERROR(Y57/X57,0)</f>
        <v>0</v>
      </c>
      <c r="AA57" s="63">
        <f>SUM(AA52:AA56)</f>
        <v>4</v>
      </c>
      <c r="AB57" s="63">
        <f>SUM(AB52:AB56)</f>
        <v>0</v>
      </c>
      <c r="AC57" s="301">
        <f t="shared" ref="AC57:AC65" si="167">IFERROR(AB57/AA57,0)</f>
        <v>0</v>
      </c>
      <c r="AD57" s="63">
        <f>SUM(AD52:AD56)</f>
        <v>8</v>
      </c>
      <c r="AE57" s="63">
        <f>SUM(AE52:AE56)</f>
        <v>0</v>
      </c>
      <c r="AF57" s="301">
        <f t="shared" ref="AF57:AF65" si="168">IFERROR(AE57/AD57,0)</f>
        <v>0</v>
      </c>
      <c r="AG57" s="63">
        <f>SUM(AG52:AG56)</f>
        <v>7</v>
      </c>
      <c r="AH57" s="63">
        <f>SUM(AH52:AH56)</f>
        <v>0</v>
      </c>
      <c r="AI57" s="301">
        <f t="shared" ref="AI57:AI65" si="169">IFERROR(AH57/AG57,0)</f>
        <v>0</v>
      </c>
      <c r="AJ57" s="63">
        <f>SUM(AJ52:AJ56)</f>
        <v>7</v>
      </c>
      <c r="AK57" s="63">
        <f>SUM(AK52:AK56)</f>
        <v>0</v>
      </c>
      <c r="AL57" s="301">
        <f t="shared" ref="AL57:AL65" si="170">IFERROR(AK57/AJ57,0)</f>
        <v>0</v>
      </c>
      <c r="AM57" s="63">
        <f>SUM(AM52:AM56)</f>
        <v>6</v>
      </c>
      <c r="AN57" s="63">
        <f>SUM(AN52:AN56)</f>
        <v>0</v>
      </c>
      <c r="AO57" s="301">
        <f t="shared" ref="AO57:AO65" si="171">IFERROR(AN57/AM57,0)</f>
        <v>0</v>
      </c>
      <c r="AP57" s="63">
        <f>SUM(AP52:AP56)</f>
        <v>315</v>
      </c>
      <c r="AQ57" s="63">
        <f>SUM(AQ52:AQ56)</f>
        <v>382</v>
      </c>
      <c r="AR57" s="320">
        <f t="shared" si="151"/>
        <v>1.2126984126984126</v>
      </c>
      <c r="AS57" s="63">
        <f>SUM(AS52:AS56)</f>
        <v>355</v>
      </c>
      <c r="AT57" s="63">
        <f>SUM(AT52:AT56)</f>
        <v>382</v>
      </c>
      <c r="AU57" s="320">
        <f t="shared" si="152"/>
        <v>1.0760563380281689</v>
      </c>
      <c r="AV57" s="63">
        <f>SUM(AV43:AV52)</f>
        <v>1097</v>
      </c>
      <c r="AW57" s="65">
        <f>SUM(AW43:AW52)</f>
        <v>1281</v>
      </c>
      <c r="AX57" s="157">
        <f t="shared" si="154"/>
        <v>1.1677301731996355</v>
      </c>
      <c r="AY57" s="65">
        <f>SUM(AY43:AY52)</f>
        <v>0</v>
      </c>
      <c r="AZ57" s="321">
        <f>IFERROR(AY57/AW57,0)</f>
        <v>0</v>
      </c>
      <c r="BA57" s="349" t="e">
        <f>IF($AV$5="Q1",#REF!+#REF!+#REF!,
IF($AV$5="Q2",#REF!+#REF!+#REF!,
IF($AV$5="Q3",#REF!+#REF!+#REF!,
IF($AV$5="Q4",#REF!+#REF!+#REF!,0))))</f>
        <v>#REF!</v>
      </c>
      <c r="BB57" s="333">
        <f t="shared" si="155"/>
        <v>0</v>
      </c>
      <c r="BC57" s="63">
        <f>IF($BC$5="S 1",F57+I57+L57+O57+R57+U57,
IF($BC$5="S 2",X57+AA57+AD57+AG57+AJ57+AM57,0))</f>
        <v>315</v>
      </c>
      <c r="BD57" s="65">
        <f>IF($BC$5="S 1",G57+J57+M57+P57+S57+V57,
IF($BC$5="S 2",Y57+AB57+AE57+AH57+AK57+AN57,0))</f>
        <v>382</v>
      </c>
      <c r="BE57" s="333">
        <f t="shared" si="157"/>
        <v>1.2126984126984126</v>
      </c>
      <c r="BF57" s="63">
        <f>SUM(BF52:BF56)</f>
        <v>40</v>
      </c>
      <c r="BG57" s="63">
        <f>SUM(BG52:BG56)</f>
        <v>0</v>
      </c>
      <c r="BH57" s="333">
        <f t="shared" si="159"/>
        <v>0</v>
      </c>
      <c r="BI57" s="53">
        <v>0</v>
      </c>
      <c r="BM57" s="513"/>
      <c r="BP57" s="53">
        <f t="shared" si="160"/>
        <v>217</v>
      </c>
      <c r="BQ57" s="53">
        <f t="shared" si="161"/>
        <v>160</v>
      </c>
    </row>
    <row r="58" spans="1:69" s="53" customFormat="1" ht="16" customHeight="1" x14ac:dyDescent="0.3">
      <c r="A58" s="53">
        <f>_xlfn.XLOOKUP(B58,'WHOLESALE MINI 2026'!$B$7:$B$63,'WHOLESALE MINI 2026'!$A$7:$A$63)</f>
        <v>10</v>
      </c>
      <c r="B58" s="8">
        <v>100344</v>
      </c>
      <c r="C58" s="369" t="s">
        <v>25</v>
      </c>
      <c r="D58" s="146"/>
      <c r="E58" s="379" t="s">
        <v>203</v>
      </c>
      <c r="F58" s="54">
        <f>SUMIF('UC MINI 2026'!$B$5:$B$71,'BEV MINI 2026'!$B58,'UC MINI 2026'!$F$5:$F$71)</f>
        <v>7</v>
      </c>
      <c r="G58" s="86">
        <f>IFERROR(INDEX([2]BEV!$S$10:$AF$68,
      MATCH(B58,[2]BEV!$S$10:$S$68,0),
      MATCH("ENERO",[2]BEV!$S$9:$AF$9,0)),
   0)-IF(B58=100873,
   IFERROR(VLOOKUP("ENERO",[2]BEV!$S$80:$T$93,2,0),
      0),
   0)</f>
        <v>7</v>
      </c>
      <c r="H58" s="242">
        <f t="shared" ref="H58:H66" si="172">IFERROR(G58/F58,0)</f>
        <v>1</v>
      </c>
      <c r="I58" s="54">
        <f>SUMIF('UC MINI 2026'!$B$5:$B$71,'BEV MINI 2026'!$B58,'UC MINI 2026'!$H$5:$H$71)</f>
        <v>7</v>
      </c>
      <c r="J58" s="86">
        <f>IFERROR(INDEX([2]BEV!$S$10:$AF$68,
      MATCH(B58,[2]BEV!$S$10:$S$68,0),
      MATCH("FEBRERO",[2]BEV!$S$9:$AF$9,0)),
   0)-IF(B58=100873,
   IFERROR(VLOOKUP("FEBRERO",[2]BEV!$S$80:$T$93,2,0),
      0),
   0)</f>
        <v>12</v>
      </c>
      <c r="K58" s="242">
        <f t="shared" ref="K58:K66" si="173">IFERROR(J58/I58,0)</f>
        <v>1.7142857142857142</v>
      </c>
      <c r="L58" s="54">
        <f>SUMIF('UC MINI 2026'!$B$5:$B$71,'BEV MINI 2026'!$B58,'UC MINI 2026'!$J$5:$J$71)</f>
        <v>7</v>
      </c>
      <c r="M58" s="86">
        <f>IFERROR(INDEX([2]BEV!$S$10:$AF$68,
      MATCH(B58,[2]BEV!$S$10:$S$68,0),
      MATCH("MARZO",[2]BEV!$S$9:$AF$9,0)),
   0)-IF(B58=100873,
   IFERROR(VLOOKUP("MARZO",[2]BEV!$S$80:$T$93,2,0),
      0),
   0)</f>
        <v>7</v>
      </c>
      <c r="N58" s="297">
        <f t="shared" si="162"/>
        <v>1</v>
      </c>
      <c r="O58" s="54">
        <f>SUMIF('UC MINI 2026'!$B$5:$B$71,'BEV MINI 2026'!$B58,'UC MINI 2026'!$L$5:$L$71)</f>
        <v>8</v>
      </c>
      <c r="P58" s="86">
        <f>IFERROR(INDEX([2]BEV!$S$10:$AF$68,
      MATCH(B58,[2]BEV!$S$10:$S$68,0),
      MATCH("ABRIL",[2]BEV!$S$9:$AF$9,0)),
   0)-IF(B58=100873,
   IFERROR(VLOOKUP("ABRIL",[2]BEV!$S$80:$T$93,2,0),
      0),
   0)</f>
        <v>7</v>
      </c>
      <c r="Q58" s="243">
        <f t="shared" si="163"/>
        <v>0.875</v>
      </c>
      <c r="R58" s="54">
        <f>SUMIF('UC MINI 2026'!$B$5:$B$71,'BEV MINI 2026'!$B58,'UC MINI 2026'!$N$5:$N$71)</f>
        <v>8</v>
      </c>
      <c r="S58" s="86">
        <f>IFERROR(INDEX([2]BEV!$S$10:$AF$68,
      MATCH(B58,[2]BEV!$S$10:$S$68,0),
      MATCH("MAYO",[2]BEV!$S$9:$AF$9,0)),
   0)-IF(B58=100873,
   IFERROR(VLOOKUP("MAYO",[2]BEV!$S$80:$T$93,2,0),
      0),
   0)</f>
        <v>8</v>
      </c>
      <c r="T58" s="297">
        <f t="shared" si="164"/>
        <v>1</v>
      </c>
      <c r="U58" s="54">
        <f>SUMIF('UC MINI 2026'!$B$5:$B$71,'BEV MINI 2026'!$B58,'UC MINI 2026'!$P$5:$P$71)</f>
        <v>8</v>
      </c>
      <c r="V58" s="86">
        <f>IFERROR(INDEX([2]BEV!$S$10:$AF$68,
      MATCH(B58,[2]BEV!$S$10:$S$68,0),
      MATCH("JUNIO",[2]BEV!$S$9:$AF$9,0)),
   0)-IF(B58=100873,
   IFERROR(VLOOKUP("JUNIO",[2]BEV!$S$80:$T$93,2,0),
      0),
   0)</f>
        <v>15</v>
      </c>
      <c r="W58" s="243">
        <f t="shared" si="165"/>
        <v>1.875</v>
      </c>
      <c r="X58" s="54">
        <f>SUMIF('UC MINI 2026'!$B$5:$B$71,'BEV MINI 2026'!$B58,'UC MINI 2026'!$R$5:$R$71)</f>
        <v>0</v>
      </c>
      <c r="Y58" s="86">
        <f>IFERROR(INDEX([2]BEV!$S$10:$AF$68,
      MATCH(B58,[2]BEV!$S$10:$S$68,0),
      MATCH("JULIO",[2]BEV!$S$9:$AF$9,0)),
   0)-IF(B58=100873,
   IFERROR(VLOOKUP("JULIO",[2]BEV!$S$80:$T$93,2,0),
      0),
   0)</f>
        <v>0</v>
      </c>
      <c r="Z58" s="297">
        <f t="shared" si="166"/>
        <v>0</v>
      </c>
      <c r="AA58" s="54">
        <f>SUMIF('UC MINI 2026'!$B$5:$B$71,'BEV MINI 2026'!$B58,'UC MINI 2026'!$T$5:$T$71)</f>
        <v>0</v>
      </c>
      <c r="AB58" s="86">
        <f>IFERROR(INDEX([2]BEV!$S$10:$AF$68,
      MATCH(B58,[2]BEV!$S$10:$S$68,0),
      MATCH("AGOSTO",[2]BEV!$S$9:$AF$9,0)),
   0)-IF(B58=100873,
   IFERROR(VLOOKUP("AGOSTO",[2]BEV!$S$80:$T$93,2,0),
      0),
   0)</f>
        <v>0</v>
      </c>
      <c r="AC58" s="243">
        <f t="shared" si="167"/>
        <v>0</v>
      </c>
      <c r="AD58" s="54">
        <f>SUMIF('UC MINI 2026'!$B$5:$B$71,'BEV MINI 2026'!$B58,'UC MINI 2026'!$V$5:$V$71)</f>
        <v>0</v>
      </c>
      <c r="AE58" s="86">
        <f>IFERROR(INDEX([2]BEV!$S$10:$AF$68,
      MATCH(B58,[2]BEV!$S$10:$S$68,0),
      MATCH("SEPTIEMBRE",[2]BEV!$S$9:$AF$9,0)),
   0)-IF(B58=100873,
   IFERROR(VLOOKUP("SEPTIEMBRE",[2]BEV!$S$80:$T$93,2,0),
      0),
   0)</f>
        <v>0</v>
      </c>
      <c r="AF58" s="297">
        <f t="shared" si="168"/>
        <v>0</v>
      </c>
      <c r="AG58" s="54">
        <f>SUMIF('UC MINI 2026'!$B$5:$B$71,'BEV MINI 2026'!$B58,'UC MINI 2026'!$X$5:$X$71)</f>
        <v>0</v>
      </c>
      <c r="AH58" s="86">
        <f>IFERROR(INDEX([2]BEV!$S$10:$AF$68,
      MATCH(B58,[2]BEV!$S$10:$S$68,0),
      MATCH("OCTUBRE",[2]BEV!$S$9:$AF$9,0)),
   0)-IF(B58=100873,
   IFERROR(VLOOKUP("OCTUBRE",[2]BEV!$S$80:$T$93,2,0),
      0),
   0)</f>
        <v>0</v>
      </c>
      <c r="AI58" s="243">
        <f t="shared" si="169"/>
        <v>0</v>
      </c>
      <c r="AJ58" s="54">
        <f>SUMIF('UC MINI 2026'!$B$5:$B$71,'BEV MINI 2026'!$B58,'UC MINI 2026'!$Z$5:$Z$71)</f>
        <v>0</v>
      </c>
      <c r="AK58" s="86">
        <f>IFERROR(INDEX([2]BEV!$S$10:$AF$68,
      MATCH(B58,[2]BEV!$S$10:$S$68,0),
      MATCH("NOVIEMBRE",[2]BEV!$S$9:$AF$9,0)),
   0)-IF(B58=100873,
   IFERROR(VLOOKUP("NOVIEMBRE",[2]BEV!$S$80:$T$93,2,0),
      0),
   0)</f>
        <v>0</v>
      </c>
      <c r="AL58" s="297">
        <f t="shared" si="170"/>
        <v>0</v>
      </c>
      <c r="AM58" s="54">
        <f>SUMIF('UC MINI 2026'!$B$5:$B$71,'BEV MINI 2026'!$B58,'UC MINI 2026'!$AB$5:$AB$71)</f>
        <v>0</v>
      </c>
      <c r="AN58" s="86">
        <f>IFERROR(INDEX([2]BEV!$S$10:$AF$68,
      MATCH(B58,[2]BEV!$S$10:$S$68,0),
      MATCH("DICIEMBRE",[2]BEV!$S$9:$AF$9,0)),
   0)-IF(B58=100873,
   IFERROR(VLOOKUP("DICIEMBRE",[2]BEV!$S$80:$T$93,2,0),
      0),
   0)</f>
        <v>0</v>
      </c>
      <c r="AO58" s="243">
        <f t="shared" si="171"/>
        <v>0</v>
      </c>
      <c r="AP58" s="67">
        <f t="shared" ref="AP58:AQ63" si="174">IFERROR(IF($AP$4="ENERO",F58,IF($AP$4="FEBRERO",F58+I58,IF($AP$4="MARZO",F58+I58+L58,IF($AP$4="ABRIL",F58+I58+L58+O58,IF($AP$4="MAYO",F58+I58+L58+O58+R58,IF($AP$4="JUNIO",F58+I58+L58+O58+R58+U58,IF($AP$4="JULIO",F58+I58+L58+O58+R58+U58+X58,IF($AP$4="AGOSTO",F58+I58+L58+O58+R58+U58+X58+AA58,IF($AP$4="SEPTIEMBRE",F58+I58+L58+O58+R58+U58+X58+AA58+AD58,IF($AP$4="OCTUBRE",F58+I58+L58+O58+R58+U58+X58+AA58+AD58+AG58,IF($AP$4="NOVIEMBRE",F58+I58+L58+O58+R58+U58+X58+AA58+AD58+AG58+AJ58,IF($AP$4="DICIEMBRE",F58+I58+L58+O58+R58+U58+X58+AA58+AD58+AG58+AJ58+AM58,"")))))))))))),0)</f>
        <v>45</v>
      </c>
      <c r="AQ58" s="68">
        <f t="shared" si="174"/>
        <v>56</v>
      </c>
      <c r="AR58" s="161">
        <f t="shared" ref="AR58:AR65" si="175">IFERROR((AQ58/AP58),0)</f>
        <v>1.2444444444444445</v>
      </c>
      <c r="AS58" s="67">
        <f t="shared" ref="AS58:AS63" si="176">IFERROR(F58+I58+L58+O58+R58+U58++X58+AA58+AD58+AG58+AJ58+AM58,0)</f>
        <v>45</v>
      </c>
      <c r="AT58" s="86">
        <f t="shared" si="14"/>
        <v>56</v>
      </c>
      <c r="AU58" s="161">
        <f t="shared" ref="AU58:AU65" si="177">IFERROR((AT58/AS58),0)</f>
        <v>1.2444444444444445</v>
      </c>
      <c r="AV58" s="67">
        <f t="shared" ref="AV58:AW63" si="178">IF($AV$5="Q1",F58+I58+L58,
IF($AV$5="Q2",O58+R58++U58,
IF($AV$5="Q3",X58+AA58+AD58,
IF($AV$5="Q4",AG58+AJ58+AM58,0))))</f>
        <v>21</v>
      </c>
      <c r="AW58" s="68">
        <f t="shared" si="178"/>
        <v>26</v>
      </c>
      <c r="AX58" s="116">
        <f t="shared" ref="AX58:AX64" si="179">IFERROR((AW58/AV58),0)</f>
        <v>1.2380952380952381</v>
      </c>
      <c r="AY58" s="68">
        <f>IFERROR(IF($AV$5="Q1",#REF!+#REF!+#REF!,
IF($AV$5="Q2",#REF!+#REF!++#REF!,
IF($AV$5="Q3",#REF!+#REF!+#REF!,
IF($AV$5="Q4",#REF!+#REF!+#REF!,0)))),0)</f>
        <v>0</v>
      </c>
      <c r="AZ58" s="297">
        <f t="shared" ref="AZ58:AZ66" si="180">IF(AW58=0,"N.D.",AY58/AW58)</f>
        <v>0</v>
      </c>
      <c r="BA58" s="350">
        <f>IFERROR(IF($AV$5="Q1",#REF!+#REF!+#REF!,
IF($AV$5="Q2",#REF!+#REF!+#REF!,
IF($AV$5="Q3",#REF!+#REF!+#REF!,
IF($AV$5="Q4",#REF!+#REF!+#REF!,0)))),0)</f>
        <v>0</v>
      </c>
      <c r="BB58" s="162">
        <f t="shared" ref="BB58:BB64" si="181">IFERROR((BA58/AV58),0)</f>
        <v>0</v>
      </c>
      <c r="BC58" s="67">
        <f t="shared" ref="BC58:BD63" si="182">IFERROR(IF($BC$5="S 1",F58+I58+L58+O58+R58+U58,
IF($BC$5="S 2",X58+AA58+AD58+AG58+AJ58+AM58,0)),0)</f>
        <v>45</v>
      </c>
      <c r="BD58" s="68">
        <f t="shared" si="182"/>
        <v>56</v>
      </c>
      <c r="BE58" s="162">
        <f t="shared" ref="BE58:BE65" si="183">IFERROR((BD58/BC58),0)</f>
        <v>1.2444444444444445</v>
      </c>
      <c r="BF58" s="67">
        <f t="shared" ref="BF58:BG63" si="184">IFERROR(IF($BF$5="S 1",F58+I58+L58+O58+R58+U58,
IF($BF$5="S 2",X58+AA58+AD58+AG58+AJ58+AM58,0)),0)</f>
        <v>0</v>
      </c>
      <c r="BG58" s="266">
        <f t="shared" si="184"/>
        <v>0</v>
      </c>
      <c r="BH58" s="162">
        <f t="shared" ref="BH58:BH65" si="185">IFERROR((BG58/BF58),0)</f>
        <v>0</v>
      </c>
      <c r="BI58" s="53">
        <v>1</v>
      </c>
      <c r="BM58" s="513"/>
      <c r="BP58" s="53">
        <f t="shared" ref="BP58:BP63" si="186">SUM(V58,S58,P58)</f>
        <v>30</v>
      </c>
      <c r="BQ58" s="53">
        <f t="shared" ref="BQ58:BQ63" si="187">SUM(U58,R58,O58)</f>
        <v>24</v>
      </c>
    </row>
    <row r="59" spans="1:69" s="53" customFormat="1" ht="16" customHeight="1" x14ac:dyDescent="0.3">
      <c r="A59" s="53">
        <f>_xlfn.XLOOKUP(B59,'WHOLESALE MINI 2026'!$B$7:$B$63,'WHOLESALE MINI 2026'!$A$7:$A$63)</f>
        <v>10</v>
      </c>
      <c r="B59" s="8">
        <v>100422</v>
      </c>
      <c r="C59" s="369" t="s">
        <v>20</v>
      </c>
      <c r="D59" s="146"/>
      <c r="E59" s="379" t="s">
        <v>203</v>
      </c>
      <c r="F59" s="54">
        <f>SUMIF('UC MINI 2026'!$B$5:$B$71,'BEV MINI 2026'!$B59,'UC MINI 2026'!$F$5:$F$71)</f>
        <v>2</v>
      </c>
      <c r="G59" s="86">
        <f>IFERROR(INDEX([2]BEV!$S$10:$AF$68,
      MATCH(B59,[2]BEV!$S$10:$S$68,0),
      MATCH("ENERO",[2]BEV!$S$9:$AF$9,0)),
   0)-IF(B59=100873,
   IFERROR(VLOOKUP("ENERO",[2]BEV!$S$80:$T$93,2,0),
      0),
   0)</f>
        <v>9</v>
      </c>
      <c r="H59" s="243">
        <f t="shared" si="172"/>
        <v>4.5</v>
      </c>
      <c r="I59" s="54">
        <f>SUMIF('UC MINI 2026'!$B$5:$B$71,'BEV MINI 2026'!$B59,'UC MINI 2026'!$H$5:$H$71)</f>
        <v>3</v>
      </c>
      <c r="J59" s="86">
        <f>IFERROR(INDEX([2]BEV!$S$10:$AF$68,
      MATCH(B59,[2]BEV!$S$10:$S$68,0),
      MATCH("FEBRERO",[2]BEV!$S$9:$AF$9,0)),
   0)-IF(B59=100873,
   IFERROR(VLOOKUP("FEBRERO",[2]BEV!$S$80:$T$93,2,0),
      0),
   0)</f>
        <v>3</v>
      </c>
      <c r="K59" s="243">
        <f t="shared" si="173"/>
        <v>1</v>
      </c>
      <c r="L59" s="54">
        <f>SUMIF('UC MINI 2026'!$B$5:$B$71,'BEV MINI 2026'!$B59,'UC MINI 2026'!$J$5:$J$71)</f>
        <v>3</v>
      </c>
      <c r="M59" s="86">
        <f>IFERROR(INDEX([2]BEV!$S$10:$AF$68,
      MATCH(B59,[2]BEV!$S$10:$S$68,0),
      MATCH("MARZO",[2]BEV!$S$9:$AF$9,0)),
   0)-IF(B59=100873,
   IFERROR(VLOOKUP("MARZO",[2]BEV!$S$80:$T$93,2,0),
      0),
   0)</f>
        <v>1</v>
      </c>
      <c r="N59" s="297">
        <f t="shared" si="162"/>
        <v>0.33333333333333331</v>
      </c>
      <c r="O59" s="54">
        <f>SUMIF('UC MINI 2026'!$B$5:$B$71,'BEV MINI 2026'!$B59,'UC MINI 2026'!$L$5:$L$71)</f>
        <v>3</v>
      </c>
      <c r="P59" s="86">
        <f>IFERROR(INDEX([2]BEV!$S$10:$AF$68,
      MATCH(B59,[2]BEV!$S$10:$S$68,0),
      MATCH("ABRIL",[2]BEV!$S$9:$AF$9,0)),
   0)-IF(B59=100873,
   IFERROR(VLOOKUP("ABRIL",[2]BEV!$S$80:$T$93,2,0),
      0),
   0)</f>
        <v>2</v>
      </c>
      <c r="Q59" s="243">
        <f t="shared" si="163"/>
        <v>0.66666666666666663</v>
      </c>
      <c r="R59" s="54">
        <f>SUMIF('UC MINI 2026'!$B$5:$B$71,'BEV MINI 2026'!$B59,'UC MINI 2026'!$N$5:$N$71)</f>
        <v>3</v>
      </c>
      <c r="S59" s="86">
        <f>IFERROR(INDEX([2]BEV!$S$10:$AF$68,
      MATCH(B59,[2]BEV!$S$10:$S$68,0),
      MATCH("MAYO",[2]BEV!$S$9:$AF$9,0)),
   0)-IF(B59=100873,
   IFERROR(VLOOKUP("MAYO",[2]BEV!$S$80:$T$93,2,0),
      0),
   0)</f>
        <v>5</v>
      </c>
      <c r="T59" s="297">
        <f t="shared" si="164"/>
        <v>1.6666666666666667</v>
      </c>
      <c r="U59" s="54">
        <f>SUMIF('UC MINI 2026'!$B$5:$B$71,'BEV MINI 2026'!$B59,'UC MINI 2026'!$P$5:$P$71)</f>
        <v>3</v>
      </c>
      <c r="V59" s="86">
        <f>IFERROR(INDEX([2]BEV!$S$10:$AF$68,
      MATCH(B59,[2]BEV!$S$10:$S$68,0),
      MATCH("JUNIO",[2]BEV!$S$9:$AF$9,0)),
   0)-IF(B59=100873,
   IFERROR(VLOOKUP("JUNIO",[2]BEV!$S$80:$T$93,2,0),
      0),
   0)</f>
        <v>5</v>
      </c>
      <c r="W59" s="243">
        <f t="shared" si="165"/>
        <v>1.6666666666666667</v>
      </c>
      <c r="X59" s="54">
        <f>SUMIF('UC MINI 2026'!$B$5:$B$71,'BEV MINI 2026'!$B59,'UC MINI 2026'!$R$5:$R$71)</f>
        <v>0</v>
      </c>
      <c r="Y59" s="86">
        <f>IFERROR(INDEX([2]BEV!$S$10:$AF$68,
      MATCH(B59,[2]BEV!$S$10:$S$68,0),
      MATCH("JULIO",[2]BEV!$S$9:$AF$9,0)),
   0)-IF(B59=100873,
   IFERROR(VLOOKUP("JULIO",[2]BEV!$S$80:$T$93,2,0),
      0),
   0)</f>
        <v>0</v>
      </c>
      <c r="Z59" s="297">
        <f t="shared" si="166"/>
        <v>0</v>
      </c>
      <c r="AA59" s="54">
        <f>SUMIF('UC MINI 2026'!$B$5:$B$71,'BEV MINI 2026'!$B59,'UC MINI 2026'!$T$5:$T$71)</f>
        <v>0</v>
      </c>
      <c r="AB59" s="86">
        <f>IFERROR(INDEX([2]BEV!$S$10:$AF$68,
      MATCH(B59,[2]BEV!$S$10:$S$68,0),
      MATCH("AGOSTO",[2]BEV!$S$9:$AF$9,0)),
   0)-IF(B59=100873,
   IFERROR(VLOOKUP("AGOSTO",[2]BEV!$S$80:$T$93,2,0),
      0),
   0)</f>
        <v>0</v>
      </c>
      <c r="AC59" s="243">
        <f t="shared" si="167"/>
        <v>0</v>
      </c>
      <c r="AD59" s="54">
        <f>SUMIF('UC MINI 2026'!$B$5:$B$71,'BEV MINI 2026'!$B59,'UC MINI 2026'!$V$5:$V$71)</f>
        <v>0</v>
      </c>
      <c r="AE59" s="86">
        <f>IFERROR(INDEX([2]BEV!$S$10:$AF$68,
      MATCH(B59,[2]BEV!$S$10:$S$68,0),
      MATCH("SEPTIEMBRE",[2]BEV!$S$9:$AF$9,0)),
   0)-IF(B59=100873,
   IFERROR(VLOOKUP("SEPTIEMBRE",[2]BEV!$S$80:$T$93,2,0),
      0),
   0)</f>
        <v>0</v>
      </c>
      <c r="AF59" s="297">
        <f t="shared" si="168"/>
        <v>0</v>
      </c>
      <c r="AG59" s="54">
        <f>SUMIF('UC MINI 2026'!$B$5:$B$71,'BEV MINI 2026'!$B59,'UC MINI 2026'!$X$5:$X$71)</f>
        <v>0</v>
      </c>
      <c r="AH59" s="86">
        <f>IFERROR(INDEX([2]BEV!$S$10:$AF$68,
      MATCH(B59,[2]BEV!$S$10:$S$68,0),
      MATCH("OCTUBRE",[2]BEV!$S$9:$AF$9,0)),
   0)-IF(B59=100873,
   IFERROR(VLOOKUP("OCTUBRE",[2]BEV!$S$80:$T$93,2,0),
      0),
   0)</f>
        <v>0</v>
      </c>
      <c r="AI59" s="243">
        <f t="shared" si="169"/>
        <v>0</v>
      </c>
      <c r="AJ59" s="54">
        <f>SUMIF('UC MINI 2026'!$B$5:$B$71,'BEV MINI 2026'!$B59,'UC MINI 2026'!$Z$5:$Z$71)</f>
        <v>0</v>
      </c>
      <c r="AK59" s="86">
        <f>IFERROR(INDEX([2]BEV!$S$10:$AF$68,
      MATCH(B59,[2]BEV!$S$10:$S$68,0),
      MATCH("NOVIEMBRE",[2]BEV!$S$9:$AF$9,0)),
   0)-IF(B59=100873,
   IFERROR(VLOOKUP("NOVIEMBRE",[2]BEV!$S$80:$T$93,2,0),
      0),
   0)</f>
        <v>0</v>
      </c>
      <c r="AL59" s="297">
        <f t="shared" si="170"/>
        <v>0</v>
      </c>
      <c r="AM59" s="54">
        <f>SUMIF('UC MINI 2026'!$B$5:$B$71,'BEV MINI 2026'!$B59,'UC MINI 2026'!$AB$5:$AB$71)</f>
        <v>0</v>
      </c>
      <c r="AN59" s="86">
        <f>IFERROR(INDEX([2]BEV!$S$10:$AF$68,
      MATCH(B59,[2]BEV!$S$10:$S$68,0),
      MATCH("DICIEMBRE",[2]BEV!$S$9:$AF$9,0)),
   0)-IF(B59=100873,
   IFERROR(VLOOKUP("DICIEMBRE",[2]BEV!$S$80:$T$93,2,0),
      0),
   0)</f>
        <v>0</v>
      </c>
      <c r="AO59" s="243">
        <f t="shared" si="171"/>
        <v>0</v>
      </c>
      <c r="AP59" s="67">
        <f t="shared" si="174"/>
        <v>17</v>
      </c>
      <c r="AQ59" s="68">
        <f t="shared" si="174"/>
        <v>25</v>
      </c>
      <c r="AR59" s="149">
        <f t="shared" si="175"/>
        <v>1.4705882352941178</v>
      </c>
      <c r="AS59" s="67">
        <f t="shared" si="176"/>
        <v>17</v>
      </c>
      <c r="AT59" s="86">
        <f t="shared" si="14"/>
        <v>25</v>
      </c>
      <c r="AU59" s="149">
        <f t="shared" si="177"/>
        <v>1.4705882352941178</v>
      </c>
      <c r="AV59" s="54">
        <f t="shared" si="178"/>
        <v>8</v>
      </c>
      <c r="AW59" s="86">
        <f t="shared" si="178"/>
        <v>13</v>
      </c>
      <c r="AX59" s="109">
        <f t="shared" si="179"/>
        <v>1.625</v>
      </c>
      <c r="AY59" s="68">
        <f>IFERROR(IF($AV$5="Q1",#REF!+#REF!+#REF!,
IF($AV$5="Q2",#REF!+#REF!++#REF!,
IF($AV$5="Q3",#REF!+#REF!+#REF!,
IF($AV$5="Q4",#REF!+#REF!+#REF!,0)))),0)</f>
        <v>0</v>
      </c>
      <c r="AZ59" s="297">
        <f t="shared" si="180"/>
        <v>0</v>
      </c>
      <c r="BA59" s="350">
        <f>IFERROR(IF($AV$5="Q1",#REF!+#REF!+#REF!,
IF($AV$5="Q2",#REF!+#REF!+#REF!,
IF($AV$5="Q3",#REF!+#REF!+#REF!,
IF($AV$5="Q4",#REF!+#REF!+#REF!,0)))),0)</f>
        <v>0</v>
      </c>
      <c r="BB59" s="150">
        <f t="shared" si="181"/>
        <v>0</v>
      </c>
      <c r="BC59" s="67">
        <f t="shared" si="182"/>
        <v>17</v>
      </c>
      <c r="BD59" s="68">
        <f t="shared" si="182"/>
        <v>25</v>
      </c>
      <c r="BE59" s="150">
        <f t="shared" si="183"/>
        <v>1.4705882352941178</v>
      </c>
      <c r="BF59" s="67">
        <f t="shared" si="184"/>
        <v>0</v>
      </c>
      <c r="BG59" s="266">
        <f t="shared" si="184"/>
        <v>0</v>
      </c>
      <c r="BH59" s="150">
        <f t="shared" si="185"/>
        <v>0</v>
      </c>
      <c r="BI59" s="53">
        <v>1</v>
      </c>
      <c r="BM59" s="513"/>
      <c r="BP59" s="53">
        <f t="shared" si="186"/>
        <v>12</v>
      </c>
      <c r="BQ59" s="53">
        <f t="shared" si="187"/>
        <v>9</v>
      </c>
    </row>
    <row r="60" spans="1:69" s="53" customFormat="1" ht="16" customHeight="1" x14ac:dyDescent="0.3">
      <c r="A60" s="53">
        <f>_xlfn.XLOOKUP(B60,'WHOLESALE MINI 2026'!$B$7:$B$63,'WHOLESALE MINI 2026'!$A$7:$A$63)</f>
        <v>10</v>
      </c>
      <c r="B60" s="8">
        <v>100549</v>
      </c>
      <c r="C60" s="369" t="s">
        <v>66</v>
      </c>
      <c r="D60" s="146"/>
      <c r="E60" s="379" t="s">
        <v>203</v>
      </c>
      <c r="F60" s="54">
        <f>SUMIF('UC MINI 2026'!$B$5:$B$71,'BEV MINI 2026'!$B60,'UC MINI 2026'!$F$5:$F$71)</f>
        <v>2</v>
      </c>
      <c r="G60" s="86">
        <f>IFERROR(INDEX([2]BEV!$S$10:$AF$68,
      MATCH(B60,[2]BEV!$S$10:$S$68,0),
      MATCH("ENERO",[2]BEV!$S$9:$AF$9,0)),
   0)-IF(B60=100873,
   IFERROR(VLOOKUP("ENERO",[2]BEV!$S$80:$T$93,2,0),
      0),
   0)</f>
        <v>3</v>
      </c>
      <c r="H60" s="243">
        <f t="shared" si="172"/>
        <v>1.5</v>
      </c>
      <c r="I60" s="54">
        <f>SUMIF('UC MINI 2026'!$B$5:$B$71,'BEV MINI 2026'!$B60,'UC MINI 2026'!$H$5:$H$71)</f>
        <v>2</v>
      </c>
      <c r="J60" s="86">
        <f>IFERROR(INDEX([2]BEV!$S$10:$AF$68,
      MATCH(B60,[2]BEV!$S$10:$S$68,0),
      MATCH("FEBRERO",[2]BEV!$S$9:$AF$9,0)),
   0)-IF(B60=100873,
   IFERROR(VLOOKUP("FEBRERO",[2]BEV!$S$80:$T$93,2,0),
      0),
   0)</f>
        <v>1</v>
      </c>
      <c r="K60" s="243">
        <f t="shared" si="173"/>
        <v>0.5</v>
      </c>
      <c r="L60" s="54">
        <f>SUMIF('UC MINI 2026'!$B$5:$B$71,'BEV MINI 2026'!$B60,'UC MINI 2026'!$J$5:$J$71)</f>
        <v>2</v>
      </c>
      <c r="M60" s="86">
        <f>IFERROR(INDEX([2]BEV!$S$10:$AF$68,
      MATCH(B60,[2]BEV!$S$10:$S$68,0),
      MATCH("MARZO",[2]BEV!$S$9:$AF$9,0)),
   0)-IF(B60=100873,
   IFERROR(VLOOKUP("MARZO",[2]BEV!$S$80:$T$93,2,0),
      0),
   0)</f>
        <v>1</v>
      </c>
      <c r="N60" s="297">
        <f t="shared" si="162"/>
        <v>0.5</v>
      </c>
      <c r="O60" s="54">
        <f>SUMIF('UC MINI 2026'!$B$5:$B$71,'BEV MINI 2026'!$B60,'UC MINI 2026'!$L$5:$L$71)</f>
        <v>2</v>
      </c>
      <c r="P60" s="86">
        <f>IFERROR(INDEX([2]BEV!$S$10:$AF$68,
      MATCH(B60,[2]BEV!$S$10:$S$68,0),
      MATCH("ABRIL",[2]BEV!$S$9:$AF$9,0)),
   0)-IF(B60=100873,
   IFERROR(VLOOKUP("ABRIL",[2]BEV!$S$80:$T$93,2,0),
      0),
   0)</f>
        <v>4</v>
      </c>
      <c r="Q60" s="243">
        <f t="shared" si="163"/>
        <v>2</v>
      </c>
      <c r="R60" s="54">
        <f>SUMIF('UC MINI 2026'!$B$5:$B$71,'BEV MINI 2026'!$B60,'UC MINI 2026'!$N$5:$N$71)</f>
        <v>2</v>
      </c>
      <c r="S60" s="86">
        <f>IFERROR(INDEX([2]BEV!$S$10:$AF$68,
      MATCH(B60,[2]BEV!$S$10:$S$68,0),
      MATCH("MAYO",[2]BEV!$S$9:$AF$9,0)),
   0)-IF(B60=100873,
   IFERROR(VLOOKUP("MAYO",[2]BEV!$S$80:$T$93,2,0),
      0),
   0)</f>
        <v>6</v>
      </c>
      <c r="T60" s="297">
        <f t="shared" si="164"/>
        <v>3</v>
      </c>
      <c r="U60" s="54">
        <f>SUMIF('UC MINI 2026'!$B$5:$B$71,'BEV MINI 2026'!$B60,'UC MINI 2026'!$P$5:$P$71)</f>
        <v>2</v>
      </c>
      <c r="V60" s="86">
        <f>IFERROR(INDEX([2]BEV!$S$10:$AF$68,
      MATCH(B60,[2]BEV!$S$10:$S$68,0),
      MATCH("JUNIO",[2]BEV!$S$9:$AF$9,0)),
   0)-IF(B60=100873,
   IFERROR(VLOOKUP("JUNIO",[2]BEV!$S$80:$T$93,2,0),
      0),
   0)</f>
        <v>6</v>
      </c>
      <c r="W60" s="243">
        <f t="shared" si="165"/>
        <v>3</v>
      </c>
      <c r="X60" s="54">
        <f>SUMIF('UC MINI 2026'!$B$5:$B$71,'BEV MINI 2026'!$B60,'UC MINI 2026'!$R$5:$R$71)</f>
        <v>0</v>
      </c>
      <c r="Y60" s="86">
        <f>IFERROR(INDEX([2]BEV!$S$10:$AF$68,
      MATCH(B60,[2]BEV!$S$10:$S$68,0),
      MATCH("JULIO",[2]BEV!$S$9:$AF$9,0)),
   0)-IF(B60=100873,
   IFERROR(VLOOKUP("JULIO",[2]BEV!$S$80:$T$93,2,0),
      0),
   0)</f>
        <v>0</v>
      </c>
      <c r="Z60" s="297">
        <f t="shared" si="166"/>
        <v>0</v>
      </c>
      <c r="AA60" s="54">
        <f>SUMIF('UC MINI 2026'!$B$5:$B$71,'BEV MINI 2026'!$B60,'UC MINI 2026'!$T$5:$T$71)</f>
        <v>0</v>
      </c>
      <c r="AB60" s="86">
        <f>IFERROR(INDEX([2]BEV!$S$10:$AF$68,
      MATCH(B60,[2]BEV!$S$10:$S$68,0),
      MATCH("AGOSTO",[2]BEV!$S$9:$AF$9,0)),
   0)-IF(B60=100873,
   IFERROR(VLOOKUP("AGOSTO",[2]BEV!$S$80:$T$93,2,0),
      0),
   0)</f>
        <v>0</v>
      </c>
      <c r="AC60" s="243">
        <f t="shared" si="167"/>
        <v>0</v>
      </c>
      <c r="AD60" s="54">
        <f>SUMIF('UC MINI 2026'!$B$5:$B$71,'BEV MINI 2026'!$B60,'UC MINI 2026'!$V$5:$V$71)</f>
        <v>0</v>
      </c>
      <c r="AE60" s="86">
        <f>IFERROR(INDEX([2]BEV!$S$10:$AF$68,
      MATCH(B60,[2]BEV!$S$10:$S$68,0),
      MATCH("SEPTIEMBRE",[2]BEV!$S$9:$AF$9,0)),
   0)-IF(B60=100873,
   IFERROR(VLOOKUP("SEPTIEMBRE",[2]BEV!$S$80:$T$93,2,0),
      0),
   0)</f>
        <v>0</v>
      </c>
      <c r="AF60" s="297">
        <f t="shared" si="168"/>
        <v>0</v>
      </c>
      <c r="AG60" s="54">
        <f>SUMIF('UC MINI 2026'!$B$5:$B$71,'BEV MINI 2026'!$B60,'UC MINI 2026'!$X$5:$X$71)</f>
        <v>0</v>
      </c>
      <c r="AH60" s="86">
        <f>IFERROR(INDEX([2]BEV!$S$10:$AF$68,
      MATCH(B60,[2]BEV!$S$10:$S$68,0),
      MATCH("OCTUBRE",[2]BEV!$S$9:$AF$9,0)),
   0)-IF(B60=100873,
   IFERROR(VLOOKUP("OCTUBRE",[2]BEV!$S$80:$T$93,2,0),
      0),
   0)</f>
        <v>0</v>
      </c>
      <c r="AI60" s="243">
        <f t="shared" si="169"/>
        <v>0</v>
      </c>
      <c r="AJ60" s="54">
        <f>SUMIF('UC MINI 2026'!$B$5:$B$71,'BEV MINI 2026'!$B60,'UC MINI 2026'!$Z$5:$Z$71)</f>
        <v>0</v>
      </c>
      <c r="AK60" s="86">
        <f>IFERROR(INDEX([2]BEV!$S$10:$AF$68,
      MATCH(B60,[2]BEV!$S$10:$S$68,0),
      MATCH("NOVIEMBRE",[2]BEV!$S$9:$AF$9,0)),
   0)-IF(B60=100873,
   IFERROR(VLOOKUP("NOVIEMBRE",[2]BEV!$S$80:$T$93,2,0),
      0),
   0)</f>
        <v>0</v>
      </c>
      <c r="AL60" s="297">
        <f t="shared" si="170"/>
        <v>0</v>
      </c>
      <c r="AM60" s="54">
        <f>SUMIF('UC MINI 2026'!$B$5:$B$71,'BEV MINI 2026'!$B60,'UC MINI 2026'!$AB$5:$AB$71)</f>
        <v>0</v>
      </c>
      <c r="AN60" s="86">
        <f>IFERROR(INDEX([2]BEV!$S$10:$AF$68,
      MATCH(B60,[2]BEV!$S$10:$S$68,0),
      MATCH("DICIEMBRE",[2]BEV!$S$9:$AF$9,0)),
   0)-IF(B60=100873,
   IFERROR(VLOOKUP("DICIEMBRE",[2]BEV!$S$80:$T$93,2,0),
      0),
   0)</f>
        <v>0</v>
      </c>
      <c r="AO60" s="243">
        <f t="shared" si="171"/>
        <v>0</v>
      </c>
      <c r="AP60" s="67">
        <f t="shared" si="174"/>
        <v>12</v>
      </c>
      <c r="AQ60" s="68">
        <f t="shared" si="174"/>
        <v>21</v>
      </c>
      <c r="AR60" s="149">
        <f t="shared" si="175"/>
        <v>1.75</v>
      </c>
      <c r="AS60" s="67">
        <f t="shared" si="176"/>
        <v>12</v>
      </c>
      <c r="AT60" s="86">
        <f t="shared" si="14"/>
        <v>21</v>
      </c>
      <c r="AU60" s="149">
        <f t="shared" si="177"/>
        <v>1.75</v>
      </c>
      <c r="AV60" s="54">
        <f t="shared" si="178"/>
        <v>6</v>
      </c>
      <c r="AW60" s="86">
        <f t="shared" si="178"/>
        <v>5</v>
      </c>
      <c r="AX60" s="109">
        <f t="shared" si="179"/>
        <v>0.83333333333333337</v>
      </c>
      <c r="AY60" s="68">
        <f>IFERROR(IF($AV$5="Q1",#REF!+#REF!+#REF!,
IF($AV$5="Q2",#REF!+#REF!++#REF!,
IF($AV$5="Q3",#REF!+#REF!+#REF!,
IF($AV$5="Q4",#REF!+#REF!+#REF!,0)))),0)</f>
        <v>0</v>
      </c>
      <c r="AZ60" s="297">
        <f t="shared" si="180"/>
        <v>0</v>
      </c>
      <c r="BA60" s="350">
        <f>IFERROR(IF($AV$5="Q1",#REF!+#REF!+#REF!,
IF($AV$5="Q2",#REF!+#REF!+#REF!,
IF($AV$5="Q3",#REF!+#REF!+#REF!,
IF($AV$5="Q4",#REF!+#REF!+#REF!,0)))),0)</f>
        <v>0</v>
      </c>
      <c r="BB60" s="150">
        <f t="shared" si="181"/>
        <v>0</v>
      </c>
      <c r="BC60" s="67">
        <f t="shared" si="182"/>
        <v>12</v>
      </c>
      <c r="BD60" s="68">
        <f t="shared" si="182"/>
        <v>21</v>
      </c>
      <c r="BE60" s="150">
        <f t="shared" si="183"/>
        <v>1.75</v>
      </c>
      <c r="BF60" s="67">
        <f t="shared" si="184"/>
        <v>0</v>
      </c>
      <c r="BG60" s="266">
        <f t="shared" si="184"/>
        <v>0</v>
      </c>
      <c r="BH60" s="150">
        <f t="shared" si="185"/>
        <v>0</v>
      </c>
      <c r="BI60" s="53">
        <v>1</v>
      </c>
      <c r="BM60" s="513"/>
      <c r="BP60" s="53">
        <f t="shared" si="186"/>
        <v>16</v>
      </c>
      <c r="BQ60" s="53">
        <f t="shared" si="187"/>
        <v>6</v>
      </c>
    </row>
    <row r="61" spans="1:69" s="53" customFormat="1" ht="16" customHeight="1" x14ac:dyDescent="0.3">
      <c r="A61" s="53">
        <f>_xlfn.XLOOKUP(B61,'WHOLESALE MINI 2026'!$B$7:$B$63,'WHOLESALE MINI 2026'!$A$7:$A$63)</f>
        <v>10</v>
      </c>
      <c r="B61" s="8">
        <v>100589</v>
      </c>
      <c r="C61" s="369" t="s">
        <v>17</v>
      </c>
      <c r="D61" s="146"/>
      <c r="E61" s="379" t="s">
        <v>203</v>
      </c>
      <c r="F61" s="54">
        <f>SUMIF('UC MINI 2026'!$B$5:$B$71,'BEV MINI 2026'!$B61,'UC MINI 2026'!$F$5:$F$71)</f>
        <v>6</v>
      </c>
      <c r="G61" s="86">
        <f>IFERROR(INDEX([2]BEV!$S$10:$AF$68,
      MATCH(B61,[2]BEV!$S$10:$S$68,0),
      MATCH("ENERO",[2]BEV!$S$9:$AF$9,0)),
   0)-IF(B61=100873,
   IFERROR(VLOOKUP("ENERO",[2]BEV!$S$80:$T$93,2,0),
      0),
   0)</f>
        <v>2</v>
      </c>
      <c r="H61" s="243">
        <f t="shared" si="172"/>
        <v>0.33333333333333331</v>
      </c>
      <c r="I61" s="54">
        <f>SUMIF('UC MINI 2026'!$B$5:$B$71,'BEV MINI 2026'!$B61,'UC MINI 2026'!$H$5:$H$71)</f>
        <v>6</v>
      </c>
      <c r="J61" s="86">
        <f>IFERROR(INDEX([2]BEV!$S$10:$AF$68,
      MATCH(B61,[2]BEV!$S$10:$S$68,0),
      MATCH("FEBRERO",[2]BEV!$S$9:$AF$9,0)),
   0)-IF(B61=100873,
   IFERROR(VLOOKUP("FEBRERO",[2]BEV!$S$80:$T$93,2,0),
      0),
   0)</f>
        <v>2</v>
      </c>
      <c r="K61" s="243">
        <f t="shared" si="173"/>
        <v>0.33333333333333331</v>
      </c>
      <c r="L61" s="54">
        <f>SUMIF('UC MINI 2026'!$B$5:$B$71,'BEV MINI 2026'!$B61,'UC MINI 2026'!$J$5:$J$71)</f>
        <v>6</v>
      </c>
      <c r="M61" s="86">
        <f>IFERROR(INDEX([2]BEV!$S$10:$AF$68,
      MATCH(B61,[2]BEV!$S$10:$S$68,0),
      MATCH("MARZO",[2]BEV!$S$9:$AF$9,0)),
   0)-IF(B61=100873,
   IFERROR(VLOOKUP("MARZO",[2]BEV!$S$80:$T$93,2,0),
      0),
   0)</f>
        <v>6</v>
      </c>
      <c r="N61" s="297">
        <f t="shared" si="162"/>
        <v>1</v>
      </c>
      <c r="O61" s="54">
        <f>SUMIF('UC MINI 2026'!$B$5:$B$71,'BEV MINI 2026'!$B61,'UC MINI 2026'!$L$5:$L$71)</f>
        <v>6</v>
      </c>
      <c r="P61" s="86">
        <f>IFERROR(INDEX([2]BEV!$S$10:$AF$68,
      MATCH(B61,[2]BEV!$S$10:$S$68,0),
      MATCH("ABRIL",[2]BEV!$S$9:$AF$9,0)),
   0)-IF(B61=100873,
   IFERROR(VLOOKUP("ABRIL",[2]BEV!$S$80:$T$93,2,0),
      0),
   0)</f>
        <v>2</v>
      </c>
      <c r="Q61" s="243">
        <f t="shared" si="163"/>
        <v>0.33333333333333331</v>
      </c>
      <c r="R61" s="54">
        <f>SUMIF('UC MINI 2026'!$B$5:$B$71,'BEV MINI 2026'!$B61,'UC MINI 2026'!$N$5:$N$71)</f>
        <v>6</v>
      </c>
      <c r="S61" s="86">
        <f>IFERROR(INDEX([2]BEV!$S$10:$AF$68,
      MATCH(B61,[2]BEV!$S$10:$S$68,0),
      MATCH("MAYO",[2]BEV!$S$9:$AF$9,0)),
   0)-IF(B61=100873,
   IFERROR(VLOOKUP("MAYO",[2]BEV!$S$80:$T$93,2,0),
      0),
   0)</f>
        <v>9</v>
      </c>
      <c r="T61" s="297">
        <f t="shared" si="164"/>
        <v>1.5</v>
      </c>
      <c r="U61" s="54">
        <f>SUMIF('UC MINI 2026'!$B$5:$B$71,'BEV MINI 2026'!$B61,'UC MINI 2026'!$P$5:$P$71)</f>
        <v>6</v>
      </c>
      <c r="V61" s="86">
        <f>IFERROR(INDEX([2]BEV!$S$10:$AF$68,
      MATCH(B61,[2]BEV!$S$10:$S$68,0),
      MATCH("JUNIO",[2]BEV!$S$9:$AF$9,0)),
   0)-IF(B61=100873,
   IFERROR(VLOOKUP("JUNIO",[2]BEV!$S$80:$T$93,2,0),
      0),
   0)</f>
        <v>6</v>
      </c>
      <c r="W61" s="243">
        <f t="shared" si="165"/>
        <v>1</v>
      </c>
      <c r="X61" s="54">
        <f>SUMIF('UC MINI 2026'!$B$5:$B$71,'BEV MINI 2026'!$B61,'UC MINI 2026'!$R$5:$R$71)</f>
        <v>0</v>
      </c>
      <c r="Y61" s="86">
        <f>IFERROR(INDEX([2]BEV!$S$10:$AF$68,
      MATCH(B61,[2]BEV!$S$10:$S$68,0),
      MATCH("JULIO",[2]BEV!$S$9:$AF$9,0)),
   0)-IF(B61=100873,
   IFERROR(VLOOKUP("JULIO",[2]BEV!$S$80:$T$93,2,0),
      0),
   0)</f>
        <v>0</v>
      </c>
      <c r="Z61" s="297">
        <f t="shared" si="166"/>
        <v>0</v>
      </c>
      <c r="AA61" s="54">
        <f>SUMIF('UC MINI 2026'!$B$5:$B$71,'BEV MINI 2026'!$B61,'UC MINI 2026'!$T$5:$T$71)</f>
        <v>0</v>
      </c>
      <c r="AB61" s="86">
        <f>IFERROR(INDEX([2]BEV!$S$10:$AF$68,
      MATCH(B61,[2]BEV!$S$10:$S$68,0),
      MATCH("AGOSTO",[2]BEV!$S$9:$AF$9,0)),
   0)-IF(B61=100873,
   IFERROR(VLOOKUP("AGOSTO",[2]BEV!$S$80:$T$93,2,0),
      0),
   0)</f>
        <v>0</v>
      </c>
      <c r="AC61" s="243">
        <f t="shared" si="167"/>
        <v>0</v>
      </c>
      <c r="AD61" s="54">
        <f>SUMIF('UC MINI 2026'!$B$5:$B$71,'BEV MINI 2026'!$B61,'UC MINI 2026'!$V$5:$V$71)</f>
        <v>0</v>
      </c>
      <c r="AE61" s="86">
        <f>IFERROR(INDEX([2]BEV!$S$10:$AF$68,
      MATCH(B61,[2]BEV!$S$10:$S$68,0),
      MATCH("SEPTIEMBRE",[2]BEV!$S$9:$AF$9,0)),
   0)-IF(B61=100873,
   IFERROR(VLOOKUP("SEPTIEMBRE",[2]BEV!$S$80:$T$93,2,0),
      0),
   0)</f>
        <v>0</v>
      </c>
      <c r="AF61" s="297">
        <f t="shared" si="168"/>
        <v>0</v>
      </c>
      <c r="AG61" s="54">
        <f>SUMIF('UC MINI 2026'!$B$5:$B$71,'BEV MINI 2026'!$B61,'UC MINI 2026'!$X$5:$X$71)</f>
        <v>0</v>
      </c>
      <c r="AH61" s="86">
        <f>IFERROR(INDEX([2]BEV!$S$10:$AF$68,
      MATCH(B61,[2]BEV!$S$10:$S$68,0),
      MATCH("OCTUBRE",[2]BEV!$S$9:$AF$9,0)),
   0)-IF(B61=100873,
   IFERROR(VLOOKUP("OCTUBRE",[2]BEV!$S$80:$T$93,2,0),
      0),
   0)</f>
        <v>0</v>
      </c>
      <c r="AI61" s="243">
        <f t="shared" si="169"/>
        <v>0</v>
      </c>
      <c r="AJ61" s="54">
        <f>SUMIF('UC MINI 2026'!$B$5:$B$71,'BEV MINI 2026'!$B61,'UC MINI 2026'!$Z$5:$Z$71)</f>
        <v>0</v>
      </c>
      <c r="AK61" s="86">
        <f>IFERROR(INDEX([2]BEV!$S$10:$AF$68,
      MATCH(B61,[2]BEV!$S$10:$S$68,0),
      MATCH("NOVIEMBRE",[2]BEV!$S$9:$AF$9,0)),
   0)-IF(B61=100873,
   IFERROR(VLOOKUP("NOVIEMBRE",[2]BEV!$S$80:$T$93,2,0),
      0),
   0)</f>
        <v>0</v>
      </c>
      <c r="AL61" s="297">
        <f t="shared" si="170"/>
        <v>0</v>
      </c>
      <c r="AM61" s="54">
        <f>SUMIF('UC MINI 2026'!$B$5:$B$71,'BEV MINI 2026'!$B61,'UC MINI 2026'!$AB$5:$AB$71)</f>
        <v>0</v>
      </c>
      <c r="AN61" s="86">
        <f>IFERROR(INDEX([2]BEV!$S$10:$AF$68,
      MATCH(B61,[2]BEV!$S$10:$S$68,0),
      MATCH("DICIEMBRE",[2]BEV!$S$9:$AF$9,0)),
   0)-IF(B61=100873,
   IFERROR(VLOOKUP("DICIEMBRE",[2]BEV!$S$80:$T$93,2,0),
      0),
   0)</f>
        <v>0</v>
      </c>
      <c r="AO61" s="243">
        <f t="shared" si="171"/>
        <v>0</v>
      </c>
      <c r="AP61" s="67">
        <f t="shared" si="174"/>
        <v>36</v>
      </c>
      <c r="AQ61" s="68">
        <f t="shared" si="174"/>
        <v>27</v>
      </c>
      <c r="AR61" s="149">
        <f t="shared" si="175"/>
        <v>0.75</v>
      </c>
      <c r="AS61" s="67">
        <f t="shared" si="176"/>
        <v>36</v>
      </c>
      <c r="AT61" s="86">
        <f t="shared" si="14"/>
        <v>27</v>
      </c>
      <c r="AU61" s="149">
        <f t="shared" si="177"/>
        <v>0.75</v>
      </c>
      <c r="AV61" s="54">
        <f t="shared" si="178"/>
        <v>18</v>
      </c>
      <c r="AW61" s="86">
        <f t="shared" si="178"/>
        <v>10</v>
      </c>
      <c r="AX61" s="109">
        <f t="shared" si="179"/>
        <v>0.55555555555555558</v>
      </c>
      <c r="AY61" s="68">
        <f>IFERROR(IF($AV$5="Q1",#REF!+#REF!+#REF!,
IF($AV$5="Q2",#REF!+#REF!++#REF!,
IF($AV$5="Q3",#REF!+#REF!+#REF!,
IF($AV$5="Q4",#REF!+#REF!+#REF!,0)))),0)</f>
        <v>0</v>
      </c>
      <c r="AZ61" s="297">
        <f t="shared" si="180"/>
        <v>0</v>
      </c>
      <c r="BA61" s="350">
        <f>IFERROR(IF($AV$5="Q1",#REF!+#REF!+#REF!,
IF($AV$5="Q2",#REF!+#REF!+#REF!,
IF($AV$5="Q3",#REF!+#REF!+#REF!,
IF($AV$5="Q4",#REF!+#REF!+#REF!,0)))),0)</f>
        <v>0</v>
      </c>
      <c r="BB61" s="150">
        <f t="shared" si="181"/>
        <v>0</v>
      </c>
      <c r="BC61" s="67">
        <f t="shared" si="182"/>
        <v>36</v>
      </c>
      <c r="BD61" s="68">
        <f t="shared" si="182"/>
        <v>27</v>
      </c>
      <c r="BE61" s="150">
        <f t="shared" si="183"/>
        <v>0.75</v>
      </c>
      <c r="BF61" s="67">
        <f t="shared" si="184"/>
        <v>0</v>
      </c>
      <c r="BG61" s="266">
        <f t="shared" si="184"/>
        <v>0</v>
      </c>
      <c r="BH61" s="150">
        <f t="shared" si="185"/>
        <v>0</v>
      </c>
      <c r="BI61" s="53">
        <v>1</v>
      </c>
      <c r="BP61" s="53">
        <f t="shared" si="186"/>
        <v>17</v>
      </c>
      <c r="BQ61" s="53">
        <f t="shared" si="187"/>
        <v>18</v>
      </c>
    </row>
    <row r="62" spans="1:69" s="53" customFormat="1" ht="16" customHeight="1" x14ac:dyDescent="0.3">
      <c r="A62" s="53">
        <f>_xlfn.XLOOKUP(B62,'WHOLESALE MINI 2026'!$B$7:$B$63,'WHOLESALE MINI 2026'!$A$7:$A$63)</f>
        <v>10</v>
      </c>
      <c r="B62" s="8">
        <v>100819</v>
      </c>
      <c r="C62" s="369" t="s">
        <v>74</v>
      </c>
      <c r="D62" s="146"/>
      <c r="E62" s="379" t="s">
        <v>203</v>
      </c>
      <c r="F62" s="54">
        <f>SUMIF('UC MINI 2026'!$B$5:$B$71,'BEV MINI 2026'!$B62,'UC MINI 2026'!$F$5:$F$71)</f>
        <v>2</v>
      </c>
      <c r="G62" s="86">
        <f>IFERROR(INDEX([2]BEV!$S$10:$AF$68,
      MATCH(B62,[2]BEV!$S$10:$S$68,0),
      MATCH("ENERO",[2]BEV!$S$9:$AF$9,0)),
   0)-IF(B62=100873,
   IFERROR(VLOOKUP("ENERO",[2]BEV!$S$80:$T$93,2,0),
      0),
   0)</f>
        <v>16</v>
      </c>
      <c r="H62" s="243">
        <f t="shared" si="172"/>
        <v>8</v>
      </c>
      <c r="I62" s="54">
        <f>SUMIF('UC MINI 2026'!$B$5:$B$71,'BEV MINI 2026'!$B62,'UC MINI 2026'!$H$5:$H$71)</f>
        <v>2</v>
      </c>
      <c r="J62" s="86">
        <f>IFERROR(INDEX([2]BEV!$S$10:$AF$68,
      MATCH(B62,[2]BEV!$S$10:$S$68,0),
      MATCH("FEBRERO",[2]BEV!$S$9:$AF$9,0)),
   0)-IF(B62=100873,
   IFERROR(VLOOKUP("FEBRERO",[2]BEV!$S$80:$T$93,2,0),
      0),
   0)</f>
        <v>15</v>
      </c>
      <c r="K62" s="243">
        <f t="shared" si="173"/>
        <v>7.5</v>
      </c>
      <c r="L62" s="54">
        <f>SUMIF('UC MINI 2026'!$B$5:$B$71,'BEV MINI 2026'!$B62,'UC MINI 2026'!$J$5:$J$71)</f>
        <v>2</v>
      </c>
      <c r="M62" s="86">
        <f>IFERROR(INDEX([2]BEV!$S$10:$AF$68,
      MATCH(B62,[2]BEV!$S$10:$S$68,0),
      MATCH("MARZO",[2]BEV!$S$9:$AF$9,0)),
   0)-IF(B62=100873,
   IFERROR(VLOOKUP("MARZO",[2]BEV!$S$80:$T$93,2,0),
      0),
   0)</f>
        <v>22</v>
      </c>
      <c r="N62" s="297">
        <f t="shared" si="162"/>
        <v>11</v>
      </c>
      <c r="O62" s="54">
        <f>SUMIF('UC MINI 2026'!$B$5:$B$71,'BEV MINI 2026'!$B62,'UC MINI 2026'!$L$5:$L$71)</f>
        <v>3</v>
      </c>
      <c r="P62" s="86">
        <f>IFERROR(INDEX([2]BEV!$S$10:$AF$68,
      MATCH(B62,[2]BEV!$S$10:$S$68,0),
      MATCH("ABRIL",[2]BEV!$S$9:$AF$9,0)),
   0)-IF(B62=100873,
   IFERROR(VLOOKUP("ABRIL",[2]BEV!$S$80:$T$93,2,0),
      0),
   0)</f>
        <v>20</v>
      </c>
      <c r="Q62" s="243">
        <f t="shared" si="163"/>
        <v>6.666666666666667</v>
      </c>
      <c r="R62" s="54">
        <f>SUMIF('UC MINI 2026'!$B$5:$B$71,'BEV MINI 2026'!$B62,'UC MINI 2026'!$N$5:$N$71)</f>
        <v>3</v>
      </c>
      <c r="S62" s="86">
        <f>IFERROR(INDEX([2]BEV!$S$10:$AF$68,
      MATCH(B62,[2]BEV!$S$10:$S$68,0),
      MATCH("MAYO",[2]BEV!$S$9:$AF$9,0)),
   0)-IF(B62=100873,
   IFERROR(VLOOKUP("MAYO",[2]BEV!$S$80:$T$93,2,0),
      0),
   0)</f>
        <v>17</v>
      </c>
      <c r="T62" s="297">
        <f t="shared" si="164"/>
        <v>5.666666666666667</v>
      </c>
      <c r="U62" s="54">
        <f>SUMIF('UC MINI 2026'!$B$5:$B$71,'BEV MINI 2026'!$B62,'UC MINI 2026'!$P$5:$P$71)</f>
        <v>3</v>
      </c>
      <c r="V62" s="86">
        <f>IFERROR(INDEX([2]BEV!$S$10:$AF$68,
      MATCH(B62,[2]BEV!$S$10:$S$68,0),
      MATCH("JUNIO",[2]BEV!$S$9:$AF$9,0)),
   0)-IF(B62=100873,
   IFERROR(VLOOKUP("JUNIO",[2]BEV!$S$80:$T$93,2,0),
      0),
   0)</f>
        <v>13</v>
      </c>
      <c r="W62" s="243">
        <f t="shared" si="165"/>
        <v>4.333333333333333</v>
      </c>
      <c r="X62" s="54">
        <f>SUMIF('UC MINI 2026'!$B$5:$B$71,'BEV MINI 2026'!$B62,'UC MINI 2026'!$R$5:$R$71)</f>
        <v>0</v>
      </c>
      <c r="Y62" s="86">
        <f>IFERROR(INDEX([2]BEV!$S$10:$AF$68,
      MATCH(B62,[2]BEV!$S$10:$S$68,0),
      MATCH("JULIO",[2]BEV!$S$9:$AF$9,0)),
   0)-IF(B62=100873,
   IFERROR(VLOOKUP("JULIO",[2]BEV!$S$80:$T$93,2,0),
      0),
   0)</f>
        <v>0</v>
      </c>
      <c r="Z62" s="297">
        <f t="shared" si="166"/>
        <v>0</v>
      </c>
      <c r="AA62" s="54">
        <f>SUMIF('UC MINI 2026'!$B$5:$B$71,'BEV MINI 2026'!$B62,'UC MINI 2026'!$T$5:$T$71)</f>
        <v>0</v>
      </c>
      <c r="AB62" s="86">
        <f>IFERROR(INDEX([2]BEV!$S$10:$AF$68,
      MATCH(B62,[2]BEV!$S$10:$S$68,0),
      MATCH("AGOSTO",[2]BEV!$S$9:$AF$9,0)),
   0)-IF(B62=100873,
   IFERROR(VLOOKUP("AGOSTO",[2]BEV!$S$80:$T$93,2,0),
      0),
   0)</f>
        <v>0</v>
      </c>
      <c r="AC62" s="243">
        <f t="shared" si="167"/>
        <v>0</v>
      </c>
      <c r="AD62" s="54">
        <f>SUMIF('UC MINI 2026'!$B$5:$B$71,'BEV MINI 2026'!$B62,'UC MINI 2026'!$V$5:$V$71)</f>
        <v>0</v>
      </c>
      <c r="AE62" s="86">
        <f>IFERROR(INDEX([2]BEV!$S$10:$AF$68,
      MATCH(B62,[2]BEV!$S$10:$S$68,0),
      MATCH("SEPTIEMBRE",[2]BEV!$S$9:$AF$9,0)),
   0)-IF(B62=100873,
   IFERROR(VLOOKUP("SEPTIEMBRE",[2]BEV!$S$80:$T$93,2,0),
      0),
   0)</f>
        <v>0</v>
      </c>
      <c r="AF62" s="297">
        <f t="shared" si="168"/>
        <v>0</v>
      </c>
      <c r="AG62" s="54">
        <f>SUMIF('UC MINI 2026'!$B$5:$B$71,'BEV MINI 2026'!$B62,'UC MINI 2026'!$X$5:$X$71)</f>
        <v>0</v>
      </c>
      <c r="AH62" s="86">
        <f>IFERROR(INDEX([2]BEV!$S$10:$AF$68,
      MATCH(B62,[2]BEV!$S$10:$S$68,0),
      MATCH("OCTUBRE",[2]BEV!$S$9:$AF$9,0)),
   0)-IF(B62=100873,
   IFERROR(VLOOKUP("OCTUBRE",[2]BEV!$S$80:$T$93,2,0),
      0),
   0)</f>
        <v>0</v>
      </c>
      <c r="AI62" s="243">
        <f t="shared" si="169"/>
        <v>0</v>
      </c>
      <c r="AJ62" s="54">
        <f>SUMIF('UC MINI 2026'!$B$5:$B$71,'BEV MINI 2026'!$B62,'UC MINI 2026'!$Z$5:$Z$71)</f>
        <v>0</v>
      </c>
      <c r="AK62" s="86">
        <f>IFERROR(INDEX([2]BEV!$S$10:$AF$68,
      MATCH(B62,[2]BEV!$S$10:$S$68,0),
      MATCH("NOVIEMBRE",[2]BEV!$S$9:$AF$9,0)),
   0)-IF(B62=100873,
   IFERROR(VLOOKUP("NOVIEMBRE",[2]BEV!$S$80:$T$93,2,0),
      0),
   0)</f>
        <v>0</v>
      </c>
      <c r="AL62" s="297">
        <f t="shared" si="170"/>
        <v>0</v>
      </c>
      <c r="AM62" s="54">
        <f>SUMIF('UC MINI 2026'!$B$5:$B$71,'BEV MINI 2026'!$B62,'UC MINI 2026'!$AB$5:$AB$71)</f>
        <v>0</v>
      </c>
      <c r="AN62" s="86">
        <f>IFERROR(INDEX([2]BEV!$S$10:$AF$68,
      MATCH(B62,[2]BEV!$S$10:$S$68,0),
      MATCH("DICIEMBRE",[2]BEV!$S$9:$AF$9,0)),
   0)-IF(B62=100873,
   IFERROR(VLOOKUP("DICIEMBRE",[2]BEV!$S$80:$T$93,2,0),
      0),
   0)</f>
        <v>0</v>
      </c>
      <c r="AO62" s="243">
        <f t="shared" si="171"/>
        <v>0</v>
      </c>
      <c r="AP62" s="67">
        <f t="shared" si="174"/>
        <v>15</v>
      </c>
      <c r="AQ62" s="68">
        <f t="shared" si="174"/>
        <v>103</v>
      </c>
      <c r="AR62" s="149">
        <f t="shared" si="175"/>
        <v>6.8666666666666663</v>
      </c>
      <c r="AS62" s="67">
        <f t="shared" si="176"/>
        <v>15</v>
      </c>
      <c r="AT62" s="86">
        <f t="shared" si="14"/>
        <v>103</v>
      </c>
      <c r="AU62" s="149">
        <f t="shared" si="177"/>
        <v>6.8666666666666663</v>
      </c>
      <c r="AV62" s="54">
        <f t="shared" si="178"/>
        <v>6</v>
      </c>
      <c r="AW62" s="86">
        <f t="shared" si="178"/>
        <v>53</v>
      </c>
      <c r="AX62" s="109">
        <f t="shared" si="179"/>
        <v>8.8333333333333339</v>
      </c>
      <c r="AY62" s="68">
        <f>IFERROR(IF($AV$5="Q1",#REF!+#REF!+#REF!,
IF($AV$5="Q2",#REF!+#REF!++#REF!,
IF($AV$5="Q3",#REF!+#REF!+#REF!,
IF($AV$5="Q4",#REF!+#REF!+#REF!,0)))),0)</f>
        <v>0</v>
      </c>
      <c r="AZ62" s="297">
        <f t="shared" si="180"/>
        <v>0</v>
      </c>
      <c r="BA62" s="350">
        <f>IFERROR(IF($AV$5="Q1",#REF!+#REF!+#REF!,
IF($AV$5="Q2",#REF!+#REF!+#REF!,
IF($AV$5="Q3",#REF!+#REF!+#REF!,
IF($AV$5="Q4",#REF!+#REF!+#REF!,0)))),0)</f>
        <v>0</v>
      </c>
      <c r="BB62" s="150">
        <f t="shared" si="181"/>
        <v>0</v>
      </c>
      <c r="BC62" s="67">
        <f t="shared" si="182"/>
        <v>15</v>
      </c>
      <c r="BD62" s="68">
        <f t="shared" si="182"/>
        <v>103</v>
      </c>
      <c r="BE62" s="150">
        <f t="shared" si="183"/>
        <v>6.8666666666666663</v>
      </c>
      <c r="BF62" s="67">
        <f t="shared" si="184"/>
        <v>0</v>
      </c>
      <c r="BG62" s="266">
        <f t="shared" si="184"/>
        <v>0</v>
      </c>
      <c r="BH62" s="150">
        <f t="shared" si="185"/>
        <v>0</v>
      </c>
      <c r="BI62" s="53">
        <v>1</v>
      </c>
      <c r="BP62" s="53">
        <f t="shared" si="186"/>
        <v>50</v>
      </c>
      <c r="BQ62" s="53">
        <f t="shared" si="187"/>
        <v>9</v>
      </c>
    </row>
    <row r="63" spans="1:69" s="53" customFormat="1" ht="16" customHeight="1" thickBot="1" x14ac:dyDescent="0.35">
      <c r="A63" s="53">
        <f>_xlfn.XLOOKUP(B63,'WHOLESALE MINI 2026'!$B$7:$B$63,'WHOLESALE MINI 2026'!$A$7:$A$63)</f>
        <v>10</v>
      </c>
      <c r="B63" s="36">
        <v>100881</v>
      </c>
      <c r="C63" s="375" t="s">
        <v>163</v>
      </c>
      <c r="D63" s="146"/>
      <c r="E63" s="379" t="s">
        <v>164</v>
      </c>
      <c r="F63" s="54">
        <f>SUMIF('UC MINI 2026'!$B$5:$B$71,'BEV MINI 2026'!$B63,'UC MINI 2026'!$F$5:$F$71)</f>
        <v>4</v>
      </c>
      <c r="G63" s="86">
        <f>IFERROR(INDEX([2]BEV!$S$10:$AF$68,
      MATCH(B63,[2]BEV!$S$10:$S$68,0),
      MATCH("ENERO",[2]BEV!$S$9:$AF$9,0)),
   0)-IF(B63=100873,
   IFERROR(VLOOKUP("ENERO",[2]BEV!$S$80:$T$93,2,0),
      0),
   0)</f>
        <v>3</v>
      </c>
      <c r="H63" s="243">
        <f t="shared" si="172"/>
        <v>0.75</v>
      </c>
      <c r="I63" s="54">
        <f>SUMIF('UC MINI 2026'!$B$5:$B$71,'BEV MINI 2026'!$B63,'UC MINI 2026'!$H$5:$H$71)</f>
        <v>4</v>
      </c>
      <c r="J63" s="86">
        <f>IFERROR(INDEX([2]BEV!$S$10:$AF$68,
      MATCH(B63,[2]BEV!$S$10:$S$68,0),
      MATCH("FEBRERO",[2]BEV!$S$9:$AF$9,0)),
   0)-IF(B63=100873,
   IFERROR(VLOOKUP("FEBRERO",[2]BEV!$S$80:$T$93,2,0),
      0),
   0)</f>
        <v>8</v>
      </c>
      <c r="K63" s="243">
        <f t="shared" si="173"/>
        <v>2</v>
      </c>
      <c r="L63" s="54">
        <f>SUMIF('UC MINI 2026'!$B$5:$B$71,'BEV MINI 2026'!$B63,'UC MINI 2026'!$J$5:$J$71)</f>
        <v>4</v>
      </c>
      <c r="M63" s="86">
        <f>IFERROR(INDEX([2]BEV!$S$10:$AF$68,
      MATCH(B63,[2]BEV!$S$10:$S$68,0),
      MATCH("MARZO",[2]BEV!$S$9:$AF$9,0)),
   0)-IF(B63=100873,
   IFERROR(VLOOKUP("MARZO",[2]BEV!$S$80:$T$93,2,0),
      0),
   0)</f>
        <v>5</v>
      </c>
      <c r="N63" s="297">
        <f t="shared" si="162"/>
        <v>1.25</v>
      </c>
      <c r="O63" s="54">
        <f>SUMIF('UC MINI 2026'!$B$5:$B$71,'BEV MINI 2026'!$B63,'UC MINI 2026'!$L$5:$L$71)</f>
        <v>4</v>
      </c>
      <c r="P63" s="86">
        <f>IFERROR(INDEX([2]BEV!$S$10:$AF$68,
      MATCH(B63,[2]BEV!$S$10:$S$68,0),
      MATCH("ABRIL",[2]BEV!$S$9:$AF$9,0)),
   0)-IF(B63=100873,
   IFERROR(VLOOKUP("ABRIL",[2]BEV!$S$80:$T$93,2,0),
      0),
   0)</f>
        <v>12</v>
      </c>
      <c r="Q63" s="243">
        <f t="shared" si="163"/>
        <v>3</v>
      </c>
      <c r="R63" s="54">
        <f>SUMIF('UC MINI 2026'!$B$5:$B$71,'BEV MINI 2026'!$B63,'UC MINI 2026'!$N$5:$N$71)</f>
        <v>4</v>
      </c>
      <c r="S63" s="86">
        <f>IFERROR(INDEX([2]BEV!$S$10:$AF$68,
      MATCH(B63,[2]BEV!$S$10:$S$68,0),
      MATCH("MAYO",[2]BEV!$S$9:$AF$9,0)),
   0)-IF(B63=100873,
   IFERROR(VLOOKUP("MAYO",[2]BEV!$S$80:$T$93,2,0),
      0),
   0)</f>
        <v>7</v>
      </c>
      <c r="T63" s="297">
        <f t="shared" si="164"/>
        <v>1.75</v>
      </c>
      <c r="U63" s="54">
        <f>SUMIF('UC MINI 2026'!$B$5:$B$71,'BEV MINI 2026'!$B63,'UC MINI 2026'!$P$5:$P$71)</f>
        <v>5</v>
      </c>
      <c r="V63" s="86">
        <f>IFERROR(INDEX([2]BEV!$S$10:$AF$68,
      MATCH(B63,[2]BEV!$S$10:$S$68,0),
      MATCH("JUNIO",[2]BEV!$S$9:$AF$9,0)),
   0)-IF(B63=100873,
   IFERROR(VLOOKUP("JUNIO",[2]BEV!$S$80:$T$93,2,0),
      0),
   0)</f>
        <v>9</v>
      </c>
      <c r="W63" s="243">
        <f t="shared" si="165"/>
        <v>1.8</v>
      </c>
      <c r="X63" s="54">
        <f>SUMIF('UC MINI 2026'!$B$5:$B$71,'BEV MINI 2026'!$B63,'UC MINI 2026'!$R$5:$R$71)</f>
        <v>0</v>
      </c>
      <c r="Y63" s="86">
        <f>IFERROR(INDEX([2]BEV!$S$10:$AF$68,
      MATCH(B63,[2]BEV!$S$10:$S$68,0),
      MATCH("JULIO",[2]BEV!$S$9:$AF$9,0)),
   0)-IF(B63=100873,
   IFERROR(VLOOKUP("JULIO",[2]BEV!$S$80:$T$93,2,0),
      0),
   0)</f>
        <v>0</v>
      </c>
      <c r="Z63" s="297">
        <f t="shared" si="166"/>
        <v>0</v>
      </c>
      <c r="AA63" s="54">
        <f>SUMIF('UC MINI 2026'!$B$5:$B$71,'BEV MINI 2026'!$B63,'UC MINI 2026'!$T$5:$T$71)</f>
        <v>0</v>
      </c>
      <c r="AB63" s="86">
        <f>IFERROR(INDEX([2]BEV!$S$10:$AF$68,
      MATCH(B63,[2]BEV!$S$10:$S$68,0),
      MATCH("AGOSTO",[2]BEV!$S$9:$AF$9,0)),
   0)-IF(B63=100873,
   IFERROR(VLOOKUP("AGOSTO",[2]BEV!$S$80:$T$93,2,0),
      0),
   0)</f>
        <v>0</v>
      </c>
      <c r="AC63" s="243">
        <f t="shared" si="167"/>
        <v>0</v>
      </c>
      <c r="AD63" s="54">
        <f>SUMIF('UC MINI 2026'!$B$5:$B$71,'BEV MINI 2026'!$B63,'UC MINI 2026'!$V$5:$V$71)</f>
        <v>0</v>
      </c>
      <c r="AE63" s="86">
        <f>IFERROR(INDEX([2]BEV!$S$10:$AF$68,
      MATCH(B63,[2]BEV!$S$10:$S$68,0),
      MATCH("SEPTIEMBRE",[2]BEV!$S$9:$AF$9,0)),
   0)-IF(B63=100873,
   IFERROR(VLOOKUP("SEPTIEMBRE",[2]BEV!$S$80:$T$93,2,0),
      0),
   0)</f>
        <v>0</v>
      </c>
      <c r="AF63" s="297">
        <f t="shared" si="168"/>
        <v>0</v>
      </c>
      <c r="AG63" s="54">
        <f>SUMIF('UC MINI 2026'!$B$5:$B$71,'BEV MINI 2026'!$B63,'UC MINI 2026'!$X$5:$X$71)</f>
        <v>0</v>
      </c>
      <c r="AH63" s="86">
        <f>IFERROR(INDEX([2]BEV!$S$10:$AF$68,
      MATCH(B63,[2]BEV!$S$10:$S$68,0),
      MATCH("OCTUBRE",[2]BEV!$S$9:$AF$9,0)),
   0)-IF(B63=100873,
   IFERROR(VLOOKUP("OCTUBRE",[2]BEV!$S$80:$T$93,2,0),
      0),
   0)</f>
        <v>0</v>
      </c>
      <c r="AI63" s="243">
        <f t="shared" si="169"/>
        <v>0</v>
      </c>
      <c r="AJ63" s="54">
        <f>SUMIF('UC MINI 2026'!$B$5:$B$71,'BEV MINI 2026'!$B63,'UC MINI 2026'!$Z$5:$Z$71)</f>
        <v>0</v>
      </c>
      <c r="AK63" s="86">
        <f>IFERROR(INDEX([2]BEV!$S$10:$AF$68,
      MATCH(B63,[2]BEV!$S$10:$S$68,0),
      MATCH("NOVIEMBRE",[2]BEV!$S$9:$AF$9,0)),
   0)-IF(B63=100873,
   IFERROR(VLOOKUP("NOVIEMBRE",[2]BEV!$S$80:$T$93,2,0),
      0),
   0)</f>
        <v>0</v>
      </c>
      <c r="AL63" s="297">
        <f t="shared" si="170"/>
        <v>0</v>
      </c>
      <c r="AM63" s="54">
        <f>SUMIF('UC MINI 2026'!$B$5:$B$71,'BEV MINI 2026'!$B63,'UC MINI 2026'!$AB$5:$AB$71)</f>
        <v>0</v>
      </c>
      <c r="AN63" s="86">
        <f>IFERROR(INDEX([2]BEV!$S$10:$AF$68,
      MATCH(B63,[2]BEV!$S$10:$S$68,0),
      MATCH("DICIEMBRE",[2]BEV!$S$9:$AF$9,0)),
   0)-IF(B63=100873,
   IFERROR(VLOOKUP("DICIEMBRE",[2]BEV!$S$80:$T$93,2,0),
      0),
   0)</f>
        <v>0</v>
      </c>
      <c r="AO63" s="243">
        <f t="shared" si="171"/>
        <v>0</v>
      </c>
      <c r="AP63" s="67">
        <f t="shared" si="174"/>
        <v>25</v>
      </c>
      <c r="AQ63" s="68">
        <f t="shared" si="174"/>
        <v>44</v>
      </c>
      <c r="AR63" s="152">
        <f t="shared" si="175"/>
        <v>1.76</v>
      </c>
      <c r="AS63" s="67">
        <f t="shared" si="176"/>
        <v>25</v>
      </c>
      <c r="AT63" s="86">
        <f t="shared" si="14"/>
        <v>44</v>
      </c>
      <c r="AU63" s="152">
        <f t="shared" si="177"/>
        <v>1.76</v>
      </c>
      <c r="AV63" s="58">
        <f t="shared" si="178"/>
        <v>12</v>
      </c>
      <c r="AW63" s="59">
        <f t="shared" si="178"/>
        <v>16</v>
      </c>
      <c r="AX63" s="112">
        <f t="shared" si="179"/>
        <v>1.3333333333333333</v>
      </c>
      <c r="AY63" s="68">
        <f>IFERROR(IF($AV$5="Q1",#REF!+#REF!+#REF!,
IF($AV$5="Q2",#REF!+#REF!++#REF!,
IF($AV$5="Q3",#REF!+#REF!+#REF!,
IF($AV$5="Q4",#REF!+#REF!+#REF!,0)))),0)</f>
        <v>0</v>
      </c>
      <c r="AZ63" s="299">
        <f t="shared" si="180"/>
        <v>0</v>
      </c>
      <c r="BA63" s="350">
        <f>IFERROR(IF($AV$5="Q1",#REF!+#REF!+#REF!,
IF($AV$5="Q2",#REF!+#REF!+#REF!,
IF($AV$5="Q3",#REF!+#REF!+#REF!,
IF($AV$5="Q4",#REF!+#REF!+#REF!,0)))),0)</f>
        <v>0</v>
      </c>
      <c r="BB63" s="153">
        <f t="shared" si="181"/>
        <v>0</v>
      </c>
      <c r="BC63" s="67">
        <f t="shared" si="182"/>
        <v>25</v>
      </c>
      <c r="BD63" s="68">
        <f t="shared" si="182"/>
        <v>44</v>
      </c>
      <c r="BE63" s="153">
        <f t="shared" si="183"/>
        <v>1.76</v>
      </c>
      <c r="BF63" s="67">
        <f t="shared" si="184"/>
        <v>0</v>
      </c>
      <c r="BG63" s="266">
        <f t="shared" si="184"/>
        <v>0</v>
      </c>
      <c r="BH63" s="153">
        <f t="shared" si="185"/>
        <v>0</v>
      </c>
      <c r="BI63" s="53">
        <v>1</v>
      </c>
      <c r="BP63" s="53">
        <f t="shared" si="186"/>
        <v>28</v>
      </c>
      <c r="BQ63" s="53">
        <f t="shared" si="187"/>
        <v>13</v>
      </c>
    </row>
    <row r="64" spans="1:69" s="53" customFormat="1" ht="16" customHeight="1" thickBot="1" x14ac:dyDescent="0.35">
      <c r="A64" s="50"/>
      <c r="B64" s="61" t="s">
        <v>99</v>
      </c>
      <c r="C64" s="62"/>
      <c r="D64" s="146"/>
      <c r="E64" s="62"/>
      <c r="F64" s="63">
        <f>SUM(F58:F63)</f>
        <v>23</v>
      </c>
      <c r="G64" s="63">
        <f>SUM(G58:G63)</f>
        <v>40</v>
      </c>
      <c r="H64" s="301">
        <f t="shared" si="172"/>
        <v>1.7391304347826086</v>
      </c>
      <c r="I64" s="63">
        <f>SUM(I58:I63)</f>
        <v>24</v>
      </c>
      <c r="J64" s="63">
        <f>SUM(J58:J63)</f>
        <v>41</v>
      </c>
      <c r="K64" s="301">
        <f t="shared" si="173"/>
        <v>1.7083333333333333</v>
      </c>
      <c r="L64" s="63">
        <f>SUM(L58:L63)</f>
        <v>24</v>
      </c>
      <c r="M64" s="63">
        <f>SUM(M58:M63)</f>
        <v>42</v>
      </c>
      <c r="N64" s="301">
        <f>IFERROR(M64/L64,0)</f>
        <v>1.75</v>
      </c>
      <c r="O64" s="63">
        <f>SUM(O58:O63)</f>
        <v>26</v>
      </c>
      <c r="P64" s="63">
        <f>SUM(P58:P63)</f>
        <v>47</v>
      </c>
      <c r="Q64" s="301">
        <f>IFERROR(P64/O64,0)</f>
        <v>1.8076923076923077</v>
      </c>
      <c r="R64" s="63">
        <f>SUM(R58:R63)</f>
        <v>26</v>
      </c>
      <c r="S64" s="63">
        <f>SUM(S58:S63)</f>
        <v>52</v>
      </c>
      <c r="T64" s="301">
        <f>IFERROR(S64/R64,0)</f>
        <v>2</v>
      </c>
      <c r="U64" s="63">
        <f>SUM(U58:U63)</f>
        <v>27</v>
      </c>
      <c r="V64" s="63">
        <f>SUM(V58:V63)</f>
        <v>54</v>
      </c>
      <c r="W64" s="301">
        <f>IFERROR(V64/U64,0)</f>
        <v>2</v>
      </c>
      <c r="X64" s="63">
        <f>SUM(X58:X63)</f>
        <v>0</v>
      </c>
      <c r="Y64" s="63">
        <f>SUM(Y58:Y63)</f>
        <v>0</v>
      </c>
      <c r="Z64" s="301">
        <f>IFERROR(Y64/X64,0)</f>
        <v>0</v>
      </c>
      <c r="AA64" s="63">
        <f>SUM(AA58:AA63)</f>
        <v>0</v>
      </c>
      <c r="AB64" s="63">
        <f>SUM(AB58:AB63)</f>
        <v>0</v>
      </c>
      <c r="AC64" s="301">
        <f>IFERROR(AB64/AA64,0)</f>
        <v>0</v>
      </c>
      <c r="AD64" s="63">
        <f>SUM(AD58:AD63)</f>
        <v>0</v>
      </c>
      <c r="AE64" s="63">
        <f>SUM(AE58:AE63)</f>
        <v>0</v>
      </c>
      <c r="AF64" s="301">
        <f>IFERROR(AE64/AD64,0)</f>
        <v>0</v>
      </c>
      <c r="AG64" s="63">
        <f>SUM(AG58:AG63)</f>
        <v>0</v>
      </c>
      <c r="AH64" s="63">
        <f>SUM(AH58:AH63)</f>
        <v>0</v>
      </c>
      <c r="AI64" s="301">
        <f>IFERROR(AH64/AG64,0)</f>
        <v>0</v>
      </c>
      <c r="AJ64" s="63">
        <f>SUM(AJ58:AJ63)</f>
        <v>0</v>
      </c>
      <c r="AK64" s="63">
        <f>SUM(AK58:AK63)</f>
        <v>0</v>
      </c>
      <c r="AL64" s="301">
        <f>IFERROR(AK64/AJ64,0)</f>
        <v>0</v>
      </c>
      <c r="AM64" s="63">
        <f>SUM(AM58:AM63)</f>
        <v>0</v>
      </c>
      <c r="AN64" s="63">
        <f>SUM(AN58:AN63)</f>
        <v>0</v>
      </c>
      <c r="AO64" s="301">
        <f>IFERROR(AN64/AM64,0)</f>
        <v>0</v>
      </c>
      <c r="AP64" s="63">
        <f>SUM(AP58:AP63)</f>
        <v>150</v>
      </c>
      <c r="AQ64" s="63">
        <f>SUM(AQ58:AQ63)</f>
        <v>276</v>
      </c>
      <c r="AR64" s="320">
        <f t="shared" si="175"/>
        <v>1.84</v>
      </c>
      <c r="AS64" s="63">
        <f>SUM(AS58:AS63)</f>
        <v>150</v>
      </c>
      <c r="AT64" s="63">
        <f>SUM(AT58:AT63)</f>
        <v>276</v>
      </c>
      <c r="AU64" s="320">
        <f t="shared" si="177"/>
        <v>1.84</v>
      </c>
      <c r="AV64" s="63">
        <f>SUM(AV58:AV63)</f>
        <v>71</v>
      </c>
      <c r="AW64" s="65">
        <f>SUM(AW58:AW63)</f>
        <v>123</v>
      </c>
      <c r="AX64" s="157">
        <f t="shared" si="179"/>
        <v>1.732394366197183</v>
      </c>
      <c r="AY64" s="160">
        <f>SUM(AY58:AY63)</f>
        <v>0</v>
      </c>
      <c r="AZ64" s="159">
        <f t="shared" si="180"/>
        <v>0</v>
      </c>
      <c r="BA64" s="349" t="e">
        <f>IF($AV$5="Q1",#REF!+#REF!+#REF!,
IF($AV$5="Q2",#REF!+#REF!+#REF!,
IF($AV$5="Q3",#REF!+#REF!+#REF!,
IF($AV$5="Q4",#REF!+#REF!+#REF!,0))))</f>
        <v>#REF!</v>
      </c>
      <c r="BB64" s="333">
        <f t="shared" si="181"/>
        <v>0</v>
      </c>
      <c r="BC64" s="63">
        <f>IF($BC$5="S 1",F64+I64+L64+O64+R64+U64,
IF($BC$5="S 2",X64+AA64+AD64+AG64+AJ64+AM64,0))</f>
        <v>150</v>
      </c>
      <c r="BD64" s="65">
        <f>IF($BC$5="S 1",G64+J64+M64+P64+S64+V64,
IF($BC$5="S 2",Y64+AB64+AE64+AH64+AK64+AN64,0))</f>
        <v>276</v>
      </c>
      <c r="BE64" s="333">
        <f t="shared" si="183"/>
        <v>1.84</v>
      </c>
      <c r="BF64" s="63">
        <f>SUM(BF58:BF63)</f>
        <v>0</v>
      </c>
      <c r="BG64" s="63">
        <f>SUM(BG58:BG63)</f>
        <v>0</v>
      </c>
      <c r="BH64" s="333">
        <f t="shared" si="185"/>
        <v>0</v>
      </c>
    </row>
    <row r="65" spans="1:60" s="53" customFormat="1" ht="16" customHeight="1" thickBot="1" x14ac:dyDescent="0.35">
      <c r="B65" s="8">
        <v>12345</v>
      </c>
      <c r="C65" s="369" t="s">
        <v>278</v>
      </c>
      <c r="D65" s="146"/>
      <c r="E65" s="381" t="s">
        <v>278</v>
      </c>
      <c r="F65" s="58">
        <f>SUMIF('UC MINI 2026'!$B$5:$B$71,'BEV MINI 2026'!$B65,'UC MINI 2026'!$F$5:$F$71)</f>
        <v>0</v>
      </c>
      <c r="G65" s="59">
        <f>IFERROR(VLOOKUP("ENERO",[2]BEV!$S$80:$T$93,2,0),0)</f>
        <v>1</v>
      </c>
      <c r="H65" s="382">
        <f t="shared" si="172"/>
        <v>0</v>
      </c>
      <c r="I65" s="58">
        <f>SUMIF('UC MINI 2026'!$B$5:$B$71,'BEV MINI 2026'!$B65,'UC MINI 2026'!$H$5:$H$71)</f>
        <v>0</v>
      </c>
      <c r="J65" s="59">
        <f>IFERROR(VLOOKUP("FEBRERO",[2]BEV!$S$80:$T$93,2,0),0)</f>
        <v>3</v>
      </c>
      <c r="K65" s="382">
        <f t="shared" si="173"/>
        <v>0</v>
      </c>
      <c r="L65" s="58">
        <f>SUMIF('UC MINI 2026'!$B$5:$B$71,'BEV MINI 2026'!$B65,'UC MINI 2026'!$J$5:$J$71)</f>
        <v>0</v>
      </c>
      <c r="M65" s="59">
        <f>IFERROR(VLOOKUP("MARZO",[2]BEV!$S$80:$T$93,2,0),0)</f>
        <v>0</v>
      </c>
      <c r="N65" s="297">
        <f>IFERROR(M65/L65,0)</f>
        <v>0</v>
      </c>
      <c r="O65" s="58">
        <f>SUMIF('UC MINI 2026'!$B$5:$B$71,'BEV MINI 2026'!$B65,'UC MINI 2026'!$L$5:$L$71)</f>
        <v>0</v>
      </c>
      <c r="P65" s="59">
        <f>IFERROR(VLOOKUP("ABRIL",[2]BEV!$S$80:$T$93,2,0),0)</f>
        <v>2</v>
      </c>
      <c r="Q65" s="243">
        <f t="shared" si="163"/>
        <v>0</v>
      </c>
      <c r="R65" s="58">
        <f>SUMIF('UC MINI 2026'!$B$5:$B$71,'BEV MINI 2026'!$B65,'UC MINI 2026'!$N$5:$N$71)</f>
        <v>0</v>
      </c>
      <c r="S65" s="59">
        <f>IFERROR(VLOOKUP("MAYO",[2]BEV!$S$80:$T$93,2,0),0)</f>
        <v>6</v>
      </c>
      <c r="T65" s="297">
        <f t="shared" si="164"/>
        <v>0</v>
      </c>
      <c r="U65" s="58">
        <f>SUMIF('UC MINI 2026'!$B$5:$B$71,'BEV MINI 2026'!$B65,'UC MINI 2026'!$P$5:$P$71)</f>
        <v>0</v>
      </c>
      <c r="V65" s="59">
        <f>IFERROR(VLOOKUP("JUNIO",[2]BEV!$S$80:$T$93,2,0),0)</f>
        <v>11</v>
      </c>
      <c r="W65" s="243">
        <f t="shared" si="165"/>
        <v>0</v>
      </c>
      <c r="X65" s="58">
        <f>SUMIF('UC MINI 2026'!$B$5:$B$71,'BEV MINI 2026'!$B65,'UC MINI 2026'!$R$5:$R$71)</f>
        <v>0</v>
      </c>
      <c r="Y65" s="59">
        <f>IFERROR(VLOOKUP("JULIO",[2]BEV!$S$80:$T$93,2,0),0)</f>
        <v>0</v>
      </c>
      <c r="Z65" s="297">
        <f t="shared" si="166"/>
        <v>0</v>
      </c>
      <c r="AA65" s="58">
        <f>SUMIF('UC MINI 2026'!$B$5:$B$71,'BEV MINI 2026'!$B65,'UC MINI 2026'!$T$5:$T$71)</f>
        <v>0</v>
      </c>
      <c r="AB65" s="59">
        <f>IFERROR(VLOOKUP("AGOSTO",[2]BEV!$S$80:$T$93,2,0),0)</f>
        <v>0</v>
      </c>
      <c r="AC65" s="243">
        <f t="shared" si="167"/>
        <v>0</v>
      </c>
      <c r="AD65" s="58">
        <f>SUMIF('UC MINI 2026'!$B$5:$B$71,'BEV MINI 2026'!$B65,'UC MINI 2026'!$V$5:$V$71)</f>
        <v>0</v>
      </c>
      <c r="AE65" s="59">
        <f>IFERROR(VLOOKUP("SEPTIEMBRE",[2]BEV!$S$80:$T$93,2,0),0)</f>
        <v>0</v>
      </c>
      <c r="AF65" s="297">
        <f t="shared" si="168"/>
        <v>0</v>
      </c>
      <c r="AG65" s="58">
        <f>SUMIF('UC MINI 2026'!$B$5:$B$71,'BEV MINI 2026'!$B65,'UC MINI 2026'!$X$5:$X$71)</f>
        <v>0</v>
      </c>
      <c r="AH65" s="59">
        <f>IFERROR(VLOOKUP("OCTUBRE",[2]BEV!$S$80:$T$93,2,0),0)</f>
        <v>0</v>
      </c>
      <c r="AI65" s="243">
        <f t="shared" si="169"/>
        <v>0</v>
      </c>
      <c r="AJ65" s="58">
        <f>SUMIF('UC MINI 2026'!$B$5:$B$71,'BEV MINI 2026'!$B65,'UC MINI 2026'!$Z$5:$Z$71)</f>
        <v>0</v>
      </c>
      <c r="AK65" s="59">
        <f>IFERROR(VLOOKUP("NOVIEMBRE",[2]BEV!$S$80:$T$93,2,0),0)</f>
        <v>0</v>
      </c>
      <c r="AL65" s="297">
        <f t="shared" si="170"/>
        <v>0</v>
      </c>
      <c r="AM65" s="58">
        <f>SUMIF('UC MINI 2026'!$B$5:$B$71,'BEV MINI 2026'!$B65,'UC MINI 2026'!$AB$5:$AB$71)</f>
        <v>0</v>
      </c>
      <c r="AN65" s="59">
        <f>IFERROR(VLOOKUP("DICIEMBRE",[2]BEV!$S$80:$T$93,2,0),0)</f>
        <v>0</v>
      </c>
      <c r="AO65" s="243">
        <f t="shared" si="171"/>
        <v>0</v>
      </c>
      <c r="AP65" s="67">
        <f>IFERROR(IF($AP$4="ENERO",F65,IF($AP$4="FEBRERO",F65+I65,IF($AP$4="MARZO",F65+I65+L65,IF($AP$4="ABRIL",F65+I65+L65+O65,IF($AP$4="MAYO",F65+I65+L65+O65+R65,IF($AP$4="JUNIO",F65+I65+L65+O65+R65+U65,IF($AP$4="JULIO",F65+I65+L65+O65+R65+U65+X65,IF($AP$4="AGOSTO",F65+I65+L65+O65+R65+U65+X65+AA65,IF($AP$4="SEPTIEMBRE",F65+I65+L65+O65+R65+U65+X65+AA65+AD65,IF($AP$4="OCTUBRE",F65+I65+L65+O65+R65+U65+X65+AA65+AD65+AG65,IF($AP$4="NOVIEMBRE",F65+I65+L65+O65+R65+U65+X65+AA65+AD65+AG65+AJ65,IF($AP$4="DICIEMBRE",F65+I65+L65+O65+R65+U65+X65+AA65+AD65+AG65+AJ65+AM65,"")))))))))))),0)</f>
        <v>0</v>
      </c>
      <c r="AQ65" s="68">
        <f>IFERROR(IF($AP$4="ENERO",G65,IF($AP$4="FEBRERO",G65+J65,IF($AP$4="MARZO",G65+J65+M65,IF($AP$4="ABRIL",G65+J65+M65+P65,IF($AP$4="MAYO",G65+J65+M65+P65+S65,IF($AP$4="JUNIO",G65+J65+M65+P65+S65+V65,IF($AP$4="JULIO",G65+J65+M65+P65+S65+V65+Y65,IF($AP$4="AGOSTO",G65+J65+M65+P65+S65+V65+Y65+AB65,IF($AP$4="SEPTIEMBRE",G65+J65+M65+P65+S65+V65+Y65+AB65+AE65,IF($AP$4="OCTUBRE",G65+J65+M65+P65+S65+V65+Y65+AB65+AE65+AH65,IF($AP$4="NOVIEMBRE",G65+J65+M65+P65+S65+V65+Y65+AB65+AE65+AH65+AK65,IF($AP$4="DICIEMBRE",G65+J65+M65+P65+S65+V65+Y65+AB65+AE65+AH65+AK65+AN65,"")))))))))))),0)</f>
        <v>23</v>
      </c>
      <c r="AR65" s="149">
        <f t="shared" si="175"/>
        <v>0</v>
      </c>
      <c r="AS65" s="67">
        <f>IFERROR(F65+I65+L65+O65+R65+U65++X65+AA65+AD65+AG65+AJ65+AM65,0)</f>
        <v>0</v>
      </c>
      <c r="AT65" s="86">
        <f>IFERROR(G65+J65+M65+P65+S65+V65++Y65+AB65+AE65+AH65+AK65+AN65,0)</f>
        <v>23</v>
      </c>
      <c r="AU65" s="149">
        <f t="shared" si="177"/>
        <v>0</v>
      </c>
      <c r="AV65" s="58"/>
      <c r="AW65" s="59"/>
      <c r="AX65" s="112"/>
      <c r="AY65" s="191"/>
      <c r="AZ65" s="299"/>
      <c r="BA65" s="545"/>
      <c r="BB65" s="153"/>
      <c r="BC65" s="67">
        <f>IFERROR(IF($BC$5="S 1",F65+I65+L65+O65+R65+U65,
IF($BC$5="S 2",X65+AA65+AD65+AG65+AJ65+AM65,0)),0)</f>
        <v>0</v>
      </c>
      <c r="BD65" s="68">
        <f>IFERROR(IF($BC$5="S 1",G65+J65+M65+P65+S65+V65,
IF($BC$5="S 2",Y65+AB65+AE65+AH65+AK65+AN65,0)),0)</f>
        <v>23</v>
      </c>
      <c r="BE65" s="150">
        <f t="shared" si="183"/>
        <v>0</v>
      </c>
      <c r="BF65" s="67">
        <f>IFERROR(IF($BF$5="S 1",F65+I65+L65+O65+R65+U65,
IF($BF$5="S 2",X65+AA65+AD65+AG65+AJ65+AM65,0)),0)</f>
        <v>0</v>
      </c>
      <c r="BG65" s="266">
        <f>IFERROR(IF($BF$5="S 1",G65+J65+M65+P65+S65+V65,
IF($BF$5="S 2",Y65+AB65+AE65+AH65+AK65+AN65,0)),0)</f>
        <v>0</v>
      </c>
      <c r="BH65" s="150">
        <f t="shared" si="185"/>
        <v>0</v>
      </c>
    </row>
    <row r="66" spans="1:60" s="53" customFormat="1" ht="16" customHeight="1" thickBot="1" x14ac:dyDescent="0.35">
      <c r="A66" s="50"/>
      <c r="B66" s="71" t="s">
        <v>27</v>
      </c>
      <c r="C66" s="72"/>
      <c r="D66" s="146"/>
      <c r="E66" s="72"/>
      <c r="F66" s="195">
        <f>F65+F64+F57+F51+F45+F42+F36+F30+F23+F17+F11</f>
        <v>280</v>
      </c>
      <c r="G66" s="195">
        <f>G65+G64+G57+G51+G45+G42+G36+G30+G23+G17+G11</f>
        <v>332</v>
      </c>
      <c r="H66" s="421">
        <f t="shared" si="172"/>
        <v>1.1857142857142857</v>
      </c>
      <c r="I66" s="195">
        <f>I65+I64+I57+I51+I45+I42+I36+I30+I23+I17+I11</f>
        <v>292</v>
      </c>
      <c r="J66" s="195">
        <f>J65+J64+J57+J51+J45+J42+J36+J30+J23+J17+J11</f>
        <v>362</v>
      </c>
      <c r="K66" s="421">
        <f t="shared" si="173"/>
        <v>1.2397260273972603</v>
      </c>
      <c r="L66" s="195">
        <f>L65+L64+L57+L51+L45+L42+L36+L30+L23+L17+L11</f>
        <v>308</v>
      </c>
      <c r="M66" s="195">
        <f>M65+M64+M57+M51+M45+M42+M36+M30+M23+M17+M11</f>
        <v>400</v>
      </c>
      <c r="N66" s="421">
        <f>IFERROR(M66/L66,0)</f>
        <v>1.2987012987012987</v>
      </c>
      <c r="O66" s="195">
        <f>O65+O64+O57+O51+O45+O42+O36+O30+O23+O17+O11</f>
        <v>293</v>
      </c>
      <c r="P66" s="195">
        <f>P65+P64+P57+P51+P45+P42+P36+P30+P23+P17+P11</f>
        <v>408</v>
      </c>
      <c r="Q66" s="421">
        <f>IFERROR(P66/O66,0)</f>
        <v>1.3924914675767919</v>
      </c>
      <c r="R66" s="195">
        <f>R65+R64+R57+R51+R45+R42+R36+R30+R23+R17+R11</f>
        <v>310</v>
      </c>
      <c r="S66" s="195">
        <f>S65+S64+S57+S51+S45+S42+S36+S30+S23+S17+S11</f>
        <v>438</v>
      </c>
      <c r="T66" s="421">
        <f>IFERROR(S66/R66,0)</f>
        <v>1.4129032258064516</v>
      </c>
      <c r="U66" s="195">
        <f>U65+U64+U57+U51+U45+U42+U36+U30+U23+U17+U11</f>
        <v>321</v>
      </c>
      <c r="V66" s="195">
        <f>V65+V64+V57+V51+V45+V42+V36+V30+V23+V17+V11</f>
        <v>530</v>
      </c>
      <c r="W66" s="421">
        <f>IFERROR(V66/U66,0)</f>
        <v>1.6510903426791277</v>
      </c>
      <c r="X66" s="195">
        <f>X65+X64+X57+X51+X45+X42+X36+X30+X23+X17+X11</f>
        <v>51</v>
      </c>
      <c r="Y66" s="195">
        <f>Y65+Y64+Y57+Y51+Y45+Y42+Y36+Y30+Y23+Y17+Y11</f>
        <v>0</v>
      </c>
      <c r="Z66" s="421">
        <f>IFERROR(Y66/X66,0)</f>
        <v>0</v>
      </c>
      <c r="AA66" s="195">
        <f>AA65+AA64+AA57+AA51+AA45+AA42+AA36+AA30+AA23+AA17+AA11</f>
        <v>41</v>
      </c>
      <c r="AB66" s="195">
        <f>AB65+AB64+AB57+AB51+AB45+AB42+AB36+AB30+AB23+AB17+AB11</f>
        <v>0</v>
      </c>
      <c r="AC66" s="421">
        <f>IFERROR(AB66/AA66,0)</f>
        <v>0</v>
      </c>
      <c r="AD66" s="195">
        <f>AD65+AD64+AD57+AD51+AD45+AD42+AD36+AD30+AD23+AD17+AD11</f>
        <v>51</v>
      </c>
      <c r="AE66" s="195">
        <f>AE65+AE64+AE57+AE51+AE45+AE42+AE36+AE30+AE23+AE17+AE11</f>
        <v>0</v>
      </c>
      <c r="AF66" s="421">
        <f>IFERROR(AE66/AD66,0)</f>
        <v>0</v>
      </c>
      <c r="AG66" s="195">
        <f>AG65+AG64+AG57+AG51+AG45+AG42+AG36+AG30+AG23+AG17+AG11</f>
        <v>52</v>
      </c>
      <c r="AH66" s="195">
        <f>AH65+AH64+AH57+AH51+AH45+AH42+AH36+AH30+AH23+AH17+AH11</f>
        <v>0</v>
      </c>
      <c r="AI66" s="421">
        <f>IFERROR(AH66/AG66,0)</f>
        <v>0</v>
      </c>
      <c r="AJ66" s="195">
        <f>AJ65+AJ64+AJ57+AJ51+AJ45+AJ42+AJ36+AJ30+AJ23+AJ17+AJ11</f>
        <v>52</v>
      </c>
      <c r="AK66" s="195">
        <f>AK65+AK64+AK57+AK51+AK45+AK42+AK36+AK30+AK23+AK17+AK11</f>
        <v>0</v>
      </c>
      <c r="AL66" s="421">
        <f>IFERROR(AK66/AJ66,0)</f>
        <v>0</v>
      </c>
      <c r="AM66" s="195">
        <f>AM65+AM64+AM57+AM51+AM45+AM42+AM36+AM30+AM23+AM17+AM11</f>
        <v>51</v>
      </c>
      <c r="AN66" s="195">
        <f>AN65+AN64+AN57+AN51+AN45+AN42+AN36+AN30+AN23+AN17+AN11</f>
        <v>0</v>
      </c>
      <c r="AO66" s="421">
        <f>IFERROR(AN66/AM66,0)</f>
        <v>0</v>
      </c>
      <c r="AP66" s="195">
        <f>AP65+AP64+AP57+AP51+AP45+AP42+AP36+AP30+AP23+AP17+AP11</f>
        <v>1804</v>
      </c>
      <c r="AQ66" s="195">
        <f>AQ65+AQ64+AQ57+AQ51+AQ45+AQ42+AQ36+AQ30+AQ23+AQ17+AQ11</f>
        <v>2471</v>
      </c>
      <c r="AR66" s="421">
        <f>IFERROR(AQ66/AP66,0)</f>
        <v>1.3697339246119733</v>
      </c>
      <c r="AS66" s="195">
        <f>AS65+AS64+AS57+AS51+AS45+AS42+AS36+AS30+AS23+AS17+AS11</f>
        <v>2102</v>
      </c>
      <c r="AT66" s="195">
        <f>AT65+AT64+AT57+AT51+AT45+AT42+AT36+AT30+AT23+AT17+AT11</f>
        <v>2471</v>
      </c>
      <c r="AU66" s="421">
        <f>IFERROR(AT66/AS66,0)</f>
        <v>1.1755470980019029</v>
      </c>
      <c r="AV66" s="195" t="e">
        <f>AV64+#REF!+AV57+AV42+AV36+AV23</f>
        <v>#REF!</v>
      </c>
      <c r="AW66" s="196" t="e">
        <f>AW64+#REF!+AW57+AW42+AW36+AW23</f>
        <v>#REF!</v>
      </c>
      <c r="AX66" s="548">
        <f>IFERROR((AW66/AV66),0)</f>
        <v>0</v>
      </c>
      <c r="AY66" s="549" t="e">
        <f>AY64+#REF!+AY57+AY42+AY36+AY23</f>
        <v>#REF!</v>
      </c>
      <c r="AZ66" s="548" t="e">
        <f t="shared" si="180"/>
        <v>#REF!</v>
      </c>
      <c r="BA66" s="550" t="e">
        <f>IF($AV$5="Q1",#REF!+#REF!+#REF!,
IF($AV$5="Q2",#REF!+#REF!+#REF!,
IF($AV$5="Q3",#REF!+#REF!+#REF!,
IF($AV$5="Q4",#REF!+#REF!+#REF!,0))))</f>
        <v>#REF!</v>
      </c>
      <c r="BB66" s="429">
        <f>IFERROR((BA66/AV66),0)</f>
        <v>0</v>
      </c>
      <c r="BC66" s="195">
        <f>BC65+BC64+BC57+BC51+BC45+BC42+BC36+BC30+BC23+BC17+BC11</f>
        <v>1804</v>
      </c>
      <c r="BD66" s="195">
        <f>BD65+BD64+BD57+BD51+BD45+BD42+BD36+BD30+BD23+BD17+BD11</f>
        <v>2470</v>
      </c>
      <c r="BE66" s="421">
        <f>IFERROR(BD66/BC66,0)</f>
        <v>1.3691796008869179</v>
      </c>
      <c r="BF66" s="195">
        <f>BF65+BF64+BF57+BF51+BF45+BF42+BF36+BF30+BF23+BF17+BF11</f>
        <v>298</v>
      </c>
      <c r="BG66" s="195">
        <f>BG65+BG64+BG57+BG51+BG45+BG42+BG36+BG30+BG23+BG17+BG11</f>
        <v>0</v>
      </c>
      <c r="BH66" s="421">
        <f>IFERROR(BG66/BF66,0)</f>
        <v>0</v>
      </c>
    </row>
    <row r="67" spans="1:60" s="53" customFormat="1" x14ac:dyDescent="0.3">
      <c r="B67" s="74"/>
      <c r="D67" s="146"/>
      <c r="G67" s="75"/>
      <c r="H67" s="75"/>
      <c r="AY67" s="44"/>
    </row>
    <row r="73" spans="1:60" ht="15" thickBot="1" x14ac:dyDescent="0.4">
      <c r="P73"/>
      <c r="Q73"/>
      <c r="R73"/>
      <c r="S73" s="2"/>
      <c r="T73" s="2"/>
      <c r="U73" s="2"/>
      <c r="V73" s="2"/>
      <c r="W73" s="2"/>
      <c r="X73" s="2"/>
      <c r="Y73" s="2"/>
    </row>
    <row r="74" spans="1:60" ht="14.5" x14ac:dyDescent="0.35">
      <c r="P74"/>
      <c r="Q74" s="618" t="s">
        <v>211</v>
      </c>
      <c r="R74" s="620"/>
      <c r="S74" s="174"/>
      <c r="T74" s="174"/>
      <c r="U74" s="174"/>
      <c r="V74" s="356"/>
      <c r="W74" s="356"/>
      <c r="X74" s="357"/>
      <c r="Y74" s="2"/>
    </row>
    <row r="75" spans="1:60" ht="15" thickBot="1" x14ac:dyDescent="0.4">
      <c r="P75"/>
      <c r="Q75" s="621"/>
      <c r="R75" s="623"/>
      <c r="S75"/>
      <c r="T75"/>
      <c r="U75"/>
      <c r="V75" s="2"/>
      <c r="W75" s="2"/>
      <c r="X75" s="358"/>
      <c r="Y75" s="2"/>
    </row>
    <row r="76" spans="1:60" ht="14.5" customHeight="1" x14ac:dyDescent="0.35">
      <c r="P76"/>
      <c r="Q76" s="359"/>
      <c r="R76"/>
      <c r="S76"/>
      <c r="T76"/>
      <c r="U76" t="str">
        <f>CONCATENATE("2 - Cierre ventas YTD_",
CHOOSE(MATCH(AP4,{"Enero";"Febrero";"Marzo";"Abril";"Mayo";"Junio";"Julio";"Agosto";"Septiembre";"Octubre";"Noviembre";"Diciembre"},0),
"ENE","FEB","MAR","ABR","MAY","JUN","JUL","AGO","SEP","OCT","NOV","DIC"),
"_2026.xlsx")</f>
        <v>2 - Cierre ventas YTD_JUN_2026.xlsx</v>
      </c>
      <c r="V76" s="2"/>
      <c r="W76" s="2"/>
      <c r="X76" s="358"/>
      <c r="Y76" s="2"/>
    </row>
    <row r="77" spans="1:60" ht="14.5" x14ac:dyDescent="0.35">
      <c r="P77" s="354"/>
      <c r="Q77" s="359" t="s">
        <v>175</v>
      </c>
      <c r="R77" t="str">
        <f>U76</f>
        <v>2 - Cierre ventas YTD_JUN_2026.xlsx</v>
      </c>
      <c r="S77"/>
      <c r="T77">
        <v>2025</v>
      </c>
      <c r="U77" s="360" t="str">
        <f>HYPERLINK(
    "O:\USED CAR &amp; REMARKETING\03-VO\2025\Informe Seguimiento Concesionarios 2025\ESPANHA\"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&amp;R77,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V77" s="2"/>
      <c r="W77" s="2"/>
      <c r="X77" s="358"/>
      <c r="Y77" s="2"/>
    </row>
    <row r="78" spans="1:60" ht="14.5" x14ac:dyDescent="0.35">
      <c r="P78" s="354"/>
      <c r="Q78" s="359" t="s">
        <v>176</v>
      </c>
      <c r="R78" t="s">
        <v>205</v>
      </c>
      <c r="S78"/>
      <c r="T78">
        <v>2026</v>
      </c>
      <c r="U78" s="360" t="str">
        <f>HYPERLINK(
    "O:\USED CAR &amp; REMARKETING\03-VO\2026\Informe Seguimiento Concesionarios 2026\ESPAÑA\" &amp; CHOOSE(MATCH(AP4, {"ENERO";"FEBRERO";"MARZO";"ABRIL";"MAYO";"JUNIO";"JULIO";"AGOSTO";"SEPTIEMBRE";"OCTUBRE";"NOVIEMBRE";"DICIEMBRE"}, 0),
        "1. ENERO\",
        "2. FEBRERO\",
        "3. MARZO\",
        "4. ABRIL\",
        "5. MAYO\",
        "6. JUNIO\",
        "7. JULIO\",
        "8. AGOSTO\",
        "9. SEPTIEMBRE\",
        "10. OCTUBRE\",
        "11. NOVIEMBRE\",
        "12. DICIEMBRE\"
    ) &amp;R77,
    "Cierre de Ventas " &amp;
    CHOOSE(MATCH(AP4, {"ENERO";"FEBRERO";"MARZO";"ABRIL";"MAYO";"JUNIO";"JULIO";"AGOSTO";"SEPTIEMBRE";"OCTUBRE";"NOVIEMBRE";"DICIEMBRE"}, 0),
        "Enero",
        "Febrero",
        "Marzo",
        "Abril",
        "Mayo",
        "Junio",
        "Julio",
        "Agosto",
        "Septiembre",
        "Octubre",
        "Noviembre",
        "Diciembre"
    )
)</f>
        <v>Cierre de Ventas Junio</v>
      </c>
      <c r="V78" s="2"/>
      <c r="W78" s="2"/>
      <c r="X78" s="358"/>
      <c r="Y78" s="2"/>
    </row>
    <row r="79" spans="1:60" ht="14.5" x14ac:dyDescent="0.35">
      <c r="P79"/>
      <c r="Q79" s="361" t="s">
        <v>177</v>
      </c>
      <c r="R79" t="s">
        <v>212</v>
      </c>
      <c r="S79"/>
      <c r="T79"/>
      <c r="U79"/>
      <c r="V79" s="2"/>
      <c r="W79" s="2"/>
      <c r="X79" s="358"/>
      <c r="Y79" s="2"/>
    </row>
    <row r="80" spans="1:60" ht="14.5" x14ac:dyDescent="0.35">
      <c r="P80" s="2"/>
      <c r="Q80" s="361"/>
      <c r="R80"/>
      <c r="S80"/>
      <c r="T80" s="376"/>
      <c r="U80"/>
      <c r="V80" s="2"/>
      <c r="W80" s="2"/>
      <c r="X80" s="358"/>
      <c r="Y80" s="2"/>
    </row>
    <row r="81" spans="16:25" ht="14.5" x14ac:dyDescent="0.35">
      <c r="P81" s="2"/>
      <c r="Q81" s="359"/>
      <c r="R81" s="2" t="str">
        <f>CONCATENATE("'[", R77, "]", R78, "'",R79)</f>
        <v>'[2 - Cierre ventas YTD_JUN_2026.xlsx]BEV'!$P$9:$U$65</v>
      </c>
      <c r="S81"/>
      <c r="T81"/>
      <c r="U81"/>
      <c r="V81" s="2"/>
      <c r="W81" s="2"/>
      <c r="X81" s="358"/>
      <c r="Y81" s="2"/>
    </row>
    <row r="82" spans="16:25" ht="13.5" thickBot="1" x14ac:dyDescent="0.35">
      <c r="P82" s="2"/>
      <c r="Q82" s="362"/>
      <c r="R82" s="363"/>
      <c r="S82" s="363"/>
      <c r="T82" s="363"/>
      <c r="U82" s="363"/>
      <c r="V82" s="363"/>
      <c r="W82" s="363"/>
      <c r="X82" s="364"/>
      <c r="Y82" s="2"/>
    </row>
    <row r="83" spans="16:25" x14ac:dyDescent="0.3"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6:25" x14ac:dyDescent="0.3">
      <c r="P84" s="2" t="s">
        <v>205</v>
      </c>
      <c r="Q84" s="2"/>
      <c r="R84" s="2" t="s">
        <v>216</v>
      </c>
      <c r="S84" s="2"/>
      <c r="T84" s="2"/>
      <c r="U84" s="2"/>
      <c r="V84" s="2"/>
      <c r="W84" s="2"/>
      <c r="X84" s="2"/>
      <c r="Y84" s="2"/>
    </row>
    <row r="85" spans="16:25" x14ac:dyDescent="0.3"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6:25" x14ac:dyDescent="0.3">
      <c r="P86" s="44" t="s">
        <v>217</v>
      </c>
      <c r="R86" s="2" t="s">
        <v>218</v>
      </c>
    </row>
  </sheetData>
  <mergeCells count="23">
    <mergeCell ref="Q74:R75"/>
    <mergeCell ref="B3:BE3"/>
    <mergeCell ref="B5:B6"/>
    <mergeCell ref="C5:C6"/>
    <mergeCell ref="E5:E6"/>
    <mergeCell ref="F5:H5"/>
    <mergeCell ref="I5:K5"/>
    <mergeCell ref="L5:N5"/>
    <mergeCell ref="O5:Q5"/>
    <mergeCell ref="R5:T5"/>
    <mergeCell ref="U5:W5"/>
    <mergeCell ref="AP5:AR5"/>
    <mergeCell ref="AS5:AU5"/>
    <mergeCell ref="AV5:BB5"/>
    <mergeCell ref="BC5:BE5"/>
    <mergeCell ref="BK5:BM5"/>
    <mergeCell ref="AJ5:AL5"/>
    <mergeCell ref="AM5:AO5"/>
    <mergeCell ref="X5:Z5"/>
    <mergeCell ref="AA5:AC5"/>
    <mergeCell ref="AD5:AF5"/>
    <mergeCell ref="AG5:AI5"/>
    <mergeCell ref="BF5:BH5"/>
  </mergeCells>
  <conditionalFormatting sqref="B3">
    <cfRule type="duplicateValues" dxfId="67" priority="53"/>
  </conditionalFormatting>
  <conditionalFormatting sqref="B5">
    <cfRule type="duplicateValues" dxfId="66" priority="52"/>
  </conditionalFormatting>
  <conditionalFormatting sqref="B64 B57 B4 B23 B36 B42 B11 B17 B30 B45 B51 B66:B1048576">
    <cfRule type="duplicateValues" dxfId="65" priority="54"/>
  </conditionalFormatting>
  <conditionalFormatting sqref="F5:AO5">
    <cfRule type="expression" dxfId="64" priority="40">
      <formula>IF($AP$4="DICIEMBRE","VERDADERO")</formula>
    </cfRule>
  </conditionalFormatting>
  <conditionalFormatting sqref="F5:AL5">
    <cfRule type="expression" dxfId="63" priority="41">
      <formula>IF($AP$4="NOVIEMBRE","VERDADERO")</formula>
    </cfRule>
  </conditionalFormatting>
  <conditionalFormatting sqref="F5:AI5">
    <cfRule type="expression" dxfId="62" priority="42">
      <formula>IF($AP$4="OCTUBRE","VERDADERO")</formula>
    </cfRule>
  </conditionalFormatting>
  <conditionalFormatting sqref="F5:AF5">
    <cfRule type="expression" dxfId="61" priority="43">
      <formula>IF($AP$4="SEPTIEMBRE","VERDADERO")</formula>
    </cfRule>
  </conditionalFormatting>
  <conditionalFormatting sqref="F5:AC5">
    <cfRule type="expression" dxfId="60" priority="44">
      <formula>IF($AP$4="AGOSTO","VERDADERO")</formula>
    </cfRule>
  </conditionalFormatting>
  <conditionalFormatting sqref="F5:Z5">
    <cfRule type="expression" dxfId="59" priority="45">
      <formula>IF($AP$4="JULIO","VERDADERO")</formula>
    </cfRule>
  </conditionalFormatting>
  <conditionalFormatting sqref="F5:W5">
    <cfRule type="expression" dxfId="58" priority="46">
      <formula>IF($AP$4="JUNIO","VERDADERO")</formula>
    </cfRule>
  </conditionalFormatting>
  <conditionalFormatting sqref="F5:T5">
    <cfRule type="expression" dxfId="57" priority="47">
      <formula>IF($AP$4="MAYO","VERDADERO")</formula>
    </cfRule>
  </conditionalFormatting>
  <conditionalFormatting sqref="F5:Q5">
    <cfRule type="expression" dxfId="56" priority="48">
      <formula>IF($AP$4="ABRIL","VERDADERO")</formula>
    </cfRule>
  </conditionalFormatting>
  <conditionalFormatting sqref="F5:N5">
    <cfRule type="expression" dxfId="55" priority="49">
      <formula>IF($AP$4="MARZO","VERDADERO")</formula>
    </cfRule>
  </conditionalFormatting>
  <conditionalFormatting sqref="F5:K5">
    <cfRule type="expression" dxfId="54" priority="50">
      <formula>IF($AP$4="FEBRERO","VERDADERO")</formula>
    </cfRule>
  </conditionalFormatting>
  <conditionalFormatting sqref="F5">
    <cfRule type="expression" dxfId="53" priority="51">
      <formula>IF($AP$4="ENERO","VERDADERO")</formula>
    </cfRule>
  </conditionalFormatting>
  <conditionalFormatting sqref="AX7:AX65">
    <cfRule type="cellIs" dxfId="52" priority="19" operator="greaterThanOrEqual">
      <formula>0.05</formula>
    </cfRule>
    <cfRule type="cellIs" dxfId="51" priority="20" operator="lessThan">
      <formula>0.05</formula>
    </cfRule>
  </conditionalFormatting>
  <conditionalFormatting sqref="AZ7:AZ65">
    <cfRule type="containsText" dxfId="50" priority="21" operator="containsText" text="N D">
      <formula>NOT(ISERROR(SEARCH("N D",AZ7)))</formula>
    </cfRule>
    <cfRule type="cellIs" dxfId="49" priority="22" operator="lessThan">
      <formula>0.8</formula>
    </cfRule>
    <cfRule type="cellIs" dxfId="48" priority="23" operator="greaterThanOrEqual">
      <formula>0.8</formula>
    </cfRule>
  </conditionalFormatting>
  <conditionalFormatting sqref="BB7:BB65">
    <cfRule type="cellIs" dxfId="47" priority="30" operator="lessThan">
      <formula>0.15</formula>
    </cfRule>
    <cfRule type="cellIs" dxfId="46" priority="31" operator="between">
      <formula>0.15</formula>
      <formula>0.25</formula>
    </cfRule>
    <cfRule type="cellIs" dxfId="45" priority="32" operator="greaterThanOrEqual">
      <formula>0.25</formula>
    </cfRule>
  </conditionalFormatting>
  <conditionalFormatting sqref="AR7:AR65 AU7:AU65 BE7:BE65 BH7:BH65">
    <cfRule type="cellIs" dxfId="44" priority="12" operator="greaterThanOrEqual">
      <formula>0.1</formula>
    </cfRule>
    <cfRule type="cellIs" dxfId="43" priority="13" operator="between">
      <formula>0.0499</formula>
      <formula>0.099</formula>
    </cfRule>
    <cfRule type="cellIs" dxfId="42" priority="14" operator="lessThan">
      <formula>0.05</formula>
    </cfRule>
  </conditionalFormatting>
  <conditionalFormatting sqref="P73:Q73 S73:Y73 R83:R84 R86">
    <cfRule type="cellIs" dxfId="41" priority="3" operator="greaterThan">
      <formula>1</formula>
    </cfRule>
  </conditionalFormatting>
  <conditionalFormatting sqref="P73:Q73 S73:Y73 R83:R84 R86">
    <cfRule type="containsText" dxfId="40" priority="2" operator="containsText" text="N.D">
      <formula>NOT(ISERROR(SEARCH("N.D",P73)))</formula>
    </cfRule>
  </conditionalFormatting>
  <conditionalFormatting sqref="R74:R76 R82">
    <cfRule type="cellIs" dxfId="39" priority="1" operator="greaterThan">
      <formula>1</formula>
    </cfRule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operator="containsText" id="{48700BE9-5FFA-4F5B-B451-47A29F1AB5D8}">
            <xm:f>NOT(ISERROR(SEARCH("N.D.",AR7)))</xm:f>
            <xm:f>"N.D."</xm:f>
            <x14:dxf>
              <font>
                <b/>
                <i val="0"/>
                <color rgb="FFFF0000"/>
              </font>
              <fill>
                <patternFill patternType="none">
                  <fgColor auto="1"/>
                  <bgColor auto="1"/>
                </patternFill>
              </fill>
            </x14:dxf>
          </x14:cfRule>
          <xm:sqref>BA62:BB63 AZ62:AZ64 AZ65:BB65 AR65 AU65 BE65 BH65 AZ7:BB61 AR7:AR63 AU7:AU63 BE7:BE63 BH7:BH63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7BA0F0B-06D3-4865-A491-9D2E315B644B}">
          <x14:formula1>
            <xm:f>MAESTRO!$D$3:$D$4</xm:f>
          </x14:formula1>
          <xm:sqref>BC5:BH5</xm:sqref>
        </x14:dataValidation>
        <x14:dataValidation type="list" allowBlank="1" showInputMessage="1" showErrorMessage="1" xr:uid="{BAB41B92-66F1-4DE8-9F69-17F851AD1FEA}">
          <x14:formula1>
            <xm:f>MAESTRO!$H$3:$H$14</xm:f>
          </x14:formula1>
          <xm:sqref>AP4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FFFF00"/>
  </sheetPr>
  <dimension ref="B1:P55"/>
  <sheetViews>
    <sheetView workbookViewId="0">
      <selection activeCell="Q26" sqref="Q26"/>
    </sheetView>
  </sheetViews>
  <sheetFormatPr baseColWidth="10" defaultColWidth="10.81640625" defaultRowHeight="14.5" x14ac:dyDescent="0.35"/>
  <cols>
    <col min="1" max="1" width="2.81640625" customWidth="1"/>
    <col min="8" max="8" width="13" customWidth="1"/>
    <col min="11" max="11" width="20.1796875" customWidth="1"/>
    <col min="12" max="12" width="16.54296875" customWidth="1"/>
    <col min="14" max="14" width="21.1796875" customWidth="1"/>
    <col min="16" max="16" width="35.1796875" customWidth="1"/>
  </cols>
  <sheetData>
    <row r="1" spans="2:16" ht="15" thickBot="1" x14ac:dyDescent="0.4"/>
    <row r="2" spans="2:16" ht="15" thickBot="1" x14ac:dyDescent="0.4">
      <c r="B2" s="1"/>
      <c r="C2" s="1"/>
      <c r="D2" s="315" t="s">
        <v>170</v>
      </c>
      <c r="F2" s="176" t="s">
        <v>28</v>
      </c>
      <c r="H2" s="176" t="s">
        <v>100</v>
      </c>
      <c r="K2" s="173" t="s">
        <v>145</v>
      </c>
      <c r="L2" s="173" t="s">
        <v>146</v>
      </c>
      <c r="M2" s="173"/>
      <c r="N2" s="178" t="s">
        <v>145</v>
      </c>
      <c r="O2" s="173"/>
      <c r="P2" s="173" t="s">
        <v>147</v>
      </c>
    </row>
    <row r="3" spans="2:16" x14ac:dyDescent="0.35">
      <c r="D3" s="316" t="s">
        <v>171</v>
      </c>
      <c r="F3" s="175" t="s">
        <v>70</v>
      </c>
      <c r="H3" s="174" t="s">
        <v>0</v>
      </c>
      <c r="I3">
        <v>1</v>
      </c>
      <c r="K3" t="s">
        <v>41</v>
      </c>
      <c r="L3">
        <v>100730</v>
      </c>
      <c r="N3" s="177" t="s">
        <v>41</v>
      </c>
      <c r="P3" t="s">
        <v>154</v>
      </c>
    </row>
    <row r="4" spans="2:16" ht="15" thickBot="1" x14ac:dyDescent="0.4">
      <c r="D4" s="317" t="s">
        <v>172</v>
      </c>
      <c r="F4" s="173" t="s">
        <v>71</v>
      </c>
      <c r="H4" t="s">
        <v>1</v>
      </c>
      <c r="I4">
        <v>2</v>
      </c>
      <c r="K4" t="s">
        <v>26</v>
      </c>
      <c r="L4">
        <v>100764</v>
      </c>
      <c r="N4" s="177" t="s">
        <v>26</v>
      </c>
      <c r="P4" t="s">
        <v>148</v>
      </c>
    </row>
    <row r="5" spans="2:16" x14ac:dyDescent="0.35">
      <c r="F5" s="173" t="s">
        <v>72</v>
      </c>
      <c r="H5" t="s">
        <v>2</v>
      </c>
      <c r="I5">
        <v>3</v>
      </c>
      <c r="K5" t="s">
        <v>46</v>
      </c>
      <c r="L5">
        <v>100346</v>
      </c>
      <c r="N5" s="177" t="s">
        <v>46</v>
      </c>
      <c r="P5" t="s">
        <v>150</v>
      </c>
    </row>
    <row r="6" spans="2:16" x14ac:dyDescent="0.35">
      <c r="F6" s="173" t="s">
        <v>73</v>
      </c>
      <c r="H6" t="s">
        <v>3</v>
      </c>
      <c r="I6">
        <v>4</v>
      </c>
      <c r="K6" t="s">
        <v>56</v>
      </c>
      <c r="L6">
        <v>100348</v>
      </c>
      <c r="N6" s="177" t="s">
        <v>56</v>
      </c>
      <c r="P6" t="s">
        <v>149</v>
      </c>
    </row>
    <row r="7" spans="2:16" x14ac:dyDescent="0.35">
      <c r="H7" t="s">
        <v>4</v>
      </c>
      <c r="I7">
        <v>5</v>
      </c>
      <c r="K7" t="s">
        <v>10</v>
      </c>
      <c r="L7">
        <v>100349</v>
      </c>
      <c r="N7" s="177" t="s">
        <v>10</v>
      </c>
      <c r="P7" t="s">
        <v>151</v>
      </c>
    </row>
    <row r="8" spans="2:16" x14ac:dyDescent="0.35">
      <c r="H8" t="s">
        <v>5</v>
      </c>
      <c r="I8">
        <v>6</v>
      </c>
      <c r="K8" t="s">
        <v>53</v>
      </c>
      <c r="L8">
        <v>100597</v>
      </c>
      <c r="N8" s="177" t="s">
        <v>53</v>
      </c>
      <c r="P8" t="s">
        <v>152</v>
      </c>
    </row>
    <row r="9" spans="2:16" x14ac:dyDescent="0.35">
      <c r="H9" t="s">
        <v>6</v>
      </c>
      <c r="I9">
        <v>7</v>
      </c>
      <c r="K9" t="s">
        <v>44</v>
      </c>
      <c r="L9">
        <v>100120</v>
      </c>
      <c r="N9" s="177" t="s">
        <v>44</v>
      </c>
      <c r="P9" t="s">
        <v>153</v>
      </c>
    </row>
    <row r="10" spans="2:16" x14ac:dyDescent="0.35">
      <c r="H10" t="s">
        <v>7</v>
      </c>
      <c r="I10">
        <v>8</v>
      </c>
      <c r="K10" t="s">
        <v>67</v>
      </c>
      <c r="L10">
        <v>100586</v>
      </c>
      <c r="N10" s="177" t="s">
        <v>67</v>
      </c>
      <c r="P10" t="s">
        <v>155</v>
      </c>
    </row>
    <row r="11" spans="2:16" x14ac:dyDescent="0.35">
      <c r="H11" t="s">
        <v>101</v>
      </c>
      <c r="I11">
        <v>9</v>
      </c>
      <c r="K11" t="s">
        <v>68</v>
      </c>
      <c r="L11">
        <v>100813</v>
      </c>
      <c r="N11" s="177" t="s">
        <v>68</v>
      </c>
    </row>
    <row r="12" spans="2:16" x14ac:dyDescent="0.35">
      <c r="H12" t="s">
        <v>102</v>
      </c>
      <c r="I12">
        <v>10</v>
      </c>
      <c r="K12" t="s">
        <v>47</v>
      </c>
      <c r="L12">
        <v>100454</v>
      </c>
      <c r="N12" s="177" t="s">
        <v>47</v>
      </c>
    </row>
    <row r="13" spans="2:16" x14ac:dyDescent="0.35">
      <c r="H13" t="s">
        <v>103</v>
      </c>
      <c r="I13">
        <v>11</v>
      </c>
      <c r="K13" t="s">
        <v>167</v>
      </c>
      <c r="L13">
        <v>100155</v>
      </c>
      <c r="N13" s="177" t="s">
        <v>243</v>
      </c>
    </row>
    <row r="14" spans="2:16" x14ac:dyDescent="0.35">
      <c r="H14" t="s">
        <v>104</v>
      </c>
      <c r="I14">
        <v>12</v>
      </c>
      <c r="K14" t="s">
        <v>39</v>
      </c>
      <c r="L14">
        <v>100307</v>
      </c>
      <c r="N14" s="177" t="s">
        <v>39</v>
      </c>
    </row>
    <row r="15" spans="2:16" x14ac:dyDescent="0.35">
      <c r="H15" t="s">
        <v>209</v>
      </c>
      <c r="K15" t="s">
        <v>292</v>
      </c>
      <c r="L15">
        <v>100572</v>
      </c>
      <c r="N15" s="177" t="s">
        <v>55</v>
      </c>
    </row>
    <row r="16" spans="2:16" x14ac:dyDescent="0.35">
      <c r="K16" t="s">
        <v>49</v>
      </c>
      <c r="L16">
        <v>100739</v>
      </c>
      <c r="N16" s="177" t="s">
        <v>49</v>
      </c>
    </row>
    <row r="17" spans="8:14" x14ac:dyDescent="0.35">
      <c r="H17" t="s">
        <v>240</v>
      </c>
      <c r="K17" t="s">
        <v>61</v>
      </c>
      <c r="L17">
        <v>100002</v>
      </c>
      <c r="N17" s="177" t="s">
        <v>61</v>
      </c>
    </row>
    <row r="18" spans="8:14" x14ac:dyDescent="0.35">
      <c r="H18" t="s">
        <v>251</v>
      </c>
      <c r="K18" t="s">
        <v>52</v>
      </c>
      <c r="L18">
        <v>100190</v>
      </c>
      <c r="N18" s="177" t="s">
        <v>52</v>
      </c>
    </row>
    <row r="19" spans="8:14" x14ac:dyDescent="0.35">
      <c r="H19" t="s">
        <v>235</v>
      </c>
      <c r="K19" t="s">
        <v>166</v>
      </c>
      <c r="L19">
        <v>100873</v>
      </c>
      <c r="N19" t="s">
        <v>166</v>
      </c>
    </row>
    <row r="20" spans="8:14" x14ac:dyDescent="0.35">
      <c r="H20" t="s">
        <v>236</v>
      </c>
      <c r="K20" t="s">
        <v>58</v>
      </c>
      <c r="L20">
        <v>100585</v>
      </c>
      <c r="N20" s="177" t="s">
        <v>58</v>
      </c>
    </row>
    <row r="21" spans="8:14" x14ac:dyDescent="0.35">
      <c r="K21" t="s">
        <v>165</v>
      </c>
      <c r="L21">
        <v>100323</v>
      </c>
      <c r="N21" s="177" t="s">
        <v>165</v>
      </c>
    </row>
    <row r="22" spans="8:14" x14ac:dyDescent="0.35">
      <c r="K22" t="s">
        <v>40</v>
      </c>
      <c r="L22">
        <v>100389</v>
      </c>
      <c r="N22" s="177" t="s">
        <v>40</v>
      </c>
    </row>
    <row r="23" spans="8:14" x14ac:dyDescent="0.35">
      <c r="K23" t="s">
        <v>66</v>
      </c>
      <c r="L23">
        <v>100549</v>
      </c>
      <c r="N23" s="177" t="s">
        <v>66</v>
      </c>
    </row>
    <row r="24" spans="8:14" x14ac:dyDescent="0.35">
      <c r="K24" t="s">
        <v>22</v>
      </c>
      <c r="L24">
        <v>100410</v>
      </c>
      <c r="N24" s="177" t="s">
        <v>22</v>
      </c>
    </row>
    <row r="25" spans="8:14" x14ac:dyDescent="0.35">
      <c r="K25" t="s">
        <v>11</v>
      </c>
      <c r="L25">
        <v>100380</v>
      </c>
      <c r="N25" s="177" t="s">
        <v>11</v>
      </c>
    </row>
    <row r="26" spans="8:14" x14ac:dyDescent="0.35">
      <c r="K26" t="s">
        <v>19</v>
      </c>
      <c r="L26">
        <v>100726</v>
      </c>
      <c r="N26" s="177" t="s">
        <v>19</v>
      </c>
    </row>
    <row r="27" spans="8:14" x14ac:dyDescent="0.35">
      <c r="K27" t="s">
        <v>12</v>
      </c>
      <c r="L27">
        <v>100311</v>
      </c>
      <c r="N27" s="177" t="s">
        <v>12</v>
      </c>
    </row>
    <row r="28" spans="8:14" x14ac:dyDescent="0.35">
      <c r="K28" t="s">
        <v>62</v>
      </c>
      <c r="L28">
        <v>100062</v>
      </c>
      <c r="N28" s="177" t="s">
        <v>62</v>
      </c>
    </row>
    <row r="29" spans="8:14" x14ac:dyDescent="0.35">
      <c r="K29" t="s">
        <v>13</v>
      </c>
      <c r="L29">
        <v>100418</v>
      </c>
      <c r="N29" s="177" t="s">
        <v>13</v>
      </c>
    </row>
    <row r="30" spans="8:14" x14ac:dyDescent="0.35">
      <c r="K30" t="s">
        <v>51</v>
      </c>
      <c r="L30">
        <v>100015</v>
      </c>
      <c r="N30" s="177" t="s">
        <v>51</v>
      </c>
    </row>
    <row r="31" spans="8:14" x14ac:dyDescent="0.35">
      <c r="K31" t="s">
        <v>63</v>
      </c>
      <c r="L31">
        <v>100206</v>
      </c>
      <c r="N31" s="177" t="s">
        <v>63</v>
      </c>
    </row>
    <row r="32" spans="8:14" x14ac:dyDescent="0.35">
      <c r="K32" t="s">
        <v>17</v>
      </c>
      <c r="L32">
        <v>100589</v>
      </c>
      <c r="N32" s="177" t="s">
        <v>17</v>
      </c>
    </row>
    <row r="33" spans="11:14" x14ac:dyDescent="0.35">
      <c r="K33" t="s">
        <v>60</v>
      </c>
      <c r="L33">
        <v>100765</v>
      </c>
      <c r="N33" s="177" t="s">
        <v>60</v>
      </c>
    </row>
    <row r="34" spans="11:14" x14ac:dyDescent="0.35">
      <c r="K34" t="s">
        <v>18</v>
      </c>
      <c r="L34">
        <v>100146</v>
      </c>
      <c r="N34" s="177" t="s">
        <v>18</v>
      </c>
    </row>
    <row r="35" spans="11:14" x14ac:dyDescent="0.35">
      <c r="K35" t="s">
        <v>64</v>
      </c>
      <c r="L35">
        <v>100394</v>
      </c>
      <c r="N35" s="177" t="s">
        <v>64</v>
      </c>
    </row>
    <row r="36" spans="11:14" x14ac:dyDescent="0.35">
      <c r="K36" t="s">
        <v>42</v>
      </c>
      <c r="L36">
        <v>100738</v>
      </c>
      <c r="N36" s="177" t="s">
        <v>42</v>
      </c>
    </row>
    <row r="37" spans="11:14" x14ac:dyDescent="0.35">
      <c r="K37" t="s">
        <v>263</v>
      </c>
      <c r="L37">
        <v>100917</v>
      </c>
      <c r="N37" s="177" t="s">
        <v>263</v>
      </c>
    </row>
    <row r="38" spans="11:14" x14ac:dyDescent="0.35">
      <c r="K38" t="s">
        <v>74</v>
      </c>
      <c r="L38">
        <v>100819</v>
      </c>
      <c r="N38" s="177" t="s">
        <v>74</v>
      </c>
    </row>
    <row r="39" spans="11:14" x14ac:dyDescent="0.35">
      <c r="K39" t="s">
        <v>65</v>
      </c>
      <c r="L39">
        <v>100468</v>
      </c>
      <c r="N39" s="177" t="s">
        <v>65</v>
      </c>
    </row>
    <row r="40" spans="11:14" x14ac:dyDescent="0.35">
      <c r="K40" t="s">
        <v>15</v>
      </c>
      <c r="L40">
        <v>100213</v>
      </c>
      <c r="N40" s="177" t="s">
        <v>15</v>
      </c>
    </row>
    <row r="41" spans="11:14" x14ac:dyDescent="0.35">
      <c r="K41" t="s">
        <v>163</v>
      </c>
      <c r="L41">
        <v>100881</v>
      </c>
      <c r="N41" t="s">
        <v>163</v>
      </c>
    </row>
    <row r="42" spans="11:14" x14ac:dyDescent="0.35">
      <c r="K42" t="s">
        <v>75</v>
      </c>
      <c r="L42">
        <v>100393</v>
      </c>
      <c r="N42" s="177" t="s">
        <v>75</v>
      </c>
    </row>
    <row r="43" spans="11:14" x14ac:dyDescent="0.35">
      <c r="K43" t="s">
        <v>45</v>
      </c>
      <c r="L43">
        <v>100304</v>
      </c>
      <c r="N43" s="177" t="s">
        <v>45</v>
      </c>
    </row>
    <row r="44" spans="11:14" x14ac:dyDescent="0.35">
      <c r="K44" t="s">
        <v>24</v>
      </c>
      <c r="L44">
        <v>100728</v>
      </c>
      <c r="N44" s="177" t="s">
        <v>24</v>
      </c>
    </row>
    <row r="45" spans="11:14" x14ac:dyDescent="0.35">
      <c r="K45" t="s">
        <v>69</v>
      </c>
      <c r="L45">
        <v>100817</v>
      </c>
      <c r="N45" s="177" t="s">
        <v>69</v>
      </c>
    </row>
    <row r="46" spans="11:14" x14ac:dyDescent="0.35">
      <c r="K46" t="s">
        <v>59</v>
      </c>
      <c r="L46">
        <v>100734</v>
      </c>
      <c r="N46" s="177" t="s">
        <v>59</v>
      </c>
    </row>
    <row r="47" spans="11:14" x14ac:dyDescent="0.35">
      <c r="K47" t="s">
        <v>8</v>
      </c>
      <c r="L47">
        <v>100584</v>
      </c>
      <c r="N47" s="177" t="s">
        <v>8</v>
      </c>
    </row>
    <row r="48" spans="11:14" x14ac:dyDescent="0.35">
      <c r="K48" t="s">
        <v>57</v>
      </c>
      <c r="L48">
        <v>100392</v>
      </c>
      <c r="N48" s="177" t="s">
        <v>57</v>
      </c>
    </row>
    <row r="49" spans="11:14" x14ac:dyDescent="0.35">
      <c r="K49" t="s">
        <v>255</v>
      </c>
      <c r="L49">
        <v>100909</v>
      </c>
      <c r="N49" t="s">
        <v>255</v>
      </c>
    </row>
    <row r="50" spans="11:14" x14ac:dyDescent="0.35">
      <c r="K50" t="s">
        <v>25</v>
      </c>
      <c r="L50">
        <v>100344</v>
      </c>
      <c r="N50" s="177" t="s">
        <v>25</v>
      </c>
    </row>
    <row r="51" spans="11:14" x14ac:dyDescent="0.35">
      <c r="K51" t="s">
        <v>20</v>
      </c>
      <c r="L51">
        <v>100422</v>
      </c>
      <c r="N51" s="177" t="s">
        <v>20</v>
      </c>
    </row>
    <row r="52" spans="11:14" x14ac:dyDescent="0.35">
      <c r="K52" t="s">
        <v>48</v>
      </c>
      <c r="L52">
        <v>100571</v>
      </c>
      <c r="N52" s="177" t="s">
        <v>48</v>
      </c>
    </row>
    <row r="53" spans="11:14" x14ac:dyDescent="0.35">
      <c r="K53" t="s">
        <v>9</v>
      </c>
      <c r="L53">
        <v>100379</v>
      </c>
      <c r="N53" s="177" t="s">
        <v>9</v>
      </c>
    </row>
    <row r="54" spans="11:14" x14ac:dyDescent="0.35">
      <c r="K54" t="s">
        <v>21</v>
      </c>
      <c r="L54">
        <v>100727</v>
      </c>
      <c r="N54" s="177" t="s">
        <v>21</v>
      </c>
    </row>
    <row r="55" spans="11:14" x14ac:dyDescent="0.35">
      <c r="K55" t="s">
        <v>16</v>
      </c>
      <c r="L55">
        <v>100319</v>
      </c>
      <c r="N55" s="177" t="s">
        <v>16</v>
      </c>
    </row>
  </sheetData>
  <autoFilter ref="D2:D4" xr:uid="{00000000-0001-0000-0D00-000000000000}"/>
  <conditionalFormatting sqref="N41 K1:K1048576 N49 N19">
    <cfRule type="duplicateValues" dxfId="37" priority="1"/>
  </conditionalFormatting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  <tableParts count="5"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6D4F-0315-4DCA-9838-DECE42A4A21A}">
  <sheetPr codeName="Hoja12">
    <tabColor theme="3" tint="0.59999389629810485"/>
    <pageSetUpPr fitToPage="1"/>
  </sheetPr>
  <dimension ref="A1:Q73"/>
  <sheetViews>
    <sheetView workbookViewId="0">
      <selection activeCell="G6" sqref="F6:G6"/>
    </sheetView>
  </sheetViews>
  <sheetFormatPr baseColWidth="10" defaultColWidth="11.453125" defaultRowHeight="12.5" x14ac:dyDescent="0.25"/>
  <cols>
    <col min="1" max="1" width="3.1796875" style="2" customWidth="1"/>
    <col min="2" max="2" width="10.1796875" style="3" customWidth="1"/>
    <col min="3" max="3" width="21.81640625" style="2" customWidth="1"/>
    <col min="4" max="4" width="10.1796875" style="2" customWidth="1"/>
    <col min="5" max="5" width="22.1796875" style="2" customWidth="1"/>
    <col min="6" max="15" width="6.54296875" style="2" customWidth="1"/>
    <col min="16" max="16" width="7.81640625" style="2" customWidth="1"/>
    <col min="17" max="17" width="7.08984375" style="2" customWidth="1"/>
    <col min="18" max="16384" width="11.453125" style="2"/>
  </cols>
  <sheetData>
    <row r="1" spans="1:17" s="16" customFormat="1" ht="18" x14ac:dyDescent="0.25">
      <c r="A1" s="694" t="s">
        <v>249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</row>
    <row r="2" spans="1:17" s="119" customFormat="1" ht="13" thickBot="1" x14ac:dyDescent="0.3">
      <c r="A2" s="119" t="s">
        <v>162</v>
      </c>
      <c r="B2" s="120"/>
      <c r="F2" s="119">
        <v>8</v>
      </c>
      <c r="H2" s="119">
        <v>10</v>
      </c>
      <c r="J2" s="119">
        <v>12</v>
      </c>
      <c r="L2" s="119">
        <v>16</v>
      </c>
    </row>
    <row r="3" spans="1:17" ht="15" customHeight="1" thickBot="1" x14ac:dyDescent="0.3">
      <c r="B3" s="763" t="s">
        <v>35</v>
      </c>
      <c r="C3" s="765" t="s">
        <v>36</v>
      </c>
      <c r="D3" s="767" t="s">
        <v>76</v>
      </c>
      <c r="E3" s="768"/>
      <c r="F3" s="771" t="s">
        <v>235</v>
      </c>
      <c r="G3" s="771"/>
      <c r="H3" s="761" t="s">
        <v>236</v>
      </c>
      <c r="I3" s="762"/>
      <c r="J3" s="761" t="s">
        <v>34</v>
      </c>
      <c r="K3" s="762"/>
    </row>
    <row r="4" spans="1:17" ht="15" customHeight="1" thickBot="1" x14ac:dyDescent="0.3">
      <c r="B4" s="764"/>
      <c r="C4" s="766"/>
      <c r="D4" s="769"/>
      <c r="E4" s="770"/>
      <c r="F4" s="607" t="s">
        <v>225</v>
      </c>
      <c r="G4" s="530" t="s">
        <v>226</v>
      </c>
      <c r="H4" s="525" t="s">
        <v>225</v>
      </c>
      <c r="I4" s="534" t="s">
        <v>226</v>
      </c>
      <c r="J4" s="525" t="s">
        <v>225</v>
      </c>
      <c r="K4" s="533" t="s">
        <v>226</v>
      </c>
    </row>
    <row r="5" spans="1:17" s="4" customFormat="1" ht="15" customHeight="1" x14ac:dyDescent="0.25">
      <c r="B5" s="8">
        <v>100323</v>
      </c>
      <c r="C5" s="369" t="s">
        <v>165</v>
      </c>
      <c r="D5" s="8">
        <v>8337</v>
      </c>
      <c r="E5" s="610" t="s">
        <v>274</v>
      </c>
      <c r="F5" s="608">
        <f>VLOOKUP(B5,[9]BMW!$A$5:$C$64,3,0)</f>
        <v>0.95</v>
      </c>
      <c r="G5" s="526">
        <f>VLOOKUP(B5,[9]MINI!$A$5:$C$58,3,0)</f>
        <v>1</v>
      </c>
      <c r="H5" s="523"/>
      <c r="I5" s="526"/>
      <c r="J5" s="523"/>
      <c r="K5" s="531"/>
    </row>
    <row r="6" spans="1:17" s="4" customFormat="1" ht="15" customHeight="1" x14ac:dyDescent="0.25">
      <c r="B6" s="372">
        <v>100873</v>
      </c>
      <c r="C6" s="369" t="s">
        <v>166</v>
      </c>
      <c r="D6" s="8">
        <v>51827</v>
      </c>
      <c r="E6" s="610" t="s">
        <v>156</v>
      </c>
      <c r="F6" s="609">
        <f>VLOOKUP(B6,[9]BMW!$A$5:$C$64,3,0)</f>
        <v>0.79</v>
      </c>
      <c r="G6" s="527">
        <f>VLOOKUP(B6,[9]MINI!$A$5:$C$58,3,0)</f>
        <v>1</v>
      </c>
      <c r="H6" s="524"/>
      <c r="I6" s="527"/>
      <c r="J6" s="524"/>
      <c r="K6" s="532"/>
    </row>
    <row r="7" spans="1:17" s="4" customFormat="1" ht="15" customHeight="1" x14ac:dyDescent="0.25">
      <c r="B7" s="8">
        <v>100389</v>
      </c>
      <c r="C7" s="369" t="s">
        <v>40</v>
      </c>
      <c r="D7" s="8">
        <v>20822</v>
      </c>
      <c r="E7" s="610" t="s">
        <v>275</v>
      </c>
      <c r="F7" s="609">
        <f>VLOOKUP(B7,[9]BMW!$A$5:$C$64,3,0)</f>
        <v>0.79</v>
      </c>
      <c r="G7" s="527">
        <f>VLOOKUP(B7,[9]MINI!$A$5:$C$58,3,0)</f>
        <v>1</v>
      </c>
      <c r="H7" s="524"/>
      <c r="I7" s="527"/>
      <c r="J7" s="524"/>
      <c r="K7" s="532"/>
    </row>
    <row r="8" spans="1:17" s="4" customFormat="1" ht="15" customHeight="1" thickBot="1" x14ac:dyDescent="0.3">
      <c r="B8" s="8">
        <v>100738</v>
      </c>
      <c r="C8" s="369" t="s">
        <v>42</v>
      </c>
      <c r="D8" s="8">
        <v>40230</v>
      </c>
      <c r="E8" s="610" t="s">
        <v>89</v>
      </c>
      <c r="F8" s="609">
        <f>VLOOKUP(B8,[9]BMW!$A$5:$C$64,3,0)</f>
        <v>1</v>
      </c>
      <c r="G8" s="527">
        <f>VLOOKUP(B8,[9]MINI!$A$5:$C$58,3,0)</f>
        <v>1</v>
      </c>
      <c r="H8" s="524"/>
      <c r="I8" s="527"/>
      <c r="J8" s="524"/>
      <c r="K8" s="532"/>
    </row>
    <row r="9" spans="1:17" s="4" customFormat="1" ht="15" customHeight="1" thickBot="1" x14ac:dyDescent="0.3">
      <c r="B9" s="611" t="s">
        <v>264</v>
      </c>
      <c r="C9" s="517"/>
      <c r="D9" s="515"/>
      <c r="E9" s="516"/>
      <c r="F9" s="518">
        <f t="shared" ref="F9:K9" si="0">IFERROR(AVERAGE(F5:F8),0)</f>
        <v>0.88250000000000006</v>
      </c>
      <c r="G9" s="518">
        <f t="shared" si="0"/>
        <v>1</v>
      </c>
      <c r="H9" s="518">
        <f t="shared" si="0"/>
        <v>0</v>
      </c>
      <c r="I9" s="518">
        <f t="shared" si="0"/>
        <v>0</v>
      </c>
      <c r="J9" s="518">
        <f t="shared" si="0"/>
        <v>0</v>
      </c>
      <c r="K9" s="518">
        <f t="shared" si="0"/>
        <v>0</v>
      </c>
    </row>
    <row r="10" spans="1:17" s="4" customFormat="1" ht="15" customHeight="1" x14ac:dyDescent="0.25">
      <c r="B10" s="8">
        <v>100213</v>
      </c>
      <c r="C10" s="369" t="s">
        <v>15</v>
      </c>
      <c r="D10" s="8">
        <v>7450</v>
      </c>
      <c r="E10" s="610" t="s">
        <v>276</v>
      </c>
      <c r="F10" s="609">
        <f>VLOOKUP(B10,[9]BMW!$A$5:$C$64,3,0)</f>
        <v>0.63</v>
      </c>
      <c r="G10" s="527">
        <f>VLOOKUP(B10,[9]MINI!$A$5:$C$58,3,0)</f>
        <v>0.94</v>
      </c>
      <c r="H10" s="524"/>
      <c r="I10" s="527"/>
      <c r="J10" s="524"/>
      <c r="K10" s="532"/>
    </row>
    <row r="11" spans="1:17" s="4" customFormat="1" ht="15" customHeight="1" x14ac:dyDescent="0.25">
      <c r="B11" s="8">
        <v>100319</v>
      </c>
      <c r="C11" s="369" t="s">
        <v>16</v>
      </c>
      <c r="D11" s="8">
        <v>7450</v>
      </c>
      <c r="E11" s="610" t="s">
        <v>276</v>
      </c>
      <c r="F11" s="609">
        <f>VLOOKUP(B11,[9]BMW!$A$5:$C$64,3,0)</f>
        <v>0.74</v>
      </c>
      <c r="G11" s="527">
        <f>VLOOKUP(B11,[9]MINI!$A$5:$C$58,3,0)</f>
        <v>0.56000000000000005</v>
      </c>
      <c r="H11" s="524"/>
      <c r="I11" s="527"/>
      <c r="J11" s="524"/>
      <c r="K11" s="532"/>
    </row>
    <row r="12" spans="1:17" s="4" customFormat="1" ht="15" customHeight="1" x14ac:dyDescent="0.25">
      <c r="B12" s="8">
        <v>100349</v>
      </c>
      <c r="C12" s="369" t="s">
        <v>10</v>
      </c>
      <c r="D12" s="8">
        <v>7450</v>
      </c>
      <c r="E12" s="610" t="s">
        <v>276</v>
      </c>
      <c r="F12" s="609">
        <f>VLOOKUP(B12,[9]BMW!$A$5:$C$64,3,0)</f>
        <v>0.74</v>
      </c>
      <c r="G12" s="527">
        <f>VLOOKUP(B12,[9]MINI!$A$5:$C$58,3,0)</f>
        <v>0.88</v>
      </c>
      <c r="H12" s="524"/>
      <c r="I12" s="527"/>
      <c r="J12" s="524"/>
      <c r="K12" s="532"/>
    </row>
    <row r="13" spans="1:17" s="4" customFormat="1" ht="15" customHeight="1" x14ac:dyDescent="0.25">
      <c r="B13" s="8">
        <v>100917</v>
      </c>
      <c r="C13" s="369" t="s">
        <v>263</v>
      </c>
      <c r="D13" s="8">
        <v>7450</v>
      </c>
      <c r="E13" s="610" t="s">
        <v>276</v>
      </c>
      <c r="F13" s="609">
        <f>VLOOKUP(B13,[9]BMW!$A$5:$C$64,3,0)</f>
        <v>0.89</v>
      </c>
      <c r="G13" s="527">
        <f>VLOOKUP(B13,[9]MINI!$A$5:$C$58,3,0)</f>
        <v>0.89</v>
      </c>
      <c r="H13" s="524"/>
      <c r="I13" s="527"/>
      <c r="J13" s="524"/>
      <c r="K13" s="532"/>
    </row>
    <row r="14" spans="1:17" s="4" customFormat="1" ht="15" customHeight="1" thickBot="1" x14ac:dyDescent="0.3">
      <c r="B14" s="8">
        <v>100726</v>
      </c>
      <c r="C14" s="369" t="s">
        <v>19</v>
      </c>
      <c r="D14" s="8">
        <v>39198</v>
      </c>
      <c r="E14" s="610" t="s">
        <v>88</v>
      </c>
      <c r="F14" s="609">
        <f>VLOOKUP(B14,[9]BMW!$A$5:$C$64,3,0)</f>
        <v>0.57999999999999996</v>
      </c>
      <c r="G14" s="527">
        <f>VLOOKUP(B14,[9]MINI!$A$5:$C$58,3,0)</f>
        <v>0.75</v>
      </c>
      <c r="H14" s="524"/>
      <c r="I14" s="527"/>
      <c r="J14" s="524"/>
      <c r="K14" s="532"/>
    </row>
    <row r="15" spans="1:17" s="4" customFormat="1" ht="15" customHeight="1" thickBot="1" x14ac:dyDescent="0.3">
      <c r="B15" s="611" t="s">
        <v>265</v>
      </c>
      <c r="C15" s="517"/>
      <c r="D15" s="515"/>
      <c r="E15" s="516"/>
      <c r="F15" s="518">
        <f t="shared" ref="F15:K15" si="1">IFERROR(AVERAGE(F10:F14),0)</f>
        <v>0.71600000000000008</v>
      </c>
      <c r="G15" s="518">
        <f t="shared" si="1"/>
        <v>0.80399999999999994</v>
      </c>
      <c r="H15" s="518">
        <f t="shared" si="1"/>
        <v>0</v>
      </c>
      <c r="I15" s="518">
        <f t="shared" si="1"/>
        <v>0</v>
      </c>
      <c r="J15" s="518">
        <f t="shared" si="1"/>
        <v>0</v>
      </c>
      <c r="K15" s="518">
        <f t="shared" si="1"/>
        <v>0</v>
      </c>
    </row>
    <row r="16" spans="1:17" s="4" customFormat="1" ht="15" customHeight="1" x14ac:dyDescent="0.25">
      <c r="B16" s="8">
        <v>100307</v>
      </c>
      <c r="C16" s="369" t="s">
        <v>39</v>
      </c>
      <c r="D16" s="8">
        <v>5570</v>
      </c>
      <c r="E16" s="610" t="s">
        <v>83</v>
      </c>
      <c r="F16" s="609">
        <f>VLOOKUP(B16,[9]BMW!$A$5:$C$64,3,0)</f>
        <v>0.82</v>
      </c>
      <c r="G16" s="527">
        <f>VLOOKUP(B16,[9]MINI!$A$5:$C$58,3,0)</f>
        <v>0.78</v>
      </c>
      <c r="H16" s="524"/>
      <c r="I16" s="527"/>
      <c r="J16" s="524"/>
      <c r="K16" s="532"/>
    </row>
    <row r="17" spans="2:11" s="4" customFormat="1" ht="15" customHeight="1" x14ac:dyDescent="0.25">
      <c r="B17" s="8">
        <v>100380</v>
      </c>
      <c r="C17" s="369" t="s">
        <v>11</v>
      </c>
      <c r="D17" s="8">
        <v>20285</v>
      </c>
      <c r="E17" s="610" t="s">
        <v>78</v>
      </c>
      <c r="F17" s="609">
        <f>VLOOKUP(B17,[9]BMW!$A$5:$C$64,3,0)</f>
        <v>0.89</v>
      </c>
      <c r="G17" s="527">
        <f>VLOOKUP(B17,[9]MINI!$A$5:$C$58,3,0)</f>
        <v>1</v>
      </c>
      <c r="H17" s="524"/>
      <c r="I17" s="527"/>
      <c r="J17" s="524"/>
      <c r="K17" s="532"/>
    </row>
    <row r="18" spans="2:11" s="4" customFormat="1" ht="15" customHeight="1" x14ac:dyDescent="0.25">
      <c r="B18" s="8">
        <v>100418</v>
      </c>
      <c r="C18" s="369" t="s">
        <v>13</v>
      </c>
      <c r="D18" s="8">
        <v>5570</v>
      </c>
      <c r="E18" s="610" t="s">
        <v>83</v>
      </c>
      <c r="F18" s="609">
        <f>VLOOKUP(B18,[9]BMW!$A$5:$C$64,3,0)</f>
        <v>1</v>
      </c>
      <c r="G18" s="527">
        <f>VLOOKUP(B18,[9]MINI!$A$5:$C$58,3,0)</f>
        <v>0.63</v>
      </c>
      <c r="H18" s="524"/>
      <c r="I18" s="527"/>
      <c r="J18" s="524"/>
      <c r="K18" s="532"/>
    </row>
    <row r="19" spans="2:11" s="4" customFormat="1" ht="15" customHeight="1" x14ac:dyDescent="0.25">
      <c r="B19" s="8">
        <v>100730</v>
      </c>
      <c r="C19" s="369" t="s">
        <v>41</v>
      </c>
      <c r="D19" s="8">
        <v>20285</v>
      </c>
      <c r="E19" s="610" t="s">
        <v>78</v>
      </c>
      <c r="F19" s="609">
        <f>VLOOKUP(B19,[9]BMW!$A$5:$C$64,3,0)</f>
        <v>1</v>
      </c>
      <c r="G19" s="527">
        <f>VLOOKUP(B19,[9]MINI!$A$5:$C$58,3,0)</f>
        <v>0.94</v>
      </c>
      <c r="H19" s="524"/>
      <c r="I19" s="527"/>
      <c r="J19" s="524"/>
      <c r="K19" s="532"/>
    </row>
    <row r="20" spans="2:11" s="4" customFormat="1" ht="15" customHeight="1" thickBot="1" x14ac:dyDescent="0.3">
      <c r="B20" s="8">
        <v>100764</v>
      </c>
      <c r="C20" s="369" t="s">
        <v>26</v>
      </c>
      <c r="D20" s="8">
        <v>41672</v>
      </c>
      <c r="E20" s="610" t="s">
        <v>277</v>
      </c>
      <c r="F20" s="609">
        <f>VLOOKUP(B20,[9]BMW!$A$5:$C$64,3,0)</f>
        <v>0.79</v>
      </c>
      <c r="G20" s="527">
        <f>VLOOKUP(B20,[9]MINI!$A$5:$C$58,3,0)</f>
        <v>0.75</v>
      </c>
      <c r="H20" s="524"/>
      <c r="I20" s="527"/>
      <c r="J20" s="524"/>
      <c r="K20" s="532"/>
    </row>
    <row r="21" spans="2:11" s="4" customFormat="1" ht="15" customHeight="1" thickBot="1" x14ac:dyDescent="0.3">
      <c r="B21" s="611" t="s">
        <v>273</v>
      </c>
      <c r="C21" s="517"/>
      <c r="D21" s="515"/>
      <c r="E21" s="516"/>
      <c r="F21" s="518">
        <f t="shared" ref="F21:K21" si="2">IFERROR(AVERAGE(F16:F20),0)</f>
        <v>0.9</v>
      </c>
      <c r="G21" s="518">
        <f t="shared" si="2"/>
        <v>0.82</v>
      </c>
      <c r="H21" s="518">
        <f t="shared" si="2"/>
        <v>0</v>
      </c>
      <c r="I21" s="518">
        <f t="shared" si="2"/>
        <v>0</v>
      </c>
      <c r="J21" s="518">
        <f t="shared" si="2"/>
        <v>0</v>
      </c>
      <c r="K21" s="518">
        <f t="shared" si="2"/>
        <v>0</v>
      </c>
    </row>
    <row r="22" spans="2:11" s="4" customFormat="1" ht="15" customHeight="1" x14ac:dyDescent="0.25">
      <c r="B22" s="8">
        <v>100120</v>
      </c>
      <c r="C22" s="369" t="s">
        <v>44</v>
      </c>
      <c r="D22" s="8">
        <v>1211</v>
      </c>
      <c r="E22" s="610" t="s">
        <v>80</v>
      </c>
      <c r="F22" s="609">
        <f>VLOOKUP(B22,[9]BMW!$A$5:$C$64,3,0)</f>
        <v>1</v>
      </c>
      <c r="G22" s="527">
        <v>0</v>
      </c>
      <c r="H22" s="524"/>
      <c r="I22" s="527"/>
      <c r="J22" s="524"/>
      <c r="K22" s="532"/>
    </row>
    <row r="23" spans="2:11" s="4" customFormat="1" ht="15" customHeight="1" x14ac:dyDescent="0.25">
      <c r="B23" s="8">
        <v>100146</v>
      </c>
      <c r="C23" s="369" t="s">
        <v>18</v>
      </c>
      <c r="D23" s="8">
        <v>9785</v>
      </c>
      <c r="E23" s="610" t="s">
        <v>81</v>
      </c>
      <c r="F23" s="609">
        <f>VLOOKUP(B23,[9]BMW!$A$5:$C$64,3,0)</f>
        <v>0.95</v>
      </c>
      <c r="G23" s="527">
        <f>VLOOKUP(B23,[9]MINI!$A$5:$C$58,3,0)</f>
        <v>1</v>
      </c>
      <c r="H23" s="524"/>
      <c r="I23" s="527"/>
      <c r="J23" s="524"/>
      <c r="K23" s="532"/>
    </row>
    <row r="24" spans="2:11" s="4" customFormat="1" ht="15" customHeight="1" x14ac:dyDescent="0.25">
      <c r="B24" s="8">
        <v>100155</v>
      </c>
      <c r="C24" s="369" t="s">
        <v>167</v>
      </c>
      <c r="D24" s="8">
        <v>1212</v>
      </c>
      <c r="E24" s="610" t="s">
        <v>82</v>
      </c>
      <c r="F24" s="609">
        <f>VLOOKUP(B24,[9]BMW!$A$5:$C$64,3,0)</f>
        <v>0.95</v>
      </c>
      <c r="G24" s="527">
        <f>VLOOKUP(B24,[9]MINI!$A$5:$C$58,3,0)</f>
        <v>0.69</v>
      </c>
      <c r="H24" s="524"/>
      <c r="I24" s="527"/>
      <c r="J24" s="524"/>
      <c r="K24" s="532"/>
    </row>
    <row r="25" spans="2:11" s="4" customFormat="1" ht="15" customHeight="1" x14ac:dyDescent="0.25">
      <c r="B25" s="8">
        <v>100304</v>
      </c>
      <c r="C25" s="369" t="s">
        <v>45</v>
      </c>
      <c r="D25" s="8">
        <v>9785</v>
      </c>
      <c r="E25" s="610" t="s">
        <v>81</v>
      </c>
      <c r="F25" s="609">
        <f>VLOOKUP(B25,[9]BMW!$A$5:$C$64,3,0)</f>
        <v>1</v>
      </c>
      <c r="G25" s="527">
        <f>VLOOKUP(B25,[9]MINI!$A$5:$C$58,3,0)</f>
        <v>0.88</v>
      </c>
      <c r="H25" s="524"/>
      <c r="I25" s="527"/>
      <c r="J25" s="524"/>
      <c r="K25" s="532"/>
    </row>
    <row r="26" spans="2:11" s="4" customFormat="1" ht="15" customHeight="1" x14ac:dyDescent="0.25">
      <c r="B26" s="8">
        <v>100346</v>
      </c>
      <c r="C26" s="369" t="s">
        <v>46</v>
      </c>
      <c r="D26" s="8">
        <v>9785</v>
      </c>
      <c r="E26" s="610" t="s">
        <v>81</v>
      </c>
      <c r="F26" s="609">
        <f>VLOOKUP(B26,[9]BMW!$A$5:$C$64,3,0)</f>
        <v>0.95</v>
      </c>
      <c r="G26" s="527">
        <v>0</v>
      </c>
      <c r="H26" s="524"/>
      <c r="I26" s="527"/>
      <c r="J26" s="524"/>
      <c r="K26" s="532"/>
    </row>
    <row r="27" spans="2:11" s="4" customFormat="1" ht="15" customHeight="1" x14ac:dyDescent="0.25">
      <c r="B27" s="8">
        <v>100454</v>
      </c>
      <c r="C27" s="369" t="s">
        <v>47</v>
      </c>
      <c r="D27" s="8">
        <v>28067</v>
      </c>
      <c r="E27" s="610" t="s">
        <v>84</v>
      </c>
      <c r="F27" s="609">
        <v>0</v>
      </c>
      <c r="G27" s="527">
        <v>0</v>
      </c>
      <c r="H27" s="524"/>
      <c r="I27" s="527"/>
      <c r="J27" s="524"/>
      <c r="K27" s="532"/>
    </row>
    <row r="28" spans="2:11" s="4" customFormat="1" ht="15" customHeight="1" thickBot="1" x14ac:dyDescent="0.3">
      <c r="B28" s="8">
        <v>100571</v>
      </c>
      <c r="C28" s="369" t="s">
        <v>48</v>
      </c>
      <c r="D28" s="8">
        <v>1212</v>
      </c>
      <c r="E28" s="610" t="s">
        <v>82</v>
      </c>
      <c r="F28" s="609">
        <f>VLOOKUP(B28,[9]BMW!$A$5:$C$64,3,0)</f>
        <v>0.96</v>
      </c>
      <c r="G28" s="527">
        <f>VLOOKUP(B28,[9]MINI!$A$5:$C$58,3,0)</f>
        <v>1</v>
      </c>
      <c r="H28" s="524"/>
      <c r="I28" s="527"/>
      <c r="J28" s="524"/>
      <c r="K28" s="532"/>
    </row>
    <row r="29" spans="2:11" s="4" customFormat="1" ht="15" customHeight="1" thickBot="1" x14ac:dyDescent="0.3">
      <c r="B29" s="611" t="s">
        <v>266</v>
      </c>
      <c r="C29" s="517"/>
      <c r="D29" s="515"/>
      <c r="E29" s="516"/>
      <c r="F29" s="518">
        <f t="shared" ref="F29:K29" si="3">IFERROR(AVERAGE(F22:F28),0)</f>
        <v>0.83</v>
      </c>
      <c r="G29" s="518">
        <f t="shared" si="3"/>
        <v>0.51</v>
      </c>
      <c r="H29" s="518">
        <f t="shared" si="3"/>
        <v>0</v>
      </c>
      <c r="I29" s="518">
        <f t="shared" si="3"/>
        <v>0</v>
      </c>
      <c r="J29" s="518">
        <f t="shared" si="3"/>
        <v>0</v>
      </c>
      <c r="K29" s="518">
        <f t="shared" si="3"/>
        <v>0</v>
      </c>
    </row>
    <row r="30" spans="2:11" s="4" customFormat="1" ht="15" customHeight="1" x14ac:dyDescent="0.25">
      <c r="B30" s="8">
        <v>100015</v>
      </c>
      <c r="C30" s="369" t="s">
        <v>51</v>
      </c>
      <c r="D30" s="8">
        <v>22761</v>
      </c>
      <c r="E30" s="610" t="s">
        <v>79</v>
      </c>
      <c r="F30" s="609">
        <f>VLOOKUP(B30,[9]BMW!$A$5:$C$64,3,0)</f>
        <v>0.89</v>
      </c>
      <c r="G30" s="527">
        <f>VLOOKUP(B30,[9]MINI!$A$5:$C$58,3,0)</f>
        <v>0.5</v>
      </c>
      <c r="H30" s="524"/>
      <c r="I30" s="527"/>
      <c r="J30" s="524"/>
      <c r="K30" s="532"/>
    </row>
    <row r="31" spans="2:11" s="4" customFormat="1" ht="15" customHeight="1" x14ac:dyDescent="0.25">
      <c r="B31" s="8">
        <v>100190</v>
      </c>
      <c r="C31" s="369" t="s">
        <v>52</v>
      </c>
      <c r="D31" s="8">
        <v>22761</v>
      </c>
      <c r="E31" s="610" t="s">
        <v>79</v>
      </c>
      <c r="F31" s="609">
        <f>VLOOKUP(B31,[9]BMW!$A$5:$C$64,3,0)</f>
        <v>0.95</v>
      </c>
      <c r="G31" s="527">
        <f>VLOOKUP(B31,[9]MINI!$A$5:$C$58,3,0)</f>
        <v>0.88</v>
      </c>
      <c r="H31" s="524"/>
      <c r="I31" s="527"/>
      <c r="J31" s="524"/>
      <c r="K31" s="532"/>
    </row>
    <row r="32" spans="2:11" s="4" customFormat="1" ht="15" customHeight="1" x14ac:dyDescent="0.25">
      <c r="B32" s="8">
        <v>100379</v>
      </c>
      <c r="C32" s="369" t="s">
        <v>9</v>
      </c>
      <c r="D32" s="8">
        <v>22761</v>
      </c>
      <c r="E32" s="610" t="s">
        <v>79</v>
      </c>
      <c r="F32" s="609">
        <f>VLOOKUP(B32,[9]BMW!$A$5:$C$64,3,0)</f>
        <v>1</v>
      </c>
      <c r="G32" s="527">
        <f>VLOOKUP(B32,[9]MINI!$A$5:$C$58,3,0)</f>
        <v>1</v>
      </c>
      <c r="H32" s="524"/>
      <c r="I32" s="527"/>
      <c r="J32" s="524"/>
      <c r="K32" s="532"/>
    </row>
    <row r="33" spans="2:11" s="4" customFormat="1" ht="15" customHeight="1" x14ac:dyDescent="0.25">
      <c r="B33" s="8">
        <v>100410</v>
      </c>
      <c r="C33" s="369" t="s">
        <v>22</v>
      </c>
      <c r="D33" s="8">
        <v>22761</v>
      </c>
      <c r="E33" s="610" t="s">
        <v>79</v>
      </c>
      <c r="F33" s="609">
        <f>VLOOKUP(B33,[9]BMW!$A$5:$C$64,3,0)</f>
        <v>0.83</v>
      </c>
      <c r="G33" s="527">
        <f>VLOOKUP(B33,[9]MINI!$A$5:$C$58,3,0)</f>
        <v>1</v>
      </c>
      <c r="H33" s="524"/>
      <c r="I33" s="527"/>
      <c r="J33" s="524"/>
      <c r="K33" s="532"/>
    </row>
    <row r="34" spans="2:11" s="4" customFormat="1" ht="15" customHeight="1" thickBot="1" x14ac:dyDescent="0.3">
      <c r="B34" s="8">
        <v>100739</v>
      </c>
      <c r="C34" s="369" t="s">
        <v>49</v>
      </c>
      <c r="D34" s="8">
        <v>22761</v>
      </c>
      <c r="E34" s="610" t="s">
        <v>79</v>
      </c>
      <c r="F34" s="609">
        <f>VLOOKUP(B34,[9]BMW!$A$5:$C$64,3,0)</f>
        <v>1</v>
      </c>
      <c r="G34" s="527">
        <f>VLOOKUP(B34,[9]MINI!$A$5:$C$58,3,0)</f>
        <v>0.79</v>
      </c>
      <c r="H34" s="524"/>
      <c r="I34" s="527"/>
      <c r="J34" s="524"/>
      <c r="K34" s="532"/>
    </row>
    <row r="35" spans="2:11" s="4" customFormat="1" ht="15" customHeight="1" thickBot="1" x14ac:dyDescent="0.3">
      <c r="B35" s="611" t="s">
        <v>267</v>
      </c>
      <c r="C35" s="517"/>
      <c r="D35" s="515"/>
      <c r="E35" s="516"/>
      <c r="F35" s="518">
        <f t="shared" ref="F35:K35" si="4">IFERROR(AVERAGE(F30:F34),0)</f>
        <v>0.93399999999999994</v>
      </c>
      <c r="G35" s="518">
        <f t="shared" si="4"/>
        <v>0.83399999999999996</v>
      </c>
      <c r="H35" s="518">
        <f t="shared" si="4"/>
        <v>0</v>
      </c>
      <c r="I35" s="518">
        <f t="shared" si="4"/>
        <v>0</v>
      </c>
      <c r="J35" s="518">
        <f t="shared" si="4"/>
        <v>0</v>
      </c>
      <c r="K35" s="518">
        <f t="shared" si="4"/>
        <v>0</v>
      </c>
    </row>
    <row r="36" spans="2:11" s="4" customFormat="1" ht="15" customHeight="1" x14ac:dyDescent="0.25">
      <c r="B36" s="8">
        <v>100348</v>
      </c>
      <c r="C36" s="369" t="s">
        <v>56</v>
      </c>
      <c r="D36" s="8">
        <v>8596</v>
      </c>
      <c r="E36" s="610" t="s">
        <v>105</v>
      </c>
      <c r="F36" s="609">
        <f>VLOOKUP(B36,[9]BMW!$A$5:$C$64,3,0)</f>
        <v>0.63</v>
      </c>
      <c r="G36" s="527">
        <f>VLOOKUP(B36,[9]MINI!$A$5:$C$58,3,0)</f>
        <v>0.88</v>
      </c>
      <c r="H36" s="524"/>
      <c r="I36" s="527"/>
      <c r="J36" s="524"/>
      <c r="K36" s="532"/>
    </row>
    <row r="37" spans="2:11" s="4" customFormat="1" ht="15" customHeight="1" x14ac:dyDescent="0.25">
      <c r="B37" s="8">
        <v>100585</v>
      </c>
      <c r="C37" s="369" t="s">
        <v>58</v>
      </c>
      <c r="D37" s="8">
        <v>34177</v>
      </c>
      <c r="E37" s="610" t="s">
        <v>87</v>
      </c>
      <c r="F37" s="609">
        <f>VLOOKUP(B37,[9]BMW!$A$5:$C$64,3,0)</f>
        <v>1</v>
      </c>
      <c r="G37" s="527">
        <v>0</v>
      </c>
      <c r="H37" s="524"/>
      <c r="I37" s="527"/>
      <c r="J37" s="524"/>
      <c r="K37" s="532"/>
    </row>
    <row r="38" spans="2:11" s="4" customFormat="1" ht="15" customHeight="1" x14ac:dyDescent="0.25">
      <c r="B38" s="8">
        <v>100597</v>
      </c>
      <c r="C38" s="369" t="s">
        <v>53</v>
      </c>
      <c r="D38" s="8">
        <v>8596</v>
      </c>
      <c r="E38" s="610" t="s">
        <v>105</v>
      </c>
      <c r="F38" s="609">
        <f>VLOOKUP(B38,[9]BMW!$A$5:$C$64,3,0)</f>
        <v>0.86</v>
      </c>
      <c r="G38" s="527">
        <v>0</v>
      </c>
      <c r="H38" s="524"/>
      <c r="I38" s="527"/>
      <c r="J38" s="524"/>
      <c r="K38" s="532"/>
    </row>
    <row r="39" spans="2:11" s="4" customFormat="1" ht="15" customHeight="1" x14ac:dyDescent="0.25">
      <c r="B39" s="8">
        <v>100727</v>
      </c>
      <c r="C39" s="369" t="s">
        <v>21</v>
      </c>
      <c r="D39" s="8">
        <v>39200</v>
      </c>
      <c r="E39" s="610" t="s">
        <v>93</v>
      </c>
      <c r="F39" s="609">
        <f>VLOOKUP(B39,[9]BMW!$A$5:$C$64,3,0)</f>
        <v>0.68</v>
      </c>
      <c r="G39" s="527">
        <f>VLOOKUP(B39,[9]MINI!$A$5:$C$58,3,0)</f>
        <v>1</v>
      </c>
      <c r="H39" s="524"/>
      <c r="I39" s="527"/>
      <c r="J39" s="524"/>
      <c r="K39" s="532"/>
    </row>
    <row r="40" spans="2:11" s="4" customFormat="1" ht="15" customHeight="1" x14ac:dyDescent="0.25">
      <c r="B40" s="8">
        <v>100728</v>
      </c>
      <c r="C40" s="369" t="s">
        <v>24</v>
      </c>
      <c r="D40" s="8">
        <v>39349</v>
      </c>
      <c r="E40" s="610" t="s">
        <v>94</v>
      </c>
      <c r="F40" s="609">
        <f>VLOOKUP(B40,[9]BMW!$A$5:$C$64,3,0)</f>
        <v>0.95</v>
      </c>
      <c r="G40" s="527">
        <f>VLOOKUP(B40,[9]MINI!$A$5:$C$58,3,0)</f>
        <v>1</v>
      </c>
      <c r="H40" s="524"/>
      <c r="I40" s="527"/>
      <c r="J40" s="524"/>
      <c r="K40" s="532"/>
    </row>
    <row r="41" spans="2:11" s="4" customFormat="1" ht="15" customHeight="1" thickBot="1" x14ac:dyDescent="0.3">
      <c r="B41" s="8">
        <v>100817</v>
      </c>
      <c r="C41" s="369" t="s">
        <v>69</v>
      </c>
      <c r="D41" s="8">
        <v>39349</v>
      </c>
      <c r="E41" s="610" t="s">
        <v>94</v>
      </c>
      <c r="F41" s="609">
        <f>VLOOKUP(B41,[9]BMW!$A$5:$C$64,3,0)</f>
        <v>1</v>
      </c>
      <c r="G41" s="527">
        <f>VLOOKUP(B41,[9]MINI!$A$5:$C$58,3,0)</f>
        <v>1</v>
      </c>
      <c r="H41" s="524"/>
      <c r="I41" s="527"/>
      <c r="J41" s="524"/>
      <c r="K41" s="532"/>
    </row>
    <row r="42" spans="2:11" s="4" customFormat="1" ht="15" customHeight="1" thickBot="1" x14ac:dyDescent="0.3">
      <c r="B42" s="611" t="s">
        <v>268</v>
      </c>
      <c r="C42" s="517"/>
      <c r="D42" s="515"/>
      <c r="E42" s="516"/>
      <c r="F42" s="518">
        <f t="shared" ref="F42:K42" si="5">IFERROR(AVERAGE(F36:F41),0)</f>
        <v>0.85333333333333339</v>
      </c>
      <c r="G42" s="518">
        <f t="shared" si="5"/>
        <v>0.64666666666666661</v>
      </c>
      <c r="H42" s="518">
        <f t="shared" si="5"/>
        <v>0</v>
      </c>
      <c r="I42" s="518">
        <f t="shared" si="5"/>
        <v>0</v>
      </c>
      <c r="J42" s="518">
        <f t="shared" si="5"/>
        <v>0</v>
      </c>
      <c r="K42" s="518">
        <f t="shared" si="5"/>
        <v>0</v>
      </c>
    </row>
    <row r="43" spans="2:11" s="4" customFormat="1" ht="15" customHeight="1" x14ac:dyDescent="0.25">
      <c r="B43" s="8">
        <v>100909</v>
      </c>
      <c r="C43" s="369" t="s">
        <v>252</v>
      </c>
      <c r="D43" s="8">
        <v>54468</v>
      </c>
      <c r="E43" s="610" t="s">
        <v>254</v>
      </c>
      <c r="F43" s="609">
        <f>VLOOKUP(B43,[9]BMW!$A$5:$C$64,3,0)</f>
        <v>0.91</v>
      </c>
      <c r="G43" s="527">
        <f>VLOOKUP(B43,[9]MINI!$A$5:$C$58,3,0)</f>
        <v>1</v>
      </c>
      <c r="H43" s="524"/>
      <c r="I43" s="527"/>
      <c r="J43" s="524"/>
      <c r="K43" s="532"/>
    </row>
    <row r="44" spans="2:11" s="4" customFormat="1" ht="15" customHeight="1" x14ac:dyDescent="0.25">
      <c r="B44" s="8">
        <v>100572</v>
      </c>
      <c r="C44" s="369" t="s">
        <v>55</v>
      </c>
      <c r="D44" s="8">
        <v>8337</v>
      </c>
      <c r="E44" s="610" t="s">
        <v>274</v>
      </c>
      <c r="F44" s="609">
        <f>VLOOKUP(B44,[9]BMW!$A$5:$C$64,3,0)</f>
        <v>0.74</v>
      </c>
      <c r="G44" s="527">
        <f>VLOOKUP(B44,[9]MINI!$A$5:$C$58,3,0)</f>
        <v>0.68</v>
      </c>
      <c r="H44" s="524"/>
      <c r="I44" s="527"/>
      <c r="J44" s="524"/>
      <c r="K44" s="532"/>
    </row>
    <row r="45" spans="2:11" s="4" customFormat="1" ht="15" customHeight="1" thickBot="1" x14ac:dyDescent="0.3">
      <c r="B45" s="8">
        <v>100584</v>
      </c>
      <c r="C45" s="369" t="s">
        <v>8</v>
      </c>
      <c r="D45" s="8">
        <v>33948</v>
      </c>
      <c r="E45" s="610" t="s">
        <v>92</v>
      </c>
      <c r="F45" s="609">
        <f>VLOOKUP(B45,[9]BMW!$A$5:$C$64,3,0)</f>
        <v>0.79</v>
      </c>
      <c r="G45" s="527">
        <v>0</v>
      </c>
      <c r="H45" s="524"/>
      <c r="I45" s="527"/>
      <c r="J45" s="524"/>
      <c r="K45" s="532"/>
    </row>
    <row r="46" spans="2:11" s="4" customFormat="1" ht="15" customHeight="1" thickBot="1" x14ac:dyDescent="0.3">
      <c r="B46" s="611" t="s">
        <v>269</v>
      </c>
      <c r="C46" s="517"/>
      <c r="D46" s="515"/>
      <c r="E46" s="516"/>
      <c r="F46" s="518">
        <f t="shared" ref="F46:K46" si="6">IFERROR(AVERAGE(F43:F45),0)</f>
        <v>0.81333333333333335</v>
      </c>
      <c r="G46" s="518">
        <f t="shared" si="6"/>
        <v>0.56000000000000005</v>
      </c>
      <c r="H46" s="518">
        <f t="shared" si="6"/>
        <v>0</v>
      </c>
      <c r="I46" s="518">
        <f t="shared" si="6"/>
        <v>0</v>
      </c>
      <c r="J46" s="518">
        <f t="shared" si="6"/>
        <v>0</v>
      </c>
      <c r="K46" s="518">
        <f t="shared" si="6"/>
        <v>0</v>
      </c>
    </row>
    <row r="47" spans="2:11" s="4" customFormat="1" ht="15" customHeight="1" x14ac:dyDescent="0.25">
      <c r="B47" s="9">
        <v>100765</v>
      </c>
      <c r="C47" s="374" t="s">
        <v>60</v>
      </c>
      <c r="D47" s="8">
        <v>41991</v>
      </c>
      <c r="E47" s="610" t="s">
        <v>90</v>
      </c>
      <c r="F47" s="609">
        <f>VLOOKUP(B47,[9]BMW!$A$5:$C$64,3,0)</f>
        <v>0.88</v>
      </c>
      <c r="G47" s="527">
        <v>0</v>
      </c>
      <c r="H47" s="524"/>
      <c r="I47" s="527"/>
      <c r="J47" s="524"/>
      <c r="K47" s="532"/>
    </row>
    <row r="48" spans="2:11" s="4" customFormat="1" ht="15" customHeight="1" x14ac:dyDescent="0.25">
      <c r="B48" s="8">
        <v>100002</v>
      </c>
      <c r="C48" s="369" t="s">
        <v>61</v>
      </c>
      <c r="D48" s="8">
        <v>1357</v>
      </c>
      <c r="E48" s="610" t="s">
        <v>96</v>
      </c>
      <c r="F48" s="609">
        <f>VLOOKUP(B48,[9]BMW!$A$5:$C$64,3,0)</f>
        <v>0.95</v>
      </c>
      <c r="G48" s="527">
        <f>VLOOKUP(B48,[9]MINI!$A$5:$C$58,3,0)</f>
        <v>0.81</v>
      </c>
      <c r="H48" s="524"/>
      <c r="I48" s="527"/>
      <c r="J48" s="524"/>
      <c r="K48" s="532"/>
    </row>
    <row r="49" spans="2:11" s="4" customFormat="1" ht="15" customHeight="1" x14ac:dyDescent="0.25">
      <c r="B49" s="8">
        <v>100062</v>
      </c>
      <c r="C49" s="369" t="s">
        <v>62</v>
      </c>
      <c r="D49" s="8">
        <v>9911</v>
      </c>
      <c r="E49" s="610" t="s">
        <v>97</v>
      </c>
      <c r="F49" s="609">
        <f>VLOOKUP(B49,[9]BMW!$A$5:$C$64,3,0)</f>
        <v>0.88</v>
      </c>
      <c r="G49" s="527">
        <f>VLOOKUP(B49,[9]MINI!$A$5:$C$58,3,0)</f>
        <v>0.88</v>
      </c>
      <c r="H49" s="524"/>
      <c r="I49" s="527"/>
      <c r="J49" s="524"/>
      <c r="K49" s="532"/>
    </row>
    <row r="50" spans="2:11" s="4" customFormat="1" ht="15" customHeight="1" x14ac:dyDescent="0.25">
      <c r="B50" s="8">
        <v>100206</v>
      </c>
      <c r="C50" s="369" t="s">
        <v>63</v>
      </c>
      <c r="D50" s="8">
        <v>9911</v>
      </c>
      <c r="E50" s="610" t="s">
        <v>97</v>
      </c>
      <c r="F50" s="609">
        <f>VLOOKUP(B50,[9]BMW!$A$5:$C$64,3,0)</f>
        <v>1</v>
      </c>
      <c r="G50" s="527">
        <f>VLOOKUP(B50,[9]MINI!$A$5:$C$58,3,0)</f>
        <v>1</v>
      </c>
      <c r="H50" s="524"/>
      <c r="I50" s="527"/>
      <c r="J50" s="524"/>
      <c r="K50" s="532"/>
    </row>
    <row r="51" spans="2:11" s="14" customFormat="1" ht="15" customHeight="1" x14ac:dyDescent="0.25">
      <c r="B51" s="9">
        <v>100394</v>
      </c>
      <c r="C51" s="374" t="s">
        <v>64</v>
      </c>
      <c r="D51" s="8">
        <v>1357</v>
      </c>
      <c r="E51" s="610" t="s">
        <v>96</v>
      </c>
      <c r="F51" s="609">
        <f>VLOOKUP(B51,[9]BMW!$A$5:$C$64,3,0)</f>
        <v>0.95</v>
      </c>
      <c r="G51" s="527">
        <f>VLOOKUP(B51,[9]MINI!$A$5:$C$58,3,0)</f>
        <v>1</v>
      </c>
      <c r="H51" s="524"/>
      <c r="I51" s="527"/>
      <c r="J51" s="524"/>
      <c r="K51" s="532"/>
    </row>
    <row r="52" spans="2:11" s="4" customFormat="1" ht="15" customHeight="1" thickBot="1" x14ac:dyDescent="0.3">
      <c r="B52" s="9">
        <v>100468</v>
      </c>
      <c r="C52" s="374" t="s">
        <v>65</v>
      </c>
      <c r="D52" s="8">
        <v>9911</v>
      </c>
      <c r="E52" s="610" t="s">
        <v>97</v>
      </c>
      <c r="F52" s="609">
        <f>VLOOKUP(B52,[9]BMW!$A$5:$C$64,3,0)</f>
        <v>1</v>
      </c>
      <c r="G52" s="527">
        <f>VLOOKUP(B52,[9]MINI!$A$5:$C$58,3,0)</f>
        <v>0.69</v>
      </c>
      <c r="H52" s="524"/>
      <c r="I52" s="527"/>
      <c r="J52" s="524"/>
      <c r="K52" s="532"/>
    </row>
    <row r="53" spans="2:11" s="4" customFormat="1" ht="15" customHeight="1" thickBot="1" x14ac:dyDescent="0.3">
      <c r="B53" s="611" t="s">
        <v>270</v>
      </c>
      <c r="C53" s="517"/>
      <c r="D53" s="515"/>
      <c r="E53" s="516"/>
      <c r="F53" s="518">
        <f t="shared" ref="F53:K53" si="7">IFERROR(AVERAGE(F47:F52),0)</f>
        <v>0.94333333333333336</v>
      </c>
      <c r="G53" s="518">
        <f t="shared" si="7"/>
        <v>0.73</v>
      </c>
      <c r="H53" s="518">
        <f t="shared" si="7"/>
        <v>0</v>
      </c>
      <c r="I53" s="518">
        <f t="shared" si="7"/>
        <v>0</v>
      </c>
      <c r="J53" s="518">
        <f t="shared" si="7"/>
        <v>0</v>
      </c>
      <c r="K53" s="518">
        <f t="shared" si="7"/>
        <v>0</v>
      </c>
    </row>
    <row r="54" spans="2:11" s="4" customFormat="1" ht="15" customHeight="1" x14ac:dyDescent="0.25">
      <c r="B54" s="8">
        <v>100734</v>
      </c>
      <c r="C54" s="369" t="s">
        <v>59</v>
      </c>
      <c r="D54" s="8">
        <v>39812</v>
      </c>
      <c r="E54" s="610" t="s">
        <v>95</v>
      </c>
      <c r="F54" s="609">
        <f>VLOOKUP(B54,[9]BMW!$A$5:$C$64,3,0)</f>
        <v>0.95</v>
      </c>
      <c r="G54" s="527">
        <f>VLOOKUP(B54,[9]MINI!$A$5:$C$58,3,0)</f>
        <v>0.88</v>
      </c>
      <c r="H54" s="524"/>
      <c r="I54" s="527"/>
      <c r="J54" s="524"/>
      <c r="K54" s="532"/>
    </row>
    <row r="55" spans="2:11" s="4" customFormat="1" ht="15" customHeight="1" x14ac:dyDescent="0.25">
      <c r="B55" s="8">
        <v>100311</v>
      </c>
      <c r="C55" s="369" t="s">
        <v>12</v>
      </c>
      <c r="D55" s="8">
        <v>20839</v>
      </c>
      <c r="E55" s="610" t="s">
        <v>201</v>
      </c>
      <c r="F55" s="609">
        <f>VLOOKUP(B55,[9]BMW!$A$5:$C$64,3,0)</f>
        <v>0.88</v>
      </c>
      <c r="G55" s="527">
        <f>VLOOKUP(B55,[9]MINI!$A$5:$C$58,3,0)</f>
        <v>0.87</v>
      </c>
      <c r="H55" s="524"/>
      <c r="I55" s="527"/>
      <c r="J55" s="524"/>
      <c r="K55" s="532"/>
    </row>
    <row r="56" spans="2:11" s="4" customFormat="1" ht="15" customHeight="1" x14ac:dyDescent="0.25">
      <c r="B56" s="13">
        <v>100393</v>
      </c>
      <c r="C56" s="374" t="s">
        <v>75</v>
      </c>
      <c r="D56" s="8">
        <v>20839</v>
      </c>
      <c r="E56" s="610" t="s">
        <v>201</v>
      </c>
      <c r="F56" s="609">
        <f>VLOOKUP(B56,[9]BMW!$A$5:$C$64,3,0)</f>
        <v>1</v>
      </c>
      <c r="G56" s="527">
        <f>VLOOKUP(B56,[9]MINI!$A$5:$C$58,3,0)</f>
        <v>1</v>
      </c>
      <c r="H56" s="524"/>
      <c r="I56" s="527"/>
      <c r="J56" s="524"/>
      <c r="K56" s="532"/>
    </row>
    <row r="57" spans="2:11" s="4" customFormat="1" ht="15" customHeight="1" x14ac:dyDescent="0.25">
      <c r="B57" s="8">
        <v>100586</v>
      </c>
      <c r="C57" s="369" t="s">
        <v>67</v>
      </c>
      <c r="D57" s="8">
        <v>34945</v>
      </c>
      <c r="E57" s="610" t="s">
        <v>98</v>
      </c>
      <c r="F57" s="609">
        <f>VLOOKUP(B57,[9]BMW!$A$5:$C$64,3,0)</f>
        <v>0.89</v>
      </c>
      <c r="G57" s="527">
        <f>VLOOKUP(B57,[9]MINI!$A$5:$C$58,3,0)</f>
        <v>0.75</v>
      </c>
      <c r="H57" s="524"/>
      <c r="I57" s="527"/>
      <c r="J57" s="524"/>
      <c r="K57" s="532"/>
    </row>
    <row r="58" spans="2:11" s="4" customFormat="1" ht="15" customHeight="1" thickBot="1" x14ac:dyDescent="0.3">
      <c r="B58" s="36">
        <v>100813</v>
      </c>
      <c r="C58" s="375" t="s">
        <v>68</v>
      </c>
      <c r="D58" s="8">
        <v>34945</v>
      </c>
      <c r="E58" s="610" t="s">
        <v>98</v>
      </c>
      <c r="F58" s="609">
        <f>VLOOKUP(B58,[9]BMW!$A$5:$C$64,3,0)</f>
        <v>0.74</v>
      </c>
      <c r="G58" s="527">
        <f>VLOOKUP(B58,[9]MINI!$A$5:$C$58,3,0)</f>
        <v>0.81</v>
      </c>
      <c r="H58" s="524"/>
      <c r="I58" s="527"/>
      <c r="J58" s="524"/>
      <c r="K58" s="532"/>
    </row>
    <row r="59" spans="2:11" s="4" customFormat="1" ht="15" customHeight="1" thickBot="1" x14ac:dyDescent="0.3">
      <c r="B59" s="611" t="s">
        <v>271</v>
      </c>
      <c r="C59" s="517"/>
      <c r="D59" s="515"/>
      <c r="E59" s="516"/>
      <c r="F59" s="518">
        <f t="shared" ref="F59:K59" si="8">IFERROR(AVERAGE(F54:F58),0)</f>
        <v>0.89200000000000002</v>
      </c>
      <c r="G59" s="518">
        <f t="shared" si="8"/>
        <v>0.8620000000000001</v>
      </c>
      <c r="H59" s="518">
        <f t="shared" si="8"/>
        <v>0</v>
      </c>
      <c r="I59" s="518">
        <f t="shared" si="8"/>
        <v>0</v>
      </c>
      <c r="J59" s="518">
        <f t="shared" si="8"/>
        <v>0</v>
      </c>
      <c r="K59" s="518">
        <f t="shared" si="8"/>
        <v>0</v>
      </c>
    </row>
    <row r="60" spans="2:11" s="4" customFormat="1" ht="15" customHeight="1" x14ac:dyDescent="0.25">
      <c r="B60" s="8">
        <v>100344</v>
      </c>
      <c r="C60" s="369" t="s">
        <v>25</v>
      </c>
      <c r="D60" s="8">
        <v>9144</v>
      </c>
      <c r="E60" s="610" t="s">
        <v>202</v>
      </c>
      <c r="F60" s="609">
        <f>VLOOKUP(B60,[9]BMW!$A$5:$C$64,3,0)</f>
        <v>0.74</v>
      </c>
      <c r="G60" s="527">
        <f>VLOOKUP(B60,[9]MINI!$A$5:$C$58,3,0)</f>
        <v>0.75</v>
      </c>
      <c r="H60" s="524"/>
      <c r="I60" s="527"/>
      <c r="J60" s="524"/>
      <c r="K60" s="532"/>
    </row>
    <row r="61" spans="2:11" s="4" customFormat="1" ht="15" customHeight="1" x14ac:dyDescent="0.25">
      <c r="B61" s="8">
        <v>100422</v>
      </c>
      <c r="C61" s="369" t="s">
        <v>20</v>
      </c>
      <c r="D61" s="8">
        <v>9144</v>
      </c>
      <c r="E61" s="610" t="s">
        <v>202</v>
      </c>
      <c r="F61" s="609">
        <f>VLOOKUP(B61,[9]BMW!$A$5:$C$64,3,0)</f>
        <v>0.93</v>
      </c>
      <c r="G61" s="527">
        <f>VLOOKUP(B61,[9]MINI!$A$5:$C$58,3,0)</f>
        <v>0.91</v>
      </c>
      <c r="H61" s="524"/>
      <c r="I61" s="527"/>
      <c r="J61" s="524"/>
      <c r="K61" s="532"/>
    </row>
    <row r="62" spans="2:11" s="4" customFormat="1" ht="15" customHeight="1" x14ac:dyDescent="0.25">
      <c r="B62" s="8">
        <v>100549</v>
      </c>
      <c r="C62" s="369" t="s">
        <v>66</v>
      </c>
      <c r="D62" s="8">
        <v>9144</v>
      </c>
      <c r="E62" s="610" t="s">
        <v>202</v>
      </c>
      <c r="F62" s="609">
        <f>VLOOKUP(B62,[9]BMW!$A$5:$C$64,3,0)</f>
        <v>0.68</v>
      </c>
      <c r="G62" s="527">
        <f>VLOOKUP(B62,[9]MINI!$A$5:$C$58,3,0)</f>
        <v>0.75</v>
      </c>
      <c r="H62" s="524"/>
      <c r="I62" s="527"/>
      <c r="J62" s="524"/>
      <c r="K62" s="532"/>
    </row>
    <row r="63" spans="2:11" s="4" customFormat="1" ht="15" customHeight="1" x14ac:dyDescent="0.25">
      <c r="B63" s="8">
        <v>100589</v>
      </c>
      <c r="C63" s="369" t="s">
        <v>17</v>
      </c>
      <c r="D63" s="8">
        <v>9144</v>
      </c>
      <c r="E63" s="610" t="s">
        <v>202</v>
      </c>
      <c r="F63" s="609">
        <f>VLOOKUP(B63,[9]BMW!$A$5:$C$64,3,0)</f>
        <v>0.96</v>
      </c>
      <c r="G63" s="527">
        <f>VLOOKUP(B63,[9]MINI!$A$5:$C$58,3,0)</f>
        <v>1</v>
      </c>
      <c r="H63" s="524"/>
      <c r="I63" s="527"/>
      <c r="J63" s="524"/>
      <c r="K63" s="532"/>
    </row>
    <row r="64" spans="2:11" s="4" customFormat="1" ht="15" customHeight="1" x14ac:dyDescent="0.25">
      <c r="B64" s="8">
        <v>100819</v>
      </c>
      <c r="C64" s="369" t="s">
        <v>74</v>
      </c>
      <c r="D64" s="8">
        <v>9144</v>
      </c>
      <c r="E64" s="610" t="s">
        <v>202</v>
      </c>
      <c r="F64" s="609">
        <f>VLOOKUP(B64,[9]BMW!$A$5:$C$64,3,0)</f>
        <v>0.63</v>
      </c>
      <c r="G64" s="527">
        <f>VLOOKUP(B64,[9]MINI!$A$5:$C$58,3,0)</f>
        <v>1</v>
      </c>
      <c r="H64" s="524"/>
      <c r="I64" s="527"/>
      <c r="J64" s="524"/>
      <c r="K64" s="532"/>
    </row>
    <row r="65" spans="2:11" s="4" customFormat="1" ht="15" customHeight="1" thickBot="1" x14ac:dyDescent="0.3">
      <c r="B65" s="8">
        <v>100881</v>
      </c>
      <c r="C65" s="369" t="s">
        <v>163</v>
      </c>
      <c r="D65" s="8">
        <v>52622</v>
      </c>
      <c r="E65" s="610" t="s">
        <v>164</v>
      </c>
      <c r="F65" s="609">
        <f>VLOOKUP(B65,[9]BMW!$A$5:$C$64,3,0)</f>
        <v>1</v>
      </c>
      <c r="G65" s="527">
        <f>VLOOKUP(B65,[9]MINI!$A$5:$C$58,3,0)</f>
        <v>1</v>
      </c>
      <c r="H65" s="524"/>
      <c r="I65" s="527"/>
      <c r="J65" s="524"/>
      <c r="K65" s="532"/>
    </row>
    <row r="66" spans="2:11" s="4" customFormat="1" ht="15" customHeight="1" thickBot="1" x14ac:dyDescent="0.3">
      <c r="B66" s="611" t="s">
        <v>272</v>
      </c>
      <c r="C66" s="517"/>
      <c r="D66" s="515"/>
      <c r="E66" s="516"/>
      <c r="F66" s="518">
        <f t="shared" ref="F66:K66" si="9">IFERROR(AVERAGE(F60:F65),0)</f>
        <v>0.82333333333333325</v>
      </c>
      <c r="G66" s="518">
        <f t="shared" si="9"/>
        <v>0.90166666666666673</v>
      </c>
      <c r="H66" s="518">
        <f t="shared" si="9"/>
        <v>0</v>
      </c>
      <c r="I66" s="518">
        <f t="shared" si="9"/>
        <v>0</v>
      </c>
      <c r="J66" s="518">
        <f t="shared" si="9"/>
        <v>0</v>
      </c>
      <c r="K66" s="518">
        <f t="shared" si="9"/>
        <v>0</v>
      </c>
    </row>
    <row r="67" spans="2:11" s="4" customFormat="1" ht="13" thickBot="1" x14ac:dyDescent="0.3">
      <c r="B67" s="8">
        <v>12345</v>
      </c>
      <c r="C67" s="369" t="s">
        <v>278</v>
      </c>
      <c r="D67" s="8">
        <v>12345</v>
      </c>
      <c r="E67" s="610"/>
      <c r="F67" s="609" t="e">
        <f>VLOOKUP(B67,[9]BMW!$A$5:$C$64,3,0)</f>
        <v>#N/A</v>
      </c>
      <c r="G67" s="527" t="e">
        <f>(#REF!+A67)/2</f>
        <v>#REF!</v>
      </c>
      <c r="H67" s="524"/>
      <c r="I67" s="527"/>
      <c r="J67" s="524"/>
      <c r="K67" s="532"/>
    </row>
    <row r="68" spans="2:11" ht="13" thickBot="1" x14ac:dyDescent="0.3">
      <c r="B68" s="6" t="s">
        <v>27</v>
      </c>
      <c r="C68" s="519"/>
      <c r="D68" s="520"/>
      <c r="E68" s="612"/>
      <c r="F68" s="528" t="e">
        <f t="shared" ref="F68:K68" si="10">(F67+F57+F48+F38+F29+F16)/6</f>
        <v>#N/A</v>
      </c>
      <c r="G68" s="529" t="e">
        <f t="shared" si="10"/>
        <v>#REF!</v>
      </c>
      <c r="H68" s="528">
        <f t="shared" si="10"/>
        <v>0</v>
      </c>
      <c r="I68" s="529">
        <f t="shared" si="10"/>
        <v>0</v>
      </c>
      <c r="J68" s="521">
        <f t="shared" si="10"/>
        <v>0</v>
      </c>
      <c r="K68" s="522">
        <f t="shared" si="10"/>
        <v>0</v>
      </c>
    </row>
    <row r="69" spans="2:11" x14ac:dyDescent="0.25">
      <c r="B69" s="2"/>
    </row>
    <row r="73" spans="2:11" ht="14.5" customHeight="1" x14ac:dyDescent="0.25"/>
  </sheetData>
  <mergeCells count="7">
    <mergeCell ref="A1:Q1"/>
    <mergeCell ref="J3:K3"/>
    <mergeCell ref="B3:B4"/>
    <mergeCell ref="C3:C4"/>
    <mergeCell ref="D3:E4"/>
    <mergeCell ref="F3:G3"/>
    <mergeCell ref="H3:I3"/>
  </mergeCells>
  <conditionalFormatting sqref="A1">
    <cfRule type="duplicateValues" dxfId="22" priority="68"/>
  </conditionalFormatting>
  <printOptions horizontalCentered="1" verticalCentered="1"/>
  <pageMargins left="3.937007874015748E-2" right="3.937007874015748E-2" top="3.937007874015748E-2" bottom="3.937007874015748E-2" header="0" footer="0"/>
  <pageSetup paperSize="9" scale="45" orientation="landscape" r:id="rId1"/>
  <headerFooter alignWithMargins="0">
    <oddFooter>&amp;C_x000D_&amp;1#&amp;"BMW Group Condensed"&amp;12&amp;KC00000 CONFIDENTIAL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E154-8789-463E-9763-C450AADE3564}">
  <sheetPr codeName="Hoja13">
    <tabColor theme="7" tint="0.39997558519241921"/>
    <pageSetUpPr fitToPage="1"/>
  </sheetPr>
  <dimension ref="B2:X104"/>
  <sheetViews>
    <sheetView workbookViewId="0"/>
  </sheetViews>
  <sheetFormatPr baseColWidth="10" defaultColWidth="8.7265625" defaultRowHeight="17.5" x14ac:dyDescent="0.35"/>
  <cols>
    <col min="1" max="1" width="8.7265625" style="438"/>
    <col min="2" max="2" width="10.54296875" style="440" customWidth="1"/>
    <col min="3" max="3" width="10.54296875" style="437" customWidth="1"/>
    <col min="4" max="4" width="9.26953125" style="474" customWidth="1"/>
    <col min="5" max="5" width="6.54296875" style="474" customWidth="1"/>
    <col min="6" max="6" width="32" style="438" customWidth="1"/>
    <col min="7" max="7" width="11.1796875" style="438" customWidth="1"/>
    <col min="8" max="8" width="9.81640625" style="438" customWidth="1"/>
    <col min="9" max="9" width="10.54296875" style="438" customWidth="1"/>
    <col min="10" max="10" width="9.1796875" style="438" customWidth="1"/>
    <col min="11" max="11" width="28.81640625" style="438" customWidth="1"/>
    <col min="12" max="12" width="9.1796875" style="438" customWidth="1"/>
    <col min="13" max="13" width="10.453125" style="438" customWidth="1"/>
    <col min="14" max="14" width="16.1796875" style="439" customWidth="1"/>
    <col min="15" max="15" width="9.453125" style="439" customWidth="1"/>
    <col min="16" max="21" width="8.7265625" style="439"/>
    <col min="22" max="22" width="14.1796875" style="439" bestFit="1" customWidth="1"/>
    <col min="23" max="23" width="9.81640625" style="438" bestFit="1" customWidth="1"/>
    <col min="24" max="16384" width="8.7265625" style="438"/>
  </cols>
  <sheetData>
    <row r="2" spans="2:24" x14ac:dyDescent="0.35">
      <c r="B2" s="436"/>
      <c r="D2" s="438"/>
      <c r="E2" s="438"/>
    </row>
    <row r="3" spans="2:24" ht="36" customHeight="1" x14ac:dyDescent="0.35">
      <c r="C3" s="772" t="s">
        <v>224</v>
      </c>
      <c r="D3" s="772"/>
      <c r="E3" s="772"/>
      <c r="F3" s="481" t="s">
        <v>251</v>
      </c>
      <c r="G3" s="499" t="s">
        <v>7</v>
      </c>
      <c r="H3" s="500"/>
      <c r="I3" s="480" t="str">
        <f>IF(F3="SEMESTRE 1", "ENERO - JUNIO",  IF(F3="SEMESTRE 2", "JULIO - DICIEMBRE", ""))</f>
        <v/>
      </c>
      <c r="J3" s="480"/>
      <c r="K3" s="480">
        <v>2025</v>
      </c>
      <c r="L3" s="480"/>
      <c r="M3" s="480"/>
    </row>
    <row r="4" spans="2:24" x14ac:dyDescent="0.35">
      <c r="D4" s="441"/>
      <c r="E4" s="438"/>
    </row>
    <row r="5" spans="2:24" ht="31.5" x14ac:dyDescent="0.35">
      <c r="D5" s="442" t="s">
        <v>231</v>
      </c>
      <c r="E5" s="648" t="s">
        <v>26</v>
      </c>
      <c r="F5" s="648"/>
      <c r="G5" s="648"/>
      <c r="H5" s="648"/>
      <c r="I5" s="648"/>
      <c r="J5" s="648"/>
      <c r="K5" s="648"/>
      <c r="L5" s="648"/>
      <c r="M5" s="443"/>
    </row>
    <row r="6" spans="2:24" ht="8.25" customHeight="1" x14ac:dyDescent="0.35">
      <c r="D6" s="444"/>
      <c r="E6" s="445"/>
      <c r="F6" s="445"/>
      <c r="G6" s="445"/>
      <c r="H6" s="445"/>
      <c r="I6" s="445"/>
      <c r="J6" s="445"/>
      <c r="K6" s="445"/>
      <c r="L6" s="445"/>
    </row>
    <row r="7" spans="2:24" ht="8.25" customHeight="1" x14ac:dyDescent="0.35">
      <c r="D7" s="444"/>
      <c r="E7" s="445"/>
      <c r="F7" s="445"/>
      <c r="G7" s="445"/>
      <c r="H7" s="445"/>
      <c r="I7" s="445"/>
      <c r="J7" s="445"/>
      <c r="K7" s="445"/>
      <c r="L7" s="445"/>
    </row>
    <row r="8" spans="2:24" ht="8.25" customHeight="1" x14ac:dyDescent="0.35">
      <c r="D8" s="444"/>
      <c r="E8" s="445"/>
      <c r="F8" s="445"/>
      <c r="G8" s="445"/>
      <c r="H8" s="445"/>
      <c r="I8" s="445"/>
      <c r="J8" s="445"/>
      <c r="K8" s="445"/>
      <c r="L8" s="445"/>
    </row>
    <row r="9" spans="2:24" s="449" customFormat="1" x14ac:dyDescent="0.35">
      <c r="B9" s="446"/>
      <c r="C9" s="447"/>
      <c r="D9" s="448"/>
      <c r="K9" s="453"/>
      <c r="L9" s="453"/>
      <c r="M9" s="450"/>
      <c r="N9" s="451"/>
      <c r="O9" s="451"/>
      <c r="P9" s="451"/>
      <c r="Q9" s="451"/>
      <c r="R9" s="451"/>
      <c r="S9" s="451"/>
      <c r="T9" s="451"/>
      <c r="U9" s="451"/>
      <c r="V9" s="451"/>
    </row>
    <row r="10" spans="2:24" ht="10.5" customHeight="1" x14ac:dyDescent="0.35">
      <c r="D10" s="452"/>
      <c r="E10" s="438"/>
      <c r="I10" s="449"/>
      <c r="J10" s="449"/>
      <c r="K10" s="439"/>
      <c r="L10" s="439"/>
      <c r="M10" s="439"/>
    </row>
    <row r="11" spans="2:24" ht="20.25" customHeight="1" thickBot="1" x14ac:dyDescent="0.4">
      <c r="B11" s="470"/>
      <c r="C11" s="501"/>
      <c r="D11" s="456"/>
      <c r="E11" s="460"/>
      <c r="H11" s="461"/>
      <c r="I11" s="486"/>
      <c r="J11" s="486"/>
      <c r="K11" s="439"/>
      <c r="L11" s="439"/>
      <c r="M11" s="439"/>
    </row>
    <row r="12" spans="2:24" ht="21" customHeight="1" thickBot="1" x14ac:dyDescent="0.4">
      <c r="B12" s="470"/>
      <c r="C12" s="501"/>
      <c r="D12" s="456"/>
      <c r="E12" s="460"/>
      <c r="F12" s="485" t="s">
        <v>223</v>
      </c>
      <c r="G12" s="649" t="s">
        <v>225</v>
      </c>
      <c r="H12" s="650"/>
      <c r="I12" s="651" t="s">
        <v>226</v>
      </c>
      <c r="J12" s="652"/>
      <c r="K12" s="487"/>
      <c r="L12" s="483">
        <f ca="1">G48</f>
        <v>0</v>
      </c>
      <c r="O12" s="482">
        <f ca="1">G49</f>
        <v>0</v>
      </c>
      <c r="U12" s="439" cm="1">
        <f t="array" aca="1" ref="U12" ca="1">IFERROR(
  IF(F3="Acumulado Mes",
    SUMPRODUCT(
      INDEX('UC BMW 2026 BPS'!$F$12:$DH$67,
        MATCH(E5, 'UC BMW 2026 BPS'!$C$12:$C$67, 0),
        {1,7,13,19,25,31,37,43,49,55,61,67}),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IF($G$3="Acumulado Mes 2º S", {0,0,0,0,0,0,1,1,1,1,1,1},
        {0,0,0,0,0,0,0,0,0,0,0,0}))))))))))))))),
    INDEX('UC BMW 2026 BPS'!$F$12:$DH$67,
      MATCH(E5, 'UC BMW 2026 BPS'!$C$12:$C$67, 0),
      IF(F3="ENERO", 1,
      IF(F3="FEBRERO", 7,
      IF(F3="MARZO", 13,
      IF(F3="ABRIL", 19,
      IF(F3="MAYO", 25,
      IF(F3="JUNIO", 31,
      IF(F3="JULIO", 37,
      IF(F3="AGOSTO", 43,
      IF(F3="SEPTIEMBRE", 49,
      IF(F3="OCTUBRE", 55,
      IF(F3="NOVIEMBRE", 61,
      IF(F3="DICIEMBRE", 67,
      IF(F3="ANUAL", 80,
      IF(F3="SEMESTRE 1", 94,
      IF(F3="SEMESTRE 2", 101,
      IF(F3="Acumulado Mes 2º S", 101, 0)))))))))))))))))),
  "No encontrado")</f>
        <v>0</v>
      </c>
      <c r="V12" s="439" cm="1">
        <f t="array" aca="1" ref="V12" ca="1">IFERROR(
  IF(OR(F3="Acumulado Mes", F3="Acumulado Mes 2º S"),
    SUMPRODUCT(
      INDEX('UC BMW 2026 BPS'!$F$12:$DH$67,
        MATCH(E5, 'UC BMW 2026 BPS'!$C$12:$C$67, 0),
        IF(F3="Acumulado Mes 2º S", {37;43;49;55;61;67}, {1;7;13;19;25;31;37;43;49;55;61;67})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SUM(
    INDEX('UC BMW 2026 BPS'!$F$12:$DH$67,
      MATCH(E5, 'UC BMW 2026 BPS'!$C$12:$C$67, 0),
      IF(F3="ENERO", 1,
      IF(F3="FEBRERO", 7,
      IF(F3="MARZO", 13,
      IF(F3="ABRIL", 19,
      IF(F3="MAYO", 25,
      IF(F3="JUNIO", 31,
      IF(F3="JULIO", 37,
      IF(F3="AGOSTO", 43,
      IF(F3="SEPTIEMBRE", 49,
      IF(F3="OCTUBRE", 55,
      IF(F3="NOVIEMBRE", 61,
      IF(F3="DICIEMBRE", 67,
      IF(F3="ANUAL", 80,
      IF(F3="SEMESTRE 1", 94,
      IF(F3="SEMESTRE 2", 101, 0)
      ))))))))))))))
  ),
  "No encontrado"
))</f>
        <v>0</v>
      </c>
      <c r="W12" s="439" cm="1">
        <f t="array" aca="1" ref="W12" ca="1">IFERROR(
  IF(OR(F3="Acumulado Mes", F3="Acumulado Mes 2º S"),
    SUMPRODUCT(
      INDEX('UC BMW 2026 BPS'!$F$12:$DH$67,
        MATCH(E5, 'UC BMW 2026 BPS'!$C$12:$C$67, 0),
        IF(F3="Acumulado Mes 2º S", {37;43;49;55;61;67}, {1;7;13;19;25;31;37;43;49;55;61;67})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  ),
    INDEX('UC BMW 2026 BPS'!$F$12:$DH$67,
      MATCH(E5, 'UC BMW 2026 BPS'!$C$12:$C$67, 0),
      IF(F3="ENERO", 1,
      IF(F3="FEBRERO", 7,
      IF(F3="MARZO", 13,
      IF(F3="ABRIL", 19,
      IF(F3="MAYO", 25,
      IF(F3="JUNIO", 31,
      IF(F3="JULIO", 37,
      IF(F3="AGOSTO", 43,
      IF(F3="SEPTIEMBRE", 49,
      IF(F3="OCTUBRE", 55,
      IF(F3="NOVIEMBRE", 61,
      IF(F3="DICIEMBRE", 67,
      IF(F3="ANUAL", 80,
      IF(F3="SEMESTRE 1", 94,
      IF(F3="SEMESTRE 2", 101, 0))))))))))))))
  ),
  "No encontrado"
))</f>
        <v>0</v>
      </c>
      <c r="X12" s="438" cm="1">
        <f t="array" ref="X12">IFERROR(
  IF(OR(F3="Acumulado Mes", F3="Acumulado Mes 2º S"),
    SUMPRODUCT(
      INDEX('UC MINI 2026 MINI NEXT'!$F$12:$DT$64,
        MATCH(E5, 'UC MINI 2026 MINI NEXT'!$C$12:$C$63, 0),
        IF(F3="Acumulado Mes 2º S", {43;50;57;64;71;78}, {1;8;15;22;29;36;43;50;57;64;71;78})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MINI 2026 MINI NEXT'!$F$12:$DT$64,
    MATCH(E5, 'UC MINI 2026 MINI NEXT'!$C$12:$C$63, 0),
    IF(F3="ENERO", 1,
    IF(F3="FEBRERO", 8,
    IF(F3="MARZO", 15,
    IF(F3="ABRIL", 22,
    IF(F3="MAYO", 29,
    IF(F3="JUNIO", 36,
    IF(F3="JULIO", 43,
    IF(F3="AGOSTO", 50,
    IF(F3="SEPTIEMBRE", 57,
    IF(F3="OCTUBRE", 64,
    IF(F3="NOVIEMBRE", 71,
    IF(F3="DICIEMBRE", 78,
    IF(F3="ANUAL", 92,
    IF(F3="SEMESTRE 1", 106,
    IF(F3="SEMESTRE 2", 113, 0)
    )))))))))))))
  ),
  "No encontrado"
))</f>
        <v>0</v>
      </c>
    </row>
    <row r="13" spans="2:24" ht="21" customHeight="1" x14ac:dyDescent="0.35">
      <c r="B13" s="470"/>
      <c r="C13" s="501"/>
      <c r="D13" s="456"/>
      <c r="E13" s="460"/>
      <c r="F13" s="488" t="s">
        <v>232</v>
      </c>
      <c r="G13" s="653" t="e" cm="1" vm="1">
        <f t="array" aca="1" ref="G13" ca="1">IFERROR(
  IF(F3="Acumulado Mes",
    SUMPRODUCT(
      INDEX('UC BMW 2026 BPS'!$F$12:$DH$67,
        MATCH(E5, 'UC BMW 2026 BPS'!$C$12:$C$67, 0),
        {1,7,13,19,25,31,37,43,49,55,61,67}),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BMW 2026 BPS'!$F$12:$DH$67,
      MATCH(E5, 'UC BMW 2026 BPS'!$C$12:$C$67, 0),
      IF(F3="ENERO", 1,
      IF(F3="FEBRERO", 7,
      IF(F3="MARZO", 13,
      IF(F3="ABRIL", 19,
      IF(F3="MAYO", 25,
      IF(F3="JUNIO", 31,
      IF(F3="JULIO", 37,
      IF(F3="AGOSTO", 43,
      IF(F3="SEPTIEMBRE", 49,
      IF(F3="OCTUBRE", 55,
      IF(F3="NOVIEMBRE", 61,
      IF(F3="DICIEMBRE", 67,
      IF(F3="ANUAL", 80,
      IF(F3="SEMESTRE 1", 94,
      IF(F3="SEMESTRE 2", 101, 0))))))))))))))))),
  "No encontrado")</f>
        <v>#VALUE!</v>
      </c>
      <c r="H13" s="654"/>
      <c r="I13" s="655" t="e" cm="1" vm="2">
        <f t="array" aca="1" ref="I13" ca="1">IFERROR(
  IF(F3="Acumulado Mes",
    SUMPRODUCT(
      INDEX('UC MINI 2026 MINI NEXT'!$F$12:$DT$64,
        MATCH(E5, 'UC MINI 2026 MINI NEXT'!$C$12:$C$63, 0),
        {1,8,15,22,29,36,43,50,57,64,71,78}),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MINI 2026 MINI NEXT'!$F$12:$DT$64,
      MATCH(E5, 'UC MINI 2026 MINI NEXT'!$C$12:$C$63, 0),
      IF(F3="ENERO", 1,
      IF(F3="FEBRERO", 8,
      IF(F3="MARZO", 15,
      IF(F3="ABRIL", 22,
      IF(F3="MAYO", 29,
      IF(F3="JUNIO", 36,
      IF(F3="JULIO", 43,
      IF(F3="AGOSTO", 50,
      IF(F3="SEPTIEMBRE", 57,
      IF(F3="OCTUBRE", 64,
      IF(F3="NOVIEMBRE", 71,
      IF(F3="DICIEMBRE", 78,
      IF(F3="ANUAL", 92,
      IF(F3="SEMESTRE 1", 106,
      IF(F3="SEMESTRE 2", 113, 0))))))))))))))))),
  "No encontrado")</f>
        <v>#VALUE!</v>
      </c>
      <c r="J13" s="656"/>
      <c r="K13" s="439"/>
      <c r="U13" s="506"/>
      <c r="V13" s="506"/>
    </row>
    <row r="14" spans="2:24" ht="20.5" customHeight="1" x14ac:dyDescent="0.35">
      <c r="B14" s="470"/>
      <c r="C14" s="501"/>
      <c r="D14" s="456"/>
      <c r="E14" s="460"/>
      <c r="F14" s="489" t="s">
        <v>233</v>
      </c>
      <c r="G14" s="657" t="e" cm="1" vm="1">
        <f t="array" aca="1" ref="G14" ca="1">IFERROR(
  IF(F3="Acumulado Mes",
    SUMPRODUCT(
      INDEX('UC BMW 2026 BPS'!$F$12:$DH$67,
        MATCH(E5, 'UC BMW 2026 BPS'!$C$12:$C$67, 0),
        {2,8,14,20,26,32,38,44,50,56,62,68}),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BMW 2026 BPS'!$F$12:$DH$67,
      MATCH(E5, 'UC BMW 2026 BPS'!$C$12:$C$67, 0),
      IF(F3="ENERO", 2,
      IF(F3="FEBRERO", 8,
      IF(F3="MARZO", 14,
      IF(F3="ABRIL", 20,
      IF(F3="MAYO", 26,
      IF(F3="JUNIO", 32,
      IF(F3="JULIO", 38,
      IF(F3="AGOSTO", 44,
      IF(F3="SEPTIEMBRE", 50,
      IF(F3="OCTUBRE", 56,
      IF(F3="NOVIEMBRE", 62,
      IF(F3="DICIEMBRE", 68,
      IF(F3="ANUAL", 81,
      IF(F3="SEMESTRE 1", 95,
      IF(F3="SEMESTRE 2", 102, 0))))))))))))))))),
  "No encontrado")</f>
        <v>#VALUE!</v>
      </c>
      <c r="H14" s="658"/>
      <c r="I14" s="659" t="e" cm="1" vm="2">
        <f t="array" aca="1" ref="I14" ca="1">IFERROR(
  IF(F3="Acumulado Mes",
    SUMPRODUCT(
      INDEX('UC MINI 2026 MINI NEXT'!$F$12:$DT$64,
        MATCH(E5, 'UC MINI 2026 MINI NEXT'!$C$12:$C$63, 0),
        {2,9,16,23,30,37,44,51,58,65,72,79}),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MINI 2026 MINI NEXT'!$F$12:$DT$64,
      MATCH(E5, 'UC MINI 2026 MINI NEXT'!$C$12:$C$63, 0),
      IF(F3="ENERO", 2,
      IF(F3="FEBRERO", 9,
      IF(F3="MARZO", 16,
      IF(F3="ABRIL", 23,
      IF(F3="MAYO", 30,
      IF(F3="JUNIO", 37,
      IF(F3="JULIO", 44,
      IF(F3="AGOSTO", 51,
      IF(F3="SEPTIEMBRE", 58,
      IF(F3="OCTUBRE", 65,
      IF(F3="NOVIEMBRE", 72,
      IF(F3="DICIEMBRE", 79,
      IF(F3="ANUAL", 93,
      IF(F3="SEMESTRE 1", 107,
      IF(F3="SEMESTRE 2", 114, 0))))))))))))))))),
  "No encontrado")</f>
        <v>#VALUE!</v>
      </c>
      <c r="J14" s="660"/>
      <c r="K14" s="487"/>
      <c r="W14" s="438" cm="1">
        <f t="array" aca="1" ref="W14" ca="1">IFERROR(
  IF(OR(F3="Acumulado Mes", F3="Acumulado Mes 2º S"),
    SUMPRODUCT(
      INDEX('UC BMW 2026 BPS'!$F$12:$DH$67,
        MATCH(E5, 'UC BMW 2026 BPS'!$C$12:$C$67, 0),
        IF(F3="Acumulado Mes 2º S", {38;44;50;56;62;68}, {2;8;14;20;26;32;38;44;50;56;62;68})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BMW 2026 BPS'!$F$12:$DH$67,
    MATCH(E5, 'UC BMW 2026 BPS'!$C$12:$C$67, 0),
    IF(F3="ENERO", 2,
    IF(F3="FEBRERO", 8,
    IF(F3="MARZO", 14,
    IF(F3="ABRIL", 20,
    IF(F3="MAYO", 26,
    IF(F3="JUNIO", 32,
    IF(F3="JULIO", 38,
    IF(F3="AGOSTO", 44,
    IF(F3="SEPTIEMBRE", 50,
    IF(F3="OCTUBRE", 56,
    IF(F3="NOVIEMBRE", 62,
    IF(F3="DICIEMBRE", 68,
    IF(F3="ANUAL", 81,
    IF(F3="SEMESTRE 1", 95,
    IF(F3="SEMESTRE 2", 102, 0)
    )))))))))))))
  ),
  "No encontrado"
))</f>
        <v>0</v>
      </c>
      <c r="X14" s="438" cm="1">
        <f t="array" ref="X14">IFERROR(
  IF(OR(F3="Acumulado Mes", F3="Acumulado Mes 2º S"),
    SUMPRODUCT(
      INDEX('UC MINI 2026 MINI NEXT'!$F$12:$DT$64,
        MATCH(E5, 'UC MINI 2026 MINI NEXT'!$C$12:$C$63, 0),
        IF(F3="Acumulado Mes 2º S", {44;51;58;65;72;79}, {2;9;16;23;30;37;44;51;58;65;72;79})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MINI 2026 MINI NEXT'!$F$12:$DT$64,
    MATCH(E5, 'UC MINI 2026 MINI NEXT'!$C$12:$C$63, 0),
    IF(F3="ENERO", 2,
    IF(F3="FEBRERO", 9,
    IF(F3="MARZO", 16,
    IF(F3="ABRIL", 23,
    IF(F3="MAYO", 30,
    IF(F3="JUNIO", 37,
    IF(F3="JULIO", 44,
    IF(F3="AGOSTO", 51,
    IF(F3="SEPTIEMBRE", 58,
    IF(F3="OCTUBRE", 65,
    IF(F3="NOVIEMBRE", 72,
    IF(F3="DICIEMBRE", 79,
    IF(F3="ANUAL", 93,
    IF(F3="SEMESTRE 1", 107,
    IF(F3="SEMESTRE 2", 114, 0)
    )))))))))))))
  ),
  "No encontrado"
))</f>
        <v>0</v>
      </c>
    </row>
    <row r="15" spans="2:24" ht="21" customHeight="1" x14ac:dyDescent="0.35">
      <c r="B15" s="470"/>
      <c r="C15" s="501"/>
      <c r="D15" s="456"/>
      <c r="E15" s="460"/>
      <c r="F15" s="489" t="s">
        <v>241</v>
      </c>
      <c r="G15" s="661">
        <f ca="1">IFERROR(G14/G13,0)</f>
        <v>0</v>
      </c>
      <c r="H15" s="662"/>
      <c r="I15" s="661">
        <f ca="1">IFERROR(I14/I13,0)</f>
        <v>0</v>
      </c>
      <c r="J15" s="662"/>
      <c r="K15" s="439"/>
    </row>
    <row r="16" spans="2:24" ht="18" customHeight="1" x14ac:dyDescent="0.35">
      <c r="B16" s="462"/>
      <c r="C16" s="454"/>
      <c r="D16" s="463"/>
      <c r="E16" s="464"/>
      <c r="F16" s="489" t="s">
        <v>234</v>
      </c>
      <c r="G16" s="663" t="e" cm="1" vm="1">
        <f t="array" aca="1" ref="G16" ca="1">IFERROR(
  IF(F3="Acumulado Mes",
    SUMPRODUCT(
      INDEX('UC BMW 2026 BPS'!$F$12:$DH$67,
        MATCH(E5, 'UC BMW 2026 BPS'!$C$12:$C$67, 0),
        {3,9,15,21,27,33,39,45,51,57,63,69}),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BMW 2026 BPS'!$F$12:$DH$67,
      MATCH(E5, 'UC BMW 2026 BPS'!$C$12:$C$67, 0),
      IF(F3="ENERO", 3,
      IF(F3="FEBRERO", 9,
      IF(F3="MARZO", 15,
      IF(F3="ABRIL", 21,
      IF(F3="MAYO", 27,
      IF(F3="JUNIO", 33,
      IF(F3="JULIO", 39,
      IF(F3="AGOSTO", 45,
      IF(F3="SEPTIEMBRE", 51,
      IF(F3="OCTUBRE", 57,
      IF(F3="NOVIEMBRE", 63,
      IF(F3="DICIEMBRE", 69,
      IF(F3="ANUAL", 83,
      IF(F3="SEMESTRE 1", 97,
      IF(F3="SEMESTRE 2", 104, 0))))))))))))))))),
  "No encontrado")</f>
        <v>#VALUE!</v>
      </c>
      <c r="H16" s="664"/>
      <c r="I16" s="659" t="e" cm="1" vm="2">
        <f t="array" aca="1" ref="I16" ca="1">IFERROR(
  IF(F3="Acumulado Mes",
    SUMPRODUCT(
      INDEX('UC MINI 2026 MINI NEXT'!$F$12:$DT$64,
        MATCH(E5, 'UC MINI 2026 MINI NEXT'!$C$12:$C$63, 0),
        {4,11,18,25,32,39,46,53,60,67,74,81}),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MINI 2026 MINI NEXT'!$F$12:$DT$64,
      MATCH(E5, 'UC MINI 2026 MINI NEXT'!$C$12:$C$63, 0),
      IF(F3="ENERO", 4,
      IF(F3="FEBRERO", 11,
      IF(F3="MARZO", 18,
      IF(F3="ABRIL", 25,
      IF(F3="MAYO", 32,
      IF(F3="JUNIO", 39,
      IF(F3="JULIO", 46,
      IF(F3="AGOSTO", 53,
      IF(F3="SEPTIEMBRE", 60,
      IF(F3="OCTUBRE", 67,
      IF(F3="NOVIEMBRE", 74,
      IF(F3="DICIEMBRE", 81,
      IF(F3="ANUAL", 95,
      IF(F3="SEMESTRE 1", 109,
      IF(F3="SEMESTRE 2", 116, 0))))))))))))))))),
  "No encontrado")</f>
        <v>#VALUE!</v>
      </c>
      <c r="J16" s="660"/>
      <c r="K16" s="439"/>
      <c r="R16" s="506"/>
      <c r="W16" s="438" cm="1">
        <f t="array" ref="W16">IFERROR(
  IF(OR(F3="Acumulado Mes", F3="Acumulado Mes 2º S"),
    SUMPRODUCT(
      INDEX('UC BMW 2026 BPS'!$F$12:$DH$67,
        MATCH(E5, 'UC BMW 2026 BPS'!$C$12:$C$67, 0),
        IF(F3="Acumulado Mes 2º S", {39;45;51;57;63;69}, {3;9;15;21;27;33;39;45;51;57;63;69})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BMW 2026 BPS'!$F$12:$DH$67,
    MATCH(E5, 'UC BMW 2026 BPS'!$C$12:$C$67, 0),
    IF(F3="ENERO", 3,
    IF(F3="FEBRERO", 9,
    IF(F3="MARZO", 15,
    IF(F3="ABRIL", 21,
    IF(F3="MAYO", 27,
    IF(F3="JUNIO", 33,
    IF(F3="JULIO", 39,
    IF(F3="AGOSTO", 45,
    IF(F3="SEPTIEMBRE", 51,
    IF(F3="OCTUBRE", 57,
    IF(F3="NOVIEMBRE", 63,
    IF(F3="DICIEMBRE", 69,
    IF(F3="ANUAL", 83,
    IF(F3="SEMESTRE 1", 97,
    IF(F3="SEMESTRE 2", 104, 0)
    )))))))))))))
  ),
  "No encontrado"
))</f>
        <v>0</v>
      </c>
      <c r="X16" s="438" cm="1">
        <f t="array" ref="X16">IFERROR(
  IF(OR(F3="Acumulado Mes", F3="Acumulado Mes 2º S"),
    SUMPRODUCT(
      INDEX('UC MINI 2026 MINI NEXT'!$F$12:$DT$64,
        MATCH(E5, 'UC MINI 2026 MINI NEXT'!$C$12:$C$63, 0),
        IF(F3="Acumulado Mes 2º S", {46;53;60;67;74;81}, {4;11;18;25;32;39;46;53;60;67;74;81})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MINI 2026 MINI NEXT'!$F$12:$DT$64,
    MATCH(E5, 'UC MINI 2026 MINI NEXT'!$C$12:$C$63, 0),
    IF(F3="ENERO", 4,
    IF(F3="FEBRERO", 11,
    IF(F3="MARZO", 18,
    IF(F3="ABRIL", 25,
    IF(F3="MAYO", 32,
    IF(F3="JUNIO", 39,
    IF(F3="JULIO", 46,
    IF(F3="AGOSTO", 53,
    IF(F3="SEPTIEMBRE", 60,
    IF(F3="OCTUBRE", 67,
    IF(F3="NOVIEMBRE", 74,
    IF(F3="DICIEMBRE", 81,
    IF(F3="ANUAL", 95,
    IF(F3="SEMESTRE 1", 109,
    IF(F3="SEMESTRE 2", 116, 0)
    )))))))))))))
  ),
  "No encontrado"
))</f>
        <v>0</v>
      </c>
    </row>
    <row r="17" spans="2:24" ht="18" customHeight="1" x14ac:dyDescent="0.35">
      <c r="B17" s="462"/>
      <c r="C17" s="454"/>
      <c r="D17" s="463"/>
      <c r="E17" s="464"/>
      <c r="F17" s="489" t="s">
        <v>227</v>
      </c>
      <c r="G17" s="661">
        <f ca="1">IFERROR(G16/G14,0)</f>
        <v>0</v>
      </c>
      <c r="H17" s="662"/>
      <c r="I17" s="671">
        <f ca="1">IFERROR(I16/I14,0)</f>
        <v>0</v>
      </c>
      <c r="J17" s="672"/>
      <c r="K17" s="439"/>
    </row>
    <row r="18" spans="2:24" ht="18" customHeight="1" x14ac:dyDescent="0.35">
      <c r="B18" s="462"/>
      <c r="C18" s="454"/>
      <c r="D18" s="463"/>
      <c r="E18" s="464"/>
      <c r="F18" s="489" t="s">
        <v>208</v>
      </c>
      <c r="G18" s="673" t="e" cm="1" vm="1">
        <f t="array" aca="1" ref="G18" ca="1">IFERROR(
  IF(F3="Acumulado Mes",
    SUMPRODUCT(
      INDEX('UC BMW 2026 BPS'!$F$12:$DH$67,
        MATCH(E5, 'UC BMW 2026 BPS'!$C$12:$C$67, 0),
        {5,11,17,23,29,35,41,47,53,59,65,71}),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BMW 2026 BPS'!$F$12:$DH$67,
      MATCH(E5, 'UC BMW 2026 BPS'!$C$12:$C$67, 0),
      IF(F3="ENERO", 5,
      IF(F3="FEBRERO", 11,
      IF(F3="MARZO", 17,
      IF(F3="ABRIL", 23,
      IF(F3="MAYO", 29,
      IF(F3="JUNIO", 35,
      IF(F3="JULIO", 41,
      IF(F3="AGOSTO", 47,
      IF(F3="SEPTIEMBRE", 53,
      IF(F3="OCTUBRE", 59,
      IF(F3="NOVIEMBRE", 65,
      IF(F3="DICIEMBRE", 71,
      IF(F3="ANUAL", 85,
      IF(F3="SEMESTRE 1", 99,
      IF(F3="SEMESTRE 2", 106, 0))))))))))))))))),
  "No encontrado")</f>
        <v>#VALUE!</v>
      </c>
      <c r="H18" s="674"/>
      <c r="I18" s="659" t="e" cm="1" vm="2">
        <f t="array" aca="1" ref="I18" ca="1">IFERROR(
  IF(F3="Acumulado Mes",
    SUMPRODUCT(
      INDEX('UC MINI 2026 MINI NEXT'!$F$12:$DT$64,
        MATCH(E5, 'UC MINI 2026 MINI NEXT'!$C$12:$C$63, 0),
        {6,13,20,27,34,41,48,55,62,69,76,83}),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INDEX('UC MINI 2026 MINI NEXT'!$F$12:$DT$64,
      MATCH(E5, 'UC MINI 2026 MINI NEXT'!$C$12:$C$63, 0),
      IF(F3="ENERO", 6,
      IF(F3="FEBRERO", 13,
      IF(F3="MARZO", 20,
      IF(F3="ABRIL", 27,
      IF(F3="MAYO", 34,
      IF(F3="JUNIO", 41,
      IF(F3="JULIO", 48,
      IF(F3="AGOSTO", 55,
      IF(F3="SEPTIEMBRE", 62,
      IF(F3="OCTUBRE", 69,
      IF(F3="NOVIEMBRE", 76,
      IF(F3="DICIEMBRE", 83,
      IF(F3="ANUAL", 97,
      IF(F3="SEMESTRE 1", 111,
      IF(F3="SEMESTRE 2", 118, 0))))))))))))))))),
  "No encontrado")</f>
        <v>#VALUE!</v>
      </c>
      <c r="J18" s="660"/>
      <c r="K18" s="439"/>
      <c r="W18" s="438" cm="1">
        <f t="array" ref="W18">IFERROR(
  IF(OR(F3="Acumulado Mes", F3="Acumulado Mes 2º S"),
    SUMPRODUCT(
      INDEX('UC BMW 2026 BPS'!$F$12:$DH$67,
        MATCH(E5, 'UC BMW 2026 BPS'!$C$12:$C$67, 0),
        IF(F3="Acumulado Mes 2º S", {41;47;53;59;65;71}, {5;11;17;23;29;35;41;47;53;59;65;71})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BMW 2026 BPS'!$F$12:$DH$67,
    MATCH(E5, 'UC BMW 2026 BPS'!$C$12:$C$67, 0),
    IF(F3="ENERO", 5,
    IF(F3="FEBRERO", 11,
    IF(F3="MARZO", 17,
    IF(F3="ABRIL", 23,
    IF(F3="MAYO", 29,
    IF(F3="JUNIO", 35,
    IF(F3="JULIO", 41,
    IF(F3="AGOSTO", 47,
    IF(F3="SEPTIEMBRE", 53,
    IF(F3="OCTUBRE", 59,
    IF(F3="NOVIEMBRE", 65,
    IF(F3="DICIEMBRE", 71,
    IF(F3="ANUAL", 85,
    IF(F3="SEMESTRE 1", 99,
    IF(F3="SEMESTRE 2", 106, 0)
    )))))))))))))
  ),
  "No encontrado"
))</f>
        <v>0</v>
      </c>
      <c r="X18" s="438" cm="1">
        <f t="array" ref="X18">IFERROR(
  IF(OR(F3="Acumulado Mes", F3="Acumulado Mes 2º S"),
    SUMPRODUCT(
      INDEX('UC MINI 2026 MINI NEXT'!$F$12:$DT$64,
        MATCH(E5, 'UC MINI 2026 MINI NEXT'!$C$12:$C$63, 0),
        IF(F3="Acumulado Mes 2º S", {48;55;62;69;76;83}, {6;13;20;27;34;41;48;55;62;69;76;83})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INDEX('UC MINI 2026 MINI NEXT'!$F$12:$DT$64,
    MATCH(E5, 'UC MINI 2026 MINI NEXT'!$C$12:$C$63, 0),
    IF(F3="ENERO", 6,
    IF(F3="FEBRERO", 13,
    IF(F3="MARZO", 20,
    IF(F3="ABRIL", 27,
    IF(F3="MAYO", 34,
    IF(F3="JUNIO", 41,
    IF(F3="JULIO", 48,
    IF(F3="AGOSTO", 55,
    IF(F3="SEPTIEMBRE", 62,
    IF(F3="OCTUBRE", 69,
    IF(F3="NOVIEMBRE", 76,
    IF(F3="DICIEMBRE", 83,
    IF(F3="ANUAL", 97,
    IF(F3="SEMESTRE 1", 111,
    IF(F3="SEMESTRE 2", 118, 0)
    )))))))))))))
  ),
  "No encontrado"
))</f>
        <v>0</v>
      </c>
    </row>
    <row r="19" spans="2:24" ht="18" customHeight="1" x14ac:dyDescent="0.35">
      <c r="B19" s="462"/>
      <c r="C19" s="454"/>
      <c r="D19" s="463"/>
      <c r="E19" s="464"/>
      <c r="F19" s="489" t="s">
        <v>219</v>
      </c>
      <c r="G19" s="661">
        <f ca="1">IFERROR(G18/G13,0)</f>
        <v>0</v>
      </c>
      <c r="H19" s="662"/>
      <c r="I19" s="773">
        <f ca="1">IFERROR(I18/I13,0)</f>
        <v>0</v>
      </c>
      <c r="J19" s="774"/>
      <c r="K19" s="439"/>
    </row>
    <row r="20" spans="2:24" s="439" customFormat="1" ht="18" customHeight="1" x14ac:dyDescent="0.35">
      <c r="B20" s="462"/>
      <c r="C20" s="454"/>
      <c r="D20" s="463"/>
      <c r="E20" s="464"/>
      <c r="F20" s="489" t="s">
        <v>230</v>
      </c>
      <c r="G20" s="775" t="e" cm="1" vm="3">
        <f t="array" aca="1" ref="G20" ca="1">IFERROR(
  IF(F3="Acumulado Mes",
    SUMPRODUCT(
      INDEX('BEV BMW 2026'!$F$12:$BH$67,
        MATCH(E5, 'BEV BMW 2026'!$C$12:$C$67, 0),
        {1,4,7,10,13,16,19,22,25,28,31,34}),
      (IF(G3="ENERO", {1,0,0,0,0,0,0,0,0,0,0,0},
        IF(G3="FEBRERO", {1,1,0,0,0,0,0,0,0,0,0,0},
        IF(G3="MARZO", {1,1,1,0,0,0,0,0,0,0,0,0},
        IF(G3="ABRIL", {1,1,1,1,0,0,0,0,0,0,0,0},
        IF(G3="MAYO", {1,1,1,1,1,0,0,0,0,0,0,0},
        IF(G3="JUNIO", {1,1,1,1,1,1,0,0,0,0,0,0},
        IF(G3="JULIO", {1,1,1,1,1,1,1,0,0,0,0,0},
        IF(G3="AGOSTO", {1,1,1,1,1,1,1,1,0,0,0,0},
        IF(G3="SEPTIEMBRE", {1,1,1,1,1,1,1,1,1,0,0,0},
        IF(G3="OCTUBRE", {1,1,1,1,1,1,1,1,1,1,0,0},
        IF(G3="NOVIEMBRE", {1,1,1,1,1,1,1,1,1,1,1,0},
        IF(G3="DICIEMBRE", {1,1,1,1,1,1,1,1,1,1,1,1},
        {0,0,0,0,0,0,0,0,0,0,0,0})))))))))))))),
    INDEX('BEV BMW 2026'!$F$12:$BH$67,
      MATCH(E5, 'BEV BMW 2026'!$C$12:$C$67, 0),
      IF(F3="ENERO", 1,
      IF(F3="FEBRERO", 4,
      IF(F3="MARZO", 7,
      IF(F3="ABRIL", 10,
      IF(F3="MAYO", 13,
      IF(F3="JUNIO", 16,
      IF(F3="JULIO", 19,
      IF(F3="AGOSTO", 22,
      IF(F3="SEPTIEMBRE", 25,
      IF(F3="OCTUBRE", 28,
      IF(F3="NOVIEMBRE", 31,
      IF(F3="DICIEMBRE", 34,
      IF(F3="ANUAL", 40,
      IF(F3="SEMESTRE 1", 50,
      IF(F3="SEMESTRE 2", 53, 0))))))))))))))))),
  "No encontrado")</f>
        <v>#VALUE!</v>
      </c>
      <c r="H20" s="776"/>
      <c r="I20" s="659" t="e" cm="1" vm="3">
        <f t="array" aca="1" ref="I20" ca="1">IFERROR(
  IF(F3="Acumulado Mes",
    SUMPRODUCT(
      INDEX('BEV MINI 2026'!$F$12:$BH$64,
        MATCH(E5, 'BEV MINI 2026'!$C$12:$C$64, 0),
        {1,4,7,10,13,16,19,22,25,28,31,34}),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INDEX('BEV MINI 2026'!$F$12:$BH$64,
      MATCH(E5, 'BEV MINI 2026'!$C$12:$C$64, 0),
      IF(F3="ENERO", 1,
      IF(F3="FEBRERO", 4,
      IF(F3="MARZO", 7,
      IF(F3="ABRIL", 10,
      IF(F3="MAYO", 13,
      IF(F3="JUNIO", 16,
      IF(F3="JULIO", 19,
      IF(F3="AGOSTO", 22,
      IF(F3="SEPTIEMBRE", 25,
      IF(F3="OCTUBRE", 28,
      IF(F3="NOVIEMBRE", 31,
      IF(F3="DICIEMBRE", 34,
      IF(F3="ANUAL", 40,
      IF(F3="SEMESTRE 1", 50,
      IF(F3="SEMESTRE 2", 53, 0))))))))))))))))),
  "No encontrado")</f>
        <v>#VALUE!</v>
      </c>
      <c r="J20" s="660"/>
      <c r="L20" s="438"/>
      <c r="M20" s="438"/>
      <c r="W20" s="439" cm="1">
        <f t="array" aca="1" ref="W20" ca="1">IFERROR(
  IF(OR(F3="Acumulado Mes", F3="Acumulado Mes 2º S"),
    SUMPRODUCT(
      INDEX('BEV BMW 2026'!$F$12:$BH$67,
        MATCH(E5, 'BEV BMW 2026'!$C$12:$C$67, 0),
        IF(F3="Acumulado Mes 2º S", {19;22;25;28;31;34}, {1;4;7;10;13;16;19;22;25;28;31;34})
      ),
      IF(F3="Acumulado Mes 2º S",
        IF(G3="JULIO", {1;0;0;0;0;0},
        IF(G3="AGOSTO", {1;1;0;0;0;0},
        IF(G3="SEPTIEMBRE", {1;1;1;0;0;0},
        IF(G3="OCTUBRE", {1;1;1;1;0;0},
        IF(G3="NOVIEMBRE", {1;1;1;1;1;0},
        IF(G3="DICIEMBRE", {1;1;1;1;1;1},
        {0;0;0;0;0;0})))))),
        IF(G3="ENERO", {1;0;0;0;0;0;0;0;0;0;0;0},
        IF(G3="FEBRERO", {1;1;0;0;0;0;0;0;0;0;0;0},
        IF(G3="MARZO", {1;1;1;0;0;0;0;0;0;0;0;0},
        IF(G3="ABRIL", {1;1;1;1;0;0;0;0;0;0;0;0},
        IF(G3="MAYO", {1;1;1;1;1;0;0;0;0;0;0;0},
        IF(G3="JUNIO", {1;1;1;1;1;1;0;0;0;0;0;0},
        IF(G3="JULIO", {1;1;1;1;1;1;1;0;0;0;0;0},
        IF(G3="AGOSTO", {1;1;1;1;1;1;1;1;0;0;0;0},
        IF(G3="SEPTIEMBRE", {1;1;1;1;1;1;1;1;1;0;0;0},
        IF(G3="OCTUBRE", {1;1;1;1;1;1;1;1;1;1;0;0},
        IF(G3="NOVIEMBRE", {1;1;1;1;1;1;1;1;1;1;1;0},
        IF(G3="DICIEMBRE", {1;1;1;1;1;1;1;1;1;1;1;1},
        {0;0;0;0;0;0;0;0;0;0;0;0}))))))))))))))
  ),
  INDEX('BEV BMW 2026'!$F$12:$BH$67,
    MATCH(E5, 'BEV BMW 2026'!$C$12:$C$67, 0),
    IF(F3="ENERO", 1,
    IF(F3="FEBRERO", 4,
    IF(F3="MARZO", 7,
    IF(F3="ABRIL", 10,
    IF(F3="MAYO", 13,
    IF(F3="JUNIO", 16,
    IF(F3="JULIO", 19,
    IF(F3="AGOSTO", 22,
    IF(F3="SEPTIEMBRE", 25,
    IF(F3="OCTUBRE", 28,
    IF(F3="NOVIEMBRE", 31,
    IF(F3="DICIEMBRE", 34,
    IF(F3="ANUAL", 40,
    IF(F3="SEMESTRE 1", 50,
    IF(F3="SEMESTRE 2", 53, 0)
    )))))))))))))
  ),
  "No encontrado"
))</f>
        <v>0</v>
      </c>
      <c r="X20" s="439" cm="1">
        <f t="array" ref="X20">IFERROR(
  IF(OR(F3="Acumulado Mes", F3="Acumulado Mes 2º S"),
    SUMPRODUCT(
      INDEX('BEV MINI 2026'!$F$12:$BH$64,
        MATCH(E5, 'BEV MINI 2026'!$C$12:$C$64, 0),
        IF(F3="Acumulado Mes 2º S", {19;22;25;28;31;34}, {1;4;7;10;13;16;19;22;25;28;31;34})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INDEX('BEV MINI 2026'!$F$12:$BH$64,
    MATCH(E5, 'BEV MINI 2026'!$C$12:$C$64, 0),
    IF(F3="ENERO", 1,
    IF(F3="FEBRERO", 4,
    IF(F3="MARZO", 7,
    IF(F3="ABRIL", 10,
    IF(F3="MAYO", 13,
    IF(F3="JUNIO", 16,
    IF(F3="JULIO", 19,
    IF(F3="AGOSTO", 22,
    IF(F3="SEPTIEMBRE", 25,
    IF(F3="OCTUBRE", 28,
    IF(F3="NOVIEMBRE", 31,
    IF(F3="DICIEMBRE", 34,
    IF(F3="ANUAL", 40,
    IF(F3="SEMESTRE 1", 50,
    IF(F3="SEMESTRE 2", 53, 0)
    )))))))))))))
  ),
  "No encontrado"
))</f>
        <v>0</v>
      </c>
    </row>
    <row r="21" spans="2:24" s="439" customFormat="1" ht="18" customHeight="1" x14ac:dyDescent="0.35">
      <c r="B21" s="462"/>
      <c r="C21" s="454"/>
      <c r="D21" s="463"/>
      <c r="E21" s="464"/>
      <c r="F21" s="489" t="s">
        <v>220</v>
      </c>
      <c r="G21" s="665" t="e" cm="1" vm="3">
        <f t="array" aca="1" ref="G21" ca="1">IFERROR(
  IF(F3="Acumulado Mes",
    SUMPRODUCT(
      INDEX('BEV BMW 2026'!$F$12:$BH$67,
        MATCH(E5, 'BEV BMW 2026'!$C$12:$C$67, 0),
        {2,5,8,11,14,17,20,23,26,29,32,35}),
      (IF(G3="ENERO", {1,0,0,0,0,0,0,0,0,0,0,0},
        IF(G3="FEBRERO", {1,1,0,0,0,0,0,0,0,0,0,0},
        IF(G3="MARZO", {1,1,1,0,0,0,0,0,0,0,0,0},
        IF(G3="ABRIL", {1,1,1,1,0,0,0,0,0,0,0,0},
        IF(G3="MAYO", {1,1,1,1,1,0,0,0,0,0,0,0},
        IF(G3="JUNIO", {1,1,1,1,1,1,0,0,0,0,0,0},
        IF(G3="JULIO", {1,1,1,1,1,1,1,0,0,0,0,0},
        IF(G3="AGOSTO", {1,1,1,1,1,1,1,1,0,0,0,0},
        IF(G3="SEPTIEMBRE", {1,1,1,1,1,1,1,1,1,0,0,0},
        IF(G3="OCTUBRE", {1,1,1,1,1,1,1,1,1,1,0,0},
        IF(G3="NOVIEMBRE", {1,1,1,1,1,1,1,1,1,1,1,0},
        IF(G3="DICIEMBRE", {1,1,1,1,1,1,1,1,1,1,1,1},
        {0,0,0,0,0,0,0,0,0,0,0,0})))))))))))))),
    INDEX('BEV BMW 2026'!$F$12:$BH$67,
      MATCH(E5, 'BEV BMW 2026'!$C$12:$C$67, 0),
      IF(F3="ENERO", 2,
      IF(F3="FEBRERO", 5,
      IF(F3="MARZO", 8,
      IF(F3="ABRIL", 11,
      IF(F3="MAYO", 14,
      IF(F3="JUNIO", 17,
      IF(F3="JULIO", 20,
      IF(F3="AGOSTO", 23,
      IF(F3="SEPTIEMBRE", 26,
      IF(F3="OCTUBRE", 29,
      IF(F3="NOVIEMBRE", 32,
      IF(F3="DICIEMBRE", 35,
      IF(F3="ANUAL", 41,
      IF(F3="SEMESTRE 1", 51,
      IF(F3="SEMESTRE 2", 54, 0))))))))))))))))),
  "No encontrado")</f>
        <v>#VALUE!</v>
      </c>
      <c r="H21" s="666"/>
      <c r="I21" s="667" t="e" cm="1" vm="3">
        <f t="array" aca="1" ref="I21" ca="1">IFERROR(
  IF(F3="Acumulado Mes",
    SUMPRODUCT(
      INDEX('BEV MINI 2026'!$F$12:$BH$64,
        MATCH(E5, 'BEV MINI 2026'!$C$12:$C$64, 0),
        {2,5,8,11,14,17,20,23,26,29,32,35}),
      (IF($G$3="ENERO", {1,0,0,0,0,0,0,0,0,0,0,0},
        IF($G$3="FEBRERO", {1,1,0,0,0,0,0,0,0,0,0,0},
        IF($G$3="MARZO", {1,1,1,0,0,0,0,0,0,0,0,0},
        IF($G$3="ABRIL", {1,1,1,1,0,0,0,0,0,0,0,0},
        IF($G$3="MAYO", {1,1,1,1,1,0,0,0,0,0,0,0},
        IF($G$3="JUNIO", {1,1,1,1,1,1,0,0,0,0,0,0},
        IF($G$3="JULIO", {1,1,1,1,1,1,1,0,0,0,0,0},
        IF($G$3="AGOSTO", {1,1,1,1,1,1,1,1,0,0,0,0},
        IF($G$3="SEPTIEMBRE", {1,1,1,1,1,1,1,1,1,0,0,0},
        IF($G$3="OCTUBRE", {1,1,1,1,1,1,1,1,1,1,0,0},
        IF($G$3="NOVIEMBRE", {1,1,1,1,1,1,1,1,1,1,1,0},
        IF($G$3="DICIEMBRE", {1,1,1,1,1,1,1,1,1,1,1,1},
        {0,0,0,0,0,0,0,0,0,0,0,0})))))))))))))),
    INDEX('BEV MINI 2026'!$F$12:$BH$64,
      MATCH(E5, 'BEV MINI 2026'!$C$12:$C$64, 0),
      IF(F3="ENERO", 2,
      IF(F3="FEBRERO", 5,
      IF(F3="MARZO", 8,
      IF(F3="ABRIL", 11,
      IF(F3="MAYO", 14,
      IF(F3="JUNIO", 17,
      IF(F3="JULIO", 20,
      IF(F3="AGOSTO", 23,
      IF(F3="SEPTIEMBRE", 26,
      IF(F3="OCTUBRE", 29,
      IF(F3="NOVIEMBRE", 32,
      IF(F3="DICIEMBRE", 35,
      IF(F3="ANUAL", 41,
      IF(F3="SEMESTRE 1", 51,
      IF(F3="SEMESTRE 2", 54, 0))))))))))))))))),
  "No encontrado")</f>
        <v>#VALUE!</v>
      </c>
      <c r="J21" s="668"/>
      <c r="L21" s="438"/>
      <c r="M21" s="438"/>
      <c r="W21" s="439" cm="1">
        <f t="array" ref="W21">IFERROR(
  IF(OR(F3="Acumulado Mes", F3="Acumulado Mes 2º S"),
    SUMPRODUCT(
      INDEX('BEV BMW 2026'!$F$12:$BH$67,
        MATCH(E5, 'BEV BMW 2026'!$C$12:$C$67, 0),
        IF(F3="Acumulado Mes 2º S", {20;23;26;29;32;35}, {2;5;8;11;14;17;20;23;26;29;32;35})
      ),
      IF(F3="Acumulado Mes 2º S",
        IF(G3="JULIO", {1;0;0;0;0;0},
        IF(G3="AGOSTO", {1;1;0;0;0;0},
        IF(G3="SEPTIEMBRE", {1;1;1;0;0;0},
        IF(G3="OCTUBRE", {1;1;1;1;0;0},
        IF(G3="NOVIEMBRE", {1;1;1;1;1;0},
        IF(G3="DICIEMBRE", {1;1;1;1;1;1},
        {0;0;0;0;0;0})))))),
        IF(G3="ENERO", {1;0;0;0;0;0;0;0;0;0;0;0},
        IF(G3="FEBRERO", {1;1;0;0;0;0;0;0;0;0;0;0},
        IF(G3="MARZO", {1;1;1;0;0;0;0;0;0;0;0;0},
        IF(G3="ABRIL", {1;1;1;1;0;0;0;0;0;0;0;0},
        IF(G3="MAYO", {1;1;1;1;1;0;0;0;0;0;0;0},
        IF(G3="JUNIO", {1;1;1;1;1;1;0;0;0;0;0;0},
        IF(G3="JULIO", {1;1;1;1;1;1;1;0;0;0;0;0},
        IF(G3="AGOSTO", {1;1;1;1;1;1;1;1;0;0;0;0},
        IF(G3="SEPTIEMBRE", {1;1;1;1;1;1;1;1;1;0;0;0},
        IF(G3="OCTUBRE", {1;1;1;1;1;1;1;1;1;1;0;0},
        IF(G3="NOVIEMBRE", {1;1;1;1;1;1;1;1;1;1;1;0},
        IF(G3="DICIEMBRE", {1;1;1;1;1;1;1;1;1;1;1;1},
        {0;0;0;0;0;0;0;0;0;0;0;0}))))))))))))))
  ),
  INDEX('BEV BMW 2026'!$F$12:$BH$67,
    MATCH(E5, 'BEV BMW 2026'!$C$12:$C$67, 0),
    IF(F3="ENERO", 2,
    IF(F3="FEBRERO", 5,
    IF(F3="MARZO", 8,
    IF(F3="ABRIL", 11,
    IF(F3="MAYO", 14,
    IF(F3="JUNIO", 17,
    IF(F3="JULIO", 20,
    IF(F3="AGOSTO", 23,
    IF(F3="SEPTIEMBRE", 26,
    IF(F3="OCTUBRE", 29,
    IF(F3="NOVIEMBRE", 32,
    IF(F3="DICIEMBRE", 35,
    IF(F3="ANUAL", 41,
    IF(F3="SEMESTRE 1", 51,
    IF(F3="SEMESTRE 2", 54, 0)
    )))))))))))))
  ),
  "No encontrado"
))</f>
        <v>0</v>
      </c>
      <c r="X21" s="439" cm="1">
        <f t="array" ref="X21">IFERROR(
  IF(OR(F3="Acumulado Mes", F3="Acumulado Mes 2º S"),
    SUMPRODUCT(
      INDEX('BEV MINI 2026'!$F$12:$BH$64,
        MATCH(E5, 'BEV MINI 2026'!$C$12:$C$64, 0),
        IF(F3="Acumulado Mes 2º S", {20;23;26;29;32;35}, {2;5;8;11;14;17;20;23;26;29;32;35})
      ),
      IF(F3="Acumulado Mes 2º S",
        IF($G$3="JULIO", {1;0;0;0;0;0},
        IF($G$3="AGOSTO", {1;1;0;0;0;0},
        IF($G$3="SEPTIEMBRE", {1;1;1;0;0;0},
        IF($G$3="OCTUBRE", {1;1;1;1;0;0},
        IF($G$3="NOVIEMBRE", {1;1;1;1;1;0},
        IF($G$3="DICIEMBRE", {1;1;1;1;1;1},
        {0;0;0;0;0;0})))))),
        IF($G$3="ENERO", {1;0;0;0;0;0;0;0;0;0;0;0},
        IF($G$3="FEBRERO", {1;1;0;0;0;0;0;0;0;0;0;0},
        IF($G$3="MARZO", {1;1;1;0;0;0;0;0;0;0;0;0},
        IF($G$3="ABRIL", {1;1;1;1;0;0;0;0;0;0;0;0},
        IF($G$3="MAYO", {1;1;1;1;1;0;0;0;0;0;0;0},
        IF($G$3="JUNIO", {1;1;1;1;1;1;0;0;0;0;0;0},
        IF($G$3="JULIO", {1;1;1;1;1;1;1;0;0;0;0;0},
        IF($G$3="AGOSTO", {1;1;1;1;1;1;1;1;0;0;0;0},
        IF($G$3="SEPTIEMBRE", {1;1;1;1;1;1;1;1;1;0;0;0},
        IF($G$3="OCTUBRE", {1;1;1;1;1;1;1;1;1;1;0;0},
        IF($G$3="NOVIEMBRE", {1;1;1;1;1;1;1;1;1;1;1;0},
        IF($G$3="DICIEMBRE", {1;1;1;1;1;1;1;1;1;1;1;1},
        {0;0;0;0;0;0;0;0;0;0;0;0}))))))))))))))
  ),
  INDEX('BEV MINI 2026'!$F$12:$BH$64,
    MATCH(E5, 'BEV MINI 2026'!$C$12:$C$64, 0),
    IF(F3="ENERO", 2,
    IF(F3="FEBRERO", 5,
    IF(F3="MARZO", 8,
    IF(F3="ABRIL", 11,
    IF(F3="MAYO", 14,
    IF(F3="JUNIO", 17,
    IF(F3="JULIO", 20,
    IF(F3="AGOSTO", 23,
    IF(F3="SEPTIEMBRE", 26,
    IF(F3="OCTUBRE", 29,
    IF(F3="NOVIEMBRE", 32,
    IF(F3="DICIEMBRE", 35,
    IF(F3="ANUAL", 41,
    IF(F3="SEMESTRE 1", 51,
    IF(F3="SEMESTRE 2", 54, 0)
    )))))))))))))
  ),
  "No encontrado"
))</f>
        <v>0</v>
      </c>
    </row>
    <row r="22" spans="2:24" s="439" customFormat="1" ht="18" customHeight="1" thickBot="1" x14ac:dyDescent="0.4">
      <c r="B22" s="462"/>
      <c r="C22" s="454"/>
      <c r="D22" s="463"/>
      <c r="E22" s="464"/>
      <c r="F22" s="490" t="s">
        <v>221</v>
      </c>
      <c r="G22" s="669">
        <f ca="1">IFERROR(G21/G20,0)</f>
        <v>0</v>
      </c>
      <c r="H22" s="670"/>
      <c r="I22" s="777">
        <f ca="1">IFERROR(I21/I20,0)</f>
        <v>0</v>
      </c>
      <c r="J22" s="778"/>
      <c r="L22" s="438"/>
      <c r="M22" s="438"/>
    </row>
    <row r="23" spans="2:24" s="439" customFormat="1" ht="18" customHeight="1" thickBot="1" x14ac:dyDescent="0.4">
      <c r="B23" s="462"/>
      <c r="C23" s="454"/>
      <c r="D23" s="454"/>
      <c r="E23" s="454"/>
      <c r="F23" s="438"/>
      <c r="G23" s="468"/>
      <c r="L23" s="438"/>
      <c r="M23" s="438"/>
    </row>
    <row r="24" spans="2:24" s="439" customFormat="1" ht="18" customHeight="1" thickBot="1" x14ac:dyDescent="0.4">
      <c r="B24" s="462"/>
      <c r="C24" s="454"/>
      <c r="D24" s="454"/>
      <c r="E24" s="454"/>
      <c r="F24" s="491" t="s">
        <v>222</v>
      </c>
      <c r="G24" s="661" t="b">
        <f>IF(OR(F3="ENERO", F3="FEBRERO", F3="MARZO", F3="ABRIL", F3="MAYO", F3="JUNIO"),
    INDEX('MYS 2026'!#REF!, MATCH(E5, 'MYS 2026'!#REF!, 0)),
    IF(OR(F3="JULIO", F3="AGOSTO", F3="SEPTIEMBRE", F3="OCTUBRE", F3="NOVIEMBRE", F3="DICIEMBRE"),
        INDEX('MYS 2026'!#REF!, MATCH(E5, 'MYS 2026'!#REF!, 0)),
        IF(F3="ANUAL",
            INDEX('MYS 2026'!#REF!, MATCH(E5, 'MYS 2026'!#REF!, 0)),
            IF(F3="SEMESTRE 1",
                INDEX('MYS 2026'!#REF!, MATCH(E5, 'MYS 2026'!#REF!, 0)),
                IF(F3="SEMESTRE 2",
                    INDEX('MYS 2026'!#REF!, MATCH(E5, 'MYS 2026'!#REF!, 0)),
                    IF(F3="ACUMULADO MES",
                        IF(OR(G3="ENERO", G3="FEBRERO", G3="MARZO", G3="ABRIL", G3="MAYO", G3="JUNIO"),
                            INDEX('MYS 2026'!#REF!, MATCH(E5, 'MYS 2026'!#REF!, 0)),
                            INDEX('MYS 2026'!#REF!, MATCH(E5, 'MYS 2026'!#REF!, 0))
                        )
                    )
                )
            )
        )
    )
)</f>
        <v>0</v>
      </c>
      <c r="H24" s="662"/>
      <c r="I24" s="661" t="b">
        <f>IF(OR(F3="ENERO", F3="FEBRERO", F3="MARZO", F3="ABRIL", F3="MAYO", F3="JUNIO"),
    INDEX('MYS 2026'!#REF!, MATCH(E5, 'MYS 2026'!#REF!, 0)),
    IF(OR(F3="JULIO", F3="AGOSTO", F3="SEPTIEMBRE", F3="OCTUBRE", F3="NOVIEMBRE", F3="DICIEMBRE"),
        INDEX('MYS 2026'!#REF!, MATCH(E5, 'MYS 2026'!#REF!, 0)),
        IF(F3="ANUAL",
            INDEX('MYS 2026'!#REF!, MATCH(E5, 'MYS 2026'!#REF!, 0)),
            IF(F3="SEMESTRE 1",
                INDEX('MYS 2026'!#REF!, MATCH(E5, 'MYS 2026'!#REF!, 0)),
                IF(F3="SEMESTRE 2",
                    INDEX('MYS 2026'!#REF!, MATCH(E5, 'MYS 2026'!#REF!, 0)),
                    IF(F3="ACUMULADO MES",
                        IF(OR(G3="ENERO", G3="FEBRERO", G3="MARZO", G3="ABRIL", G3="MAYO", G3="JUNIO"),
                            INDEX('MYS 2026'!#REF!, MATCH(E5, 'MYS 2026'!#REF!, 0)),
                            INDEX('MYS 2026'!#REF!, MATCH(E5, 'MYS 2026'!#REF!, 0))
                        )
                    )
                )
            )
        )
    )
)</f>
        <v>0</v>
      </c>
      <c r="J24" s="662"/>
      <c r="L24" s="438"/>
      <c r="M24" s="438"/>
      <c r="U24" s="506" t="str">
        <f>IF(OR(F3="ENERO",F3="FEBRERO",F3="MARZO"),INDEX('MYS 2026'!#REF!,MATCH(E5,'MYS 2026'!#REF!,0)),
IF(OR(F3="ABRIL",F3="MAYO",F3="JUNIO"),INDEX('MYS 2026'!#REF!,MATCH(E5,'MYS 2026'!#REF!,0)),
IF(OR(F3="JULIO",F3="AGOSTO",F3="SEPTIEMBRE"),INDEX('MYS 2026'!#REF!,MATCH(E5,'MYS 2026'!#REF!,0)),
IF(OR(F3="OCTUBRE",F3="NOVIEMBRE",F3="DICIEMBRE"),INDEX('MYS 2026'!#REF!,MATCH(E5,'MYS 2026'!#REF!,0)),
IF(F3="ANUAL",INDEX('MYS 2026'!#REF!,MATCH(E5,'MYS 2026'!#REF!,0)),
IF(F3="SEMESTRE 1",INDEX('MYS 2026'!#REF!,MATCH(E5,'MYS 2026'!#REF!,0)),
IF(F3="SEMESTRE 2",INDEX('MYS 2026'!#REF!,MATCH(E5,'MYS 2026'!#REF!,0)),
IF(F3="ACUMULADO MES",IF(OR(G3="ENERO",G3="FEBRERO",G3="MARZO",G3="ABRIL",G3="MAYO",G3="JUNIO"),
INDEX('MYS 2026'!#REF!,MATCH(E5,'MYS 2026'!#REF!,0)),
INDEX('MYS 2026'!#REF!,MATCH(E5,'MYS 2026'!#REF!,0))
),"No encontrado"))))))))</f>
        <v>No encontrado</v>
      </c>
      <c r="V24" s="506" t="str">
        <f>IF(OR(F3="ENERO",F3="FEBRERO",F3="MARZO"),INDEX('MYS 2026'!#REF!,MATCH(E5,'MYS 2026'!#REF!,0)),
IF(OR(F3="ABRIL",F3="MAYO",F3="JUNIO"),INDEX('MYS 2026'!#REF!,MATCH(E5,'MYS 2026'!#REF!,0)),
IF(OR(F3="JULIO",F3="AGOSTO",F3="SEPTIEMBRE"),INDEX('MYS 2026'!#REF!,MATCH(E5,'MYS 2026'!#REF!,0)),
IF(OR(F3="OCTUBRE",F3="NOVIEMBRE",F3="DICIEMBRE"),INDEX('MYS 2026'!#REF!,MATCH(E5,'MYS 2026'!#REF!,0)),
IF(F3="ACUMULADO",INDEX('MYS 2026'!#REF!,MATCH(E5,'MYS 2026'!#REF!,0)),
IF(F3="SEMESTRE 1",INDEX('MYS 2026'!#REF!,MATCH(E5,'MYS 2026'!#REF!,0)),
IF(F3="SEMESTRE 2",INDEX('MYS 2026'!#REF!,MATCH(E5,'MYS 2026'!#REF!,0)),
IF(F3="ACUMULADO MES",IF(OR(G3="ENERO",G3="FEBRERO",G3="MARZO",G3="ABRIL",G3="MAYO",G3="JUNIO"),
INDEX('MYS 2026'!#REF!,MATCH(E5,'MYS 2026'!#REF!,0)),
INDEX('MYS 2026'!#REF!,MATCH(E5,'MYS 2026'!#REF!,0))
),"No encontrado"))))))))</f>
        <v>No encontrado</v>
      </c>
    </row>
    <row r="25" spans="2:24" s="439" customFormat="1" ht="36" customHeight="1" thickBot="1" x14ac:dyDescent="0.4">
      <c r="B25" s="462"/>
      <c r="C25" s="454"/>
      <c r="D25" s="454"/>
      <c r="E25" s="454"/>
      <c r="F25" s="454"/>
      <c r="G25" s="459"/>
      <c r="H25" s="456"/>
      <c r="I25" s="460"/>
      <c r="J25" s="460"/>
      <c r="L25" s="438"/>
      <c r="M25" s="438"/>
    </row>
    <row r="26" spans="2:24" s="439" customFormat="1" ht="35.5" customHeight="1" thickBot="1" x14ac:dyDescent="0.4">
      <c r="B26" s="462"/>
      <c r="C26" s="454"/>
      <c r="D26" s="463"/>
      <c r="E26" s="464"/>
      <c r="F26" s="492" t="s">
        <v>239</v>
      </c>
      <c r="G26" s="681">
        <f ca="1">IFERROR(IF(OR(G16=0, ISBLANK(G16)), 4 * G14, MAX(0, 4 * (G14 - 1.25 * G16))),0)</f>
        <v>0</v>
      </c>
      <c r="H26" s="682"/>
      <c r="I26" s="683">
        <f ca="1">IFERROR(IF(OR(I16=0, ISBLANK(I16)), 4 * I14, MAX(0, 4 * (I14 - 1.25 * I16))),0)</f>
        <v>0</v>
      </c>
      <c r="J26" s="684"/>
      <c r="L26" s="438"/>
      <c r="M26" s="438"/>
    </row>
    <row r="27" spans="2:24" s="439" customFormat="1" ht="10" customHeight="1" x14ac:dyDescent="0.35">
      <c r="B27" s="462"/>
      <c r="C27" s="465"/>
      <c r="D27" s="466"/>
      <c r="E27" s="460"/>
      <c r="F27" s="502"/>
      <c r="G27" s="502"/>
      <c r="H27" s="502"/>
      <c r="I27" s="502"/>
      <c r="J27" s="502"/>
      <c r="L27" s="438"/>
      <c r="M27" s="438"/>
    </row>
    <row r="28" spans="2:24" s="439" customFormat="1" ht="12.65" customHeight="1" thickBot="1" x14ac:dyDescent="0.4">
      <c r="B28" s="679"/>
      <c r="C28" s="680"/>
      <c r="D28" s="456"/>
      <c r="E28" s="458"/>
      <c r="F28" s="463"/>
      <c r="G28" s="495">
        <v>0.15</v>
      </c>
      <c r="H28" s="495">
        <v>0.25</v>
      </c>
      <c r="I28" s="495">
        <v>0.15</v>
      </c>
      <c r="J28" s="495">
        <v>0.25</v>
      </c>
      <c r="L28" s="438"/>
      <c r="M28" s="438"/>
    </row>
    <row r="29" spans="2:24" s="439" customFormat="1" ht="34.5" customHeight="1" thickBot="1" x14ac:dyDescent="0.4">
      <c r="B29" s="679"/>
      <c r="C29" s="680"/>
      <c r="D29" s="456"/>
      <c r="E29" s="458"/>
      <c r="F29" s="492" t="s">
        <v>238</v>
      </c>
      <c r="G29" s="496">
        <f ca="1">IFERROR(
    IF(
        (G18 / G13) &gt;= 0.15,
        0,
        ROUNDUP((0.15 * G13 - G18) / (1 - 0.15), 0)
    ),
    0
)</f>
        <v>0</v>
      </c>
      <c r="H29" s="493">
        <f ca="1">IFERROR(
    IF(
        (G18 / G13) &gt;= 0.25,
        0,
        ROUNDUP((0.25 * G13 - G18) / (1 - 0.25), 0)
    ),
    0
)</f>
        <v>0</v>
      </c>
      <c r="I29" s="494">
        <f ca="1">IFERROR(
    IF(
        (I18 / I13) &gt;= 0.15,
        0,
        ROUNDUP((0.15 * I13 - I18) / (1 - 0.15), 0)
    ),
    0
)</f>
        <v>0</v>
      </c>
      <c r="J29" s="494">
        <f ca="1">IFERROR(
    IF(
        (I18 / I13) &gt;= 0.25,
        0,
        ROUNDUP((0.25 * I13 - I18) / (1 - 0.25), 0)
    ),
    0
)</f>
        <v>0</v>
      </c>
      <c r="L29" s="438"/>
      <c r="M29" s="438"/>
    </row>
    <row r="30" spans="2:24" s="439" customFormat="1" ht="12" customHeight="1" x14ac:dyDescent="0.35">
      <c r="B30" s="679"/>
      <c r="C30" s="680"/>
      <c r="D30" s="456"/>
      <c r="E30" s="455"/>
      <c r="F30" s="497"/>
      <c r="G30" s="497"/>
      <c r="H30" s="497"/>
      <c r="I30" s="497"/>
      <c r="J30" s="497"/>
      <c r="K30" s="469"/>
      <c r="L30" s="438"/>
      <c r="M30" s="438"/>
    </row>
    <row r="31" spans="2:24" s="439" customFormat="1" ht="12.65" customHeight="1" thickBot="1" x14ac:dyDescent="0.4">
      <c r="B31" s="498"/>
      <c r="C31" s="465"/>
      <c r="D31" s="466"/>
      <c r="E31" s="474"/>
      <c r="F31" s="455"/>
      <c r="G31" s="495">
        <v>0.05</v>
      </c>
      <c r="H31" s="495">
        <v>0.1</v>
      </c>
      <c r="I31" s="495">
        <v>0.05</v>
      </c>
      <c r="J31" s="495">
        <v>0.1</v>
      </c>
      <c r="K31" s="474"/>
      <c r="L31" s="438"/>
      <c r="M31" s="438"/>
    </row>
    <row r="32" spans="2:24" s="439" customFormat="1" ht="33" customHeight="1" thickBot="1" x14ac:dyDescent="0.4">
      <c r="B32" s="498"/>
      <c r="C32" s="497"/>
      <c r="D32" s="456"/>
      <c r="E32" s="474"/>
      <c r="F32" s="492" t="s">
        <v>237</v>
      </c>
      <c r="G32" s="493">
        <f ca="1">IFERROR(
    IF((G21 / G20) &gt;= 0.05,
        0,
        ROUNDUP((0.05 * G20 - G21) / (1 - 0.05), 0)
    ),
    0
)</f>
        <v>0</v>
      </c>
      <c r="H32" s="493">
        <f ca="1">IFERROR(
    IF((G21 / G20) &gt;= 0.1,
        0,
        ROUNDUP((0.1 * G20 - G21) / (1 - 0.1), 0)
    ),
    0
)</f>
        <v>0</v>
      </c>
      <c r="I32" s="494">
        <f ca="1">IFERROR(
    IF((I21 / I20) &gt;= 0.05,
        0,
        ROUNDUP((0.05 * I20 - I21) / (1 - 0.05), 0)
    ),
    0
)</f>
        <v>0</v>
      </c>
      <c r="J32" s="494">
        <f ca="1">IFERROR(
    IF((I21 / I20) &gt;= 0.1,
        0,
        ROUNDUP((0.1 * I20 - I21) / (1 - 0.1), 0)
    ),
    0
)</f>
        <v>0</v>
      </c>
      <c r="K32" s="474"/>
      <c r="L32" s="438"/>
      <c r="M32" s="438"/>
    </row>
    <row r="33" spans="2:22" s="439" customFormat="1" ht="34.5" customHeight="1" x14ac:dyDescent="0.35">
      <c r="B33" s="498"/>
      <c r="C33" s="497"/>
      <c r="D33" s="467"/>
      <c r="E33" s="474"/>
      <c r="F33" s="474"/>
      <c r="G33" s="476"/>
      <c r="H33" s="476"/>
      <c r="I33" s="474"/>
      <c r="J33" s="474"/>
      <c r="K33" s="474"/>
      <c r="L33" s="438"/>
      <c r="M33" s="438"/>
    </row>
    <row r="34" spans="2:22" s="439" customFormat="1" ht="15" customHeight="1" x14ac:dyDescent="0.35">
      <c r="B34" s="679"/>
      <c r="C34" s="680"/>
      <c r="D34" s="457"/>
      <c r="E34" s="474"/>
      <c r="F34" s="474"/>
      <c r="G34" s="503"/>
      <c r="H34" s="476"/>
      <c r="I34" s="476"/>
      <c r="J34" s="476"/>
      <c r="K34" s="474"/>
      <c r="L34" s="438"/>
      <c r="M34" s="438"/>
    </row>
    <row r="35" spans="2:22" s="439" customFormat="1" ht="15" customHeight="1" x14ac:dyDescent="0.35">
      <c r="B35" s="679"/>
      <c r="C35" s="680"/>
      <c r="D35" s="457"/>
      <c r="E35" s="474"/>
      <c r="F35" s="474"/>
      <c r="G35" s="476"/>
      <c r="H35" s="476"/>
      <c r="I35" s="476"/>
      <c r="J35" s="476"/>
      <c r="K35" s="474"/>
      <c r="L35" s="438"/>
      <c r="M35" s="438"/>
    </row>
    <row r="36" spans="2:22" ht="18.75" customHeight="1" x14ac:dyDescent="0.35">
      <c r="B36" s="470"/>
      <c r="C36" s="471"/>
      <c r="D36" s="472"/>
      <c r="F36" s="474"/>
      <c r="G36" s="476"/>
      <c r="H36" s="476"/>
      <c r="I36" s="476"/>
      <c r="J36" s="476"/>
      <c r="K36" s="474"/>
      <c r="L36" s="468"/>
      <c r="M36" s="468"/>
    </row>
    <row r="37" spans="2:22" ht="16.5" customHeight="1" x14ac:dyDescent="0.35">
      <c r="B37" s="454"/>
      <c r="F37" s="474"/>
      <c r="G37" s="476"/>
      <c r="H37" s="474"/>
      <c r="I37" s="474"/>
      <c r="J37" s="474"/>
      <c r="K37" s="474"/>
      <c r="L37" s="439"/>
      <c r="M37" s="468"/>
    </row>
    <row r="38" spans="2:22" s="473" customFormat="1" x14ac:dyDescent="0.35">
      <c r="B38" s="437"/>
      <c r="C38" s="437"/>
      <c r="D38" s="474"/>
      <c r="E38" s="474"/>
      <c r="F38" s="474"/>
      <c r="G38" s="476"/>
      <c r="H38" s="474"/>
      <c r="I38" s="474"/>
      <c r="J38" s="474"/>
      <c r="K38" s="474"/>
      <c r="L38" s="439"/>
      <c r="M38" s="439"/>
      <c r="N38" s="475"/>
      <c r="O38" s="475"/>
      <c r="P38" s="475"/>
      <c r="Q38" s="475"/>
      <c r="R38" s="475"/>
      <c r="S38" s="475"/>
      <c r="T38" s="475"/>
      <c r="U38" s="475"/>
      <c r="V38" s="475"/>
    </row>
    <row r="39" spans="2:22" s="474" customFormat="1" ht="18.75" customHeight="1" x14ac:dyDescent="0.35">
      <c r="B39" s="437"/>
      <c r="C39" s="437"/>
      <c r="G39" s="476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</row>
    <row r="40" spans="2:22" s="474" customFormat="1" x14ac:dyDescent="0.35">
      <c r="B40" s="437"/>
      <c r="C40" s="437"/>
      <c r="D40" s="439"/>
      <c r="G40" s="476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</row>
    <row r="41" spans="2:22" s="474" customFormat="1" x14ac:dyDescent="0.35">
      <c r="B41" s="437"/>
      <c r="C41" s="437"/>
      <c r="D41" s="439"/>
      <c r="G41" s="476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</row>
    <row r="42" spans="2:22" s="474" customFormat="1" x14ac:dyDescent="0.35">
      <c r="B42" s="437"/>
      <c r="C42" s="437"/>
      <c r="D42" s="439"/>
      <c r="G42" s="476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</row>
    <row r="43" spans="2:22" s="474" customFormat="1" x14ac:dyDescent="0.35">
      <c r="B43" s="437"/>
      <c r="C43" s="437"/>
      <c r="G43" s="476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</row>
    <row r="44" spans="2:22" s="474" customFormat="1" x14ac:dyDescent="0.35">
      <c r="B44" s="437"/>
      <c r="C44" s="437"/>
      <c r="G44" s="476"/>
      <c r="M44" s="439"/>
      <c r="N44" s="439"/>
      <c r="O44" s="439"/>
      <c r="P44" s="439"/>
      <c r="Q44" s="439"/>
      <c r="R44" s="439"/>
      <c r="S44" s="439"/>
      <c r="T44" s="439"/>
      <c r="U44" s="439"/>
      <c r="V44" s="439"/>
    </row>
    <row r="45" spans="2:22" s="474" customFormat="1" x14ac:dyDescent="0.35">
      <c r="B45" s="477"/>
      <c r="C45" s="477"/>
      <c r="G45" s="476"/>
      <c r="N45" s="439"/>
      <c r="O45" s="439"/>
      <c r="P45" s="439"/>
      <c r="Q45" s="439"/>
      <c r="R45" s="439"/>
      <c r="S45" s="439"/>
      <c r="T45" s="439"/>
      <c r="U45" s="439"/>
      <c r="V45" s="439"/>
    </row>
    <row r="46" spans="2:22" s="474" customFormat="1" x14ac:dyDescent="0.35">
      <c r="B46" s="477"/>
      <c r="C46" s="477"/>
      <c r="D46" s="476"/>
      <c r="G46" s="476"/>
      <c r="N46" s="439"/>
      <c r="O46" s="439"/>
      <c r="P46" s="439"/>
      <c r="Q46" s="439"/>
      <c r="R46" s="439"/>
      <c r="S46" s="439"/>
      <c r="T46" s="439"/>
      <c r="U46" s="439"/>
      <c r="V46" s="439"/>
    </row>
    <row r="47" spans="2:22" s="474" customFormat="1" x14ac:dyDescent="0.35">
      <c r="B47" s="477"/>
      <c r="C47" s="477"/>
      <c r="D47" s="476"/>
      <c r="G47" s="476"/>
      <c r="N47" s="439"/>
      <c r="O47" s="439"/>
      <c r="P47" s="439"/>
      <c r="Q47" s="439"/>
      <c r="R47" s="439"/>
      <c r="S47" s="439"/>
      <c r="T47" s="439"/>
      <c r="U47" s="439"/>
      <c r="V47" s="439"/>
    </row>
    <row r="48" spans="2:22" s="474" customFormat="1" ht="18" customHeight="1" x14ac:dyDescent="0.35">
      <c r="B48" s="477"/>
      <c r="C48" s="477"/>
      <c r="D48" s="476"/>
      <c r="F48" s="474" t="s">
        <v>228</v>
      </c>
      <c r="G48" s="484">
        <f ca="1">IFERROR((G14-G13)/G13,0)</f>
        <v>0</v>
      </c>
      <c r="N48" s="439"/>
      <c r="O48" s="439"/>
      <c r="P48" s="439"/>
      <c r="Q48" s="439"/>
      <c r="R48" s="439"/>
      <c r="S48" s="439"/>
      <c r="T48" s="439"/>
      <c r="U48" s="439"/>
      <c r="V48" s="439"/>
    </row>
    <row r="49" spans="2:22" s="474" customFormat="1" x14ac:dyDescent="0.35">
      <c r="B49" s="477"/>
      <c r="C49" s="477"/>
      <c r="D49" s="476"/>
      <c r="F49" s="474" t="s">
        <v>229</v>
      </c>
      <c r="G49" s="484">
        <f ca="1">IFERROR((I14-I13)/I13,0)</f>
        <v>0</v>
      </c>
      <c r="N49" s="439"/>
      <c r="O49" s="439"/>
      <c r="P49" s="439"/>
      <c r="Q49" s="439"/>
      <c r="R49" s="439"/>
      <c r="S49" s="439"/>
      <c r="T49" s="439"/>
      <c r="U49" s="439"/>
      <c r="V49" s="439"/>
    </row>
    <row r="50" spans="2:22" s="474" customFormat="1" x14ac:dyDescent="0.35">
      <c r="B50" s="477"/>
      <c r="C50" s="477"/>
      <c r="D50" s="476"/>
      <c r="N50" s="439"/>
      <c r="O50" s="439"/>
      <c r="P50" s="439"/>
      <c r="Q50" s="439"/>
      <c r="R50" s="439"/>
      <c r="S50" s="439"/>
      <c r="T50" s="439"/>
      <c r="U50" s="439"/>
      <c r="V50" s="439"/>
    </row>
    <row r="51" spans="2:22" s="474" customFormat="1" x14ac:dyDescent="0.35">
      <c r="B51" s="477"/>
      <c r="C51" s="477"/>
      <c r="D51" s="476"/>
      <c r="G51" s="476"/>
      <c r="N51" s="439"/>
      <c r="O51" s="439"/>
      <c r="P51" s="439"/>
      <c r="Q51" s="439"/>
      <c r="R51" s="439"/>
      <c r="S51" s="439"/>
      <c r="T51" s="439"/>
      <c r="U51" s="439"/>
      <c r="V51" s="439"/>
    </row>
    <row r="52" spans="2:22" s="474" customFormat="1" x14ac:dyDescent="0.2">
      <c r="B52" s="478"/>
      <c r="C52" s="479"/>
      <c r="D52" s="474">
        <f t="shared" ref="D52:D81" si="0">+B52</f>
        <v>0</v>
      </c>
      <c r="G52" s="476"/>
      <c r="N52" s="439"/>
      <c r="O52" s="439"/>
      <c r="P52" s="439"/>
      <c r="Q52" s="439"/>
      <c r="R52" s="439"/>
      <c r="S52" s="439"/>
      <c r="T52" s="439"/>
      <c r="U52" s="439"/>
      <c r="V52" s="439"/>
    </row>
    <row r="53" spans="2:22" s="474" customFormat="1" x14ac:dyDescent="0.2">
      <c r="B53" s="478"/>
      <c r="C53" s="479"/>
      <c r="D53" s="474">
        <f t="shared" si="0"/>
        <v>0</v>
      </c>
      <c r="G53" s="476"/>
      <c r="N53" s="439"/>
      <c r="O53" s="439"/>
      <c r="P53" s="439"/>
      <c r="Q53" s="439"/>
      <c r="R53" s="439"/>
      <c r="S53" s="439"/>
      <c r="T53" s="439"/>
      <c r="U53" s="439"/>
      <c r="V53" s="439"/>
    </row>
    <row r="54" spans="2:22" s="474" customFormat="1" x14ac:dyDescent="0.2">
      <c r="B54" s="478"/>
      <c r="C54" s="479"/>
      <c r="D54" s="474">
        <f t="shared" si="0"/>
        <v>0</v>
      </c>
      <c r="G54" s="476"/>
      <c r="N54" s="439"/>
      <c r="O54" s="439"/>
      <c r="P54" s="439"/>
      <c r="Q54" s="439"/>
      <c r="R54" s="439"/>
      <c r="S54" s="439"/>
      <c r="T54" s="439"/>
      <c r="U54" s="439"/>
      <c r="V54" s="439"/>
    </row>
    <row r="55" spans="2:22" s="474" customFormat="1" x14ac:dyDescent="0.2">
      <c r="B55" s="478"/>
      <c r="C55" s="479"/>
      <c r="D55" s="474">
        <f t="shared" si="0"/>
        <v>0</v>
      </c>
      <c r="G55" s="476"/>
      <c r="N55" s="439"/>
      <c r="O55" s="439"/>
      <c r="P55" s="439"/>
      <c r="Q55" s="439"/>
      <c r="R55" s="439"/>
      <c r="S55" s="439"/>
      <c r="T55" s="439"/>
      <c r="U55" s="439"/>
      <c r="V55" s="439"/>
    </row>
    <row r="56" spans="2:22" s="474" customFormat="1" x14ac:dyDescent="0.2">
      <c r="B56" s="478"/>
      <c r="C56" s="479"/>
      <c r="D56" s="474">
        <f t="shared" si="0"/>
        <v>0</v>
      </c>
      <c r="G56" s="476"/>
      <c r="N56" s="439"/>
      <c r="O56" s="439"/>
      <c r="P56" s="439"/>
      <c r="Q56" s="439"/>
      <c r="R56" s="439"/>
      <c r="S56" s="439"/>
      <c r="T56" s="439"/>
      <c r="U56" s="439"/>
      <c r="V56" s="439"/>
    </row>
    <row r="57" spans="2:22" s="474" customFormat="1" x14ac:dyDescent="0.2">
      <c r="B57" s="478"/>
      <c r="C57" s="479"/>
      <c r="D57" s="474">
        <f t="shared" si="0"/>
        <v>0</v>
      </c>
      <c r="G57" s="476"/>
      <c r="N57" s="439"/>
      <c r="O57" s="439"/>
      <c r="P57" s="439"/>
      <c r="Q57" s="439"/>
      <c r="R57" s="439"/>
      <c r="S57" s="439"/>
      <c r="T57" s="439"/>
      <c r="U57" s="439"/>
      <c r="V57" s="439"/>
    </row>
    <row r="58" spans="2:22" s="474" customFormat="1" x14ac:dyDescent="0.2">
      <c r="B58" s="478"/>
      <c r="C58" s="479"/>
      <c r="D58" s="474">
        <f t="shared" si="0"/>
        <v>0</v>
      </c>
      <c r="G58" s="476"/>
      <c r="N58" s="439"/>
      <c r="O58" s="439"/>
      <c r="P58" s="439"/>
      <c r="Q58" s="439"/>
      <c r="R58" s="439"/>
      <c r="S58" s="439"/>
      <c r="T58" s="439"/>
      <c r="U58" s="439"/>
      <c r="V58" s="439"/>
    </row>
    <row r="59" spans="2:22" s="474" customFormat="1" x14ac:dyDescent="0.2">
      <c r="B59" s="478"/>
      <c r="C59" s="479"/>
      <c r="D59" s="474">
        <f t="shared" si="0"/>
        <v>0</v>
      </c>
      <c r="G59" s="476"/>
      <c r="N59" s="439"/>
      <c r="O59" s="439"/>
      <c r="P59" s="439"/>
      <c r="Q59" s="439"/>
      <c r="R59" s="439"/>
      <c r="S59" s="439"/>
      <c r="T59" s="439"/>
      <c r="U59" s="439"/>
      <c r="V59" s="439"/>
    </row>
    <row r="60" spans="2:22" s="474" customFormat="1" x14ac:dyDescent="0.2">
      <c r="B60" s="478"/>
      <c r="C60" s="479"/>
      <c r="D60" s="474">
        <f t="shared" si="0"/>
        <v>0</v>
      </c>
      <c r="G60" s="476"/>
      <c r="N60" s="439"/>
      <c r="O60" s="439"/>
      <c r="P60" s="439"/>
      <c r="Q60" s="439"/>
      <c r="R60" s="439"/>
      <c r="S60" s="439"/>
      <c r="T60" s="439"/>
      <c r="U60" s="439"/>
      <c r="V60" s="439"/>
    </row>
    <row r="61" spans="2:22" s="474" customFormat="1" ht="18" customHeight="1" x14ac:dyDescent="0.2">
      <c r="B61" s="478"/>
      <c r="C61" s="479"/>
      <c r="D61" s="474">
        <f t="shared" si="0"/>
        <v>0</v>
      </c>
      <c r="G61" s="476"/>
      <c r="N61" s="439"/>
      <c r="O61" s="439"/>
      <c r="P61" s="439"/>
      <c r="Q61" s="439"/>
      <c r="R61" s="439"/>
      <c r="S61" s="439"/>
      <c r="T61" s="439"/>
      <c r="U61" s="439"/>
      <c r="V61" s="439"/>
    </row>
    <row r="62" spans="2:22" s="474" customFormat="1" x14ac:dyDescent="0.2">
      <c r="B62" s="478"/>
      <c r="C62" s="479"/>
      <c r="D62" s="474">
        <f t="shared" si="0"/>
        <v>0</v>
      </c>
      <c r="G62" s="476"/>
      <c r="N62" s="439"/>
      <c r="O62" s="439"/>
      <c r="P62" s="439"/>
      <c r="Q62" s="439"/>
      <c r="R62" s="439"/>
      <c r="S62" s="439"/>
      <c r="T62" s="439"/>
      <c r="U62" s="439"/>
      <c r="V62" s="439"/>
    </row>
    <row r="63" spans="2:22" s="474" customFormat="1" x14ac:dyDescent="0.2">
      <c r="B63" s="478"/>
      <c r="C63" s="479"/>
      <c r="D63" s="474">
        <f t="shared" si="0"/>
        <v>0</v>
      </c>
      <c r="G63" s="476"/>
      <c r="K63" s="438"/>
      <c r="N63" s="439"/>
      <c r="O63" s="439"/>
      <c r="P63" s="439"/>
      <c r="Q63" s="439"/>
      <c r="R63" s="439"/>
      <c r="S63" s="439"/>
      <c r="T63" s="439"/>
      <c r="U63" s="439"/>
      <c r="V63" s="439"/>
    </row>
    <row r="64" spans="2:22" s="474" customFormat="1" x14ac:dyDescent="0.2">
      <c r="B64" s="478"/>
      <c r="C64" s="479"/>
      <c r="D64" s="474">
        <f t="shared" si="0"/>
        <v>0</v>
      </c>
      <c r="G64" s="476"/>
      <c r="K64" s="438"/>
      <c r="N64" s="439"/>
      <c r="O64" s="439"/>
      <c r="P64" s="439"/>
      <c r="Q64" s="439"/>
      <c r="R64" s="439"/>
      <c r="S64" s="439"/>
      <c r="T64" s="439"/>
      <c r="U64" s="439"/>
      <c r="V64" s="439"/>
    </row>
    <row r="65" spans="2:22" s="474" customFormat="1" x14ac:dyDescent="0.2">
      <c r="B65" s="478"/>
      <c r="C65" s="479"/>
      <c r="D65" s="474">
        <f t="shared" si="0"/>
        <v>0</v>
      </c>
      <c r="G65" s="476"/>
      <c r="K65" s="438"/>
      <c r="N65" s="439"/>
      <c r="O65" s="439"/>
      <c r="P65" s="439"/>
      <c r="Q65" s="439"/>
      <c r="R65" s="439"/>
      <c r="S65" s="439"/>
      <c r="T65" s="439"/>
      <c r="U65" s="439"/>
      <c r="V65" s="439"/>
    </row>
    <row r="66" spans="2:22" s="474" customFormat="1" x14ac:dyDescent="0.2">
      <c r="B66" s="478"/>
      <c r="C66" s="479"/>
      <c r="D66" s="474">
        <f t="shared" si="0"/>
        <v>0</v>
      </c>
      <c r="G66" s="476"/>
      <c r="K66" s="438"/>
      <c r="N66" s="439"/>
      <c r="O66" s="439"/>
      <c r="P66" s="439"/>
      <c r="Q66" s="439"/>
      <c r="R66" s="439"/>
      <c r="S66" s="439"/>
      <c r="T66" s="439"/>
      <c r="U66" s="439"/>
      <c r="V66" s="439"/>
    </row>
    <row r="67" spans="2:22" s="474" customFormat="1" x14ac:dyDescent="0.2">
      <c r="B67" s="478"/>
      <c r="C67" s="479"/>
      <c r="D67" s="474">
        <f t="shared" si="0"/>
        <v>0</v>
      </c>
      <c r="G67" s="476"/>
      <c r="K67" s="438"/>
      <c r="N67" s="439"/>
      <c r="O67" s="439"/>
      <c r="P67" s="439"/>
      <c r="Q67" s="439"/>
      <c r="R67" s="439"/>
      <c r="S67" s="439"/>
      <c r="T67" s="439"/>
      <c r="U67" s="439"/>
      <c r="V67" s="439"/>
    </row>
    <row r="68" spans="2:22" s="474" customFormat="1" x14ac:dyDescent="0.2">
      <c r="B68" s="478"/>
      <c r="C68" s="479"/>
      <c r="D68" s="474">
        <f t="shared" si="0"/>
        <v>0</v>
      </c>
      <c r="G68" s="476"/>
      <c r="H68" s="438"/>
      <c r="I68" s="438"/>
      <c r="J68" s="438"/>
      <c r="K68" s="438"/>
      <c r="N68" s="439"/>
      <c r="O68" s="439"/>
      <c r="P68" s="439"/>
      <c r="Q68" s="439"/>
      <c r="R68" s="439"/>
      <c r="S68" s="439"/>
      <c r="T68" s="439"/>
      <c r="U68" s="439"/>
      <c r="V68" s="439"/>
    </row>
    <row r="69" spans="2:22" s="474" customFormat="1" x14ac:dyDescent="0.2">
      <c r="B69" s="478"/>
      <c r="C69" s="479"/>
      <c r="D69" s="474">
        <f t="shared" si="0"/>
        <v>0</v>
      </c>
      <c r="G69" s="476"/>
      <c r="H69" s="438"/>
      <c r="I69" s="438"/>
      <c r="J69" s="438"/>
      <c r="K69" s="438"/>
      <c r="L69" s="438"/>
      <c r="N69" s="439"/>
      <c r="O69" s="439"/>
      <c r="P69" s="439"/>
      <c r="Q69" s="439"/>
      <c r="R69" s="439"/>
      <c r="S69" s="439"/>
      <c r="T69" s="439"/>
      <c r="U69" s="439"/>
      <c r="V69" s="439"/>
    </row>
    <row r="70" spans="2:22" s="474" customFormat="1" x14ac:dyDescent="0.2">
      <c r="B70" s="478"/>
      <c r="C70" s="479"/>
      <c r="D70" s="474">
        <f t="shared" si="0"/>
        <v>0</v>
      </c>
      <c r="G70" s="476"/>
      <c r="H70" s="438"/>
      <c r="I70" s="438"/>
      <c r="J70" s="438"/>
      <c r="K70" s="438"/>
      <c r="L70" s="438"/>
      <c r="M70" s="438"/>
      <c r="N70" s="439"/>
      <c r="O70" s="439"/>
      <c r="P70" s="439"/>
      <c r="Q70" s="439"/>
      <c r="R70" s="439"/>
      <c r="S70" s="439"/>
      <c r="T70" s="439"/>
      <c r="U70" s="439"/>
      <c r="V70" s="439"/>
    </row>
    <row r="71" spans="2:22" s="474" customFormat="1" x14ac:dyDescent="0.2">
      <c r="B71" s="478"/>
      <c r="C71" s="479"/>
      <c r="D71" s="474">
        <f t="shared" si="0"/>
        <v>0</v>
      </c>
      <c r="G71" s="476"/>
      <c r="H71" s="438"/>
      <c r="I71" s="438"/>
      <c r="J71" s="438"/>
      <c r="K71" s="438"/>
      <c r="L71" s="438"/>
      <c r="M71" s="438"/>
      <c r="N71" s="439"/>
      <c r="O71" s="439"/>
      <c r="P71" s="439"/>
      <c r="Q71" s="439"/>
      <c r="R71" s="439"/>
      <c r="S71" s="439"/>
      <c r="T71" s="439"/>
      <c r="U71" s="439"/>
      <c r="V71" s="439"/>
    </row>
    <row r="72" spans="2:22" s="474" customFormat="1" x14ac:dyDescent="0.2">
      <c r="B72" s="478"/>
      <c r="C72" s="479"/>
      <c r="D72" s="474">
        <f t="shared" si="0"/>
        <v>0</v>
      </c>
      <c r="G72" s="476"/>
      <c r="H72" s="438"/>
      <c r="I72" s="438"/>
      <c r="J72" s="438"/>
      <c r="K72" s="438"/>
      <c r="L72" s="438"/>
      <c r="M72" s="438"/>
      <c r="N72" s="439"/>
      <c r="O72" s="439"/>
      <c r="P72" s="439"/>
      <c r="Q72" s="439"/>
      <c r="R72" s="439"/>
      <c r="S72" s="439"/>
      <c r="T72" s="439"/>
      <c r="U72" s="439"/>
      <c r="V72" s="439"/>
    </row>
    <row r="73" spans="2:22" s="474" customFormat="1" x14ac:dyDescent="0.2">
      <c r="B73" s="478"/>
      <c r="C73" s="479"/>
      <c r="D73" s="474">
        <f t="shared" si="0"/>
        <v>0</v>
      </c>
      <c r="G73" s="476"/>
      <c r="H73" s="438"/>
      <c r="I73" s="438"/>
      <c r="J73" s="438"/>
      <c r="K73" s="438"/>
      <c r="L73" s="438"/>
      <c r="M73" s="438"/>
      <c r="N73" s="439"/>
      <c r="O73" s="439"/>
      <c r="P73" s="439"/>
      <c r="Q73" s="439"/>
      <c r="R73" s="439"/>
      <c r="S73" s="439"/>
      <c r="T73" s="439"/>
      <c r="U73" s="439"/>
      <c r="V73" s="439"/>
    </row>
    <row r="74" spans="2:22" s="474" customFormat="1" x14ac:dyDescent="0.2">
      <c r="B74" s="478"/>
      <c r="C74" s="479"/>
      <c r="D74" s="474">
        <f t="shared" si="0"/>
        <v>0</v>
      </c>
      <c r="G74" s="476"/>
      <c r="H74" s="438"/>
      <c r="I74" s="438"/>
      <c r="J74" s="438"/>
      <c r="K74" s="438"/>
      <c r="L74" s="438"/>
      <c r="M74" s="438"/>
      <c r="N74" s="439"/>
      <c r="O74" s="439"/>
      <c r="P74" s="439"/>
      <c r="Q74" s="439"/>
      <c r="R74" s="439"/>
      <c r="S74" s="439"/>
      <c r="T74" s="439"/>
      <c r="U74" s="439"/>
      <c r="V74" s="439"/>
    </row>
    <row r="75" spans="2:22" s="474" customFormat="1" x14ac:dyDescent="0.2">
      <c r="B75" s="478"/>
      <c r="C75" s="479"/>
      <c r="D75" s="474">
        <f t="shared" si="0"/>
        <v>0</v>
      </c>
      <c r="G75" s="476"/>
      <c r="H75" s="438"/>
      <c r="I75" s="438"/>
      <c r="J75" s="438"/>
      <c r="K75" s="438"/>
      <c r="L75" s="438"/>
      <c r="M75" s="438"/>
      <c r="N75" s="439"/>
      <c r="O75" s="439"/>
      <c r="P75" s="439"/>
      <c r="Q75" s="439"/>
      <c r="R75" s="439"/>
      <c r="S75" s="439"/>
      <c r="T75" s="439"/>
      <c r="U75" s="439"/>
      <c r="V75" s="439"/>
    </row>
    <row r="76" spans="2:22" x14ac:dyDescent="0.2">
      <c r="B76" s="478"/>
      <c r="C76" s="479"/>
      <c r="D76" s="474">
        <f t="shared" si="0"/>
        <v>0</v>
      </c>
      <c r="F76" s="474"/>
      <c r="G76" s="476"/>
    </row>
    <row r="77" spans="2:22" x14ac:dyDescent="0.2">
      <c r="B77" s="478"/>
      <c r="C77" s="479"/>
      <c r="D77" s="474">
        <f t="shared" si="0"/>
        <v>0</v>
      </c>
      <c r="F77" s="474"/>
      <c r="G77" s="476"/>
    </row>
    <row r="78" spans="2:22" x14ac:dyDescent="0.2">
      <c r="B78" s="478"/>
      <c r="C78" s="479"/>
      <c r="D78" s="474">
        <f t="shared" si="0"/>
        <v>0</v>
      </c>
      <c r="F78" s="474"/>
      <c r="G78" s="476"/>
    </row>
    <row r="79" spans="2:22" x14ac:dyDescent="0.2">
      <c r="B79" s="478"/>
      <c r="C79" s="479"/>
      <c r="D79" s="474">
        <f t="shared" si="0"/>
        <v>0</v>
      </c>
      <c r="F79" s="474"/>
      <c r="G79" s="476"/>
    </row>
    <row r="80" spans="2:22" x14ac:dyDescent="0.2">
      <c r="B80" s="478"/>
      <c r="C80" s="479"/>
      <c r="D80" s="474">
        <f t="shared" si="0"/>
        <v>0</v>
      </c>
      <c r="F80" s="474"/>
      <c r="G80" s="476"/>
    </row>
    <row r="81" spans="2:7" x14ac:dyDescent="0.2">
      <c r="B81" s="478"/>
      <c r="C81" s="479"/>
      <c r="D81" s="474">
        <f t="shared" si="0"/>
        <v>0</v>
      </c>
      <c r="F81" s="474"/>
      <c r="G81" s="476"/>
    </row>
    <row r="82" spans="2:7" x14ac:dyDescent="0.2">
      <c r="B82" s="478"/>
      <c r="C82" s="479"/>
      <c r="F82" s="474"/>
      <c r="G82" s="476"/>
    </row>
    <row r="83" spans="2:7" x14ac:dyDescent="0.2">
      <c r="B83" s="478"/>
      <c r="C83" s="479"/>
      <c r="D83" s="474">
        <f t="shared" ref="D83:D93" si="1">+B83</f>
        <v>0</v>
      </c>
      <c r="F83" s="439"/>
      <c r="G83" s="476"/>
    </row>
    <row r="84" spans="2:7" x14ac:dyDescent="0.2">
      <c r="B84" s="478"/>
      <c r="C84" s="479"/>
      <c r="D84" s="474">
        <f t="shared" si="1"/>
        <v>0</v>
      </c>
      <c r="F84" s="439"/>
    </row>
    <row r="85" spans="2:7" x14ac:dyDescent="0.2">
      <c r="B85" s="478"/>
      <c r="C85" s="479"/>
      <c r="D85" s="474">
        <f t="shared" si="1"/>
        <v>0</v>
      </c>
      <c r="F85" s="439"/>
    </row>
    <row r="86" spans="2:7" x14ac:dyDescent="0.2">
      <c r="B86" s="478"/>
      <c r="C86" s="479"/>
      <c r="D86" s="474" t="e">
        <f>+#REF!</f>
        <v>#REF!</v>
      </c>
      <c r="F86" s="439"/>
    </row>
    <row r="87" spans="2:7" x14ac:dyDescent="0.2">
      <c r="B87" s="478"/>
      <c r="C87" s="479"/>
      <c r="D87" s="474">
        <f>+B86</f>
        <v>0</v>
      </c>
      <c r="F87" s="439"/>
    </row>
    <row r="88" spans="2:7" x14ac:dyDescent="0.2">
      <c r="B88" s="478"/>
      <c r="C88" s="479"/>
      <c r="D88" s="474">
        <f>+B87</f>
        <v>0</v>
      </c>
      <c r="F88" s="439"/>
    </row>
    <row r="89" spans="2:7" x14ac:dyDescent="0.2">
      <c r="B89" s="478"/>
      <c r="C89" s="479"/>
      <c r="D89" s="474">
        <f>+B88</f>
        <v>0</v>
      </c>
      <c r="F89" s="439"/>
    </row>
    <row r="90" spans="2:7" x14ac:dyDescent="0.2">
      <c r="B90" s="478"/>
      <c r="C90" s="479"/>
      <c r="D90" s="474" t="e">
        <f>+#REF!</f>
        <v>#REF!</v>
      </c>
      <c r="F90" s="439"/>
    </row>
    <row r="91" spans="2:7" x14ac:dyDescent="0.2">
      <c r="B91" s="478"/>
      <c r="C91" s="479"/>
      <c r="D91" s="474">
        <f t="shared" si="1"/>
        <v>0</v>
      </c>
      <c r="F91" s="439"/>
    </row>
    <row r="92" spans="2:7" x14ac:dyDescent="0.2">
      <c r="B92" s="478"/>
      <c r="C92" s="479"/>
      <c r="D92" s="474">
        <f>+B89</f>
        <v>0</v>
      </c>
      <c r="E92" s="439"/>
      <c r="F92" s="439"/>
    </row>
    <row r="93" spans="2:7" x14ac:dyDescent="0.2">
      <c r="B93" s="478"/>
      <c r="C93" s="479"/>
      <c r="D93" s="474">
        <f t="shared" si="1"/>
        <v>0</v>
      </c>
      <c r="E93" s="439"/>
      <c r="F93" s="439"/>
    </row>
    <row r="94" spans="2:7" x14ac:dyDescent="0.2">
      <c r="B94" s="478"/>
      <c r="C94" s="479"/>
      <c r="D94" s="474">
        <f>+B90</f>
        <v>0</v>
      </c>
      <c r="E94" s="439"/>
      <c r="F94" s="439"/>
    </row>
    <row r="95" spans="2:7" x14ac:dyDescent="0.2">
      <c r="B95" s="478"/>
      <c r="C95" s="479"/>
      <c r="D95" s="476"/>
      <c r="E95" s="439"/>
      <c r="F95" s="439"/>
    </row>
    <row r="96" spans="2:7" x14ac:dyDescent="0.2">
      <c r="B96" s="478"/>
      <c r="C96" s="479"/>
      <c r="D96" s="476"/>
      <c r="E96" s="439"/>
      <c r="F96" s="439"/>
    </row>
    <row r="97" spans="2:6" x14ac:dyDescent="0.2">
      <c r="B97" s="478"/>
      <c r="C97" s="479"/>
      <c r="D97" s="476"/>
      <c r="E97" s="439"/>
      <c r="F97" s="439"/>
    </row>
    <row r="98" spans="2:6" x14ac:dyDescent="0.2">
      <c r="B98" s="478"/>
      <c r="C98" s="479"/>
      <c r="D98" s="439"/>
      <c r="E98" s="439"/>
      <c r="F98" s="439"/>
    </row>
    <row r="99" spans="2:6" x14ac:dyDescent="0.2">
      <c r="B99" s="478"/>
      <c r="C99" s="479"/>
      <c r="D99" s="439"/>
      <c r="F99" s="439"/>
    </row>
    <row r="100" spans="2:6" x14ac:dyDescent="0.2">
      <c r="B100" s="478"/>
      <c r="C100" s="479"/>
      <c r="D100" s="439"/>
    </row>
    <row r="101" spans="2:6" x14ac:dyDescent="0.2">
      <c r="B101" s="478"/>
      <c r="C101" s="479"/>
      <c r="D101" s="439"/>
    </row>
    <row r="102" spans="2:6" x14ac:dyDescent="0.2">
      <c r="B102" s="478"/>
      <c r="C102" s="479"/>
      <c r="D102" s="439"/>
    </row>
    <row r="103" spans="2:6" x14ac:dyDescent="0.35">
      <c r="D103" s="439"/>
    </row>
    <row r="104" spans="2:6" x14ac:dyDescent="0.35">
      <c r="D104" s="439"/>
    </row>
  </sheetData>
  <mergeCells count="32">
    <mergeCell ref="B34:B35"/>
    <mergeCell ref="C34:C35"/>
    <mergeCell ref="G24:H24"/>
    <mergeCell ref="I24:J24"/>
    <mergeCell ref="G26:H26"/>
    <mergeCell ref="I26:J26"/>
    <mergeCell ref="B28:B30"/>
    <mergeCell ref="C28:C30"/>
    <mergeCell ref="G20:H20"/>
    <mergeCell ref="I20:J20"/>
    <mergeCell ref="G21:H21"/>
    <mergeCell ref="I21:J21"/>
    <mergeCell ref="G22:H22"/>
    <mergeCell ref="I22:J22"/>
    <mergeCell ref="G17:H17"/>
    <mergeCell ref="I17:J17"/>
    <mergeCell ref="G18:H18"/>
    <mergeCell ref="I18:J18"/>
    <mergeCell ref="G19:H19"/>
    <mergeCell ref="I19:J19"/>
    <mergeCell ref="G14:H14"/>
    <mergeCell ref="I14:J14"/>
    <mergeCell ref="G15:H15"/>
    <mergeCell ref="I15:J15"/>
    <mergeCell ref="G16:H16"/>
    <mergeCell ref="I16:J16"/>
    <mergeCell ref="C3:E3"/>
    <mergeCell ref="E5:L5"/>
    <mergeCell ref="G12:H12"/>
    <mergeCell ref="I12:J12"/>
    <mergeCell ref="G13:H13"/>
    <mergeCell ref="I13:J13"/>
  </mergeCells>
  <conditionalFormatting sqref="G17 I17 G24 I24">
    <cfRule type="containsText" dxfId="21" priority="12" operator="containsText" text="N.D">
      <formula>NOT(ISERROR(SEARCH("N.D",G17)))</formula>
    </cfRule>
    <cfRule type="cellIs" dxfId="20" priority="13" operator="greaterThanOrEqual">
      <formula>0.8</formula>
    </cfRule>
    <cfRule type="cellIs" dxfId="19" priority="14" operator="lessThan">
      <formula>0.8</formula>
    </cfRule>
  </conditionalFormatting>
  <conditionalFormatting sqref="G19">
    <cfRule type="cellIs" dxfId="18" priority="15" operator="lessThan">
      <formula>0.15</formula>
    </cfRule>
    <cfRule type="containsText" dxfId="17" priority="16" operator="containsText" text="N.D">
      <formula>NOT(ISERROR(SEARCH("N.D",G19)))</formula>
    </cfRule>
    <cfRule type="cellIs" dxfId="16" priority="17" operator="lessThan">
      <formula>0.15</formula>
    </cfRule>
    <cfRule type="cellIs" dxfId="15" priority="18" operator="between">
      <formula>0.15</formula>
      <formula>0.249</formula>
    </cfRule>
    <cfRule type="cellIs" dxfId="14" priority="19" operator="greaterThanOrEqual">
      <formula>0.25</formula>
    </cfRule>
  </conditionalFormatting>
  <conditionalFormatting sqref="G22">
    <cfRule type="cellIs" dxfId="13" priority="20" operator="lessThan">
      <formula>0.05</formula>
    </cfRule>
    <cfRule type="cellIs" dxfId="12" priority="21" operator="between">
      <formula>0.05</formula>
      <formula>0.1</formula>
    </cfRule>
    <cfRule type="cellIs" dxfId="11" priority="22" operator="greaterThanOrEqual">
      <formula>0.1</formula>
    </cfRule>
  </conditionalFormatting>
  <conditionalFormatting sqref="I19">
    <cfRule type="cellIs" dxfId="10" priority="4" operator="lessThan">
      <formula>0.15</formula>
    </cfRule>
    <cfRule type="containsText" dxfId="9" priority="5" operator="containsText" text="N.D">
      <formula>NOT(ISERROR(SEARCH("N.D",I19)))</formula>
    </cfRule>
    <cfRule type="cellIs" dxfId="8" priority="6" operator="lessThan">
      <formula>0.15</formula>
    </cfRule>
    <cfRule type="cellIs" dxfId="7" priority="7" operator="between">
      <formula>0.15</formula>
      <formula>0.249</formula>
    </cfRule>
    <cfRule type="cellIs" dxfId="6" priority="8" operator="greaterThanOrEqual">
      <formula>0.25</formula>
    </cfRule>
  </conditionalFormatting>
  <conditionalFormatting sqref="I22">
    <cfRule type="cellIs" dxfId="5" priority="9" operator="lessThan">
      <formula>0.05</formula>
    </cfRule>
    <cfRule type="cellIs" dxfId="4" priority="10" operator="between">
      <formula>0.05</formula>
      <formula>0.1</formula>
    </cfRule>
    <cfRule type="cellIs" dxfId="3" priority="11" operator="greaterThanOrEqual">
      <formula>0.1</formula>
    </cfRule>
  </conditionalFormatting>
  <conditionalFormatting sqref="G3">
    <cfRule type="expression" dxfId="2" priority="3">
      <formula>NOT(OR(F3="Acumulado Mes", F3="Acumulado Mes 2º S"))</formula>
    </cfRule>
  </conditionalFormatting>
  <conditionalFormatting sqref="G15:J15">
    <cfRule type="cellIs" dxfId="1" priority="2" operator="greaterThanOrEqual">
      <formula>1</formula>
    </cfRule>
  </conditionalFormatting>
  <conditionalFormatting sqref="G15:J15">
    <cfRule type="cellIs" dxfId="0" priority="1" operator="lessThan">
      <formula>1</formula>
    </cfRule>
  </conditionalFormatting>
  <printOptions horizontalCentered="1"/>
  <pageMargins left="0.19685039370078741" right="0.19685039370078741" top="0.19685039370078741" bottom="0.19685039370078741" header="0" footer="0.31496062992125984"/>
  <pageSetup paperSize="9" scale="55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60B8E9-ACB5-413F-8F69-51F6239CACAC}">
          <x14:formula1>
            <xm:f>IF(OR(F3="Acumulado Mes", F3="Acumulado Mes 2º S"), MAESTRO!$H$3:$H$14, INDIRECT(""))</xm:f>
          </x14:formula1>
          <xm:sqref>G3</xm:sqref>
        </x14:dataValidation>
        <x14:dataValidation type="list" allowBlank="1" showInputMessage="1" showErrorMessage="1" xr:uid="{7689E068-B5D0-4C58-9FEE-D9FB4855C15D}">
          <x14:formula1>
            <xm:f>MAESTRO!$H$3:$H$21</xm:f>
          </x14:formula1>
          <xm:sqref>F3</xm:sqref>
        </x14:dataValidation>
        <x14:dataValidation type="list" allowBlank="1" showInputMessage="1" showErrorMessage="1" xr:uid="{C0E833AB-E388-4CC9-AAF5-FE53E4A49CC7}">
          <x14:formula1>
            <xm:f>MAESTRO!$N$3:$N$55</xm:f>
          </x14:formula1>
          <xm:sqref>E5:L5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B1:D42"/>
  <sheetViews>
    <sheetView topLeftCell="B1" workbookViewId="0"/>
  </sheetViews>
  <sheetFormatPr baseColWidth="10" defaultColWidth="10.81640625" defaultRowHeight="14.5" x14ac:dyDescent="0.35"/>
  <cols>
    <col min="1" max="1" width="0" hidden="1" customWidth="1"/>
    <col min="2" max="2" width="101.1796875" customWidth="1"/>
    <col min="4" max="4" width="103.54296875" customWidth="1"/>
  </cols>
  <sheetData>
    <row r="1" spans="2:4" x14ac:dyDescent="0.35">
      <c r="B1" s="779" t="s">
        <v>130</v>
      </c>
      <c r="D1" s="779" t="s">
        <v>140</v>
      </c>
    </row>
    <row r="2" spans="2:4" ht="15" thickBot="1" x14ac:dyDescent="0.4">
      <c r="B2" s="780"/>
      <c r="D2" s="780"/>
    </row>
    <row r="4" spans="2:4" x14ac:dyDescent="0.35">
      <c r="B4" s="1" t="s">
        <v>113</v>
      </c>
      <c r="D4" t="s">
        <v>135</v>
      </c>
    </row>
    <row r="5" spans="2:4" x14ac:dyDescent="0.35">
      <c r="B5" t="s">
        <v>114</v>
      </c>
      <c r="D5" t="s">
        <v>141</v>
      </c>
    </row>
    <row r="6" spans="2:4" x14ac:dyDescent="0.35">
      <c r="D6" t="s">
        <v>136</v>
      </c>
    </row>
    <row r="7" spans="2:4" x14ac:dyDescent="0.35">
      <c r="B7" s="1" t="s">
        <v>115</v>
      </c>
      <c r="D7" t="s">
        <v>137</v>
      </c>
    </row>
    <row r="8" spans="2:4" x14ac:dyDescent="0.35">
      <c r="B8" t="s">
        <v>116</v>
      </c>
      <c r="D8" t="s">
        <v>138</v>
      </c>
    </row>
    <row r="9" spans="2:4" x14ac:dyDescent="0.35">
      <c r="B9" t="s">
        <v>117</v>
      </c>
    </row>
    <row r="10" spans="2:4" x14ac:dyDescent="0.35">
      <c r="B10" t="s">
        <v>143</v>
      </c>
    </row>
    <row r="11" spans="2:4" x14ac:dyDescent="0.35">
      <c r="B11" t="s">
        <v>118</v>
      </c>
    </row>
    <row r="12" spans="2:4" x14ac:dyDescent="0.35">
      <c r="B12" t="s">
        <v>142</v>
      </c>
    </row>
    <row r="29" spans="2:2" x14ac:dyDescent="0.35">
      <c r="B29" s="1" t="s">
        <v>119</v>
      </c>
    </row>
    <row r="30" spans="2:2" x14ac:dyDescent="0.35">
      <c r="B30" t="s">
        <v>129</v>
      </c>
    </row>
    <row r="31" spans="2:2" x14ac:dyDescent="0.35">
      <c r="B31" t="s">
        <v>144</v>
      </c>
    </row>
    <row r="32" spans="2:2" x14ac:dyDescent="0.35">
      <c r="B32" t="s">
        <v>120</v>
      </c>
    </row>
    <row r="33" spans="2:2" x14ac:dyDescent="0.35">
      <c r="B33" t="s">
        <v>121</v>
      </c>
    </row>
    <row r="34" spans="2:2" x14ac:dyDescent="0.35">
      <c r="B34" t="s">
        <v>122</v>
      </c>
    </row>
    <row r="35" spans="2:2" x14ac:dyDescent="0.35">
      <c r="B35" t="s">
        <v>123</v>
      </c>
    </row>
    <row r="37" spans="2:2" x14ac:dyDescent="0.35">
      <c r="B37" s="1" t="s">
        <v>124</v>
      </c>
    </row>
    <row r="38" spans="2:2" x14ac:dyDescent="0.35">
      <c r="B38" t="s">
        <v>125</v>
      </c>
    </row>
    <row r="39" spans="2:2" x14ac:dyDescent="0.35">
      <c r="B39" t="s">
        <v>126</v>
      </c>
    </row>
    <row r="40" spans="2:2" x14ac:dyDescent="0.35">
      <c r="B40" t="s">
        <v>127</v>
      </c>
    </row>
    <row r="41" spans="2:2" x14ac:dyDescent="0.35">
      <c r="B41" t="s">
        <v>128</v>
      </c>
    </row>
    <row r="42" spans="2:2" x14ac:dyDescent="0.35">
      <c r="B42" t="s">
        <v>139</v>
      </c>
    </row>
  </sheetData>
  <mergeCells count="2">
    <mergeCell ref="B1:B2"/>
    <mergeCell ref="D1:D2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  <drawing r:id="rId2"/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32</vt:i4>
      </vt:variant>
    </vt:vector>
  </HeadingPairs>
  <TitlesOfParts>
    <vt:vector size="49" baseType="lpstr">
      <vt:lpstr>Dealer Dashboard</vt:lpstr>
      <vt:lpstr>UC BMW 2026</vt:lpstr>
      <vt:lpstr>WHOLESALE BMW 2026</vt:lpstr>
      <vt:lpstr>UC BMW 2026 BPS</vt:lpstr>
      <vt:lpstr>UC BMW 2026 (Grp. Propietar</vt:lpstr>
      <vt:lpstr>BEV BMW 2026</vt:lpstr>
      <vt:lpstr>PENETRACION MERCADO VO BMW</vt:lpstr>
      <vt:lpstr>UC MINI 2026</vt:lpstr>
      <vt:lpstr>UC MINI 2026 (Grp. Propieta</vt:lpstr>
      <vt:lpstr>UC MINI 2026 MINI NEXT</vt:lpstr>
      <vt:lpstr>WHOLESALE MINI 2026</vt:lpstr>
      <vt:lpstr>PENETRACION MCDO VO MINI</vt:lpstr>
      <vt:lpstr>BEV MINI 2026</vt:lpstr>
      <vt:lpstr>MAESTRO</vt:lpstr>
      <vt:lpstr>MYS 2026</vt:lpstr>
      <vt:lpstr>Dealer Dashboard (2)</vt:lpstr>
      <vt:lpstr>Instrucciones</vt:lpstr>
      <vt:lpstr>'BEV BMW 2026'!Área_de_impresión</vt:lpstr>
      <vt:lpstr>'BEV MINI 2026'!Área_de_impresión</vt:lpstr>
      <vt:lpstr>'Dealer Dashboard'!Área_de_impresión</vt:lpstr>
      <vt:lpstr>'Dealer Dashboard (2)'!Área_de_impresión</vt:lpstr>
      <vt:lpstr>'MYS 2026'!Área_de_impresión</vt:lpstr>
      <vt:lpstr>'PENETRACION MCDO VO MINI'!Área_de_impresión</vt:lpstr>
      <vt:lpstr>'UC BMW 2026'!Área_de_impresión</vt:lpstr>
      <vt:lpstr>'UC BMW 2026 (Grp. Propietar'!Área_de_impresión</vt:lpstr>
      <vt:lpstr>'UC BMW 2026 BPS'!Área_de_impresión</vt:lpstr>
      <vt:lpstr>'UC MINI 2026'!Área_de_impresión</vt:lpstr>
      <vt:lpstr>'UC MINI 2026 (Grp. Propieta'!Área_de_impresión</vt:lpstr>
      <vt:lpstr>'UC MINI 2026 MINI NEXT'!Área_de_impresión</vt:lpstr>
      <vt:lpstr>'WHOLESALE BMW 2026'!Área_de_impresión</vt:lpstr>
      <vt:lpstr>'WHOLESALE MINI 2026'!Área_de_impresión</vt:lpstr>
      <vt:lpstr>'WHOLESALE BMW 2026'!DEALER</vt:lpstr>
      <vt:lpstr>DEALER</vt:lpstr>
      <vt:lpstr>'BEV BMW 2026'!MES_DASHBOARD</vt:lpstr>
      <vt:lpstr>'BEV MINI 2026'!MES_DASHBOARD</vt:lpstr>
      <vt:lpstr>'Dealer Dashboard'!MES_DASHBOARD</vt:lpstr>
      <vt:lpstr>'Dealer Dashboard (2)'!MES_DASHBOARD</vt:lpstr>
      <vt:lpstr>'MYS 2026'!MES_DASHBOARD</vt:lpstr>
      <vt:lpstr>'PENETRACION MCDO VO MINI'!MES_DASHBOARD</vt:lpstr>
      <vt:lpstr>'WHOLESALE BMW 2026'!MES_DASHBOARD</vt:lpstr>
      <vt:lpstr>MES_DASHBOARD</vt:lpstr>
      <vt:lpstr>'BEV BMW 2026'!Q</vt:lpstr>
      <vt:lpstr>'BEV MINI 2026'!Q</vt:lpstr>
      <vt:lpstr>'Dealer Dashboard'!Q</vt:lpstr>
      <vt:lpstr>'Dealer Dashboard (2)'!Q</vt:lpstr>
      <vt:lpstr>'MYS 2026'!Q</vt:lpstr>
      <vt:lpstr>'PENETRACION MCDO VO MINI'!Q</vt:lpstr>
      <vt:lpstr>'WHOLESALE BMW 2026'!Q</vt:lpstr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2026-07-30T09:29:30Z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2024-10-15T07:23:32Z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423d6314-4ff9-44a8-ad7e-0cc15d6c9b82</vt:lpwstr>
  </property>
  <property fmtid="{D5CDD505-2E9C-101B-9397-08002B2CF9AE}" pid="8" name="MSIP_Label_e6935750-240b-48e4-a615-66942a738439_ContentBits">
    <vt:lpwstr>2</vt:lpwstr>
  </property>
</Properties>
</file>